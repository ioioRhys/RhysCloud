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296" windowHeight="10315"/>
  </bookViews>
  <sheets>
    <sheet name="盘货信息" sheetId="1" r:id="rId1"/>
    <sheet name="固定信息" sheetId="2" r:id="rId2"/>
    <sheet name="促销信息" sheetId="3" r:id="rId3"/>
    <sheet name="价格信息" sheetId="4" r:id="rId4"/>
    <sheet name="服务" sheetId="5" r:id="rId5"/>
    <sheet name="天条" sheetId="6" r:id="rId6"/>
  </sheets>
  <definedNames>
    <definedName name="_xlnm._FilterDatabase" localSheetId="0" hidden="1">盘货信息!$A$1:$BK$501</definedName>
    <definedName name="_xlnm._FilterDatabase" localSheetId="2" hidden="1">促销信息!$A$1:$Z$501</definedName>
    <definedName name="_xlnm._FilterDatabase" localSheetId="3" hidden="1">价格信息!$A$1:$O$501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<sst xmlns="http://schemas.openxmlformats.org/spreadsheetml/2006/main" count="103" uniqueCount="87">
  <si>
    <t>ID</t>
  </si>
  <si>
    <t>skuid</t>
  </si>
  <si>
    <t>型号</t>
  </si>
  <si>
    <t>到手价</t>
  </si>
  <si>
    <t>国补后到手价</t>
  </si>
  <si>
    <t>前台券（优先）</t>
  </si>
  <si>
    <t>卡萨帝95折</t>
  </si>
  <si>
    <t>消费券</t>
  </si>
  <si>
    <t>限时后返</t>
  </si>
  <si>
    <t>限时补贴力度</t>
  </si>
  <si>
    <t>国补额度</t>
  </si>
  <si>
    <t>是否补全国</t>
  </si>
  <si>
    <t>是否国补</t>
  </si>
  <si>
    <t>是否参与全店瓜分</t>
  </si>
  <si>
    <t>全店跨类目折扣
2件96折/3件94折</t>
  </si>
  <si>
    <t>爆量玩法</t>
  </si>
  <si>
    <t>店铺站外种草活动</t>
  </si>
  <si>
    <t>以旧换新优惠</t>
  </si>
  <si>
    <t>发逛逛后返</t>
  </si>
  <si>
    <t>商品暗券</t>
  </si>
  <si>
    <t>商品暗券链接</t>
  </si>
  <si>
    <t>赠品权益</t>
  </si>
  <si>
    <t>晒单</t>
  </si>
  <si>
    <t>后返</t>
  </si>
  <si>
    <t>卡萨帝全店玩法满额送赠玩法</t>
  </si>
  <si>
    <t>延保</t>
  </si>
  <si>
    <t>服务1：免息</t>
  </si>
  <si>
    <t>服务2（手动填写）</t>
  </si>
  <si>
    <t>是否减暗券（必填）</t>
  </si>
  <si>
    <t>验证金额</t>
  </si>
  <si>
    <t>验证对错</t>
  </si>
  <si>
    <t>分隔符</t>
  </si>
  <si>
    <t>—————————————</t>
  </si>
  <si>
    <t>活动氛围</t>
  </si>
  <si>
    <t>活动时间</t>
  </si>
  <si>
    <t>产业</t>
  </si>
  <si>
    <t>1元预约链接</t>
  </si>
  <si>
    <t>消费券链接</t>
  </si>
  <si>
    <t>瓜分信息</t>
  </si>
  <si>
    <t>促销信息</t>
  </si>
  <si>
    <t>型号+产业</t>
  </si>
  <si>
    <t>分割线</t>
  </si>
  <si>
    <t>1元预约</t>
  </si>
  <si>
    <t>价格</t>
  </si>
  <si>
    <t>爆量</t>
  </si>
  <si>
    <t>以旧换新</t>
  </si>
  <si>
    <t>折扣</t>
  </si>
  <si>
    <t>瓜分</t>
  </si>
  <si>
    <t>服务</t>
  </si>
  <si>
    <t>消费卷</t>
  </si>
  <si>
    <t>限时补贴</t>
  </si>
  <si>
    <t>补全国信息</t>
  </si>
  <si>
    <t>前台券</t>
  </si>
  <si>
    <t>价格2</t>
  </si>
  <si>
    <t>消费卷链接</t>
  </si>
  <si>
    <t>免息</t>
  </si>
  <si>
    <t>价保</t>
  </si>
  <si>
    <t>免运费</t>
  </si>
  <si>
    <t>双文</t>
  </si>
  <si>
    <t>岚歌</t>
  </si>
  <si>
    <t>话术标准模版（后面到品类未修改到手价）</t>
  </si>
  <si>
    <t>冰箱</t>
  </si>
  <si>
    <t>洗衣机</t>
  </si>
  <si>
    <t>空调</t>
  </si>
  <si>
    <t>热水器</t>
  </si>
  <si>
    <t>彩电</t>
  </si>
  <si>
    <t>厨电</t>
  </si>
  <si>
    <t>净水</t>
  </si>
  <si>
    <t>冷柜</t>
  </si>
  <si>
    <t>洗碗机</t>
  </si>
  <si>
    <t>小家电</t>
  </si>
  <si>
    <r>
      <rPr>
        <sz val="10"/>
        <color theme="1"/>
        <rFont val="微软雅黑"/>
        <charset val="134"/>
      </rPr>
      <t xml:space="preserve">"1.活动氛围/型号/活动时间
—————————————
2.价格类：（限时价格需要拆分时间-热水器）
</t>
    </r>
    <r>
      <rPr>
        <sz val="10"/>
        <color rgb="FFC00000"/>
        <rFont val="微软雅黑"/>
        <charset val="134"/>
      </rPr>
      <t>【焕新补贴预估价**元】=**元到手价-**元限时补贴-**元惊喜立减-**元以旧换新 -**元88VIP立减-**元消费券-***元优惠券/会员券-**元预估焕新补贴【全民可用、不限地址】
消费券链接：
优惠券链接：</t>
    </r>
    <r>
      <rPr>
        <sz val="10"/>
        <color theme="1"/>
        <rFont val="微软雅黑"/>
        <charset val="134"/>
      </rPr>
      <t xml:space="preserve">
（2）【全民可用**】不需要漏立减价，只露出焕新价就可以
非【全民可用】需要露出立减价+焕新价+</t>
    </r>
    <r>
      <rPr>
        <sz val="10"/>
        <color rgb="FFFF0000"/>
        <rFont val="微软雅黑"/>
        <charset val="134"/>
      </rPr>
      <t>88viP立减</t>
    </r>
    <r>
      <rPr>
        <sz val="10"/>
        <color theme="1"/>
        <rFont val="微软雅黑"/>
        <charset val="134"/>
      </rPr>
      <t xml:space="preserve">
—————————————
3.单品活动：
【优惠券】-领**元优惠券下单更优惠+链接（不包含预估到手价的卷）
【惊喜】咨询客服领**元专属权益
【以旧换新】-至高补贴**元（可无旧机换新）
【限时/拉通】-购机送红包/赠品；限时包含时间段
【晒单】-
【秀图】-
【种草】-站外带指定话题种草后返50元红包
【逛逛】-
【厨电套购】-
【老带新】-
【厨改】-
【延保】-秀图送压缩机包修至十年
—————————————
4.全店活动
【瓜分】-购机瓜分50万元红包（单ID上限100元）
</t>
    </r>
    <r>
      <rPr>
        <sz val="10"/>
        <color rgb="FFFF0000"/>
        <rFont val="微软雅黑"/>
        <charset val="134"/>
      </rPr>
      <t>【折扣】-指定型号满2类享96折，满3类享94折——主图漏/【参与折扣】——盘活不漏</t>
    </r>
    <r>
      <rPr>
        <sz val="10"/>
        <color theme="1"/>
        <rFont val="微软雅黑"/>
        <charset val="134"/>
      </rPr>
      <t xml:space="preserve">
【红包】-</t>
    </r>
    <r>
      <rPr>
        <sz val="10"/>
        <color rgb="FFFF0000"/>
        <rFont val="微软雅黑"/>
        <charset val="134"/>
      </rPr>
      <t>活动时间购机送240</t>
    </r>
    <r>
      <rPr>
        <sz val="10"/>
        <color theme="1"/>
        <rFont val="微软雅黑"/>
        <charset val="134"/>
      </rPr>
      <t>元
【卡萨帝送赠】</t>
    </r>
    <r>
      <rPr>
        <sz val="10"/>
        <color rgb="FFFF0000"/>
        <rFont val="微软雅黑"/>
        <charset val="134"/>
      </rPr>
      <t>活动时间购机</t>
    </r>
    <r>
      <rPr>
        <sz val="10"/>
        <color theme="1"/>
        <rFont val="微软雅黑"/>
        <charset val="134"/>
      </rPr>
      <t>送空气炸锅HA-JL30D
—————————————
5.服务：
【服务】-6期免息，保价618
【测量】-免费上门测量
【拆旧】-免拆旧费实际后返**元红包
【安装】-热水器全免安装/249安装/免定额安装费
【只换不修】-365天只换不修（下单自带0元购）"</t>
    </r>
  </si>
  <si>
    <r>
      <rPr>
        <sz val="10"/>
        <color theme="1"/>
        <rFont val="微软雅黑"/>
        <charset val="134"/>
      </rPr>
      <t xml:space="preserve">提前嗨购618，焕新补贴惠万家
【BCD-481WGHFDB9S9U1】冰箱
【活动时间：5月12日00:00-5月20日23:59】
—————————————
</t>
    </r>
    <r>
      <rPr>
        <sz val="10"/>
        <color rgb="FFC00000"/>
        <rFont val="微软雅黑"/>
        <charset val="134"/>
      </rPr>
      <t>【1元预约锁好礼】https://s.tb.cn/C.cb8XVh
【焕新补贴预估价3178元】=**元到手价-**元限时补贴-**元惊喜立减-**元以旧换新 -**元88VIP立减-**元消费券-（焕新补贴）【民可用、不限地址】</t>
    </r>
    <r>
      <rPr>
        <sz val="10"/>
        <color theme="1"/>
        <rFont val="微软雅黑"/>
        <charset val="134"/>
      </rPr>
      <t xml:space="preserve">
消费券链接：
优惠券链接：
—————————————
【秀图】赠压缩机延保至十年
—————————————
【折扣】指定型号满2类享96折，满3类享94折
【瓜分】购机瓜分50万元红包（单ID上限100元）
—————————————
【服务】保价618，送货入户，退换免运费
</t>
    </r>
    <r>
      <rPr>
        <sz val="10"/>
        <color rgb="FFC00000"/>
        <rFont val="微软雅黑"/>
        <charset val="134"/>
      </rPr>
      <t>第一个价格为：普惠立减到手价。包含消费券、88VIP优惠、优惠券</t>
    </r>
    <r>
      <rPr>
        <sz val="10"/>
        <color theme="1"/>
        <rFont val="微软雅黑"/>
        <charset val="134"/>
      </rPr>
      <t xml:space="preserve">
入户，退换免运费</t>
    </r>
  </si>
  <si>
    <t>补充点</t>
  </si>
  <si>
    <t>自带保修 放在【服务】，延长保修时间放在【延保】</t>
  </si>
  <si>
    <t>有爆量价格【瓜分】不写，如果活动时间不是全周期需写明瓜分时间段；</t>
  </si>
  <si>
    <t>促销岗：：加一个单品的套装购话术</t>
  </si>
  <si>
    <t>共享排名——放在单品活动【共享排名】*型号（型号多就指定型号**）
促销岗：单品单独加一个共享排名话术</t>
  </si>
  <si>
    <t>延保说明</t>
  </si>
  <si>
    <t xml:space="preserve">【延保】秀图送压缩机延保至十年；
【服务】整机保修1年，主要零部件3年
</t>
  </si>
  <si>
    <t xml:space="preserve">【延保】晒单送电机延至10年包修
【服务】家用机整机包修3年，公用机整机包修3个月（主要零部件1年）
</t>
  </si>
  <si>
    <t xml:space="preserve">【延保】晒单送10年包修（自带6年+送4年共10年）
【服务】整机包修6年
</t>
  </si>
  <si>
    <t>/</t>
  </si>
  <si>
    <t xml:space="preserve">【延保】购机赠原厂延保1年(含碎屏）
【服务】整机保修1年，主要零部件3年
</t>
  </si>
  <si>
    <t>【延保】下单加赠质保至5年（加赠2年）
【服务】保修3年，商用保修3个月</t>
  </si>
  <si>
    <t>【延保】购机送压缩机延保至10年
【服务】冰吧，冷柜，酒柜整机保修1年，主要零部件保修3年</t>
  </si>
  <si>
    <t xml:space="preserve">三桶：
【延保】购机送电机延保至10年保修（洗衣机和干衣机都送）
【服务】购机享三年整机包修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</si>
</sst>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33">
    <font>
      <sz val="11"/>
      <color theme="1"/>
      <name val="宋体"/>
      <charset val="134"/>
      <scheme val="minor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9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10" borderId="5">
      <alignment vertical="center"/>
    </xf>
    <xf numFmtId="0" fontId="21" fillId="11" borderId="6">
      <alignment vertical="center"/>
    </xf>
    <xf numFmtId="0" fontId="22" fillId="11" borderId="5">
      <alignment vertical="center"/>
    </xf>
    <xf numFmtId="0" fontId="23" fillId="12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9" fillId="8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29" fillId="22" borderId="0">
      <alignment vertical="center"/>
    </xf>
    <xf numFmtId="0" fontId="29" fillId="7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6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5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</cellStyleXfs>
  <cellXfs count="53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176" fontId="5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Alignment="1">
      <alignment vertical="center"/>
    </xf>
    <xf numFmtId="176" fontId="6" fillId="3" borderId="1" xfId="0" applyNumberFormat="1" applyFont="1" applyFill="1" applyBorder="1" applyAlignment="1" applyProtection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 wrapText="1"/>
    </xf>
    <xf numFmtId="176" fontId="8" fillId="0" borderId="0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 applyProtection="1">
      <alignment horizontal="center" vertical="center" wrapText="1"/>
    </xf>
    <xf numFmtId="176" fontId="9" fillId="3" borderId="1" xfId="0" applyNumberFormat="1" applyFont="1" applyFill="1" applyBorder="1" applyAlignment="1" applyProtection="1">
      <alignment horizontal="center" vertical="center" wrapText="1"/>
    </xf>
    <xf numFmtId="0" fontId="9" fillId="3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4" borderId="1" xfId="0" applyNumberFormat="1" applyFont="1" applyFill="1" applyBorder="1" applyAlignment="1">
      <alignment horizontal="center" vertical="center" wrapText="1"/>
    </xf>
    <xf numFmtId="0" fontId="9" fillId="5" borderId="1" xfId="0" applyNumberFormat="1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9" fillId="8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 wrapText="1"/>
    </xf>
    <xf numFmtId="1" fontId="8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177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1" fontId="9" fillId="3" borderId="1" xfId="0" applyNumberFormat="1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177" fontId="11" fillId="5" borderId="1" xfId="0" applyNumberFormat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theme="9" tint="0.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K5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8.88983050847458" defaultRowHeight="15" customHeight="1"/>
  <cols>
    <col min="1" max="1" width="23.1101694915254" style="38" customWidth="1"/>
    <col min="2" max="2" width="23.6271186440678" style="38" customWidth="1"/>
    <col min="3" max="3" width="34.0762711864407" style="21" customWidth="1"/>
    <col min="4" max="4" width="10.2203389830508" style="39" customWidth="1"/>
    <col min="5" max="5" width="14.3305084745763" style="40" customWidth="1"/>
    <col min="6" max="6" width="11.7796610169492" style="39" customWidth="1"/>
    <col min="7" max="7" width="10.2203389830508" style="39" customWidth="1"/>
    <col min="8" max="8" width="8.88983050847458" style="39" customWidth="1"/>
    <col min="9" max="9" width="10.2203389830508" style="39" customWidth="1"/>
    <col min="10" max="13" width="11.7796610169492" style="39" customWidth="1"/>
    <col min="14" max="17" width="8.88983050847458" style="39" customWidth="1"/>
    <col min="18" max="18" width="13" style="39" customWidth="1"/>
    <col min="19" max="19" width="8.88983050847458" style="39" customWidth="1"/>
    <col min="20" max="20" width="11.7796610169492" style="39" customWidth="1"/>
    <col min="21" max="24" width="8.88983050847458" style="39" customWidth="1"/>
    <col min="25" max="26" width="21.5593220338983" style="39" customWidth="1"/>
    <col min="27" max="27" width="8.11016949152542" style="39" customWidth="1"/>
    <col min="28" max="28" width="21.3305084745763" style="39" customWidth="1"/>
    <col min="29" max="29" width="20.6694915254237" style="39" customWidth="1"/>
    <col min="30" max="30" width="8.88983050847458" style="40" customWidth="1"/>
    <col min="31" max="63" width="8.88983050847458" style="39" customWidth="1"/>
    <col min="64" max="16384" width="8.88983050847458" style="41" customWidth="1"/>
  </cols>
  <sheetData>
    <row r="1" s="37" customFormat="1" customHeight="1" spans="1:63">
      <c r="A1" s="42" t="s">
        <v>0</v>
      </c>
      <c r="B1" s="42" t="s">
        <v>1</v>
      </c>
      <c r="C1" s="25" t="s">
        <v>2</v>
      </c>
      <c r="D1" s="43" t="s">
        <v>3</v>
      </c>
      <c r="E1" s="44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5" t="s">
        <v>13</v>
      </c>
      <c r="O1" s="45" t="s">
        <v>14</v>
      </c>
      <c r="P1" s="45" t="s">
        <v>15</v>
      </c>
      <c r="Q1" s="46" t="s">
        <v>16</v>
      </c>
      <c r="R1" s="46" t="s">
        <v>17</v>
      </c>
      <c r="S1" s="46" t="s">
        <v>18</v>
      </c>
      <c r="T1" s="43" t="s">
        <v>19</v>
      </c>
      <c r="U1" s="43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7" t="s">
        <v>26</v>
      </c>
      <c r="AB1" s="47" t="s">
        <v>27</v>
      </c>
      <c r="AC1" s="43" t="s">
        <v>28</v>
      </c>
      <c r="AD1" s="44" t="s">
        <v>29</v>
      </c>
      <c r="AE1" s="43" t="s">
        <v>30</v>
      </c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</row>
    <row r="2" customHeight="1" spans="1:63">
      <c r="A2" s="49"/>
      <c r="B2" s="49"/>
      <c r="C2" s="27"/>
      <c r="D2" s="50"/>
      <c r="E2" s="51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1" t="str">
        <f>IF(C2="","",IF($AC2="是",D2-(G2+H2+I2+J2+K2+T2),D2-(G2+H2+I2+J2+K2+F2)))</f>
        <v/>
      </c>
      <c r="AE2" s="50" t="str">
        <f>IF(C2="","",IF(ROUND(E2,0)=ROUND(AD2,0),"√","×"))</f>
        <v/>
      </c>
    </row>
    <row r="3" customHeight="1" spans="1:63">
      <c r="A3" s="49"/>
      <c r="B3" s="49"/>
      <c r="C3" s="27"/>
      <c r="D3" s="50"/>
      <c r="E3" s="51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1" t="str">
        <f t="shared" ref="AD3:AD66" si="0">IF(C3="","",IF($AC3="是",D3-(G3+H3+I3+J3+K3+T3),D3-(G3+H3+I3+J3+K3+F3)))</f>
        <v/>
      </c>
      <c r="AE3" s="50" t="str">
        <f t="shared" ref="AE3:AE66" si="1">IF(C3="","",IF(ROUND(E3,0)=ROUND(AD3,0),"√","×"))</f>
        <v/>
      </c>
    </row>
    <row r="4" customHeight="1" spans="1:63">
      <c r="A4" s="49"/>
      <c r="B4" s="49"/>
      <c r="C4" s="27"/>
      <c r="D4" s="50"/>
      <c r="E4" s="51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1" t="str">
        <f t="shared" si="0"/>
        <v/>
      </c>
      <c r="AE4" s="50" t="str">
        <f t="shared" si="1"/>
        <v/>
      </c>
    </row>
    <row r="5" customHeight="1" spans="1:63">
      <c r="A5" s="49"/>
      <c r="B5" s="49"/>
      <c r="C5" s="27"/>
      <c r="D5" s="50"/>
      <c r="E5" s="51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1" t="str">
        <f t="shared" si="0"/>
        <v/>
      </c>
      <c r="AE5" s="50" t="str">
        <f t="shared" si="1"/>
        <v/>
      </c>
    </row>
    <row r="6" customHeight="1" spans="1:63">
      <c r="A6" s="49"/>
      <c r="B6" s="49"/>
      <c r="C6" s="27"/>
      <c r="D6" s="50"/>
      <c r="E6" s="51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1" t="str">
        <f t="shared" si="0"/>
        <v/>
      </c>
      <c r="AE6" s="50" t="str">
        <f t="shared" si="1"/>
        <v/>
      </c>
    </row>
    <row r="7" customHeight="1" spans="1:63">
      <c r="A7" s="49"/>
      <c r="B7" s="49"/>
      <c r="C7" s="27"/>
      <c r="D7" s="50"/>
      <c r="E7" s="51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1" t="str">
        <f t="shared" si="0"/>
        <v/>
      </c>
      <c r="AE7" s="50" t="str">
        <f t="shared" si="1"/>
        <v/>
      </c>
    </row>
    <row r="8" customHeight="1" spans="1:63">
      <c r="A8" s="49"/>
      <c r="B8" s="49"/>
      <c r="C8" s="27"/>
      <c r="D8" s="50"/>
      <c r="E8" s="51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1" t="str">
        <f t="shared" si="0"/>
        <v/>
      </c>
      <c r="AE8" s="50" t="str">
        <f t="shared" si="1"/>
        <v/>
      </c>
    </row>
    <row r="9" customHeight="1" spans="1:63">
      <c r="A9" s="49"/>
      <c r="B9" s="49"/>
      <c r="C9" s="27"/>
      <c r="D9" s="50"/>
      <c r="E9" s="51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1" t="str">
        <f t="shared" si="0"/>
        <v/>
      </c>
      <c r="AE9" s="50" t="str">
        <f t="shared" si="1"/>
        <v/>
      </c>
    </row>
    <row r="10" customHeight="1" spans="1:63">
      <c r="A10" s="49"/>
      <c r="B10" s="49"/>
      <c r="C10" s="27"/>
      <c r="D10" s="50"/>
      <c r="E10" s="51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1" t="str">
        <f t="shared" si="0"/>
        <v/>
      </c>
      <c r="AE10" s="50" t="str">
        <f t="shared" si="1"/>
        <v/>
      </c>
    </row>
    <row r="11" customHeight="1" spans="1:63">
      <c r="A11" s="49"/>
      <c r="B11" s="49"/>
      <c r="C11" s="27"/>
      <c r="D11" s="50"/>
      <c r="E11" s="51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1" t="str">
        <f t="shared" si="0"/>
        <v/>
      </c>
      <c r="AE11" s="50" t="str">
        <f t="shared" si="1"/>
        <v/>
      </c>
    </row>
    <row r="12" customHeight="1" spans="1:63">
      <c r="A12" s="49"/>
      <c r="B12" s="49"/>
      <c r="C12" s="27"/>
      <c r="D12" s="50"/>
      <c r="E12" s="5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1" t="str">
        <f t="shared" si="0"/>
        <v/>
      </c>
      <c r="AE12" s="50" t="str">
        <f t="shared" si="1"/>
        <v/>
      </c>
    </row>
    <row r="13" customHeight="1" spans="1:63">
      <c r="A13" s="49"/>
      <c r="B13" s="49"/>
      <c r="C13" s="27"/>
      <c r="D13" s="50"/>
      <c r="E13" s="51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1" t="str">
        <f t="shared" si="0"/>
        <v/>
      </c>
      <c r="AE13" s="50" t="str">
        <f t="shared" si="1"/>
        <v/>
      </c>
    </row>
    <row r="14" customHeight="1" spans="1:63">
      <c r="A14" s="49"/>
      <c r="B14" s="49"/>
      <c r="C14" s="27"/>
      <c r="D14" s="50"/>
      <c r="E14" s="51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1" t="str">
        <f t="shared" si="0"/>
        <v/>
      </c>
      <c r="AE14" s="50" t="str">
        <f t="shared" si="1"/>
        <v/>
      </c>
    </row>
    <row r="15" customHeight="1" spans="1:63">
      <c r="A15" s="49"/>
      <c r="B15" s="49"/>
      <c r="C15" s="27"/>
      <c r="D15" s="50"/>
      <c r="E15" s="51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1" t="str">
        <f t="shared" si="0"/>
        <v/>
      </c>
      <c r="AE15" s="50" t="str">
        <f t="shared" si="1"/>
        <v/>
      </c>
    </row>
    <row r="16" customHeight="1" spans="1:63">
      <c r="A16" s="49"/>
      <c r="B16" s="49"/>
      <c r="C16" s="27"/>
      <c r="D16" s="50"/>
      <c r="E16" s="51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1" t="str">
        <f t="shared" si="0"/>
        <v/>
      </c>
      <c r="AE16" s="50" t="str">
        <f t="shared" si="1"/>
        <v/>
      </c>
    </row>
    <row r="17" customHeight="1" spans="1:31">
      <c r="A17" s="49"/>
      <c r="B17" s="49"/>
      <c r="C17" s="27"/>
      <c r="D17" s="50"/>
      <c r="E17" s="5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1" t="str">
        <f t="shared" si="0"/>
        <v/>
      </c>
      <c r="AE17" s="50" t="str">
        <f t="shared" si="1"/>
        <v/>
      </c>
    </row>
    <row r="18" customHeight="1" spans="1:31">
      <c r="A18" s="49"/>
      <c r="B18" s="49"/>
      <c r="C18" s="27"/>
      <c r="D18" s="50"/>
      <c r="E18" s="51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1" t="str">
        <f t="shared" si="0"/>
        <v/>
      </c>
      <c r="AE18" s="50" t="str">
        <f t="shared" si="1"/>
        <v/>
      </c>
    </row>
    <row r="19" customHeight="1" spans="1:31">
      <c r="A19" s="49"/>
      <c r="B19" s="49"/>
      <c r="C19" s="27"/>
      <c r="D19" s="50"/>
      <c r="E19" s="51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1" t="str">
        <f t="shared" si="0"/>
        <v/>
      </c>
      <c r="AE19" s="50" t="str">
        <f t="shared" si="1"/>
        <v/>
      </c>
    </row>
    <row r="20" customHeight="1" spans="1:31">
      <c r="A20" s="49"/>
      <c r="B20" s="49"/>
      <c r="C20" s="27"/>
      <c r="D20" s="50"/>
      <c r="E20" s="51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1" t="str">
        <f t="shared" si="0"/>
        <v/>
      </c>
      <c r="AE20" s="50" t="str">
        <f t="shared" si="1"/>
        <v/>
      </c>
    </row>
    <row r="21" customHeight="1" spans="1:31">
      <c r="A21" s="49"/>
      <c r="B21" s="49"/>
      <c r="C21" s="27"/>
      <c r="D21" s="50"/>
      <c r="E21" s="51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1" t="str">
        <f t="shared" si="0"/>
        <v/>
      </c>
      <c r="AE21" s="50" t="str">
        <f t="shared" si="1"/>
        <v/>
      </c>
    </row>
    <row r="22" customHeight="1" spans="1:31">
      <c r="A22" s="49"/>
      <c r="B22" s="49"/>
      <c r="C22" s="27"/>
      <c r="D22" s="50"/>
      <c r="E22" s="5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1" t="str">
        <f t="shared" si="0"/>
        <v/>
      </c>
      <c r="AE22" s="50" t="str">
        <f t="shared" si="1"/>
        <v/>
      </c>
    </row>
    <row r="23" customHeight="1" spans="1:31">
      <c r="A23" s="49"/>
      <c r="B23" s="49"/>
      <c r="C23" s="27"/>
      <c r="D23" s="50"/>
      <c r="E23" s="5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1" t="str">
        <f t="shared" si="0"/>
        <v/>
      </c>
      <c r="AE23" s="50" t="str">
        <f t="shared" si="1"/>
        <v/>
      </c>
    </row>
    <row r="24" customHeight="1" spans="1:31">
      <c r="A24" s="49"/>
      <c r="B24" s="49"/>
      <c r="C24" s="27"/>
      <c r="D24" s="50"/>
      <c r="E24" s="51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1" t="str">
        <f t="shared" si="0"/>
        <v/>
      </c>
      <c r="AE24" s="50" t="str">
        <f t="shared" si="1"/>
        <v/>
      </c>
    </row>
    <row r="25" customHeight="1" spans="1:31">
      <c r="A25" s="49"/>
      <c r="B25" s="49"/>
      <c r="C25" s="27"/>
      <c r="D25" s="50"/>
      <c r="E25" s="51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1" t="str">
        <f t="shared" si="0"/>
        <v/>
      </c>
      <c r="AE25" s="50" t="str">
        <f t="shared" si="1"/>
        <v/>
      </c>
    </row>
    <row r="26" customHeight="1" spans="1:31">
      <c r="A26" s="49"/>
      <c r="B26" s="49"/>
      <c r="C26" s="27"/>
      <c r="D26" s="50"/>
      <c r="E26" s="51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1" t="str">
        <f t="shared" si="0"/>
        <v/>
      </c>
      <c r="AE26" s="50" t="str">
        <f t="shared" si="1"/>
        <v/>
      </c>
    </row>
    <row r="27" customHeight="1" spans="1:31">
      <c r="A27" s="49"/>
      <c r="B27" s="49"/>
      <c r="C27" s="27"/>
      <c r="D27" s="50"/>
      <c r="E27" s="5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1" t="str">
        <f t="shared" si="0"/>
        <v/>
      </c>
      <c r="AE27" s="50" t="str">
        <f t="shared" si="1"/>
        <v/>
      </c>
    </row>
    <row r="28" customHeight="1" spans="1:31">
      <c r="A28" s="49"/>
      <c r="B28" s="49"/>
      <c r="C28" s="27"/>
      <c r="D28" s="50"/>
      <c r="E28" s="5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1" t="str">
        <f t="shared" si="0"/>
        <v/>
      </c>
      <c r="AE28" s="50" t="str">
        <f t="shared" si="1"/>
        <v/>
      </c>
    </row>
    <row r="29" customHeight="1" spans="1:31">
      <c r="A29" s="49"/>
      <c r="B29" s="49"/>
      <c r="C29" s="27"/>
      <c r="D29" s="50"/>
      <c r="E29" s="5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1" t="str">
        <f t="shared" si="0"/>
        <v/>
      </c>
      <c r="AE29" s="50" t="str">
        <f t="shared" si="1"/>
        <v/>
      </c>
    </row>
    <row r="30" customHeight="1" spans="1:31">
      <c r="A30" s="49"/>
      <c r="B30" s="49"/>
      <c r="C30" s="27"/>
      <c r="D30" s="50"/>
      <c r="E30" s="5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1" t="str">
        <f t="shared" si="0"/>
        <v/>
      </c>
      <c r="AE30" s="50" t="str">
        <f t="shared" si="1"/>
        <v/>
      </c>
    </row>
    <row r="31" customHeight="1" spans="1:31">
      <c r="A31" s="49"/>
      <c r="B31" s="49"/>
      <c r="C31" s="27"/>
      <c r="D31" s="50"/>
      <c r="E31" s="51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1" t="str">
        <f t="shared" si="0"/>
        <v/>
      </c>
      <c r="AE31" s="50" t="str">
        <f t="shared" si="1"/>
        <v/>
      </c>
    </row>
    <row r="32" customHeight="1" spans="1:31">
      <c r="A32" s="49"/>
      <c r="B32" s="49"/>
      <c r="C32" s="27"/>
      <c r="D32" s="50"/>
      <c r="E32" s="51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1" t="str">
        <f t="shared" si="0"/>
        <v/>
      </c>
      <c r="AE32" s="50" t="str">
        <f t="shared" si="1"/>
        <v/>
      </c>
    </row>
    <row r="33" customHeight="1" spans="1:31">
      <c r="A33" s="49"/>
      <c r="B33" s="49"/>
      <c r="C33" s="27"/>
      <c r="D33" s="50"/>
      <c r="E33" s="51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1" t="str">
        <f t="shared" si="0"/>
        <v/>
      </c>
      <c r="AE33" s="50" t="str">
        <f t="shared" si="1"/>
        <v/>
      </c>
    </row>
    <row r="34" customHeight="1" spans="1:31">
      <c r="A34" s="49"/>
      <c r="B34" s="49"/>
      <c r="C34" s="27"/>
      <c r="D34" s="50"/>
      <c r="E34" s="51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1" t="str">
        <f t="shared" si="0"/>
        <v/>
      </c>
      <c r="AE34" s="50" t="str">
        <f t="shared" si="1"/>
        <v/>
      </c>
    </row>
    <row r="35" customHeight="1" spans="1:31">
      <c r="A35" s="49"/>
      <c r="B35" s="49"/>
      <c r="C35" s="27"/>
      <c r="D35" s="50"/>
      <c r="E35" s="51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1" t="str">
        <f t="shared" si="0"/>
        <v/>
      </c>
      <c r="AE35" s="50" t="str">
        <f t="shared" si="1"/>
        <v/>
      </c>
    </row>
    <row r="36" customHeight="1" spans="1:31">
      <c r="A36" s="49"/>
      <c r="B36" s="49"/>
      <c r="C36" s="27"/>
      <c r="D36" s="50"/>
      <c r="E36" s="51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1" t="str">
        <f t="shared" si="0"/>
        <v/>
      </c>
      <c r="AE36" s="50" t="str">
        <f t="shared" si="1"/>
        <v/>
      </c>
    </row>
    <row r="37" customHeight="1" spans="1:31">
      <c r="A37" s="49"/>
      <c r="B37" s="49"/>
      <c r="C37" s="27"/>
      <c r="D37" s="50"/>
      <c r="E37" s="51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1" t="str">
        <f t="shared" si="0"/>
        <v/>
      </c>
      <c r="AE37" s="50" t="str">
        <f t="shared" si="1"/>
        <v/>
      </c>
    </row>
    <row r="38" customHeight="1" spans="1:31">
      <c r="A38" s="49"/>
      <c r="B38" s="49"/>
      <c r="C38" s="27"/>
      <c r="D38" s="50"/>
      <c r="E38" s="51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1" t="str">
        <f t="shared" si="0"/>
        <v/>
      </c>
      <c r="AE38" s="50" t="str">
        <f t="shared" si="1"/>
        <v/>
      </c>
    </row>
    <row r="39" customHeight="1" spans="1:31">
      <c r="A39" s="49"/>
      <c r="B39" s="49"/>
      <c r="C39" s="27"/>
      <c r="D39" s="50"/>
      <c r="E39" s="51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1" t="str">
        <f t="shared" si="0"/>
        <v/>
      </c>
      <c r="AE39" s="50" t="str">
        <f t="shared" si="1"/>
        <v/>
      </c>
    </row>
    <row r="40" customHeight="1" spans="1:31">
      <c r="A40" s="49"/>
      <c r="B40" s="49"/>
      <c r="C40" s="27"/>
      <c r="D40" s="50"/>
      <c r="E40" s="51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1" t="str">
        <f t="shared" si="0"/>
        <v/>
      </c>
      <c r="AE40" s="50" t="str">
        <f t="shared" si="1"/>
        <v/>
      </c>
    </row>
    <row r="41" customHeight="1" spans="1:31">
      <c r="A41" s="49"/>
      <c r="B41" s="49"/>
      <c r="C41" s="27"/>
      <c r="D41" s="50"/>
      <c r="E41" s="51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1" t="str">
        <f t="shared" si="0"/>
        <v/>
      </c>
      <c r="AE41" s="50" t="str">
        <f t="shared" si="1"/>
        <v/>
      </c>
    </row>
    <row r="42" customHeight="1" spans="1:31">
      <c r="A42" s="49"/>
      <c r="B42" s="49"/>
      <c r="C42" s="27"/>
      <c r="D42" s="50"/>
      <c r="E42" s="51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1" t="str">
        <f t="shared" si="0"/>
        <v/>
      </c>
      <c r="AE42" s="50" t="str">
        <f t="shared" si="1"/>
        <v/>
      </c>
    </row>
    <row r="43" customHeight="1" spans="1:31">
      <c r="A43" s="49"/>
      <c r="B43" s="49"/>
      <c r="C43" s="27"/>
      <c r="D43" s="50"/>
      <c r="E43" s="51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1" t="str">
        <f t="shared" si="0"/>
        <v/>
      </c>
      <c r="AE43" s="50" t="str">
        <f t="shared" si="1"/>
        <v/>
      </c>
    </row>
    <row r="44" customHeight="1" spans="1:31">
      <c r="A44" s="49"/>
      <c r="B44" s="49"/>
      <c r="C44" s="27"/>
      <c r="D44" s="50"/>
      <c r="E44" s="51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1" t="str">
        <f t="shared" si="0"/>
        <v/>
      </c>
      <c r="AE44" s="50" t="str">
        <f t="shared" si="1"/>
        <v/>
      </c>
    </row>
    <row r="45" customHeight="1" spans="1:31">
      <c r="A45" s="49"/>
      <c r="B45" s="49"/>
      <c r="C45" s="27"/>
      <c r="D45" s="50"/>
      <c r="E45" s="51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1" t="str">
        <f t="shared" si="0"/>
        <v/>
      </c>
      <c r="AE45" s="50" t="str">
        <f t="shared" si="1"/>
        <v/>
      </c>
    </row>
    <row r="46" customHeight="1" spans="1:31">
      <c r="A46" s="49"/>
      <c r="B46" s="49"/>
      <c r="C46" s="27"/>
      <c r="D46" s="50"/>
      <c r="E46" s="51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1" t="str">
        <f t="shared" si="0"/>
        <v/>
      </c>
      <c r="AE46" s="50" t="str">
        <f t="shared" si="1"/>
        <v/>
      </c>
    </row>
    <row r="47" customHeight="1" spans="1:31">
      <c r="A47" s="49"/>
      <c r="B47" s="49"/>
      <c r="C47" s="27"/>
      <c r="D47" s="50"/>
      <c r="E47" s="51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1" t="str">
        <f t="shared" si="0"/>
        <v/>
      </c>
      <c r="AE47" s="50" t="str">
        <f t="shared" si="1"/>
        <v/>
      </c>
    </row>
    <row r="48" customHeight="1" spans="1:31">
      <c r="A48" s="49"/>
      <c r="B48" s="49"/>
      <c r="C48" s="27"/>
      <c r="D48" s="50"/>
      <c r="E48" s="51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1" t="str">
        <f t="shared" si="0"/>
        <v/>
      </c>
      <c r="AE48" s="50" t="str">
        <f t="shared" si="1"/>
        <v/>
      </c>
    </row>
    <row r="49" customHeight="1" spans="1:31">
      <c r="A49" s="49"/>
      <c r="B49" s="49"/>
      <c r="C49" s="27"/>
      <c r="D49" s="50"/>
      <c r="E49" s="51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1" t="str">
        <f t="shared" si="0"/>
        <v/>
      </c>
      <c r="AE49" s="50" t="str">
        <f t="shared" si="1"/>
        <v/>
      </c>
    </row>
    <row r="50" customHeight="1" spans="1:31">
      <c r="A50" s="49"/>
      <c r="B50" s="49"/>
      <c r="C50" s="27"/>
      <c r="D50" s="50"/>
      <c r="E50" s="51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1" t="str">
        <f t="shared" si="0"/>
        <v/>
      </c>
      <c r="AE50" s="50" t="str">
        <f t="shared" si="1"/>
        <v/>
      </c>
    </row>
    <row r="51" customHeight="1" spans="1:31">
      <c r="A51" s="49"/>
      <c r="B51" s="49"/>
      <c r="C51" s="27"/>
      <c r="D51" s="50"/>
      <c r="E51" s="51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1" t="str">
        <f t="shared" si="0"/>
        <v/>
      </c>
      <c r="AE51" s="50" t="str">
        <f t="shared" si="1"/>
        <v/>
      </c>
    </row>
    <row r="52" customHeight="1" spans="1:31">
      <c r="A52" s="49"/>
      <c r="B52" s="49"/>
      <c r="C52" s="27"/>
      <c r="D52" s="50"/>
      <c r="E52" s="51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1" t="str">
        <f t="shared" si="0"/>
        <v/>
      </c>
      <c r="AE52" s="50" t="str">
        <f t="shared" si="1"/>
        <v/>
      </c>
    </row>
    <row r="53" customHeight="1" spans="1:31">
      <c r="A53" s="49"/>
      <c r="B53" s="49"/>
      <c r="C53" s="27"/>
      <c r="D53" s="50"/>
      <c r="E53" s="51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 t="str">
        <f t="shared" si="0"/>
        <v/>
      </c>
      <c r="AE53" s="50" t="str">
        <f t="shared" si="1"/>
        <v/>
      </c>
    </row>
    <row r="54" customHeight="1" spans="1:31">
      <c r="A54" s="49"/>
      <c r="B54" s="49"/>
      <c r="C54" s="27"/>
      <c r="D54" s="50"/>
      <c r="E54" s="51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1" t="str">
        <f t="shared" si="0"/>
        <v/>
      </c>
      <c r="AE54" s="50" t="str">
        <f t="shared" si="1"/>
        <v/>
      </c>
    </row>
    <row r="55" customHeight="1" spans="1:31">
      <c r="A55" s="49"/>
      <c r="B55" s="49"/>
      <c r="C55" s="27"/>
      <c r="D55" s="50"/>
      <c r="E55" s="51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1" t="str">
        <f t="shared" si="0"/>
        <v/>
      </c>
      <c r="AE55" s="50" t="str">
        <f t="shared" si="1"/>
        <v/>
      </c>
    </row>
    <row r="56" customHeight="1" spans="1:31">
      <c r="A56" s="49"/>
      <c r="B56" s="49"/>
      <c r="C56" s="27"/>
      <c r="D56" s="50"/>
      <c r="E56" s="51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1" t="str">
        <f t="shared" si="0"/>
        <v/>
      </c>
      <c r="AE56" s="50" t="str">
        <f t="shared" si="1"/>
        <v/>
      </c>
    </row>
    <row r="57" customHeight="1" spans="1:31">
      <c r="A57" s="49"/>
      <c r="B57" s="49"/>
      <c r="C57" s="27"/>
      <c r="D57" s="50"/>
      <c r="E57" s="51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 t="str">
        <f t="shared" si="0"/>
        <v/>
      </c>
      <c r="AE57" s="50" t="str">
        <f t="shared" si="1"/>
        <v/>
      </c>
    </row>
    <row r="58" customHeight="1" spans="1:31">
      <c r="A58" s="49"/>
      <c r="B58" s="49"/>
      <c r="C58" s="27"/>
      <c r="D58" s="50"/>
      <c r="E58" s="51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1" t="str">
        <f t="shared" si="0"/>
        <v/>
      </c>
      <c r="AE58" s="50" t="str">
        <f t="shared" si="1"/>
        <v/>
      </c>
    </row>
    <row r="59" customHeight="1" spans="1:31">
      <c r="A59" s="49"/>
      <c r="B59" s="49"/>
      <c r="C59" s="27"/>
      <c r="D59" s="50"/>
      <c r="E59" s="51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1" t="str">
        <f t="shared" si="0"/>
        <v/>
      </c>
      <c r="AE59" s="50" t="str">
        <f t="shared" si="1"/>
        <v/>
      </c>
    </row>
    <row r="60" customHeight="1" spans="1:31">
      <c r="A60" s="49"/>
      <c r="B60" s="49"/>
      <c r="C60" s="27"/>
      <c r="D60" s="50"/>
      <c r="E60" s="51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1" t="str">
        <f t="shared" si="0"/>
        <v/>
      </c>
      <c r="AE60" s="50" t="str">
        <f t="shared" si="1"/>
        <v/>
      </c>
    </row>
    <row r="61" customHeight="1" spans="1:31">
      <c r="A61" s="49"/>
      <c r="B61" s="49"/>
      <c r="C61" s="27"/>
      <c r="D61" s="50"/>
      <c r="E61" s="51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1" t="str">
        <f t="shared" si="0"/>
        <v/>
      </c>
      <c r="AE61" s="50" t="str">
        <f t="shared" si="1"/>
        <v/>
      </c>
    </row>
    <row r="62" customHeight="1" spans="1:31">
      <c r="A62" s="49"/>
      <c r="B62" s="49"/>
      <c r="C62" s="27"/>
      <c r="D62" s="50"/>
      <c r="E62" s="51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1" t="str">
        <f t="shared" si="0"/>
        <v/>
      </c>
      <c r="AE62" s="50" t="str">
        <f t="shared" si="1"/>
        <v/>
      </c>
    </row>
    <row r="63" customHeight="1" spans="1:31">
      <c r="A63" s="49"/>
      <c r="B63" s="49"/>
      <c r="C63" s="27"/>
      <c r="D63" s="50"/>
      <c r="E63" s="51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1" t="str">
        <f t="shared" si="0"/>
        <v/>
      </c>
      <c r="AE63" s="50" t="str">
        <f t="shared" si="1"/>
        <v/>
      </c>
    </row>
    <row r="64" customHeight="1" spans="1:31">
      <c r="A64" s="49"/>
      <c r="B64" s="49"/>
      <c r="C64" s="27"/>
      <c r="D64" s="50"/>
      <c r="E64" s="51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1" t="str">
        <f t="shared" si="0"/>
        <v/>
      </c>
      <c r="AE64" s="50" t="str">
        <f t="shared" si="1"/>
        <v/>
      </c>
    </row>
    <row r="65" customHeight="1" spans="1:31">
      <c r="A65" s="49"/>
      <c r="B65" s="49"/>
      <c r="C65" s="27"/>
      <c r="D65" s="50"/>
      <c r="E65" s="51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1" t="str">
        <f t="shared" si="0"/>
        <v/>
      </c>
      <c r="AE65" s="50" t="str">
        <f t="shared" si="1"/>
        <v/>
      </c>
    </row>
    <row r="66" customHeight="1" spans="1:31">
      <c r="A66" s="49"/>
      <c r="B66" s="49"/>
      <c r="C66" s="27"/>
      <c r="D66" s="50"/>
      <c r="E66" s="51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1" t="str">
        <f t="shared" si="0"/>
        <v/>
      </c>
      <c r="AE66" s="50" t="str">
        <f t="shared" si="1"/>
        <v/>
      </c>
    </row>
    <row r="67" customHeight="1" spans="1:31">
      <c r="A67" s="49"/>
      <c r="B67" s="49"/>
      <c r="C67" s="27"/>
      <c r="D67" s="50"/>
      <c r="E67" s="51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1" t="str">
        <f t="shared" ref="AD67:AD130" si="2">IF(C67="","",IF($AC67="是",D67-(G67+H67+I67+J67+K67+T67),D67-(G67+H67+I67+J67+K67+F67)))</f>
        <v/>
      </c>
      <c r="AE67" s="50" t="str">
        <f t="shared" ref="AE67:AE130" si="3">IF(C67="","",IF(ROUND(E67,0)=ROUND(AD67,0),"√","×"))</f>
        <v/>
      </c>
    </row>
    <row r="68" customHeight="1" spans="1:31">
      <c r="A68" s="49"/>
      <c r="B68" s="49"/>
      <c r="C68" s="27"/>
      <c r="D68" s="50"/>
      <c r="E68" s="51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1" t="str">
        <f t="shared" si="2"/>
        <v/>
      </c>
      <c r="AE68" s="50" t="str">
        <f t="shared" si="3"/>
        <v/>
      </c>
    </row>
    <row r="69" customHeight="1" spans="1:31">
      <c r="A69" s="49"/>
      <c r="B69" s="49"/>
      <c r="C69" s="27"/>
      <c r="D69" s="50"/>
      <c r="E69" s="51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1" t="str">
        <f t="shared" si="2"/>
        <v/>
      </c>
      <c r="AE69" s="50" t="str">
        <f t="shared" si="3"/>
        <v/>
      </c>
    </row>
    <row r="70" customHeight="1" spans="1:31">
      <c r="A70" s="49"/>
      <c r="B70" s="49"/>
      <c r="C70" s="27"/>
      <c r="D70" s="50"/>
      <c r="E70" s="51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1" t="str">
        <f t="shared" si="2"/>
        <v/>
      </c>
      <c r="AE70" s="50" t="str">
        <f t="shared" si="3"/>
        <v/>
      </c>
    </row>
    <row r="71" customHeight="1" spans="1:31">
      <c r="A71" s="49"/>
      <c r="B71" s="49"/>
      <c r="C71" s="27"/>
      <c r="D71" s="50"/>
      <c r="E71" s="51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1" t="str">
        <f t="shared" si="2"/>
        <v/>
      </c>
      <c r="AE71" s="50" t="str">
        <f t="shared" si="3"/>
        <v/>
      </c>
    </row>
    <row r="72" customHeight="1" spans="1:31">
      <c r="A72" s="49"/>
      <c r="B72" s="49"/>
      <c r="C72" s="27"/>
      <c r="D72" s="50"/>
      <c r="E72" s="51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1" t="str">
        <f t="shared" si="2"/>
        <v/>
      </c>
      <c r="AE72" s="50" t="str">
        <f t="shared" si="3"/>
        <v/>
      </c>
    </row>
    <row r="73" customHeight="1" spans="1:31">
      <c r="A73" s="49"/>
      <c r="B73" s="49"/>
      <c r="C73" s="27"/>
      <c r="D73" s="50"/>
      <c r="E73" s="51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1" t="str">
        <f t="shared" si="2"/>
        <v/>
      </c>
      <c r="AE73" s="50" t="str">
        <f t="shared" si="3"/>
        <v/>
      </c>
    </row>
    <row r="74" customHeight="1" spans="1:31">
      <c r="A74" s="49"/>
      <c r="B74" s="49"/>
      <c r="C74" s="27"/>
      <c r="D74" s="50"/>
      <c r="E74" s="51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1" t="str">
        <f t="shared" si="2"/>
        <v/>
      </c>
      <c r="AE74" s="50" t="str">
        <f t="shared" si="3"/>
        <v/>
      </c>
    </row>
    <row r="75" customHeight="1" spans="1:31">
      <c r="A75" s="49"/>
      <c r="B75" s="49"/>
      <c r="C75" s="27"/>
      <c r="D75" s="50"/>
      <c r="E75" s="51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1" t="str">
        <f t="shared" si="2"/>
        <v/>
      </c>
      <c r="AE75" s="50" t="str">
        <f t="shared" si="3"/>
        <v/>
      </c>
    </row>
    <row r="76" customHeight="1" spans="1:31">
      <c r="A76" s="49"/>
      <c r="B76" s="49"/>
      <c r="C76" s="27"/>
      <c r="D76" s="50"/>
      <c r="E76" s="51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1" t="str">
        <f t="shared" si="2"/>
        <v/>
      </c>
      <c r="AE76" s="50" t="str">
        <f t="shared" si="3"/>
        <v/>
      </c>
    </row>
    <row r="77" customHeight="1" spans="1:31">
      <c r="A77" s="49"/>
      <c r="B77" s="49"/>
      <c r="C77" s="27"/>
      <c r="D77" s="50"/>
      <c r="E77" s="51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1" t="str">
        <f t="shared" si="2"/>
        <v/>
      </c>
      <c r="AE77" s="50" t="str">
        <f t="shared" si="3"/>
        <v/>
      </c>
    </row>
    <row r="78" customHeight="1" spans="1:31">
      <c r="A78" s="49"/>
      <c r="B78" s="49"/>
      <c r="C78" s="27"/>
      <c r="D78" s="50"/>
      <c r="E78" s="51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1" t="str">
        <f t="shared" si="2"/>
        <v/>
      </c>
      <c r="AE78" s="50" t="str">
        <f t="shared" si="3"/>
        <v/>
      </c>
    </row>
    <row r="79" customHeight="1" spans="1:31">
      <c r="A79" s="52"/>
      <c r="B79" s="52"/>
      <c r="C79" s="27"/>
      <c r="D79" s="50"/>
      <c r="E79" s="51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1" t="str">
        <f t="shared" si="2"/>
        <v/>
      </c>
      <c r="AE79" s="50" t="str">
        <f t="shared" si="3"/>
        <v/>
      </c>
    </row>
    <row r="80" customHeight="1" spans="1:31">
      <c r="A80" s="49"/>
      <c r="B80" s="49"/>
      <c r="C80" s="27"/>
      <c r="D80" s="50"/>
      <c r="E80" s="51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1" t="str">
        <f t="shared" si="2"/>
        <v/>
      </c>
      <c r="AE80" s="50" t="str">
        <f t="shared" si="3"/>
        <v/>
      </c>
    </row>
    <row r="81" customHeight="1" spans="1:31">
      <c r="A81" s="49"/>
      <c r="B81" s="49"/>
      <c r="C81" s="27"/>
      <c r="D81" s="50"/>
      <c r="E81" s="51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1" t="str">
        <f t="shared" si="2"/>
        <v/>
      </c>
      <c r="AE81" s="50" t="str">
        <f t="shared" si="3"/>
        <v/>
      </c>
    </row>
    <row r="82" customHeight="1" spans="1:31">
      <c r="A82" s="49"/>
      <c r="B82" s="49"/>
      <c r="C82" s="27"/>
      <c r="D82" s="50"/>
      <c r="E82" s="51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1" t="str">
        <f t="shared" si="2"/>
        <v/>
      </c>
      <c r="AE82" s="50" t="str">
        <f t="shared" si="3"/>
        <v/>
      </c>
    </row>
    <row r="83" customHeight="1" spans="1:31">
      <c r="A83" s="49"/>
      <c r="B83" s="49"/>
      <c r="C83" s="27"/>
      <c r="D83" s="50"/>
      <c r="E83" s="51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1" t="str">
        <f t="shared" si="2"/>
        <v/>
      </c>
      <c r="AE83" s="50" t="str">
        <f t="shared" si="3"/>
        <v/>
      </c>
    </row>
    <row r="84" customHeight="1" spans="1:31">
      <c r="A84" s="49"/>
      <c r="B84" s="49"/>
      <c r="C84" s="27"/>
      <c r="D84" s="50"/>
      <c r="E84" s="51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1" t="str">
        <f t="shared" si="2"/>
        <v/>
      </c>
      <c r="AE84" s="50" t="str">
        <f t="shared" si="3"/>
        <v/>
      </c>
    </row>
    <row r="85" customHeight="1" spans="1:31">
      <c r="A85" s="49"/>
      <c r="B85" s="49"/>
      <c r="C85" s="27"/>
      <c r="D85" s="50"/>
      <c r="E85" s="51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1" t="str">
        <f t="shared" si="2"/>
        <v/>
      </c>
      <c r="AE85" s="50" t="str">
        <f t="shared" si="3"/>
        <v/>
      </c>
    </row>
    <row r="86" customHeight="1" spans="1:31">
      <c r="A86" s="49"/>
      <c r="B86" s="49"/>
      <c r="C86" s="27"/>
      <c r="D86" s="50"/>
      <c r="E86" s="51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1" t="str">
        <f t="shared" si="2"/>
        <v/>
      </c>
      <c r="AE86" s="50" t="str">
        <f t="shared" si="3"/>
        <v/>
      </c>
    </row>
    <row r="87" customHeight="1" spans="1:31">
      <c r="A87" s="49"/>
      <c r="B87" s="49"/>
      <c r="C87" s="27"/>
      <c r="D87" s="50"/>
      <c r="E87" s="51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1" t="str">
        <f t="shared" si="2"/>
        <v/>
      </c>
      <c r="AE87" s="50" t="str">
        <f t="shared" si="3"/>
        <v/>
      </c>
    </row>
    <row r="88" customHeight="1" spans="1:31">
      <c r="A88" s="49"/>
      <c r="B88" s="49"/>
      <c r="C88" s="27"/>
      <c r="D88" s="50"/>
      <c r="E88" s="51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1" t="str">
        <f t="shared" si="2"/>
        <v/>
      </c>
      <c r="AE88" s="50" t="str">
        <f t="shared" si="3"/>
        <v/>
      </c>
    </row>
    <row r="89" customHeight="1" spans="1:31">
      <c r="A89" s="49"/>
      <c r="B89" s="49"/>
      <c r="C89" s="27"/>
      <c r="D89" s="50"/>
      <c r="E89" s="51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1" t="str">
        <f t="shared" si="2"/>
        <v/>
      </c>
      <c r="AE89" s="50" t="str">
        <f t="shared" si="3"/>
        <v/>
      </c>
    </row>
    <row r="90" customHeight="1" spans="1:31">
      <c r="A90" s="49"/>
      <c r="B90" s="49"/>
      <c r="C90" s="27"/>
      <c r="D90" s="50"/>
      <c r="E90" s="51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1" t="str">
        <f t="shared" si="2"/>
        <v/>
      </c>
      <c r="AE90" s="50" t="str">
        <f t="shared" si="3"/>
        <v/>
      </c>
    </row>
    <row r="91" customHeight="1" spans="1:31">
      <c r="A91" s="49"/>
      <c r="B91" s="49"/>
      <c r="C91" s="27"/>
      <c r="D91" s="50"/>
      <c r="E91" s="51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1" t="str">
        <f t="shared" si="2"/>
        <v/>
      </c>
      <c r="AE91" s="50" t="str">
        <f t="shared" si="3"/>
        <v/>
      </c>
    </row>
    <row r="92" customHeight="1" spans="1:31">
      <c r="A92" s="49"/>
      <c r="B92" s="49"/>
      <c r="C92" s="27"/>
      <c r="D92" s="50"/>
      <c r="E92" s="51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1" t="str">
        <f t="shared" si="2"/>
        <v/>
      </c>
      <c r="AE92" s="50" t="str">
        <f t="shared" si="3"/>
        <v/>
      </c>
    </row>
    <row r="93" customHeight="1" spans="1:31">
      <c r="A93" s="49"/>
      <c r="B93" s="49"/>
      <c r="C93" s="23"/>
      <c r="D93" s="50"/>
      <c r="E93" s="51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1" t="str">
        <f t="shared" si="2"/>
        <v/>
      </c>
      <c r="AE93" s="50" t="str">
        <f t="shared" si="3"/>
        <v/>
      </c>
    </row>
    <row r="94" customHeight="1" spans="1:31">
      <c r="A94" s="49"/>
      <c r="B94" s="49"/>
      <c r="C94" s="26"/>
      <c r="D94" s="50"/>
      <c r="E94" s="51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1" t="str">
        <f t="shared" si="2"/>
        <v/>
      </c>
      <c r="AE94" s="50" t="str">
        <f t="shared" si="3"/>
        <v/>
      </c>
    </row>
    <row r="95" customHeight="1" spans="1:31">
      <c r="A95" s="49"/>
      <c r="B95" s="49"/>
      <c r="C95" s="23"/>
      <c r="D95" s="50"/>
      <c r="E95" s="51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1" t="str">
        <f t="shared" si="2"/>
        <v/>
      </c>
      <c r="AE95" s="50" t="str">
        <f t="shared" si="3"/>
        <v/>
      </c>
    </row>
    <row r="96" customHeight="1" spans="1:31">
      <c r="A96" s="49"/>
      <c r="B96" s="49"/>
      <c r="C96" s="23"/>
      <c r="D96" s="50"/>
      <c r="E96" s="51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1" t="str">
        <f t="shared" si="2"/>
        <v/>
      </c>
      <c r="AE96" s="50" t="str">
        <f t="shared" si="3"/>
        <v/>
      </c>
    </row>
    <row r="97" customHeight="1" spans="1:31">
      <c r="A97" s="49"/>
      <c r="B97" s="49"/>
      <c r="C97" s="23"/>
      <c r="D97" s="50"/>
      <c r="E97" s="51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1" t="str">
        <f t="shared" si="2"/>
        <v/>
      </c>
      <c r="AE97" s="50" t="str">
        <f t="shared" si="3"/>
        <v/>
      </c>
    </row>
    <row r="98" customHeight="1" spans="1:31">
      <c r="A98" s="49"/>
      <c r="B98" s="49"/>
      <c r="C98" s="23"/>
      <c r="D98" s="50"/>
      <c r="E98" s="51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1" t="str">
        <f t="shared" si="2"/>
        <v/>
      </c>
      <c r="AE98" s="50" t="str">
        <f t="shared" si="3"/>
        <v/>
      </c>
    </row>
    <row r="99" customHeight="1" spans="1:31">
      <c r="A99" s="49"/>
      <c r="B99" s="49"/>
      <c r="C99" s="23"/>
      <c r="D99" s="50"/>
      <c r="E99" s="51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1" t="str">
        <f t="shared" si="2"/>
        <v/>
      </c>
      <c r="AE99" s="50" t="str">
        <f t="shared" si="3"/>
        <v/>
      </c>
    </row>
    <row r="100" customHeight="1" spans="1:31">
      <c r="A100" s="49"/>
      <c r="B100" s="49"/>
      <c r="C100" s="23"/>
      <c r="D100" s="50"/>
      <c r="E100" s="51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1" t="str">
        <f t="shared" si="2"/>
        <v/>
      </c>
      <c r="AE100" s="50" t="str">
        <f t="shared" si="3"/>
        <v/>
      </c>
    </row>
    <row r="101" customHeight="1" spans="1:31">
      <c r="A101" s="49"/>
      <c r="B101" s="49"/>
      <c r="C101" s="23"/>
      <c r="D101" s="50"/>
      <c r="E101" s="51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1" t="str">
        <f t="shared" si="2"/>
        <v/>
      </c>
      <c r="AE101" s="50" t="str">
        <f t="shared" si="3"/>
        <v/>
      </c>
    </row>
    <row r="102" customHeight="1" spans="1:31">
      <c r="A102" s="49"/>
      <c r="B102" s="49"/>
      <c r="C102" s="23"/>
      <c r="D102" s="50"/>
      <c r="E102" s="51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1" t="str">
        <f t="shared" si="2"/>
        <v/>
      </c>
      <c r="AE102" s="50" t="str">
        <f t="shared" si="3"/>
        <v/>
      </c>
    </row>
    <row r="103" customHeight="1" spans="1:31">
      <c r="A103" s="49"/>
      <c r="B103" s="49"/>
      <c r="C103" s="23"/>
      <c r="D103" s="50"/>
      <c r="E103" s="51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1" t="str">
        <f t="shared" si="2"/>
        <v/>
      </c>
      <c r="AE103" s="50" t="str">
        <f t="shared" si="3"/>
        <v/>
      </c>
    </row>
    <row r="104" customHeight="1" spans="1:31">
      <c r="A104" s="49"/>
      <c r="B104" s="49"/>
      <c r="C104" s="23"/>
      <c r="D104" s="50"/>
      <c r="E104" s="51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1" t="str">
        <f t="shared" si="2"/>
        <v/>
      </c>
      <c r="AE104" s="50" t="str">
        <f t="shared" si="3"/>
        <v/>
      </c>
    </row>
    <row r="105" customHeight="1" spans="1:31">
      <c r="A105" s="49"/>
      <c r="B105" s="49"/>
      <c r="C105" s="23"/>
      <c r="D105" s="50"/>
      <c r="E105" s="51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1" t="str">
        <f t="shared" si="2"/>
        <v/>
      </c>
      <c r="AE105" s="50" t="str">
        <f t="shared" si="3"/>
        <v/>
      </c>
    </row>
    <row r="106" customHeight="1" spans="1:31">
      <c r="A106" s="49"/>
      <c r="B106" s="49"/>
      <c r="C106" s="26"/>
      <c r="D106" s="50"/>
      <c r="E106" s="51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1" t="str">
        <f t="shared" si="2"/>
        <v/>
      </c>
      <c r="AE106" s="50" t="str">
        <f t="shared" si="3"/>
        <v/>
      </c>
    </row>
    <row r="107" customHeight="1" spans="1:31">
      <c r="A107" s="49"/>
      <c r="B107" s="49"/>
      <c r="C107" s="26"/>
      <c r="D107" s="50"/>
      <c r="E107" s="51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1" t="str">
        <f t="shared" si="2"/>
        <v/>
      </c>
      <c r="AE107" s="50" t="str">
        <f t="shared" si="3"/>
        <v/>
      </c>
    </row>
    <row r="108" customHeight="1" spans="1:31">
      <c r="A108" s="49"/>
      <c r="B108" s="49"/>
      <c r="C108" s="23"/>
      <c r="D108" s="50"/>
      <c r="E108" s="51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1" t="str">
        <f t="shared" si="2"/>
        <v/>
      </c>
      <c r="AE108" s="50" t="str">
        <f t="shared" si="3"/>
        <v/>
      </c>
    </row>
    <row r="109" customHeight="1" spans="1:31">
      <c r="A109" s="49"/>
      <c r="B109" s="49"/>
      <c r="C109" s="26"/>
      <c r="D109" s="50"/>
      <c r="E109" s="51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1" t="str">
        <f t="shared" si="2"/>
        <v/>
      </c>
      <c r="AE109" s="50" t="str">
        <f t="shared" si="3"/>
        <v/>
      </c>
    </row>
    <row r="110" customHeight="1" spans="1:31">
      <c r="A110" s="49"/>
      <c r="B110" s="49"/>
      <c r="C110" s="26"/>
      <c r="D110" s="50"/>
      <c r="E110" s="51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1" t="str">
        <f t="shared" si="2"/>
        <v/>
      </c>
      <c r="AE110" s="50" t="str">
        <f t="shared" si="3"/>
        <v/>
      </c>
    </row>
    <row r="111" customHeight="1" spans="1:31">
      <c r="A111" s="49"/>
      <c r="B111" s="49"/>
      <c r="C111" s="23"/>
      <c r="D111" s="50"/>
      <c r="E111" s="51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1" t="str">
        <f t="shared" si="2"/>
        <v/>
      </c>
      <c r="AE111" s="50" t="str">
        <f t="shared" si="3"/>
        <v/>
      </c>
    </row>
    <row r="112" customHeight="1" spans="1:31">
      <c r="A112" s="49"/>
      <c r="B112" s="49"/>
      <c r="C112" s="23"/>
      <c r="D112" s="50"/>
      <c r="E112" s="51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1" t="str">
        <f t="shared" si="2"/>
        <v/>
      </c>
      <c r="AE112" s="50" t="str">
        <f t="shared" si="3"/>
        <v/>
      </c>
    </row>
    <row r="113" customHeight="1" spans="1:31">
      <c r="A113" s="49"/>
      <c r="B113" s="49"/>
      <c r="C113" s="23"/>
      <c r="D113" s="50"/>
      <c r="E113" s="51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1" t="str">
        <f t="shared" si="2"/>
        <v/>
      </c>
      <c r="AE113" s="50" t="str">
        <f t="shared" si="3"/>
        <v/>
      </c>
    </row>
    <row r="114" customHeight="1" spans="1:31">
      <c r="A114" s="49"/>
      <c r="B114" s="49"/>
      <c r="C114" s="26"/>
      <c r="D114" s="50"/>
      <c r="E114" s="51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1" t="str">
        <f t="shared" si="2"/>
        <v/>
      </c>
      <c r="AE114" s="50" t="str">
        <f t="shared" si="3"/>
        <v/>
      </c>
    </row>
    <row r="115" customHeight="1" spans="1:31">
      <c r="A115" s="49"/>
      <c r="B115" s="49"/>
      <c r="C115" s="26"/>
      <c r="D115" s="50"/>
      <c r="E115" s="51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1" t="str">
        <f t="shared" si="2"/>
        <v/>
      </c>
      <c r="AE115" s="50" t="str">
        <f t="shared" si="3"/>
        <v/>
      </c>
    </row>
    <row r="116" customHeight="1" spans="1:31">
      <c r="A116" s="49"/>
      <c r="B116" s="49"/>
      <c r="C116" s="26"/>
      <c r="D116" s="50"/>
      <c r="E116" s="51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1" t="str">
        <f t="shared" si="2"/>
        <v/>
      </c>
      <c r="AE116" s="50" t="str">
        <f t="shared" si="3"/>
        <v/>
      </c>
    </row>
    <row r="117" customHeight="1" spans="1:31">
      <c r="A117" s="49"/>
      <c r="B117" s="49"/>
      <c r="C117" s="20"/>
      <c r="D117" s="50"/>
      <c r="E117" s="51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1" t="str">
        <f t="shared" si="2"/>
        <v/>
      </c>
      <c r="AE117" s="50" t="str">
        <f t="shared" si="3"/>
        <v/>
      </c>
    </row>
    <row r="118" customHeight="1" spans="1:31">
      <c r="A118" s="49"/>
      <c r="B118" s="49"/>
      <c r="C118" s="26"/>
      <c r="D118" s="50"/>
      <c r="E118" s="51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1" t="str">
        <f t="shared" si="2"/>
        <v/>
      </c>
      <c r="AE118" s="50" t="str">
        <f t="shared" si="3"/>
        <v/>
      </c>
    </row>
    <row r="119" customHeight="1" spans="1:31">
      <c r="A119" s="49"/>
      <c r="B119" s="49"/>
      <c r="C119" s="26"/>
      <c r="D119" s="50"/>
      <c r="E119" s="51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1" t="str">
        <f t="shared" si="2"/>
        <v/>
      </c>
      <c r="AE119" s="50" t="str">
        <f t="shared" si="3"/>
        <v/>
      </c>
    </row>
    <row r="120" customHeight="1" spans="1:31">
      <c r="A120" s="49"/>
      <c r="B120" s="49"/>
      <c r="C120" s="23"/>
      <c r="D120" s="50"/>
      <c r="E120" s="51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1" t="str">
        <f t="shared" si="2"/>
        <v/>
      </c>
      <c r="AE120" s="50" t="str">
        <f t="shared" si="3"/>
        <v/>
      </c>
    </row>
    <row r="121" customHeight="1" spans="1:31">
      <c r="A121" s="49"/>
      <c r="B121" s="49"/>
      <c r="C121" s="23"/>
      <c r="D121" s="50"/>
      <c r="E121" s="51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1" t="str">
        <f t="shared" si="2"/>
        <v/>
      </c>
      <c r="AE121" s="50" t="str">
        <f t="shared" si="3"/>
        <v/>
      </c>
    </row>
    <row r="122" customHeight="1" spans="1:31">
      <c r="A122" s="49"/>
      <c r="B122" s="49"/>
      <c r="C122" s="23"/>
      <c r="D122" s="50"/>
      <c r="E122" s="51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1" t="str">
        <f t="shared" si="2"/>
        <v/>
      </c>
      <c r="AE122" s="50" t="str">
        <f t="shared" si="3"/>
        <v/>
      </c>
    </row>
    <row r="123" customHeight="1" spans="1:31">
      <c r="A123" s="49"/>
      <c r="B123" s="49"/>
      <c r="C123" s="23"/>
      <c r="D123" s="50"/>
      <c r="E123" s="51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1" t="str">
        <f t="shared" si="2"/>
        <v/>
      </c>
      <c r="AE123" s="50" t="str">
        <f t="shared" si="3"/>
        <v/>
      </c>
    </row>
    <row r="124" customHeight="1" spans="1:31">
      <c r="A124" s="49"/>
      <c r="B124" s="49"/>
      <c r="C124" s="26"/>
      <c r="D124" s="50"/>
      <c r="E124" s="51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1" t="str">
        <f t="shared" si="2"/>
        <v/>
      </c>
      <c r="AE124" s="50" t="str">
        <f t="shared" si="3"/>
        <v/>
      </c>
    </row>
    <row r="125" customHeight="1" spans="1:31">
      <c r="A125" s="49"/>
      <c r="B125" s="49"/>
      <c r="C125" s="26"/>
      <c r="D125" s="50"/>
      <c r="E125" s="51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1" t="str">
        <f t="shared" si="2"/>
        <v/>
      </c>
      <c r="AE125" s="50" t="str">
        <f t="shared" si="3"/>
        <v/>
      </c>
    </row>
    <row r="126" customHeight="1" spans="1:31">
      <c r="A126" s="49"/>
      <c r="B126" s="49"/>
      <c r="C126" s="26"/>
      <c r="D126" s="50"/>
      <c r="E126" s="51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1" t="str">
        <f t="shared" si="2"/>
        <v/>
      </c>
      <c r="AE126" s="50" t="str">
        <f t="shared" si="3"/>
        <v/>
      </c>
    </row>
    <row r="127" customHeight="1" spans="1:31">
      <c r="A127" s="49"/>
      <c r="B127" s="49"/>
      <c r="C127" s="26"/>
      <c r="D127" s="50"/>
      <c r="E127" s="51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1" t="str">
        <f t="shared" si="2"/>
        <v/>
      </c>
      <c r="AE127" s="50" t="str">
        <f t="shared" si="3"/>
        <v/>
      </c>
    </row>
    <row r="128" customHeight="1" spans="1:31">
      <c r="A128" s="49"/>
      <c r="B128" s="49"/>
      <c r="C128" s="26"/>
      <c r="D128" s="50"/>
      <c r="E128" s="51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1" t="str">
        <f t="shared" si="2"/>
        <v/>
      </c>
      <c r="AE128" s="50" t="str">
        <f t="shared" si="3"/>
        <v/>
      </c>
    </row>
    <row r="129" customHeight="1" spans="1:31">
      <c r="A129" s="49"/>
      <c r="B129" s="49"/>
      <c r="C129" s="26"/>
      <c r="D129" s="50"/>
      <c r="E129" s="51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1" t="str">
        <f t="shared" si="2"/>
        <v/>
      </c>
      <c r="AE129" s="50" t="str">
        <f t="shared" si="3"/>
        <v/>
      </c>
    </row>
    <row r="130" customHeight="1" spans="1:31">
      <c r="A130" s="49"/>
      <c r="B130" s="49"/>
      <c r="C130" s="26"/>
      <c r="D130" s="50"/>
      <c r="E130" s="51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1" t="str">
        <f t="shared" si="2"/>
        <v/>
      </c>
      <c r="AE130" s="50" t="str">
        <f t="shared" si="3"/>
        <v/>
      </c>
    </row>
    <row r="131" customHeight="1" spans="1:31">
      <c r="A131" s="49"/>
      <c r="B131" s="49"/>
      <c r="C131" s="26"/>
      <c r="D131" s="50"/>
      <c r="E131" s="51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1" t="str">
        <f t="shared" ref="AD131:AD194" si="4">IF(C131="","",IF($AC131="是",D131-(G131+H131+I131+J131+K131+T131),D131-(G131+H131+I131+J131+K131+F131)))</f>
        <v/>
      </c>
      <c r="AE131" s="50" t="str">
        <f t="shared" ref="AE131:AE194" si="5">IF(C131="","",IF(ROUND(E131,0)=ROUND(AD131,0),"√","×"))</f>
        <v/>
      </c>
    </row>
    <row r="132" customHeight="1" spans="1:31">
      <c r="A132" s="49"/>
      <c r="B132" s="49"/>
      <c r="C132" s="26"/>
      <c r="D132" s="50"/>
      <c r="E132" s="51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1" t="str">
        <f t="shared" si="4"/>
        <v/>
      </c>
      <c r="AE132" s="50" t="str">
        <f t="shared" si="5"/>
        <v/>
      </c>
    </row>
    <row r="133" customHeight="1" spans="1:31">
      <c r="A133" s="49"/>
      <c r="B133" s="49"/>
      <c r="C133" s="26"/>
      <c r="D133" s="50"/>
      <c r="E133" s="51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1" t="str">
        <f t="shared" si="4"/>
        <v/>
      </c>
      <c r="AE133" s="50" t="str">
        <f t="shared" si="5"/>
        <v/>
      </c>
    </row>
    <row r="134" customHeight="1" spans="1:31">
      <c r="A134" s="49"/>
      <c r="B134" s="49"/>
      <c r="C134" s="26"/>
      <c r="D134" s="50"/>
      <c r="E134" s="51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1" t="str">
        <f t="shared" si="4"/>
        <v/>
      </c>
      <c r="AE134" s="50" t="str">
        <f t="shared" si="5"/>
        <v/>
      </c>
    </row>
    <row r="135" customHeight="1" spans="1:31">
      <c r="A135" s="49"/>
      <c r="B135" s="49"/>
      <c r="C135" s="26"/>
      <c r="D135" s="50"/>
      <c r="E135" s="51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1" t="str">
        <f t="shared" si="4"/>
        <v/>
      </c>
      <c r="AE135" s="50" t="str">
        <f t="shared" si="5"/>
        <v/>
      </c>
    </row>
    <row r="136" customHeight="1" spans="1:31">
      <c r="A136" s="49"/>
      <c r="B136" s="49"/>
      <c r="C136" s="26"/>
      <c r="D136" s="50"/>
      <c r="E136" s="51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1" t="str">
        <f t="shared" si="4"/>
        <v/>
      </c>
      <c r="AE136" s="50" t="str">
        <f t="shared" si="5"/>
        <v/>
      </c>
    </row>
    <row r="137" customHeight="1" spans="1:31">
      <c r="A137" s="49"/>
      <c r="B137" s="49"/>
      <c r="C137" s="23"/>
      <c r="D137" s="50"/>
      <c r="E137" s="51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1" t="str">
        <f t="shared" si="4"/>
        <v/>
      </c>
      <c r="AE137" s="50" t="str">
        <f t="shared" si="5"/>
        <v/>
      </c>
    </row>
    <row r="138" customHeight="1" spans="1:31">
      <c r="A138" s="49"/>
      <c r="B138" s="49"/>
      <c r="C138" s="26"/>
      <c r="D138" s="50"/>
      <c r="E138" s="51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1" t="str">
        <f t="shared" si="4"/>
        <v/>
      </c>
      <c r="AE138" s="50" t="str">
        <f t="shared" si="5"/>
        <v/>
      </c>
    </row>
    <row r="139" customHeight="1" spans="1:31">
      <c r="A139" s="49"/>
      <c r="B139" s="49"/>
      <c r="C139" s="23"/>
      <c r="D139" s="50"/>
      <c r="E139" s="51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1" t="str">
        <f t="shared" si="4"/>
        <v/>
      </c>
      <c r="AE139" s="50" t="str">
        <f t="shared" si="5"/>
        <v/>
      </c>
    </row>
    <row r="140" customHeight="1" spans="1:31">
      <c r="A140" s="49"/>
      <c r="B140" s="49"/>
      <c r="C140" s="23"/>
      <c r="D140" s="50"/>
      <c r="E140" s="51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1" t="str">
        <f t="shared" si="4"/>
        <v/>
      </c>
      <c r="AE140" s="50" t="str">
        <f t="shared" si="5"/>
        <v/>
      </c>
    </row>
    <row r="141" customHeight="1" spans="1:31">
      <c r="A141" s="49"/>
      <c r="B141" s="49"/>
      <c r="C141" s="23"/>
      <c r="D141" s="50"/>
      <c r="E141" s="51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1" t="str">
        <f t="shared" si="4"/>
        <v/>
      </c>
      <c r="AE141" s="50" t="str">
        <f t="shared" si="5"/>
        <v/>
      </c>
    </row>
    <row r="142" customHeight="1" spans="1:31">
      <c r="A142" s="49"/>
      <c r="B142" s="49"/>
      <c r="C142" s="23"/>
      <c r="D142" s="50"/>
      <c r="E142" s="51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1" t="str">
        <f t="shared" si="4"/>
        <v/>
      </c>
      <c r="AE142" s="50" t="str">
        <f t="shared" si="5"/>
        <v/>
      </c>
    </row>
    <row r="143" customHeight="1" spans="1:31">
      <c r="A143" s="49"/>
      <c r="B143" s="49"/>
      <c r="C143" s="20"/>
      <c r="D143" s="50"/>
      <c r="E143" s="51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1" t="str">
        <f t="shared" si="4"/>
        <v/>
      </c>
      <c r="AE143" s="50" t="str">
        <f t="shared" si="5"/>
        <v/>
      </c>
    </row>
    <row r="144" customHeight="1" spans="1:31">
      <c r="A144" s="49"/>
      <c r="B144" s="49"/>
      <c r="C144" s="23"/>
      <c r="D144" s="50"/>
      <c r="E144" s="51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1" t="str">
        <f t="shared" si="4"/>
        <v/>
      </c>
      <c r="AE144" s="50" t="str">
        <f t="shared" si="5"/>
        <v/>
      </c>
    </row>
    <row r="145" customHeight="1" spans="1:31">
      <c r="A145" s="49"/>
      <c r="B145" s="49"/>
      <c r="C145" s="23"/>
      <c r="D145" s="50"/>
      <c r="E145" s="51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1" t="str">
        <f t="shared" si="4"/>
        <v/>
      </c>
      <c r="AE145" s="50" t="str">
        <f t="shared" si="5"/>
        <v/>
      </c>
    </row>
    <row r="146" customHeight="1" spans="1:31">
      <c r="A146" s="49"/>
      <c r="B146" s="49"/>
      <c r="C146" s="23"/>
      <c r="D146" s="50"/>
      <c r="E146" s="51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1" t="str">
        <f t="shared" si="4"/>
        <v/>
      </c>
      <c r="AE146" s="50" t="str">
        <f t="shared" si="5"/>
        <v/>
      </c>
    </row>
    <row r="147" customHeight="1" spans="1:31">
      <c r="A147" s="49"/>
      <c r="B147" s="49"/>
      <c r="C147" s="23"/>
      <c r="D147" s="50"/>
      <c r="E147" s="51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1" t="str">
        <f t="shared" si="4"/>
        <v/>
      </c>
      <c r="AE147" s="50" t="str">
        <f t="shared" si="5"/>
        <v/>
      </c>
    </row>
    <row r="148" customHeight="1" spans="1:31">
      <c r="A148" s="49"/>
      <c r="B148" s="49"/>
      <c r="C148" s="23"/>
      <c r="D148" s="50"/>
      <c r="E148" s="51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1" t="str">
        <f t="shared" si="4"/>
        <v/>
      </c>
      <c r="AE148" s="50" t="str">
        <f t="shared" si="5"/>
        <v/>
      </c>
    </row>
    <row r="149" customHeight="1" spans="1:31">
      <c r="A149" s="49"/>
      <c r="B149" s="49"/>
      <c r="C149" s="23"/>
      <c r="D149" s="50"/>
      <c r="E149" s="51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1" t="str">
        <f t="shared" si="4"/>
        <v/>
      </c>
      <c r="AE149" s="50" t="str">
        <f t="shared" si="5"/>
        <v/>
      </c>
    </row>
    <row r="150" customHeight="1" spans="1:31">
      <c r="A150" s="49"/>
      <c r="B150" s="49"/>
      <c r="C150" s="23"/>
      <c r="D150" s="50"/>
      <c r="E150" s="51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1" t="str">
        <f t="shared" si="4"/>
        <v/>
      </c>
      <c r="AE150" s="50" t="str">
        <f t="shared" si="5"/>
        <v/>
      </c>
    </row>
    <row r="151" customHeight="1" spans="1:31">
      <c r="A151" s="49"/>
      <c r="B151" s="49"/>
      <c r="C151" s="23"/>
      <c r="D151" s="50"/>
      <c r="E151" s="51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1" t="str">
        <f t="shared" si="4"/>
        <v/>
      </c>
      <c r="AE151" s="50" t="str">
        <f t="shared" si="5"/>
        <v/>
      </c>
    </row>
    <row r="152" customHeight="1" spans="1:31">
      <c r="A152" s="49"/>
      <c r="B152" s="49"/>
      <c r="C152" s="23"/>
      <c r="D152" s="50"/>
      <c r="E152" s="51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1" t="str">
        <f t="shared" si="4"/>
        <v/>
      </c>
      <c r="AE152" s="50" t="str">
        <f t="shared" si="5"/>
        <v/>
      </c>
    </row>
    <row r="153" customHeight="1" spans="1:31">
      <c r="A153" s="49"/>
      <c r="B153" s="49"/>
      <c r="C153" s="23"/>
      <c r="D153" s="50"/>
      <c r="E153" s="51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1" t="str">
        <f t="shared" si="4"/>
        <v/>
      </c>
      <c r="AE153" s="50" t="str">
        <f t="shared" si="5"/>
        <v/>
      </c>
    </row>
    <row r="154" customHeight="1" spans="1:31">
      <c r="A154" s="49"/>
      <c r="B154" s="49"/>
      <c r="C154" s="23"/>
      <c r="D154" s="50"/>
      <c r="E154" s="51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1" t="str">
        <f t="shared" si="4"/>
        <v/>
      </c>
      <c r="AE154" s="50" t="str">
        <f t="shared" si="5"/>
        <v/>
      </c>
    </row>
    <row r="155" customHeight="1" spans="1:31">
      <c r="A155" s="49"/>
      <c r="B155" s="49"/>
      <c r="C155" s="23"/>
      <c r="D155" s="50"/>
      <c r="E155" s="51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1" t="str">
        <f t="shared" si="4"/>
        <v/>
      </c>
      <c r="AE155" s="50" t="str">
        <f t="shared" si="5"/>
        <v/>
      </c>
    </row>
    <row r="156" customHeight="1" spans="1:31">
      <c r="A156" s="49"/>
      <c r="B156" s="49"/>
      <c r="C156" s="23"/>
      <c r="D156" s="50"/>
      <c r="E156" s="51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1" t="str">
        <f t="shared" si="4"/>
        <v/>
      </c>
      <c r="AE156" s="50" t="str">
        <f t="shared" si="5"/>
        <v/>
      </c>
    </row>
    <row r="157" customHeight="1" spans="1:31">
      <c r="A157" s="49"/>
      <c r="B157" s="49"/>
      <c r="C157" s="23"/>
      <c r="D157" s="50"/>
      <c r="E157" s="51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1" t="str">
        <f t="shared" si="4"/>
        <v/>
      </c>
      <c r="AE157" s="50" t="str">
        <f t="shared" si="5"/>
        <v/>
      </c>
    </row>
    <row r="158" customHeight="1" spans="1:31">
      <c r="A158" s="49"/>
      <c r="B158" s="49"/>
      <c r="C158" s="23"/>
      <c r="D158" s="50"/>
      <c r="E158" s="51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1" t="str">
        <f t="shared" si="4"/>
        <v/>
      </c>
      <c r="AE158" s="50" t="str">
        <f t="shared" si="5"/>
        <v/>
      </c>
    </row>
    <row r="159" customHeight="1" spans="1:31">
      <c r="A159" s="49"/>
      <c r="B159" s="49"/>
      <c r="C159" s="23"/>
      <c r="D159" s="50"/>
      <c r="E159" s="51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1" t="str">
        <f t="shared" si="4"/>
        <v/>
      </c>
      <c r="AE159" s="50" t="str">
        <f t="shared" si="5"/>
        <v/>
      </c>
    </row>
    <row r="160" customHeight="1" spans="1:31">
      <c r="A160" s="49"/>
      <c r="B160" s="49"/>
      <c r="C160" s="23"/>
      <c r="D160" s="50"/>
      <c r="E160" s="51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1" t="str">
        <f t="shared" si="4"/>
        <v/>
      </c>
      <c r="AE160" s="50" t="str">
        <f t="shared" si="5"/>
        <v/>
      </c>
    </row>
    <row r="161" customHeight="1" spans="1:31">
      <c r="A161" s="49"/>
      <c r="B161" s="49"/>
      <c r="C161" s="23"/>
      <c r="D161" s="50"/>
      <c r="E161" s="51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1" t="str">
        <f t="shared" si="4"/>
        <v/>
      </c>
      <c r="AE161" s="50" t="str">
        <f t="shared" si="5"/>
        <v/>
      </c>
    </row>
    <row r="162" customHeight="1" spans="1:31">
      <c r="A162" s="49"/>
      <c r="B162" s="49"/>
      <c r="C162" s="23"/>
      <c r="D162" s="50"/>
      <c r="E162" s="51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1" t="str">
        <f t="shared" si="4"/>
        <v/>
      </c>
      <c r="AE162" s="50" t="str">
        <f t="shared" si="5"/>
        <v/>
      </c>
    </row>
    <row r="163" customHeight="1" spans="1:31">
      <c r="A163" s="49"/>
      <c r="B163" s="49"/>
      <c r="C163" s="23"/>
      <c r="D163" s="50"/>
      <c r="E163" s="51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1" t="str">
        <f t="shared" si="4"/>
        <v/>
      </c>
      <c r="AE163" s="50" t="str">
        <f t="shared" si="5"/>
        <v/>
      </c>
    </row>
    <row r="164" customHeight="1" spans="1:31">
      <c r="A164" s="49"/>
      <c r="B164" s="49"/>
      <c r="C164" s="23"/>
      <c r="D164" s="50"/>
      <c r="E164" s="51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1" t="str">
        <f t="shared" si="4"/>
        <v/>
      </c>
      <c r="AE164" s="50" t="str">
        <f t="shared" si="5"/>
        <v/>
      </c>
    </row>
    <row r="165" customHeight="1" spans="1:31">
      <c r="A165" s="49"/>
      <c r="B165" s="49"/>
      <c r="C165" s="23"/>
      <c r="D165" s="50"/>
      <c r="E165" s="51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1" t="str">
        <f t="shared" si="4"/>
        <v/>
      </c>
      <c r="AE165" s="50" t="str">
        <f t="shared" si="5"/>
        <v/>
      </c>
    </row>
    <row r="166" customHeight="1" spans="1:31">
      <c r="A166" s="49"/>
      <c r="B166" s="49"/>
      <c r="C166" s="23"/>
      <c r="D166" s="50"/>
      <c r="E166" s="51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1" t="str">
        <f t="shared" si="4"/>
        <v/>
      </c>
      <c r="AE166" s="50" t="str">
        <f t="shared" si="5"/>
        <v/>
      </c>
    </row>
    <row r="167" customHeight="1" spans="1:31">
      <c r="A167" s="49"/>
      <c r="B167" s="49"/>
      <c r="C167" s="23"/>
      <c r="D167" s="50"/>
      <c r="E167" s="51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1" t="str">
        <f t="shared" si="4"/>
        <v/>
      </c>
      <c r="AE167" s="50" t="str">
        <f t="shared" si="5"/>
        <v/>
      </c>
    </row>
    <row r="168" customHeight="1" spans="1:31">
      <c r="A168" s="49"/>
      <c r="B168" s="49"/>
      <c r="C168" s="23"/>
      <c r="D168" s="50"/>
      <c r="E168" s="51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1" t="str">
        <f t="shared" si="4"/>
        <v/>
      </c>
      <c r="AE168" s="50" t="str">
        <f t="shared" si="5"/>
        <v/>
      </c>
    </row>
    <row r="169" customHeight="1" spans="1:31">
      <c r="A169" s="49"/>
      <c r="B169" s="49"/>
      <c r="C169" s="23"/>
      <c r="D169" s="50"/>
      <c r="E169" s="51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1" t="str">
        <f t="shared" si="4"/>
        <v/>
      </c>
      <c r="AE169" s="50" t="str">
        <f t="shared" si="5"/>
        <v/>
      </c>
    </row>
    <row r="170" customHeight="1" spans="1:31">
      <c r="A170" s="49"/>
      <c r="B170" s="49"/>
      <c r="C170" s="23"/>
      <c r="D170" s="50"/>
      <c r="E170" s="51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1" t="str">
        <f t="shared" si="4"/>
        <v/>
      </c>
      <c r="AE170" s="50" t="str">
        <f t="shared" si="5"/>
        <v/>
      </c>
    </row>
    <row r="171" customHeight="1" spans="1:31">
      <c r="A171" s="49"/>
      <c r="B171" s="49"/>
      <c r="C171" s="23"/>
      <c r="D171" s="50"/>
      <c r="E171" s="51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1" t="str">
        <f t="shared" si="4"/>
        <v/>
      </c>
      <c r="AE171" s="50" t="str">
        <f t="shared" si="5"/>
        <v/>
      </c>
    </row>
    <row r="172" customHeight="1" spans="1:31">
      <c r="A172" s="49"/>
      <c r="B172" s="49"/>
      <c r="C172" s="23"/>
      <c r="D172" s="50"/>
      <c r="E172" s="51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1" t="str">
        <f t="shared" si="4"/>
        <v/>
      </c>
      <c r="AE172" s="50" t="str">
        <f t="shared" si="5"/>
        <v/>
      </c>
    </row>
    <row r="173" customHeight="1" spans="1:31">
      <c r="A173" s="49"/>
      <c r="B173" s="49"/>
      <c r="C173" s="23"/>
      <c r="D173" s="50"/>
      <c r="E173" s="51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1" t="str">
        <f t="shared" si="4"/>
        <v/>
      </c>
      <c r="AE173" s="50" t="str">
        <f t="shared" si="5"/>
        <v/>
      </c>
    </row>
    <row r="174" customHeight="1" spans="1:31">
      <c r="A174" s="49"/>
      <c r="B174" s="49"/>
      <c r="C174" s="23"/>
      <c r="D174" s="50"/>
      <c r="E174" s="51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1" t="str">
        <f t="shared" si="4"/>
        <v/>
      </c>
      <c r="AE174" s="50" t="str">
        <f t="shared" si="5"/>
        <v/>
      </c>
    </row>
    <row r="175" customHeight="1" spans="1:31">
      <c r="A175" s="49"/>
      <c r="B175" s="49"/>
      <c r="C175" s="23"/>
      <c r="D175" s="50"/>
      <c r="E175" s="51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1" t="str">
        <f t="shared" si="4"/>
        <v/>
      </c>
      <c r="AE175" s="50" t="str">
        <f t="shared" si="5"/>
        <v/>
      </c>
    </row>
    <row r="176" customHeight="1" spans="1:31">
      <c r="A176" s="49"/>
      <c r="B176" s="49"/>
      <c r="C176" s="23"/>
      <c r="D176" s="50"/>
      <c r="E176" s="51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1" t="str">
        <f t="shared" si="4"/>
        <v/>
      </c>
      <c r="AE176" s="50" t="str">
        <f t="shared" si="5"/>
        <v/>
      </c>
    </row>
    <row r="177" customHeight="1" spans="1:31">
      <c r="A177" s="49"/>
      <c r="B177" s="49"/>
      <c r="C177" s="23"/>
      <c r="D177" s="50"/>
      <c r="E177" s="51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1" t="str">
        <f t="shared" si="4"/>
        <v/>
      </c>
      <c r="AE177" s="50" t="str">
        <f t="shared" si="5"/>
        <v/>
      </c>
    </row>
    <row r="178" customHeight="1" spans="1:31">
      <c r="A178" s="49"/>
      <c r="B178" s="49"/>
      <c r="C178" s="23"/>
      <c r="D178" s="50"/>
      <c r="E178" s="51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1" t="str">
        <f t="shared" si="4"/>
        <v/>
      </c>
      <c r="AE178" s="50" t="str">
        <f t="shared" si="5"/>
        <v/>
      </c>
    </row>
    <row r="179" customHeight="1" spans="1:31">
      <c r="A179" s="49"/>
      <c r="B179" s="49"/>
      <c r="C179" s="23"/>
      <c r="D179" s="50"/>
      <c r="E179" s="51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1" t="str">
        <f t="shared" si="4"/>
        <v/>
      </c>
      <c r="AE179" s="50" t="str">
        <f t="shared" si="5"/>
        <v/>
      </c>
    </row>
    <row r="180" customHeight="1" spans="1:31">
      <c r="A180" s="49"/>
      <c r="B180" s="49"/>
      <c r="C180" s="23"/>
      <c r="D180" s="50"/>
      <c r="E180" s="51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1" t="str">
        <f t="shared" si="4"/>
        <v/>
      </c>
      <c r="AE180" s="50" t="str">
        <f t="shared" si="5"/>
        <v/>
      </c>
    </row>
    <row r="181" customHeight="1" spans="1:31">
      <c r="A181" s="49"/>
      <c r="B181" s="49"/>
      <c r="C181" s="23"/>
      <c r="D181" s="50"/>
      <c r="E181" s="51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1" t="str">
        <f t="shared" si="4"/>
        <v/>
      </c>
      <c r="AE181" s="50" t="str">
        <f t="shared" si="5"/>
        <v/>
      </c>
    </row>
    <row r="182" customHeight="1" spans="1:31">
      <c r="A182" s="49"/>
      <c r="B182" s="49"/>
      <c r="C182" s="23"/>
      <c r="D182" s="50"/>
      <c r="E182" s="51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1" t="str">
        <f t="shared" si="4"/>
        <v/>
      </c>
      <c r="AE182" s="50" t="str">
        <f t="shared" si="5"/>
        <v/>
      </c>
    </row>
    <row r="183" customHeight="1" spans="1:31">
      <c r="A183" s="49"/>
      <c r="B183" s="49"/>
      <c r="C183" s="23"/>
      <c r="D183" s="50"/>
      <c r="E183" s="51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1" t="str">
        <f t="shared" si="4"/>
        <v/>
      </c>
      <c r="AE183" s="50" t="str">
        <f t="shared" si="5"/>
        <v/>
      </c>
    </row>
    <row r="184" customHeight="1" spans="1:31">
      <c r="A184" s="49"/>
      <c r="B184" s="49"/>
      <c r="C184" s="23"/>
      <c r="D184" s="50"/>
      <c r="E184" s="51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1" t="str">
        <f t="shared" si="4"/>
        <v/>
      </c>
      <c r="AE184" s="50" t="str">
        <f t="shared" si="5"/>
        <v/>
      </c>
    </row>
    <row r="185" customHeight="1" spans="1:31">
      <c r="A185" s="49"/>
      <c r="B185" s="49"/>
      <c r="C185" s="23"/>
      <c r="D185" s="50"/>
      <c r="E185" s="51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1" t="str">
        <f t="shared" si="4"/>
        <v/>
      </c>
      <c r="AE185" s="50" t="str">
        <f t="shared" si="5"/>
        <v/>
      </c>
    </row>
    <row r="186" customHeight="1" spans="1:31">
      <c r="A186" s="49"/>
      <c r="B186" s="49"/>
      <c r="C186" s="23"/>
      <c r="D186" s="50"/>
      <c r="E186" s="51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1" t="str">
        <f t="shared" si="4"/>
        <v/>
      </c>
      <c r="AE186" s="50" t="str">
        <f t="shared" si="5"/>
        <v/>
      </c>
    </row>
    <row r="187" customHeight="1" spans="1:31">
      <c r="A187" s="49"/>
      <c r="B187" s="49"/>
      <c r="C187" s="23"/>
      <c r="D187" s="50"/>
      <c r="E187" s="51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1" t="str">
        <f t="shared" si="4"/>
        <v/>
      </c>
      <c r="AE187" s="50" t="str">
        <f t="shared" si="5"/>
        <v/>
      </c>
    </row>
    <row r="188" customHeight="1" spans="1:31">
      <c r="A188" s="49"/>
      <c r="B188" s="49"/>
      <c r="C188" s="23"/>
      <c r="D188" s="50"/>
      <c r="E188" s="51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1" t="str">
        <f t="shared" si="4"/>
        <v/>
      </c>
      <c r="AE188" s="50" t="str">
        <f t="shared" si="5"/>
        <v/>
      </c>
    </row>
    <row r="189" customHeight="1" spans="1:31">
      <c r="A189" s="49"/>
      <c r="B189" s="49"/>
      <c r="C189" s="23"/>
      <c r="D189" s="50"/>
      <c r="E189" s="51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1" t="str">
        <f t="shared" si="4"/>
        <v/>
      </c>
      <c r="AE189" s="50" t="str">
        <f t="shared" si="5"/>
        <v/>
      </c>
    </row>
    <row r="190" customHeight="1" spans="1:31">
      <c r="A190" s="49"/>
      <c r="B190" s="49"/>
      <c r="C190" s="23"/>
      <c r="D190" s="50"/>
      <c r="E190" s="51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1" t="str">
        <f t="shared" si="4"/>
        <v/>
      </c>
      <c r="AE190" s="50" t="str">
        <f t="shared" si="5"/>
        <v/>
      </c>
    </row>
    <row r="191" customHeight="1" spans="1:31">
      <c r="A191" s="49"/>
      <c r="B191" s="49"/>
      <c r="C191" s="23"/>
      <c r="D191" s="50"/>
      <c r="E191" s="51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1" t="str">
        <f t="shared" si="4"/>
        <v/>
      </c>
      <c r="AE191" s="50" t="str">
        <f t="shared" si="5"/>
        <v/>
      </c>
    </row>
    <row r="192" customHeight="1" spans="1:31">
      <c r="A192" s="49"/>
      <c r="B192" s="49"/>
      <c r="C192" s="23"/>
      <c r="D192" s="50"/>
      <c r="E192" s="51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1" t="str">
        <f t="shared" si="4"/>
        <v/>
      </c>
      <c r="AE192" s="50" t="str">
        <f t="shared" si="5"/>
        <v/>
      </c>
    </row>
    <row r="193" customHeight="1" spans="1:31">
      <c r="A193" s="49"/>
      <c r="B193" s="49"/>
      <c r="C193" s="23"/>
      <c r="D193" s="50"/>
      <c r="E193" s="51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1" t="str">
        <f t="shared" si="4"/>
        <v/>
      </c>
      <c r="AE193" s="50" t="str">
        <f t="shared" si="5"/>
        <v/>
      </c>
    </row>
    <row r="194" customHeight="1" spans="1:31">
      <c r="A194" s="49"/>
      <c r="B194" s="49"/>
      <c r="C194" s="23"/>
      <c r="D194" s="50"/>
      <c r="E194" s="51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1" t="str">
        <f t="shared" si="4"/>
        <v/>
      </c>
      <c r="AE194" s="50" t="str">
        <f t="shared" si="5"/>
        <v/>
      </c>
    </row>
    <row r="195" customHeight="1" spans="1:31">
      <c r="A195" s="49"/>
      <c r="B195" s="49"/>
      <c r="C195" s="23"/>
      <c r="D195" s="50"/>
      <c r="E195" s="51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1" t="str">
        <f t="shared" ref="AD195:AD258" si="6">IF(C195="","",IF($AC195="是",D195-(G195+H195+I195+J195+K195+T195),D195-(G195+H195+I195+J195+K195+F195)))</f>
        <v/>
      </c>
      <c r="AE195" s="50" t="str">
        <f t="shared" ref="AE195:AE258" si="7">IF(C195="","",IF(ROUND(E195,0)=ROUND(AD195,0),"√","×"))</f>
        <v/>
      </c>
    </row>
    <row r="196" customHeight="1" spans="1:31">
      <c r="A196" s="49"/>
      <c r="B196" s="49"/>
      <c r="C196" s="23"/>
      <c r="D196" s="50"/>
      <c r="E196" s="51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1" t="str">
        <f t="shared" si="6"/>
        <v/>
      </c>
      <c r="AE196" s="50" t="str">
        <f t="shared" si="7"/>
        <v/>
      </c>
    </row>
    <row r="197" customHeight="1" spans="1:31">
      <c r="A197" s="49"/>
      <c r="B197" s="49"/>
      <c r="C197" s="23"/>
      <c r="D197" s="50"/>
      <c r="E197" s="51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1" t="str">
        <f t="shared" si="6"/>
        <v/>
      </c>
      <c r="AE197" s="50" t="str">
        <f t="shared" si="7"/>
        <v/>
      </c>
    </row>
    <row r="198" customHeight="1" spans="1:31">
      <c r="A198" s="49"/>
      <c r="B198" s="49"/>
      <c r="C198" s="23"/>
      <c r="D198" s="50"/>
      <c r="E198" s="51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1" t="str">
        <f t="shared" si="6"/>
        <v/>
      </c>
      <c r="AE198" s="50" t="str">
        <f t="shared" si="7"/>
        <v/>
      </c>
    </row>
    <row r="199" customHeight="1" spans="1:31">
      <c r="A199" s="49"/>
      <c r="B199" s="49"/>
      <c r="C199" s="23"/>
      <c r="D199" s="50"/>
      <c r="E199" s="51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1" t="str">
        <f t="shared" si="6"/>
        <v/>
      </c>
      <c r="AE199" s="50" t="str">
        <f t="shared" si="7"/>
        <v/>
      </c>
    </row>
    <row r="200" customHeight="1" spans="1:31">
      <c r="A200" s="49"/>
      <c r="B200" s="49"/>
      <c r="C200" s="23"/>
      <c r="D200" s="50"/>
      <c r="E200" s="51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1" t="str">
        <f t="shared" si="6"/>
        <v/>
      </c>
      <c r="AE200" s="50" t="str">
        <f t="shared" si="7"/>
        <v/>
      </c>
    </row>
    <row r="201" customHeight="1" spans="1:31">
      <c r="A201" s="49"/>
      <c r="B201" s="49"/>
      <c r="C201" s="23"/>
      <c r="D201" s="50"/>
      <c r="E201" s="51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1" t="str">
        <f t="shared" si="6"/>
        <v/>
      </c>
      <c r="AE201" s="50" t="str">
        <f t="shared" si="7"/>
        <v/>
      </c>
    </row>
    <row r="202" customHeight="1" spans="1:31">
      <c r="A202" s="49"/>
      <c r="B202" s="49"/>
      <c r="C202" s="23"/>
      <c r="D202" s="50"/>
      <c r="E202" s="51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1" t="str">
        <f t="shared" si="6"/>
        <v/>
      </c>
      <c r="AE202" s="50" t="str">
        <f t="shared" si="7"/>
        <v/>
      </c>
    </row>
    <row r="203" customHeight="1" spans="1:31">
      <c r="A203" s="49"/>
      <c r="B203" s="49"/>
      <c r="C203" s="23"/>
      <c r="D203" s="50"/>
      <c r="E203" s="51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1" t="str">
        <f t="shared" si="6"/>
        <v/>
      </c>
      <c r="AE203" s="50" t="str">
        <f t="shared" si="7"/>
        <v/>
      </c>
    </row>
    <row r="204" customHeight="1" spans="1:31">
      <c r="A204" s="49"/>
      <c r="B204" s="49"/>
      <c r="C204" s="23"/>
      <c r="D204" s="50"/>
      <c r="E204" s="51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1" t="str">
        <f t="shared" si="6"/>
        <v/>
      </c>
      <c r="AE204" s="50" t="str">
        <f t="shared" si="7"/>
        <v/>
      </c>
    </row>
    <row r="205" customHeight="1" spans="1:31">
      <c r="A205" s="49"/>
      <c r="B205" s="49"/>
      <c r="C205" s="23"/>
      <c r="D205" s="50"/>
      <c r="E205" s="51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1" t="str">
        <f t="shared" si="6"/>
        <v/>
      </c>
      <c r="AE205" s="50" t="str">
        <f t="shared" si="7"/>
        <v/>
      </c>
    </row>
    <row r="206" customHeight="1" spans="1:31">
      <c r="A206" s="49"/>
      <c r="B206" s="49"/>
      <c r="C206" s="23"/>
      <c r="D206" s="50"/>
      <c r="E206" s="51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1" t="str">
        <f t="shared" si="6"/>
        <v/>
      </c>
      <c r="AE206" s="50" t="str">
        <f t="shared" si="7"/>
        <v/>
      </c>
    </row>
    <row r="207" customHeight="1" spans="1:31">
      <c r="A207" s="49"/>
      <c r="B207" s="49"/>
      <c r="C207" s="23"/>
      <c r="D207" s="50"/>
      <c r="E207" s="51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1" t="str">
        <f t="shared" si="6"/>
        <v/>
      </c>
      <c r="AE207" s="50" t="str">
        <f t="shared" si="7"/>
        <v/>
      </c>
    </row>
    <row r="208" customHeight="1" spans="1:31">
      <c r="A208" s="49"/>
      <c r="B208" s="49"/>
      <c r="C208" s="23"/>
      <c r="D208" s="50"/>
      <c r="E208" s="51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1" t="str">
        <f t="shared" si="6"/>
        <v/>
      </c>
      <c r="AE208" s="50" t="str">
        <f t="shared" si="7"/>
        <v/>
      </c>
    </row>
    <row r="209" customHeight="1" spans="1:31">
      <c r="A209" s="49"/>
      <c r="B209" s="49"/>
      <c r="C209" s="23"/>
      <c r="D209" s="50"/>
      <c r="E209" s="51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1" t="str">
        <f t="shared" si="6"/>
        <v/>
      </c>
      <c r="AE209" s="50" t="str">
        <f t="shared" si="7"/>
        <v/>
      </c>
    </row>
    <row r="210" customHeight="1" spans="1:31">
      <c r="A210" s="49"/>
      <c r="B210" s="49"/>
      <c r="C210" s="23"/>
      <c r="D210" s="50"/>
      <c r="E210" s="51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1" t="str">
        <f t="shared" si="6"/>
        <v/>
      </c>
      <c r="AE210" s="50" t="str">
        <f t="shared" si="7"/>
        <v/>
      </c>
    </row>
    <row r="211" customHeight="1" spans="1:31">
      <c r="A211" s="49"/>
      <c r="B211" s="49"/>
      <c r="C211" s="23"/>
      <c r="D211" s="50"/>
      <c r="E211" s="51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1" t="str">
        <f t="shared" si="6"/>
        <v/>
      </c>
      <c r="AE211" s="50" t="str">
        <f t="shared" si="7"/>
        <v/>
      </c>
    </row>
    <row r="212" customHeight="1" spans="1:31">
      <c r="A212" s="49"/>
      <c r="B212" s="49"/>
      <c r="C212" s="23"/>
      <c r="D212" s="50"/>
      <c r="E212" s="51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1" t="str">
        <f t="shared" si="6"/>
        <v/>
      </c>
      <c r="AE212" s="50" t="str">
        <f t="shared" si="7"/>
        <v/>
      </c>
    </row>
    <row r="213" customHeight="1" spans="1:31">
      <c r="A213" s="49"/>
      <c r="B213" s="49"/>
      <c r="C213" s="23"/>
      <c r="D213" s="50"/>
      <c r="E213" s="51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1" t="str">
        <f t="shared" si="6"/>
        <v/>
      </c>
      <c r="AE213" s="50" t="str">
        <f t="shared" si="7"/>
        <v/>
      </c>
    </row>
    <row r="214" customHeight="1" spans="1:31">
      <c r="A214" s="49"/>
      <c r="B214" s="49"/>
      <c r="C214" s="23"/>
      <c r="D214" s="50"/>
      <c r="E214" s="51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1" t="str">
        <f t="shared" si="6"/>
        <v/>
      </c>
      <c r="AE214" s="50" t="str">
        <f t="shared" si="7"/>
        <v/>
      </c>
    </row>
    <row r="215" customHeight="1" spans="1:31">
      <c r="A215" s="49"/>
      <c r="B215" s="49"/>
      <c r="C215" s="23"/>
      <c r="D215" s="50"/>
      <c r="E215" s="51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1" t="str">
        <f t="shared" si="6"/>
        <v/>
      </c>
      <c r="AE215" s="50" t="str">
        <f t="shared" si="7"/>
        <v/>
      </c>
    </row>
    <row r="216" customHeight="1" spans="1:31">
      <c r="A216" s="49"/>
      <c r="B216" s="49"/>
      <c r="C216" s="23"/>
      <c r="D216" s="50"/>
      <c r="E216" s="51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1" t="str">
        <f t="shared" si="6"/>
        <v/>
      </c>
      <c r="AE216" s="50" t="str">
        <f t="shared" si="7"/>
        <v/>
      </c>
    </row>
    <row r="217" customHeight="1" spans="1:31">
      <c r="A217" s="49"/>
      <c r="B217" s="49"/>
      <c r="C217" s="23"/>
      <c r="D217" s="50"/>
      <c r="E217" s="51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1" t="str">
        <f t="shared" si="6"/>
        <v/>
      </c>
      <c r="AE217" s="50" t="str">
        <f t="shared" si="7"/>
        <v/>
      </c>
    </row>
    <row r="218" customHeight="1" spans="1:31">
      <c r="A218" s="49"/>
      <c r="B218" s="49"/>
      <c r="C218" s="23"/>
      <c r="D218" s="50"/>
      <c r="E218" s="51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1" t="str">
        <f t="shared" si="6"/>
        <v/>
      </c>
      <c r="AE218" s="50" t="str">
        <f t="shared" si="7"/>
        <v/>
      </c>
    </row>
    <row r="219" customHeight="1" spans="1:31">
      <c r="A219" s="49"/>
      <c r="B219" s="49"/>
      <c r="C219" s="23"/>
      <c r="D219" s="50"/>
      <c r="E219" s="51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1" t="str">
        <f t="shared" si="6"/>
        <v/>
      </c>
      <c r="AE219" s="50" t="str">
        <f t="shared" si="7"/>
        <v/>
      </c>
    </row>
    <row r="220" customHeight="1" spans="1:31">
      <c r="A220" s="49"/>
      <c r="B220" s="49"/>
      <c r="C220" s="23"/>
      <c r="D220" s="50"/>
      <c r="E220" s="51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1" t="str">
        <f t="shared" si="6"/>
        <v/>
      </c>
      <c r="AE220" s="50" t="str">
        <f t="shared" si="7"/>
        <v/>
      </c>
    </row>
    <row r="221" customHeight="1" spans="1:31">
      <c r="A221" s="49"/>
      <c r="B221" s="49"/>
      <c r="C221" s="23"/>
      <c r="D221" s="50"/>
      <c r="E221" s="51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1" t="str">
        <f t="shared" si="6"/>
        <v/>
      </c>
      <c r="AE221" s="50" t="str">
        <f t="shared" si="7"/>
        <v/>
      </c>
    </row>
    <row r="222" customHeight="1" spans="1:31">
      <c r="A222" s="49"/>
      <c r="B222" s="49"/>
      <c r="C222" s="23"/>
      <c r="D222" s="50"/>
      <c r="E222" s="51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1" t="str">
        <f t="shared" si="6"/>
        <v/>
      </c>
      <c r="AE222" s="50" t="str">
        <f t="shared" si="7"/>
        <v/>
      </c>
    </row>
    <row r="223" customHeight="1" spans="1:31">
      <c r="A223" s="49"/>
      <c r="B223" s="49"/>
      <c r="C223" s="23"/>
      <c r="D223" s="50"/>
      <c r="E223" s="51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1" t="str">
        <f t="shared" si="6"/>
        <v/>
      </c>
      <c r="AE223" s="50" t="str">
        <f t="shared" si="7"/>
        <v/>
      </c>
    </row>
    <row r="224" customHeight="1" spans="1:31">
      <c r="A224" s="49"/>
      <c r="B224" s="49"/>
      <c r="C224" s="23"/>
      <c r="D224" s="50"/>
      <c r="E224" s="51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1" t="str">
        <f t="shared" si="6"/>
        <v/>
      </c>
      <c r="AE224" s="50" t="str">
        <f t="shared" si="7"/>
        <v/>
      </c>
    </row>
    <row r="225" customHeight="1" spans="1:31">
      <c r="A225" s="49"/>
      <c r="B225" s="49"/>
      <c r="C225" s="23"/>
      <c r="D225" s="50"/>
      <c r="E225" s="51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1" t="str">
        <f t="shared" si="6"/>
        <v/>
      </c>
      <c r="AE225" s="50" t="str">
        <f t="shared" si="7"/>
        <v/>
      </c>
    </row>
    <row r="226" customHeight="1" spans="1:31">
      <c r="A226" s="49"/>
      <c r="B226" s="49"/>
      <c r="C226" s="23"/>
      <c r="D226" s="50"/>
      <c r="E226" s="51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1" t="str">
        <f t="shared" si="6"/>
        <v/>
      </c>
      <c r="AE226" s="50" t="str">
        <f t="shared" si="7"/>
        <v/>
      </c>
    </row>
    <row r="227" customHeight="1" spans="1:31">
      <c r="A227" s="49"/>
      <c r="B227" s="49"/>
      <c r="C227" s="23"/>
      <c r="D227" s="50"/>
      <c r="E227" s="51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1" t="str">
        <f t="shared" si="6"/>
        <v/>
      </c>
      <c r="AE227" s="50" t="str">
        <f t="shared" si="7"/>
        <v/>
      </c>
    </row>
    <row r="228" customHeight="1" spans="1:31">
      <c r="A228" s="49"/>
      <c r="B228" s="49"/>
      <c r="C228" s="23"/>
      <c r="D228" s="50"/>
      <c r="E228" s="51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1" t="str">
        <f t="shared" si="6"/>
        <v/>
      </c>
      <c r="AE228" s="50" t="str">
        <f t="shared" si="7"/>
        <v/>
      </c>
    </row>
    <row r="229" customHeight="1" spans="1:31">
      <c r="A229" s="49"/>
      <c r="B229" s="49"/>
      <c r="C229" s="23"/>
      <c r="D229" s="50"/>
      <c r="E229" s="51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1" t="str">
        <f t="shared" si="6"/>
        <v/>
      </c>
      <c r="AE229" s="50" t="str">
        <f t="shared" si="7"/>
        <v/>
      </c>
    </row>
    <row r="230" customHeight="1" spans="1:31">
      <c r="A230" s="49"/>
      <c r="B230" s="49"/>
      <c r="C230" s="23"/>
      <c r="D230" s="50"/>
      <c r="E230" s="51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1" t="str">
        <f t="shared" si="6"/>
        <v/>
      </c>
      <c r="AE230" s="50" t="str">
        <f t="shared" si="7"/>
        <v/>
      </c>
    </row>
    <row r="231" customHeight="1" spans="1:31">
      <c r="A231" s="49"/>
      <c r="B231" s="49"/>
      <c r="C231" s="23"/>
      <c r="D231" s="50"/>
      <c r="E231" s="51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1" t="str">
        <f t="shared" si="6"/>
        <v/>
      </c>
      <c r="AE231" s="50" t="str">
        <f t="shared" si="7"/>
        <v/>
      </c>
    </row>
    <row r="232" customHeight="1" spans="1:31">
      <c r="A232" s="49"/>
      <c r="B232" s="49"/>
      <c r="C232" s="23"/>
      <c r="D232" s="50"/>
      <c r="E232" s="51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1" t="str">
        <f t="shared" si="6"/>
        <v/>
      </c>
      <c r="AE232" s="50" t="str">
        <f t="shared" si="7"/>
        <v/>
      </c>
    </row>
    <row r="233" customHeight="1" spans="1:31">
      <c r="A233" s="49"/>
      <c r="B233" s="49"/>
      <c r="C233" s="23"/>
      <c r="D233" s="50"/>
      <c r="E233" s="51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1" t="str">
        <f t="shared" si="6"/>
        <v/>
      </c>
      <c r="AE233" s="50" t="str">
        <f t="shared" si="7"/>
        <v/>
      </c>
    </row>
    <row r="234" customHeight="1" spans="1:31">
      <c r="A234" s="49"/>
      <c r="B234" s="49"/>
      <c r="C234" s="23"/>
      <c r="D234" s="50"/>
      <c r="E234" s="51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1" t="str">
        <f t="shared" si="6"/>
        <v/>
      </c>
      <c r="AE234" s="50" t="str">
        <f t="shared" si="7"/>
        <v/>
      </c>
    </row>
    <row r="235" customHeight="1" spans="1:31">
      <c r="A235" s="49"/>
      <c r="B235" s="49"/>
      <c r="C235" s="23"/>
      <c r="D235" s="50"/>
      <c r="E235" s="51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1" t="str">
        <f t="shared" si="6"/>
        <v/>
      </c>
      <c r="AE235" s="50" t="str">
        <f t="shared" si="7"/>
        <v/>
      </c>
    </row>
    <row r="236" customHeight="1" spans="1:31">
      <c r="A236" s="49"/>
      <c r="B236" s="49"/>
      <c r="C236" s="23"/>
      <c r="D236" s="50"/>
      <c r="E236" s="51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1" t="str">
        <f t="shared" si="6"/>
        <v/>
      </c>
      <c r="AE236" s="50" t="str">
        <f t="shared" si="7"/>
        <v/>
      </c>
    </row>
    <row r="237" customHeight="1" spans="1:31">
      <c r="A237" s="49"/>
      <c r="B237" s="49"/>
      <c r="C237" s="23"/>
      <c r="D237" s="50"/>
      <c r="E237" s="51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1" t="str">
        <f t="shared" si="6"/>
        <v/>
      </c>
      <c r="AE237" s="50" t="str">
        <f t="shared" si="7"/>
        <v/>
      </c>
    </row>
    <row r="238" customHeight="1" spans="1:31">
      <c r="A238" s="49"/>
      <c r="B238" s="49"/>
      <c r="C238" s="23"/>
      <c r="D238" s="50"/>
      <c r="E238" s="51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1" t="str">
        <f t="shared" si="6"/>
        <v/>
      </c>
      <c r="AE238" s="50" t="str">
        <f t="shared" si="7"/>
        <v/>
      </c>
    </row>
    <row r="239" customHeight="1" spans="1:31">
      <c r="A239" s="49"/>
      <c r="B239" s="49"/>
      <c r="C239" s="23"/>
      <c r="D239" s="50"/>
      <c r="E239" s="51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1" t="str">
        <f t="shared" si="6"/>
        <v/>
      </c>
      <c r="AE239" s="50" t="str">
        <f t="shared" si="7"/>
        <v/>
      </c>
    </row>
    <row r="240" customHeight="1" spans="1:31">
      <c r="A240" s="49"/>
      <c r="B240" s="49"/>
      <c r="C240" s="23"/>
      <c r="D240" s="50"/>
      <c r="E240" s="51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1" t="str">
        <f t="shared" si="6"/>
        <v/>
      </c>
      <c r="AE240" s="50" t="str">
        <f t="shared" si="7"/>
        <v/>
      </c>
    </row>
    <row r="241" customHeight="1" spans="1:31">
      <c r="A241" s="49"/>
      <c r="B241" s="49"/>
      <c r="C241" s="23"/>
      <c r="D241" s="50"/>
      <c r="E241" s="51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1" t="str">
        <f t="shared" si="6"/>
        <v/>
      </c>
      <c r="AE241" s="50" t="str">
        <f t="shared" si="7"/>
        <v/>
      </c>
    </row>
    <row r="242" customHeight="1" spans="1:31">
      <c r="A242" s="49"/>
      <c r="B242" s="49"/>
      <c r="C242" s="23"/>
      <c r="D242" s="50"/>
      <c r="E242" s="51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1" t="str">
        <f t="shared" si="6"/>
        <v/>
      </c>
      <c r="AE242" s="50" t="str">
        <f t="shared" si="7"/>
        <v/>
      </c>
    </row>
    <row r="243" customHeight="1" spans="1:31">
      <c r="A243" s="49"/>
      <c r="B243" s="49"/>
      <c r="C243" s="23"/>
      <c r="D243" s="50"/>
      <c r="E243" s="51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1" t="str">
        <f t="shared" si="6"/>
        <v/>
      </c>
      <c r="AE243" s="50" t="str">
        <f t="shared" si="7"/>
        <v/>
      </c>
    </row>
    <row r="244" customHeight="1" spans="1:31">
      <c r="A244" s="49"/>
      <c r="B244" s="49"/>
      <c r="C244" s="23"/>
      <c r="D244" s="50"/>
      <c r="E244" s="51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1" t="str">
        <f t="shared" si="6"/>
        <v/>
      </c>
      <c r="AE244" s="50" t="str">
        <f t="shared" si="7"/>
        <v/>
      </c>
    </row>
    <row r="245" customHeight="1" spans="1:31">
      <c r="A245" s="49"/>
      <c r="B245" s="49"/>
      <c r="C245" s="23"/>
      <c r="D245" s="50"/>
      <c r="E245" s="51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1" t="str">
        <f t="shared" si="6"/>
        <v/>
      </c>
      <c r="AE245" s="50" t="str">
        <f t="shared" si="7"/>
        <v/>
      </c>
    </row>
    <row r="246" customHeight="1" spans="1:31">
      <c r="A246" s="49"/>
      <c r="B246" s="49"/>
      <c r="C246" s="23"/>
      <c r="D246" s="50"/>
      <c r="E246" s="51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1" t="str">
        <f t="shared" si="6"/>
        <v/>
      </c>
      <c r="AE246" s="50" t="str">
        <f t="shared" si="7"/>
        <v/>
      </c>
    </row>
    <row r="247" customHeight="1" spans="1:31">
      <c r="A247" s="49"/>
      <c r="B247" s="49"/>
      <c r="C247" s="23"/>
      <c r="D247" s="50"/>
      <c r="E247" s="51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1" t="str">
        <f t="shared" si="6"/>
        <v/>
      </c>
      <c r="AE247" s="50" t="str">
        <f t="shared" si="7"/>
        <v/>
      </c>
    </row>
    <row r="248" customHeight="1" spans="1:31">
      <c r="A248" s="49"/>
      <c r="B248" s="49"/>
      <c r="C248" s="23"/>
      <c r="D248" s="50"/>
      <c r="E248" s="51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1" t="str">
        <f t="shared" si="6"/>
        <v/>
      </c>
      <c r="AE248" s="50" t="str">
        <f t="shared" si="7"/>
        <v/>
      </c>
    </row>
    <row r="249" customHeight="1" spans="1:31">
      <c r="A249" s="49"/>
      <c r="B249" s="49"/>
      <c r="C249" s="23"/>
      <c r="D249" s="50"/>
      <c r="E249" s="51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1" t="str">
        <f t="shared" si="6"/>
        <v/>
      </c>
      <c r="AE249" s="50" t="str">
        <f t="shared" si="7"/>
        <v/>
      </c>
    </row>
    <row r="250" customHeight="1" spans="1:31">
      <c r="A250" s="49"/>
      <c r="B250" s="49"/>
      <c r="C250" s="23"/>
      <c r="D250" s="50"/>
      <c r="E250" s="51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1" t="str">
        <f t="shared" si="6"/>
        <v/>
      </c>
      <c r="AE250" s="50" t="str">
        <f t="shared" si="7"/>
        <v/>
      </c>
    </row>
    <row r="251" customHeight="1" spans="1:31">
      <c r="A251" s="49"/>
      <c r="B251" s="49"/>
      <c r="C251" s="23"/>
      <c r="D251" s="50"/>
      <c r="E251" s="51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1" t="str">
        <f t="shared" si="6"/>
        <v/>
      </c>
      <c r="AE251" s="50" t="str">
        <f t="shared" si="7"/>
        <v/>
      </c>
    </row>
    <row r="252" customHeight="1" spans="1:31">
      <c r="A252" s="49"/>
      <c r="B252" s="49"/>
      <c r="C252" s="23"/>
      <c r="D252" s="50"/>
      <c r="E252" s="51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1" t="str">
        <f t="shared" si="6"/>
        <v/>
      </c>
      <c r="AE252" s="50" t="str">
        <f t="shared" si="7"/>
        <v/>
      </c>
    </row>
    <row r="253" customHeight="1" spans="1:31">
      <c r="A253" s="49"/>
      <c r="B253" s="49"/>
      <c r="C253" s="23"/>
      <c r="D253" s="50"/>
      <c r="E253" s="51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1" t="str">
        <f t="shared" si="6"/>
        <v/>
      </c>
      <c r="AE253" s="50" t="str">
        <f t="shared" si="7"/>
        <v/>
      </c>
    </row>
    <row r="254" customHeight="1" spans="1:31">
      <c r="A254" s="49"/>
      <c r="B254" s="49"/>
      <c r="C254" s="23"/>
      <c r="D254" s="50"/>
      <c r="E254" s="51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1" t="str">
        <f t="shared" si="6"/>
        <v/>
      </c>
      <c r="AE254" s="50" t="str">
        <f t="shared" si="7"/>
        <v/>
      </c>
    </row>
    <row r="255" customHeight="1" spans="1:31">
      <c r="A255" s="49"/>
      <c r="B255" s="49"/>
      <c r="C255" s="23"/>
      <c r="D255" s="50"/>
      <c r="E255" s="51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1" t="str">
        <f t="shared" si="6"/>
        <v/>
      </c>
      <c r="AE255" s="50" t="str">
        <f t="shared" si="7"/>
        <v/>
      </c>
    </row>
    <row r="256" customHeight="1" spans="1:31">
      <c r="A256" s="49"/>
      <c r="B256" s="49"/>
      <c r="C256" s="23"/>
      <c r="D256" s="50"/>
      <c r="E256" s="51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1" t="str">
        <f t="shared" si="6"/>
        <v/>
      </c>
      <c r="AE256" s="50" t="str">
        <f t="shared" si="7"/>
        <v/>
      </c>
    </row>
    <row r="257" customHeight="1" spans="1:31">
      <c r="A257" s="49"/>
      <c r="B257" s="49"/>
      <c r="C257" s="23"/>
      <c r="D257" s="50"/>
      <c r="E257" s="51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1" t="str">
        <f t="shared" si="6"/>
        <v/>
      </c>
      <c r="AE257" s="50" t="str">
        <f t="shared" si="7"/>
        <v/>
      </c>
    </row>
    <row r="258" customHeight="1" spans="1:31">
      <c r="A258" s="49"/>
      <c r="B258" s="49"/>
      <c r="C258" s="23"/>
      <c r="D258" s="50"/>
      <c r="E258" s="51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1" t="str">
        <f t="shared" si="6"/>
        <v/>
      </c>
      <c r="AE258" s="50" t="str">
        <f t="shared" si="7"/>
        <v/>
      </c>
    </row>
    <row r="259" customHeight="1" spans="1:31">
      <c r="A259" s="49"/>
      <c r="B259" s="49"/>
      <c r="C259" s="23"/>
      <c r="D259" s="50"/>
      <c r="E259" s="51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1" t="str">
        <f t="shared" ref="AD259:AD322" si="8">IF(C259="","",IF($AC259="是",D259-(G259+H259+I259+J259+K259+T259),D259-(G259+H259+I259+J259+K259+F259)))</f>
        <v/>
      </c>
      <c r="AE259" s="50" t="str">
        <f t="shared" ref="AE259:AE322" si="9">IF(C259="","",IF(ROUND(E259,0)=ROUND(AD259,0),"√","×"))</f>
        <v/>
      </c>
    </row>
    <row r="260" customHeight="1" spans="1:31">
      <c r="A260" s="49"/>
      <c r="B260" s="49"/>
      <c r="C260" s="23"/>
      <c r="D260" s="50"/>
      <c r="E260" s="51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1" t="str">
        <f t="shared" si="8"/>
        <v/>
      </c>
      <c r="AE260" s="50" t="str">
        <f t="shared" si="9"/>
        <v/>
      </c>
    </row>
    <row r="261" customHeight="1" spans="1:31">
      <c r="A261" s="49"/>
      <c r="B261" s="49"/>
      <c r="C261" s="23"/>
      <c r="D261" s="50"/>
      <c r="E261" s="51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1" t="str">
        <f t="shared" si="8"/>
        <v/>
      </c>
      <c r="AE261" s="50" t="str">
        <f t="shared" si="9"/>
        <v/>
      </c>
    </row>
    <row r="262" customHeight="1" spans="1:31">
      <c r="A262" s="49"/>
      <c r="B262" s="49"/>
      <c r="C262" s="23"/>
      <c r="D262" s="50"/>
      <c r="E262" s="51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1" t="str">
        <f t="shared" si="8"/>
        <v/>
      </c>
      <c r="AE262" s="50" t="str">
        <f t="shared" si="9"/>
        <v/>
      </c>
    </row>
    <row r="263" customHeight="1" spans="1:31">
      <c r="A263" s="49"/>
      <c r="B263" s="49"/>
      <c r="C263" s="23"/>
      <c r="D263" s="50"/>
      <c r="E263" s="51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1" t="str">
        <f t="shared" si="8"/>
        <v/>
      </c>
      <c r="AE263" s="50" t="str">
        <f t="shared" si="9"/>
        <v/>
      </c>
    </row>
    <row r="264" customHeight="1" spans="1:31">
      <c r="A264" s="49"/>
      <c r="B264" s="49"/>
      <c r="C264" s="23"/>
      <c r="D264" s="50"/>
      <c r="E264" s="51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1" t="str">
        <f t="shared" si="8"/>
        <v/>
      </c>
      <c r="AE264" s="50" t="str">
        <f t="shared" si="9"/>
        <v/>
      </c>
    </row>
    <row r="265" customHeight="1" spans="1:31">
      <c r="A265" s="49"/>
      <c r="B265" s="49"/>
      <c r="C265" s="23"/>
      <c r="D265" s="50"/>
      <c r="E265" s="51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1" t="str">
        <f t="shared" si="8"/>
        <v/>
      </c>
      <c r="AE265" s="50" t="str">
        <f t="shared" si="9"/>
        <v/>
      </c>
    </row>
    <row r="266" customHeight="1" spans="1:31">
      <c r="A266" s="49"/>
      <c r="B266" s="49"/>
      <c r="C266" s="23"/>
      <c r="D266" s="50"/>
      <c r="E266" s="51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1" t="str">
        <f t="shared" si="8"/>
        <v/>
      </c>
      <c r="AE266" s="50" t="str">
        <f t="shared" si="9"/>
        <v/>
      </c>
    </row>
    <row r="267" customHeight="1" spans="1:31">
      <c r="A267" s="49"/>
      <c r="B267" s="49"/>
      <c r="C267" s="23"/>
      <c r="D267" s="50"/>
      <c r="E267" s="51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1" t="str">
        <f t="shared" si="8"/>
        <v/>
      </c>
      <c r="AE267" s="50" t="str">
        <f t="shared" si="9"/>
        <v/>
      </c>
    </row>
    <row r="268" customHeight="1" spans="1:31">
      <c r="A268" s="49"/>
      <c r="B268" s="49"/>
      <c r="C268" s="23"/>
      <c r="D268" s="50"/>
      <c r="E268" s="51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1" t="str">
        <f t="shared" si="8"/>
        <v/>
      </c>
      <c r="AE268" s="50" t="str">
        <f t="shared" si="9"/>
        <v/>
      </c>
    </row>
    <row r="269" customHeight="1" spans="1:31">
      <c r="A269" s="49"/>
      <c r="B269" s="49"/>
      <c r="C269" s="23"/>
      <c r="D269" s="50"/>
      <c r="E269" s="51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1" t="str">
        <f t="shared" si="8"/>
        <v/>
      </c>
      <c r="AE269" s="50" t="str">
        <f t="shared" si="9"/>
        <v/>
      </c>
    </row>
    <row r="270" customHeight="1" spans="1:31">
      <c r="A270" s="49"/>
      <c r="B270" s="49"/>
      <c r="C270" s="23"/>
      <c r="D270" s="50"/>
      <c r="E270" s="51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1" t="str">
        <f t="shared" si="8"/>
        <v/>
      </c>
      <c r="AE270" s="50" t="str">
        <f t="shared" si="9"/>
        <v/>
      </c>
    </row>
    <row r="271" customHeight="1" spans="1:31">
      <c r="A271" s="49"/>
      <c r="B271" s="49"/>
      <c r="C271" s="23"/>
      <c r="D271" s="50"/>
      <c r="E271" s="51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1" t="str">
        <f t="shared" si="8"/>
        <v/>
      </c>
      <c r="AE271" s="50" t="str">
        <f t="shared" si="9"/>
        <v/>
      </c>
    </row>
    <row r="272" customHeight="1" spans="1:31">
      <c r="A272" s="49"/>
      <c r="B272" s="49"/>
      <c r="C272" s="23"/>
      <c r="D272" s="50"/>
      <c r="E272" s="51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1" t="str">
        <f t="shared" si="8"/>
        <v/>
      </c>
      <c r="AE272" s="50" t="str">
        <f t="shared" si="9"/>
        <v/>
      </c>
    </row>
    <row r="273" customHeight="1" spans="1:31">
      <c r="A273" s="49"/>
      <c r="B273" s="49"/>
      <c r="C273" s="23"/>
      <c r="D273" s="50"/>
      <c r="E273" s="51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1" t="str">
        <f t="shared" si="8"/>
        <v/>
      </c>
      <c r="AE273" s="50" t="str">
        <f t="shared" si="9"/>
        <v/>
      </c>
    </row>
    <row r="274" customHeight="1" spans="1:31">
      <c r="A274" s="49"/>
      <c r="B274" s="49"/>
      <c r="C274" s="23"/>
      <c r="D274" s="50"/>
      <c r="E274" s="51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1" t="str">
        <f t="shared" si="8"/>
        <v/>
      </c>
      <c r="AE274" s="50" t="str">
        <f t="shared" si="9"/>
        <v/>
      </c>
    </row>
    <row r="275" customHeight="1" spans="1:31">
      <c r="A275" s="49"/>
      <c r="B275" s="49"/>
      <c r="C275" s="23"/>
      <c r="D275" s="50"/>
      <c r="E275" s="51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1" t="str">
        <f t="shared" si="8"/>
        <v/>
      </c>
      <c r="AE275" s="50" t="str">
        <f t="shared" si="9"/>
        <v/>
      </c>
    </row>
    <row r="276" customHeight="1" spans="1:31">
      <c r="A276" s="49"/>
      <c r="B276" s="49"/>
      <c r="C276" s="23"/>
      <c r="D276" s="50"/>
      <c r="E276" s="51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1" t="str">
        <f t="shared" si="8"/>
        <v/>
      </c>
      <c r="AE276" s="50" t="str">
        <f t="shared" si="9"/>
        <v/>
      </c>
    </row>
    <row r="277" customHeight="1" spans="1:31">
      <c r="A277" s="49"/>
      <c r="B277" s="49"/>
      <c r="C277" s="23"/>
      <c r="D277" s="50"/>
      <c r="E277" s="51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1" t="str">
        <f t="shared" si="8"/>
        <v/>
      </c>
      <c r="AE277" s="50" t="str">
        <f t="shared" si="9"/>
        <v/>
      </c>
    </row>
    <row r="278" customHeight="1" spans="1:31">
      <c r="A278" s="49"/>
      <c r="B278" s="49"/>
      <c r="C278" s="23"/>
      <c r="D278" s="50"/>
      <c r="E278" s="51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1" t="str">
        <f t="shared" si="8"/>
        <v/>
      </c>
      <c r="AE278" s="50" t="str">
        <f t="shared" si="9"/>
        <v/>
      </c>
    </row>
    <row r="279" customHeight="1" spans="1:31">
      <c r="A279" s="49"/>
      <c r="B279" s="49"/>
      <c r="C279" s="23"/>
      <c r="D279" s="50"/>
      <c r="E279" s="51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1" t="str">
        <f t="shared" si="8"/>
        <v/>
      </c>
      <c r="AE279" s="50" t="str">
        <f t="shared" si="9"/>
        <v/>
      </c>
    </row>
    <row r="280" customHeight="1" spans="1:31">
      <c r="A280" s="49"/>
      <c r="B280" s="49"/>
      <c r="C280" s="23"/>
      <c r="D280" s="50"/>
      <c r="E280" s="51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1" t="str">
        <f t="shared" si="8"/>
        <v/>
      </c>
      <c r="AE280" s="50" t="str">
        <f t="shared" si="9"/>
        <v/>
      </c>
    </row>
    <row r="281" customHeight="1" spans="1:31">
      <c r="A281" s="49"/>
      <c r="B281" s="49"/>
      <c r="C281" s="23"/>
      <c r="D281" s="50"/>
      <c r="E281" s="51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1" t="str">
        <f t="shared" si="8"/>
        <v/>
      </c>
      <c r="AE281" s="50" t="str">
        <f t="shared" si="9"/>
        <v/>
      </c>
    </row>
    <row r="282" customHeight="1" spans="1:31">
      <c r="A282" s="49"/>
      <c r="B282" s="49"/>
      <c r="C282" s="23"/>
      <c r="D282" s="50"/>
      <c r="E282" s="51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1" t="str">
        <f t="shared" si="8"/>
        <v/>
      </c>
      <c r="AE282" s="50" t="str">
        <f t="shared" si="9"/>
        <v/>
      </c>
    </row>
    <row r="283" customHeight="1" spans="1:31">
      <c r="A283" s="49"/>
      <c r="B283" s="49"/>
      <c r="C283" s="23"/>
      <c r="D283" s="50"/>
      <c r="E283" s="51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1" t="str">
        <f t="shared" si="8"/>
        <v/>
      </c>
      <c r="AE283" s="50" t="str">
        <f t="shared" si="9"/>
        <v/>
      </c>
    </row>
    <row r="284" customHeight="1" spans="1:31">
      <c r="A284" s="49"/>
      <c r="B284" s="49"/>
      <c r="C284" s="23"/>
      <c r="D284" s="50"/>
      <c r="E284" s="51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1" t="str">
        <f t="shared" si="8"/>
        <v/>
      </c>
      <c r="AE284" s="50" t="str">
        <f t="shared" si="9"/>
        <v/>
      </c>
    </row>
    <row r="285" customHeight="1" spans="1:31">
      <c r="A285" s="49"/>
      <c r="B285" s="49"/>
      <c r="C285" s="23"/>
      <c r="D285" s="50"/>
      <c r="E285" s="51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1" t="str">
        <f t="shared" si="8"/>
        <v/>
      </c>
      <c r="AE285" s="50" t="str">
        <f t="shared" si="9"/>
        <v/>
      </c>
    </row>
    <row r="286" customHeight="1" spans="1:31">
      <c r="A286" s="49"/>
      <c r="B286" s="49"/>
      <c r="C286" s="23"/>
      <c r="D286" s="50"/>
      <c r="E286" s="51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1" t="str">
        <f t="shared" si="8"/>
        <v/>
      </c>
      <c r="AE286" s="50" t="str">
        <f t="shared" si="9"/>
        <v/>
      </c>
    </row>
    <row r="287" customHeight="1" spans="1:31">
      <c r="A287" s="49"/>
      <c r="B287" s="49"/>
      <c r="C287" s="23"/>
      <c r="D287" s="50"/>
      <c r="E287" s="51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1" t="str">
        <f t="shared" si="8"/>
        <v/>
      </c>
      <c r="AE287" s="50" t="str">
        <f t="shared" si="9"/>
        <v/>
      </c>
    </row>
    <row r="288" customHeight="1" spans="1:31">
      <c r="A288" s="49"/>
      <c r="B288" s="49"/>
      <c r="C288" s="23"/>
      <c r="D288" s="50"/>
      <c r="E288" s="51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1" t="str">
        <f t="shared" si="8"/>
        <v/>
      </c>
      <c r="AE288" s="50" t="str">
        <f t="shared" si="9"/>
        <v/>
      </c>
    </row>
    <row r="289" customHeight="1" spans="1:31">
      <c r="A289" s="49"/>
      <c r="B289" s="49"/>
      <c r="C289" s="23"/>
      <c r="D289" s="50"/>
      <c r="E289" s="51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1" t="str">
        <f t="shared" si="8"/>
        <v/>
      </c>
      <c r="AE289" s="50" t="str">
        <f t="shared" si="9"/>
        <v/>
      </c>
    </row>
    <row r="290" customHeight="1" spans="1:31">
      <c r="A290" s="49"/>
      <c r="B290" s="49"/>
      <c r="C290" s="23"/>
      <c r="D290" s="50"/>
      <c r="E290" s="51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1" t="str">
        <f t="shared" si="8"/>
        <v/>
      </c>
      <c r="AE290" s="50" t="str">
        <f t="shared" si="9"/>
        <v/>
      </c>
    </row>
    <row r="291" customHeight="1" spans="1:31">
      <c r="A291" s="49"/>
      <c r="B291" s="49"/>
      <c r="C291" s="23"/>
      <c r="D291" s="50"/>
      <c r="E291" s="51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1" t="str">
        <f t="shared" si="8"/>
        <v/>
      </c>
      <c r="AE291" s="50" t="str">
        <f t="shared" si="9"/>
        <v/>
      </c>
    </row>
    <row r="292" customHeight="1" spans="1:31">
      <c r="A292" s="49"/>
      <c r="B292" s="49"/>
      <c r="C292" s="23"/>
      <c r="D292" s="50"/>
      <c r="E292" s="51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1" t="str">
        <f t="shared" si="8"/>
        <v/>
      </c>
      <c r="AE292" s="50" t="str">
        <f t="shared" si="9"/>
        <v/>
      </c>
    </row>
    <row r="293" customHeight="1" spans="1:31">
      <c r="A293" s="49"/>
      <c r="B293" s="49"/>
      <c r="C293" s="23"/>
      <c r="D293" s="50"/>
      <c r="E293" s="51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1" t="str">
        <f t="shared" si="8"/>
        <v/>
      </c>
      <c r="AE293" s="50" t="str">
        <f t="shared" si="9"/>
        <v/>
      </c>
    </row>
    <row r="294" customHeight="1" spans="1:31">
      <c r="A294" s="49"/>
      <c r="B294" s="49"/>
      <c r="C294" s="23"/>
      <c r="D294" s="50"/>
      <c r="E294" s="51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1" t="str">
        <f t="shared" si="8"/>
        <v/>
      </c>
      <c r="AE294" s="50" t="str">
        <f t="shared" si="9"/>
        <v/>
      </c>
    </row>
    <row r="295" customHeight="1" spans="1:31">
      <c r="A295" s="49"/>
      <c r="B295" s="49"/>
      <c r="C295" s="23"/>
      <c r="D295" s="50"/>
      <c r="E295" s="51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1" t="str">
        <f t="shared" si="8"/>
        <v/>
      </c>
      <c r="AE295" s="50" t="str">
        <f t="shared" si="9"/>
        <v/>
      </c>
    </row>
    <row r="296" customHeight="1" spans="1:31">
      <c r="A296" s="49"/>
      <c r="B296" s="49"/>
      <c r="C296" s="23"/>
      <c r="D296" s="50"/>
      <c r="E296" s="51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1" t="str">
        <f t="shared" si="8"/>
        <v/>
      </c>
      <c r="AE296" s="50" t="str">
        <f t="shared" si="9"/>
        <v/>
      </c>
    </row>
    <row r="297" customHeight="1" spans="1:31">
      <c r="A297" s="49"/>
      <c r="B297" s="49"/>
      <c r="C297" s="23"/>
      <c r="D297" s="50"/>
      <c r="E297" s="51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1" t="str">
        <f t="shared" si="8"/>
        <v/>
      </c>
      <c r="AE297" s="50" t="str">
        <f t="shared" si="9"/>
        <v/>
      </c>
    </row>
    <row r="298" customHeight="1" spans="1:31">
      <c r="A298" s="49"/>
      <c r="B298" s="49"/>
      <c r="C298" s="23"/>
      <c r="D298" s="50"/>
      <c r="E298" s="51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1" t="str">
        <f t="shared" si="8"/>
        <v/>
      </c>
      <c r="AE298" s="50" t="str">
        <f t="shared" si="9"/>
        <v/>
      </c>
    </row>
    <row r="299" customHeight="1" spans="1:31">
      <c r="A299" s="49"/>
      <c r="B299" s="49"/>
      <c r="C299" s="23"/>
      <c r="D299" s="50"/>
      <c r="E299" s="51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1" t="str">
        <f t="shared" si="8"/>
        <v/>
      </c>
      <c r="AE299" s="50" t="str">
        <f t="shared" si="9"/>
        <v/>
      </c>
    </row>
    <row r="300" customHeight="1" spans="1:31">
      <c r="A300" s="49"/>
      <c r="B300" s="49"/>
      <c r="C300" s="23"/>
      <c r="D300" s="50"/>
      <c r="E300" s="51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1" t="str">
        <f t="shared" si="8"/>
        <v/>
      </c>
      <c r="AE300" s="50" t="str">
        <f t="shared" si="9"/>
        <v/>
      </c>
    </row>
    <row r="301" customHeight="1" spans="1:31">
      <c r="A301" s="49"/>
      <c r="B301" s="49"/>
      <c r="C301" s="23"/>
      <c r="D301" s="50"/>
      <c r="E301" s="51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1" t="str">
        <f t="shared" si="8"/>
        <v/>
      </c>
      <c r="AE301" s="50" t="str">
        <f t="shared" si="9"/>
        <v/>
      </c>
    </row>
    <row r="302" customHeight="1" spans="1:31">
      <c r="A302" s="49"/>
      <c r="B302" s="49"/>
      <c r="C302" s="23"/>
      <c r="D302" s="50"/>
      <c r="E302" s="51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1" t="str">
        <f t="shared" si="8"/>
        <v/>
      </c>
      <c r="AE302" s="50" t="str">
        <f t="shared" si="9"/>
        <v/>
      </c>
    </row>
    <row r="303" customHeight="1" spans="1:31">
      <c r="A303" s="49"/>
      <c r="B303" s="49"/>
      <c r="C303" s="23"/>
      <c r="D303" s="50"/>
      <c r="E303" s="51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1" t="str">
        <f t="shared" si="8"/>
        <v/>
      </c>
      <c r="AE303" s="50" t="str">
        <f t="shared" si="9"/>
        <v/>
      </c>
    </row>
    <row r="304" customHeight="1" spans="1:31">
      <c r="A304" s="49"/>
      <c r="B304" s="49"/>
      <c r="C304" s="23"/>
      <c r="D304" s="50"/>
      <c r="E304" s="51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1" t="str">
        <f t="shared" si="8"/>
        <v/>
      </c>
      <c r="AE304" s="50" t="str">
        <f t="shared" si="9"/>
        <v/>
      </c>
    </row>
    <row r="305" customHeight="1" spans="1:31">
      <c r="A305" s="49"/>
      <c r="B305" s="49"/>
      <c r="C305" s="23"/>
      <c r="D305" s="50"/>
      <c r="E305" s="51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1" t="str">
        <f t="shared" si="8"/>
        <v/>
      </c>
      <c r="AE305" s="50" t="str">
        <f t="shared" si="9"/>
        <v/>
      </c>
    </row>
    <row r="306" customHeight="1" spans="1:31">
      <c r="A306" s="49"/>
      <c r="B306" s="49"/>
      <c r="C306" s="23"/>
      <c r="D306" s="50"/>
      <c r="E306" s="51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1" t="str">
        <f t="shared" si="8"/>
        <v/>
      </c>
      <c r="AE306" s="50" t="str">
        <f t="shared" si="9"/>
        <v/>
      </c>
    </row>
    <row r="307" customHeight="1" spans="1:31">
      <c r="A307" s="49"/>
      <c r="B307" s="49"/>
      <c r="C307" s="23"/>
      <c r="D307" s="50"/>
      <c r="E307" s="51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1" t="str">
        <f t="shared" si="8"/>
        <v/>
      </c>
      <c r="AE307" s="50" t="str">
        <f t="shared" si="9"/>
        <v/>
      </c>
    </row>
    <row r="308" customHeight="1" spans="1:31">
      <c r="A308" s="49"/>
      <c r="B308" s="49"/>
      <c r="C308" s="23"/>
      <c r="D308" s="50"/>
      <c r="E308" s="51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1" t="str">
        <f t="shared" si="8"/>
        <v/>
      </c>
      <c r="AE308" s="50" t="str">
        <f t="shared" si="9"/>
        <v/>
      </c>
    </row>
    <row r="309" customHeight="1" spans="1:31">
      <c r="A309" s="49"/>
      <c r="B309" s="49"/>
      <c r="C309" s="23"/>
      <c r="D309" s="50"/>
      <c r="E309" s="51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1" t="str">
        <f t="shared" si="8"/>
        <v/>
      </c>
      <c r="AE309" s="50" t="str">
        <f t="shared" si="9"/>
        <v/>
      </c>
    </row>
    <row r="310" customHeight="1" spans="1:31">
      <c r="A310" s="49"/>
      <c r="B310" s="49"/>
      <c r="C310" s="23"/>
      <c r="D310" s="50"/>
      <c r="E310" s="51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1" t="str">
        <f t="shared" si="8"/>
        <v/>
      </c>
      <c r="AE310" s="50" t="str">
        <f t="shared" si="9"/>
        <v/>
      </c>
    </row>
    <row r="311" customHeight="1" spans="1:31">
      <c r="A311" s="49"/>
      <c r="B311" s="49"/>
      <c r="C311" s="23"/>
      <c r="D311" s="50"/>
      <c r="E311" s="51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1" t="str">
        <f t="shared" si="8"/>
        <v/>
      </c>
      <c r="AE311" s="50" t="str">
        <f t="shared" si="9"/>
        <v/>
      </c>
    </row>
    <row r="312" customHeight="1" spans="1:31">
      <c r="A312" s="49"/>
      <c r="B312" s="49"/>
      <c r="C312" s="23"/>
      <c r="D312" s="50"/>
      <c r="E312" s="51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1" t="str">
        <f t="shared" si="8"/>
        <v/>
      </c>
      <c r="AE312" s="50" t="str">
        <f t="shared" si="9"/>
        <v/>
      </c>
    </row>
    <row r="313" customHeight="1" spans="1:31">
      <c r="A313" s="49"/>
      <c r="B313" s="49"/>
      <c r="C313" s="23"/>
      <c r="D313" s="50"/>
      <c r="E313" s="51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1" t="str">
        <f t="shared" si="8"/>
        <v/>
      </c>
      <c r="AE313" s="50" t="str">
        <f t="shared" si="9"/>
        <v/>
      </c>
    </row>
    <row r="314" customHeight="1" spans="1:31">
      <c r="A314" s="49"/>
      <c r="B314" s="49"/>
      <c r="C314" s="23"/>
      <c r="D314" s="50"/>
      <c r="E314" s="51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1" t="str">
        <f t="shared" si="8"/>
        <v/>
      </c>
      <c r="AE314" s="50" t="str">
        <f t="shared" si="9"/>
        <v/>
      </c>
    </row>
    <row r="315" customHeight="1" spans="1:31">
      <c r="A315" s="49"/>
      <c r="B315" s="49"/>
      <c r="C315" s="23"/>
      <c r="D315" s="50"/>
      <c r="E315" s="51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1" t="str">
        <f t="shared" si="8"/>
        <v/>
      </c>
      <c r="AE315" s="50" t="str">
        <f t="shared" si="9"/>
        <v/>
      </c>
    </row>
    <row r="316" customHeight="1" spans="1:31">
      <c r="A316" s="49"/>
      <c r="B316" s="49"/>
      <c r="C316" s="23"/>
      <c r="D316" s="50"/>
      <c r="E316" s="51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1" t="str">
        <f t="shared" si="8"/>
        <v/>
      </c>
      <c r="AE316" s="50" t="str">
        <f t="shared" si="9"/>
        <v/>
      </c>
    </row>
    <row r="317" customHeight="1" spans="1:31">
      <c r="A317" s="49"/>
      <c r="B317" s="49"/>
      <c r="C317" s="23"/>
      <c r="D317" s="50"/>
      <c r="E317" s="51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1" t="str">
        <f t="shared" si="8"/>
        <v/>
      </c>
      <c r="AE317" s="50" t="str">
        <f t="shared" si="9"/>
        <v/>
      </c>
    </row>
    <row r="318" customHeight="1" spans="1:31">
      <c r="A318" s="49"/>
      <c r="B318" s="49"/>
      <c r="C318" s="23"/>
      <c r="D318" s="50"/>
      <c r="E318" s="51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1" t="str">
        <f t="shared" si="8"/>
        <v/>
      </c>
      <c r="AE318" s="50" t="str">
        <f t="shared" si="9"/>
        <v/>
      </c>
    </row>
    <row r="319" customHeight="1" spans="1:31">
      <c r="A319" s="49"/>
      <c r="B319" s="49"/>
      <c r="C319" s="23"/>
      <c r="D319" s="50"/>
      <c r="E319" s="51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1" t="str">
        <f t="shared" si="8"/>
        <v/>
      </c>
      <c r="AE319" s="50" t="str">
        <f t="shared" si="9"/>
        <v/>
      </c>
    </row>
    <row r="320" customHeight="1" spans="1:31">
      <c r="A320" s="49"/>
      <c r="B320" s="49"/>
      <c r="C320" s="23"/>
      <c r="D320" s="50"/>
      <c r="E320" s="51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1" t="str">
        <f t="shared" si="8"/>
        <v/>
      </c>
      <c r="AE320" s="50" t="str">
        <f t="shared" si="9"/>
        <v/>
      </c>
    </row>
    <row r="321" customHeight="1" spans="1:31">
      <c r="A321" s="49"/>
      <c r="B321" s="49"/>
      <c r="C321" s="23"/>
      <c r="D321" s="50"/>
      <c r="E321" s="51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1" t="str">
        <f t="shared" si="8"/>
        <v/>
      </c>
      <c r="AE321" s="50" t="str">
        <f t="shared" si="9"/>
        <v/>
      </c>
    </row>
    <row r="322" customHeight="1" spans="1:31">
      <c r="A322" s="49"/>
      <c r="B322" s="49"/>
      <c r="C322" s="23"/>
      <c r="D322" s="50"/>
      <c r="E322" s="51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1" t="str">
        <f t="shared" si="8"/>
        <v/>
      </c>
      <c r="AE322" s="50" t="str">
        <f t="shared" si="9"/>
        <v/>
      </c>
    </row>
    <row r="323" customHeight="1" spans="1:31">
      <c r="A323" s="49"/>
      <c r="B323" s="49"/>
      <c r="C323" s="23"/>
      <c r="D323" s="50"/>
      <c r="E323" s="51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1" t="str">
        <f t="shared" ref="AD323:AD386" si="10">IF(C323="","",IF($AC323="是",D323-(G323+H323+I323+J323+K323+T323),D323-(G323+H323+I323+J323+K323+F323)))</f>
        <v/>
      </c>
      <c r="AE323" s="50" t="str">
        <f t="shared" ref="AE323:AE386" si="11">IF(C323="","",IF(ROUND(E323,0)=ROUND(AD323,0),"√","×"))</f>
        <v/>
      </c>
    </row>
    <row r="324" customHeight="1" spans="1:31">
      <c r="A324" s="49"/>
      <c r="B324" s="49"/>
      <c r="C324" s="23"/>
      <c r="D324" s="50"/>
      <c r="E324" s="51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1" t="str">
        <f t="shared" si="10"/>
        <v/>
      </c>
      <c r="AE324" s="50" t="str">
        <f t="shared" si="11"/>
        <v/>
      </c>
    </row>
    <row r="325" customHeight="1" spans="1:31">
      <c r="A325" s="49"/>
      <c r="B325" s="49"/>
      <c r="C325" s="23"/>
      <c r="D325" s="50"/>
      <c r="E325" s="51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1" t="str">
        <f t="shared" si="10"/>
        <v/>
      </c>
      <c r="AE325" s="50" t="str">
        <f t="shared" si="11"/>
        <v/>
      </c>
    </row>
    <row r="326" customHeight="1" spans="1:31">
      <c r="A326" s="49"/>
      <c r="B326" s="49"/>
      <c r="C326" s="23"/>
      <c r="D326" s="50"/>
      <c r="E326" s="51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1" t="str">
        <f t="shared" si="10"/>
        <v/>
      </c>
      <c r="AE326" s="50" t="str">
        <f t="shared" si="11"/>
        <v/>
      </c>
    </row>
    <row r="327" customHeight="1" spans="1:31">
      <c r="A327" s="49"/>
      <c r="B327" s="49"/>
      <c r="C327" s="23"/>
      <c r="D327" s="50"/>
      <c r="E327" s="51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1" t="str">
        <f t="shared" si="10"/>
        <v/>
      </c>
      <c r="AE327" s="50" t="str">
        <f t="shared" si="11"/>
        <v/>
      </c>
    </row>
    <row r="328" customHeight="1" spans="1:31">
      <c r="A328" s="49"/>
      <c r="B328" s="49"/>
      <c r="C328" s="23"/>
      <c r="D328" s="50"/>
      <c r="E328" s="51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1" t="str">
        <f t="shared" si="10"/>
        <v/>
      </c>
      <c r="AE328" s="50" t="str">
        <f t="shared" si="11"/>
        <v/>
      </c>
    </row>
    <row r="329" customHeight="1" spans="1:31">
      <c r="A329" s="49"/>
      <c r="B329" s="49"/>
      <c r="C329" s="23"/>
      <c r="D329" s="50"/>
      <c r="E329" s="51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1" t="str">
        <f t="shared" si="10"/>
        <v/>
      </c>
      <c r="AE329" s="50" t="str">
        <f t="shared" si="11"/>
        <v/>
      </c>
    </row>
    <row r="330" customHeight="1" spans="1:31">
      <c r="A330" s="49"/>
      <c r="B330" s="49"/>
      <c r="C330" s="23"/>
      <c r="D330" s="50"/>
      <c r="E330" s="51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1" t="str">
        <f t="shared" si="10"/>
        <v/>
      </c>
      <c r="AE330" s="50" t="str">
        <f t="shared" si="11"/>
        <v/>
      </c>
    </row>
    <row r="331" customHeight="1" spans="1:31">
      <c r="A331" s="49"/>
      <c r="B331" s="49"/>
      <c r="C331" s="23"/>
      <c r="D331" s="50"/>
      <c r="E331" s="51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1" t="str">
        <f t="shared" si="10"/>
        <v/>
      </c>
      <c r="AE331" s="50" t="str">
        <f t="shared" si="11"/>
        <v/>
      </c>
    </row>
    <row r="332" customHeight="1" spans="1:31">
      <c r="A332" s="49"/>
      <c r="B332" s="49"/>
      <c r="C332" s="23"/>
      <c r="D332" s="50"/>
      <c r="E332" s="51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1" t="str">
        <f t="shared" si="10"/>
        <v/>
      </c>
      <c r="AE332" s="50" t="str">
        <f t="shared" si="11"/>
        <v/>
      </c>
    </row>
    <row r="333" customHeight="1" spans="1:31">
      <c r="A333" s="49"/>
      <c r="B333" s="49"/>
      <c r="C333" s="23"/>
      <c r="D333" s="50"/>
      <c r="E333" s="51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1" t="str">
        <f t="shared" si="10"/>
        <v/>
      </c>
      <c r="AE333" s="50" t="str">
        <f t="shared" si="11"/>
        <v/>
      </c>
    </row>
    <row r="334" customHeight="1" spans="1:31">
      <c r="A334" s="49"/>
      <c r="B334" s="49"/>
      <c r="C334" s="23"/>
      <c r="D334" s="50"/>
      <c r="E334" s="51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1" t="str">
        <f t="shared" si="10"/>
        <v/>
      </c>
      <c r="AE334" s="50" t="str">
        <f t="shared" si="11"/>
        <v/>
      </c>
    </row>
    <row r="335" customHeight="1" spans="1:31">
      <c r="A335" s="49"/>
      <c r="B335" s="49"/>
      <c r="C335" s="23"/>
      <c r="D335" s="50"/>
      <c r="E335" s="51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1" t="str">
        <f t="shared" si="10"/>
        <v/>
      </c>
      <c r="AE335" s="50" t="str">
        <f t="shared" si="11"/>
        <v/>
      </c>
    </row>
    <row r="336" customHeight="1" spans="1:31">
      <c r="A336" s="49"/>
      <c r="B336" s="49"/>
      <c r="C336" s="23"/>
      <c r="D336" s="50"/>
      <c r="E336" s="51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1" t="str">
        <f t="shared" si="10"/>
        <v/>
      </c>
      <c r="AE336" s="50" t="str">
        <f t="shared" si="11"/>
        <v/>
      </c>
    </row>
    <row r="337" customHeight="1" spans="1:31">
      <c r="A337" s="49"/>
      <c r="B337" s="49"/>
      <c r="C337" s="23"/>
      <c r="D337" s="50"/>
      <c r="E337" s="51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1" t="str">
        <f t="shared" si="10"/>
        <v/>
      </c>
      <c r="AE337" s="50" t="str">
        <f t="shared" si="11"/>
        <v/>
      </c>
    </row>
    <row r="338" customHeight="1" spans="1:31">
      <c r="A338" s="49"/>
      <c r="B338" s="49"/>
      <c r="C338" s="23"/>
      <c r="D338" s="50"/>
      <c r="E338" s="51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1" t="str">
        <f t="shared" si="10"/>
        <v/>
      </c>
      <c r="AE338" s="50" t="str">
        <f t="shared" si="11"/>
        <v/>
      </c>
    </row>
    <row r="339" customHeight="1" spans="1:31">
      <c r="A339" s="49"/>
      <c r="B339" s="49"/>
      <c r="C339" s="23"/>
      <c r="D339" s="50"/>
      <c r="E339" s="51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1" t="str">
        <f t="shared" si="10"/>
        <v/>
      </c>
      <c r="AE339" s="50" t="str">
        <f t="shared" si="11"/>
        <v/>
      </c>
    </row>
    <row r="340" customHeight="1" spans="1:31">
      <c r="A340" s="49"/>
      <c r="B340" s="49"/>
      <c r="C340" s="23"/>
      <c r="D340" s="50"/>
      <c r="E340" s="51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1" t="str">
        <f t="shared" si="10"/>
        <v/>
      </c>
      <c r="AE340" s="50" t="str">
        <f t="shared" si="11"/>
        <v/>
      </c>
    </row>
    <row r="341" customHeight="1" spans="1:31">
      <c r="A341" s="49"/>
      <c r="B341" s="49"/>
      <c r="C341" s="23"/>
      <c r="D341" s="50"/>
      <c r="E341" s="51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1" t="str">
        <f t="shared" si="10"/>
        <v/>
      </c>
      <c r="AE341" s="50" t="str">
        <f t="shared" si="11"/>
        <v/>
      </c>
    </row>
    <row r="342" customHeight="1" spans="1:31">
      <c r="A342" s="49"/>
      <c r="B342" s="49"/>
      <c r="C342" s="23"/>
      <c r="D342" s="50"/>
      <c r="E342" s="51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1" t="str">
        <f t="shared" si="10"/>
        <v/>
      </c>
      <c r="AE342" s="50" t="str">
        <f t="shared" si="11"/>
        <v/>
      </c>
    </row>
    <row r="343" customHeight="1" spans="1:31">
      <c r="A343" s="49"/>
      <c r="B343" s="49"/>
      <c r="C343" s="23"/>
      <c r="D343" s="50"/>
      <c r="E343" s="51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1" t="str">
        <f t="shared" si="10"/>
        <v/>
      </c>
      <c r="AE343" s="50" t="str">
        <f t="shared" si="11"/>
        <v/>
      </c>
    </row>
    <row r="344" customHeight="1" spans="1:31">
      <c r="A344" s="49"/>
      <c r="B344" s="49"/>
      <c r="C344" s="23"/>
      <c r="D344" s="50"/>
      <c r="E344" s="51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1" t="str">
        <f t="shared" si="10"/>
        <v/>
      </c>
      <c r="AE344" s="50" t="str">
        <f t="shared" si="11"/>
        <v/>
      </c>
    </row>
    <row r="345" customHeight="1" spans="1:31">
      <c r="A345" s="49"/>
      <c r="B345" s="49"/>
      <c r="C345" s="23"/>
      <c r="D345" s="50"/>
      <c r="E345" s="51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1" t="str">
        <f t="shared" si="10"/>
        <v/>
      </c>
      <c r="AE345" s="50" t="str">
        <f t="shared" si="11"/>
        <v/>
      </c>
    </row>
    <row r="346" customHeight="1" spans="1:31">
      <c r="A346" s="49"/>
      <c r="B346" s="49"/>
      <c r="C346" s="23"/>
      <c r="D346" s="50"/>
      <c r="E346" s="51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1" t="str">
        <f t="shared" si="10"/>
        <v/>
      </c>
      <c r="AE346" s="50" t="str">
        <f t="shared" si="11"/>
        <v/>
      </c>
    </row>
    <row r="347" customHeight="1" spans="1:31">
      <c r="A347" s="49"/>
      <c r="B347" s="49"/>
      <c r="C347" s="23"/>
      <c r="D347" s="50"/>
      <c r="E347" s="51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1" t="str">
        <f t="shared" si="10"/>
        <v/>
      </c>
      <c r="AE347" s="50" t="str">
        <f t="shared" si="11"/>
        <v/>
      </c>
    </row>
    <row r="348" customHeight="1" spans="1:31">
      <c r="A348" s="49"/>
      <c r="B348" s="49"/>
      <c r="C348" s="23"/>
      <c r="D348" s="50"/>
      <c r="E348" s="51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1" t="str">
        <f t="shared" si="10"/>
        <v/>
      </c>
      <c r="AE348" s="50" t="str">
        <f t="shared" si="11"/>
        <v/>
      </c>
    </row>
    <row r="349" customHeight="1" spans="1:31">
      <c r="A349" s="49"/>
      <c r="B349" s="49"/>
      <c r="C349" s="23"/>
      <c r="D349" s="50"/>
      <c r="E349" s="51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1" t="str">
        <f t="shared" si="10"/>
        <v/>
      </c>
      <c r="AE349" s="50" t="str">
        <f t="shared" si="11"/>
        <v/>
      </c>
    </row>
    <row r="350" customHeight="1" spans="1:31">
      <c r="A350" s="49"/>
      <c r="B350" s="49"/>
      <c r="C350" s="23"/>
      <c r="D350" s="50"/>
      <c r="E350" s="51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1" t="str">
        <f t="shared" si="10"/>
        <v/>
      </c>
      <c r="AE350" s="50" t="str">
        <f t="shared" si="11"/>
        <v/>
      </c>
    </row>
    <row r="351" customHeight="1" spans="1:31">
      <c r="A351" s="49"/>
      <c r="B351" s="49"/>
      <c r="C351" s="23"/>
      <c r="D351" s="50"/>
      <c r="E351" s="51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1" t="str">
        <f t="shared" si="10"/>
        <v/>
      </c>
      <c r="AE351" s="50" t="str">
        <f t="shared" si="11"/>
        <v/>
      </c>
    </row>
    <row r="352" customHeight="1" spans="1:31">
      <c r="A352" s="49"/>
      <c r="B352" s="49"/>
      <c r="C352" s="23"/>
      <c r="D352" s="50"/>
      <c r="E352" s="51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1" t="str">
        <f t="shared" si="10"/>
        <v/>
      </c>
      <c r="AE352" s="50" t="str">
        <f t="shared" si="11"/>
        <v/>
      </c>
    </row>
    <row r="353" customHeight="1" spans="1:31">
      <c r="A353" s="49"/>
      <c r="B353" s="49"/>
      <c r="C353" s="23"/>
      <c r="D353" s="50"/>
      <c r="E353" s="51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1" t="str">
        <f t="shared" si="10"/>
        <v/>
      </c>
      <c r="AE353" s="50" t="str">
        <f t="shared" si="11"/>
        <v/>
      </c>
    </row>
    <row r="354" customHeight="1" spans="1:31">
      <c r="A354" s="49"/>
      <c r="B354" s="49"/>
      <c r="C354" s="23"/>
      <c r="D354" s="50"/>
      <c r="E354" s="51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1" t="str">
        <f t="shared" si="10"/>
        <v/>
      </c>
      <c r="AE354" s="50" t="str">
        <f t="shared" si="11"/>
        <v/>
      </c>
    </row>
    <row r="355" customHeight="1" spans="1:31">
      <c r="A355" s="49"/>
      <c r="B355" s="49"/>
      <c r="C355" s="23"/>
      <c r="D355" s="50"/>
      <c r="E355" s="51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1" t="str">
        <f t="shared" si="10"/>
        <v/>
      </c>
      <c r="AE355" s="50" t="str">
        <f t="shared" si="11"/>
        <v/>
      </c>
    </row>
    <row r="356" customHeight="1" spans="1:31">
      <c r="A356" s="49"/>
      <c r="B356" s="49"/>
      <c r="C356" s="23"/>
      <c r="D356" s="50"/>
      <c r="E356" s="51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1" t="str">
        <f t="shared" si="10"/>
        <v/>
      </c>
      <c r="AE356" s="50" t="str">
        <f t="shared" si="11"/>
        <v/>
      </c>
    </row>
    <row r="357" customHeight="1" spans="1:31">
      <c r="A357" s="49"/>
      <c r="B357" s="49"/>
      <c r="C357" s="23"/>
      <c r="D357" s="50"/>
      <c r="E357" s="51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1" t="str">
        <f t="shared" si="10"/>
        <v/>
      </c>
      <c r="AE357" s="50" t="str">
        <f t="shared" si="11"/>
        <v/>
      </c>
    </row>
    <row r="358" customHeight="1" spans="1:31">
      <c r="A358" s="49"/>
      <c r="B358" s="49"/>
      <c r="C358" s="23"/>
      <c r="D358" s="50"/>
      <c r="E358" s="51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1" t="str">
        <f t="shared" si="10"/>
        <v/>
      </c>
      <c r="AE358" s="50" t="str">
        <f t="shared" si="11"/>
        <v/>
      </c>
    </row>
    <row r="359" customHeight="1" spans="1:31">
      <c r="A359" s="49"/>
      <c r="B359" s="49"/>
      <c r="C359" s="23"/>
      <c r="D359" s="50"/>
      <c r="E359" s="51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1" t="str">
        <f t="shared" si="10"/>
        <v/>
      </c>
      <c r="AE359" s="50" t="str">
        <f t="shared" si="11"/>
        <v/>
      </c>
    </row>
    <row r="360" customHeight="1" spans="1:31">
      <c r="A360" s="49"/>
      <c r="B360" s="49"/>
      <c r="C360" s="23"/>
      <c r="D360" s="50"/>
      <c r="E360" s="51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1" t="str">
        <f t="shared" si="10"/>
        <v/>
      </c>
      <c r="AE360" s="50" t="str">
        <f t="shared" si="11"/>
        <v/>
      </c>
    </row>
    <row r="361" customHeight="1" spans="1:31">
      <c r="A361" s="49"/>
      <c r="B361" s="49"/>
      <c r="C361" s="23"/>
      <c r="D361" s="50"/>
      <c r="E361" s="51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1" t="str">
        <f t="shared" si="10"/>
        <v/>
      </c>
      <c r="AE361" s="50" t="str">
        <f t="shared" si="11"/>
        <v/>
      </c>
    </row>
    <row r="362" customHeight="1" spans="1:31">
      <c r="A362" s="49"/>
      <c r="B362" s="49"/>
      <c r="C362" s="23"/>
      <c r="D362" s="50"/>
      <c r="E362" s="51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1" t="str">
        <f t="shared" si="10"/>
        <v/>
      </c>
      <c r="AE362" s="50" t="str">
        <f t="shared" si="11"/>
        <v/>
      </c>
    </row>
    <row r="363" customHeight="1" spans="1:31">
      <c r="A363" s="49"/>
      <c r="B363" s="49"/>
      <c r="C363" s="23"/>
      <c r="D363" s="50"/>
      <c r="E363" s="51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1" t="str">
        <f t="shared" si="10"/>
        <v/>
      </c>
      <c r="AE363" s="50" t="str">
        <f t="shared" si="11"/>
        <v/>
      </c>
    </row>
    <row r="364" customHeight="1" spans="1:31">
      <c r="A364" s="49"/>
      <c r="B364" s="49"/>
      <c r="C364" s="23"/>
      <c r="D364" s="50"/>
      <c r="E364" s="51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1" t="str">
        <f t="shared" si="10"/>
        <v/>
      </c>
      <c r="AE364" s="50" t="str">
        <f t="shared" si="11"/>
        <v/>
      </c>
    </row>
    <row r="365" customHeight="1" spans="1:31">
      <c r="A365" s="49"/>
      <c r="B365" s="49"/>
      <c r="C365" s="23"/>
      <c r="D365" s="50"/>
      <c r="E365" s="51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1" t="str">
        <f t="shared" si="10"/>
        <v/>
      </c>
      <c r="AE365" s="50" t="str">
        <f t="shared" si="11"/>
        <v/>
      </c>
    </row>
    <row r="366" customHeight="1" spans="1:31">
      <c r="A366" s="49"/>
      <c r="B366" s="49"/>
      <c r="C366" s="23"/>
      <c r="D366" s="50"/>
      <c r="E366" s="51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1" t="str">
        <f t="shared" si="10"/>
        <v/>
      </c>
      <c r="AE366" s="50" t="str">
        <f t="shared" si="11"/>
        <v/>
      </c>
    </row>
    <row r="367" customHeight="1" spans="1:31">
      <c r="A367" s="49"/>
      <c r="B367" s="49"/>
      <c r="C367" s="23"/>
      <c r="D367" s="50"/>
      <c r="E367" s="51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1" t="str">
        <f t="shared" si="10"/>
        <v/>
      </c>
      <c r="AE367" s="50" t="str">
        <f t="shared" si="11"/>
        <v/>
      </c>
    </row>
    <row r="368" customHeight="1" spans="1:31">
      <c r="A368" s="49"/>
      <c r="B368" s="49"/>
      <c r="C368" s="23"/>
      <c r="D368" s="50"/>
      <c r="E368" s="51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1" t="str">
        <f t="shared" si="10"/>
        <v/>
      </c>
      <c r="AE368" s="50" t="str">
        <f t="shared" si="11"/>
        <v/>
      </c>
    </row>
    <row r="369" customHeight="1" spans="1:31">
      <c r="A369" s="49"/>
      <c r="B369" s="49"/>
      <c r="C369" s="23"/>
      <c r="D369" s="50"/>
      <c r="E369" s="51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1" t="str">
        <f t="shared" si="10"/>
        <v/>
      </c>
      <c r="AE369" s="50" t="str">
        <f t="shared" si="11"/>
        <v/>
      </c>
    </row>
    <row r="370" customHeight="1" spans="1:31">
      <c r="A370" s="49"/>
      <c r="B370" s="49"/>
      <c r="C370" s="23"/>
      <c r="D370" s="50"/>
      <c r="E370" s="51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1" t="str">
        <f t="shared" si="10"/>
        <v/>
      </c>
      <c r="AE370" s="50" t="str">
        <f t="shared" si="11"/>
        <v/>
      </c>
    </row>
    <row r="371" customHeight="1" spans="1:31">
      <c r="A371" s="49"/>
      <c r="B371" s="49"/>
      <c r="C371" s="23"/>
      <c r="D371" s="50"/>
      <c r="E371" s="51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1" t="str">
        <f t="shared" si="10"/>
        <v/>
      </c>
      <c r="AE371" s="50" t="str">
        <f t="shared" si="11"/>
        <v/>
      </c>
    </row>
    <row r="372" customHeight="1" spans="1:31">
      <c r="A372" s="49"/>
      <c r="B372" s="49"/>
      <c r="C372" s="23"/>
      <c r="D372" s="50"/>
      <c r="E372" s="51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1" t="str">
        <f t="shared" si="10"/>
        <v/>
      </c>
      <c r="AE372" s="50" t="str">
        <f t="shared" si="11"/>
        <v/>
      </c>
    </row>
    <row r="373" customHeight="1" spans="1:31">
      <c r="A373" s="49"/>
      <c r="B373" s="49"/>
      <c r="C373" s="23"/>
      <c r="D373" s="50"/>
      <c r="E373" s="51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1" t="str">
        <f t="shared" si="10"/>
        <v/>
      </c>
      <c r="AE373" s="50" t="str">
        <f t="shared" si="11"/>
        <v/>
      </c>
    </row>
    <row r="374" customHeight="1" spans="1:31">
      <c r="A374" s="49"/>
      <c r="B374" s="49"/>
      <c r="C374" s="23"/>
      <c r="D374" s="50"/>
      <c r="E374" s="51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1" t="str">
        <f t="shared" si="10"/>
        <v/>
      </c>
      <c r="AE374" s="50" t="str">
        <f t="shared" si="11"/>
        <v/>
      </c>
    </row>
    <row r="375" customHeight="1" spans="1:31">
      <c r="A375" s="49"/>
      <c r="B375" s="49"/>
      <c r="C375" s="23"/>
      <c r="D375" s="50"/>
      <c r="E375" s="51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1" t="str">
        <f t="shared" si="10"/>
        <v/>
      </c>
      <c r="AE375" s="50" t="str">
        <f t="shared" si="11"/>
        <v/>
      </c>
    </row>
    <row r="376" customHeight="1" spans="1:31">
      <c r="A376" s="49"/>
      <c r="B376" s="49"/>
      <c r="C376" s="23"/>
      <c r="D376" s="50"/>
      <c r="E376" s="51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1" t="str">
        <f t="shared" si="10"/>
        <v/>
      </c>
      <c r="AE376" s="50" t="str">
        <f t="shared" si="11"/>
        <v/>
      </c>
    </row>
    <row r="377" customHeight="1" spans="1:31">
      <c r="A377" s="49"/>
      <c r="B377" s="49"/>
      <c r="C377" s="23"/>
      <c r="D377" s="50"/>
      <c r="E377" s="51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1" t="str">
        <f t="shared" si="10"/>
        <v/>
      </c>
      <c r="AE377" s="50" t="str">
        <f t="shared" si="11"/>
        <v/>
      </c>
    </row>
    <row r="378" customHeight="1" spans="1:31">
      <c r="A378" s="49"/>
      <c r="B378" s="49"/>
      <c r="C378" s="23"/>
      <c r="D378" s="50"/>
      <c r="E378" s="51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1" t="str">
        <f t="shared" si="10"/>
        <v/>
      </c>
      <c r="AE378" s="50" t="str">
        <f t="shared" si="11"/>
        <v/>
      </c>
    </row>
    <row r="379" customHeight="1" spans="1:31">
      <c r="A379" s="49"/>
      <c r="B379" s="49"/>
      <c r="C379" s="23"/>
      <c r="D379" s="50"/>
      <c r="E379" s="51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1" t="str">
        <f t="shared" si="10"/>
        <v/>
      </c>
      <c r="AE379" s="50" t="str">
        <f t="shared" si="11"/>
        <v/>
      </c>
    </row>
    <row r="380" customHeight="1" spans="1:31">
      <c r="A380" s="49"/>
      <c r="B380" s="49"/>
      <c r="C380" s="23"/>
      <c r="D380" s="50"/>
      <c r="E380" s="51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1" t="str">
        <f t="shared" si="10"/>
        <v/>
      </c>
      <c r="AE380" s="50" t="str">
        <f t="shared" si="11"/>
        <v/>
      </c>
    </row>
    <row r="381" customHeight="1" spans="1:31">
      <c r="A381" s="49"/>
      <c r="B381" s="49"/>
      <c r="C381" s="23"/>
      <c r="D381" s="50"/>
      <c r="E381" s="51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1" t="str">
        <f t="shared" si="10"/>
        <v/>
      </c>
      <c r="AE381" s="50" t="str">
        <f t="shared" si="11"/>
        <v/>
      </c>
    </row>
    <row r="382" customHeight="1" spans="1:31">
      <c r="A382" s="49"/>
      <c r="B382" s="49"/>
      <c r="C382" s="23"/>
      <c r="D382" s="50"/>
      <c r="E382" s="51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1" t="str">
        <f t="shared" si="10"/>
        <v/>
      </c>
      <c r="AE382" s="50" t="str">
        <f t="shared" si="11"/>
        <v/>
      </c>
    </row>
    <row r="383" customHeight="1" spans="1:31">
      <c r="A383" s="49"/>
      <c r="B383" s="49"/>
      <c r="C383" s="23"/>
      <c r="D383" s="50"/>
      <c r="E383" s="51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1" t="str">
        <f t="shared" si="10"/>
        <v/>
      </c>
      <c r="AE383" s="50" t="str">
        <f t="shared" si="11"/>
        <v/>
      </c>
    </row>
    <row r="384" customHeight="1" spans="1:31">
      <c r="A384" s="49"/>
      <c r="B384" s="49"/>
      <c r="C384" s="23"/>
      <c r="D384" s="50"/>
      <c r="E384" s="51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1" t="str">
        <f t="shared" si="10"/>
        <v/>
      </c>
      <c r="AE384" s="50" t="str">
        <f t="shared" si="11"/>
        <v/>
      </c>
    </row>
    <row r="385" customHeight="1" spans="1:31">
      <c r="A385" s="49"/>
      <c r="B385" s="49"/>
      <c r="C385" s="23"/>
      <c r="D385" s="50"/>
      <c r="E385" s="51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1" t="str">
        <f t="shared" si="10"/>
        <v/>
      </c>
      <c r="AE385" s="50" t="str">
        <f t="shared" si="11"/>
        <v/>
      </c>
    </row>
    <row r="386" customHeight="1" spans="1:31">
      <c r="A386" s="49"/>
      <c r="B386" s="49"/>
      <c r="C386" s="23"/>
      <c r="D386" s="50"/>
      <c r="E386" s="51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1" t="str">
        <f t="shared" si="10"/>
        <v/>
      </c>
      <c r="AE386" s="50" t="str">
        <f t="shared" si="11"/>
        <v/>
      </c>
    </row>
    <row r="387" customHeight="1" spans="1:31">
      <c r="A387" s="49"/>
      <c r="B387" s="49"/>
      <c r="C387" s="23"/>
      <c r="D387" s="50"/>
      <c r="E387" s="51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1" t="str">
        <f t="shared" ref="AD387:AD450" si="12">IF(C387="","",IF($AC387="是",D387-(G387+H387+I387+J387+K387+T387),D387-(G387+H387+I387+J387+K387+F387)))</f>
        <v/>
      </c>
      <c r="AE387" s="50" t="str">
        <f t="shared" ref="AE387:AE450" si="13">IF(C387="","",IF(ROUND(E387,0)=ROUND(AD387,0),"√","×"))</f>
        <v/>
      </c>
    </row>
    <row r="388" customHeight="1" spans="1:31">
      <c r="A388" s="49"/>
      <c r="B388" s="49"/>
      <c r="C388" s="23"/>
      <c r="D388" s="50"/>
      <c r="E388" s="51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1" t="str">
        <f t="shared" si="12"/>
        <v/>
      </c>
      <c r="AE388" s="50" t="str">
        <f t="shared" si="13"/>
        <v/>
      </c>
    </row>
    <row r="389" customHeight="1" spans="1:31">
      <c r="A389" s="49"/>
      <c r="B389" s="49"/>
      <c r="C389" s="23"/>
      <c r="D389" s="50"/>
      <c r="E389" s="51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1" t="str">
        <f t="shared" si="12"/>
        <v/>
      </c>
      <c r="AE389" s="50" t="str">
        <f t="shared" si="13"/>
        <v/>
      </c>
    </row>
    <row r="390" customHeight="1" spans="1:31">
      <c r="A390" s="49"/>
      <c r="B390" s="49"/>
      <c r="C390" s="23"/>
      <c r="D390" s="50"/>
      <c r="E390" s="51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1" t="str">
        <f t="shared" si="12"/>
        <v/>
      </c>
      <c r="AE390" s="50" t="str">
        <f t="shared" si="13"/>
        <v/>
      </c>
    </row>
    <row r="391" customHeight="1" spans="1:31">
      <c r="A391" s="49"/>
      <c r="B391" s="49"/>
      <c r="C391" s="23"/>
      <c r="D391" s="50"/>
      <c r="E391" s="51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1" t="str">
        <f t="shared" si="12"/>
        <v/>
      </c>
      <c r="AE391" s="50" t="str">
        <f t="shared" si="13"/>
        <v/>
      </c>
    </row>
    <row r="392" customHeight="1" spans="1:31">
      <c r="A392" s="49"/>
      <c r="B392" s="49"/>
      <c r="C392" s="23"/>
      <c r="D392" s="50"/>
      <c r="E392" s="51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1" t="str">
        <f t="shared" si="12"/>
        <v/>
      </c>
      <c r="AE392" s="50" t="str">
        <f t="shared" si="13"/>
        <v/>
      </c>
    </row>
    <row r="393" customHeight="1" spans="1:31">
      <c r="A393" s="49"/>
      <c r="B393" s="49"/>
      <c r="C393" s="23"/>
      <c r="D393" s="50"/>
      <c r="E393" s="51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1" t="str">
        <f t="shared" si="12"/>
        <v/>
      </c>
      <c r="AE393" s="50" t="str">
        <f t="shared" si="13"/>
        <v/>
      </c>
    </row>
    <row r="394" customHeight="1" spans="1:31">
      <c r="A394" s="49"/>
      <c r="B394" s="49"/>
      <c r="C394" s="23"/>
      <c r="D394" s="50"/>
      <c r="E394" s="51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1" t="str">
        <f t="shared" si="12"/>
        <v/>
      </c>
      <c r="AE394" s="50" t="str">
        <f t="shared" si="13"/>
        <v/>
      </c>
    </row>
    <row r="395" customHeight="1" spans="1:31">
      <c r="A395" s="49"/>
      <c r="B395" s="49"/>
      <c r="C395" s="23"/>
      <c r="D395" s="50"/>
      <c r="E395" s="51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1" t="str">
        <f t="shared" si="12"/>
        <v/>
      </c>
      <c r="AE395" s="50" t="str">
        <f t="shared" si="13"/>
        <v/>
      </c>
    </row>
    <row r="396" customHeight="1" spans="1:31">
      <c r="A396" s="49"/>
      <c r="B396" s="49"/>
      <c r="C396" s="23"/>
      <c r="D396" s="50"/>
      <c r="E396" s="51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1" t="str">
        <f t="shared" si="12"/>
        <v/>
      </c>
      <c r="AE396" s="50" t="str">
        <f t="shared" si="13"/>
        <v/>
      </c>
    </row>
    <row r="397" customHeight="1" spans="1:31">
      <c r="A397" s="49"/>
      <c r="B397" s="49"/>
      <c r="C397" s="23"/>
      <c r="D397" s="50"/>
      <c r="E397" s="51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1" t="str">
        <f t="shared" si="12"/>
        <v/>
      </c>
      <c r="AE397" s="50" t="str">
        <f t="shared" si="13"/>
        <v/>
      </c>
    </row>
    <row r="398" customHeight="1" spans="1:31">
      <c r="A398" s="49"/>
      <c r="B398" s="49"/>
      <c r="C398" s="23"/>
      <c r="D398" s="50"/>
      <c r="E398" s="51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1" t="str">
        <f t="shared" si="12"/>
        <v/>
      </c>
      <c r="AE398" s="50" t="str">
        <f t="shared" si="13"/>
        <v/>
      </c>
    </row>
    <row r="399" customHeight="1" spans="1:31">
      <c r="A399" s="49"/>
      <c r="B399" s="49"/>
      <c r="C399" s="23"/>
      <c r="D399" s="50"/>
      <c r="E399" s="51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1" t="str">
        <f t="shared" si="12"/>
        <v/>
      </c>
      <c r="AE399" s="50" t="str">
        <f t="shared" si="13"/>
        <v/>
      </c>
    </row>
    <row r="400" customHeight="1" spans="1:31">
      <c r="A400" s="49"/>
      <c r="B400" s="49"/>
      <c r="C400" s="23"/>
      <c r="D400" s="50"/>
      <c r="E400" s="51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1" t="str">
        <f t="shared" si="12"/>
        <v/>
      </c>
      <c r="AE400" s="50" t="str">
        <f t="shared" si="13"/>
        <v/>
      </c>
    </row>
    <row r="401" customHeight="1" spans="1:31">
      <c r="A401" s="49"/>
      <c r="B401" s="49"/>
      <c r="C401" s="23"/>
      <c r="D401" s="50"/>
      <c r="E401" s="51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1" t="str">
        <f t="shared" si="12"/>
        <v/>
      </c>
      <c r="AE401" s="50" t="str">
        <f t="shared" si="13"/>
        <v/>
      </c>
    </row>
    <row r="402" customHeight="1" spans="1:31">
      <c r="A402" s="49"/>
      <c r="B402" s="49"/>
      <c r="C402" s="23"/>
      <c r="D402" s="50"/>
      <c r="E402" s="51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1" t="str">
        <f t="shared" si="12"/>
        <v/>
      </c>
      <c r="AE402" s="50" t="str">
        <f t="shared" si="13"/>
        <v/>
      </c>
    </row>
    <row r="403" customHeight="1" spans="1:31">
      <c r="A403" s="49"/>
      <c r="B403" s="49"/>
      <c r="C403" s="23"/>
      <c r="D403" s="50"/>
      <c r="E403" s="51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1" t="str">
        <f t="shared" si="12"/>
        <v/>
      </c>
      <c r="AE403" s="50" t="str">
        <f t="shared" si="13"/>
        <v/>
      </c>
    </row>
    <row r="404" customHeight="1" spans="1:31">
      <c r="A404" s="49"/>
      <c r="B404" s="49"/>
      <c r="C404" s="23"/>
      <c r="D404" s="50"/>
      <c r="E404" s="51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1" t="str">
        <f t="shared" si="12"/>
        <v/>
      </c>
      <c r="AE404" s="50" t="str">
        <f t="shared" si="13"/>
        <v/>
      </c>
    </row>
    <row r="405" customHeight="1" spans="1:31">
      <c r="A405" s="49"/>
      <c r="B405" s="49"/>
      <c r="C405" s="23"/>
      <c r="D405" s="50"/>
      <c r="E405" s="51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1" t="str">
        <f t="shared" si="12"/>
        <v/>
      </c>
      <c r="AE405" s="50" t="str">
        <f t="shared" si="13"/>
        <v/>
      </c>
    </row>
    <row r="406" customHeight="1" spans="1:31">
      <c r="A406" s="49"/>
      <c r="B406" s="49"/>
      <c r="C406" s="23"/>
      <c r="D406" s="50"/>
      <c r="E406" s="51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1" t="str">
        <f t="shared" si="12"/>
        <v/>
      </c>
      <c r="AE406" s="50" t="str">
        <f t="shared" si="13"/>
        <v/>
      </c>
    </row>
    <row r="407" customHeight="1" spans="1:31">
      <c r="A407" s="49"/>
      <c r="B407" s="49"/>
      <c r="C407" s="23"/>
      <c r="D407" s="50"/>
      <c r="E407" s="51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1" t="str">
        <f t="shared" si="12"/>
        <v/>
      </c>
      <c r="AE407" s="50" t="str">
        <f t="shared" si="13"/>
        <v/>
      </c>
    </row>
    <row r="408" customHeight="1" spans="1:31">
      <c r="A408" s="49"/>
      <c r="B408" s="49"/>
      <c r="C408" s="23"/>
      <c r="D408" s="50"/>
      <c r="E408" s="51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1" t="str">
        <f t="shared" si="12"/>
        <v/>
      </c>
      <c r="AE408" s="50" t="str">
        <f t="shared" si="13"/>
        <v/>
      </c>
    </row>
    <row r="409" customHeight="1" spans="1:31">
      <c r="A409" s="49"/>
      <c r="B409" s="49"/>
      <c r="C409" s="23"/>
      <c r="D409" s="50"/>
      <c r="E409" s="51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1" t="str">
        <f t="shared" si="12"/>
        <v/>
      </c>
      <c r="AE409" s="50" t="str">
        <f t="shared" si="13"/>
        <v/>
      </c>
    </row>
    <row r="410" customHeight="1" spans="1:31">
      <c r="A410" s="49"/>
      <c r="B410" s="49"/>
      <c r="C410" s="23"/>
      <c r="D410" s="50"/>
      <c r="E410" s="51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1" t="str">
        <f t="shared" si="12"/>
        <v/>
      </c>
      <c r="AE410" s="50" t="str">
        <f t="shared" si="13"/>
        <v/>
      </c>
    </row>
    <row r="411" customHeight="1" spans="1:31">
      <c r="A411" s="49"/>
      <c r="B411" s="49"/>
      <c r="C411" s="23"/>
      <c r="D411" s="50"/>
      <c r="E411" s="51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1" t="str">
        <f t="shared" si="12"/>
        <v/>
      </c>
      <c r="AE411" s="50" t="str">
        <f t="shared" si="13"/>
        <v/>
      </c>
    </row>
    <row r="412" customHeight="1" spans="1:31">
      <c r="A412" s="49"/>
      <c r="B412" s="49"/>
      <c r="C412" s="23"/>
      <c r="D412" s="50"/>
      <c r="E412" s="51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1" t="str">
        <f t="shared" si="12"/>
        <v/>
      </c>
      <c r="AE412" s="50" t="str">
        <f t="shared" si="13"/>
        <v/>
      </c>
    </row>
    <row r="413" customHeight="1" spans="1:31">
      <c r="A413" s="49"/>
      <c r="B413" s="49"/>
      <c r="C413" s="23"/>
      <c r="D413" s="50"/>
      <c r="E413" s="51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1" t="str">
        <f t="shared" si="12"/>
        <v/>
      </c>
      <c r="AE413" s="50" t="str">
        <f t="shared" si="13"/>
        <v/>
      </c>
    </row>
    <row r="414" customHeight="1" spans="1:31">
      <c r="A414" s="49"/>
      <c r="B414" s="49"/>
      <c r="C414" s="23"/>
      <c r="D414" s="50"/>
      <c r="E414" s="51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1" t="str">
        <f t="shared" si="12"/>
        <v/>
      </c>
      <c r="AE414" s="50" t="str">
        <f t="shared" si="13"/>
        <v/>
      </c>
    </row>
    <row r="415" customHeight="1" spans="1:31">
      <c r="A415" s="49"/>
      <c r="B415" s="49"/>
      <c r="C415" s="23"/>
      <c r="D415" s="50"/>
      <c r="E415" s="51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1" t="str">
        <f t="shared" si="12"/>
        <v/>
      </c>
      <c r="AE415" s="50" t="str">
        <f t="shared" si="13"/>
        <v/>
      </c>
    </row>
    <row r="416" customHeight="1" spans="1:31">
      <c r="A416" s="49"/>
      <c r="B416" s="49"/>
      <c r="C416" s="23"/>
      <c r="D416" s="50"/>
      <c r="E416" s="51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1" t="str">
        <f t="shared" si="12"/>
        <v/>
      </c>
      <c r="AE416" s="50" t="str">
        <f t="shared" si="13"/>
        <v/>
      </c>
    </row>
    <row r="417" customHeight="1" spans="1:31">
      <c r="A417" s="49"/>
      <c r="B417" s="49"/>
      <c r="C417" s="23"/>
      <c r="D417" s="50"/>
      <c r="E417" s="51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1" t="str">
        <f t="shared" si="12"/>
        <v/>
      </c>
      <c r="AE417" s="50" t="str">
        <f t="shared" si="13"/>
        <v/>
      </c>
    </row>
    <row r="418" customHeight="1" spans="1:31">
      <c r="A418" s="49"/>
      <c r="B418" s="49"/>
      <c r="C418" s="23"/>
      <c r="D418" s="50"/>
      <c r="E418" s="51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1" t="str">
        <f t="shared" si="12"/>
        <v/>
      </c>
      <c r="AE418" s="50" t="str">
        <f t="shared" si="13"/>
        <v/>
      </c>
    </row>
    <row r="419" customHeight="1" spans="1:31">
      <c r="A419" s="49"/>
      <c r="B419" s="49"/>
      <c r="C419" s="23"/>
      <c r="D419" s="50"/>
      <c r="E419" s="51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1" t="str">
        <f t="shared" si="12"/>
        <v/>
      </c>
      <c r="AE419" s="50" t="str">
        <f t="shared" si="13"/>
        <v/>
      </c>
    </row>
    <row r="420" customHeight="1" spans="1:31">
      <c r="A420" s="49"/>
      <c r="B420" s="49"/>
      <c r="C420" s="23"/>
      <c r="D420" s="50"/>
      <c r="E420" s="51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1" t="str">
        <f t="shared" si="12"/>
        <v/>
      </c>
      <c r="AE420" s="50" t="str">
        <f t="shared" si="13"/>
        <v/>
      </c>
    </row>
    <row r="421" customHeight="1" spans="1:31">
      <c r="A421" s="49"/>
      <c r="B421" s="49"/>
      <c r="C421" s="23"/>
      <c r="D421" s="50"/>
      <c r="E421" s="51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1" t="str">
        <f t="shared" si="12"/>
        <v/>
      </c>
      <c r="AE421" s="50" t="str">
        <f t="shared" si="13"/>
        <v/>
      </c>
    </row>
    <row r="422" customHeight="1" spans="1:31">
      <c r="A422" s="49"/>
      <c r="B422" s="49"/>
      <c r="C422" s="23"/>
      <c r="D422" s="50"/>
      <c r="E422" s="51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1" t="str">
        <f t="shared" si="12"/>
        <v/>
      </c>
      <c r="AE422" s="50" t="str">
        <f t="shared" si="13"/>
        <v/>
      </c>
    </row>
    <row r="423" customHeight="1" spans="1:31">
      <c r="A423" s="49"/>
      <c r="B423" s="49"/>
      <c r="C423" s="23"/>
      <c r="D423" s="50"/>
      <c r="E423" s="51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1" t="str">
        <f t="shared" si="12"/>
        <v/>
      </c>
      <c r="AE423" s="50" t="str">
        <f t="shared" si="13"/>
        <v/>
      </c>
    </row>
    <row r="424" customHeight="1" spans="1:31">
      <c r="A424" s="49"/>
      <c r="B424" s="49"/>
      <c r="C424" s="23"/>
      <c r="D424" s="50"/>
      <c r="E424" s="51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1" t="str">
        <f t="shared" si="12"/>
        <v/>
      </c>
      <c r="AE424" s="50" t="str">
        <f t="shared" si="13"/>
        <v/>
      </c>
    </row>
    <row r="425" customHeight="1" spans="1:31">
      <c r="A425" s="49"/>
      <c r="B425" s="49"/>
      <c r="C425" s="23"/>
      <c r="D425" s="50"/>
      <c r="E425" s="51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1" t="str">
        <f t="shared" si="12"/>
        <v/>
      </c>
      <c r="AE425" s="50" t="str">
        <f t="shared" si="13"/>
        <v/>
      </c>
    </row>
    <row r="426" customHeight="1" spans="1:31">
      <c r="A426" s="49"/>
      <c r="B426" s="49"/>
      <c r="C426" s="23"/>
      <c r="D426" s="50"/>
      <c r="E426" s="51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1" t="str">
        <f t="shared" si="12"/>
        <v/>
      </c>
      <c r="AE426" s="50" t="str">
        <f t="shared" si="13"/>
        <v/>
      </c>
    </row>
    <row r="427" customHeight="1" spans="1:31">
      <c r="A427" s="49"/>
      <c r="B427" s="49"/>
      <c r="C427" s="23"/>
      <c r="D427" s="50"/>
      <c r="E427" s="51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1" t="str">
        <f t="shared" si="12"/>
        <v/>
      </c>
      <c r="AE427" s="50" t="str">
        <f t="shared" si="13"/>
        <v/>
      </c>
    </row>
    <row r="428" customHeight="1" spans="1:31">
      <c r="A428" s="49"/>
      <c r="B428" s="49"/>
      <c r="C428" s="23"/>
      <c r="D428" s="50"/>
      <c r="E428" s="51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1" t="str">
        <f t="shared" si="12"/>
        <v/>
      </c>
      <c r="AE428" s="50" t="str">
        <f t="shared" si="13"/>
        <v/>
      </c>
    </row>
    <row r="429" customHeight="1" spans="1:31">
      <c r="A429" s="49"/>
      <c r="B429" s="49"/>
      <c r="C429" s="23"/>
      <c r="D429" s="50"/>
      <c r="E429" s="51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1" t="str">
        <f t="shared" si="12"/>
        <v/>
      </c>
      <c r="AE429" s="50" t="str">
        <f t="shared" si="13"/>
        <v/>
      </c>
    </row>
    <row r="430" customHeight="1" spans="1:31">
      <c r="A430" s="49"/>
      <c r="B430" s="49"/>
      <c r="C430" s="23"/>
      <c r="D430" s="50"/>
      <c r="E430" s="51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1" t="str">
        <f t="shared" si="12"/>
        <v/>
      </c>
      <c r="AE430" s="50" t="str">
        <f t="shared" si="13"/>
        <v/>
      </c>
    </row>
    <row r="431" customHeight="1" spans="1:31">
      <c r="A431" s="49"/>
      <c r="B431" s="49"/>
      <c r="C431" s="23"/>
      <c r="D431" s="50"/>
      <c r="E431" s="51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1" t="str">
        <f t="shared" si="12"/>
        <v/>
      </c>
      <c r="AE431" s="50" t="str">
        <f t="shared" si="13"/>
        <v/>
      </c>
    </row>
    <row r="432" customHeight="1" spans="1:31">
      <c r="A432" s="49"/>
      <c r="B432" s="49"/>
      <c r="C432" s="23"/>
      <c r="D432" s="50"/>
      <c r="E432" s="51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1" t="str">
        <f t="shared" si="12"/>
        <v/>
      </c>
      <c r="AE432" s="50" t="str">
        <f t="shared" si="13"/>
        <v/>
      </c>
    </row>
    <row r="433" customHeight="1" spans="1:31">
      <c r="A433" s="49"/>
      <c r="B433" s="49"/>
      <c r="C433" s="23"/>
      <c r="D433" s="50"/>
      <c r="E433" s="51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1" t="str">
        <f t="shared" si="12"/>
        <v/>
      </c>
      <c r="AE433" s="50" t="str">
        <f t="shared" si="13"/>
        <v/>
      </c>
    </row>
    <row r="434" customHeight="1" spans="1:31">
      <c r="A434" s="49"/>
      <c r="B434" s="49"/>
      <c r="C434" s="23"/>
      <c r="D434" s="50"/>
      <c r="E434" s="51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1" t="str">
        <f t="shared" si="12"/>
        <v/>
      </c>
      <c r="AE434" s="50" t="str">
        <f t="shared" si="13"/>
        <v/>
      </c>
    </row>
    <row r="435" customHeight="1" spans="1:31">
      <c r="A435" s="49"/>
      <c r="B435" s="49"/>
      <c r="C435" s="23"/>
      <c r="D435" s="50"/>
      <c r="E435" s="51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1" t="str">
        <f t="shared" si="12"/>
        <v/>
      </c>
      <c r="AE435" s="50" t="str">
        <f t="shared" si="13"/>
        <v/>
      </c>
    </row>
    <row r="436" customHeight="1" spans="1:31">
      <c r="A436" s="49"/>
      <c r="B436" s="49"/>
      <c r="C436" s="23"/>
      <c r="D436" s="50"/>
      <c r="E436" s="51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1" t="str">
        <f t="shared" si="12"/>
        <v/>
      </c>
      <c r="AE436" s="50" t="str">
        <f t="shared" si="13"/>
        <v/>
      </c>
    </row>
    <row r="437" customHeight="1" spans="1:31">
      <c r="A437" s="49"/>
      <c r="B437" s="49"/>
      <c r="C437" s="23"/>
      <c r="D437" s="50"/>
      <c r="E437" s="51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1" t="str">
        <f t="shared" si="12"/>
        <v/>
      </c>
      <c r="AE437" s="50" t="str">
        <f t="shared" si="13"/>
        <v/>
      </c>
    </row>
    <row r="438" customHeight="1" spans="1:31">
      <c r="A438" s="49"/>
      <c r="B438" s="49"/>
      <c r="C438" s="23"/>
      <c r="D438" s="50"/>
      <c r="E438" s="51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1" t="str">
        <f t="shared" si="12"/>
        <v/>
      </c>
      <c r="AE438" s="50" t="str">
        <f t="shared" si="13"/>
        <v/>
      </c>
    </row>
    <row r="439" customHeight="1" spans="1:31">
      <c r="A439" s="49"/>
      <c r="B439" s="49"/>
      <c r="C439" s="23"/>
      <c r="D439" s="50"/>
      <c r="E439" s="51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1" t="str">
        <f t="shared" si="12"/>
        <v/>
      </c>
      <c r="AE439" s="50" t="str">
        <f t="shared" si="13"/>
        <v/>
      </c>
    </row>
    <row r="440" customHeight="1" spans="1:31">
      <c r="A440" s="49"/>
      <c r="B440" s="49"/>
      <c r="C440" s="23"/>
      <c r="D440" s="50"/>
      <c r="E440" s="51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1" t="str">
        <f t="shared" si="12"/>
        <v/>
      </c>
      <c r="AE440" s="50" t="str">
        <f t="shared" si="13"/>
        <v/>
      </c>
    </row>
    <row r="441" customHeight="1" spans="1:31">
      <c r="A441" s="49"/>
      <c r="B441" s="49"/>
      <c r="C441" s="23"/>
      <c r="D441" s="50"/>
      <c r="E441" s="51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1" t="str">
        <f t="shared" si="12"/>
        <v/>
      </c>
      <c r="AE441" s="50" t="str">
        <f t="shared" si="13"/>
        <v/>
      </c>
    </row>
    <row r="442" customHeight="1" spans="1:31">
      <c r="A442" s="49"/>
      <c r="B442" s="49"/>
      <c r="C442" s="23"/>
      <c r="D442" s="50"/>
      <c r="E442" s="51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1" t="str">
        <f t="shared" si="12"/>
        <v/>
      </c>
      <c r="AE442" s="50" t="str">
        <f t="shared" si="13"/>
        <v/>
      </c>
    </row>
    <row r="443" customHeight="1" spans="1:31">
      <c r="A443" s="49"/>
      <c r="B443" s="49"/>
      <c r="C443" s="23"/>
      <c r="D443" s="50"/>
      <c r="E443" s="51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1" t="str">
        <f t="shared" si="12"/>
        <v/>
      </c>
      <c r="AE443" s="50" t="str">
        <f t="shared" si="13"/>
        <v/>
      </c>
    </row>
    <row r="444" customHeight="1" spans="1:31">
      <c r="A444" s="49"/>
      <c r="B444" s="49"/>
      <c r="C444" s="23"/>
      <c r="D444" s="50"/>
      <c r="E444" s="51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1" t="str">
        <f t="shared" si="12"/>
        <v/>
      </c>
      <c r="AE444" s="50" t="str">
        <f t="shared" si="13"/>
        <v/>
      </c>
    </row>
    <row r="445" customHeight="1" spans="1:31">
      <c r="A445" s="49"/>
      <c r="B445" s="49"/>
      <c r="C445" s="23"/>
      <c r="D445" s="50"/>
      <c r="E445" s="51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1" t="str">
        <f t="shared" si="12"/>
        <v/>
      </c>
      <c r="AE445" s="50" t="str">
        <f t="shared" si="13"/>
        <v/>
      </c>
    </row>
    <row r="446" customHeight="1" spans="1:31">
      <c r="A446" s="49"/>
      <c r="B446" s="49"/>
      <c r="C446" s="23"/>
      <c r="D446" s="50"/>
      <c r="E446" s="51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1" t="str">
        <f t="shared" si="12"/>
        <v/>
      </c>
      <c r="AE446" s="50" t="str">
        <f t="shared" si="13"/>
        <v/>
      </c>
    </row>
    <row r="447" customHeight="1" spans="1:31">
      <c r="A447" s="49"/>
      <c r="B447" s="49"/>
      <c r="C447" s="23"/>
      <c r="D447" s="50"/>
      <c r="E447" s="51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1" t="str">
        <f t="shared" si="12"/>
        <v/>
      </c>
      <c r="AE447" s="50" t="str">
        <f t="shared" si="13"/>
        <v/>
      </c>
    </row>
    <row r="448" customHeight="1" spans="1:31">
      <c r="A448" s="49"/>
      <c r="B448" s="49"/>
      <c r="C448" s="23"/>
      <c r="D448" s="50"/>
      <c r="E448" s="51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1" t="str">
        <f t="shared" si="12"/>
        <v/>
      </c>
      <c r="AE448" s="50" t="str">
        <f t="shared" si="13"/>
        <v/>
      </c>
    </row>
    <row r="449" customHeight="1" spans="1:31">
      <c r="A449" s="49"/>
      <c r="B449" s="49"/>
      <c r="C449" s="23"/>
      <c r="D449" s="50"/>
      <c r="E449" s="51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1" t="str">
        <f t="shared" si="12"/>
        <v/>
      </c>
      <c r="AE449" s="50" t="str">
        <f t="shared" si="13"/>
        <v/>
      </c>
    </row>
    <row r="450" customHeight="1" spans="1:31">
      <c r="A450" s="49"/>
      <c r="B450" s="49"/>
      <c r="C450" s="23"/>
      <c r="D450" s="50"/>
      <c r="E450" s="51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1" t="str">
        <f t="shared" si="12"/>
        <v/>
      </c>
      <c r="AE450" s="50" t="str">
        <f t="shared" si="13"/>
        <v/>
      </c>
    </row>
    <row r="451" customHeight="1" spans="1:31">
      <c r="A451" s="49"/>
      <c r="B451" s="49"/>
      <c r="C451" s="23"/>
      <c r="D451" s="50"/>
      <c r="E451" s="51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1" t="str">
        <f t="shared" ref="AD451:AD501" si="14">IF(C451="","",IF($AC451="是",D451-(G451+H451+I451+J451+K451+T451),D451-(G451+H451+I451+J451+K451+F451)))</f>
        <v/>
      </c>
      <c r="AE451" s="50" t="str">
        <f t="shared" ref="AE451:AE501" si="15">IF(C451="","",IF(ROUND(E451,0)=ROUND(AD451,0),"√","×"))</f>
        <v/>
      </c>
    </row>
    <row r="452" customHeight="1" spans="1:31">
      <c r="A452" s="49"/>
      <c r="B452" s="49"/>
      <c r="C452" s="23"/>
      <c r="D452" s="50"/>
      <c r="E452" s="51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1" t="str">
        <f t="shared" si="14"/>
        <v/>
      </c>
      <c r="AE452" s="50" t="str">
        <f t="shared" si="15"/>
        <v/>
      </c>
    </row>
    <row r="453" customHeight="1" spans="1:31">
      <c r="A453" s="49"/>
      <c r="B453" s="49"/>
      <c r="C453" s="23"/>
      <c r="D453" s="50"/>
      <c r="E453" s="51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1" t="str">
        <f t="shared" si="14"/>
        <v/>
      </c>
      <c r="AE453" s="50" t="str">
        <f t="shared" si="15"/>
        <v/>
      </c>
    </row>
    <row r="454" customHeight="1" spans="1:31">
      <c r="A454" s="49"/>
      <c r="B454" s="49"/>
      <c r="C454" s="23"/>
      <c r="D454" s="50"/>
      <c r="E454" s="51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1" t="str">
        <f t="shared" si="14"/>
        <v/>
      </c>
      <c r="AE454" s="50" t="str">
        <f t="shared" si="15"/>
        <v/>
      </c>
    </row>
    <row r="455" customHeight="1" spans="1:31">
      <c r="A455" s="49"/>
      <c r="B455" s="49"/>
      <c r="C455" s="23"/>
      <c r="D455" s="50"/>
      <c r="E455" s="51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1" t="str">
        <f t="shared" si="14"/>
        <v/>
      </c>
      <c r="AE455" s="50" t="str">
        <f t="shared" si="15"/>
        <v/>
      </c>
    </row>
    <row r="456" customHeight="1" spans="1:31">
      <c r="A456" s="49"/>
      <c r="B456" s="49"/>
      <c r="C456" s="23"/>
      <c r="D456" s="50"/>
      <c r="E456" s="51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1" t="str">
        <f t="shared" si="14"/>
        <v/>
      </c>
      <c r="AE456" s="50" t="str">
        <f t="shared" si="15"/>
        <v/>
      </c>
    </row>
    <row r="457" customHeight="1" spans="1:31">
      <c r="A457" s="49"/>
      <c r="B457" s="49"/>
      <c r="C457" s="23"/>
      <c r="D457" s="50"/>
      <c r="E457" s="51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1" t="str">
        <f t="shared" si="14"/>
        <v/>
      </c>
      <c r="AE457" s="50" t="str">
        <f t="shared" si="15"/>
        <v/>
      </c>
    </row>
    <row r="458" customHeight="1" spans="1:31">
      <c r="A458" s="49"/>
      <c r="B458" s="49"/>
      <c r="C458" s="23"/>
      <c r="D458" s="50"/>
      <c r="E458" s="51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1" t="str">
        <f t="shared" si="14"/>
        <v/>
      </c>
      <c r="AE458" s="50" t="str">
        <f t="shared" si="15"/>
        <v/>
      </c>
    </row>
    <row r="459" customHeight="1" spans="1:31">
      <c r="A459" s="49"/>
      <c r="B459" s="49"/>
      <c r="C459" s="23"/>
      <c r="D459" s="50"/>
      <c r="E459" s="51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1" t="str">
        <f t="shared" si="14"/>
        <v/>
      </c>
      <c r="AE459" s="50" t="str">
        <f t="shared" si="15"/>
        <v/>
      </c>
    </row>
    <row r="460" customHeight="1" spans="1:31">
      <c r="A460" s="49"/>
      <c r="B460" s="49"/>
      <c r="C460" s="23"/>
      <c r="D460" s="50"/>
      <c r="E460" s="51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1" t="str">
        <f t="shared" si="14"/>
        <v/>
      </c>
      <c r="AE460" s="50" t="str">
        <f t="shared" si="15"/>
        <v/>
      </c>
    </row>
    <row r="461" customHeight="1" spans="1:31">
      <c r="A461" s="49"/>
      <c r="B461" s="49"/>
      <c r="C461" s="23"/>
      <c r="D461" s="50"/>
      <c r="E461" s="51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1" t="str">
        <f t="shared" si="14"/>
        <v/>
      </c>
      <c r="AE461" s="50" t="str">
        <f t="shared" si="15"/>
        <v/>
      </c>
    </row>
    <row r="462" customHeight="1" spans="1:31">
      <c r="A462" s="49"/>
      <c r="B462" s="49"/>
      <c r="C462" s="23"/>
      <c r="D462" s="50"/>
      <c r="E462" s="51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1" t="str">
        <f t="shared" si="14"/>
        <v/>
      </c>
      <c r="AE462" s="50" t="str">
        <f t="shared" si="15"/>
        <v/>
      </c>
    </row>
    <row r="463" customHeight="1" spans="1:31">
      <c r="A463" s="49"/>
      <c r="B463" s="49"/>
      <c r="C463" s="23"/>
      <c r="D463" s="50"/>
      <c r="E463" s="51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1" t="str">
        <f t="shared" si="14"/>
        <v/>
      </c>
      <c r="AE463" s="50" t="str">
        <f t="shared" si="15"/>
        <v/>
      </c>
    </row>
    <row r="464" customHeight="1" spans="1:31">
      <c r="A464" s="49"/>
      <c r="B464" s="49"/>
      <c r="C464" s="23"/>
      <c r="D464" s="50"/>
      <c r="E464" s="51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1" t="str">
        <f t="shared" si="14"/>
        <v/>
      </c>
      <c r="AE464" s="50" t="str">
        <f t="shared" si="15"/>
        <v/>
      </c>
    </row>
    <row r="465" customHeight="1" spans="1:31">
      <c r="A465" s="49"/>
      <c r="B465" s="49"/>
      <c r="C465" s="23"/>
      <c r="D465" s="50"/>
      <c r="E465" s="51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1" t="str">
        <f t="shared" si="14"/>
        <v/>
      </c>
      <c r="AE465" s="50" t="str">
        <f t="shared" si="15"/>
        <v/>
      </c>
    </row>
    <row r="466" customHeight="1" spans="1:31">
      <c r="A466" s="49"/>
      <c r="B466" s="49"/>
      <c r="C466" s="23"/>
      <c r="D466" s="50"/>
      <c r="E466" s="51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1" t="str">
        <f t="shared" si="14"/>
        <v/>
      </c>
      <c r="AE466" s="50" t="str">
        <f t="shared" si="15"/>
        <v/>
      </c>
    </row>
    <row r="467" customHeight="1" spans="1:31">
      <c r="A467" s="49"/>
      <c r="B467" s="49"/>
      <c r="C467" s="23"/>
      <c r="D467" s="50"/>
      <c r="E467" s="51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1" t="str">
        <f t="shared" si="14"/>
        <v/>
      </c>
      <c r="AE467" s="50" t="str">
        <f t="shared" si="15"/>
        <v/>
      </c>
    </row>
    <row r="468" customHeight="1" spans="1:31">
      <c r="A468" s="49"/>
      <c r="B468" s="49"/>
      <c r="C468" s="23"/>
      <c r="D468" s="50"/>
      <c r="E468" s="51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1" t="str">
        <f t="shared" si="14"/>
        <v/>
      </c>
      <c r="AE468" s="50" t="str">
        <f t="shared" si="15"/>
        <v/>
      </c>
    </row>
    <row r="469" customHeight="1" spans="1:31">
      <c r="A469" s="49"/>
      <c r="B469" s="49"/>
      <c r="C469" s="23"/>
      <c r="D469" s="50"/>
      <c r="E469" s="51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1" t="str">
        <f t="shared" si="14"/>
        <v/>
      </c>
      <c r="AE469" s="50" t="str">
        <f t="shared" si="15"/>
        <v/>
      </c>
    </row>
    <row r="470" customHeight="1" spans="1:31">
      <c r="A470" s="49"/>
      <c r="B470" s="49"/>
      <c r="C470" s="23"/>
      <c r="D470" s="50"/>
      <c r="E470" s="51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1" t="str">
        <f t="shared" si="14"/>
        <v/>
      </c>
      <c r="AE470" s="50" t="str">
        <f t="shared" si="15"/>
        <v/>
      </c>
    </row>
    <row r="471" customHeight="1" spans="1:31">
      <c r="A471" s="49"/>
      <c r="B471" s="49"/>
      <c r="C471" s="23"/>
      <c r="D471" s="50"/>
      <c r="E471" s="51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1" t="str">
        <f t="shared" si="14"/>
        <v/>
      </c>
      <c r="AE471" s="50" t="str">
        <f t="shared" si="15"/>
        <v/>
      </c>
    </row>
    <row r="472" customHeight="1" spans="1:31">
      <c r="A472" s="49"/>
      <c r="B472" s="49"/>
      <c r="C472" s="23"/>
      <c r="D472" s="50"/>
      <c r="E472" s="51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1" t="str">
        <f t="shared" si="14"/>
        <v/>
      </c>
      <c r="AE472" s="50" t="str">
        <f t="shared" si="15"/>
        <v/>
      </c>
    </row>
    <row r="473" customHeight="1" spans="1:31">
      <c r="A473" s="49"/>
      <c r="B473" s="49"/>
      <c r="C473" s="23"/>
      <c r="D473" s="50"/>
      <c r="E473" s="51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1" t="str">
        <f t="shared" si="14"/>
        <v/>
      </c>
      <c r="AE473" s="50" t="str">
        <f t="shared" si="15"/>
        <v/>
      </c>
    </row>
    <row r="474" customHeight="1" spans="1:31">
      <c r="A474" s="49"/>
      <c r="B474" s="49"/>
      <c r="C474" s="23"/>
      <c r="D474" s="50"/>
      <c r="E474" s="51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1" t="str">
        <f t="shared" si="14"/>
        <v/>
      </c>
      <c r="AE474" s="50" t="str">
        <f t="shared" si="15"/>
        <v/>
      </c>
    </row>
    <row r="475" customHeight="1" spans="1:31">
      <c r="A475" s="49"/>
      <c r="B475" s="49"/>
      <c r="C475" s="23"/>
      <c r="D475" s="50"/>
      <c r="E475" s="51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1" t="str">
        <f t="shared" si="14"/>
        <v/>
      </c>
      <c r="AE475" s="50" t="str">
        <f t="shared" si="15"/>
        <v/>
      </c>
    </row>
    <row r="476" customHeight="1" spans="1:31">
      <c r="A476" s="49"/>
      <c r="B476" s="49"/>
      <c r="C476" s="23"/>
      <c r="D476" s="50"/>
      <c r="E476" s="51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1" t="str">
        <f t="shared" si="14"/>
        <v/>
      </c>
      <c r="AE476" s="50" t="str">
        <f t="shared" si="15"/>
        <v/>
      </c>
    </row>
    <row r="477" customHeight="1" spans="1:31">
      <c r="A477" s="49"/>
      <c r="B477" s="49"/>
      <c r="C477" s="23"/>
      <c r="D477" s="50"/>
      <c r="E477" s="51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1" t="str">
        <f t="shared" si="14"/>
        <v/>
      </c>
      <c r="AE477" s="50" t="str">
        <f t="shared" si="15"/>
        <v/>
      </c>
    </row>
    <row r="478" customHeight="1" spans="1:31">
      <c r="A478" s="49"/>
      <c r="B478" s="49"/>
      <c r="C478" s="23"/>
      <c r="D478" s="50"/>
      <c r="E478" s="51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1" t="str">
        <f t="shared" si="14"/>
        <v/>
      </c>
      <c r="AE478" s="50" t="str">
        <f t="shared" si="15"/>
        <v/>
      </c>
    </row>
    <row r="479" customHeight="1" spans="1:31">
      <c r="A479" s="49"/>
      <c r="B479" s="49"/>
      <c r="C479" s="23"/>
      <c r="D479" s="50"/>
      <c r="E479" s="51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1" t="str">
        <f t="shared" si="14"/>
        <v/>
      </c>
      <c r="AE479" s="50" t="str">
        <f t="shared" si="15"/>
        <v/>
      </c>
    </row>
    <row r="480" customHeight="1" spans="1:31">
      <c r="A480" s="49"/>
      <c r="B480" s="49"/>
      <c r="C480" s="23"/>
      <c r="D480" s="50"/>
      <c r="E480" s="51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1" t="str">
        <f t="shared" si="14"/>
        <v/>
      </c>
      <c r="AE480" s="50" t="str">
        <f t="shared" si="15"/>
        <v/>
      </c>
    </row>
    <row r="481" customHeight="1" spans="1:31">
      <c r="A481" s="49"/>
      <c r="B481" s="49"/>
      <c r="C481" s="23"/>
      <c r="D481" s="50"/>
      <c r="E481" s="51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1" t="str">
        <f t="shared" si="14"/>
        <v/>
      </c>
      <c r="AE481" s="50" t="str">
        <f t="shared" si="15"/>
        <v/>
      </c>
    </row>
    <row r="482" customHeight="1" spans="1:31">
      <c r="A482" s="49"/>
      <c r="B482" s="49"/>
      <c r="C482" s="23"/>
      <c r="D482" s="50"/>
      <c r="E482" s="51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1" t="str">
        <f t="shared" si="14"/>
        <v/>
      </c>
      <c r="AE482" s="50" t="str">
        <f t="shared" si="15"/>
        <v/>
      </c>
    </row>
    <row r="483" customHeight="1" spans="1:31">
      <c r="A483" s="49"/>
      <c r="B483" s="49"/>
      <c r="C483" s="23"/>
      <c r="D483" s="50"/>
      <c r="E483" s="51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1" t="str">
        <f t="shared" si="14"/>
        <v/>
      </c>
      <c r="AE483" s="50" t="str">
        <f t="shared" si="15"/>
        <v/>
      </c>
    </row>
    <row r="484" customHeight="1" spans="1:31">
      <c r="A484" s="49"/>
      <c r="B484" s="49"/>
      <c r="C484" s="23"/>
      <c r="D484" s="50"/>
      <c r="E484" s="51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1" t="str">
        <f t="shared" si="14"/>
        <v/>
      </c>
      <c r="AE484" s="50" t="str">
        <f t="shared" si="15"/>
        <v/>
      </c>
    </row>
    <row r="485" customHeight="1" spans="1:31">
      <c r="A485" s="49"/>
      <c r="B485" s="49"/>
      <c r="C485" s="23"/>
      <c r="D485" s="50"/>
      <c r="E485" s="51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1" t="str">
        <f t="shared" si="14"/>
        <v/>
      </c>
      <c r="AE485" s="50" t="str">
        <f t="shared" si="15"/>
        <v/>
      </c>
    </row>
    <row r="486" customHeight="1" spans="1:31">
      <c r="A486" s="49"/>
      <c r="B486" s="49"/>
      <c r="C486" s="23"/>
      <c r="D486" s="50"/>
      <c r="E486" s="51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1" t="str">
        <f t="shared" si="14"/>
        <v/>
      </c>
      <c r="AE486" s="50" t="str">
        <f t="shared" si="15"/>
        <v/>
      </c>
    </row>
    <row r="487" customHeight="1" spans="1:31">
      <c r="A487" s="49"/>
      <c r="B487" s="49"/>
      <c r="C487" s="23"/>
      <c r="D487" s="50"/>
      <c r="E487" s="51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1" t="str">
        <f t="shared" si="14"/>
        <v/>
      </c>
      <c r="AE487" s="50" t="str">
        <f t="shared" si="15"/>
        <v/>
      </c>
    </row>
    <row r="488" customHeight="1" spans="1:31">
      <c r="A488" s="49"/>
      <c r="B488" s="49"/>
      <c r="C488" s="23"/>
      <c r="D488" s="50"/>
      <c r="E488" s="51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1" t="str">
        <f t="shared" si="14"/>
        <v/>
      </c>
      <c r="AE488" s="50" t="str">
        <f t="shared" si="15"/>
        <v/>
      </c>
    </row>
    <row r="489" customHeight="1" spans="1:31">
      <c r="A489" s="49"/>
      <c r="B489" s="49"/>
      <c r="C489" s="23"/>
      <c r="D489" s="50"/>
      <c r="E489" s="51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1" t="str">
        <f t="shared" si="14"/>
        <v/>
      </c>
      <c r="AE489" s="50" t="str">
        <f t="shared" si="15"/>
        <v/>
      </c>
    </row>
    <row r="490" customHeight="1" spans="1:31">
      <c r="A490" s="49"/>
      <c r="B490" s="49"/>
      <c r="C490" s="23"/>
      <c r="D490" s="50"/>
      <c r="E490" s="51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1" t="str">
        <f t="shared" si="14"/>
        <v/>
      </c>
      <c r="AE490" s="50" t="str">
        <f t="shared" si="15"/>
        <v/>
      </c>
    </row>
    <row r="491" customHeight="1" spans="1:31">
      <c r="A491" s="49"/>
      <c r="B491" s="49"/>
      <c r="C491" s="23"/>
      <c r="D491" s="50"/>
      <c r="E491" s="51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1" t="str">
        <f t="shared" si="14"/>
        <v/>
      </c>
      <c r="AE491" s="50" t="str">
        <f t="shared" si="15"/>
        <v/>
      </c>
    </row>
    <row r="492" customHeight="1" spans="1:31">
      <c r="A492" s="49"/>
      <c r="B492" s="49"/>
      <c r="C492" s="23"/>
      <c r="D492" s="50"/>
      <c r="E492" s="51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1" t="str">
        <f t="shared" si="14"/>
        <v/>
      </c>
      <c r="AE492" s="50" t="str">
        <f t="shared" si="15"/>
        <v/>
      </c>
    </row>
    <row r="493" customHeight="1" spans="1:31">
      <c r="A493" s="49"/>
      <c r="B493" s="49"/>
      <c r="C493" s="23"/>
      <c r="D493" s="50"/>
      <c r="E493" s="51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1" t="str">
        <f t="shared" si="14"/>
        <v/>
      </c>
      <c r="AE493" s="50" t="str">
        <f t="shared" si="15"/>
        <v/>
      </c>
    </row>
    <row r="494" customHeight="1" spans="1:31">
      <c r="A494" s="49"/>
      <c r="B494" s="49"/>
      <c r="C494" s="23"/>
      <c r="D494" s="50"/>
      <c r="E494" s="51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1" t="str">
        <f t="shared" si="14"/>
        <v/>
      </c>
      <c r="AE494" s="50" t="str">
        <f t="shared" si="15"/>
        <v/>
      </c>
    </row>
    <row r="495" customHeight="1" spans="1:31">
      <c r="A495" s="49"/>
      <c r="B495" s="49"/>
      <c r="C495" s="23"/>
      <c r="D495" s="50"/>
      <c r="E495" s="51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1" t="str">
        <f t="shared" si="14"/>
        <v/>
      </c>
      <c r="AE495" s="50" t="str">
        <f t="shared" si="15"/>
        <v/>
      </c>
    </row>
    <row r="496" customHeight="1" spans="1:31">
      <c r="A496" s="49"/>
      <c r="B496" s="49"/>
      <c r="C496" s="23"/>
      <c r="D496" s="50"/>
      <c r="E496" s="51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1" t="str">
        <f t="shared" si="14"/>
        <v/>
      </c>
      <c r="AE496" s="50" t="str">
        <f t="shared" si="15"/>
        <v/>
      </c>
    </row>
    <row r="497" customHeight="1" spans="1:31">
      <c r="A497" s="49"/>
      <c r="B497" s="49"/>
      <c r="C497" s="23"/>
      <c r="D497" s="50"/>
      <c r="E497" s="51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1" t="str">
        <f t="shared" si="14"/>
        <v/>
      </c>
      <c r="AE497" s="50" t="str">
        <f t="shared" si="15"/>
        <v/>
      </c>
    </row>
    <row r="498" customHeight="1" spans="1:31">
      <c r="A498" s="49"/>
      <c r="B498" s="49"/>
      <c r="C498" s="23"/>
      <c r="D498" s="50"/>
      <c r="E498" s="51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1" t="str">
        <f t="shared" si="14"/>
        <v/>
      </c>
      <c r="AE498" s="50" t="str">
        <f t="shared" si="15"/>
        <v/>
      </c>
    </row>
    <row r="499" customHeight="1" spans="1:31">
      <c r="A499" s="49"/>
      <c r="B499" s="49"/>
      <c r="C499" s="23"/>
      <c r="D499" s="50"/>
      <c r="E499" s="51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1" t="str">
        <f t="shared" si="14"/>
        <v/>
      </c>
      <c r="AE499" s="50" t="str">
        <f t="shared" si="15"/>
        <v/>
      </c>
    </row>
    <row r="500" customHeight="1" spans="1:31">
      <c r="A500" s="49"/>
      <c r="B500" s="49"/>
      <c r="C500" s="23"/>
      <c r="D500" s="50"/>
      <c r="E500" s="51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1" t="str">
        <f t="shared" si="14"/>
        <v/>
      </c>
      <c r="AE500" s="50" t="str">
        <f t="shared" si="15"/>
        <v/>
      </c>
    </row>
    <row r="501" customHeight="1" spans="1:31">
      <c r="A501" s="49"/>
      <c r="B501" s="49"/>
      <c r="C501" s="23"/>
      <c r="D501" s="50"/>
      <c r="E501" s="51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1" t="str">
        <f t="shared" si="14"/>
        <v/>
      </c>
      <c r="AE501" s="50" t="str">
        <f t="shared" si="15"/>
        <v/>
      </c>
    </row>
  </sheetData>
  <autoFilter xmlns:etc="http://www.wps.cn/officeDocument/2017/etCustomData" ref="A1:BK501" etc:filterBottomFollowUsedRange="0">
    <extLst/>
  </autoFilter>
  <conditionalFormatting sqref="A1:AE1 A2:AC501 A502:AE1048576">
    <cfRule type="expression" dxfId="0" priority="5">
      <formula>$AE1="×"</formula>
    </cfRule>
  </conditionalFormatting>
  <conditionalFormatting sqref="AD2:AE501">
    <cfRule type="expression" dxfId="0" priority="1">
      <formula>$AE2="×"</formula>
    </cfRule>
  </conditionalFormatting>
  <dataValidations count="1">
    <dataValidation type="list" allowBlank="1" showInputMessage="1" showErrorMessage="1" sqref="AC2:AC1048576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"/>
  <sheetViews>
    <sheetView workbookViewId="0">
      <selection activeCell="B16" sqref="B16"/>
    </sheetView>
  </sheetViews>
  <sheetFormatPr defaultColWidth="8.88983050847458" defaultRowHeight="14.4" outlineLevelRow="6" outlineLevelCol="1"/>
  <cols>
    <col min="1" max="1" width="19.7796610169492" style="36" customWidth="1"/>
    <col min="2" max="2" width="57.6694915254237" style="14" customWidth="1"/>
    <col min="3" max="16384" width="8.88983050847458" style="14" customWidth="1"/>
  </cols>
  <sheetData>
    <row r="1" spans="1:2">
      <c r="A1" s="36" t="s">
        <v>31</v>
      </c>
      <c r="B1" s="14" t="s">
        <v>32</v>
      </c>
    </row>
    <row r="2" spans="1:2">
      <c r="A2" s="36" t="s">
        <v>33</v>
      </c>
    </row>
    <row r="3" spans="1:2">
      <c r="A3" s="36" t="s">
        <v>34</v>
      </c>
    </row>
    <row r="4" spans="1:2">
      <c r="A4" s="36" t="s">
        <v>35</v>
      </c>
    </row>
    <row r="5" spans="1:2">
      <c r="A5" s="36" t="s">
        <v>36</v>
      </c>
    </row>
    <row r="6" spans="1:2">
      <c r="A6" s="36" t="s">
        <v>37</v>
      </c>
    </row>
    <row r="7" spans="1:2">
      <c r="A7" s="36" t="s">
        <v>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Z5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8983050847458" defaultRowHeight="15" customHeight="1"/>
  <cols>
    <col min="1" max="1" width="23.1101694915254" style="21" customWidth="1"/>
    <col min="2" max="2" width="23.6271186440678" style="22" customWidth="1"/>
    <col min="3" max="3" width="34.0762711864407" style="21" customWidth="1"/>
    <col min="4" max="4" width="30.7796610169492" style="21" customWidth="1"/>
    <col min="5" max="26" width="10.7796610169492" style="21" customWidth="1"/>
    <col min="27" max="16384" width="8.88983050847458" style="30" customWidth="1"/>
  </cols>
  <sheetData>
    <row r="1" s="29" customFormat="1" customHeight="1" spans="1:26">
      <c r="A1" s="24" t="str">
        <f>IF(盘货信息!A1="","",盘货信息!A1)</f>
        <v>ID</v>
      </c>
      <c r="B1" s="24" t="str">
        <f>IF(盘货信息!B1="","",盘货信息!B1)</f>
        <v>skuid</v>
      </c>
      <c r="C1" s="25" t="str">
        <f>IF(盘货信息!C1="","",盘货信息!C1)</f>
        <v>型号</v>
      </c>
      <c r="D1" s="31" t="s">
        <v>39</v>
      </c>
      <c r="E1" s="32" t="s">
        <v>33</v>
      </c>
      <c r="F1" s="32" t="s">
        <v>40</v>
      </c>
      <c r="G1" s="32" t="s">
        <v>34</v>
      </c>
      <c r="H1" s="32" t="s">
        <v>41</v>
      </c>
      <c r="I1" s="33" t="s">
        <v>42</v>
      </c>
      <c r="J1" s="33" t="s">
        <v>43</v>
      </c>
      <c r="K1" s="33" t="s">
        <v>41</v>
      </c>
      <c r="L1" s="34" t="s">
        <v>19</v>
      </c>
      <c r="M1" s="34" t="s">
        <v>44</v>
      </c>
      <c r="N1" s="34" t="str">
        <f>盘货信息!$V$1</f>
        <v>赠品权益</v>
      </c>
      <c r="O1" s="34" t="str">
        <f>盘货信息!$W$1</f>
        <v>晒单</v>
      </c>
      <c r="P1" s="34" t="str">
        <f>盘货信息!$S$1</f>
        <v>发逛逛后返</v>
      </c>
      <c r="Q1" s="34" t="str">
        <f>盘货信息!$X$1</f>
        <v>后返</v>
      </c>
      <c r="R1" s="34" t="str">
        <f>盘货信息!$Z$1</f>
        <v>延保</v>
      </c>
      <c r="S1" s="34" t="str">
        <f>盘货信息!$Q$1</f>
        <v>店铺站外种草活动</v>
      </c>
      <c r="T1" s="34" t="s">
        <v>45</v>
      </c>
      <c r="U1" s="34" t="s">
        <v>41</v>
      </c>
      <c r="V1" s="35" t="s">
        <v>24</v>
      </c>
      <c r="W1" s="35" t="s">
        <v>46</v>
      </c>
      <c r="X1" s="35" t="s">
        <v>47</v>
      </c>
      <c r="Y1" s="35" t="s">
        <v>41</v>
      </c>
      <c r="Z1" s="25" t="s">
        <v>48</v>
      </c>
    </row>
    <row r="2" customHeight="1" spans="1:26">
      <c r="A2" s="26" t="str">
        <f>IF(盘货信息!A2="","",盘货信息!A2)</f>
        <v/>
      </c>
      <c r="B2" s="26" t="str">
        <f>IF(盘货信息!B2="","",盘货信息!B2)</f>
        <v/>
      </c>
      <c r="C2" s="27" t="str">
        <f>IF(盘货信息!C2="","",盘货信息!C2)</f>
        <v/>
      </c>
      <c r="D2" s="27" t="str">
        <f ca="1">_xlfn.TEXTJOIN(CHAR(10),TRUE,OFFSET(INDIRECT("RC",FALSE),0,1,1,30))</f>
        <v/>
      </c>
      <c r="E2" s="27" t="str">
        <f>IF(C2="","",固定信息!$B$2)</f>
        <v/>
      </c>
      <c r="F2" s="27" t="str">
        <f>IF(C2="","","【"&amp;C2&amp;"】"&amp;固定信息!$B$4)</f>
        <v/>
      </c>
      <c r="G2" s="27" t="str">
        <f>IF(C2="","","【"&amp;"活动时间："&amp;固定信息!$B$3&amp;"】")</f>
        <v/>
      </c>
      <c r="H2" s="27" t="str">
        <f>IF($C2="","",固定信息!$B$1)</f>
        <v/>
      </c>
      <c r="I2" s="27" t="str">
        <f>IF(OR(C2="",固定信息!$B$5=""),"","【1元预约锁好礼】"&amp;固定信息!$B$5)</f>
        <v/>
      </c>
      <c r="J2" s="27" t="str" cm="1">
        <f t="array" ref="J2">_xlfn.XLOOKUP($A2&amp;$B2&amp;$C2,价格信息!$A:$A&amp;价格信息!$B:$B&amp;价格信息!$C:$C,价格信息!$D:$D)</f>
        <v/>
      </c>
      <c r="K2" s="27" t="str">
        <f>IF($C2="","",固定信息!$B$1)</f>
        <v/>
      </c>
      <c r="L2" s="27" t="str" cm="1">
        <f t="array" ref="L2">IF(_xlfn.XLOOKUP($A2&amp;$B2&amp;$C2,盘货信息!$A:$A&amp;盘货信息!$B:$B&amp;盘货信息!$C:$C,盘货信息!$T:$T)="","","【优惠券】领"&amp;_xlfn.XLOOKUP($A2&amp;$B2&amp;$C2,盘货信息!$A:$A&amp;盘货信息!$B:$B&amp;盘货信息!$C:$C,盘货信息!$T:$T)&amp;"元优惠卷下单更优惠，领券链接："&amp;_xlfn.XLOOKUP($A2&amp;$B2&amp;$C2,盘货信息!$A:$A&amp;盘货信息!$B:$B&amp;盘货信息!$C:$C,盘货信息!$U:$U))</f>
        <v/>
      </c>
      <c r="M2" s="27" t="str" cm="1">
        <f t="array" ref="M2">IF(_xlfn.XLOOKUP($A2&amp;$B2&amp;$C2,盘货信息!$A:$A&amp;盘货信息!$B:$B&amp;盘货信息!$C:$C,盘货信息!$P:$P)="","","【限时】"&amp;_xlfn.XLOOKUP($A2&amp;$B2&amp;$C2,盘货信息!$A:$A&amp;盘货信息!$B:$B&amp;盘货信息!$C:$C,盘货信息!$P:$P))</f>
        <v/>
      </c>
      <c r="N2" s="27" t="str" cm="1">
        <f t="array" ref="N2">IF(_xlfn.XLOOKUP($A2&amp;$B2&amp;$C2,盘货信息!$A:$A&amp;盘货信息!$B:$B&amp;盘货信息!$C:$C,盘货信息!$V:$V)="","","【"&amp;盘货信息!$V$1&amp;"】"&amp;_xlfn.XLOOKUP($A2&amp;$B2&amp;$C2,盘货信息!$A:$A&amp;盘货信息!$B:$B&amp;盘货信息!$C:$C,盘货信息!$V:$V))</f>
        <v/>
      </c>
      <c r="O2" s="27" t="str" cm="1">
        <f t="array" ref="O2">IF(_xlfn.XLOOKUP($A2&amp;$B2&amp;$C2,盘货信息!$A:$A&amp;盘货信息!$B:$B&amp;盘货信息!$C:$C,盘货信息!$W:$W)="","","【"&amp;盘货信息!$W$1&amp;"】"&amp;_xlfn.XLOOKUP($A2&amp;$B2&amp;$C2,盘货信息!$A:$A&amp;盘货信息!$B:$B&amp;盘货信息!$C:$C,盘货信息!$W:$W))</f>
        <v/>
      </c>
      <c r="P2" s="27" t="str" cm="1">
        <f t="array" ref="P2">IF(_xlfn.XLOOKUP($A2&amp;$B2&amp;$C2,盘货信息!$A:$A&amp;盘货信息!$B:$B&amp;盘货信息!$C:$C,盘货信息!$S:$S)&lt;1,"","【"&amp;盘货信息!$S$1&amp;"】"&amp;"后返"&amp;_xlfn.XLOOKUP($A2&amp;$B2&amp;$C2,盘货信息!$A:$A&amp;盘货信息!$B:$B&amp;盘货信息!$C:$C,盘货信息!$S:$S)&amp;"元")</f>
        <v/>
      </c>
      <c r="Q2" s="27" t="str" cm="1">
        <f t="array" ref="Q2">IF(_xlfn.XLOOKUP($A2&amp;$B2&amp;$C2,盘货信息!$A:$A&amp;盘货信息!$B:$B&amp;盘货信息!$C:$C,盘货信息!$X:$X)="","","【"&amp;盘货信息!$X$1&amp;"】"&amp;_xlfn.XLOOKUP($A2&amp;$B2&amp;$C2,盘货信息!$A:$A&amp;盘货信息!$B:$B&amp;盘货信息!$C:$C,盘货信息!$X:$X))</f>
        <v/>
      </c>
      <c r="R2" s="27" t="str" cm="1">
        <f t="array" ref="R2">IF(_xlfn.XLOOKUP($A2&amp;$B2&amp;$C2,盘货信息!$A:$A&amp;盘货信息!$B:$B&amp;盘货信息!$C:$C,盘货信息!$Z:$Z)="","","【"&amp;盘货信息!$Z$1&amp;"】"&amp;_xlfn.XLOOKUP($A2&amp;$B2&amp;$C2,盘货信息!$A:$A&amp;盘货信息!$B:$B&amp;盘货信息!$C:$C,盘货信息!$Z:$Z))</f>
        <v/>
      </c>
      <c r="S2" s="27" t="str" cm="1">
        <f t="array" ref="S2">IF(_xlfn.XLOOKUP($A2&amp;$B2&amp;$C2,盘货信息!$A:$A&amp;盘货信息!$B:$B&amp;盘货信息!$C:$C,盘货信息!$Q:$Q)="","","【种草】站外带指定话题种草后返"&amp;_xlfn.XLOOKUP($A2&amp;$B2&amp;$C2,盘货信息!$A:$A&amp;盘货信息!$B:$B&amp;盘货信息!$C:$C,盘货信息!$Q:$Q)&amp;"元红包（每个淘宝账号仅限对应一个站外种草账号，同一个种草账号不可对应多个淘宝账号）")</f>
        <v/>
      </c>
      <c r="T2" s="27" t="str" cm="1">
        <f t="array" ref="T2">IF(_xlfn.XLOOKUP($A2&amp;$B2&amp;$C2,盘货信息!$A:$A&amp;盘货信息!$B:$B&amp;盘货信息!$C:$C,盘货信息!$R:$R)&lt;1,"","【以旧换新】"&amp;"享补贴"&amp;ROUND(_xlfn.XLOOKUP($A2&amp;$B2&amp;$C2,盘货信息!$A:$A&amp;盘货信息!$B:$B&amp;盘货信息!$C:$C,盘货信息!$R:$R),0)&amp;"元（可无旧机换新）")</f>
        <v/>
      </c>
      <c r="U2" s="27" t="str">
        <f>IF(AND($N2="",$O2="",$P2="",$Q2="",$R2="",$S2="",$T2=""),"",固定信息!$B$1)</f>
        <v/>
      </c>
      <c r="V2" s="27" t="str" cm="1">
        <f t="array" ref="V2">IF(_xlfn.XLOOKUP($A2&amp;$B2&amp;$C2,盘货信息!$A:$A&amp;盘货信息!$B:$B&amp;盘货信息!$C:$C,盘货信息!$Y:$Y)="","","【卡萨帝送赠】活动指定时间"&amp;_xlfn.TEXTBEFORE(_xlfn.TEXTAFTER(_xlfn.XLOOKUP($A2&amp;$B2&amp;$C2,盘货信息!$A:$A&amp;盘货信息!$B:$B&amp;盘货信息!$C:$C,盘货信息!$Y:$Y),"点"),"（"))</f>
        <v/>
      </c>
      <c r="W2" s="27" t="str" cm="1">
        <f t="array" ref="W2">IF(COUNTIF(_xlfn.XLOOKUP($A2&amp;$B2&amp;$C2,盘货信息!$A:$A&amp;盘货信息!$B:$B&amp;盘货信息!$C:$C,盘货信息!$O:$O),"*是*"),"【折扣】指定型号满2类享96折，满3类享94折","")</f>
        <v/>
      </c>
      <c r="X2" s="27" t="str" cm="1">
        <f t="array" ref="X2">IF(固定信息!$B$7="","",IF(_xlfn.XLOOKUP($A2&amp;$B2&amp;$C2,盘货信息!$A:$A&amp;盘货信息!$B:$B&amp;盘货信息!$C:$C,盘货信息!$N:$N)="是","【瓜分】"&amp;固定信息!$B$7,""))</f>
        <v/>
      </c>
      <c r="Y2" s="27" t="str">
        <f>IF(AND($V2="",$W2="",$X2=""),"",固定信息!$B$1)</f>
        <v/>
      </c>
      <c r="Z2" s="27" t="str" cm="1">
        <f t="array" ref="Z2">IF($C2="","",_xlfn.XLOOKUP($A2&amp;$B2&amp;$C2,服务!$A:$A&amp;服务!$B:$B&amp;服务!$C:$C,服务!$D:$D))</f>
        <v/>
      </c>
    </row>
    <row r="3" customHeight="1" spans="1:26">
      <c r="A3" s="26" t="str">
        <f>IF(盘货信息!A3="","",盘货信息!A3)</f>
        <v/>
      </c>
      <c r="B3" s="26" t="str">
        <f>IF(盘货信息!B3="","",盘货信息!B3)</f>
        <v/>
      </c>
      <c r="C3" s="27" t="str">
        <f>IF(盘货信息!C3="","",盘货信息!C3)</f>
        <v/>
      </c>
      <c r="D3" s="27" t="str">
        <f ca="1" t="shared" ref="D3:D66" si="0">_xlfn.TEXTJOIN(CHAR(10),TRUE,OFFSET(INDIRECT("RC",FALSE),0,1,1,30))</f>
        <v/>
      </c>
      <c r="E3" s="27" t="str">
        <f>IF(C3="","",固定信息!$B$2)</f>
        <v/>
      </c>
      <c r="F3" s="27" t="str">
        <f>IF(C3="","","【"&amp;C3&amp;"】"&amp;固定信息!$B$4)</f>
        <v/>
      </c>
      <c r="G3" s="27" t="str">
        <f>IF(C3="","","【"&amp;"活动时间："&amp;固定信息!$B$3&amp;"】")</f>
        <v/>
      </c>
      <c r="H3" s="27" t="str">
        <f>IF($C3="","",固定信息!$B$1)</f>
        <v/>
      </c>
      <c r="I3" s="27" t="str">
        <f>IF(OR(C3="",固定信息!$B$5=""),"","【1元预约锁好礼】"&amp;固定信息!$B$5)</f>
        <v/>
      </c>
      <c r="J3" s="27" t="str" cm="1">
        <f t="array" ref="J3">_xlfn.XLOOKUP($A3&amp;$B3&amp;$C3,价格信息!$A:$A&amp;价格信息!$B:$B&amp;价格信息!$C:$C,价格信息!$D:$D)</f>
        <v/>
      </c>
      <c r="K3" s="27" t="str">
        <f>IF($C3="","",固定信息!$B$1)</f>
        <v/>
      </c>
      <c r="L3" s="27" t="str" cm="1">
        <f t="array" ref="L3">IF(_xlfn.XLOOKUP($A3&amp;$B3&amp;$C3,盘货信息!$A:$A&amp;盘货信息!$B:$B&amp;盘货信息!$C:$C,盘货信息!$T:$T)="","","【优惠券】领"&amp;_xlfn.XLOOKUP($A3&amp;$B3&amp;$C3,盘货信息!$A:$A&amp;盘货信息!$B:$B&amp;盘货信息!$C:$C,盘货信息!$T:$T)&amp;"元优惠卷下单更优惠，领券链接："&amp;_xlfn.XLOOKUP($A3&amp;$B3&amp;$C3,盘货信息!$A:$A&amp;盘货信息!$B:$B&amp;盘货信息!$C:$C,盘货信息!$U:$U))</f>
        <v/>
      </c>
      <c r="M3" s="27" t="str" cm="1">
        <f t="array" ref="M3">IF(_xlfn.XLOOKUP($A3&amp;$B3&amp;$C3,盘货信息!$A:$A&amp;盘货信息!$B:$B&amp;盘货信息!$C:$C,盘货信息!$P:$P)="","","【限时】"&amp;_xlfn.XLOOKUP($A3&amp;$B3&amp;$C3,盘货信息!$A:$A&amp;盘货信息!$B:$B&amp;盘货信息!$C:$C,盘货信息!$P:$P))</f>
        <v/>
      </c>
      <c r="N3" s="27" t="str" cm="1">
        <f t="array" ref="N3">IF(_xlfn.XLOOKUP($A3&amp;$B3&amp;$C3,盘货信息!$A:$A&amp;盘货信息!$B:$B&amp;盘货信息!$C:$C,盘货信息!$V:$V)="","","【"&amp;盘货信息!$V$1&amp;"】"&amp;_xlfn.XLOOKUP($A3&amp;$B3&amp;$C3,盘货信息!$A:$A&amp;盘货信息!$B:$B&amp;盘货信息!$C:$C,盘货信息!$V:$V))</f>
        <v/>
      </c>
      <c r="O3" s="27" t="str" cm="1">
        <f t="array" ref="O3">IF(_xlfn.XLOOKUP($A3&amp;$B3&amp;$C3,盘货信息!$A:$A&amp;盘货信息!$B:$B&amp;盘货信息!$C:$C,盘货信息!$W:$W)="","","【"&amp;盘货信息!$W$1&amp;"】"&amp;_xlfn.XLOOKUP($A3&amp;$B3&amp;$C3,盘货信息!$A:$A&amp;盘货信息!$B:$B&amp;盘货信息!$C:$C,盘货信息!$W:$W))</f>
        <v/>
      </c>
      <c r="P3" s="27" t="str" cm="1">
        <f t="array" ref="P3">IF(_xlfn.XLOOKUP($A3&amp;$B3&amp;$C3,盘货信息!$A:$A&amp;盘货信息!$B:$B&amp;盘货信息!$C:$C,盘货信息!$S:$S)&lt;1,"","【"&amp;盘货信息!$S$1&amp;"】"&amp;"后返"&amp;_xlfn.XLOOKUP($A3&amp;$B3&amp;$C3,盘货信息!$A:$A&amp;盘货信息!$B:$B&amp;盘货信息!$C:$C,盘货信息!$S:$S)&amp;"元")</f>
        <v/>
      </c>
      <c r="Q3" s="27" t="str" cm="1">
        <f t="array" ref="Q3">IF(_xlfn.XLOOKUP($A3&amp;$B3&amp;$C3,盘货信息!$A:$A&amp;盘货信息!$B:$B&amp;盘货信息!$C:$C,盘货信息!$X:$X)="","","【"&amp;盘货信息!$X$1&amp;"】"&amp;_xlfn.XLOOKUP($A3&amp;$B3&amp;$C3,盘货信息!$A:$A&amp;盘货信息!$B:$B&amp;盘货信息!$C:$C,盘货信息!$X:$X))</f>
        <v/>
      </c>
      <c r="R3" s="27" t="str" cm="1">
        <f t="array" ref="R3">IF(_xlfn.XLOOKUP($A3&amp;$B3&amp;$C3,盘货信息!$A:$A&amp;盘货信息!$B:$B&amp;盘货信息!$C:$C,盘货信息!$Z:$Z)="","","【"&amp;盘货信息!$Z$1&amp;"】"&amp;_xlfn.XLOOKUP($A3&amp;$B3&amp;$C3,盘货信息!$A:$A&amp;盘货信息!$B:$B&amp;盘货信息!$C:$C,盘货信息!$Z:$Z))</f>
        <v/>
      </c>
      <c r="S3" s="27" t="str" cm="1">
        <f t="array" ref="S3">IF(_xlfn.XLOOKUP($A3&amp;$B3&amp;$C3,盘货信息!$A:$A&amp;盘货信息!$B:$B&amp;盘货信息!$C:$C,盘货信息!$Q:$Q)="","","【种草】站外带指定话题种草后返"&amp;_xlfn.XLOOKUP($A3&amp;$B3&amp;$C3,盘货信息!$A:$A&amp;盘货信息!$B:$B&amp;盘货信息!$C:$C,盘货信息!$Q:$Q)&amp;"元红包（每个淘宝账号仅限对应一个站外种草账号，同一个种草账号不可对应多个淘宝账号）")</f>
        <v/>
      </c>
      <c r="T3" s="27" t="str" cm="1">
        <f t="array" ref="T3">IF(_xlfn.XLOOKUP($A3&amp;$B3&amp;$C3,盘货信息!$A:$A&amp;盘货信息!$B:$B&amp;盘货信息!$C:$C,盘货信息!$R:$R)&lt;1,"","【以旧换新】"&amp;"享补贴"&amp;ROUND(_xlfn.XLOOKUP($A3&amp;$B3&amp;$C3,盘货信息!$A:$A&amp;盘货信息!$B:$B&amp;盘货信息!$C:$C,盘货信息!$R:$R),0)&amp;"元（可无旧机换新）")</f>
        <v/>
      </c>
      <c r="U3" s="27" t="str">
        <f>IF(AND($N3="",$O3="",$P3="",$Q3="",$R3="",$S3="",$T3=""),"",固定信息!$B$1)</f>
        <v/>
      </c>
      <c r="V3" s="27" t="str" cm="1">
        <f t="array" ref="V3">IF(_xlfn.XLOOKUP($A3&amp;$B3&amp;$C3,盘货信息!$A:$A&amp;盘货信息!$B:$B&amp;盘货信息!$C:$C,盘货信息!$Y:$Y)="","","【卡萨帝送赠】活动指定时间"&amp;_xlfn.TEXTBEFORE(_xlfn.TEXTAFTER(_xlfn.XLOOKUP($A3&amp;$B3&amp;$C3,盘货信息!$A:$A&amp;盘货信息!$B:$B&amp;盘货信息!$C:$C,盘货信息!$Y:$Y),"点"),"（"))</f>
        <v/>
      </c>
      <c r="W3" s="27" t="str" cm="1">
        <f t="array" ref="W3">IF(COUNTIF(_xlfn.XLOOKUP($A3&amp;$B3&amp;$C3,盘货信息!$A:$A&amp;盘货信息!$B:$B&amp;盘货信息!$C:$C,盘货信息!$O:$O),"*是*"),"【折扣】指定型号满2类享96折，满3类享94折","")</f>
        <v/>
      </c>
      <c r="X3" s="27" t="str" cm="1">
        <f t="array" ref="X3">IF(固定信息!$B$7="","",IF(_xlfn.XLOOKUP($A3&amp;$B3&amp;$C3,盘货信息!$A:$A&amp;盘货信息!$B:$B&amp;盘货信息!$C:$C,盘货信息!$N:$N)="是","【瓜分】"&amp;固定信息!$B$7,""))</f>
        <v/>
      </c>
      <c r="Y3" s="27" t="str">
        <f>IF(AND($V3="",$W3="",$X3=""),"",固定信息!$B$1)</f>
        <v/>
      </c>
      <c r="Z3" s="27" t="str" cm="1">
        <f t="array" ref="Z3">IF($C3="","",_xlfn.XLOOKUP($A3&amp;$B3&amp;$C3,服务!$A:$A&amp;服务!$B:$B&amp;服务!$C:$C,服务!$D:$D))</f>
        <v/>
      </c>
    </row>
    <row r="4" customHeight="1" spans="1:26">
      <c r="A4" s="26" t="str">
        <f>IF(盘货信息!A4="","",盘货信息!A4)</f>
        <v/>
      </c>
      <c r="B4" s="26" t="str">
        <f>IF(盘货信息!B4="","",盘货信息!B4)</f>
        <v/>
      </c>
      <c r="C4" s="27" t="str">
        <f>IF(盘货信息!C4="","",盘货信息!C4)</f>
        <v/>
      </c>
      <c r="D4" s="27" t="str">
        <f ca="1" t="shared" si="0"/>
        <v/>
      </c>
      <c r="E4" s="27" t="str">
        <f>IF(C4="","",固定信息!$B$2)</f>
        <v/>
      </c>
      <c r="F4" s="27" t="str">
        <f>IF(C4="","","【"&amp;C4&amp;"】"&amp;固定信息!$B$4)</f>
        <v/>
      </c>
      <c r="G4" s="27" t="str">
        <f>IF(C4="","","【"&amp;"活动时间："&amp;固定信息!$B$3&amp;"】")</f>
        <v/>
      </c>
      <c r="H4" s="27" t="str">
        <f>IF($C4="","",固定信息!$B$1)</f>
        <v/>
      </c>
      <c r="I4" s="27" t="str">
        <f>IF(OR(C4="",固定信息!$B$5=""),"","【1元预约锁好礼】"&amp;固定信息!$B$5)</f>
        <v/>
      </c>
      <c r="J4" s="27" t="str" cm="1">
        <f t="array" ref="J4">_xlfn.XLOOKUP($A4&amp;$B4&amp;$C4,价格信息!$A:$A&amp;价格信息!$B:$B&amp;价格信息!$C:$C,价格信息!$D:$D)</f>
        <v/>
      </c>
      <c r="K4" s="27" t="str">
        <f>IF($C4="","",固定信息!$B$1)</f>
        <v/>
      </c>
      <c r="L4" s="27" t="str" cm="1">
        <f t="array" ref="L4">IF(_xlfn.XLOOKUP($A4&amp;$B4&amp;$C4,盘货信息!$A:$A&amp;盘货信息!$B:$B&amp;盘货信息!$C:$C,盘货信息!$T:$T)="","","【优惠券】领"&amp;_xlfn.XLOOKUP($A4&amp;$B4&amp;$C4,盘货信息!$A:$A&amp;盘货信息!$B:$B&amp;盘货信息!$C:$C,盘货信息!$T:$T)&amp;"元优惠卷下单更优惠，领券链接："&amp;_xlfn.XLOOKUP($A4&amp;$B4&amp;$C4,盘货信息!$A:$A&amp;盘货信息!$B:$B&amp;盘货信息!$C:$C,盘货信息!$U:$U))</f>
        <v/>
      </c>
      <c r="M4" s="27" t="str" cm="1">
        <f t="array" ref="M4">IF(_xlfn.XLOOKUP($A4&amp;$B4&amp;$C4,盘货信息!$A:$A&amp;盘货信息!$B:$B&amp;盘货信息!$C:$C,盘货信息!$P:$P)="","","【限时】"&amp;_xlfn.XLOOKUP($A4&amp;$B4&amp;$C4,盘货信息!$A:$A&amp;盘货信息!$B:$B&amp;盘货信息!$C:$C,盘货信息!$P:$P))</f>
        <v/>
      </c>
      <c r="N4" s="27" t="str" cm="1">
        <f t="array" ref="N4">IF(_xlfn.XLOOKUP($A4&amp;$B4&amp;$C4,盘货信息!$A:$A&amp;盘货信息!$B:$B&amp;盘货信息!$C:$C,盘货信息!$V:$V)="","","【"&amp;盘货信息!$V$1&amp;"】"&amp;_xlfn.XLOOKUP($A4&amp;$B4&amp;$C4,盘货信息!$A:$A&amp;盘货信息!$B:$B&amp;盘货信息!$C:$C,盘货信息!$V:$V))</f>
        <v/>
      </c>
      <c r="O4" s="27" t="str" cm="1">
        <f t="array" ref="O4">IF(_xlfn.XLOOKUP($A4&amp;$B4&amp;$C4,盘货信息!$A:$A&amp;盘货信息!$B:$B&amp;盘货信息!$C:$C,盘货信息!$W:$W)="","","【"&amp;盘货信息!$W$1&amp;"】"&amp;_xlfn.XLOOKUP($A4&amp;$B4&amp;$C4,盘货信息!$A:$A&amp;盘货信息!$B:$B&amp;盘货信息!$C:$C,盘货信息!$W:$W))</f>
        <v/>
      </c>
      <c r="P4" s="27" t="str" cm="1">
        <f t="array" ref="P4">IF(_xlfn.XLOOKUP($A4&amp;$B4&amp;$C4,盘货信息!$A:$A&amp;盘货信息!$B:$B&amp;盘货信息!$C:$C,盘货信息!$S:$S)&lt;1,"","【"&amp;盘货信息!$S$1&amp;"】"&amp;"后返"&amp;_xlfn.XLOOKUP($A4&amp;$B4&amp;$C4,盘货信息!$A:$A&amp;盘货信息!$B:$B&amp;盘货信息!$C:$C,盘货信息!$S:$S)&amp;"元")</f>
        <v/>
      </c>
      <c r="Q4" s="27" t="str" cm="1">
        <f t="array" ref="Q4">IF(_xlfn.XLOOKUP($A4&amp;$B4&amp;$C4,盘货信息!$A:$A&amp;盘货信息!$B:$B&amp;盘货信息!$C:$C,盘货信息!$X:$X)="","","【"&amp;盘货信息!$X$1&amp;"】"&amp;_xlfn.XLOOKUP($A4&amp;$B4&amp;$C4,盘货信息!$A:$A&amp;盘货信息!$B:$B&amp;盘货信息!$C:$C,盘货信息!$X:$X))</f>
        <v/>
      </c>
      <c r="R4" s="27" t="str" cm="1">
        <f t="array" ref="R4">IF(_xlfn.XLOOKUP($A4&amp;$B4&amp;$C4,盘货信息!$A:$A&amp;盘货信息!$B:$B&amp;盘货信息!$C:$C,盘货信息!$Z:$Z)="","","【"&amp;盘货信息!$Z$1&amp;"】"&amp;_xlfn.XLOOKUP($A4&amp;$B4&amp;$C4,盘货信息!$A:$A&amp;盘货信息!$B:$B&amp;盘货信息!$C:$C,盘货信息!$Z:$Z))</f>
        <v/>
      </c>
      <c r="S4" s="27" t="str" cm="1">
        <f t="array" ref="S4">IF(_xlfn.XLOOKUP($A4&amp;$B4&amp;$C4,盘货信息!$A:$A&amp;盘货信息!$B:$B&amp;盘货信息!$C:$C,盘货信息!$Q:$Q)="","","【种草】站外带指定话题种草后返"&amp;_xlfn.XLOOKUP($A4&amp;$B4&amp;$C4,盘货信息!$A:$A&amp;盘货信息!$B:$B&amp;盘货信息!$C:$C,盘货信息!$Q:$Q)&amp;"元红包（每个淘宝账号仅限对应一个站外种草账号，同一个种草账号不可对应多个淘宝账号）")</f>
        <v/>
      </c>
      <c r="T4" s="27" t="str" cm="1">
        <f t="array" ref="T4">IF(_xlfn.XLOOKUP($A4&amp;$B4&amp;$C4,盘货信息!$A:$A&amp;盘货信息!$B:$B&amp;盘货信息!$C:$C,盘货信息!$R:$R)&lt;1,"","【以旧换新】"&amp;"享补贴"&amp;ROUND(_xlfn.XLOOKUP($A4&amp;$B4&amp;$C4,盘货信息!$A:$A&amp;盘货信息!$B:$B&amp;盘货信息!$C:$C,盘货信息!$R:$R),0)&amp;"元（可无旧机换新）")</f>
        <v/>
      </c>
      <c r="U4" s="27" t="str">
        <f>IF(AND($N4="",$O4="",$P4="",$Q4="",$R4="",$S4="",$T4=""),"",固定信息!$B$1)</f>
        <v/>
      </c>
      <c r="V4" s="27" t="str" cm="1">
        <f t="array" ref="V4">IF(_xlfn.XLOOKUP($A4&amp;$B4&amp;$C4,盘货信息!$A:$A&amp;盘货信息!$B:$B&amp;盘货信息!$C:$C,盘货信息!$Y:$Y)="","","【卡萨帝送赠】活动指定时间"&amp;_xlfn.TEXTBEFORE(_xlfn.TEXTAFTER(_xlfn.XLOOKUP($A4&amp;$B4&amp;$C4,盘货信息!$A:$A&amp;盘货信息!$B:$B&amp;盘货信息!$C:$C,盘货信息!$Y:$Y),"点"),"（"))</f>
        <v/>
      </c>
      <c r="W4" s="27" t="str" cm="1">
        <f t="array" ref="W4">IF(COUNTIF(_xlfn.XLOOKUP($A4&amp;$B4&amp;$C4,盘货信息!$A:$A&amp;盘货信息!$B:$B&amp;盘货信息!$C:$C,盘货信息!$O:$O),"*是*"),"【折扣】指定型号满2类享96折，满3类享94折","")</f>
        <v/>
      </c>
      <c r="X4" s="27" t="str" cm="1">
        <f t="array" ref="X4">IF(固定信息!$B$7="","",IF(_xlfn.XLOOKUP($A4&amp;$B4&amp;$C4,盘货信息!$A:$A&amp;盘货信息!$B:$B&amp;盘货信息!$C:$C,盘货信息!$N:$N)="是","【瓜分】"&amp;固定信息!$B$7,""))</f>
        <v/>
      </c>
      <c r="Y4" s="27" t="str">
        <f>IF(AND($V4="",$W4="",$X4=""),"",固定信息!$B$1)</f>
        <v/>
      </c>
      <c r="Z4" s="27" t="str" cm="1">
        <f t="array" ref="Z4">IF($C4="","",_xlfn.XLOOKUP($A4&amp;$B4&amp;$C4,服务!$A:$A&amp;服务!$B:$B&amp;服务!$C:$C,服务!$D:$D))</f>
        <v/>
      </c>
    </row>
    <row r="5" customHeight="1" spans="1:26">
      <c r="A5" s="26" t="str">
        <f>IF(盘货信息!A5="","",盘货信息!A5)</f>
        <v/>
      </c>
      <c r="B5" s="26" t="str">
        <f>IF(盘货信息!B5="","",盘货信息!B5)</f>
        <v/>
      </c>
      <c r="C5" s="27" t="str">
        <f>IF(盘货信息!C5="","",盘货信息!C5)</f>
        <v/>
      </c>
      <c r="D5" s="27" t="str">
        <f ca="1" t="shared" si="0"/>
        <v/>
      </c>
      <c r="E5" s="27" t="str">
        <f>IF(C5="","",固定信息!$B$2)</f>
        <v/>
      </c>
      <c r="F5" s="27" t="str">
        <f>IF(C5="","","【"&amp;C5&amp;"】"&amp;固定信息!$B$4)</f>
        <v/>
      </c>
      <c r="G5" s="27" t="str">
        <f>IF(C5="","","【"&amp;"活动时间："&amp;固定信息!$B$3&amp;"】")</f>
        <v/>
      </c>
      <c r="H5" s="27" t="str">
        <f>IF($C5="","",固定信息!$B$1)</f>
        <v/>
      </c>
      <c r="I5" s="27" t="str">
        <f>IF(OR(C5="",固定信息!$B$5=""),"","【1元预约锁好礼】"&amp;固定信息!$B$5)</f>
        <v/>
      </c>
      <c r="J5" s="27" t="str" cm="1">
        <f t="array" ref="J5">_xlfn.XLOOKUP($A5&amp;$B5&amp;$C5,价格信息!$A:$A&amp;价格信息!$B:$B&amp;价格信息!$C:$C,价格信息!$D:$D)</f>
        <v/>
      </c>
      <c r="K5" s="27" t="str">
        <f>IF($C5="","",固定信息!$B$1)</f>
        <v/>
      </c>
      <c r="L5" s="27" t="str" cm="1">
        <f t="array" ref="L5">IF(_xlfn.XLOOKUP($A5&amp;$B5&amp;$C5,盘货信息!$A:$A&amp;盘货信息!$B:$B&amp;盘货信息!$C:$C,盘货信息!$T:$T)="","","【优惠券】领"&amp;_xlfn.XLOOKUP($A5&amp;$B5&amp;$C5,盘货信息!$A:$A&amp;盘货信息!$B:$B&amp;盘货信息!$C:$C,盘货信息!$T:$T)&amp;"元优惠卷下单更优惠，领券链接："&amp;_xlfn.XLOOKUP($A5&amp;$B5&amp;$C5,盘货信息!$A:$A&amp;盘货信息!$B:$B&amp;盘货信息!$C:$C,盘货信息!$U:$U))</f>
        <v/>
      </c>
      <c r="M5" s="27" t="str" cm="1">
        <f t="array" ref="M5">IF(_xlfn.XLOOKUP($A5&amp;$B5&amp;$C5,盘货信息!$A:$A&amp;盘货信息!$B:$B&amp;盘货信息!$C:$C,盘货信息!$P:$P)="","","【限时】"&amp;_xlfn.XLOOKUP($A5&amp;$B5&amp;$C5,盘货信息!$A:$A&amp;盘货信息!$B:$B&amp;盘货信息!$C:$C,盘货信息!$P:$P))</f>
        <v/>
      </c>
      <c r="N5" s="27" t="str" cm="1">
        <f t="array" ref="N5">IF(_xlfn.XLOOKUP($A5&amp;$B5&amp;$C5,盘货信息!$A:$A&amp;盘货信息!$B:$B&amp;盘货信息!$C:$C,盘货信息!$V:$V)="","","【"&amp;盘货信息!$V$1&amp;"】"&amp;_xlfn.XLOOKUP($A5&amp;$B5&amp;$C5,盘货信息!$A:$A&amp;盘货信息!$B:$B&amp;盘货信息!$C:$C,盘货信息!$V:$V))</f>
        <v/>
      </c>
      <c r="O5" s="27" t="str" cm="1">
        <f t="array" ref="O5">IF(_xlfn.XLOOKUP($A5&amp;$B5&amp;$C5,盘货信息!$A:$A&amp;盘货信息!$B:$B&amp;盘货信息!$C:$C,盘货信息!$W:$W)="","","【"&amp;盘货信息!$W$1&amp;"】"&amp;_xlfn.XLOOKUP($A5&amp;$B5&amp;$C5,盘货信息!$A:$A&amp;盘货信息!$B:$B&amp;盘货信息!$C:$C,盘货信息!$W:$W))</f>
        <v/>
      </c>
      <c r="P5" s="27" t="str" cm="1">
        <f t="array" ref="P5">IF(_xlfn.XLOOKUP($A5&amp;$B5&amp;$C5,盘货信息!$A:$A&amp;盘货信息!$B:$B&amp;盘货信息!$C:$C,盘货信息!$S:$S)&lt;1,"","【"&amp;盘货信息!$S$1&amp;"】"&amp;"后返"&amp;_xlfn.XLOOKUP($A5&amp;$B5&amp;$C5,盘货信息!$A:$A&amp;盘货信息!$B:$B&amp;盘货信息!$C:$C,盘货信息!$S:$S)&amp;"元")</f>
        <v/>
      </c>
      <c r="Q5" s="27" t="str" cm="1">
        <f t="array" ref="Q5">IF(_xlfn.XLOOKUP($A5&amp;$B5&amp;$C5,盘货信息!$A:$A&amp;盘货信息!$B:$B&amp;盘货信息!$C:$C,盘货信息!$X:$X)="","","【"&amp;盘货信息!$X$1&amp;"】"&amp;_xlfn.XLOOKUP($A5&amp;$B5&amp;$C5,盘货信息!$A:$A&amp;盘货信息!$B:$B&amp;盘货信息!$C:$C,盘货信息!$X:$X))</f>
        <v/>
      </c>
      <c r="R5" s="27" t="str" cm="1">
        <f t="array" ref="R5">IF(_xlfn.XLOOKUP($A5&amp;$B5&amp;$C5,盘货信息!$A:$A&amp;盘货信息!$B:$B&amp;盘货信息!$C:$C,盘货信息!$Z:$Z)="","","【"&amp;盘货信息!$Z$1&amp;"】"&amp;_xlfn.XLOOKUP($A5&amp;$B5&amp;$C5,盘货信息!$A:$A&amp;盘货信息!$B:$B&amp;盘货信息!$C:$C,盘货信息!$Z:$Z))</f>
        <v/>
      </c>
      <c r="S5" s="27" t="str" cm="1">
        <f t="array" ref="S5">IF(_xlfn.XLOOKUP($A5&amp;$B5&amp;$C5,盘货信息!$A:$A&amp;盘货信息!$B:$B&amp;盘货信息!$C:$C,盘货信息!$Q:$Q)="","","【种草】站外带指定话题种草后返"&amp;_xlfn.XLOOKUP($A5&amp;$B5&amp;$C5,盘货信息!$A:$A&amp;盘货信息!$B:$B&amp;盘货信息!$C:$C,盘货信息!$Q:$Q)&amp;"元红包（每个淘宝账号仅限对应一个站外种草账号，同一个种草账号不可对应多个淘宝账号）")</f>
        <v/>
      </c>
      <c r="T5" s="27" t="str" cm="1">
        <f t="array" ref="T5">IF(_xlfn.XLOOKUP($A5&amp;$B5&amp;$C5,盘货信息!$A:$A&amp;盘货信息!$B:$B&amp;盘货信息!$C:$C,盘货信息!$R:$R)&lt;1,"","【以旧换新】"&amp;"享补贴"&amp;ROUND(_xlfn.XLOOKUP($A5&amp;$B5&amp;$C5,盘货信息!$A:$A&amp;盘货信息!$B:$B&amp;盘货信息!$C:$C,盘货信息!$R:$R),0)&amp;"元（可无旧机换新）")</f>
        <v/>
      </c>
      <c r="U5" s="27" t="str">
        <f>IF(AND($N5="",$O5="",$P5="",$Q5="",$R5="",$S5="",$T5=""),"",固定信息!$B$1)</f>
        <v/>
      </c>
      <c r="V5" s="27" t="str" cm="1">
        <f t="array" ref="V5">IF(_xlfn.XLOOKUP($A5&amp;$B5&amp;$C5,盘货信息!$A:$A&amp;盘货信息!$B:$B&amp;盘货信息!$C:$C,盘货信息!$Y:$Y)="","","【卡萨帝送赠】活动指定时间"&amp;_xlfn.TEXTBEFORE(_xlfn.TEXTAFTER(_xlfn.XLOOKUP($A5&amp;$B5&amp;$C5,盘货信息!$A:$A&amp;盘货信息!$B:$B&amp;盘货信息!$C:$C,盘货信息!$Y:$Y),"点"),"（"))</f>
        <v/>
      </c>
      <c r="W5" s="27" t="str" cm="1">
        <f t="array" ref="W5">IF(COUNTIF(_xlfn.XLOOKUP($A5&amp;$B5&amp;$C5,盘货信息!$A:$A&amp;盘货信息!$B:$B&amp;盘货信息!$C:$C,盘货信息!$O:$O),"*是*"),"【折扣】指定型号满2类享96折，满3类享94折","")</f>
        <v/>
      </c>
      <c r="X5" s="27" t="str" cm="1">
        <f t="array" ref="X5">IF(固定信息!$B$7="","",IF(_xlfn.XLOOKUP($A5&amp;$B5&amp;$C5,盘货信息!$A:$A&amp;盘货信息!$B:$B&amp;盘货信息!$C:$C,盘货信息!$N:$N)="是","【瓜分】"&amp;固定信息!$B$7,""))</f>
        <v/>
      </c>
      <c r="Y5" s="27" t="str">
        <f>IF(AND($V5="",$W5="",$X5=""),"",固定信息!$B$1)</f>
        <v/>
      </c>
      <c r="Z5" s="27" t="str" cm="1">
        <f t="array" ref="Z5">IF($C5="","",_xlfn.XLOOKUP($A5&amp;$B5&amp;$C5,服务!$A:$A&amp;服务!$B:$B&amp;服务!$C:$C,服务!$D:$D))</f>
        <v/>
      </c>
    </row>
    <row r="6" customHeight="1" spans="1:26">
      <c r="A6" s="26" t="str">
        <f>IF(盘货信息!A6="","",盘货信息!A6)</f>
        <v/>
      </c>
      <c r="B6" s="26" t="str">
        <f>IF(盘货信息!B6="","",盘货信息!B6)</f>
        <v/>
      </c>
      <c r="C6" s="27" t="str">
        <f>IF(盘货信息!C6="","",盘货信息!C6)</f>
        <v/>
      </c>
      <c r="D6" s="27" t="str">
        <f ca="1" t="shared" si="0"/>
        <v/>
      </c>
      <c r="E6" s="27" t="str">
        <f>IF(C6="","",固定信息!$B$2)</f>
        <v/>
      </c>
      <c r="F6" s="27" t="str">
        <f>IF(C6="","","【"&amp;C6&amp;"】"&amp;固定信息!$B$4)</f>
        <v/>
      </c>
      <c r="G6" s="27" t="str">
        <f>IF(C6="","","【"&amp;"活动时间："&amp;固定信息!$B$3&amp;"】")</f>
        <v/>
      </c>
      <c r="H6" s="27" t="str">
        <f>IF($C6="","",固定信息!$B$1)</f>
        <v/>
      </c>
      <c r="I6" s="27" t="str">
        <f>IF(OR(C6="",固定信息!$B$5=""),"","【1元预约锁好礼】"&amp;固定信息!$B$5)</f>
        <v/>
      </c>
      <c r="J6" s="27" t="str" cm="1">
        <f t="array" ref="J6">_xlfn.XLOOKUP($A6&amp;$B6&amp;$C6,价格信息!$A:$A&amp;价格信息!$B:$B&amp;价格信息!$C:$C,价格信息!$D:$D)</f>
        <v/>
      </c>
      <c r="K6" s="27" t="str">
        <f>IF($C6="","",固定信息!$B$1)</f>
        <v/>
      </c>
      <c r="L6" s="27" t="str" cm="1">
        <f t="array" ref="L6">IF(_xlfn.XLOOKUP($A6&amp;$B6&amp;$C6,盘货信息!$A:$A&amp;盘货信息!$B:$B&amp;盘货信息!$C:$C,盘货信息!$T:$T)="","","【优惠券】领"&amp;_xlfn.XLOOKUP($A6&amp;$B6&amp;$C6,盘货信息!$A:$A&amp;盘货信息!$B:$B&amp;盘货信息!$C:$C,盘货信息!$T:$T)&amp;"元优惠卷下单更优惠，领券链接："&amp;_xlfn.XLOOKUP($A6&amp;$B6&amp;$C6,盘货信息!$A:$A&amp;盘货信息!$B:$B&amp;盘货信息!$C:$C,盘货信息!$U:$U))</f>
        <v/>
      </c>
      <c r="M6" s="27" t="str" cm="1">
        <f t="array" ref="M6">IF(_xlfn.XLOOKUP($A6&amp;$B6&amp;$C6,盘货信息!$A:$A&amp;盘货信息!$B:$B&amp;盘货信息!$C:$C,盘货信息!$P:$P)="","","【限时】"&amp;_xlfn.XLOOKUP($A6&amp;$B6&amp;$C6,盘货信息!$A:$A&amp;盘货信息!$B:$B&amp;盘货信息!$C:$C,盘货信息!$P:$P))</f>
        <v/>
      </c>
      <c r="N6" s="27" t="str" cm="1">
        <f t="array" ref="N6">IF(_xlfn.XLOOKUP($A6&amp;$B6&amp;$C6,盘货信息!$A:$A&amp;盘货信息!$B:$B&amp;盘货信息!$C:$C,盘货信息!$V:$V)="","","【"&amp;盘货信息!$V$1&amp;"】"&amp;_xlfn.XLOOKUP($A6&amp;$B6&amp;$C6,盘货信息!$A:$A&amp;盘货信息!$B:$B&amp;盘货信息!$C:$C,盘货信息!$V:$V))</f>
        <v/>
      </c>
      <c r="O6" s="27" t="str" cm="1">
        <f t="array" ref="O6">IF(_xlfn.XLOOKUP($A6&amp;$B6&amp;$C6,盘货信息!$A:$A&amp;盘货信息!$B:$B&amp;盘货信息!$C:$C,盘货信息!$W:$W)="","","【"&amp;盘货信息!$W$1&amp;"】"&amp;_xlfn.XLOOKUP($A6&amp;$B6&amp;$C6,盘货信息!$A:$A&amp;盘货信息!$B:$B&amp;盘货信息!$C:$C,盘货信息!$W:$W))</f>
        <v/>
      </c>
      <c r="P6" s="27" t="str" cm="1">
        <f t="array" ref="P6">IF(_xlfn.XLOOKUP($A6&amp;$B6&amp;$C6,盘货信息!$A:$A&amp;盘货信息!$B:$B&amp;盘货信息!$C:$C,盘货信息!$S:$S)&lt;1,"","【"&amp;盘货信息!$S$1&amp;"】"&amp;"后返"&amp;_xlfn.XLOOKUP($A6&amp;$B6&amp;$C6,盘货信息!$A:$A&amp;盘货信息!$B:$B&amp;盘货信息!$C:$C,盘货信息!$S:$S)&amp;"元")</f>
        <v/>
      </c>
      <c r="Q6" s="27" t="str" cm="1">
        <f t="array" ref="Q6">IF(_xlfn.XLOOKUP($A6&amp;$B6&amp;$C6,盘货信息!$A:$A&amp;盘货信息!$B:$B&amp;盘货信息!$C:$C,盘货信息!$X:$X)="","","【"&amp;盘货信息!$X$1&amp;"】"&amp;_xlfn.XLOOKUP($A6&amp;$B6&amp;$C6,盘货信息!$A:$A&amp;盘货信息!$B:$B&amp;盘货信息!$C:$C,盘货信息!$X:$X))</f>
        <v/>
      </c>
      <c r="R6" s="27" t="str" cm="1">
        <f t="array" ref="R6">IF(_xlfn.XLOOKUP($A6&amp;$B6&amp;$C6,盘货信息!$A:$A&amp;盘货信息!$B:$B&amp;盘货信息!$C:$C,盘货信息!$Z:$Z)="","","【"&amp;盘货信息!$Z$1&amp;"】"&amp;_xlfn.XLOOKUP($A6&amp;$B6&amp;$C6,盘货信息!$A:$A&amp;盘货信息!$B:$B&amp;盘货信息!$C:$C,盘货信息!$Z:$Z))</f>
        <v/>
      </c>
      <c r="S6" s="27" t="str" cm="1">
        <f t="array" ref="S6">IF(_xlfn.XLOOKUP($A6&amp;$B6&amp;$C6,盘货信息!$A:$A&amp;盘货信息!$B:$B&amp;盘货信息!$C:$C,盘货信息!$Q:$Q)="","","【种草】站外带指定话题种草后返"&amp;_xlfn.XLOOKUP($A6&amp;$B6&amp;$C6,盘货信息!$A:$A&amp;盘货信息!$B:$B&amp;盘货信息!$C:$C,盘货信息!$Q:$Q)&amp;"元红包（每个淘宝账号仅限对应一个站外种草账号，同一个种草账号不可对应多个淘宝账号）")</f>
        <v/>
      </c>
      <c r="T6" s="27" t="str" cm="1">
        <f t="array" ref="T6">IF(_xlfn.XLOOKUP($A6&amp;$B6&amp;$C6,盘货信息!$A:$A&amp;盘货信息!$B:$B&amp;盘货信息!$C:$C,盘货信息!$R:$R)&lt;1,"","【以旧换新】"&amp;"享补贴"&amp;ROUND(_xlfn.XLOOKUP($A6&amp;$B6&amp;$C6,盘货信息!$A:$A&amp;盘货信息!$B:$B&amp;盘货信息!$C:$C,盘货信息!$R:$R),0)&amp;"元（可无旧机换新）")</f>
        <v/>
      </c>
      <c r="U6" s="27" t="str">
        <f>IF(AND($N6="",$O6="",$P6="",$Q6="",$R6="",$S6="",$T6=""),"",固定信息!$B$1)</f>
        <v/>
      </c>
      <c r="V6" s="27" t="str" cm="1">
        <f t="array" ref="V6">IF(_xlfn.XLOOKUP($A6&amp;$B6&amp;$C6,盘货信息!$A:$A&amp;盘货信息!$B:$B&amp;盘货信息!$C:$C,盘货信息!$Y:$Y)="","","【卡萨帝送赠】活动指定时间"&amp;_xlfn.TEXTBEFORE(_xlfn.TEXTAFTER(_xlfn.XLOOKUP($A6&amp;$B6&amp;$C6,盘货信息!$A:$A&amp;盘货信息!$B:$B&amp;盘货信息!$C:$C,盘货信息!$Y:$Y),"点"),"（"))</f>
        <v/>
      </c>
      <c r="W6" s="27" t="str" cm="1">
        <f t="array" ref="W6">IF(COUNTIF(_xlfn.XLOOKUP($A6&amp;$B6&amp;$C6,盘货信息!$A:$A&amp;盘货信息!$B:$B&amp;盘货信息!$C:$C,盘货信息!$O:$O),"*是*"),"【折扣】指定型号满2类享96折，满3类享94折","")</f>
        <v/>
      </c>
      <c r="X6" s="27" t="str" cm="1">
        <f t="array" ref="X6">IF(固定信息!$B$7="","",IF(_xlfn.XLOOKUP($A6&amp;$B6&amp;$C6,盘货信息!$A:$A&amp;盘货信息!$B:$B&amp;盘货信息!$C:$C,盘货信息!$N:$N)="是","【瓜分】"&amp;固定信息!$B$7,""))</f>
        <v/>
      </c>
      <c r="Y6" s="27" t="str">
        <f>IF(AND($V6="",$W6="",$X6=""),"",固定信息!$B$1)</f>
        <v/>
      </c>
      <c r="Z6" s="27" t="str" cm="1">
        <f t="array" ref="Z6">IF($C6="","",_xlfn.XLOOKUP($A6&amp;$B6&amp;$C6,服务!$A:$A&amp;服务!$B:$B&amp;服务!$C:$C,服务!$D:$D))</f>
        <v/>
      </c>
    </row>
    <row r="7" customHeight="1" spans="1:26">
      <c r="A7" s="26" t="str">
        <f>IF(盘货信息!A7="","",盘货信息!A7)</f>
        <v/>
      </c>
      <c r="B7" s="26" t="str">
        <f>IF(盘货信息!B7="","",盘货信息!B7)</f>
        <v/>
      </c>
      <c r="C7" s="27" t="str">
        <f>IF(盘货信息!C7="","",盘货信息!C7)</f>
        <v/>
      </c>
      <c r="D7" s="27" t="str">
        <f ca="1" t="shared" si="0"/>
        <v/>
      </c>
      <c r="E7" s="27" t="str">
        <f>IF(C7="","",固定信息!$B$2)</f>
        <v/>
      </c>
      <c r="F7" s="27" t="str">
        <f>IF(C7="","","【"&amp;C7&amp;"】"&amp;固定信息!$B$4)</f>
        <v/>
      </c>
      <c r="G7" s="27" t="str">
        <f>IF(C7="","","【"&amp;"活动时间："&amp;固定信息!$B$3&amp;"】")</f>
        <v/>
      </c>
      <c r="H7" s="27" t="str">
        <f>IF($C7="","",固定信息!$B$1)</f>
        <v/>
      </c>
      <c r="I7" s="27" t="str">
        <f>IF(OR(C7="",固定信息!$B$5=""),"","【1元预约锁好礼】"&amp;固定信息!$B$5)</f>
        <v/>
      </c>
      <c r="J7" s="27" t="str" cm="1">
        <f t="array" ref="J7">_xlfn.XLOOKUP($A7&amp;$B7&amp;$C7,价格信息!$A:$A&amp;价格信息!$B:$B&amp;价格信息!$C:$C,价格信息!$D:$D)</f>
        <v/>
      </c>
      <c r="K7" s="27" t="str">
        <f>IF($C7="","",固定信息!$B$1)</f>
        <v/>
      </c>
      <c r="L7" s="27" t="str" cm="1">
        <f t="array" ref="L7">IF(_xlfn.XLOOKUP($A7&amp;$B7&amp;$C7,盘货信息!$A:$A&amp;盘货信息!$B:$B&amp;盘货信息!$C:$C,盘货信息!$T:$T)="","","【优惠券】领"&amp;_xlfn.XLOOKUP($A7&amp;$B7&amp;$C7,盘货信息!$A:$A&amp;盘货信息!$B:$B&amp;盘货信息!$C:$C,盘货信息!$T:$T)&amp;"元优惠卷下单更优惠，领券链接："&amp;_xlfn.XLOOKUP($A7&amp;$B7&amp;$C7,盘货信息!$A:$A&amp;盘货信息!$B:$B&amp;盘货信息!$C:$C,盘货信息!$U:$U))</f>
        <v/>
      </c>
      <c r="M7" s="27" t="str" cm="1">
        <f t="array" ref="M7">IF(_xlfn.XLOOKUP($A7&amp;$B7&amp;$C7,盘货信息!$A:$A&amp;盘货信息!$B:$B&amp;盘货信息!$C:$C,盘货信息!$P:$P)="","","【限时】"&amp;_xlfn.XLOOKUP($A7&amp;$B7&amp;$C7,盘货信息!$A:$A&amp;盘货信息!$B:$B&amp;盘货信息!$C:$C,盘货信息!$P:$P))</f>
        <v/>
      </c>
      <c r="N7" s="27" t="str" cm="1">
        <f t="array" ref="N7">IF(_xlfn.XLOOKUP($A7&amp;$B7&amp;$C7,盘货信息!$A:$A&amp;盘货信息!$B:$B&amp;盘货信息!$C:$C,盘货信息!$V:$V)="","","【"&amp;盘货信息!$V$1&amp;"】"&amp;_xlfn.XLOOKUP($A7&amp;$B7&amp;$C7,盘货信息!$A:$A&amp;盘货信息!$B:$B&amp;盘货信息!$C:$C,盘货信息!$V:$V))</f>
        <v/>
      </c>
      <c r="O7" s="27" t="str" cm="1">
        <f t="array" ref="O7">IF(_xlfn.XLOOKUP($A7&amp;$B7&amp;$C7,盘货信息!$A:$A&amp;盘货信息!$B:$B&amp;盘货信息!$C:$C,盘货信息!$W:$W)="","","【"&amp;盘货信息!$W$1&amp;"】"&amp;_xlfn.XLOOKUP($A7&amp;$B7&amp;$C7,盘货信息!$A:$A&amp;盘货信息!$B:$B&amp;盘货信息!$C:$C,盘货信息!$W:$W))</f>
        <v/>
      </c>
      <c r="P7" s="27" t="str" cm="1">
        <f t="array" ref="P7">IF(_xlfn.XLOOKUP($A7&amp;$B7&amp;$C7,盘货信息!$A:$A&amp;盘货信息!$B:$B&amp;盘货信息!$C:$C,盘货信息!$S:$S)&lt;1,"","【"&amp;盘货信息!$S$1&amp;"】"&amp;"后返"&amp;_xlfn.XLOOKUP($A7&amp;$B7&amp;$C7,盘货信息!$A:$A&amp;盘货信息!$B:$B&amp;盘货信息!$C:$C,盘货信息!$S:$S)&amp;"元")</f>
        <v/>
      </c>
      <c r="Q7" s="27" t="str" cm="1">
        <f t="array" ref="Q7">IF(_xlfn.XLOOKUP($A7&amp;$B7&amp;$C7,盘货信息!$A:$A&amp;盘货信息!$B:$B&amp;盘货信息!$C:$C,盘货信息!$X:$X)="","","【"&amp;盘货信息!$X$1&amp;"】"&amp;_xlfn.XLOOKUP($A7&amp;$B7&amp;$C7,盘货信息!$A:$A&amp;盘货信息!$B:$B&amp;盘货信息!$C:$C,盘货信息!$X:$X))</f>
        <v/>
      </c>
      <c r="R7" s="27" t="str" cm="1">
        <f t="array" ref="R7">IF(_xlfn.XLOOKUP($A7&amp;$B7&amp;$C7,盘货信息!$A:$A&amp;盘货信息!$B:$B&amp;盘货信息!$C:$C,盘货信息!$Z:$Z)="","","【"&amp;盘货信息!$Z$1&amp;"】"&amp;_xlfn.XLOOKUP($A7&amp;$B7&amp;$C7,盘货信息!$A:$A&amp;盘货信息!$B:$B&amp;盘货信息!$C:$C,盘货信息!$Z:$Z))</f>
        <v/>
      </c>
      <c r="S7" s="27" t="str" cm="1">
        <f t="array" ref="S7">IF(_xlfn.XLOOKUP($A7&amp;$B7&amp;$C7,盘货信息!$A:$A&amp;盘货信息!$B:$B&amp;盘货信息!$C:$C,盘货信息!$Q:$Q)="","","【种草】站外带指定话题种草后返"&amp;_xlfn.XLOOKUP($A7&amp;$B7&amp;$C7,盘货信息!$A:$A&amp;盘货信息!$B:$B&amp;盘货信息!$C:$C,盘货信息!$Q:$Q)&amp;"元红包（每个淘宝账号仅限对应一个站外种草账号，同一个种草账号不可对应多个淘宝账号）")</f>
        <v/>
      </c>
      <c r="T7" s="27" t="str" cm="1">
        <f t="array" ref="T7">IF(_xlfn.XLOOKUP($A7&amp;$B7&amp;$C7,盘货信息!$A:$A&amp;盘货信息!$B:$B&amp;盘货信息!$C:$C,盘货信息!$R:$R)&lt;1,"","【以旧换新】"&amp;"享补贴"&amp;ROUND(_xlfn.XLOOKUP($A7&amp;$B7&amp;$C7,盘货信息!$A:$A&amp;盘货信息!$B:$B&amp;盘货信息!$C:$C,盘货信息!$R:$R),0)&amp;"元（可无旧机换新）")</f>
        <v/>
      </c>
      <c r="U7" s="27" t="str">
        <f>IF(AND($N7="",$O7="",$P7="",$Q7="",$R7="",$S7="",$T7=""),"",固定信息!$B$1)</f>
        <v/>
      </c>
      <c r="V7" s="27" t="str" cm="1">
        <f t="array" ref="V7">IF(_xlfn.XLOOKUP($A7&amp;$B7&amp;$C7,盘货信息!$A:$A&amp;盘货信息!$B:$B&amp;盘货信息!$C:$C,盘货信息!$Y:$Y)="","","【卡萨帝送赠】活动指定时间"&amp;_xlfn.TEXTBEFORE(_xlfn.TEXTAFTER(_xlfn.XLOOKUP($A7&amp;$B7&amp;$C7,盘货信息!$A:$A&amp;盘货信息!$B:$B&amp;盘货信息!$C:$C,盘货信息!$Y:$Y),"点"),"（"))</f>
        <v/>
      </c>
      <c r="W7" s="27" t="str" cm="1">
        <f t="array" ref="W7">IF(COUNTIF(_xlfn.XLOOKUP($A7&amp;$B7&amp;$C7,盘货信息!$A:$A&amp;盘货信息!$B:$B&amp;盘货信息!$C:$C,盘货信息!$O:$O),"*是*"),"【折扣】指定型号满2类享96折，满3类享94折","")</f>
        <v/>
      </c>
      <c r="X7" s="27" t="str" cm="1">
        <f t="array" ref="X7">IF(固定信息!$B$7="","",IF(_xlfn.XLOOKUP($A7&amp;$B7&amp;$C7,盘货信息!$A:$A&amp;盘货信息!$B:$B&amp;盘货信息!$C:$C,盘货信息!$N:$N)="是","【瓜分】"&amp;固定信息!$B$7,""))</f>
        <v/>
      </c>
      <c r="Y7" s="27" t="str">
        <f>IF(AND($V7="",$W7="",$X7=""),"",固定信息!$B$1)</f>
        <v/>
      </c>
      <c r="Z7" s="27" t="str" cm="1">
        <f t="array" ref="Z7">IF($C7="","",_xlfn.XLOOKUP($A7&amp;$B7&amp;$C7,服务!$A:$A&amp;服务!$B:$B&amp;服务!$C:$C,服务!$D:$D))</f>
        <v/>
      </c>
    </row>
    <row r="8" customHeight="1" spans="1:26">
      <c r="A8" s="26" t="str">
        <f>IF(盘货信息!A8="","",盘货信息!A8)</f>
        <v/>
      </c>
      <c r="B8" s="26" t="str">
        <f>IF(盘货信息!B8="","",盘货信息!B8)</f>
        <v/>
      </c>
      <c r="C8" s="27" t="str">
        <f>IF(盘货信息!C8="","",盘货信息!C8)</f>
        <v/>
      </c>
      <c r="D8" s="27" t="str">
        <f ca="1" t="shared" si="0"/>
        <v/>
      </c>
      <c r="E8" s="27" t="str">
        <f>IF(C8="","",固定信息!$B$2)</f>
        <v/>
      </c>
      <c r="F8" s="27" t="str">
        <f>IF(C8="","","【"&amp;C8&amp;"】"&amp;固定信息!$B$4)</f>
        <v/>
      </c>
      <c r="G8" s="27" t="str">
        <f>IF(C8="","","【"&amp;"活动时间："&amp;固定信息!$B$3&amp;"】")</f>
        <v/>
      </c>
      <c r="H8" s="27" t="str">
        <f>IF($C8="","",固定信息!$B$1)</f>
        <v/>
      </c>
      <c r="I8" s="27" t="str">
        <f>IF(OR(C8="",固定信息!$B$5=""),"","【1元预约锁好礼】"&amp;固定信息!$B$5)</f>
        <v/>
      </c>
      <c r="J8" s="27" t="str" cm="1">
        <f t="array" ref="J8">_xlfn.XLOOKUP($A8&amp;$B8&amp;$C8,价格信息!$A:$A&amp;价格信息!$B:$B&amp;价格信息!$C:$C,价格信息!$D:$D)</f>
        <v/>
      </c>
      <c r="K8" s="27" t="str">
        <f>IF($C8="","",固定信息!$B$1)</f>
        <v/>
      </c>
      <c r="L8" s="27" t="str" cm="1">
        <f t="array" ref="L8">IF(_xlfn.XLOOKUP($A8&amp;$B8&amp;$C8,盘货信息!$A:$A&amp;盘货信息!$B:$B&amp;盘货信息!$C:$C,盘货信息!$T:$T)="","","【优惠券】领"&amp;_xlfn.XLOOKUP($A8&amp;$B8&amp;$C8,盘货信息!$A:$A&amp;盘货信息!$B:$B&amp;盘货信息!$C:$C,盘货信息!$T:$T)&amp;"元优惠卷下单更优惠，领券链接："&amp;_xlfn.XLOOKUP($A8&amp;$B8&amp;$C8,盘货信息!$A:$A&amp;盘货信息!$B:$B&amp;盘货信息!$C:$C,盘货信息!$U:$U))</f>
        <v/>
      </c>
      <c r="M8" s="27" t="str" cm="1">
        <f t="array" ref="M8">IF(_xlfn.XLOOKUP($A8&amp;$B8&amp;$C8,盘货信息!$A:$A&amp;盘货信息!$B:$B&amp;盘货信息!$C:$C,盘货信息!$P:$P)="","","【限时】"&amp;_xlfn.XLOOKUP($A8&amp;$B8&amp;$C8,盘货信息!$A:$A&amp;盘货信息!$B:$B&amp;盘货信息!$C:$C,盘货信息!$P:$P))</f>
        <v/>
      </c>
      <c r="N8" s="27" t="str" cm="1">
        <f t="array" ref="N8">IF(_xlfn.XLOOKUP($A8&amp;$B8&amp;$C8,盘货信息!$A:$A&amp;盘货信息!$B:$B&amp;盘货信息!$C:$C,盘货信息!$V:$V)="","","【"&amp;盘货信息!$V$1&amp;"】"&amp;_xlfn.XLOOKUP($A8&amp;$B8&amp;$C8,盘货信息!$A:$A&amp;盘货信息!$B:$B&amp;盘货信息!$C:$C,盘货信息!$V:$V))</f>
        <v/>
      </c>
      <c r="O8" s="27" t="str" cm="1">
        <f t="array" ref="O8">IF(_xlfn.XLOOKUP($A8&amp;$B8&amp;$C8,盘货信息!$A:$A&amp;盘货信息!$B:$B&amp;盘货信息!$C:$C,盘货信息!$W:$W)="","","【"&amp;盘货信息!$W$1&amp;"】"&amp;_xlfn.XLOOKUP($A8&amp;$B8&amp;$C8,盘货信息!$A:$A&amp;盘货信息!$B:$B&amp;盘货信息!$C:$C,盘货信息!$W:$W))</f>
        <v/>
      </c>
      <c r="P8" s="27" t="str" cm="1">
        <f t="array" ref="P8">IF(_xlfn.XLOOKUP($A8&amp;$B8&amp;$C8,盘货信息!$A:$A&amp;盘货信息!$B:$B&amp;盘货信息!$C:$C,盘货信息!$S:$S)&lt;1,"","【"&amp;盘货信息!$S$1&amp;"】"&amp;"后返"&amp;_xlfn.XLOOKUP($A8&amp;$B8&amp;$C8,盘货信息!$A:$A&amp;盘货信息!$B:$B&amp;盘货信息!$C:$C,盘货信息!$S:$S)&amp;"元")</f>
        <v/>
      </c>
      <c r="Q8" s="27" t="str" cm="1">
        <f t="array" ref="Q8">IF(_xlfn.XLOOKUP($A8&amp;$B8&amp;$C8,盘货信息!$A:$A&amp;盘货信息!$B:$B&amp;盘货信息!$C:$C,盘货信息!$X:$X)="","","【"&amp;盘货信息!$X$1&amp;"】"&amp;_xlfn.XLOOKUP($A8&amp;$B8&amp;$C8,盘货信息!$A:$A&amp;盘货信息!$B:$B&amp;盘货信息!$C:$C,盘货信息!$X:$X))</f>
        <v/>
      </c>
      <c r="R8" s="27" t="str" cm="1">
        <f t="array" ref="R8">IF(_xlfn.XLOOKUP($A8&amp;$B8&amp;$C8,盘货信息!$A:$A&amp;盘货信息!$B:$B&amp;盘货信息!$C:$C,盘货信息!$Z:$Z)="","","【"&amp;盘货信息!$Z$1&amp;"】"&amp;_xlfn.XLOOKUP($A8&amp;$B8&amp;$C8,盘货信息!$A:$A&amp;盘货信息!$B:$B&amp;盘货信息!$C:$C,盘货信息!$Z:$Z))</f>
        <v/>
      </c>
      <c r="S8" s="27" t="str" cm="1">
        <f t="array" ref="S8">IF(_xlfn.XLOOKUP($A8&amp;$B8&amp;$C8,盘货信息!$A:$A&amp;盘货信息!$B:$B&amp;盘货信息!$C:$C,盘货信息!$Q:$Q)="","","【种草】站外带指定话题种草后返"&amp;_xlfn.XLOOKUP($A8&amp;$B8&amp;$C8,盘货信息!$A:$A&amp;盘货信息!$B:$B&amp;盘货信息!$C:$C,盘货信息!$Q:$Q)&amp;"元红包（每个淘宝账号仅限对应一个站外种草账号，同一个种草账号不可对应多个淘宝账号）")</f>
        <v/>
      </c>
      <c r="T8" s="27" t="str" cm="1">
        <f t="array" ref="T8">IF(_xlfn.XLOOKUP($A8&amp;$B8&amp;$C8,盘货信息!$A:$A&amp;盘货信息!$B:$B&amp;盘货信息!$C:$C,盘货信息!$R:$R)&lt;1,"","【以旧换新】"&amp;"享补贴"&amp;ROUND(_xlfn.XLOOKUP($A8&amp;$B8&amp;$C8,盘货信息!$A:$A&amp;盘货信息!$B:$B&amp;盘货信息!$C:$C,盘货信息!$R:$R),0)&amp;"元（可无旧机换新）")</f>
        <v/>
      </c>
      <c r="U8" s="27" t="str">
        <f>IF(AND($N8="",$O8="",$P8="",$Q8="",$R8="",$S8="",$T8=""),"",固定信息!$B$1)</f>
        <v/>
      </c>
      <c r="V8" s="27" t="str" cm="1">
        <f t="array" ref="V8">IF(_xlfn.XLOOKUP($A8&amp;$B8&amp;$C8,盘货信息!$A:$A&amp;盘货信息!$B:$B&amp;盘货信息!$C:$C,盘货信息!$Y:$Y)="","","【卡萨帝送赠】活动指定时间"&amp;_xlfn.TEXTBEFORE(_xlfn.TEXTAFTER(_xlfn.XLOOKUP($A8&amp;$B8&amp;$C8,盘货信息!$A:$A&amp;盘货信息!$B:$B&amp;盘货信息!$C:$C,盘货信息!$Y:$Y),"点"),"（"))</f>
        <v/>
      </c>
      <c r="W8" s="27" t="str" cm="1">
        <f t="array" ref="W8">IF(COUNTIF(_xlfn.XLOOKUP($A8&amp;$B8&amp;$C8,盘货信息!$A:$A&amp;盘货信息!$B:$B&amp;盘货信息!$C:$C,盘货信息!$O:$O),"*是*"),"【折扣】指定型号满2类享96折，满3类享94折","")</f>
        <v/>
      </c>
      <c r="X8" s="27" t="str" cm="1">
        <f t="array" ref="X8">IF(固定信息!$B$7="","",IF(_xlfn.XLOOKUP($A8&amp;$B8&amp;$C8,盘货信息!$A:$A&amp;盘货信息!$B:$B&amp;盘货信息!$C:$C,盘货信息!$N:$N)="是","【瓜分】"&amp;固定信息!$B$7,""))</f>
        <v/>
      </c>
      <c r="Y8" s="27" t="str">
        <f>IF(AND($V8="",$W8="",$X8=""),"",固定信息!$B$1)</f>
        <v/>
      </c>
      <c r="Z8" s="27" t="str" cm="1">
        <f t="array" ref="Z8">IF($C8="","",_xlfn.XLOOKUP($A8&amp;$B8&amp;$C8,服务!$A:$A&amp;服务!$B:$B&amp;服务!$C:$C,服务!$D:$D))</f>
        <v/>
      </c>
    </row>
    <row r="9" customHeight="1" spans="1:26">
      <c r="A9" s="26" t="str">
        <f>IF(盘货信息!A9="","",盘货信息!A9)</f>
        <v/>
      </c>
      <c r="B9" s="26" t="str">
        <f>IF(盘货信息!B9="","",盘货信息!B9)</f>
        <v/>
      </c>
      <c r="C9" s="27" t="str">
        <f>IF(盘货信息!C9="","",盘货信息!C9)</f>
        <v/>
      </c>
      <c r="D9" s="27" t="str">
        <f ca="1" t="shared" si="0"/>
        <v/>
      </c>
      <c r="E9" s="27" t="str">
        <f>IF(C9="","",固定信息!$B$2)</f>
        <v/>
      </c>
      <c r="F9" s="27" t="str">
        <f>IF(C9="","","【"&amp;C9&amp;"】"&amp;固定信息!$B$4)</f>
        <v/>
      </c>
      <c r="G9" s="27" t="str">
        <f>IF(C9="","","【"&amp;"活动时间："&amp;固定信息!$B$3&amp;"】")</f>
        <v/>
      </c>
      <c r="H9" s="27" t="str">
        <f>IF($C9="","",固定信息!$B$1)</f>
        <v/>
      </c>
      <c r="I9" s="27" t="str">
        <f>IF(OR(C9="",固定信息!$B$5=""),"","【1元预约锁好礼】"&amp;固定信息!$B$5)</f>
        <v/>
      </c>
      <c r="J9" s="27" t="str" cm="1">
        <f t="array" ref="J9">_xlfn.XLOOKUP($A9&amp;$B9&amp;$C9,价格信息!$A:$A&amp;价格信息!$B:$B&amp;价格信息!$C:$C,价格信息!$D:$D)</f>
        <v/>
      </c>
      <c r="K9" s="27" t="str">
        <f>IF($C9="","",固定信息!$B$1)</f>
        <v/>
      </c>
      <c r="L9" s="27" t="str" cm="1">
        <f t="array" ref="L9">IF(_xlfn.XLOOKUP($A9&amp;$B9&amp;$C9,盘货信息!$A:$A&amp;盘货信息!$B:$B&amp;盘货信息!$C:$C,盘货信息!$T:$T)="","","【优惠券】领"&amp;_xlfn.XLOOKUP($A9&amp;$B9&amp;$C9,盘货信息!$A:$A&amp;盘货信息!$B:$B&amp;盘货信息!$C:$C,盘货信息!$T:$T)&amp;"元优惠卷下单更优惠，领券链接："&amp;_xlfn.XLOOKUP($A9&amp;$B9&amp;$C9,盘货信息!$A:$A&amp;盘货信息!$B:$B&amp;盘货信息!$C:$C,盘货信息!$U:$U))</f>
        <v/>
      </c>
      <c r="M9" s="27" t="str" cm="1">
        <f t="array" ref="M9">IF(_xlfn.XLOOKUP($A9&amp;$B9&amp;$C9,盘货信息!$A:$A&amp;盘货信息!$B:$B&amp;盘货信息!$C:$C,盘货信息!$P:$P)="","","【限时】"&amp;_xlfn.XLOOKUP($A9&amp;$B9&amp;$C9,盘货信息!$A:$A&amp;盘货信息!$B:$B&amp;盘货信息!$C:$C,盘货信息!$P:$P))</f>
        <v/>
      </c>
      <c r="N9" s="27" t="str" cm="1">
        <f t="array" ref="N9">IF(_xlfn.XLOOKUP($A9&amp;$B9&amp;$C9,盘货信息!$A:$A&amp;盘货信息!$B:$B&amp;盘货信息!$C:$C,盘货信息!$V:$V)="","","【"&amp;盘货信息!$V$1&amp;"】"&amp;_xlfn.XLOOKUP($A9&amp;$B9&amp;$C9,盘货信息!$A:$A&amp;盘货信息!$B:$B&amp;盘货信息!$C:$C,盘货信息!$V:$V))</f>
        <v/>
      </c>
      <c r="O9" s="27" t="str" cm="1">
        <f t="array" ref="O9">IF(_xlfn.XLOOKUP($A9&amp;$B9&amp;$C9,盘货信息!$A:$A&amp;盘货信息!$B:$B&amp;盘货信息!$C:$C,盘货信息!$W:$W)="","","【"&amp;盘货信息!$W$1&amp;"】"&amp;_xlfn.XLOOKUP($A9&amp;$B9&amp;$C9,盘货信息!$A:$A&amp;盘货信息!$B:$B&amp;盘货信息!$C:$C,盘货信息!$W:$W))</f>
        <v/>
      </c>
      <c r="P9" s="27" t="str" cm="1">
        <f t="array" ref="P9">IF(_xlfn.XLOOKUP($A9&amp;$B9&amp;$C9,盘货信息!$A:$A&amp;盘货信息!$B:$B&amp;盘货信息!$C:$C,盘货信息!$S:$S)&lt;1,"","【"&amp;盘货信息!$S$1&amp;"】"&amp;"后返"&amp;_xlfn.XLOOKUP($A9&amp;$B9&amp;$C9,盘货信息!$A:$A&amp;盘货信息!$B:$B&amp;盘货信息!$C:$C,盘货信息!$S:$S)&amp;"元")</f>
        <v/>
      </c>
      <c r="Q9" s="27" t="str" cm="1">
        <f t="array" ref="Q9">IF(_xlfn.XLOOKUP($A9&amp;$B9&amp;$C9,盘货信息!$A:$A&amp;盘货信息!$B:$B&amp;盘货信息!$C:$C,盘货信息!$X:$X)="","","【"&amp;盘货信息!$X$1&amp;"】"&amp;_xlfn.XLOOKUP($A9&amp;$B9&amp;$C9,盘货信息!$A:$A&amp;盘货信息!$B:$B&amp;盘货信息!$C:$C,盘货信息!$X:$X))</f>
        <v/>
      </c>
      <c r="R9" s="27" t="str" cm="1">
        <f t="array" ref="R9">IF(_xlfn.XLOOKUP($A9&amp;$B9&amp;$C9,盘货信息!$A:$A&amp;盘货信息!$B:$B&amp;盘货信息!$C:$C,盘货信息!$Z:$Z)="","","【"&amp;盘货信息!$Z$1&amp;"】"&amp;_xlfn.XLOOKUP($A9&amp;$B9&amp;$C9,盘货信息!$A:$A&amp;盘货信息!$B:$B&amp;盘货信息!$C:$C,盘货信息!$Z:$Z))</f>
        <v/>
      </c>
      <c r="S9" s="27" t="str" cm="1">
        <f t="array" ref="S9">IF(_xlfn.XLOOKUP($A9&amp;$B9&amp;$C9,盘货信息!$A:$A&amp;盘货信息!$B:$B&amp;盘货信息!$C:$C,盘货信息!$Q:$Q)="","","【种草】站外带指定话题种草后返"&amp;_xlfn.XLOOKUP($A9&amp;$B9&amp;$C9,盘货信息!$A:$A&amp;盘货信息!$B:$B&amp;盘货信息!$C:$C,盘货信息!$Q:$Q)&amp;"元红包（每个淘宝账号仅限对应一个站外种草账号，同一个种草账号不可对应多个淘宝账号）")</f>
        <v/>
      </c>
      <c r="T9" s="27" t="str" cm="1">
        <f t="array" ref="T9">IF(_xlfn.XLOOKUP($A9&amp;$B9&amp;$C9,盘货信息!$A:$A&amp;盘货信息!$B:$B&amp;盘货信息!$C:$C,盘货信息!$R:$R)&lt;1,"","【以旧换新】"&amp;"享补贴"&amp;ROUND(_xlfn.XLOOKUP($A9&amp;$B9&amp;$C9,盘货信息!$A:$A&amp;盘货信息!$B:$B&amp;盘货信息!$C:$C,盘货信息!$R:$R),0)&amp;"元（可无旧机换新）")</f>
        <v/>
      </c>
      <c r="U9" s="27" t="str">
        <f>IF(AND($N9="",$O9="",$P9="",$Q9="",$R9="",$S9="",$T9=""),"",固定信息!$B$1)</f>
        <v/>
      </c>
      <c r="V9" s="27" t="str" cm="1">
        <f t="array" ref="V9">IF(_xlfn.XLOOKUP($A9&amp;$B9&amp;$C9,盘货信息!$A:$A&amp;盘货信息!$B:$B&amp;盘货信息!$C:$C,盘货信息!$Y:$Y)="","","【卡萨帝送赠】活动指定时间"&amp;_xlfn.TEXTBEFORE(_xlfn.TEXTAFTER(_xlfn.XLOOKUP($A9&amp;$B9&amp;$C9,盘货信息!$A:$A&amp;盘货信息!$B:$B&amp;盘货信息!$C:$C,盘货信息!$Y:$Y),"点"),"（"))</f>
        <v/>
      </c>
      <c r="W9" s="27" t="str" cm="1">
        <f t="array" ref="W9">IF(COUNTIF(_xlfn.XLOOKUP($A9&amp;$B9&amp;$C9,盘货信息!$A:$A&amp;盘货信息!$B:$B&amp;盘货信息!$C:$C,盘货信息!$O:$O),"*是*"),"【折扣】指定型号满2类享96折，满3类享94折","")</f>
        <v/>
      </c>
      <c r="X9" s="27" t="str" cm="1">
        <f t="array" ref="X9">IF(固定信息!$B$7="","",IF(_xlfn.XLOOKUP($A9&amp;$B9&amp;$C9,盘货信息!$A:$A&amp;盘货信息!$B:$B&amp;盘货信息!$C:$C,盘货信息!$N:$N)="是","【瓜分】"&amp;固定信息!$B$7,""))</f>
        <v/>
      </c>
      <c r="Y9" s="27" t="str">
        <f>IF(AND($V9="",$W9="",$X9=""),"",固定信息!$B$1)</f>
        <v/>
      </c>
      <c r="Z9" s="27" t="str" cm="1">
        <f t="array" ref="Z9">IF($C9="","",_xlfn.XLOOKUP($A9&amp;$B9&amp;$C9,服务!$A:$A&amp;服务!$B:$B&amp;服务!$C:$C,服务!$D:$D))</f>
        <v/>
      </c>
    </row>
    <row r="10" customHeight="1" spans="1:26">
      <c r="A10" s="26" t="str">
        <f>IF(盘货信息!A10="","",盘货信息!A10)</f>
        <v/>
      </c>
      <c r="B10" s="26" t="str">
        <f>IF(盘货信息!B10="","",盘货信息!B10)</f>
        <v/>
      </c>
      <c r="C10" s="27" t="str">
        <f>IF(盘货信息!C10="","",盘货信息!C10)</f>
        <v/>
      </c>
      <c r="D10" s="27" t="str">
        <f ca="1" t="shared" si="0"/>
        <v/>
      </c>
      <c r="E10" s="27" t="str">
        <f>IF(C10="","",固定信息!$B$2)</f>
        <v/>
      </c>
      <c r="F10" s="27" t="str">
        <f>IF(C10="","","【"&amp;C10&amp;"】"&amp;固定信息!$B$4)</f>
        <v/>
      </c>
      <c r="G10" s="27" t="str">
        <f>IF(C10="","","【"&amp;"活动时间："&amp;固定信息!$B$3&amp;"】")</f>
        <v/>
      </c>
      <c r="H10" s="27" t="str">
        <f>IF($C10="","",固定信息!$B$1)</f>
        <v/>
      </c>
      <c r="I10" s="27" t="str">
        <f>IF(OR(C10="",固定信息!$B$5=""),"","【1元预约锁好礼】"&amp;固定信息!$B$5)</f>
        <v/>
      </c>
      <c r="J10" s="27" t="str" cm="1">
        <f t="array" ref="J10">_xlfn.XLOOKUP($A10&amp;$B10&amp;$C10,价格信息!$A:$A&amp;价格信息!$B:$B&amp;价格信息!$C:$C,价格信息!$D:$D)</f>
        <v/>
      </c>
      <c r="K10" s="27" t="str">
        <f>IF($C10="","",固定信息!$B$1)</f>
        <v/>
      </c>
      <c r="L10" s="27" t="str" cm="1">
        <f t="array" ref="L10">IF(_xlfn.XLOOKUP($A10&amp;$B10&amp;$C10,盘货信息!$A:$A&amp;盘货信息!$B:$B&amp;盘货信息!$C:$C,盘货信息!$T:$T)="","","【优惠券】领"&amp;_xlfn.XLOOKUP($A10&amp;$B10&amp;$C10,盘货信息!$A:$A&amp;盘货信息!$B:$B&amp;盘货信息!$C:$C,盘货信息!$T:$T)&amp;"元优惠卷下单更优惠，领券链接："&amp;_xlfn.XLOOKUP($A10&amp;$B10&amp;$C10,盘货信息!$A:$A&amp;盘货信息!$B:$B&amp;盘货信息!$C:$C,盘货信息!$U:$U))</f>
        <v/>
      </c>
      <c r="M10" s="27" t="str" cm="1">
        <f t="array" ref="M10">IF(_xlfn.XLOOKUP($A10&amp;$B10&amp;$C10,盘货信息!$A:$A&amp;盘货信息!$B:$B&amp;盘货信息!$C:$C,盘货信息!$P:$P)="","","【限时】"&amp;_xlfn.XLOOKUP($A10&amp;$B10&amp;$C10,盘货信息!$A:$A&amp;盘货信息!$B:$B&amp;盘货信息!$C:$C,盘货信息!$P:$P))</f>
        <v/>
      </c>
      <c r="N10" s="27" t="str" cm="1">
        <f t="array" ref="N10">IF(_xlfn.XLOOKUP($A10&amp;$B10&amp;$C10,盘货信息!$A:$A&amp;盘货信息!$B:$B&amp;盘货信息!$C:$C,盘货信息!$V:$V)="","","【"&amp;盘货信息!$V$1&amp;"】"&amp;_xlfn.XLOOKUP($A10&amp;$B10&amp;$C10,盘货信息!$A:$A&amp;盘货信息!$B:$B&amp;盘货信息!$C:$C,盘货信息!$V:$V))</f>
        <v/>
      </c>
      <c r="O10" s="27" t="str" cm="1">
        <f t="array" ref="O10">IF(_xlfn.XLOOKUP($A10&amp;$B10&amp;$C10,盘货信息!$A:$A&amp;盘货信息!$B:$B&amp;盘货信息!$C:$C,盘货信息!$W:$W)="","","【"&amp;盘货信息!$W$1&amp;"】"&amp;_xlfn.XLOOKUP($A10&amp;$B10&amp;$C10,盘货信息!$A:$A&amp;盘货信息!$B:$B&amp;盘货信息!$C:$C,盘货信息!$W:$W))</f>
        <v/>
      </c>
      <c r="P10" s="27" t="str" cm="1">
        <f t="array" ref="P10">IF(_xlfn.XLOOKUP($A10&amp;$B10&amp;$C10,盘货信息!$A:$A&amp;盘货信息!$B:$B&amp;盘货信息!$C:$C,盘货信息!$S:$S)&lt;1,"","【"&amp;盘货信息!$S$1&amp;"】"&amp;"后返"&amp;_xlfn.XLOOKUP($A10&amp;$B10&amp;$C10,盘货信息!$A:$A&amp;盘货信息!$B:$B&amp;盘货信息!$C:$C,盘货信息!$S:$S)&amp;"元")</f>
        <v/>
      </c>
      <c r="Q10" s="27" t="str" cm="1">
        <f t="array" ref="Q10">IF(_xlfn.XLOOKUP($A10&amp;$B10&amp;$C10,盘货信息!$A:$A&amp;盘货信息!$B:$B&amp;盘货信息!$C:$C,盘货信息!$X:$X)="","","【"&amp;盘货信息!$X$1&amp;"】"&amp;_xlfn.XLOOKUP($A10&amp;$B10&amp;$C10,盘货信息!$A:$A&amp;盘货信息!$B:$B&amp;盘货信息!$C:$C,盘货信息!$X:$X))</f>
        <v/>
      </c>
      <c r="R10" s="27" t="str" cm="1">
        <f t="array" ref="R10">IF(_xlfn.XLOOKUP($A10&amp;$B10&amp;$C10,盘货信息!$A:$A&amp;盘货信息!$B:$B&amp;盘货信息!$C:$C,盘货信息!$Z:$Z)="","","【"&amp;盘货信息!$Z$1&amp;"】"&amp;_xlfn.XLOOKUP($A10&amp;$B10&amp;$C10,盘货信息!$A:$A&amp;盘货信息!$B:$B&amp;盘货信息!$C:$C,盘货信息!$Z:$Z))</f>
        <v/>
      </c>
      <c r="S10" s="27" t="str" cm="1">
        <f t="array" ref="S10">IF(_xlfn.XLOOKUP($A10&amp;$B10&amp;$C10,盘货信息!$A:$A&amp;盘货信息!$B:$B&amp;盘货信息!$C:$C,盘货信息!$Q:$Q)="","","【种草】站外带指定话题种草后返"&amp;_xlfn.XLOOKUP($A10&amp;$B10&amp;$C10,盘货信息!$A:$A&amp;盘货信息!$B:$B&amp;盘货信息!$C:$C,盘货信息!$Q:$Q)&amp;"元红包（每个淘宝账号仅限对应一个站外种草账号，同一个种草账号不可对应多个淘宝账号）")</f>
        <v/>
      </c>
      <c r="T10" s="27" t="str" cm="1">
        <f t="array" ref="T10">IF(_xlfn.XLOOKUP($A10&amp;$B10&amp;$C10,盘货信息!$A:$A&amp;盘货信息!$B:$B&amp;盘货信息!$C:$C,盘货信息!$R:$R)&lt;1,"","【以旧换新】"&amp;"享补贴"&amp;ROUND(_xlfn.XLOOKUP($A10&amp;$B10&amp;$C10,盘货信息!$A:$A&amp;盘货信息!$B:$B&amp;盘货信息!$C:$C,盘货信息!$R:$R),0)&amp;"元（可无旧机换新）")</f>
        <v/>
      </c>
      <c r="U10" s="27" t="str">
        <f>IF(AND($N10="",$O10="",$P10="",$Q10="",$R10="",$S10="",$T10=""),"",固定信息!$B$1)</f>
        <v/>
      </c>
      <c r="V10" s="27" t="str" cm="1">
        <f t="array" ref="V10">IF(_xlfn.XLOOKUP($A10&amp;$B10&amp;$C10,盘货信息!$A:$A&amp;盘货信息!$B:$B&amp;盘货信息!$C:$C,盘货信息!$Y:$Y)="","","【卡萨帝送赠】活动指定时间"&amp;_xlfn.TEXTBEFORE(_xlfn.TEXTAFTER(_xlfn.XLOOKUP($A10&amp;$B10&amp;$C10,盘货信息!$A:$A&amp;盘货信息!$B:$B&amp;盘货信息!$C:$C,盘货信息!$Y:$Y),"点"),"（"))</f>
        <v/>
      </c>
      <c r="W10" s="27" t="str" cm="1">
        <f t="array" ref="W10">IF(COUNTIF(_xlfn.XLOOKUP($A10&amp;$B10&amp;$C10,盘货信息!$A:$A&amp;盘货信息!$B:$B&amp;盘货信息!$C:$C,盘货信息!$O:$O),"*是*"),"【折扣】指定型号满2类享96折，满3类享94折","")</f>
        <v/>
      </c>
      <c r="X10" s="27" t="str" cm="1">
        <f t="array" ref="X10">IF(固定信息!$B$7="","",IF(_xlfn.XLOOKUP($A10&amp;$B10&amp;$C10,盘货信息!$A:$A&amp;盘货信息!$B:$B&amp;盘货信息!$C:$C,盘货信息!$N:$N)="是","【瓜分】"&amp;固定信息!$B$7,""))</f>
        <v/>
      </c>
      <c r="Y10" s="27" t="str">
        <f>IF(AND($V10="",$W10="",$X10=""),"",固定信息!$B$1)</f>
        <v/>
      </c>
      <c r="Z10" s="27" t="str" cm="1">
        <f t="array" ref="Z10">IF($C10="","",_xlfn.XLOOKUP($A10&amp;$B10&amp;$C10,服务!$A:$A&amp;服务!$B:$B&amp;服务!$C:$C,服务!$D:$D))</f>
        <v/>
      </c>
    </row>
    <row r="11" customHeight="1" spans="1:26">
      <c r="A11" s="26" t="str">
        <f>IF(盘货信息!A11="","",盘货信息!A11)</f>
        <v/>
      </c>
      <c r="B11" s="26" t="str">
        <f>IF(盘货信息!B11="","",盘货信息!B11)</f>
        <v/>
      </c>
      <c r="C11" s="27" t="str">
        <f>IF(盘货信息!C11="","",盘货信息!C11)</f>
        <v/>
      </c>
      <c r="D11" s="27" t="str">
        <f ca="1" t="shared" si="0"/>
        <v/>
      </c>
      <c r="E11" s="27" t="str">
        <f>IF(C11="","",固定信息!$B$2)</f>
        <v/>
      </c>
      <c r="F11" s="27" t="str">
        <f>IF(C11="","","【"&amp;C11&amp;"】"&amp;固定信息!$B$4)</f>
        <v/>
      </c>
      <c r="G11" s="27" t="str">
        <f>IF(C11="","","【"&amp;"活动时间："&amp;固定信息!$B$3&amp;"】")</f>
        <v/>
      </c>
      <c r="H11" s="27" t="str">
        <f>IF($C11="","",固定信息!$B$1)</f>
        <v/>
      </c>
      <c r="I11" s="27" t="str">
        <f>IF(OR(C11="",固定信息!$B$5=""),"","【1元预约锁好礼】"&amp;固定信息!$B$5)</f>
        <v/>
      </c>
      <c r="J11" s="27" t="str" cm="1">
        <f t="array" ref="J11">_xlfn.XLOOKUP($A11&amp;$B11&amp;$C11,价格信息!$A:$A&amp;价格信息!$B:$B&amp;价格信息!$C:$C,价格信息!$D:$D)</f>
        <v/>
      </c>
      <c r="K11" s="27" t="str">
        <f>IF($C11="","",固定信息!$B$1)</f>
        <v/>
      </c>
      <c r="L11" s="27" t="str" cm="1">
        <f t="array" ref="L11">IF(_xlfn.XLOOKUP($A11&amp;$B11&amp;$C11,盘货信息!$A:$A&amp;盘货信息!$B:$B&amp;盘货信息!$C:$C,盘货信息!$T:$T)="","","【优惠券】领"&amp;_xlfn.XLOOKUP($A11&amp;$B11&amp;$C11,盘货信息!$A:$A&amp;盘货信息!$B:$B&amp;盘货信息!$C:$C,盘货信息!$T:$T)&amp;"元优惠卷下单更优惠，领券链接："&amp;_xlfn.XLOOKUP($A11&amp;$B11&amp;$C11,盘货信息!$A:$A&amp;盘货信息!$B:$B&amp;盘货信息!$C:$C,盘货信息!$U:$U))</f>
        <v/>
      </c>
      <c r="M11" s="27" t="str" cm="1">
        <f t="array" ref="M11">IF(_xlfn.XLOOKUP($A11&amp;$B11&amp;$C11,盘货信息!$A:$A&amp;盘货信息!$B:$B&amp;盘货信息!$C:$C,盘货信息!$P:$P)="","","【限时】"&amp;_xlfn.XLOOKUP($A11&amp;$B11&amp;$C11,盘货信息!$A:$A&amp;盘货信息!$B:$B&amp;盘货信息!$C:$C,盘货信息!$P:$P))</f>
        <v/>
      </c>
      <c r="N11" s="27" t="str" cm="1">
        <f t="array" ref="N11">IF(_xlfn.XLOOKUP($A11&amp;$B11&amp;$C11,盘货信息!$A:$A&amp;盘货信息!$B:$B&amp;盘货信息!$C:$C,盘货信息!$V:$V)="","","【"&amp;盘货信息!$V$1&amp;"】"&amp;_xlfn.XLOOKUP($A11&amp;$B11&amp;$C11,盘货信息!$A:$A&amp;盘货信息!$B:$B&amp;盘货信息!$C:$C,盘货信息!$V:$V))</f>
        <v/>
      </c>
      <c r="O11" s="27" t="str" cm="1">
        <f t="array" ref="O11">IF(_xlfn.XLOOKUP($A11&amp;$B11&amp;$C11,盘货信息!$A:$A&amp;盘货信息!$B:$B&amp;盘货信息!$C:$C,盘货信息!$W:$W)="","","【"&amp;盘货信息!$W$1&amp;"】"&amp;_xlfn.XLOOKUP($A11&amp;$B11&amp;$C11,盘货信息!$A:$A&amp;盘货信息!$B:$B&amp;盘货信息!$C:$C,盘货信息!$W:$W))</f>
        <v/>
      </c>
      <c r="P11" s="27" t="str" cm="1">
        <f t="array" ref="P11">IF(_xlfn.XLOOKUP($A11&amp;$B11&amp;$C11,盘货信息!$A:$A&amp;盘货信息!$B:$B&amp;盘货信息!$C:$C,盘货信息!$S:$S)&lt;1,"","【"&amp;盘货信息!$S$1&amp;"】"&amp;"后返"&amp;_xlfn.XLOOKUP($A11&amp;$B11&amp;$C11,盘货信息!$A:$A&amp;盘货信息!$B:$B&amp;盘货信息!$C:$C,盘货信息!$S:$S)&amp;"元")</f>
        <v/>
      </c>
      <c r="Q11" s="27" t="str" cm="1">
        <f t="array" ref="Q11">IF(_xlfn.XLOOKUP($A11&amp;$B11&amp;$C11,盘货信息!$A:$A&amp;盘货信息!$B:$B&amp;盘货信息!$C:$C,盘货信息!$X:$X)="","","【"&amp;盘货信息!$X$1&amp;"】"&amp;_xlfn.XLOOKUP($A11&amp;$B11&amp;$C11,盘货信息!$A:$A&amp;盘货信息!$B:$B&amp;盘货信息!$C:$C,盘货信息!$X:$X))</f>
        <v/>
      </c>
      <c r="R11" s="27" t="str" cm="1">
        <f t="array" ref="R11">IF(_xlfn.XLOOKUP($A11&amp;$B11&amp;$C11,盘货信息!$A:$A&amp;盘货信息!$B:$B&amp;盘货信息!$C:$C,盘货信息!$Z:$Z)="","","【"&amp;盘货信息!$Z$1&amp;"】"&amp;_xlfn.XLOOKUP($A11&amp;$B11&amp;$C11,盘货信息!$A:$A&amp;盘货信息!$B:$B&amp;盘货信息!$C:$C,盘货信息!$Z:$Z))</f>
        <v/>
      </c>
      <c r="S11" s="27" t="str" cm="1">
        <f t="array" ref="S11">IF(_xlfn.XLOOKUP($A11&amp;$B11&amp;$C11,盘货信息!$A:$A&amp;盘货信息!$B:$B&amp;盘货信息!$C:$C,盘货信息!$Q:$Q)="","","【种草】站外带指定话题种草后返"&amp;_xlfn.XLOOKUP($A11&amp;$B11&amp;$C11,盘货信息!$A:$A&amp;盘货信息!$B:$B&amp;盘货信息!$C:$C,盘货信息!$Q:$Q)&amp;"元红包（每个淘宝账号仅限对应一个站外种草账号，同一个种草账号不可对应多个淘宝账号）")</f>
        <v/>
      </c>
      <c r="T11" s="27" t="str" cm="1">
        <f t="array" ref="T11">IF(_xlfn.XLOOKUP($A11&amp;$B11&amp;$C11,盘货信息!$A:$A&amp;盘货信息!$B:$B&amp;盘货信息!$C:$C,盘货信息!$R:$R)&lt;1,"","【以旧换新】"&amp;"享补贴"&amp;ROUND(_xlfn.XLOOKUP($A11&amp;$B11&amp;$C11,盘货信息!$A:$A&amp;盘货信息!$B:$B&amp;盘货信息!$C:$C,盘货信息!$R:$R),0)&amp;"元（可无旧机换新）")</f>
        <v/>
      </c>
      <c r="U11" s="27" t="str">
        <f>IF(AND($N11="",$O11="",$P11="",$Q11="",$R11="",$S11="",$T11=""),"",固定信息!$B$1)</f>
        <v/>
      </c>
      <c r="V11" s="27" t="str" cm="1">
        <f t="array" ref="V11">IF(_xlfn.XLOOKUP($A11&amp;$B11&amp;$C11,盘货信息!$A:$A&amp;盘货信息!$B:$B&amp;盘货信息!$C:$C,盘货信息!$Y:$Y)="","","【卡萨帝送赠】活动指定时间"&amp;_xlfn.TEXTBEFORE(_xlfn.TEXTAFTER(_xlfn.XLOOKUP($A11&amp;$B11&amp;$C11,盘货信息!$A:$A&amp;盘货信息!$B:$B&amp;盘货信息!$C:$C,盘货信息!$Y:$Y),"点"),"（"))</f>
        <v/>
      </c>
      <c r="W11" s="27" t="str" cm="1">
        <f t="array" ref="W11">IF(COUNTIF(_xlfn.XLOOKUP($A11&amp;$B11&amp;$C11,盘货信息!$A:$A&amp;盘货信息!$B:$B&amp;盘货信息!$C:$C,盘货信息!$O:$O),"*是*"),"【折扣】指定型号满2类享96折，满3类享94折","")</f>
        <v/>
      </c>
      <c r="X11" s="27" t="str" cm="1">
        <f t="array" ref="X11">IF(固定信息!$B$7="","",IF(_xlfn.XLOOKUP($A11&amp;$B11&amp;$C11,盘货信息!$A:$A&amp;盘货信息!$B:$B&amp;盘货信息!$C:$C,盘货信息!$N:$N)="是","【瓜分】"&amp;固定信息!$B$7,""))</f>
        <v/>
      </c>
      <c r="Y11" s="27" t="str">
        <f>IF(AND($V11="",$W11="",$X11=""),"",固定信息!$B$1)</f>
        <v/>
      </c>
      <c r="Z11" s="27" t="str" cm="1">
        <f t="array" ref="Z11">IF($C11="","",_xlfn.XLOOKUP($A11&amp;$B11&amp;$C11,服务!$A:$A&amp;服务!$B:$B&amp;服务!$C:$C,服务!$D:$D))</f>
        <v/>
      </c>
    </row>
    <row r="12" customHeight="1" spans="1:26">
      <c r="A12" s="26" t="str">
        <f>IF(盘货信息!A12="","",盘货信息!A12)</f>
        <v/>
      </c>
      <c r="B12" s="26" t="str">
        <f>IF(盘货信息!B12="","",盘货信息!B12)</f>
        <v/>
      </c>
      <c r="C12" s="27" t="str">
        <f>IF(盘货信息!C12="","",盘货信息!C12)</f>
        <v/>
      </c>
      <c r="D12" s="27" t="str">
        <f ca="1" t="shared" si="0"/>
        <v/>
      </c>
      <c r="E12" s="27" t="str">
        <f>IF(C12="","",固定信息!$B$2)</f>
        <v/>
      </c>
      <c r="F12" s="27" t="str">
        <f>IF(C12="","","【"&amp;C12&amp;"】"&amp;固定信息!$B$4)</f>
        <v/>
      </c>
      <c r="G12" s="27" t="str">
        <f>IF(C12="","","【"&amp;"活动时间："&amp;固定信息!$B$3&amp;"】")</f>
        <v/>
      </c>
      <c r="H12" s="27" t="str">
        <f>IF($C12="","",固定信息!$B$1)</f>
        <v/>
      </c>
      <c r="I12" s="27" t="str">
        <f>IF(OR(C12="",固定信息!$B$5=""),"","【1元预约锁好礼】"&amp;固定信息!$B$5)</f>
        <v/>
      </c>
      <c r="J12" s="27" t="str" cm="1">
        <f t="array" ref="J12">_xlfn.XLOOKUP($A12&amp;$B12&amp;$C12,价格信息!$A:$A&amp;价格信息!$B:$B&amp;价格信息!$C:$C,价格信息!$D:$D)</f>
        <v/>
      </c>
      <c r="K12" s="27" t="str">
        <f>IF($C12="","",固定信息!$B$1)</f>
        <v/>
      </c>
      <c r="L12" s="27" t="str" cm="1">
        <f t="array" ref="L12">IF(_xlfn.XLOOKUP($A12&amp;$B12&amp;$C12,盘货信息!$A:$A&amp;盘货信息!$B:$B&amp;盘货信息!$C:$C,盘货信息!$T:$T)="","","【优惠券】领"&amp;_xlfn.XLOOKUP($A12&amp;$B12&amp;$C12,盘货信息!$A:$A&amp;盘货信息!$B:$B&amp;盘货信息!$C:$C,盘货信息!$T:$T)&amp;"元优惠卷下单更优惠，领券链接："&amp;_xlfn.XLOOKUP($A12&amp;$B12&amp;$C12,盘货信息!$A:$A&amp;盘货信息!$B:$B&amp;盘货信息!$C:$C,盘货信息!$U:$U))</f>
        <v/>
      </c>
      <c r="M12" s="27" t="str" cm="1">
        <f t="array" ref="M12">IF(_xlfn.XLOOKUP($A12&amp;$B12&amp;$C12,盘货信息!$A:$A&amp;盘货信息!$B:$B&amp;盘货信息!$C:$C,盘货信息!$P:$P)="","","【限时】"&amp;_xlfn.XLOOKUP($A12&amp;$B12&amp;$C12,盘货信息!$A:$A&amp;盘货信息!$B:$B&amp;盘货信息!$C:$C,盘货信息!$P:$P))</f>
        <v/>
      </c>
      <c r="N12" s="27" t="str" cm="1">
        <f t="array" ref="N12">IF(_xlfn.XLOOKUP($A12&amp;$B12&amp;$C12,盘货信息!$A:$A&amp;盘货信息!$B:$B&amp;盘货信息!$C:$C,盘货信息!$V:$V)="","","【"&amp;盘货信息!$V$1&amp;"】"&amp;_xlfn.XLOOKUP($A12&amp;$B12&amp;$C12,盘货信息!$A:$A&amp;盘货信息!$B:$B&amp;盘货信息!$C:$C,盘货信息!$V:$V))</f>
        <v/>
      </c>
      <c r="O12" s="27" t="str" cm="1">
        <f t="array" ref="O12">IF(_xlfn.XLOOKUP($A12&amp;$B12&amp;$C12,盘货信息!$A:$A&amp;盘货信息!$B:$B&amp;盘货信息!$C:$C,盘货信息!$W:$W)="","","【"&amp;盘货信息!$W$1&amp;"】"&amp;_xlfn.XLOOKUP($A12&amp;$B12&amp;$C12,盘货信息!$A:$A&amp;盘货信息!$B:$B&amp;盘货信息!$C:$C,盘货信息!$W:$W))</f>
        <v/>
      </c>
      <c r="P12" s="27" t="str" cm="1">
        <f t="array" ref="P12">IF(_xlfn.XLOOKUP($A12&amp;$B12&amp;$C12,盘货信息!$A:$A&amp;盘货信息!$B:$B&amp;盘货信息!$C:$C,盘货信息!$S:$S)&lt;1,"","【"&amp;盘货信息!$S$1&amp;"】"&amp;"后返"&amp;_xlfn.XLOOKUP($A12&amp;$B12&amp;$C12,盘货信息!$A:$A&amp;盘货信息!$B:$B&amp;盘货信息!$C:$C,盘货信息!$S:$S)&amp;"元")</f>
        <v/>
      </c>
      <c r="Q12" s="27" t="str" cm="1">
        <f t="array" ref="Q12">IF(_xlfn.XLOOKUP($A12&amp;$B12&amp;$C12,盘货信息!$A:$A&amp;盘货信息!$B:$B&amp;盘货信息!$C:$C,盘货信息!$X:$X)="","","【"&amp;盘货信息!$X$1&amp;"】"&amp;_xlfn.XLOOKUP($A12&amp;$B12&amp;$C12,盘货信息!$A:$A&amp;盘货信息!$B:$B&amp;盘货信息!$C:$C,盘货信息!$X:$X))</f>
        <v/>
      </c>
      <c r="R12" s="27" t="str" cm="1">
        <f t="array" ref="R12">IF(_xlfn.XLOOKUP($A12&amp;$B12&amp;$C12,盘货信息!$A:$A&amp;盘货信息!$B:$B&amp;盘货信息!$C:$C,盘货信息!$Z:$Z)="","","【"&amp;盘货信息!$Z$1&amp;"】"&amp;_xlfn.XLOOKUP($A12&amp;$B12&amp;$C12,盘货信息!$A:$A&amp;盘货信息!$B:$B&amp;盘货信息!$C:$C,盘货信息!$Z:$Z))</f>
        <v/>
      </c>
      <c r="S12" s="27" t="str" cm="1">
        <f t="array" ref="S12">IF(_xlfn.XLOOKUP($A12&amp;$B12&amp;$C12,盘货信息!$A:$A&amp;盘货信息!$B:$B&amp;盘货信息!$C:$C,盘货信息!$Q:$Q)="","","【种草】站外带指定话题种草后返"&amp;_xlfn.XLOOKUP($A12&amp;$B12&amp;$C12,盘货信息!$A:$A&amp;盘货信息!$B:$B&amp;盘货信息!$C:$C,盘货信息!$Q:$Q)&amp;"元红包（每个淘宝账号仅限对应一个站外种草账号，同一个种草账号不可对应多个淘宝账号）")</f>
        <v/>
      </c>
      <c r="T12" s="27" t="str" cm="1">
        <f t="array" ref="T12">IF(_xlfn.XLOOKUP($A12&amp;$B12&amp;$C12,盘货信息!$A:$A&amp;盘货信息!$B:$B&amp;盘货信息!$C:$C,盘货信息!$R:$R)&lt;1,"","【以旧换新】"&amp;"享补贴"&amp;ROUND(_xlfn.XLOOKUP($A12&amp;$B12&amp;$C12,盘货信息!$A:$A&amp;盘货信息!$B:$B&amp;盘货信息!$C:$C,盘货信息!$R:$R),0)&amp;"元（可无旧机换新）")</f>
        <v/>
      </c>
      <c r="U12" s="27" t="str">
        <f>IF(AND($N12="",$O12="",$P12="",$Q12="",$R12="",$S12="",$T12=""),"",固定信息!$B$1)</f>
        <v/>
      </c>
      <c r="V12" s="27" t="str" cm="1">
        <f t="array" ref="V12">IF(_xlfn.XLOOKUP($A12&amp;$B12&amp;$C12,盘货信息!$A:$A&amp;盘货信息!$B:$B&amp;盘货信息!$C:$C,盘货信息!$Y:$Y)="","","【卡萨帝送赠】活动指定时间"&amp;_xlfn.TEXTBEFORE(_xlfn.TEXTAFTER(_xlfn.XLOOKUP($A12&amp;$B12&amp;$C12,盘货信息!$A:$A&amp;盘货信息!$B:$B&amp;盘货信息!$C:$C,盘货信息!$Y:$Y),"点"),"（"))</f>
        <v/>
      </c>
      <c r="W12" s="27" t="str" cm="1">
        <f t="array" ref="W12">IF(COUNTIF(_xlfn.XLOOKUP($A12&amp;$B12&amp;$C12,盘货信息!$A:$A&amp;盘货信息!$B:$B&amp;盘货信息!$C:$C,盘货信息!$O:$O),"*是*"),"【折扣】指定型号满2类享96折，满3类享94折","")</f>
        <v/>
      </c>
      <c r="X12" s="27" t="str" cm="1">
        <f t="array" ref="X12">IF(固定信息!$B$7="","",IF(_xlfn.XLOOKUP($A12&amp;$B12&amp;$C12,盘货信息!$A:$A&amp;盘货信息!$B:$B&amp;盘货信息!$C:$C,盘货信息!$N:$N)="是","【瓜分】"&amp;固定信息!$B$7,""))</f>
        <v/>
      </c>
      <c r="Y12" s="27" t="str">
        <f>IF(AND($V12="",$W12="",$X12=""),"",固定信息!$B$1)</f>
        <v/>
      </c>
      <c r="Z12" s="27" t="str" cm="1">
        <f t="array" ref="Z12">IF($C12="","",_xlfn.XLOOKUP($A12&amp;$B12&amp;$C12,服务!$A:$A&amp;服务!$B:$B&amp;服务!$C:$C,服务!$D:$D))</f>
        <v/>
      </c>
    </row>
    <row r="13" customHeight="1" spans="1:26">
      <c r="A13" s="26" t="str">
        <f>IF(盘货信息!A13="","",盘货信息!A13)</f>
        <v/>
      </c>
      <c r="B13" s="26" t="str">
        <f>IF(盘货信息!B13="","",盘货信息!B13)</f>
        <v/>
      </c>
      <c r="C13" s="27" t="str">
        <f>IF(盘货信息!C13="","",盘货信息!C13)</f>
        <v/>
      </c>
      <c r="D13" s="27" t="str">
        <f ca="1" t="shared" si="0"/>
        <v/>
      </c>
      <c r="E13" s="27" t="str">
        <f>IF(C13="","",固定信息!$B$2)</f>
        <v/>
      </c>
      <c r="F13" s="27" t="str">
        <f>IF(C13="","","【"&amp;C13&amp;"】"&amp;固定信息!$B$4)</f>
        <v/>
      </c>
      <c r="G13" s="27" t="str">
        <f>IF(C13="","","【"&amp;"活动时间："&amp;固定信息!$B$3&amp;"】")</f>
        <v/>
      </c>
      <c r="H13" s="27" t="str">
        <f>IF($C13="","",固定信息!$B$1)</f>
        <v/>
      </c>
      <c r="I13" s="27" t="str">
        <f>IF(OR(C13="",固定信息!$B$5=""),"","【1元预约锁好礼】"&amp;固定信息!$B$5)</f>
        <v/>
      </c>
      <c r="J13" s="27" t="str" cm="1">
        <f t="array" ref="J13">_xlfn.XLOOKUP($A13&amp;$B13&amp;$C13,价格信息!$A:$A&amp;价格信息!$B:$B&amp;价格信息!$C:$C,价格信息!$D:$D)</f>
        <v/>
      </c>
      <c r="K13" s="27" t="str">
        <f>IF($C13="","",固定信息!$B$1)</f>
        <v/>
      </c>
      <c r="L13" s="27" t="str" cm="1">
        <f t="array" ref="L13">IF(_xlfn.XLOOKUP($A13&amp;$B13&amp;$C13,盘货信息!$A:$A&amp;盘货信息!$B:$B&amp;盘货信息!$C:$C,盘货信息!$T:$T)="","","【优惠券】领"&amp;_xlfn.XLOOKUP($A13&amp;$B13&amp;$C13,盘货信息!$A:$A&amp;盘货信息!$B:$B&amp;盘货信息!$C:$C,盘货信息!$T:$T)&amp;"元优惠卷下单更优惠，领券链接："&amp;_xlfn.XLOOKUP($A13&amp;$B13&amp;$C13,盘货信息!$A:$A&amp;盘货信息!$B:$B&amp;盘货信息!$C:$C,盘货信息!$U:$U))</f>
        <v/>
      </c>
      <c r="M13" s="27" t="str" cm="1">
        <f t="array" ref="M13">IF(_xlfn.XLOOKUP($A13&amp;$B13&amp;$C13,盘货信息!$A:$A&amp;盘货信息!$B:$B&amp;盘货信息!$C:$C,盘货信息!$P:$P)="","","【限时】"&amp;_xlfn.XLOOKUP($A13&amp;$B13&amp;$C13,盘货信息!$A:$A&amp;盘货信息!$B:$B&amp;盘货信息!$C:$C,盘货信息!$P:$P))</f>
        <v/>
      </c>
      <c r="N13" s="27" t="str" cm="1">
        <f t="array" ref="N13">IF(_xlfn.XLOOKUP($A13&amp;$B13&amp;$C13,盘货信息!$A:$A&amp;盘货信息!$B:$B&amp;盘货信息!$C:$C,盘货信息!$V:$V)="","","【"&amp;盘货信息!$V$1&amp;"】"&amp;_xlfn.XLOOKUP($A13&amp;$B13&amp;$C13,盘货信息!$A:$A&amp;盘货信息!$B:$B&amp;盘货信息!$C:$C,盘货信息!$V:$V))</f>
        <v/>
      </c>
      <c r="O13" s="27" t="str" cm="1">
        <f t="array" ref="O13">IF(_xlfn.XLOOKUP($A13&amp;$B13&amp;$C13,盘货信息!$A:$A&amp;盘货信息!$B:$B&amp;盘货信息!$C:$C,盘货信息!$W:$W)="","","【"&amp;盘货信息!$W$1&amp;"】"&amp;_xlfn.XLOOKUP($A13&amp;$B13&amp;$C13,盘货信息!$A:$A&amp;盘货信息!$B:$B&amp;盘货信息!$C:$C,盘货信息!$W:$W))</f>
        <v/>
      </c>
      <c r="P13" s="27" t="str" cm="1">
        <f t="array" ref="P13">IF(_xlfn.XLOOKUP($A13&amp;$B13&amp;$C13,盘货信息!$A:$A&amp;盘货信息!$B:$B&amp;盘货信息!$C:$C,盘货信息!$S:$S)&lt;1,"","【"&amp;盘货信息!$S$1&amp;"】"&amp;"后返"&amp;_xlfn.XLOOKUP($A13&amp;$B13&amp;$C13,盘货信息!$A:$A&amp;盘货信息!$B:$B&amp;盘货信息!$C:$C,盘货信息!$S:$S)&amp;"元")</f>
        <v/>
      </c>
      <c r="Q13" s="27" t="str" cm="1">
        <f t="array" ref="Q13">IF(_xlfn.XLOOKUP($A13&amp;$B13&amp;$C13,盘货信息!$A:$A&amp;盘货信息!$B:$B&amp;盘货信息!$C:$C,盘货信息!$X:$X)="","","【"&amp;盘货信息!$X$1&amp;"】"&amp;_xlfn.XLOOKUP($A13&amp;$B13&amp;$C13,盘货信息!$A:$A&amp;盘货信息!$B:$B&amp;盘货信息!$C:$C,盘货信息!$X:$X))</f>
        <v/>
      </c>
      <c r="R13" s="27" t="str" cm="1">
        <f t="array" ref="R13">IF(_xlfn.XLOOKUP($A13&amp;$B13&amp;$C13,盘货信息!$A:$A&amp;盘货信息!$B:$B&amp;盘货信息!$C:$C,盘货信息!$Z:$Z)="","","【"&amp;盘货信息!$Z$1&amp;"】"&amp;_xlfn.XLOOKUP($A13&amp;$B13&amp;$C13,盘货信息!$A:$A&amp;盘货信息!$B:$B&amp;盘货信息!$C:$C,盘货信息!$Z:$Z))</f>
        <v/>
      </c>
      <c r="S13" s="27" t="str" cm="1">
        <f t="array" ref="S13">IF(_xlfn.XLOOKUP($A13&amp;$B13&amp;$C13,盘货信息!$A:$A&amp;盘货信息!$B:$B&amp;盘货信息!$C:$C,盘货信息!$Q:$Q)="","","【种草】站外带指定话题种草后返"&amp;_xlfn.XLOOKUP($A13&amp;$B13&amp;$C13,盘货信息!$A:$A&amp;盘货信息!$B:$B&amp;盘货信息!$C:$C,盘货信息!$Q:$Q)&amp;"元红包（每个淘宝账号仅限对应一个站外种草账号，同一个种草账号不可对应多个淘宝账号）")</f>
        <v/>
      </c>
      <c r="T13" s="27" t="str" cm="1">
        <f t="array" ref="T13">IF(_xlfn.XLOOKUP($A13&amp;$B13&amp;$C13,盘货信息!$A:$A&amp;盘货信息!$B:$B&amp;盘货信息!$C:$C,盘货信息!$R:$R)&lt;1,"","【以旧换新】"&amp;"享补贴"&amp;ROUND(_xlfn.XLOOKUP($A13&amp;$B13&amp;$C13,盘货信息!$A:$A&amp;盘货信息!$B:$B&amp;盘货信息!$C:$C,盘货信息!$R:$R),0)&amp;"元（可无旧机换新）")</f>
        <v/>
      </c>
      <c r="U13" s="27" t="str">
        <f>IF(AND($N13="",$O13="",$P13="",$Q13="",$R13="",$S13="",$T13=""),"",固定信息!$B$1)</f>
        <v/>
      </c>
      <c r="V13" s="27" t="str" cm="1">
        <f t="array" ref="V13">IF(_xlfn.XLOOKUP($A13&amp;$B13&amp;$C13,盘货信息!$A:$A&amp;盘货信息!$B:$B&amp;盘货信息!$C:$C,盘货信息!$Y:$Y)="","","【卡萨帝送赠】活动指定时间"&amp;_xlfn.TEXTBEFORE(_xlfn.TEXTAFTER(_xlfn.XLOOKUP($A13&amp;$B13&amp;$C13,盘货信息!$A:$A&amp;盘货信息!$B:$B&amp;盘货信息!$C:$C,盘货信息!$Y:$Y),"点"),"（"))</f>
        <v/>
      </c>
      <c r="W13" s="27" t="str" cm="1">
        <f t="array" ref="W13">IF(COUNTIF(_xlfn.XLOOKUP($A13&amp;$B13&amp;$C13,盘货信息!$A:$A&amp;盘货信息!$B:$B&amp;盘货信息!$C:$C,盘货信息!$O:$O),"*是*"),"【折扣】指定型号满2类享96折，满3类享94折","")</f>
        <v/>
      </c>
      <c r="X13" s="27" t="str" cm="1">
        <f t="array" ref="X13">IF(固定信息!$B$7="","",IF(_xlfn.XLOOKUP($A13&amp;$B13&amp;$C13,盘货信息!$A:$A&amp;盘货信息!$B:$B&amp;盘货信息!$C:$C,盘货信息!$N:$N)="是","【瓜分】"&amp;固定信息!$B$7,""))</f>
        <v/>
      </c>
      <c r="Y13" s="27" t="str">
        <f>IF(AND($V13="",$W13="",$X13=""),"",固定信息!$B$1)</f>
        <v/>
      </c>
      <c r="Z13" s="27" t="str" cm="1">
        <f t="array" ref="Z13">IF($C13="","",_xlfn.XLOOKUP($A13&amp;$B13&amp;$C13,服务!$A:$A&amp;服务!$B:$B&amp;服务!$C:$C,服务!$D:$D))</f>
        <v/>
      </c>
    </row>
    <row r="14" customHeight="1" spans="1:26">
      <c r="A14" s="26" t="str">
        <f>IF(盘货信息!A14="","",盘货信息!A14)</f>
        <v/>
      </c>
      <c r="B14" s="26" t="str">
        <f>IF(盘货信息!B14="","",盘货信息!B14)</f>
        <v/>
      </c>
      <c r="C14" s="27" t="str">
        <f>IF(盘货信息!C14="","",盘货信息!C14)</f>
        <v/>
      </c>
      <c r="D14" s="27" t="str">
        <f ca="1" t="shared" si="0"/>
        <v/>
      </c>
      <c r="E14" s="27" t="str">
        <f>IF(C14="","",固定信息!$B$2)</f>
        <v/>
      </c>
      <c r="F14" s="27" t="str">
        <f>IF(C14="","","【"&amp;C14&amp;"】"&amp;固定信息!$B$4)</f>
        <v/>
      </c>
      <c r="G14" s="27" t="str">
        <f>IF(C14="","","【"&amp;"活动时间："&amp;固定信息!$B$3&amp;"】")</f>
        <v/>
      </c>
      <c r="H14" s="27" t="str">
        <f>IF($C14="","",固定信息!$B$1)</f>
        <v/>
      </c>
      <c r="I14" s="27" t="str">
        <f>IF(OR(C14="",固定信息!$B$5=""),"","【1元预约锁好礼】"&amp;固定信息!$B$5)</f>
        <v/>
      </c>
      <c r="J14" s="27" t="str" cm="1">
        <f t="array" ref="J14">_xlfn.XLOOKUP($A14&amp;$B14&amp;$C14,价格信息!$A:$A&amp;价格信息!$B:$B&amp;价格信息!$C:$C,价格信息!$D:$D)</f>
        <v/>
      </c>
      <c r="K14" s="27" t="str">
        <f>IF($C14="","",固定信息!$B$1)</f>
        <v/>
      </c>
      <c r="L14" s="27" t="str" cm="1">
        <f t="array" ref="L14">IF(_xlfn.XLOOKUP($A14&amp;$B14&amp;$C14,盘货信息!$A:$A&amp;盘货信息!$B:$B&amp;盘货信息!$C:$C,盘货信息!$T:$T)="","","【优惠券】领"&amp;_xlfn.XLOOKUP($A14&amp;$B14&amp;$C14,盘货信息!$A:$A&amp;盘货信息!$B:$B&amp;盘货信息!$C:$C,盘货信息!$T:$T)&amp;"元优惠卷下单更优惠，领券链接："&amp;_xlfn.XLOOKUP($A14&amp;$B14&amp;$C14,盘货信息!$A:$A&amp;盘货信息!$B:$B&amp;盘货信息!$C:$C,盘货信息!$U:$U))</f>
        <v/>
      </c>
      <c r="M14" s="27" t="str" cm="1">
        <f t="array" ref="M14">IF(_xlfn.XLOOKUP($A14&amp;$B14&amp;$C14,盘货信息!$A:$A&amp;盘货信息!$B:$B&amp;盘货信息!$C:$C,盘货信息!$P:$P)="","","【限时】"&amp;_xlfn.XLOOKUP($A14&amp;$B14&amp;$C14,盘货信息!$A:$A&amp;盘货信息!$B:$B&amp;盘货信息!$C:$C,盘货信息!$P:$P))</f>
        <v/>
      </c>
      <c r="N14" s="27" t="str" cm="1">
        <f t="array" ref="N14">IF(_xlfn.XLOOKUP($A14&amp;$B14&amp;$C14,盘货信息!$A:$A&amp;盘货信息!$B:$B&amp;盘货信息!$C:$C,盘货信息!$V:$V)="","","【"&amp;盘货信息!$V$1&amp;"】"&amp;_xlfn.XLOOKUP($A14&amp;$B14&amp;$C14,盘货信息!$A:$A&amp;盘货信息!$B:$B&amp;盘货信息!$C:$C,盘货信息!$V:$V))</f>
        <v/>
      </c>
      <c r="O14" s="27" t="str" cm="1">
        <f t="array" ref="O14">IF(_xlfn.XLOOKUP($A14&amp;$B14&amp;$C14,盘货信息!$A:$A&amp;盘货信息!$B:$B&amp;盘货信息!$C:$C,盘货信息!$W:$W)="","","【"&amp;盘货信息!$W$1&amp;"】"&amp;_xlfn.XLOOKUP($A14&amp;$B14&amp;$C14,盘货信息!$A:$A&amp;盘货信息!$B:$B&amp;盘货信息!$C:$C,盘货信息!$W:$W))</f>
        <v/>
      </c>
      <c r="P14" s="27" t="str" cm="1">
        <f t="array" ref="P14">IF(_xlfn.XLOOKUP($A14&amp;$B14&amp;$C14,盘货信息!$A:$A&amp;盘货信息!$B:$B&amp;盘货信息!$C:$C,盘货信息!$S:$S)&lt;1,"","【"&amp;盘货信息!$S$1&amp;"】"&amp;"后返"&amp;_xlfn.XLOOKUP($A14&amp;$B14&amp;$C14,盘货信息!$A:$A&amp;盘货信息!$B:$B&amp;盘货信息!$C:$C,盘货信息!$S:$S)&amp;"元")</f>
        <v/>
      </c>
      <c r="Q14" s="27" t="str" cm="1">
        <f t="array" ref="Q14">IF(_xlfn.XLOOKUP($A14&amp;$B14&amp;$C14,盘货信息!$A:$A&amp;盘货信息!$B:$B&amp;盘货信息!$C:$C,盘货信息!$X:$X)="","","【"&amp;盘货信息!$X$1&amp;"】"&amp;_xlfn.XLOOKUP($A14&amp;$B14&amp;$C14,盘货信息!$A:$A&amp;盘货信息!$B:$B&amp;盘货信息!$C:$C,盘货信息!$X:$X))</f>
        <v/>
      </c>
      <c r="R14" s="27" t="str" cm="1">
        <f t="array" ref="R14">IF(_xlfn.XLOOKUP($A14&amp;$B14&amp;$C14,盘货信息!$A:$A&amp;盘货信息!$B:$B&amp;盘货信息!$C:$C,盘货信息!$Z:$Z)="","","【"&amp;盘货信息!$Z$1&amp;"】"&amp;_xlfn.XLOOKUP($A14&amp;$B14&amp;$C14,盘货信息!$A:$A&amp;盘货信息!$B:$B&amp;盘货信息!$C:$C,盘货信息!$Z:$Z))</f>
        <v/>
      </c>
      <c r="S14" s="27" t="str" cm="1">
        <f t="array" ref="S14">IF(_xlfn.XLOOKUP($A14&amp;$B14&amp;$C14,盘货信息!$A:$A&amp;盘货信息!$B:$B&amp;盘货信息!$C:$C,盘货信息!$Q:$Q)="","","【种草】站外带指定话题种草后返"&amp;_xlfn.XLOOKUP($A14&amp;$B14&amp;$C14,盘货信息!$A:$A&amp;盘货信息!$B:$B&amp;盘货信息!$C:$C,盘货信息!$Q:$Q)&amp;"元红包（每个淘宝账号仅限对应一个站外种草账号，同一个种草账号不可对应多个淘宝账号）")</f>
        <v/>
      </c>
      <c r="T14" s="27" t="str" cm="1">
        <f t="array" ref="T14">IF(_xlfn.XLOOKUP($A14&amp;$B14&amp;$C14,盘货信息!$A:$A&amp;盘货信息!$B:$B&amp;盘货信息!$C:$C,盘货信息!$R:$R)&lt;1,"","【以旧换新】"&amp;"享补贴"&amp;ROUND(_xlfn.XLOOKUP($A14&amp;$B14&amp;$C14,盘货信息!$A:$A&amp;盘货信息!$B:$B&amp;盘货信息!$C:$C,盘货信息!$R:$R),0)&amp;"元（可无旧机换新）")</f>
        <v/>
      </c>
      <c r="U14" s="27" t="str">
        <f>IF(AND($N14="",$O14="",$P14="",$Q14="",$R14="",$S14="",$T14=""),"",固定信息!$B$1)</f>
        <v/>
      </c>
      <c r="V14" s="27" t="str" cm="1">
        <f t="array" ref="V14">IF(_xlfn.XLOOKUP($A14&amp;$B14&amp;$C14,盘货信息!$A:$A&amp;盘货信息!$B:$B&amp;盘货信息!$C:$C,盘货信息!$Y:$Y)="","","【卡萨帝送赠】活动指定时间"&amp;_xlfn.TEXTBEFORE(_xlfn.TEXTAFTER(_xlfn.XLOOKUP($A14&amp;$B14&amp;$C14,盘货信息!$A:$A&amp;盘货信息!$B:$B&amp;盘货信息!$C:$C,盘货信息!$Y:$Y),"点"),"（"))</f>
        <v/>
      </c>
      <c r="W14" s="27" t="str" cm="1">
        <f t="array" ref="W14">IF(COUNTIF(_xlfn.XLOOKUP($A14&amp;$B14&amp;$C14,盘货信息!$A:$A&amp;盘货信息!$B:$B&amp;盘货信息!$C:$C,盘货信息!$O:$O),"*是*"),"【折扣】指定型号满2类享96折，满3类享94折","")</f>
        <v/>
      </c>
      <c r="X14" s="27" t="str" cm="1">
        <f t="array" ref="X14">IF(固定信息!$B$7="","",IF(_xlfn.XLOOKUP($A14&amp;$B14&amp;$C14,盘货信息!$A:$A&amp;盘货信息!$B:$B&amp;盘货信息!$C:$C,盘货信息!$N:$N)="是","【瓜分】"&amp;固定信息!$B$7,""))</f>
        <v/>
      </c>
      <c r="Y14" s="27" t="str">
        <f>IF(AND($V14="",$W14="",$X14=""),"",固定信息!$B$1)</f>
        <v/>
      </c>
      <c r="Z14" s="27" t="str" cm="1">
        <f t="array" ref="Z14">IF($C14="","",_xlfn.XLOOKUP($A14&amp;$B14&amp;$C14,服务!$A:$A&amp;服务!$B:$B&amp;服务!$C:$C,服务!$D:$D))</f>
        <v/>
      </c>
    </row>
    <row r="15" customHeight="1" spans="1:26">
      <c r="A15" s="26" t="str">
        <f>IF(盘货信息!A15="","",盘货信息!A15)</f>
        <v/>
      </c>
      <c r="B15" s="26" t="str">
        <f>IF(盘货信息!B15="","",盘货信息!B15)</f>
        <v/>
      </c>
      <c r="C15" s="27" t="str">
        <f>IF(盘货信息!C15="","",盘货信息!C15)</f>
        <v/>
      </c>
      <c r="D15" s="27" t="str">
        <f ca="1" t="shared" si="0"/>
        <v/>
      </c>
      <c r="E15" s="27" t="str">
        <f>IF(C15="","",固定信息!$B$2)</f>
        <v/>
      </c>
      <c r="F15" s="27" t="str">
        <f>IF(C15="","","【"&amp;C15&amp;"】"&amp;固定信息!$B$4)</f>
        <v/>
      </c>
      <c r="G15" s="27" t="str">
        <f>IF(C15="","","【"&amp;"活动时间："&amp;固定信息!$B$3&amp;"】")</f>
        <v/>
      </c>
      <c r="H15" s="27" t="str">
        <f>IF($C15="","",固定信息!$B$1)</f>
        <v/>
      </c>
      <c r="I15" s="27" t="str">
        <f>IF(OR(C15="",固定信息!$B$5=""),"","【1元预约锁好礼】"&amp;固定信息!$B$5)</f>
        <v/>
      </c>
      <c r="J15" s="27" t="str" cm="1">
        <f t="array" ref="J15">_xlfn.XLOOKUP($A15&amp;$B15&amp;$C15,价格信息!$A:$A&amp;价格信息!$B:$B&amp;价格信息!$C:$C,价格信息!$D:$D)</f>
        <v/>
      </c>
      <c r="K15" s="27" t="str">
        <f>IF($C15="","",固定信息!$B$1)</f>
        <v/>
      </c>
      <c r="L15" s="27" t="str" cm="1">
        <f t="array" ref="L15">IF(_xlfn.XLOOKUP($A15&amp;$B15&amp;$C15,盘货信息!$A:$A&amp;盘货信息!$B:$B&amp;盘货信息!$C:$C,盘货信息!$T:$T)="","","【优惠券】领"&amp;_xlfn.XLOOKUP($A15&amp;$B15&amp;$C15,盘货信息!$A:$A&amp;盘货信息!$B:$B&amp;盘货信息!$C:$C,盘货信息!$T:$T)&amp;"元优惠卷下单更优惠，领券链接："&amp;_xlfn.XLOOKUP($A15&amp;$B15&amp;$C15,盘货信息!$A:$A&amp;盘货信息!$B:$B&amp;盘货信息!$C:$C,盘货信息!$U:$U))</f>
        <v/>
      </c>
      <c r="M15" s="27" t="str" cm="1">
        <f t="array" ref="M15">IF(_xlfn.XLOOKUP($A15&amp;$B15&amp;$C15,盘货信息!$A:$A&amp;盘货信息!$B:$B&amp;盘货信息!$C:$C,盘货信息!$P:$P)="","","【限时】"&amp;_xlfn.XLOOKUP($A15&amp;$B15&amp;$C15,盘货信息!$A:$A&amp;盘货信息!$B:$B&amp;盘货信息!$C:$C,盘货信息!$P:$P))</f>
        <v/>
      </c>
      <c r="N15" s="27" t="str" cm="1">
        <f t="array" ref="N15">IF(_xlfn.XLOOKUP($A15&amp;$B15&amp;$C15,盘货信息!$A:$A&amp;盘货信息!$B:$B&amp;盘货信息!$C:$C,盘货信息!$V:$V)="","","【"&amp;盘货信息!$V$1&amp;"】"&amp;_xlfn.XLOOKUP($A15&amp;$B15&amp;$C15,盘货信息!$A:$A&amp;盘货信息!$B:$B&amp;盘货信息!$C:$C,盘货信息!$V:$V))</f>
        <v/>
      </c>
      <c r="O15" s="27" t="str" cm="1">
        <f t="array" ref="O15">IF(_xlfn.XLOOKUP($A15&amp;$B15&amp;$C15,盘货信息!$A:$A&amp;盘货信息!$B:$B&amp;盘货信息!$C:$C,盘货信息!$W:$W)="","","【"&amp;盘货信息!$W$1&amp;"】"&amp;_xlfn.XLOOKUP($A15&amp;$B15&amp;$C15,盘货信息!$A:$A&amp;盘货信息!$B:$B&amp;盘货信息!$C:$C,盘货信息!$W:$W))</f>
        <v/>
      </c>
      <c r="P15" s="27" t="str" cm="1">
        <f t="array" ref="P15">IF(_xlfn.XLOOKUP($A15&amp;$B15&amp;$C15,盘货信息!$A:$A&amp;盘货信息!$B:$B&amp;盘货信息!$C:$C,盘货信息!$S:$S)&lt;1,"","【"&amp;盘货信息!$S$1&amp;"】"&amp;"后返"&amp;_xlfn.XLOOKUP($A15&amp;$B15&amp;$C15,盘货信息!$A:$A&amp;盘货信息!$B:$B&amp;盘货信息!$C:$C,盘货信息!$S:$S)&amp;"元")</f>
        <v/>
      </c>
      <c r="Q15" s="27" t="str" cm="1">
        <f t="array" ref="Q15">IF(_xlfn.XLOOKUP($A15&amp;$B15&amp;$C15,盘货信息!$A:$A&amp;盘货信息!$B:$B&amp;盘货信息!$C:$C,盘货信息!$X:$X)="","","【"&amp;盘货信息!$X$1&amp;"】"&amp;_xlfn.XLOOKUP($A15&amp;$B15&amp;$C15,盘货信息!$A:$A&amp;盘货信息!$B:$B&amp;盘货信息!$C:$C,盘货信息!$X:$X))</f>
        <v/>
      </c>
      <c r="R15" s="27" t="str" cm="1">
        <f t="array" ref="R15">IF(_xlfn.XLOOKUP($A15&amp;$B15&amp;$C15,盘货信息!$A:$A&amp;盘货信息!$B:$B&amp;盘货信息!$C:$C,盘货信息!$Z:$Z)="","","【"&amp;盘货信息!$Z$1&amp;"】"&amp;_xlfn.XLOOKUP($A15&amp;$B15&amp;$C15,盘货信息!$A:$A&amp;盘货信息!$B:$B&amp;盘货信息!$C:$C,盘货信息!$Z:$Z))</f>
        <v/>
      </c>
      <c r="S15" s="27" t="str" cm="1">
        <f t="array" ref="S15">IF(_xlfn.XLOOKUP($A15&amp;$B15&amp;$C15,盘货信息!$A:$A&amp;盘货信息!$B:$B&amp;盘货信息!$C:$C,盘货信息!$Q:$Q)="","","【种草】站外带指定话题种草后返"&amp;_xlfn.XLOOKUP($A15&amp;$B15&amp;$C15,盘货信息!$A:$A&amp;盘货信息!$B:$B&amp;盘货信息!$C:$C,盘货信息!$Q:$Q)&amp;"元红包（每个淘宝账号仅限对应一个站外种草账号，同一个种草账号不可对应多个淘宝账号）")</f>
        <v/>
      </c>
      <c r="T15" s="27" t="str" cm="1">
        <f t="array" ref="T15">IF(_xlfn.XLOOKUP($A15&amp;$B15&amp;$C15,盘货信息!$A:$A&amp;盘货信息!$B:$B&amp;盘货信息!$C:$C,盘货信息!$R:$R)&lt;1,"","【以旧换新】"&amp;"享补贴"&amp;ROUND(_xlfn.XLOOKUP($A15&amp;$B15&amp;$C15,盘货信息!$A:$A&amp;盘货信息!$B:$B&amp;盘货信息!$C:$C,盘货信息!$R:$R),0)&amp;"元（可无旧机换新）")</f>
        <v/>
      </c>
      <c r="U15" s="27" t="str">
        <f>IF(AND($N15="",$O15="",$P15="",$Q15="",$R15="",$S15="",$T15=""),"",固定信息!$B$1)</f>
        <v/>
      </c>
      <c r="V15" s="27" t="str" cm="1">
        <f t="array" ref="V15">IF(_xlfn.XLOOKUP($A15&amp;$B15&amp;$C15,盘货信息!$A:$A&amp;盘货信息!$B:$B&amp;盘货信息!$C:$C,盘货信息!$Y:$Y)="","","【卡萨帝送赠】活动指定时间"&amp;_xlfn.TEXTBEFORE(_xlfn.TEXTAFTER(_xlfn.XLOOKUP($A15&amp;$B15&amp;$C15,盘货信息!$A:$A&amp;盘货信息!$B:$B&amp;盘货信息!$C:$C,盘货信息!$Y:$Y),"点"),"（"))</f>
        <v/>
      </c>
      <c r="W15" s="27" t="str" cm="1">
        <f t="array" ref="W15">IF(COUNTIF(_xlfn.XLOOKUP($A15&amp;$B15&amp;$C15,盘货信息!$A:$A&amp;盘货信息!$B:$B&amp;盘货信息!$C:$C,盘货信息!$O:$O),"*是*"),"【折扣】指定型号满2类享96折，满3类享94折","")</f>
        <v/>
      </c>
      <c r="X15" s="27" t="str" cm="1">
        <f t="array" ref="X15">IF(固定信息!$B$7="","",IF(_xlfn.XLOOKUP($A15&amp;$B15&amp;$C15,盘货信息!$A:$A&amp;盘货信息!$B:$B&amp;盘货信息!$C:$C,盘货信息!$N:$N)="是","【瓜分】"&amp;固定信息!$B$7,""))</f>
        <v/>
      </c>
      <c r="Y15" s="27" t="str">
        <f>IF(AND($V15="",$W15="",$X15=""),"",固定信息!$B$1)</f>
        <v/>
      </c>
      <c r="Z15" s="27" t="str" cm="1">
        <f t="array" ref="Z15">IF($C15="","",_xlfn.XLOOKUP($A15&amp;$B15&amp;$C15,服务!$A:$A&amp;服务!$B:$B&amp;服务!$C:$C,服务!$D:$D))</f>
        <v/>
      </c>
    </row>
    <row r="16" customHeight="1" spans="1:26">
      <c r="A16" s="26" t="str">
        <f>IF(盘货信息!A16="","",盘货信息!A16)</f>
        <v/>
      </c>
      <c r="B16" s="26" t="str">
        <f>IF(盘货信息!B16="","",盘货信息!B16)</f>
        <v/>
      </c>
      <c r="C16" s="27" t="str">
        <f>IF(盘货信息!C16="","",盘货信息!C16)</f>
        <v/>
      </c>
      <c r="D16" s="27" t="str">
        <f ca="1" t="shared" si="0"/>
        <v/>
      </c>
      <c r="E16" s="27" t="str">
        <f>IF(C16="","",固定信息!$B$2)</f>
        <v/>
      </c>
      <c r="F16" s="27" t="str">
        <f>IF(C16="","","【"&amp;C16&amp;"】"&amp;固定信息!$B$4)</f>
        <v/>
      </c>
      <c r="G16" s="27" t="str">
        <f>IF(C16="","","【"&amp;"活动时间："&amp;固定信息!$B$3&amp;"】")</f>
        <v/>
      </c>
      <c r="H16" s="27" t="str">
        <f>IF($C16="","",固定信息!$B$1)</f>
        <v/>
      </c>
      <c r="I16" s="27" t="str">
        <f>IF(OR(C16="",固定信息!$B$5=""),"","【1元预约锁好礼】"&amp;固定信息!$B$5)</f>
        <v/>
      </c>
      <c r="J16" s="27" t="str" cm="1">
        <f t="array" ref="J16">_xlfn.XLOOKUP($A16&amp;$B16&amp;$C16,价格信息!$A:$A&amp;价格信息!$B:$B&amp;价格信息!$C:$C,价格信息!$D:$D)</f>
        <v/>
      </c>
      <c r="K16" s="27" t="str">
        <f>IF($C16="","",固定信息!$B$1)</f>
        <v/>
      </c>
      <c r="L16" s="27" t="str" cm="1">
        <f t="array" ref="L16">IF(_xlfn.XLOOKUP($A16&amp;$B16&amp;$C16,盘货信息!$A:$A&amp;盘货信息!$B:$B&amp;盘货信息!$C:$C,盘货信息!$T:$T)="","","【优惠券】领"&amp;_xlfn.XLOOKUP($A16&amp;$B16&amp;$C16,盘货信息!$A:$A&amp;盘货信息!$B:$B&amp;盘货信息!$C:$C,盘货信息!$T:$T)&amp;"元优惠卷下单更优惠，领券链接："&amp;_xlfn.XLOOKUP($A16&amp;$B16&amp;$C16,盘货信息!$A:$A&amp;盘货信息!$B:$B&amp;盘货信息!$C:$C,盘货信息!$U:$U))</f>
        <v/>
      </c>
      <c r="M16" s="27" t="str" cm="1">
        <f t="array" ref="M16">IF(_xlfn.XLOOKUP($A16&amp;$B16&amp;$C16,盘货信息!$A:$A&amp;盘货信息!$B:$B&amp;盘货信息!$C:$C,盘货信息!$P:$P)="","","【限时】"&amp;_xlfn.XLOOKUP($A16&amp;$B16&amp;$C16,盘货信息!$A:$A&amp;盘货信息!$B:$B&amp;盘货信息!$C:$C,盘货信息!$P:$P))</f>
        <v/>
      </c>
      <c r="N16" s="27" t="str" cm="1">
        <f t="array" ref="N16">IF(_xlfn.XLOOKUP($A16&amp;$B16&amp;$C16,盘货信息!$A:$A&amp;盘货信息!$B:$B&amp;盘货信息!$C:$C,盘货信息!$V:$V)="","","【"&amp;盘货信息!$V$1&amp;"】"&amp;_xlfn.XLOOKUP($A16&amp;$B16&amp;$C16,盘货信息!$A:$A&amp;盘货信息!$B:$B&amp;盘货信息!$C:$C,盘货信息!$V:$V))</f>
        <v/>
      </c>
      <c r="O16" s="27" t="str" cm="1">
        <f t="array" ref="O16">IF(_xlfn.XLOOKUP($A16&amp;$B16&amp;$C16,盘货信息!$A:$A&amp;盘货信息!$B:$B&amp;盘货信息!$C:$C,盘货信息!$W:$W)="","","【"&amp;盘货信息!$W$1&amp;"】"&amp;_xlfn.XLOOKUP($A16&amp;$B16&amp;$C16,盘货信息!$A:$A&amp;盘货信息!$B:$B&amp;盘货信息!$C:$C,盘货信息!$W:$W))</f>
        <v/>
      </c>
      <c r="P16" s="27" t="str" cm="1">
        <f t="array" ref="P16">IF(_xlfn.XLOOKUP($A16&amp;$B16&amp;$C16,盘货信息!$A:$A&amp;盘货信息!$B:$B&amp;盘货信息!$C:$C,盘货信息!$S:$S)&lt;1,"","【"&amp;盘货信息!$S$1&amp;"】"&amp;"后返"&amp;_xlfn.XLOOKUP($A16&amp;$B16&amp;$C16,盘货信息!$A:$A&amp;盘货信息!$B:$B&amp;盘货信息!$C:$C,盘货信息!$S:$S)&amp;"元")</f>
        <v/>
      </c>
      <c r="Q16" s="27" t="str" cm="1">
        <f t="array" ref="Q16">IF(_xlfn.XLOOKUP($A16&amp;$B16&amp;$C16,盘货信息!$A:$A&amp;盘货信息!$B:$B&amp;盘货信息!$C:$C,盘货信息!$X:$X)="","","【"&amp;盘货信息!$X$1&amp;"】"&amp;_xlfn.XLOOKUP($A16&amp;$B16&amp;$C16,盘货信息!$A:$A&amp;盘货信息!$B:$B&amp;盘货信息!$C:$C,盘货信息!$X:$X))</f>
        <v/>
      </c>
      <c r="R16" s="27" t="str" cm="1">
        <f t="array" ref="R16">IF(_xlfn.XLOOKUP($A16&amp;$B16&amp;$C16,盘货信息!$A:$A&amp;盘货信息!$B:$B&amp;盘货信息!$C:$C,盘货信息!$Z:$Z)="","","【"&amp;盘货信息!$Z$1&amp;"】"&amp;_xlfn.XLOOKUP($A16&amp;$B16&amp;$C16,盘货信息!$A:$A&amp;盘货信息!$B:$B&amp;盘货信息!$C:$C,盘货信息!$Z:$Z))</f>
        <v/>
      </c>
      <c r="S16" s="27" t="str" cm="1">
        <f t="array" ref="S16">IF(_xlfn.XLOOKUP($A16&amp;$B16&amp;$C16,盘货信息!$A:$A&amp;盘货信息!$B:$B&amp;盘货信息!$C:$C,盘货信息!$Q:$Q)="","","【种草】站外带指定话题种草后返"&amp;_xlfn.XLOOKUP($A16&amp;$B16&amp;$C16,盘货信息!$A:$A&amp;盘货信息!$B:$B&amp;盘货信息!$C:$C,盘货信息!$Q:$Q)&amp;"元红包（每个淘宝账号仅限对应一个站外种草账号，同一个种草账号不可对应多个淘宝账号）")</f>
        <v/>
      </c>
      <c r="T16" s="27" t="str" cm="1">
        <f t="array" ref="T16">IF(_xlfn.XLOOKUP($A16&amp;$B16&amp;$C16,盘货信息!$A:$A&amp;盘货信息!$B:$B&amp;盘货信息!$C:$C,盘货信息!$R:$R)&lt;1,"","【以旧换新】"&amp;"享补贴"&amp;ROUND(_xlfn.XLOOKUP($A16&amp;$B16&amp;$C16,盘货信息!$A:$A&amp;盘货信息!$B:$B&amp;盘货信息!$C:$C,盘货信息!$R:$R),0)&amp;"元（可无旧机换新）")</f>
        <v/>
      </c>
      <c r="U16" s="27" t="str">
        <f>IF(AND($N16="",$O16="",$P16="",$Q16="",$R16="",$S16="",$T16=""),"",固定信息!$B$1)</f>
        <v/>
      </c>
      <c r="V16" s="27" t="str" cm="1">
        <f t="array" ref="V16">IF(_xlfn.XLOOKUP($A16&amp;$B16&amp;$C16,盘货信息!$A:$A&amp;盘货信息!$B:$B&amp;盘货信息!$C:$C,盘货信息!$Y:$Y)="","","【卡萨帝送赠】活动指定时间"&amp;_xlfn.TEXTBEFORE(_xlfn.TEXTAFTER(_xlfn.XLOOKUP($A16&amp;$B16&amp;$C16,盘货信息!$A:$A&amp;盘货信息!$B:$B&amp;盘货信息!$C:$C,盘货信息!$Y:$Y),"点"),"（"))</f>
        <v/>
      </c>
      <c r="W16" s="27" t="str" cm="1">
        <f t="array" ref="W16">IF(COUNTIF(_xlfn.XLOOKUP($A16&amp;$B16&amp;$C16,盘货信息!$A:$A&amp;盘货信息!$B:$B&amp;盘货信息!$C:$C,盘货信息!$O:$O),"*是*"),"【折扣】指定型号满2类享96折，满3类享94折","")</f>
        <v/>
      </c>
      <c r="X16" s="27" t="str" cm="1">
        <f t="array" ref="X16">IF(固定信息!$B$7="","",IF(_xlfn.XLOOKUP($A16&amp;$B16&amp;$C16,盘货信息!$A:$A&amp;盘货信息!$B:$B&amp;盘货信息!$C:$C,盘货信息!$N:$N)="是","【瓜分】"&amp;固定信息!$B$7,""))</f>
        <v/>
      </c>
      <c r="Y16" s="27" t="str">
        <f>IF(AND($V16="",$W16="",$X16=""),"",固定信息!$B$1)</f>
        <v/>
      </c>
      <c r="Z16" s="27" t="str" cm="1">
        <f t="array" ref="Z16">IF($C16="","",_xlfn.XLOOKUP($A16&amp;$B16&amp;$C16,服务!$A:$A&amp;服务!$B:$B&amp;服务!$C:$C,服务!$D:$D))</f>
        <v/>
      </c>
    </row>
    <row r="17" customHeight="1" spans="1:26">
      <c r="A17" s="26" t="str">
        <f>IF(盘货信息!A17="","",盘货信息!A17)</f>
        <v/>
      </c>
      <c r="B17" s="26" t="str">
        <f>IF(盘货信息!B17="","",盘货信息!B17)</f>
        <v/>
      </c>
      <c r="C17" s="27" t="str">
        <f>IF(盘货信息!C17="","",盘货信息!C17)</f>
        <v/>
      </c>
      <c r="D17" s="27" t="str">
        <f ca="1" t="shared" si="0"/>
        <v/>
      </c>
      <c r="E17" s="27" t="str">
        <f>IF(C17="","",固定信息!$B$2)</f>
        <v/>
      </c>
      <c r="F17" s="27" t="str">
        <f>IF(C17="","","【"&amp;C17&amp;"】"&amp;固定信息!$B$4)</f>
        <v/>
      </c>
      <c r="G17" s="27" t="str">
        <f>IF(C17="","","【"&amp;"活动时间："&amp;固定信息!$B$3&amp;"】")</f>
        <v/>
      </c>
      <c r="H17" s="27" t="str">
        <f>IF($C17="","",固定信息!$B$1)</f>
        <v/>
      </c>
      <c r="I17" s="27" t="str">
        <f>IF(OR(C17="",固定信息!$B$5=""),"","【1元预约锁好礼】"&amp;固定信息!$B$5)</f>
        <v/>
      </c>
      <c r="J17" s="27" t="str" cm="1">
        <f t="array" ref="J17">_xlfn.XLOOKUP($A17&amp;$B17&amp;$C17,价格信息!$A:$A&amp;价格信息!$B:$B&amp;价格信息!$C:$C,价格信息!$D:$D)</f>
        <v/>
      </c>
      <c r="K17" s="27" t="str">
        <f>IF($C17="","",固定信息!$B$1)</f>
        <v/>
      </c>
      <c r="L17" s="27" t="str" cm="1">
        <f t="array" ref="L17">IF(_xlfn.XLOOKUP($A17&amp;$B17&amp;$C17,盘货信息!$A:$A&amp;盘货信息!$B:$B&amp;盘货信息!$C:$C,盘货信息!$T:$T)="","","【优惠券】领"&amp;_xlfn.XLOOKUP($A17&amp;$B17&amp;$C17,盘货信息!$A:$A&amp;盘货信息!$B:$B&amp;盘货信息!$C:$C,盘货信息!$T:$T)&amp;"元优惠卷下单更优惠，领券链接："&amp;_xlfn.XLOOKUP($A17&amp;$B17&amp;$C17,盘货信息!$A:$A&amp;盘货信息!$B:$B&amp;盘货信息!$C:$C,盘货信息!$U:$U))</f>
        <v/>
      </c>
      <c r="M17" s="27" t="str" cm="1">
        <f t="array" ref="M17">IF(_xlfn.XLOOKUP($A17&amp;$B17&amp;$C17,盘货信息!$A:$A&amp;盘货信息!$B:$B&amp;盘货信息!$C:$C,盘货信息!$P:$P)="","","【限时】"&amp;_xlfn.XLOOKUP($A17&amp;$B17&amp;$C17,盘货信息!$A:$A&amp;盘货信息!$B:$B&amp;盘货信息!$C:$C,盘货信息!$P:$P))</f>
        <v/>
      </c>
      <c r="N17" s="27" t="str" cm="1">
        <f t="array" ref="N17">IF(_xlfn.XLOOKUP($A17&amp;$B17&amp;$C17,盘货信息!$A:$A&amp;盘货信息!$B:$B&amp;盘货信息!$C:$C,盘货信息!$V:$V)="","","【"&amp;盘货信息!$V$1&amp;"】"&amp;_xlfn.XLOOKUP($A17&amp;$B17&amp;$C17,盘货信息!$A:$A&amp;盘货信息!$B:$B&amp;盘货信息!$C:$C,盘货信息!$V:$V))</f>
        <v/>
      </c>
      <c r="O17" s="27" t="str" cm="1">
        <f t="array" ref="O17">IF(_xlfn.XLOOKUP($A17&amp;$B17&amp;$C17,盘货信息!$A:$A&amp;盘货信息!$B:$B&amp;盘货信息!$C:$C,盘货信息!$W:$W)="","","【"&amp;盘货信息!$W$1&amp;"】"&amp;_xlfn.XLOOKUP($A17&amp;$B17&amp;$C17,盘货信息!$A:$A&amp;盘货信息!$B:$B&amp;盘货信息!$C:$C,盘货信息!$W:$W))</f>
        <v/>
      </c>
      <c r="P17" s="27" t="str" cm="1">
        <f t="array" ref="P17">IF(_xlfn.XLOOKUP($A17&amp;$B17&amp;$C17,盘货信息!$A:$A&amp;盘货信息!$B:$B&amp;盘货信息!$C:$C,盘货信息!$S:$S)&lt;1,"","【"&amp;盘货信息!$S$1&amp;"】"&amp;"后返"&amp;_xlfn.XLOOKUP($A17&amp;$B17&amp;$C17,盘货信息!$A:$A&amp;盘货信息!$B:$B&amp;盘货信息!$C:$C,盘货信息!$S:$S)&amp;"元")</f>
        <v/>
      </c>
      <c r="Q17" s="27" t="str" cm="1">
        <f t="array" ref="Q17">IF(_xlfn.XLOOKUP($A17&amp;$B17&amp;$C17,盘货信息!$A:$A&amp;盘货信息!$B:$B&amp;盘货信息!$C:$C,盘货信息!$X:$X)="","","【"&amp;盘货信息!$X$1&amp;"】"&amp;_xlfn.XLOOKUP($A17&amp;$B17&amp;$C17,盘货信息!$A:$A&amp;盘货信息!$B:$B&amp;盘货信息!$C:$C,盘货信息!$X:$X))</f>
        <v/>
      </c>
      <c r="R17" s="27" t="str" cm="1">
        <f t="array" ref="R17">IF(_xlfn.XLOOKUP($A17&amp;$B17&amp;$C17,盘货信息!$A:$A&amp;盘货信息!$B:$B&amp;盘货信息!$C:$C,盘货信息!$Z:$Z)="","","【"&amp;盘货信息!$Z$1&amp;"】"&amp;_xlfn.XLOOKUP($A17&amp;$B17&amp;$C17,盘货信息!$A:$A&amp;盘货信息!$B:$B&amp;盘货信息!$C:$C,盘货信息!$Z:$Z))</f>
        <v/>
      </c>
      <c r="S17" s="27" t="str" cm="1">
        <f t="array" ref="S17">IF(_xlfn.XLOOKUP($A17&amp;$B17&amp;$C17,盘货信息!$A:$A&amp;盘货信息!$B:$B&amp;盘货信息!$C:$C,盘货信息!$Q:$Q)="","","【种草】站外带指定话题种草后返"&amp;_xlfn.XLOOKUP($A17&amp;$B17&amp;$C17,盘货信息!$A:$A&amp;盘货信息!$B:$B&amp;盘货信息!$C:$C,盘货信息!$Q:$Q)&amp;"元红包（每个淘宝账号仅限对应一个站外种草账号，同一个种草账号不可对应多个淘宝账号）")</f>
        <v/>
      </c>
      <c r="T17" s="27" t="str" cm="1">
        <f t="array" ref="T17">IF(_xlfn.XLOOKUP($A17&amp;$B17&amp;$C17,盘货信息!$A:$A&amp;盘货信息!$B:$B&amp;盘货信息!$C:$C,盘货信息!$R:$R)&lt;1,"","【以旧换新】"&amp;"享补贴"&amp;ROUND(_xlfn.XLOOKUP($A17&amp;$B17&amp;$C17,盘货信息!$A:$A&amp;盘货信息!$B:$B&amp;盘货信息!$C:$C,盘货信息!$R:$R),0)&amp;"元（可无旧机换新）")</f>
        <v/>
      </c>
      <c r="U17" s="27" t="str">
        <f>IF(AND($N17="",$O17="",$P17="",$Q17="",$R17="",$S17="",$T17=""),"",固定信息!$B$1)</f>
        <v/>
      </c>
      <c r="V17" s="27" t="str" cm="1">
        <f t="array" ref="V17">IF(_xlfn.XLOOKUP($A17&amp;$B17&amp;$C17,盘货信息!$A:$A&amp;盘货信息!$B:$B&amp;盘货信息!$C:$C,盘货信息!$Y:$Y)="","","【卡萨帝送赠】活动指定时间"&amp;_xlfn.TEXTBEFORE(_xlfn.TEXTAFTER(_xlfn.XLOOKUP($A17&amp;$B17&amp;$C17,盘货信息!$A:$A&amp;盘货信息!$B:$B&amp;盘货信息!$C:$C,盘货信息!$Y:$Y),"点"),"（"))</f>
        <v/>
      </c>
      <c r="W17" s="27" t="str" cm="1">
        <f t="array" ref="W17">IF(COUNTIF(_xlfn.XLOOKUP($A17&amp;$B17&amp;$C17,盘货信息!$A:$A&amp;盘货信息!$B:$B&amp;盘货信息!$C:$C,盘货信息!$O:$O),"*是*"),"【折扣】指定型号满2类享96折，满3类享94折","")</f>
        <v/>
      </c>
      <c r="X17" s="27" t="str" cm="1">
        <f t="array" ref="X17">IF(固定信息!$B$7="","",IF(_xlfn.XLOOKUP($A17&amp;$B17&amp;$C17,盘货信息!$A:$A&amp;盘货信息!$B:$B&amp;盘货信息!$C:$C,盘货信息!$N:$N)="是","【瓜分】"&amp;固定信息!$B$7,""))</f>
        <v/>
      </c>
      <c r="Y17" s="27" t="str">
        <f>IF(AND($V17="",$W17="",$X17=""),"",固定信息!$B$1)</f>
        <v/>
      </c>
      <c r="Z17" s="27" t="str" cm="1">
        <f t="array" ref="Z17">IF($C17="","",_xlfn.XLOOKUP($A17&amp;$B17&amp;$C17,服务!$A:$A&amp;服务!$B:$B&amp;服务!$C:$C,服务!$D:$D))</f>
        <v/>
      </c>
    </row>
    <row r="18" customHeight="1" spans="1:26">
      <c r="A18" s="26" t="str">
        <f>IF(盘货信息!A18="","",盘货信息!A18)</f>
        <v/>
      </c>
      <c r="B18" s="26" t="str">
        <f>IF(盘货信息!B18="","",盘货信息!B18)</f>
        <v/>
      </c>
      <c r="C18" s="27" t="str">
        <f>IF(盘货信息!C18="","",盘货信息!C18)</f>
        <v/>
      </c>
      <c r="D18" s="27" t="str">
        <f ca="1" t="shared" si="0"/>
        <v/>
      </c>
      <c r="E18" s="27" t="str">
        <f>IF(C18="","",固定信息!$B$2)</f>
        <v/>
      </c>
      <c r="F18" s="27" t="str">
        <f>IF(C18="","","【"&amp;C18&amp;"】"&amp;固定信息!$B$4)</f>
        <v/>
      </c>
      <c r="G18" s="27" t="str">
        <f>IF(C18="","","【"&amp;"活动时间："&amp;固定信息!$B$3&amp;"】")</f>
        <v/>
      </c>
      <c r="H18" s="27" t="str">
        <f>IF($C18="","",固定信息!$B$1)</f>
        <v/>
      </c>
      <c r="I18" s="27" t="str">
        <f>IF(OR(C18="",固定信息!$B$5=""),"","【1元预约锁好礼】"&amp;固定信息!$B$5)</f>
        <v/>
      </c>
      <c r="J18" s="27" t="str" cm="1">
        <f t="array" ref="J18">_xlfn.XLOOKUP($A18&amp;$B18&amp;$C18,价格信息!$A:$A&amp;价格信息!$B:$B&amp;价格信息!$C:$C,价格信息!$D:$D)</f>
        <v/>
      </c>
      <c r="K18" s="27" t="str">
        <f>IF($C18="","",固定信息!$B$1)</f>
        <v/>
      </c>
      <c r="L18" s="27" t="str" cm="1">
        <f t="array" ref="L18">IF(_xlfn.XLOOKUP($A18&amp;$B18&amp;$C18,盘货信息!$A:$A&amp;盘货信息!$B:$B&amp;盘货信息!$C:$C,盘货信息!$T:$T)="","","【优惠券】领"&amp;_xlfn.XLOOKUP($A18&amp;$B18&amp;$C18,盘货信息!$A:$A&amp;盘货信息!$B:$B&amp;盘货信息!$C:$C,盘货信息!$T:$T)&amp;"元优惠卷下单更优惠，领券链接："&amp;_xlfn.XLOOKUP($A18&amp;$B18&amp;$C18,盘货信息!$A:$A&amp;盘货信息!$B:$B&amp;盘货信息!$C:$C,盘货信息!$U:$U))</f>
        <v/>
      </c>
      <c r="M18" s="27" t="str" cm="1">
        <f t="array" ref="M18">IF(_xlfn.XLOOKUP($A18&amp;$B18&amp;$C18,盘货信息!$A:$A&amp;盘货信息!$B:$B&amp;盘货信息!$C:$C,盘货信息!$P:$P)="","","【限时】"&amp;_xlfn.XLOOKUP($A18&amp;$B18&amp;$C18,盘货信息!$A:$A&amp;盘货信息!$B:$B&amp;盘货信息!$C:$C,盘货信息!$P:$P))</f>
        <v/>
      </c>
      <c r="N18" s="27" t="str" cm="1">
        <f t="array" ref="N18">IF(_xlfn.XLOOKUP($A18&amp;$B18&amp;$C18,盘货信息!$A:$A&amp;盘货信息!$B:$B&amp;盘货信息!$C:$C,盘货信息!$V:$V)="","","【"&amp;盘货信息!$V$1&amp;"】"&amp;_xlfn.XLOOKUP($A18&amp;$B18&amp;$C18,盘货信息!$A:$A&amp;盘货信息!$B:$B&amp;盘货信息!$C:$C,盘货信息!$V:$V))</f>
        <v/>
      </c>
      <c r="O18" s="27" t="str" cm="1">
        <f t="array" ref="O18">IF(_xlfn.XLOOKUP($A18&amp;$B18&amp;$C18,盘货信息!$A:$A&amp;盘货信息!$B:$B&amp;盘货信息!$C:$C,盘货信息!$W:$W)="","","【"&amp;盘货信息!$W$1&amp;"】"&amp;_xlfn.XLOOKUP($A18&amp;$B18&amp;$C18,盘货信息!$A:$A&amp;盘货信息!$B:$B&amp;盘货信息!$C:$C,盘货信息!$W:$W))</f>
        <v/>
      </c>
      <c r="P18" s="27" t="str" cm="1">
        <f t="array" ref="P18">IF(_xlfn.XLOOKUP($A18&amp;$B18&amp;$C18,盘货信息!$A:$A&amp;盘货信息!$B:$B&amp;盘货信息!$C:$C,盘货信息!$S:$S)&lt;1,"","【"&amp;盘货信息!$S$1&amp;"】"&amp;"后返"&amp;_xlfn.XLOOKUP($A18&amp;$B18&amp;$C18,盘货信息!$A:$A&amp;盘货信息!$B:$B&amp;盘货信息!$C:$C,盘货信息!$S:$S)&amp;"元")</f>
        <v/>
      </c>
      <c r="Q18" s="27" t="str" cm="1">
        <f t="array" ref="Q18">IF(_xlfn.XLOOKUP($A18&amp;$B18&amp;$C18,盘货信息!$A:$A&amp;盘货信息!$B:$B&amp;盘货信息!$C:$C,盘货信息!$X:$X)="","","【"&amp;盘货信息!$X$1&amp;"】"&amp;_xlfn.XLOOKUP($A18&amp;$B18&amp;$C18,盘货信息!$A:$A&amp;盘货信息!$B:$B&amp;盘货信息!$C:$C,盘货信息!$X:$X))</f>
        <v/>
      </c>
      <c r="R18" s="27" t="str" cm="1">
        <f t="array" ref="R18">IF(_xlfn.XLOOKUP($A18&amp;$B18&amp;$C18,盘货信息!$A:$A&amp;盘货信息!$B:$B&amp;盘货信息!$C:$C,盘货信息!$Z:$Z)="","","【"&amp;盘货信息!$Z$1&amp;"】"&amp;_xlfn.XLOOKUP($A18&amp;$B18&amp;$C18,盘货信息!$A:$A&amp;盘货信息!$B:$B&amp;盘货信息!$C:$C,盘货信息!$Z:$Z))</f>
        <v/>
      </c>
      <c r="S18" s="27" t="str" cm="1">
        <f t="array" ref="S18">IF(_xlfn.XLOOKUP($A18&amp;$B18&amp;$C18,盘货信息!$A:$A&amp;盘货信息!$B:$B&amp;盘货信息!$C:$C,盘货信息!$Q:$Q)="","","【种草】站外带指定话题种草后返"&amp;_xlfn.XLOOKUP($A18&amp;$B18&amp;$C18,盘货信息!$A:$A&amp;盘货信息!$B:$B&amp;盘货信息!$C:$C,盘货信息!$Q:$Q)&amp;"元红包（每个淘宝账号仅限对应一个站外种草账号，同一个种草账号不可对应多个淘宝账号）")</f>
        <v/>
      </c>
      <c r="T18" s="27" t="str" cm="1">
        <f t="array" ref="T18">IF(_xlfn.XLOOKUP($A18&amp;$B18&amp;$C18,盘货信息!$A:$A&amp;盘货信息!$B:$B&amp;盘货信息!$C:$C,盘货信息!$R:$R)&lt;1,"","【以旧换新】"&amp;"享补贴"&amp;ROUND(_xlfn.XLOOKUP($A18&amp;$B18&amp;$C18,盘货信息!$A:$A&amp;盘货信息!$B:$B&amp;盘货信息!$C:$C,盘货信息!$R:$R),0)&amp;"元（可无旧机换新）")</f>
        <v/>
      </c>
      <c r="U18" s="27" t="str">
        <f>IF(AND($N18="",$O18="",$P18="",$Q18="",$R18="",$S18="",$T18=""),"",固定信息!$B$1)</f>
        <v/>
      </c>
      <c r="V18" s="27" t="str" cm="1">
        <f t="array" ref="V18">IF(_xlfn.XLOOKUP($A18&amp;$B18&amp;$C18,盘货信息!$A:$A&amp;盘货信息!$B:$B&amp;盘货信息!$C:$C,盘货信息!$Y:$Y)="","","【卡萨帝送赠】活动指定时间"&amp;_xlfn.TEXTBEFORE(_xlfn.TEXTAFTER(_xlfn.XLOOKUP($A18&amp;$B18&amp;$C18,盘货信息!$A:$A&amp;盘货信息!$B:$B&amp;盘货信息!$C:$C,盘货信息!$Y:$Y),"点"),"（"))</f>
        <v/>
      </c>
      <c r="W18" s="27" t="str" cm="1">
        <f t="array" ref="W18">IF(COUNTIF(_xlfn.XLOOKUP($A18&amp;$B18&amp;$C18,盘货信息!$A:$A&amp;盘货信息!$B:$B&amp;盘货信息!$C:$C,盘货信息!$O:$O),"*是*"),"【折扣】指定型号满2类享96折，满3类享94折","")</f>
        <v/>
      </c>
      <c r="X18" s="27" t="str" cm="1">
        <f t="array" ref="X18">IF(固定信息!$B$7="","",IF(_xlfn.XLOOKUP($A18&amp;$B18&amp;$C18,盘货信息!$A:$A&amp;盘货信息!$B:$B&amp;盘货信息!$C:$C,盘货信息!$N:$N)="是","【瓜分】"&amp;固定信息!$B$7,""))</f>
        <v/>
      </c>
      <c r="Y18" s="27" t="str">
        <f>IF(AND($V18="",$W18="",$X18=""),"",固定信息!$B$1)</f>
        <v/>
      </c>
      <c r="Z18" s="27" t="str" cm="1">
        <f t="array" ref="Z18">IF($C18="","",_xlfn.XLOOKUP($A18&amp;$B18&amp;$C18,服务!$A:$A&amp;服务!$B:$B&amp;服务!$C:$C,服务!$D:$D))</f>
        <v/>
      </c>
    </row>
    <row r="19" customHeight="1" spans="1:26">
      <c r="A19" s="26" t="str">
        <f>IF(盘货信息!A19="","",盘货信息!A19)</f>
        <v/>
      </c>
      <c r="B19" s="26" t="str">
        <f>IF(盘货信息!B19="","",盘货信息!B19)</f>
        <v/>
      </c>
      <c r="C19" s="27" t="str">
        <f>IF(盘货信息!C19="","",盘货信息!C19)</f>
        <v/>
      </c>
      <c r="D19" s="27" t="str">
        <f ca="1" t="shared" si="0"/>
        <v/>
      </c>
      <c r="E19" s="27" t="str">
        <f>IF(C19="","",固定信息!$B$2)</f>
        <v/>
      </c>
      <c r="F19" s="27" t="str">
        <f>IF(C19="","","【"&amp;C19&amp;"】"&amp;固定信息!$B$4)</f>
        <v/>
      </c>
      <c r="G19" s="27" t="str">
        <f>IF(C19="","","【"&amp;"活动时间："&amp;固定信息!$B$3&amp;"】")</f>
        <v/>
      </c>
      <c r="H19" s="27" t="str">
        <f>IF($C19="","",固定信息!$B$1)</f>
        <v/>
      </c>
      <c r="I19" s="27" t="str">
        <f>IF(OR(C19="",固定信息!$B$5=""),"","【1元预约锁好礼】"&amp;固定信息!$B$5)</f>
        <v/>
      </c>
      <c r="J19" s="27" t="str" cm="1">
        <f t="array" ref="J19">_xlfn.XLOOKUP($A19&amp;$B19&amp;$C19,价格信息!$A:$A&amp;价格信息!$B:$B&amp;价格信息!$C:$C,价格信息!$D:$D)</f>
        <v/>
      </c>
      <c r="K19" s="27" t="str">
        <f>IF($C19="","",固定信息!$B$1)</f>
        <v/>
      </c>
      <c r="L19" s="27" t="str" cm="1">
        <f t="array" ref="L19">IF(_xlfn.XLOOKUP($A19&amp;$B19&amp;$C19,盘货信息!$A:$A&amp;盘货信息!$B:$B&amp;盘货信息!$C:$C,盘货信息!$T:$T)="","","【优惠券】领"&amp;_xlfn.XLOOKUP($A19&amp;$B19&amp;$C19,盘货信息!$A:$A&amp;盘货信息!$B:$B&amp;盘货信息!$C:$C,盘货信息!$T:$T)&amp;"元优惠卷下单更优惠，领券链接："&amp;_xlfn.XLOOKUP($A19&amp;$B19&amp;$C19,盘货信息!$A:$A&amp;盘货信息!$B:$B&amp;盘货信息!$C:$C,盘货信息!$U:$U))</f>
        <v/>
      </c>
      <c r="M19" s="27" t="str" cm="1">
        <f t="array" ref="M19">IF(_xlfn.XLOOKUP($A19&amp;$B19&amp;$C19,盘货信息!$A:$A&amp;盘货信息!$B:$B&amp;盘货信息!$C:$C,盘货信息!$P:$P)="","","【限时】"&amp;_xlfn.XLOOKUP($A19&amp;$B19&amp;$C19,盘货信息!$A:$A&amp;盘货信息!$B:$B&amp;盘货信息!$C:$C,盘货信息!$P:$P))</f>
        <v/>
      </c>
      <c r="N19" s="27" t="str" cm="1">
        <f t="array" ref="N19">IF(_xlfn.XLOOKUP($A19&amp;$B19&amp;$C19,盘货信息!$A:$A&amp;盘货信息!$B:$B&amp;盘货信息!$C:$C,盘货信息!$V:$V)="","","【"&amp;盘货信息!$V$1&amp;"】"&amp;_xlfn.XLOOKUP($A19&amp;$B19&amp;$C19,盘货信息!$A:$A&amp;盘货信息!$B:$B&amp;盘货信息!$C:$C,盘货信息!$V:$V))</f>
        <v/>
      </c>
      <c r="O19" s="27" t="str" cm="1">
        <f t="array" ref="O19">IF(_xlfn.XLOOKUP($A19&amp;$B19&amp;$C19,盘货信息!$A:$A&amp;盘货信息!$B:$B&amp;盘货信息!$C:$C,盘货信息!$W:$W)="","","【"&amp;盘货信息!$W$1&amp;"】"&amp;_xlfn.XLOOKUP($A19&amp;$B19&amp;$C19,盘货信息!$A:$A&amp;盘货信息!$B:$B&amp;盘货信息!$C:$C,盘货信息!$W:$W))</f>
        <v/>
      </c>
      <c r="P19" s="27" t="str" cm="1">
        <f t="array" ref="P19">IF(_xlfn.XLOOKUP($A19&amp;$B19&amp;$C19,盘货信息!$A:$A&amp;盘货信息!$B:$B&amp;盘货信息!$C:$C,盘货信息!$S:$S)&lt;1,"","【"&amp;盘货信息!$S$1&amp;"】"&amp;"后返"&amp;_xlfn.XLOOKUP($A19&amp;$B19&amp;$C19,盘货信息!$A:$A&amp;盘货信息!$B:$B&amp;盘货信息!$C:$C,盘货信息!$S:$S)&amp;"元")</f>
        <v/>
      </c>
      <c r="Q19" s="27" t="str" cm="1">
        <f t="array" ref="Q19">IF(_xlfn.XLOOKUP($A19&amp;$B19&amp;$C19,盘货信息!$A:$A&amp;盘货信息!$B:$B&amp;盘货信息!$C:$C,盘货信息!$X:$X)="","","【"&amp;盘货信息!$X$1&amp;"】"&amp;_xlfn.XLOOKUP($A19&amp;$B19&amp;$C19,盘货信息!$A:$A&amp;盘货信息!$B:$B&amp;盘货信息!$C:$C,盘货信息!$X:$X))</f>
        <v/>
      </c>
      <c r="R19" s="27" t="str" cm="1">
        <f t="array" ref="R19">IF(_xlfn.XLOOKUP($A19&amp;$B19&amp;$C19,盘货信息!$A:$A&amp;盘货信息!$B:$B&amp;盘货信息!$C:$C,盘货信息!$Z:$Z)="","","【"&amp;盘货信息!$Z$1&amp;"】"&amp;_xlfn.XLOOKUP($A19&amp;$B19&amp;$C19,盘货信息!$A:$A&amp;盘货信息!$B:$B&amp;盘货信息!$C:$C,盘货信息!$Z:$Z))</f>
        <v/>
      </c>
      <c r="S19" s="27" t="str" cm="1">
        <f t="array" ref="S19">IF(_xlfn.XLOOKUP($A19&amp;$B19&amp;$C19,盘货信息!$A:$A&amp;盘货信息!$B:$B&amp;盘货信息!$C:$C,盘货信息!$Q:$Q)="","","【种草】站外带指定话题种草后返"&amp;_xlfn.XLOOKUP($A19&amp;$B19&amp;$C19,盘货信息!$A:$A&amp;盘货信息!$B:$B&amp;盘货信息!$C:$C,盘货信息!$Q:$Q)&amp;"元红包（每个淘宝账号仅限对应一个站外种草账号，同一个种草账号不可对应多个淘宝账号）")</f>
        <v/>
      </c>
      <c r="T19" s="27" t="str" cm="1">
        <f t="array" ref="T19">IF(_xlfn.XLOOKUP($A19&amp;$B19&amp;$C19,盘货信息!$A:$A&amp;盘货信息!$B:$B&amp;盘货信息!$C:$C,盘货信息!$R:$R)&lt;1,"","【以旧换新】"&amp;"享补贴"&amp;ROUND(_xlfn.XLOOKUP($A19&amp;$B19&amp;$C19,盘货信息!$A:$A&amp;盘货信息!$B:$B&amp;盘货信息!$C:$C,盘货信息!$R:$R),0)&amp;"元（可无旧机换新）")</f>
        <v/>
      </c>
      <c r="U19" s="27" t="str">
        <f>IF(AND($N19="",$O19="",$P19="",$Q19="",$R19="",$S19="",$T19=""),"",固定信息!$B$1)</f>
        <v/>
      </c>
      <c r="V19" s="27" t="str" cm="1">
        <f t="array" ref="V19">IF(_xlfn.XLOOKUP($A19&amp;$B19&amp;$C19,盘货信息!$A:$A&amp;盘货信息!$B:$B&amp;盘货信息!$C:$C,盘货信息!$Y:$Y)="","","【卡萨帝送赠】活动指定时间"&amp;_xlfn.TEXTBEFORE(_xlfn.TEXTAFTER(_xlfn.XLOOKUP($A19&amp;$B19&amp;$C19,盘货信息!$A:$A&amp;盘货信息!$B:$B&amp;盘货信息!$C:$C,盘货信息!$Y:$Y),"点"),"（"))</f>
        <v/>
      </c>
      <c r="W19" s="27" t="str" cm="1">
        <f t="array" ref="W19">IF(COUNTIF(_xlfn.XLOOKUP($A19&amp;$B19&amp;$C19,盘货信息!$A:$A&amp;盘货信息!$B:$B&amp;盘货信息!$C:$C,盘货信息!$O:$O),"*是*"),"【折扣】指定型号满2类享96折，满3类享94折","")</f>
        <v/>
      </c>
      <c r="X19" s="27" t="str" cm="1">
        <f t="array" ref="X19">IF(固定信息!$B$7="","",IF(_xlfn.XLOOKUP($A19&amp;$B19&amp;$C19,盘货信息!$A:$A&amp;盘货信息!$B:$B&amp;盘货信息!$C:$C,盘货信息!$N:$N)="是","【瓜分】"&amp;固定信息!$B$7,""))</f>
        <v/>
      </c>
      <c r="Y19" s="27" t="str">
        <f>IF(AND($V19="",$W19="",$X19=""),"",固定信息!$B$1)</f>
        <v/>
      </c>
      <c r="Z19" s="27" t="str" cm="1">
        <f t="array" ref="Z19">IF($C19="","",_xlfn.XLOOKUP($A19&amp;$B19&amp;$C19,服务!$A:$A&amp;服务!$B:$B&amp;服务!$C:$C,服务!$D:$D))</f>
        <v/>
      </c>
    </row>
    <row r="20" customHeight="1" spans="1:26">
      <c r="A20" s="26" t="str">
        <f>IF(盘货信息!A20="","",盘货信息!A20)</f>
        <v/>
      </c>
      <c r="B20" s="26" t="str">
        <f>IF(盘货信息!B20="","",盘货信息!B20)</f>
        <v/>
      </c>
      <c r="C20" s="27" t="str">
        <f>IF(盘货信息!C20="","",盘货信息!C20)</f>
        <v/>
      </c>
      <c r="D20" s="27" t="str">
        <f ca="1" t="shared" si="0"/>
        <v/>
      </c>
      <c r="E20" s="27" t="str">
        <f>IF(C20="","",固定信息!$B$2)</f>
        <v/>
      </c>
      <c r="F20" s="27" t="str">
        <f>IF(C20="","","【"&amp;C20&amp;"】"&amp;固定信息!$B$4)</f>
        <v/>
      </c>
      <c r="G20" s="27" t="str">
        <f>IF(C20="","","【"&amp;"活动时间："&amp;固定信息!$B$3&amp;"】")</f>
        <v/>
      </c>
      <c r="H20" s="27" t="str">
        <f>IF($C20="","",固定信息!$B$1)</f>
        <v/>
      </c>
      <c r="I20" s="27" t="str">
        <f>IF(OR(C20="",固定信息!$B$5=""),"","【1元预约锁好礼】"&amp;固定信息!$B$5)</f>
        <v/>
      </c>
      <c r="J20" s="27" t="str" cm="1">
        <f t="array" ref="J20">_xlfn.XLOOKUP($A20&amp;$B20&amp;$C20,价格信息!$A:$A&amp;价格信息!$B:$B&amp;价格信息!$C:$C,价格信息!$D:$D)</f>
        <v/>
      </c>
      <c r="K20" s="27" t="str">
        <f>IF($C20="","",固定信息!$B$1)</f>
        <v/>
      </c>
      <c r="L20" s="27" t="str" cm="1">
        <f t="array" ref="L20">IF(_xlfn.XLOOKUP($A20&amp;$B20&amp;$C20,盘货信息!$A:$A&amp;盘货信息!$B:$B&amp;盘货信息!$C:$C,盘货信息!$T:$T)="","","【优惠券】领"&amp;_xlfn.XLOOKUP($A20&amp;$B20&amp;$C20,盘货信息!$A:$A&amp;盘货信息!$B:$B&amp;盘货信息!$C:$C,盘货信息!$T:$T)&amp;"元优惠卷下单更优惠，领券链接："&amp;_xlfn.XLOOKUP($A20&amp;$B20&amp;$C20,盘货信息!$A:$A&amp;盘货信息!$B:$B&amp;盘货信息!$C:$C,盘货信息!$U:$U))</f>
        <v/>
      </c>
      <c r="M20" s="27" t="str" cm="1">
        <f t="array" ref="M20">IF(_xlfn.XLOOKUP($A20&amp;$B20&amp;$C20,盘货信息!$A:$A&amp;盘货信息!$B:$B&amp;盘货信息!$C:$C,盘货信息!$P:$P)="","","【限时】"&amp;_xlfn.XLOOKUP($A20&amp;$B20&amp;$C20,盘货信息!$A:$A&amp;盘货信息!$B:$B&amp;盘货信息!$C:$C,盘货信息!$P:$P))</f>
        <v/>
      </c>
      <c r="N20" s="27" t="str" cm="1">
        <f t="array" ref="N20">IF(_xlfn.XLOOKUP($A20&amp;$B20&amp;$C20,盘货信息!$A:$A&amp;盘货信息!$B:$B&amp;盘货信息!$C:$C,盘货信息!$V:$V)="","","【"&amp;盘货信息!$V$1&amp;"】"&amp;_xlfn.XLOOKUP($A20&amp;$B20&amp;$C20,盘货信息!$A:$A&amp;盘货信息!$B:$B&amp;盘货信息!$C:$C,盘货信息!$V:$V))</f>
        <v/>
      </c>
      <c r="O20" s="27" t="str" cm="1">
        <f t="array" ref="O20">IF(_xlfn.XLOOKUP($A20&amp;$B20&amp;$C20,盘货信息!$A:$A&amp;盘货信息!$B:$B&amp;盘货信息!$C:$C,盘货信息!$W:$W)="","","【"&amp;盘货信息!$W$1&amp;"】"&amp;_xlfn.XLOOKUP($A20&amp;$B20&amp;$C20,盘货信息!$A:$A&amp;盘货信息!$B:$B&amp;盘货信息!$C:$C,盘货信息!$W:$W))</f>
        <v/>
      </c>
      <c r="P20" s="27" t="str" cm="1">
        <f t="array" ref="P20">IF(_xlfn.XLOOKUP($A20&amp;$B20&amp;$C20,盘货信息!$A:$A&amp;盘货信息!$B:$B&amp;盘货信息!$C:$C,盘货信息!$S:$S)&lt;1,"","【"&amp;盘货信息!$S$1&amp;"】"&amp;"后返"&amp;_xlfn.XLOOKUP($A20&amp;$B20&amp;$C20,盘货信息!$A:$A&amp;盘货信息!$B:$B&amp;盘货信息!$C:$C,盘货信息!$S:$S)&amp;"元")</f>
        <v/>
      </c>
      <c r="Q20" s="27" t="str" cm="1">
        <f t="array" ref="Q20">IF(_xlfn.XLOOKUP($A20&amp;$B20&amp;$C20,盘货信息!$A:$A&amp;盘货信息!$B:$B&amp;盘货信息!$C:$C,盘货信息!$X:$X)="","","【"&amp;盘货信息!$X$1&amp;"】"&amp;_xlfn.XLOOKUP($A20&amp;$B20&amp;$C20,盘货信息!$A:$A&amp;盘货信息!$B:$B&amp;盘货信息!$C:$C,盘货信息!$X:$X))</f>
        <v/>
      </c>
      <c r="R20" s="27" t="str" cm="1">
        <f t="array" ref="R20">IF(_xlfn.XLOOKUP($A20&amp;$B20&amp;$C20,盘货信息!$A:$A&amp;盘货信息!$B:$B&amp;盘货信息!$C:$C,盘货信息!$Z:$Z)="","","【"&amp;盘货信息!$Z$1&amp;"】"&amp;_xlfn.XLOOKUP($A20&amp;$B20&amp;$C20,盘货信息!$A:$A&amp;盘货信息!$B:$B&amp;盘货信息!$C:$C,盘货信息!$Z:$Z))</f>
        <v/>
      </c>
      <c r="S20" s="27" t="str" cm="1">
        <f t="array" ref="S20">IF(_xlfn.XLOOKUP($A20&amp;$B20&amp;$C20,盘货信息!$A:$A&amp;盘货信息!$B:$B&amp;盘货信息!$C:$C,盘货信息!$Q:$Q)="","","【种草】站外带指定话题种草后返"&amp;_xlfn.XLOOKUP($A20&amp;$B20&amp;$C20,盘货信息!$A:$A&amp;盘货信息!$B:$B&amp;盘货信息!$C:$C,盘货信息!$Q:$Q)&amp;"元红包（每个淘宝账号仅限对应一个站外种草账号，同一个种草账号不可对应多个淘宝账号）")</f>
        <v/>
      </c>
      <c r="T20" s="27" t="str" cm="1">
        <f t="array" ref="T20">IF(_xlfn.XLOOKUP($A20&amp;$B20&amp;$C20,盘货信息!$A:$A&amp;盘货信息!$B:$B&amp;盘货信息!$C:$C,盘货信息!$R:$R)&lt;1,"","【以旧换新】"&amp;"享补贴"&amp;ROUND(_xlfn.XLOOKUP($A20&amp;$B20&amp;$C20,盘货信息!$A:$A&amp;盘货信息!$B:$B&amp;盘货信息!$C:$C,盘货信息!$R:$R),0)&amp;"元（可无旧机换新）")</f>
        <v/>
      </c>
      <c r="U20" s="27" t="str">
        <f>IF(AND($N20="",$O20="",$P20="",$Q20="",$R20="",$S20="",$T20=""),"",固定信息!$B$1)</f>
        <v/>
      </c>
      <c r="V20" s="27" t="str" cm="1">
        <f t="array" ref="V20">IF(_xlfn.XLOOKUP($A20&amp;$B20&amp;$C20,盘货信息!$A:$A&amp;盘货信息!$B:$B&amp;盘货信息!$C:$C,盘货信息!$Y:$Y)="","","【卡萨帝送赠】活动指定时间"&amp;_xlfn.TEXTBEFORE(_xlfn.TEXTAFTER(_xlfn.XLOOKUP($A20&amp;$B20&amp;$C20,盘货信息!$A:$A&amp;盘货信息!$B:$B&amp;盘货信息!$C:$C,盘货信息!$Y:$Y),"点"),"（"))</f>
        <v/>
      </c>
      <c r="W20" s="27" t="str" cm="1">
        <f t="array" ref="W20">IF(COUNTIF(_xlfn.XLOOKUP($A20&amp;$B20&amp;$C20,盘货信息!$A:$A&amp;盘货信息!$B:$B&amp;盘货信息!$C:$C,盘货信息!$O:$O),"*是*"),"【折扣】指定型号满2类享96折，满3类享94折","")</f>
        <v/>
      </c>
      <c r="X20" s="27" t="str" cm="1">
        <f t="array" ref="X20">IF(固定信息!$B$7="","",IF(_xlfn.XLOOKUP($A20&amp;$B20&amp;$C20,盘货信息!$A:$A&amp;盘货信息!$B:$B&amp;盘货信息!$C:$C,盘货信息!$N:$N)="是","【瓜分】"&amp;固定信息!$B$7,""))</f>
        <v/>
      </c>
      <c r="Y20" s="27" t="str">
        <f>IF(AND($V20="",$W20="",$X20=""),"",固定信息!$B$1)</f>
        <v/>
      </c>
      <c r="Z20" s="27" t="str" cm="1">
        <f t="array" ref="Z20">IF($C20="","",_xlfn.XLOOKUP($A20&amp;$B20&amp;$C20,服务!$A:$A&amp;服务!$B:$B&amp;服务!$C:$C,服务!$D:$D))</f>
        <v/>
      </c>
    </row>
    <row r="21" customHeight="1" spans="1:26">
      <c r="A21" s="26" t="str">
        <f>IF(盘货信息!A21="","",盘货信息!A21)</f>
        <v/>
      </c>
      <c r="B21" s="26" t="str">
        <f>IF(盘货信息!B21="","",盘货信息!B21)</f>
        <v/>
      </c>
      <c r="C21" s="27" t="str">
        <f>IF(盘货信息!C21="","",盘货信息!C21)</f>
        <v/>
      </c>
      <c r="D21" s="27" t="str">
        <f ca="1" t="shared" si="0"/>
        <v/>
      </c>
      <c r="E21" s="27" t="str">
        <f>IF(C21="","",固定信息!$B$2)</f>
        <v/>
      </c>
      <c r="F21" s="27" t="str">
        <f>IF(C21="","","【"&amp;C21&amp;"】"&amp;固定信息!$B$4)</f>
        <v/>
      </c>
      <c r="G21" s="27" t="str">
        <f>IF(C21="","","【"&amp;"活动时间："&amp;固定信息!$B$3&amp;"】")</f>
        <v/>
      </c>
      <c r="H21" s="27" t="str">
        <f>IF($C21="","",固定信息!$B$1)</f>
        <v/>
      </c>
      <c r="I21" s="27" t="str">
        <f>IF(OR(C21="",固定信息!$B$5=""),"","【1元预约锁好礼】"&amp;固定信息!$B$5)</f>
        <v/>
      </c>
      <c r="J21" s="27" t="str" cm="1">
        <f t="array" ref="J21">_xlfn.XLOOKUP($A21&amp;$B21&amp;$C21,价格信息!$A:$A&amp;价格信息!$B:$B&amp;价格信息!$C:$C,价格信息!$D:$D)</f>
        <v/>
      </c>
      <c r="K21" s="27" t="str">
        <f>IF($C21="","",固定信息!$B$1)</f>
        <v/>
      </c>
      <c r="L21" s="27" t="str" cm="1">
        <f t="array" ref="L21">IF(_xlfn.XLOOKUP($A21&amp;$B21&amp;$C21,盘货信息!$A:$A&amp;盘货信息!$B:$B&amp;盘货信息!$C:$C,盘货信息!$T:$T)="","","【优惠券】领"&amp;_xlfn.XLOOKUP($A21&amp;$B21&amp;$C21,盘货信息!$A:$A&amp;盘货信息!$B:$B&amp;盘货信息!$C:$C,盘货信息!$T:$T)&amp;"元优惠卷下单更优惠，领券链接："&amp;_xlfn.XLOOKUP($A21&amp;$B21&amp;$C21,盘货信息!$A:$A&amp;盘货信息!$B:$B&amp;盘货信息!$C:$C,盘货信息!$U:$U))</f>
        <v/>
      </c>
      <c r="M21" s="27" t="str" cm="1">
        <f t="array" ref="M21">IF(_xlfn.XLOOKUP($A21&amp;$B21&amp;$C21,盘货信息!$A:$A&amp;盘货信息!$B:$B&amp;盘货信息!$C:$C,盘货信息!$P:$P)="","","【限时】"&amp;_xlfn.XLOOKUP($A21&amp;$B21&amp;$C21,盘货信息!$A:$A&amp;盘货信息!$B:$B&amp;盘货信息!$C:$C,盘货信息!$P:$P))</f>
        <v/>
      </c>
      <c r="N21" s="27" t="str" cm="1">
        <f t="array" ref="N21">IF(_xlfn.XLOOKUP($A21&amp;$B21&amp;$C21,盘货信息!$A:$A&amp;盘货信息!$B:$B&amp;盘货信息!$C:$C,盘货信息!$V:$V)="","","【"&amp;盘货信息!$V$1&amp;"】"&amp;_xlfn.XLOOKUP($A21&amp;$B21&amp;$C21,盘货信息!$A:$A&amp;盘货信息!$B:$B&amp;盘货信息!$C:$C,盘货信息!$V:$V))</f>
        <v/>
      </c>
      <c r="O21" s="27" t="str" cm="1">
        <f t="array" ref="O21">IF(_xlfn.XLOOKUP($A21&amp;$B21&amp;$C21,盘货信息!$A:$A&amp;盘货信息!$B:$B&amp;盘货信息!$C:$C,盘货信息!$W:$W)="","","【"&amp;盘货信息!$W$1&amp;"】"&amp;_xlfn.XLOOKUP($A21&amp;$B21&amp;$C21,盘货信息!$A:$A&amp;盘货信息!$B:$B&amp;盘货信息!$C:$C,盘货信息!$W:$W))</f>
        <v/>
      </c>
      <c r="P21" s="27" t="str" cm="1">
        <f t="array" ref="P21">IF(_xlfn.XLOOKUP($A21&amp;$B21&amp;$C21,盘货信息!$A:$A&amp;盘货信息!$B:$B&amp;盘货信息!$C:$C,盘货信息!$S:$S)&lt;1,"","【"&amp;盘货信息!$S$1&amp;"】"&amp;"后返"&amp;_xlfn.XLOOKUP($A21&amp;$B21&amp;$C21,盘货信息!$A:$A&amp;盘货信息!$B:$B&amp;盘货信息!$C:$C,盘货信息!$S:$S)&amp;"元")</f>
        <v/>
      </c>
      <c r="Q21" s="27" t="str" cm="1">
        <f t="array" ref="Q21">IF(_xlfn.XLOOKUP($A21&amp;$B21&amp;$C21,盘货信息!$A:$A&amp;盘货信息!$B:$B&amp;盘货信息!$C:$C,盘货信息!$X:$X)="","","【"&amp;盘货信息!$X$1&amp;"】"&amp;_xlfn.XLOOKUP($A21&amp;$B21&amp;$C21,盘货信息!$A:$A&amp;盘货信息!$B:$B&amp;盘货信息!$C:$C,盘货信息!$X:$X))</f>
        <v/>
      </c>
      <c r="R21" s="27" t="str" cm="1">
        <f t="array" ref="R21">IF(_xlfn.XLOOKUP($A21&amp;$B21&amp;$C21,盘货信息!$A:$A&amp;盘货信息!$B:$B&amp;盘货信息!$C:$C,盘货信息!$Z:$Z)="","","【"&amp;盘货信息!$Z$1&amp;"】"&amp;_xlfn.XLOOKUP($A21&amp;$B21&amp;$C21,盘货信息!$A:$A&amp;盘货信息!$B:$B&amp;盘货信息!$C:$C,盘货信息!$Z:$Z))</f>
        <v/>
      </c>
      <c r="S21" s="27" t="str" cm="1">
        <f t="array" ref="S21">IF(_xlfn.XLOOKUP($A21&amp;$B21&amp;$C21,盘货信息!$A:$A&amp;盘货信息!$B:$B&amp;盘货信息!$C:$C,盘货信息!$Q:$Q)="","","【种草】站外带指定话题种草后返"&amp;_xlfn.XLOOKUP($A21&amp;$B21&amp;$C21,盘货信息!$A:$A&amp;盘货信息!$B:$B&amp;盘货信息!$C:$C,盘货信息!$Q:$Q)&amp;"元红包（每个淘宝账号仅限对应一个站外种草账号，同一个种草账号不可对应多个淘宝账号）")</f>
        <v/>
      </c>
      <c r="T21" s="27" t="str" cm="1">
        <f t="array" ref="T21">IF(_xlfn.XLOOKUP($A21&amp;$B21&amp;$C21,盘货信息!$A:$A&amp;盘货信息!$B:$B&amp;盘货信息!$C:$C,盘货信息!$R:$R)&lt;1,"","【以旧换新】"&amp;"享补贴"&amp;ROUND(_xlfn.XLOOKUP($A21&amp;$B21&amp;$C21,盘货信息!$A:$A&amp;盘货信息!$B:$B&amp;盘货信息!$C:$C,盘货信息!$R:$R),0)&amp;"元（可无旧机换新）")</f>
        <v/>
      </c>
      <c r="U21" s="27" t="str">
        <f>IF(AND($N21="",$O21="",$P21="",$Q21="",$R21="",$S21="",$T21=""),"",固定信息!$B$1)</f>
        <v/>
      </c>
      <c r="V21" s="27" t="str" cm="1">
        <f t="array" ref="V21">IF(_xlfn.XLOOKUP($A21&amp;$B21&amp;$C21,盘货信息!$A:$A&amp;盘货信息!$B:$B&amp;盘货信息!$C:$C,盘货信息!$Y:$Y)="","","【卡萨帝送赠】活动指定时间"&amp;_xlfn.TEXTBEFORE(_xlfn.TEXTAFTER(_xlfn.XLOOKUP($A21&amp;$B21&amp;$C21,盘货信息!$A:$A&amp;盘货信息!$B:$B&amp;盘货信息!$C:$C,盘货信息!$Y:$Y),"点"),"（"))</f>
        <v/>
      </c>
      <c r="W21" s="27" t="str" cm="1">
        <f t="array" ref="W21">IF(COUNTIF(_xlfn.XLOOKUP($A21&amp;$B21&amp;$C21,盘货信息!$A:$A&amp;盘货信息!$B:$B&amp;盘货信息!$C:$C,盘货信息!$O:$O),"*是*"),"【折扣】指定型号满2类享96折，满3类享94折","")</f>
        <v/>
      </c>
      <c r="X21" s="27" t="str" cm="1">
        <f t="array" ref="X21">IF(固定信息!$B$7="","",IF(_xlfn.XLOOKUP($A21&amp;$B21&amp;$C21,盘货信息!$A:$A&amp;盘货信息!$B:$B&amp;盘货信息!$C:$C,盘货信息!$N:$N)="是","【瓜分】"&amp;固定信息!$B$7,""))</f>
        <v/>
      </c>
      <c r="Y21" s="27" t="str">
        <f>IF(AND($V21="",$W21="",$X21=""),"",固定信息!$B$1)</f>
        <v/>
      </c>
      <c r="Z21" s="27" t="str" cm="1">
        <f t="array" ref="Z21">IF($C21="","",_xlfn.XLOOKUP($A21&amp;$B21&amp;$C21,服务!$A:$A&amp;服务!$B:$B&amp;服务!$C:$C,服务!$D:$D))</f>
        <v/>
      </c>
    </row>
    <row r="22" customHeight="1" spans="1:26">
      <c r="A22" s="26" t="str">
        <f>IF(盘货信息!A22="","",盘货信息!A22)</f>
        <v/>
      </c>
      <c r="B22" s="26" t="str">
        <f>IF(盘货信息!B22="","",盘货信息!B22)</f>
        <v/>
      </c>
      <c r="C22" s="27" t="str">
        <f>IF(盘货信息!C22="","",盘货信息!C22)</f>
        <v/>
      </c>
      <c r="D22" s="27" t="str">
        <f ca="1" t="shared" si="0"/>
        <v/>
      </c>
      <c r="E22" s="27" t="str">
        <f>IF(C22="","",固定信息!$B$2)</f>
        <v/>
      </c>
      <c r="F22" s="27" t="str">
        <f>IF(C22="","","【"&amp;C22&amp;"】"&amp;固定信息!$B$4)</f>
        <v/>
      </c>
      <c r="G22" s="27" t="str">
        <f>IF(C22="","","【"&amp;"活动时间："&amp;固定信息!$B$3&amp;"】")</f>
        <v/>
      </c>
      <c r="H22" s="27" t="str">
        <f>IF($C22="","",固定信息!$B$1)</f>
        <v/>
      </c>
      <c r="I22" s="27" t="str">
        <f>IF(OR(C22="",固定信息!$B$5=""),"","【1元预约锁好礼】"&amp;固定信息!$B$5)</f>
        <v/>
      </c>
      <c r="J22" s="27" t="str" cm="1">
        <f t="array" ref="J22">_xlfn.XLOOKUP($A22&amp;$B22&amp;$C22,价格信息!$A:$A&amp;价格信息!$B:$B&amp;价格信息!$C:$C,价格信息!$D:$D)</f>
        <v/>
      </c>
      <c r="K22" s="27" t="str">
        <f>IF($C22="","",固定信息!$B$1)</f>
        <v/>
      </c>
      <c r="L22" s="27" t="str" cm="1">
        <f t="array" ref="L22">IF(_xlfn.XLOOKUP($A22&amp;$B22&amp;$C22,盘货信息!$A:$A&amp;盘货信息!$B:$B&amp;盘货信息!$C:$C,盘货信息!$T:$T)="","","【优惠券】领"&amp;_xlfn.XLOOKUP($A22&amp;$B22&amp;$C22,盘货信息!$A:$A&amp;盘货信息!$B:$B&amp;盘货信息!$C:$C,盘货信息!$T:$T)&amp;"元优惠卷下单更优惠，领券链接："&amp;_xlfn.XLOOKUP($A22&amp;$B22&amp;$C22,盘货信息!$A:$A&amp;盘货信息!$B:$B&amp;盘货信息!$C:$C,盘货信息!$U:$U))</f>
        <v/>
      </c>
      <c r="M22" s="27" t="str" cm="1">
        <f t="array" ref="M22">IF(_xlfn.XLOOKUP($A22&amp;$B22&amp;$C22,盘货信息!$A:$A&amp;盘货信息!$B:$B&amp;盘货信息!$C:$C,盘货信息!$P:$P)="","","【限时】"&amp;_xlfn.XLOOKUP($A22&amp;$B22&amp;$C22,盘货信息!$A:$A&amp;盘货信息!$B:$B&amp;盘货信息!$C:$C,盘货信息!$P:$P))</f>
        <v/>
      </c>
      <c r="N22" s="27" t="str" cm="1">
        <f t="array" ref="N22">IF(_xlfn.XLOOKUP($A22&amp;$B22&amp;$C22,盘货信息!$A:$A&amp;盘货信息!$B:$B&amp;盘货信息!$C:$C,盘货信息!$V:$V)="","","【"&amp;盘货信息!$V$1&amp;"】"&amp;_xlfn.XLOOKUP($A22&amp;$B22&amp;$C22,盘货信息!$A:$A&amp;盘货信息!$B:$B&amp;盘货信息!$C:$C,盘货信息!$V:$V))</f>
        <v/>
      </c>
      <c r="O22" s="27" t="str" cm="1">
        <f t="array" ref="O22">IF(_xlfn.XLOOKUP($A22&amp;$B22&amp;$C22,盘货信息!$A:$A&amp;盘货信息!$B:$B&amp;盘货信息!$C:$C,盘货信息!$W:$W)="","","【"&amp;盘货信息!$W$1&amp;"】"&amp;_xlfn.XLOOKUP($A22&amp;$B22&amp;$C22,盘货信息!$A:$A&amp;盘货信息!$B:$B&amp;盘货信息!$C:$C,盘货信息!$W:$W))</f>
        <v/>
      </c>
      <c r="P22" s="27" t="str" cm="1">
        <f t="array" ref="P22">IF(_xlfn.XLOOKUP($A22&amp;$B22&amp;$C22,盘货信息!$A:$A&amp;盘货信息!$B:$B&amp;盘货信息!$C:$C,盘货信息!$S:$S)&lt;1,"","【"&amp;盘货信息!$S$1&amp;"】"&amp;"后返"&amp;_xlfn.XLOOKUP($A22&amp;$B22&amp;$C22,盘货信息!$A:$A&amp;盘货信息!$B:$B&amp;盘货信息!$C:$C,盘货信息!$S:$S)&amp;"元")</f>
        <v/>
      </c>
      <c r="Q22" s="27" t="str" cm="1">
        <f t="array" ref="Q22">IF(_xlfn.XLOOKUP($A22&amp;$B22&amp;$C22,盘货信息!$A:$A&amp;盘货信息!$B:$B&amp;盘货信息!$C:$C,盘货信息!$X:$X)="","","【"&amp;盘货信息!$X$1&amp;"】"&amp;_xlfn.XLOOKUP($A22&amp;$B22&amp;$C22,盘货信息!$A:$A&amp;盘货信息!$B:$B&amp;盘货信息!$C:$C,盘货信息!$X:$X))</f>
        <v/>
      </c>
      <c r="R22" s="27" t="str" cm="1">
        <f t="array" ref="R22">IF(_xlfn.XLOOKUP($A22&amp;$B22&amp;$C22,盘货信息!$A:$A&amp;盘货信息!$B:$B&amp;盘货信息!$C:$C,盘货信息!$Z:$Z)="","","【"&amp;盘货信息!$Z$1&amp;"】"&amp;_xlfn.XLOOKUP($A22&amp;$B22&amp;$C22,盘货信息!$A:$A&amp;盘货信息!$B:$B&amp;盘货信息!$C:$C,盘货信息!$Z:$Z))</f>
        <v/>
      </c>
      <c r="S22" s="27" t="str" cm="1">
        <f t="array" ref="S22">IF(_xlfn.XLOOKUP($A22&amp;$B22&amp;$C22,盘货信息!$A:$A&amp;盘货信息!$B:$B&amp;盘货信息!$C:$C,盘货信息!$Q:$Q)="","","【种草】站外带指定话题种草后返"&amp;_xlfn.XLOOKUP($A22&amp;$B22&amp;$C22,盘货信息!$A:$A&amp;盘货信息!$B:$B&amp;盘货信息!$C:$C,盘货信息!$Q:$Q)&amp;"元红包（每个淘宝账号仅限对应一个站外种草账号，同一个种草账号不可对应多个淘宝账号）")</f>
        <v/>
      </c>
      <c r="T22" s="27" t="str" cm="1">
        <f t="array" ref="T22">IF(_xlfn.XLOOKUP($A22&amp;$B22&amp;$C22,盘货信息!$A:$A&amp;盘货信息!$B:$B&amp;盘货信息!$C:$C,盘货信息!$R:$R)&lt;1,"","【以旧换新】"&amp;"享补贴"&amp;ROUND(_xlfn.XLOOKUP($A22&amp;$B22&amp;$C22,盘货信息!$A:$A&amp;盘货信息!$B:$B&amp;盘货信息!$C:$C,盘货信息!$R:$R),0)&amp;"元（可无旧机换新）")</f>
        <v/>
      </c>
      <c r="U22" s="27" t="str">
        <f>IF(AND($N22="",$O22="",$P22="",$Q22="",$R22="",$S22="",$T22=""),"",固定信息!$B$1)</f>
        <v/>
      </c>
      <c r="V22" s="27" t="str" cm="1">
        <f t="array" ref="V22">IF(_xlfn.XLOOKUP($A22&amp;$B22&amp;$C22,盘货信息!$A:$A&amp;盘货信息!$B:$B&amp;盘货信息!$C:$C,盘货信息!$Y:$Y)="","","【卡萨帝送赠】活动指定时间"&amp;_xlfn.TEXTBEFORE(_xlfn.TEXTAFTER(_xlfn.XLOOKUP($A22&amp;$B22&amp;$C22,盘货信息!$A:$A&amp;盘货信息!$B:$B&amp;盘货信息!$C:$C,盘货信息!$Y:$Y),"点"),"（"))</f>
        <v/>
      </c>
      <c r="W22" s="27" t="str" cm="1">
        <f t="array" ref="W22">IF(COUNTIF(_xlfn.XLOOKUP($A22&amp;$B22&amp;$C22,盘货信息!$A:$A&amp;盘货信息!$B:$B&amp;盘货信息!$C:$C,盘货信息!$O:$O),"*是*"),"【折扣】指定型号满2类享96折，满3类享94折","")</f>
        <v/>
      </c>
      <c r="X22" s="27" t="str" cm="1">
        <f t="array" ref="X22">IF(固定信息!$B$7="","",IF(_xlfn.XLOOKUP($A22&amp;$B22&amp;$C22,盘货信息!$A:$A&amp;盘货信息!$B:$B&amp;盘货信息!$C:$C,盘货信息!$N:$N)="是","【瓜分】"&amp;固定信息!$B$7,""))</f>
        <v/>
      </c>
      <c r="Y22" s="27" t="str">
        <f>IF(AND($V22="",$W22="",$X22=""),"",固定信息!$B$1)</f>
        <v/>
      </c>
      <c r="Z22" s="27" t="str" cm="1">
        <f t="array" ref="Z22">IF($C22="","",_xlfn.XLOOKUP($A22&amp;$B22&amp;$C22,服务!$A:$A&amp;服务!$B:$B&amp;服务!$C:$C,服务!$D:$D))</f>
        <v/>
      </c>
    </row>
    <row r="23" customHeight="1" spans="1:26">
      <c r="A23" s="26" t="str">
        <f>IF(盘货信息!A23="","",盘货信息!A23)</f>
        <v/>
      </c>
      <c r="B23" s="26" t="str">
        <f>IF(盘货信息!B23="","",盘货信息!B23)</f>
        <v/>
      </c>
      <c r="C23" s="27" t="str">
        <f>IF(盘货信息!C23="","",盘货信息!C23)</f>
        <v/>
      </c>
      <c r="D23" s="27" t="str">
        <f ca="1" t="shared" si="0"/>
        <v/>
      </c>
      <c r="E23" s="27" t="str">
        <f>IF(C23="","",固定信息!$B$2)</f>
        <v/>
      </c>
      <c r="F23" s="27" t="str">
        <f>IF(C23="","","【"&amp;C23&amp;"】"&amp;固定信息!$B$4)</f>
        <v/>
      </c>
      <c r="G23" s="27" t="str">
        <f>IF(C23="","","【"&amp;"活动时间："&amp;固定信息!$B$3&amp;"】")</f>
        <v/>
      </c>
      <c r="H23" s="27" t="str">
        <f>IF($C23="","",固定信息!$B$1)</f>
        <v/>
      </c>
      <c r="I23" s="27" t="str">
        <f>IF(OR(C23="",固定信息!$B$5=""),"","【1元预约锁好礼】"&amp;固定信息!$B$5)</f>
        <v/>
      </c>
      <c r="J23" s="27" t="str" cm="1">
        <f t="array" ref="J23">_xlfn.XLOOKUP($A23&amp;$B23&amp;$C23,价格信息!$A:$A&amp;价格信息!$B:$B&amp;价格信息!$C:$C,价格信息!$D:$D)</f>
        <v/>
      </c>
      <c r="K23" s="27" t="str">
        <f>IF($C23="","",固定信息!$B$1)</f>
        <v/>
      </c>
      <c r="L23" s="27" t="str" cm="1">
        <f t="array" ref="L23">IF(_xlfn.XLOOKUP($A23&amp;$B23&amp;$C23,盘货信息!$A:$A&amp;盘货信息!$B:$B&amp;盘货信息!$C:$C,盘货信息!$T:$T)="","","【优惠券】领"&amp;_xlfn.XLOOKUP($A23&amp;$B23&amp;$C23,盘货信息!$A:$A&amp;盘货信息!$B:$B&amp;盘货信息!$C:$C,盘货信息!$T:$T)&amp;"元优惠卷下单更优惠，领券链接："&amp;_xlfn.XLOOKUP($A23&amp;$B23&amp;$C23,盘货信息!$A:$A&amp;盘货信息!$B:$B&amp;盘货信息!$C:$C,盘货信息!$U:$U))</f>
        <v/>
      </c>
      <c r="M23" s="27" t="str" cm="1">
        <f t="array" ref="M23">IF(_xlfn.XLOOKUP($A23&amp;$B23&amp;$C23,盘货信息!$A:$A&amp;盘货信息!$B:$B&amp;盘货信息!$C:$C,盘货信息!$P:$P)="","","【限时】"&amp;_xlfn.XLOOKUP($A23&amp;$B23&amp;$C23,盘货信息!$A:$A&amp;盘货信息!$B:$B&amp;盘货信息!$C:$C,盘货信息!$P:$P))</f>
        <v/>
      </c>
      <c r="N23" s="27" t="str" cm="1">
        <f t="array" ref="N23">IF(_xlfn.XLOOKUP($A23&amp;$B23&amp;$C23,盘货信息!$A:$A&amp;盘货信息!$B:$B&amp;盘货信息!$C:$C,盘货信息!$V:$V)="","","【"&amp;盘货信息!$V$1&amp;"】"&amp;_xlfn.XLOOKUP($A23&amp;$B23&amp;$C23,盘货信息!$A:$A&amp;盘货信息!$B:$B&amp;盘货信息!$C:$C,盘货信息!$V:$V))</f>
        <v/>
      </c>
      <c r="O23" s="27" t="str" cm="1">
        <f t="array" ref="O23">IF(_xlfn.XLOOKUP($A23&amp;$B23&amp;$C23,盘货信息!$A:$A&amp;盘货信息!$B:$B&amp;盘货信息!$C:$C,盘货信息!$W:$W)="","","【"&amp;盘货信息!$W$1&amp;"】"&amp;_xlfn.XLOOKUP($A23&amp;$B23&amp;$C23,盘货信息!$A:$A&amp;盘货信息!$B:$B&amp;盘货信息!$C:$C,盘货信息!$W:$W))</f>
        <v/>
      </c>
      <c r="P23" s="27" t="str" cm="1">
        <f t="array" ref="P23">IF(_xlfn.XLOOKUP($A23&amp;$B23&amp;$C23,盘货信息!$A:$A&amp;盘货信息!$B:$B&amp;盘货信息!$C:$C,盘货信息!$S:$S)&lt;1,"","【"&amp;盘货信息!$S$1&amp;"】"&amp;"后返"&amp;_xlfn.XLOOKUP($A23&amp;$B23&amp;$C23,盘货信息!$A:$A&amp;盘货信息!$B:$B&amp;盘货信息!$C:$C,盘货信息!$S:$S)&amp;"元")</f>
        <v/>
      </c>
      <c r="Q23" s="27" t="str" cm="1">
        <f t="array" ref="Q23">IF(_xlfn.XLOOKUP($A23&amp;$B23&amp;$C23,盘货信息!$A:$A&amp;盘货信息!$B:$B&amp;盘货信息!$C:$C,盘货信息!$X:$X)="","","【"&amp;盘货信息!$X$1&amp;"】"&amp;_xlfn.XLOOKUP($A23&amp;$B23&amp;$C23,盘货信息!$A:$A&amp;盘货信息!$B:$B&amp;盘货信息!$C:$C,盘货信息!$X:$X))</f>
        <v/>
      </c>
      <c r="R23" s="27" t="str" cm="1">
        <f t="array" ref="R23">IF(_xlfn.XLOOKUP($A23&amp;$B23&amp;$C23,盘货信息!$A:$A&amp;盘货信息!$B:$B&amp;盘货信息!$C:$C,盘货信息!$Z:$Z)="","","【"&amp;盘货信息!$Z$1&amp;"】"&amp;_xlfn.XLOOKUP($A23&amp;$B23&amp;$C23,盘货信息!$A:$A&amp;盘货信息!$B:$B&amp;盘货信息!$C:$C,盘货信息!$Z:$Z))</f>
        <v/>
      </c>
      <c r="S23" s="27" t="str" cm="1">
        <f t="array" ref="S23">IF(_xlfn.XLOOKUP($A23&amp;$B23&amp;$C23,盘货信息!$A:$A&amp;盘货信息!$B:$B&amp;盘货信息!$C:$C,盘货信息!$Q:$Q)="","","【种草】站外带指定话题种草后返"&amp;_xlfn.XLOOKUP($A23&amp;$B23&amp;$C23,盘货信息!$A:$A&amp;盘货信息!$B:$B&amp;盘货信息!$C:$C,盘货信息!$Q:$Q)&amp;"元红包（每个淘宝账号仅限对应一个站外种草账号，同一个种草账号不可对应多个淘宝账号）")</f>
        <v/>
      </c>
      <c r="T23" s="27" t="str" cm="1">
        <f t="array" ref="T23">IF(_xlfn.XLOOKUP($A23&amp;$B23&amp;$C23,盘货信息!$A:$A&amp;盘货信息!$B:$B&amp;盘货信息!$C:$C,盘货信息!$R:$R)&lt;1,"","【以旧换新】"&amp;"享补贴"&amp;ROUND(_xlfn.XLOOKUP($A23&amp;$B23&amp;$C23,盘货信息!$A:$A&amp;盘货信息!$B:$B&amp;盘货信息!$C:$C,盘货信息!$R:$R),0)&amp;"元（可无旧机换新）")</f>
        <v/>
      </c>
      <c r="U23" s="27" t="str">
        <f>IF(AND($N23="",$O23="",$P23="",$Q23="",$R23="",$S23="",$T23=""),"",固定信息!$B$1)</f>
        <v/>
      </c>
      <c r="V23" s="27" t="str" cm="1">
        <f t="array" ref="V23">IF(_xlfn.XLOOKUP($A23&amp;$B23&amp;$C23,盘货信息!$A:$A&amp;盘货信息!$B:$B&amp;盘货信息!$C:$C,盘货信息!$Y:$Y)="","","【卡萨帝送赠】活动指定时间"&amp;_xlfn.TEXTBEFORE(_xlfn.TEXTAFTER(_xlfn.XLOOKUP($A23&amp;$B23&amp;$C23,盘货信息!$A:$A&amp;盘货信息!$B:$B&amp;盘货信息!$C:$C,盘货信息!$Y:$Y),"点"),"（"))</f>
        <v/>
      </c>
      <c r="W23" s="27" t="str" cm="1">
        <f t="array" ref="W23">IF(COUNTIF(_xlfn.XLOOKUP($A23&amp;$B23&amp;$C23,盘货信息!$A:$A&amp;盘货信息!$B:$B&amp;盘货信息!$C:$C,盘货信息!$O:$O),"*是*"),"【折扣】指定型号满2类享96折，满3类享94折","")</f>
        <v/>
      </c>
      <c r="X23" s="27" t="str" cm="1">
        <f t="array" ref="X23">IF(固定信息!$B$7="","",IF(_xlfn.XLOOKUP($A23&amp;$B23&amp;$C23,盘货信息!$A:$A&amp;盘货信息!$B:$B&amp;盘货信息!$C:$C,盘货信息!$N:$N)="是","【瓜分】"&amp;固定信息!$B$7,""))</f>
        <v/>
      </c>
      <c r="Y23" s="27" t="str">
        <f>IF(AND($V23="",$W23="",$X23=""),"",固定信息!$B$1)</f>
        <v/>
      </c>
      <c r="Z23" s="27" t="str" cm="1">
        <f t="array" ref="Z23">IF($C23="","",_xlfn.XLOOKUP($A23&amp;$B23&amp;$C23,服务!$A:$A&amp;服务!$B:$B&amp;服务!$C:$C,服务!$D:$D))</f>
        <v/>
      </c>
    </row>
    <row r="24" customHeight="1" spans="1:26">
      <c r="A24" s="26" t="str">
        <f>IF(盘货信息!A24="","",盘货信息!A24)</f>
        <v/>
      </c>
      <c r="B24" s="26" t="str">
        <f>IF(盘货信息!B24="","",盘货信息!B24)</f>
        <v/>
      </c>
      <c r="C24" s="27" t="str">
        <f>IF(盘货信息!C24="","",盘货信息!C24)</f>
        <v/>
      </c>
      <c r="D24" s="27" t="str">
        <f ca="1" t="shared" si="0"/>
        <v/>
      </c>
      <c r="E24" s="27" t="str">
        <f>IF(C24="","",固定信息!$B$2)</f>
        <v/>
      </c>
      <c r="F24" s="27" t="str">
        <f>IF(C24="","","【"&amp;C24&amp;"】"&amp;固定信息!$B$4)</f>
        <v/>
      </c>
      <c r="G24" s="27" t="str">
        <f>IF(C24="","","【"&amp;"活动时间："&amp;固定信息!$B$3&amp;"】")</f>
        <v/>
      </c>
      <c r="H24" s="27" t="str">
        <f>IF($C24="","",固定信息!$B$1)</f>
        <v/>
      </c>
      <c r="I24" s="27" t="str">
        <f>IF(OR(C24="",固定信息!$B$5=""),"","【1元预约锁好礼】"&amp;固定信息!$B$5)</f>
        <v/>
      </c>
      <c r="J24" s="27" t="str" cm="1">
        <f t="array" ref="J24">_xlfn.XLOOKUP($A24&amp;$B24&amp;$C24,价格信息!$A:$A&amp;价格信息!$B:$B&amp;价格信息!$C:$C,价格信息!$D:$D)</f>
        <v/>
      </c>
      <c r="K24" s="27" t="str">
        <f>IF($C24="","",固定信息!$B$1)</f>
        <v/>
      </c>
      <c r="L24" s="27" t="str" cm="1">
        <f t="array" ref="L24">IF(_xlfn.XLOOKUP($A24&amp;$B24&amp;$C24,盘货信息!$A:$A&amp;盘货信息!$B:$B&amp;盘货信息!$C:$C,盘货信息!$T:$T)="","","【优惠券】领"&amp;_xlfn.XLOOKUP($A24&amp;$B24&amp;$C24,盘货信息!$A:$A&amp;盘货信息!$B:$B&amp;盘货信息!$C:$C,盘货信息!$T:$T)&amp;"元优惠卷下单更优惠，领券链接："&amp;_xlfn.XLOOKUP($A24&amp;$B24&amp;$C24,盘货信息!$A:$A&amp;盘货信息!$B:$B&amp;盘货信息!$C:$C,盘货信息!$U:$U))</f>
        <v/>
      </c>
      <c r="M24" s="27" t="str" cm="1">
        <f t="array" ref="M24">IF(_xlfn.XLOOKUP($A24&amp;$B24&amp;$C24,盘货信息!$A:$A&amp;盘货信息!$B:$B&amp;盘货信息!$C:$C,盘货信息!$P:$P)="","","【限时】"&amp;_xlfn.XLOOKUP($A24&amp;$B24&amp;$C24,盘货信息!$A:$A&amp;盘货信息!$B:$B&amp;盘货信息!$C:$C,盘货信息!$P:$P))</f>
        <v/>
      </c>
      <c r="N24" s="27" t="str" cm="1">
        <f t="array" ref="N24">IF(_xlfn.XLOOKUP($A24&amp;$B24&amp;$C24,盘货信息!$A:$A&amp;盘货信息!$B:$B&amp;盘货信息!$C:$C,盘货信息!$V:$V)="","","【"&amp;盘货信息!$V$1&amp;"】"&amp;_xlfn.XLOOKUP($A24&amp;$B24&amp;$C24,盘货信息!$A:$A&amp;盘货信息!$B:$B&amp;盘货信息!$C:$C,盘货信息!$V:$V))</f>
        <v/>
      </c>
      <c r="O24" s="27" t="str" cm="1">
        <f t="array" ref="O24">IF(_xlfn.XLOOKUP($A24&amp;$B24&amp;$C24,盘货信息!$A:$A&amp;盘货信息!$B:$B&amp;盘货信息!$C:$C,盘货信息!$W:$W)="","","【"&amp;盘货信息!$W$1&amp;"】"&amp;_xlfn.XLOOKUP($A24&amp;$B24&amp;$C24,盘货信息!$A:$A&amp;盘货信息!$B:$B&amp;盘货信息!$C:$C,盘货信息!$W:$W))</f>
        <v/>
      </c>
      <c r="P24" s="27" t="str" cm="1">
        <f t="array" ref="P24">IF(_xlfn.XLOOKUP($A24&amp;$B24&amp;$C24,盘货信息!$A:$A&amp;盘货信息!$B:$B&amp;盘货信息!$C:$C,盘货信息!$S:$S)&lt;1,"","【"&amp;盘货信息!$S$1&amp;"】"&amp;"后返"&amp;_xlfn.XLOOKUP($A24&amp;$B24&amp;$C24,盘货信息!$A:$A&amp;盘货信息!$B:$B&amp;盘货信息!$C:$C,盘货信息!$S:$S)&amp;"元")</f>
        <v/>
      </c>
      <c r="Q24" s="27" t="str" cm="1">
        <f t="array" ref="Q24">IF(_xlfn.XLOOKUP($A24&amp;$B24&amp;$C24,盘货信息!$A:$A&amp;盘货信息!$B:$B&amp;盘货信息!$C:$C,盘货信息!$X:$X)="","","【"&amp;盘货信息!$X$1&amp;"】"&amp;_xlfn.XLOOKUP($A24&amp;$B24&amp;$C24,盘货信息!$A:$A&amp;盘货信息!$B:$B&amp;盘货信息!$C:$C,盘货信息!$X:$X))</f>
        <v/>
      </c>
      <c r="R24" s="27" t="str" cm="1">
        <f t="array" ref="R24">IF(_xlfn.XLOOKUP($A24&amp;$B24&amp;$C24,盘货信息!$A:$A&amp;盘货信息!$B:$B&amp;盘货信息!$C:$C,盘货信息!$Z:$Z)="","","【"&amp;盘货信息!$Z$1&amp;"】"&amp;_xlfn.XLOOKUP($A24&amp;$B24&amp;$C24,盘货信息!$A:$A&amp;盘货信息!$B:$B&amp;盘货信息!$C:$C,盘货信息!$Z:$Z))</f>
        <v/>
      </c>
      <c r="S24" s="27" t="str" cm="1">
        <f t="array" ref="S24">IF(_xlfn.XLOOKUP($A24&amp;$B24&amp;$C24,盘货信息!$A:$A&amp;盘货信息!$B:$B&amp;盘货信息!$C:$C,盘货信息!$Q:$Q)="","","【种草】站外带指定话题种草后返"&amp;_xlfn.XLOOKUP($A24&amp;$B24&amp;$C24,盘货信息!$A:$A&amp;盘货信息!$B:$B&amp;盘货信息!$C:$C,盘货信息!$Q:$Q)&amp;"元红包（每个淘宝账号仅限对应一个站外种草账号，同一个种草账号不可对应多个淘宝账号）")</f>
        <v/>
      </c>
      <c r="T24" s="27" t="str" cm="1">
        <f t="array" ref="T24">IF(_xlfn.XLOOKUP($A24&amp;$B24&amp;$C24,盘货信息!$A:$A&amp;盘货信息!$B:$B&amp;盘货信息!$C:$C,盘货信息!$R:$R)&lt;1,"","【以旧换新】"&amp;"享补贴"&amp;ROUND(_xlfn.XLOOKUP($A24&amp;$B24&amp;$C24,盘货信息!$A:$A&amp;盘货信息!$B:$B&amp;盘货信息!$C:$C,盘货信息!$R:$R),0)&amp;"元（可无旧机换新）")</f>
        <v/>
      </c>
      <c r="U24" s="27" t="str">
        <f>IF(AND($N24="",$O24="",$P24="",$Q24="",$R24="",$S24="",$T24=""),"",固定信息!$B$1)</f>
        <v/>
      </c>
      <c r="V24" s="27" t="str" cm="1">
        <f t="array" ref="V24">IF(_xlfn.XLOOKUP($A24&amp;$B24&amp;$C24,盘货信息!$A:$A&amp;盘货信息!$B:$B&amp;盘货信息!$C:$C,盘货信息!$Y:$Y)="","","【卡萨帝送赠】活动指定时间"&amp;_xlfn.TEXTBEFORE(_xlfn.TEXTAFTER(_xlfn.XLOOKUP($A24&amp;$B24&amp;$C24,盘货信息!$A:$A&amp;盘货信息!$B:$B&amp;盘货信息!$C:$C,盘货信息!$Y:$Y),"点"),"（"))</f>
        <v/>
      </c>
      <c r="W24" s="27" t="str" cm="1">
        <f t="array" ref="W24">IF(COUNTIF(_xlfn.XLOOKUP($A24&amp;$B24&amp;$C24,盘货信息!$A:$A&amp;盘货信息!$B:$B&amp;盘货信息!$C:$C,盘货信息!$O:$O),"*是*"),"【折扣】指定型号满2类享96折，满3类享94折","")</f>
        <v/>
      </c>
      <c r="X24" s="27" t="str" cm="1">
        <f t="array" ref="X24">IF(固定信息!$B$7="","",IF(_xlfn.XLOOKUP($A24&amp;$B24&amp;$C24,盘货信息!$A:$A&amp;盘货信息!$B:$B&amp;盘货信息!$C:$C,盘货信息!$N:$N)="是","【瓜分】"&amp;固定信息!$B$7,""))</f>
        <v/>
      </c>
      <c r="Y24" s="27" t="str">
        <f>IF(AND($V24="",$W24="",$X24=""),"",固定信息!$B$1)</f>
        <v/>
      </c>
      <c r="Z24" s="27" t="str" cm="1">
        <f t="array" ref="Z24">IF($C24="","",_xlfn.XLOOKUP($A24&amp;$B24&amp;$C24,服务!$A:$A&amp;服务!$B:$B&amp;服务!$C:$C,服务!$D:$D))</f>
        <v/>
      </c>
    </row>
    <row r="25" customHeight="1" spans="1:26">
      <c r="A25" s="26" t="str">
        <f>IF(盘货信息!A25="","",盘货信息!A25)</f>
        <v/>
      </c>
      <c r="B25" s="26" t="str">
        <f>IF(盘货信息!B25="","",盘货信息!B25)</f>
        <v/>
      </c>
      <c r="C25" s="27" t="str">
        <f>IF(盘货信息!C25="","",盘货信息!C25)</f>
        <v/>
      </c>
      <c r="D25" s="27" t="str">
        <f ca="1" t="shared" si="0"/>
        <v/>
      </c>
      <c r="E25" s="27" t="str">
        <f>IF(C25="","",固定信息!$B$2)</f>
        <v/>
      </c>
      <c r="F25" s="27" t="str">
        <f>IF(C25="","","【"&amp;C25&amp;"】"&amp;固定信息!$B$4)</f>
        <v/>
      </c>
      <c r="G25" s="27" t="str">
        <f>IF(C25="","","【"&amp;"活动时间："&amp;固定信息!$B$3&amp;"】")</f>
        <v/>
      </c>
      <c r="H25" s="27" t="str">
        <f>IF($C25="","",固定信息!$B$1)</f>
        <v/>
      </c>
      <c r="I25" s="27" t="str">
        <f>IF(OR(C25="",固定信息!$B$5=""),"","【1元预约锁好礼】"&amp;固定信息!$B$5)</f>
        <v/>
      </c>
      <c r="J25" s="27" t="str" cm="1">
        <f t="array" ref="J25">_xlfn.XLOOKUP($A25&amp;$B25&amp;$C25,价格信息!$A:$A&amp;价格信息!$B:$B&amp;价格信息!$C:$C,价格信息!$D:$D)</f>
        <v/>
      </c>
      <c r="K25" s="27" t="str">
        <f>IF($C25="","",固定信息!$B$1)</f>
        <v/>
      </c>
      <c r="L25" s="27" t="str" cm="1">
        <f t="array" ref="L25">IF(_xlfn.XLOOKUP($A25&amp;$B25&amp;$C25,盘货信息!$A:$A&amp;盘货信息!$B:$B&amp;盘货信息!$C:$C,盘货信息!$T:$T)="","","【优惠券】领"&amp;_xlfn.XLOOKUP($A25&amp;$B25&amp;$C25,盘货信息!$A:$A&amp;盘货信息!$B:$B&amp;盘货信息!$C:$C,盘货信息!$T:$T)&amp;"元优惠卷下单更优惠，领券链接："&amp;_xlfn.XLOOKUP($A25&amp;$B25&amp;$C25,盘货信息!$A:$A&amp;盘货信息!$B:$B&amp;盘货信息!$C:$C,盘货信息!$U:$U))</f>
        <v/>
      </c>
      <c r="M25" s="27" t="str" cm="1">
        <f t="array" ref="M25">IF(_xlfn.XLOOKUP($A25&amp;$B25&amp;$C25,盘货信息!$A:$A&amp;盘货信息!$B:$B&amp;盘货信息!$C:$C,盘货信息!$P:$P)="","","【限时】"&amp;_xlfn.XLOOKUP($A25&amp;$B25&amp;$C25,盘货信息!$A:$A&amp;盘货信息!$B:$B&amp;盘货信息!$C:$C,盘货信息!$P:$P))</f>
        <v/>
      </c>
      <c r="N25" s="27" t="str" cm="1">
        <f t="array" ref="N25">IF(_xlfn.XLOOKUP($A25&amp;$B25&amp;$C25,盘货信息!$A:$A&amp;盘货信息!$B:$B&amp;盘货信息!$C:$C,盘货信息!$V:$V)="","","【"&amp;盘货信息!$V$1&amp;"】"&amp;_xlfn.XLOOKUP($A25&amp;$B25&amp;$C25,盘货信息!$A:$A&amp;盘货信息!$B:$B&amp;盘货信息!$C:$C,盘货信息!$V:$V))</f>
        <v/>
      </c>
      <c r="O25" s="27" t="str" cm="1">
        <f t="array" ref="O25">IF(_xlfn.XLOOKUP($A25&amp;$B25&amp;$C25,盘货信息!$A:$A&amp;盘货信息!$B:$B&amp;盘货信息!$C:$C,盘货信息!$W:$W)="","","【"&amp;盘货信息!$W$1&amp;"】"&amp;_xlfn.XLOOKUP($A25&amp;$B25&amp;$C25,盘货信息!$A:$A&amp;盘货信息!$B:$B&amp;盘货信息!$C:$C,盘货信息!$W:$W))</f>
        <v/>
      </c>
      <c r="P25" s="27" t="str" cm="1">
        <f t="array" ref="P25">IF(_xlfn.XLOOKUP($A25&amp;$B25&amp;$C25,盘货信息!$A:$A&amp;盘货信息!$B:$B&amp;盘货信息!$C:$C,盘货信息!$S:$S)&lt;1,"","【"&amp;盘货信息!$S$1&amp;"】"&amp;"后返"&amp;_xlfn.XLOOKUP($A25&amp;$B25&amp;$C25,盘货信息!$A:$A&amp;盘货信息!$B:$B&amp;盘货信息!$C:$C,盘货信息!$S:$S)&amp;"元")</f>
        <v/>
      </c>
      <c r="Q25" s="27" t="str" cm="1">
        <f t="array" ref="Q25">IF(_xlfn.XLOOKUP($A25&amp;$B25&amp;$C25,盘货信息!$A:$A&amp;盘货信息!$B:$B&amp;盘货信息!$C:$C,盘货信息!$X:$X)="","","【"&amp;盘货信息!$X$1&amp;"】"&amp;_xlfn.XLOOKUP($A25&amp;$B25&amp;$C25,盘货信息!$A:$A&amp;盘货信息!$B:$B&amp;盘货信息!$C:$C,盘货信息!$X:$X))</f>
        <v/>
      </c>
      <c r="R25" s="27" t="str" cm="1">
        <f t="array" ref="R25">IF(_xlfn.XLOOKUP($A25&amp;$B25&amp;$C25,盘货信息!$A:$A&amp;盘货信息!$B:$B&amp;盘货信息!$C:$C,盘货信息!$Z:$Z)="","","【"&amp;盘货信息!$Z$1&amp;"】"&amp;_xlfn.XLOOKUP($A25&amp;$B25&amp;$C25,盘货信息!$A:$A&amp;盘货信息!$B:$B&amp;盘货信息!$C:$C,盘货信息!$Z:$Z))</f>
        <v/>
      </c>
      <c r="S25" s="27" t="str" cm="1">
        <f t="array" ref="S25">IF(_xlfn.XLOOKUP($A25&amp;$B25&amp;$C25,盘货信息!$A:$A&amp;盘货信息!$B:$B&amp;盘货信息!$C:$C,盘货信息!$Q:$Q)="","","【种草】站外带指定话题种草后返"&amp;_xlfn.XLOOKUP($A25&amp;$B25&amp;$C25,盘货信息!$A:$A&amp;盘货信息!$B:$B&amp;盘货信息!$C:$C,盘货信息!$Q:$Q)&amp;"元红包（每个淘宝账号仅限对应一个站外种草账号，同一个种草账号不可对应多个淘宝账号）")</f>
        <v/>
      </c>
      <c r="T25" s="27" t="str" cm="1">
        <f t="array" ref="T25">IF(_xlfn.XLOOKUP($A25&amp;$B25&amp;$C25,盘货信息!$A:$A&amp;盘货信息!$B:$B&amp;盘货信息!$C:$C,盘货信息!$R:$R)&lt;1,"","【以旧换新】"&amp;"享补贴"&amp;ROUND(_xlfn.XLOOKUP($A25&amp;$B25&amp;$C25,盘货信息!$A:$A&amp;盘货信息!$B:$B&amp;盘货信息!$C:$C,盘货信息!$R:$R),0)&amp;"元（可无旧机换新）")</f>
        <v/>
      </c>
      <c r="U25" s="27" t="str">
        <f>IF(AND($N25="",$O25="",$P25="",$Q25="",$R25="",$S25="",$T25=""),"",固定信息!$B$1)</f>
        <v/>
      </c>
      <c r="V25" s="27" t="str" cm="1">
        <f t="array" ref="V25">IF(_xlfn.XLOOKUP($A25&amp;$B25&amp;$C25,盘货信息!$A:$A&amp;盘货信息!$B:$B&amp;盘货信息!$C:$C,盘货信息!$Y:$Y)="","","【卡萨帝送赠】活动指定时间"&amp;_xlfn.TEXTBEFORE(_xlfn.TEXTAFTER(_xlfn.XLOOKUP($A25&amp;$B25&amp;$C25,盘货信息!$A:$A&amp;盘货信息!$B:$B&amp;盘货信息!$C:$C,盘货信息!$Y:$Y),"点"),"（"))</f>
        <v/>
      </c>
      <c r="W25" s="27" t="str" cm="1">
        <f t="array" ref="W25">IF(COUNTIF(_xlfn.XLOOKUP($A25&amp;$B25&amp;$C25,盘货信息!$A:$A&amp;盘货信息!$B:$B&amp;盘货信息!$C:$C,盘货信息!$O:$O),"*是*"),"【折扣】指定型号满2类享96折，满3类享94折","")</f>
        <v/>
      </c>
      <c r="X25" s="27" t="str" cm="1">
        <f t="array" ref="X25">IF(固定信息!$B$7="","",IF(_xlfn.XLOOKUP($A25&amp;$B25&amp;$C25,盘货信息!$A:$A&amp;盘货信息!$B:$B&amp;盘货信息!$C:$C,盘货信息!$N:$N)="是","【瓜分】"&amp;固定信息!$B$7,""))</f>
        <v/>
      </c>
      <c r="Y25" s="27" t="str">
        <f>IF(AND($V25="",$W25="",$X25=""),"",固定信息!$B$1)</f>
        <v/>
      </c>
      <c r="Z25" s="27" t="str" cm="1">
        <f t="array" ref="Z25">IF($C25="","",_xlfn.XLOOKUP($A25&amp;$B25&amp;$C25,服务!$A:$A&amp;服务!$B:$B&amp;服务!$C:$C,服务!$D:$D))</f>
        <v/>
      </c>
    </row>
    <row r="26" customHeight="1" spans="1:26">
      <c r="A26" s="26" t="str">
        <f>IF(盘货信息!A26="","",盘货信息!A26)</f>
        <v/>
      </c>
      <c r="B26" s="26" t="str">
        <f>IF(盘货信息!B26="","",盘货信息!B26)</f>
        <v/>
      </c>
      <c r="C26" s="27" t="str">
        <f>IF(盘货信息!C26="","",盘货信息!C26)</f>
        <v/>
      </c>
      <c r="D26" s="27" t="str">
        <f ca="1" t="shared" si="0"/>
        <v/>
      </c>
      <c r="E26" s="27" t="str">
        <f>IF(C26="","",固定信息!$B$2)</f>
        <v/>
      </c>
      <c r="F26" s="27" t="str">
        <f>IF(C26="","","【"&amp;C26&amp;"】"&amp;固定信息!$B$4)</f>
        <v/>
      </c>
      <c r="G26" s="27" t="str">
        <f>IF(C26="","","【"&amp;"活动时间："&amp;固定信息!$B$3&amp;"】")</f>
        <v/>
      </c>
      <c r="H26" s="27" t="str">
        <f>IF($C26="","",固定信息!$B$1)</f>
        <v/>
      </c>
      <c r="I26" s="27" t="str">
        <f>IF(OR(C26="",固定信息!$B$5=""),"","【1元预约锁好礼】"&amp;固定信息!$B$5)</f>
        <v/>
      </c>
      <c r="J26" s="27" t="str" cm="1">
        <f t="array" ref="J26">_xlfn.XLOOKUP($A26&amp;$B26&amp;$C26,价格信息!$A:$A&amp;价格信息!$B:$B&amp;价格信息!$C:$C,价格信息!$D:$D)</f>
        <v/>
      </c>
      <c r="K26" s="27" t="str">
        <f>IF($C26="","",固定信息!$B$1)</f>
        <v/>
      </c>
      <c r="L26" s="27" t="str" cm="1">
        <f t="array" ref="L26">IF(_xlfn.XLOOKUP($A26&amp;$B26&amp;$C26,盘货信息!$A:$A&amp;盘货信息!$B:$B&amp;盘货信息!$C:$C,盘货信息!$T:$T)="","","【优惠券】领"&amp;_xlfn.XLOOKUP($A26&amp;$B26&amp;$C26,盘货信息!$A:$A&amp;盘货信息!$B:$B&amp;盘货信息!$C:$C,盘货信息!$T:$T)&amp;"元优惠卷下单更优惠，领券链接："&amp;_xlfn.XLOOKUP($A26&amp;$B26&amp;$C26,盘货信息!$A:$A&amp;盘货信息!$B:$B&amp;盘货信息!$C:$C,盘货信息!$U:$U))</f>
        <v/>
      </c>
      <c r="M26" s="27" t="str" cm="1">
        <f t="array" ref="M26">IF(_xlfn.XLOOKUP($A26&amp;$B26&amp;$C26,盘货信息!$A:$A&amp;盘货信息!$B:$B&amp;盘货信息!$C:$C,盘货信息!$P:$P)="","","【限时】"&amp;_xlfn.XLOOKUP($A26&amp;$B26&amp;$C26,盘货信息!$A:$A&amp;盘货信息!$B:$B&amp;盘货信息!$C:$C,盘货信息!$P:$P))</f>
        <v/>
      </c>
      <c r="N26" s="27" t="str" cm="1">
        <f t="array" ref="N26">IF(_xlfn.XLOOKUP($A26&amp;$B26&amp;$C26,盘货信息!$A:$A&amp;盘货信息!$B:$B&amp;盘货信息!$C:$C,盘货信息!$V:$V)="","","【"&amp;盘货信息!$V$1&amp;"】"&amp;_xlfn.XLOOKUP($A26&amp;$B26&amp;$C26,盘货信息!$A:$A&amp;盘货信息!$B:$B&amp;盘货信息!$C:$C,盘货信息!$V:$V))</f>
        <v/>
      </c>
      <c r="O26" s="27" t="str" cm="1">
        <f t="array" ref="O26">IF(_xlfn.XLOOKUP($A26&amp;$B26&amp;$C26,盘货信息!$A:$A&amp;盘货信息!$B:$B&amp;盘货信息!$C:$C,盘货信息!$W:$W)="","","【"&amp;盘货信息!$W$1&amp;"】"&amp;_xlfn.XLOOKUP($A26&amp;$B26&amp;$C26,盘货信息!$A:$A&amp;盘货信息!$B:$B&amp;盘货信息!$C:$C,盘货信息!$W:$W))</f>
        <v/>
      </c>
      <c r="P26" s="27" t="str" cm="1">
        <f t="array" ref="P26">IF(_xlfn.XLOOKUP($A26&amp;$B26&amp;$C26,盘货信息!$A:$A&amp;盘货信息!$B:$B&amp;盘货信息!$C:$C,盘货信息!$S:$S)&lt;1,"","【"&amp;盘货信息!$S$1&amp;"】"&amp;"后返"&amp;_xlfn.XLOOKUP($A26&amp;$B26&amp;$C26,盘货信息!$A:$A&amp;盘货信息!$B:$B&amp;盘货信息!$C:$C,盘货信息!$S:$S)&amp;"元")</f>
        <v/>
      </c>
      <c r="Q26" s="27" t="str" cm="1">
        <f t="array" ref="Q26">IF(_xlfn.XLOOKUP($A26&amp;$B26&amp;$C26,盘货信息!$A:$A&amp;盘货信息!$B:$B&amp;盘货信息!$C:$C,盘货信息!$X:$X)="","","【"&amp;盘货信息!$X$1&amp;"】"&amp;_xlfn.XLOOKUP($A26&amp;$B26&amp;$C26,盘货信息!$A:$A&amp;盘货信息!$B:$B&amp;盘货信息!$C:$C,盘货信息!$X:$X))</f>
        <v/>
      </c>
      <c r="R26" s="27" t="str" cm="1">
        <f t="array" ref="R26">IF(_xlfn.XLOOKUP($A26&amp;$B26&amp;$C26,盘货信息!$A:$A&amp;盘货信息!$B:$B&amp;盘货信息!$C:$C,盘货信息!$Z:$Z)="","","【"&amp;盘货信息!$Z$1&amp;"】"&amp;_xlfn.XLOOKUP($A26&amp;$B26&amp;$C26,盘货信息!$A:$A&amp;盘货信息!$B:$B&amp;盘货信息!$C:$C,盘货信息!$Z:$Z))</f>
        <v/>
      </c>
      <c r="S26" s="27" t="str" cm="1">
        <f t="array" ref="S26">IF(_xlfn.XLOOKUP($A26&amp;$B26&amp;$C26,盘货信息!$A:$A&amp;盘货信息!$B:$B&amp;盘货信息!$C:$C,盘货信息!$Q:$Q)="","","【种草】站外带指定话题种草后返"&amp;_xlfn.XLOOKUP($A26&amp;$B26&amp;$C26,盘货信息!$A:$A&amp;盘货信息!$B:$B&amp;盘货信息!$C:$C,盘货信息!$Q:$Q)&amp;"元红包（每个淘宝账号仅限对应一个站外种草账号，同一个种草账号不可对应多个淘宝账号）")</f>
        <v/>
      </c>
      <c r="T26" s="27" t="str" cm="1">
        <f t="array" ref="T26">IF(_xlfn.XLOOKUP($A26&amp;$B26&amp;$C26,盘货信息!$A:$A&amp;盘货信息!$B:$B&amp;盘货信息!$C:$C,盘货信息!$R:$R)&lt;1,"","【以旧换新】"&amp;"享补贴"&amp;ROUND(_xlfn.XLOOKUP($A26&amp;$B26&amp;$C26,盘货信息!$A:$A&amp;盘货信息!$B:$B&amp;盘货信息!$C:$C,盘货信息!$R:$R),0)&amp;"元（可无旧机换新）")</f>
        <v/>
      </c>
      <c r="U26" s="27" t="str">
        <f>IF(AND($N26="",$O26="",$P26="",$Q26="",$R26="",$S26="",$T26=""),"",固定信息!$B$1)</f>
        <v/>
      </c>
      <c r="V26" s="27" t="str" cm="1">
        <f t="array" ref="V26">IF(_xlfn.XLOOKUP($A26&amp;$B26&amp;$C26,盘货信息!$A:$A&amp;盘货信息!$B:$B&amp;盘货信息!$C:$C,盘货信息!$Y:$Y)="","","【卡萨帝送赠】活动指定时间"&amp;_xlfn.TEXTBEFORE(_xlfn.TEXTAFTER(_xlfn.XLOOKUP($A26&amp;$B26&amp;$C26,盘货信息!$A:$A&amp;盘货信息!$B:$B&amp;盘货信息!$C:$C,盘货信息!$Y:$Y),"点"),"（"))</f>
        <v/>
      </c>
      <c r="W26" s="27" t="str" cm="1">
        <f t="array" ref="W26">IF(COUNTIF(_xlfn.XLOOKUP($A26&amp;$B26&amp;$C26,盘货信息!$A:$A&amp;盘货信息!$B:$B&amp;盘货信息!$C:$C,盘货信息!$O:$O),"*是*"),"【折扣】指定型号满2类享96折，满3类享94折","")</f>
        <v/>
      </c>
      <c r="X26" s="27" t="str" cm="1">
        <f t="array" ref="X26">IF(固定信息!$B$7="","",IF(_xlfn.XLOOKUP($A26&amp;$B26&amp;$C26,盘货信息!$A:$A&amp;盘货信息!$B:$B&amp;盘货信息!$C:$C,盘货信息!$N:$N)="是","【瓜分】"&amp;固定信息!$B$7,""))</f>
        <v/>
      </c>
      <c r="Y26" s="27" t="str">
        <f>IF(AND($V26="",$W26="",$X26=""),"",固定信息!$B$1)</f>
        <v/>
      </c>
      <c r="Z26" s="27" t="str" cm="1">
        <f t="array" ref="Z26">IF($C26="","",_xlfn.XLOOKUP($A26&amp;$B26&amp;$C26,服务!$A:$A&amp;服务!$B:$B&amp;服务!$C:$C,服务!$D:$D))</f>
        <v/>
      </c>
    </row>
    <row r="27" customHeight="1" spans="1:26">
      <c r="A27" s="26" t="str">
        <f>IF(盘货信息!A27="","",盘货信息!A27)</f>
        <v/>
      </c>
      <c r="B27" s="26" t="str">
        <f>IF(盘货信息!B27="","",盘货信息!B27)</f>
        <v/>
      </c>
      <c r="C27" s="27" t="str">
        <f>IF(盘货信息!C27="","",盘货信息!C27)</f>
        <v/>
      </c>
      <c r="D27" s="27" t="str">
        <f ca="1" t="shared" si="0"/>
        <v/>
      </c>
      <c r="E27" s="27" t="str">
        <f>IF(C27="","",固定信息!$B$2)</f>
        <v/>
      </c>
      <c r="F27" s="27" t="str">
        <f>IF(C27="","","【"&amp;C27&amp;"】"&amp;固定信息!$B$4)</f>
        <v/>
      </c>
      <c r="G27" s="27" t="str">
        <f>IF(C27="","","【"&amp;"活动时间："&amp;固定信息!$B$3&amp;"】")</f>
        <v/>
      </c>
      <c r="H27" s="27" t="str">
        <f>IF($C27="","",固定信息!$B$1)</f>
        <v/>
      </c>
      <c r="I27" s="27" t="str">
        <f>IF(OR(C27="",固定信息!$B$5=""),"","【1元预约锁好礼】"&amp;固定信息!$B$5)</f>
        <v/>
      </c>
      <c r="J27" s="27" t="str" cm="1">
        <f t="array" ref="J27">_xlfn.XLOOKUP($A27&amp;$B27&amp;$C27,价格信息!$A:$A&amp;价格信息!$B:$B&amp;价格信息!$C:$C,价格信息!$D:$D)</f>
        <v/>
      </c>
      <c r="K27" s="27" t="str">
        <f>IF($C27="","",固定信息!$B$1)</f>
        <v/>
      </c>
      <c r="L27" s="27" t="str" cm="1">
        <f t="array" ref="L27">IF(_xlfn.XLOOKUP($A27&amp;$B27&amp;$C27,盘货信息!$A:$A&amp;盘货信息!$B:$B&amp;盘货信息!$C:$C,盘货信息!$T:$T)="","","【优惠券】领"&amp;_xlfn.XLOOKUP($A27&amp;$B27&amp;$C27,盘货信息!$A:$A&amp;盘货信息!$B:$B&amp;盘货信息!$C:$C,盘货信息!$T:$T)&amp;"元优惠卷下单更优惠，领券链接："&amp;_xlfn.XLOOKUP($A27&amp;$B27&amp;$C27,盘货信息!$A:$A&amp;盘货信息!$B:$B&amp;盘货信息!$C:$C,盘货信息!$U:$U))</f>
        <v/>
      </c>
      <c r="M27" s="27" t="str" cm="1">
        <f t="array" ref="M27">IF(_xlfn.XLOOKUP($A27&amp;$B27&amp;$C27,盘货信息!$A:$A&amp;盘货信息!$B:$B&amp;盘货信息!$C:$C,盘货信息!$P:$P)="","","【限时】"&amp;_xlfn.XLOOKUP($A27&amp;$B27&amp;$C27,盘货信息!$A:$A&amp;盘货信息!$B:$B&amp;盘货信息!$C:$C,盘货信息!$P:$P))</f>
        <v/>
      </c>
      <c r="N27" s="27" t="str" cm="1">
        <f t="array" ref="N27">IF(_xlfn.XLOOKUP($A27&amp;$B27&amp;$C27,盘货信息!$A:$A&amp;盘货信息!$B:$B&amp;盘货信息!$C:$C,盘货信息!$V:$V)="","","【"&amp;盘货信息!$V$1&amp;"】"&amp;_xlfn.XLOOKUP($A27&amp;$B27&amp;$C27,盘货信息!$A:$A&amp;盘货信息!$B:$B&amp;盘货信息!$C:$C,盘货信息!$V:$V))</f>
        <v/>
      </c>
      <c r="O27" s="27" t="str" cm="1">
        <f t="array" ref="O27">IF(_xlfn.XLOOKUP($A27&amp;$B27&amp;$C27,盘货信息!$A:$A&amp;盘货信息!$B:$B&amp;盘货信息!$C:$C,盘货信息!$W:$W)="","","【"&amp;盘货信息!$W$1&amp;"】"&amp;_xlfn.XLOOKUP($A27&amp;$B27&amp;$C27,盘货信息!$A:$A&amp;盘货信息!$B:$B&amp;盘货信息!$C:$C,盘货信息!$W:$W))</f>
        <v/>
      </c>
      <c r="P27" s="27" t="str" cm="1">
        <f t="array" ref="P27">IF(_xlfn.XLOOKUP($A27&amp;$B27&amp;$C27,盘货信息!$A:$A&amp;盘货信息!$B:$B&amp;盘货信息!$C:$C,盘货信息!$S:$S)&lt;1,"","【"&amp;盘货信息!$S$1&amp;"】"&amp;"后返"&amp;_xlfn.XLOOKUP($A27&amp;$B27&amp;$C27,盘货信息!$A:$A&amp;盘货信息!$B:$B&amp;盘货信息!$C:$C,盘货信息!$S:$S)&amp;"元")</f>
        <v/>
      </c>
      <c r="Q27" s="27" t="str" cm="1">
        <f t="array" ref="Q27">IF(_xlfn.XLOOKUP($A27&amp;$B27&amp;$C27,盘货信息!$A:$A&amp;盘货信息!$B:$B&amp;盘货信息!$C:$C,盘货信息!$X:$X)="","","【"&amp;盘货信息!$X$1&amp;"】"&amp;_xlfn.XLOOKUP($A27&amp;$B27&amp;$C27,盘货信息!$A:$A&amp;盘货信息!$B:$B&amp;盘货信息!$C:$C,盘货信息!$X:$X))</f>
        <v/>
      </c>
      <c r="R27" s="27" t="str" cm="1">
        <f t="array" ref="R27">IF(_xlfn.XLOOKUP($A27&amp;$B27&amp;$C27,盘货信息!$A:$A&amp;盘货信息!$B:$B&amp;盘货信息!$C:$C,盘货信息!$Z:$Z)="","","【"&amp;盘货信息!$Z$1&amp;"】"&amp;_xlfn.XLOOKUP($A27&amp;$B27&amp;$C27,盘货信息!$A:$A&amp;盘货信息!$B:$B&amp;盘货信息!$C:$C,盘货信息!$Z:$Z))</f>
        <v/>
      </c>
      <c r="S27" s="27" t="str" cm="1">
        <f t="array" ref="S27">IF(_xlfn.XLOOKUP($A27&amp;$B27&amp;$C27,盘货信息!$A:$A&amp;盘货信息!$B:$B&amp;盘货信息!$C:$C,盘货信息!$Q:$Q)="","","【种草】站外带指定话题种草后返"&amp;_xlfn.XLOOKUP($A27&amp;$B27&amp;$C27,盘货信息!$A:$A&amp;盘货信息!$B:$B&amp;盘货信息!$C:$C,盘货信息!$Q:$Q)&amp;"元红包（每个淘宝账号仅限对应一个站外种草账号，同一个种草账号不可对应多个淘宝账号）")</f>
        <v/>
      </c>
      <c r="T27" s="27" t="str" cm="1">
        <f t="array" ref="T27">IF(_xlfn.XLOOKUP($A27&amp;$B27&amp;$C27,盘货信息!$A:$A&amp;盘货信息!$B:$B&amp;盘货信息!$C:$C,盘货信息!$R:$R)&lt;1,"","【以旧换新】"&amp;"享补贴"&amp;ROUND(_xlfn.XLOOKUP($A27&amp;$B27&amp;$C27,盘货信息!$A:$A&amp;盘货信息!$B:$B&amp;盘货信息!$C:$C,盘货信息!$R:$R),0)&amp;"元（可无旧机换新）")</f>
        <v/>
      </c>
      <c r="U27" s="27" t="str">
        <f>IF(AND($N27="",$O27="",$P27="",$Q27="",$R27="",$S27="",$T27=""),"",固定信息!$B$1)</f>
        <v/>
      </c>
      <c r="V27" s="27" t="str" cm="1">
        <f t="array" ref="V27">IF(_xlfn.XLOOKUP($A27&amp;$B27&amp;$C27,盘货信息!$A:$A&amp;盘货信息!$B:$B&amp;盘货信息!$C:$C,盘货信息!$Y:$Y)="","","【卡萨帝送赠】活动指定时间"&amp;_xlfn.TEXTBEFORE(_xlfn.TEXTAFTER(_xlfn.XLOOKUP($A27&amp;$B27&amp;$C27,盘货信息!$A:$A&amp;盘货信息!$B:$B&amp;盘货信息!$C:$C,盘货信息!$Y:$Y),"点"),"（"))</f>
        <v/>
      </c>
      <c r="W27" s="27" t="str" cm="1">
        <f t="array" ref="W27">IF(COUNTIF(_xlfn.XLOOKUP($A27&amp;$B27&amp;$C27,盘货信息!$A:$A&amp;盘货信息!$B:$B&amp;盘货信息!$C:$C,盘货信息!$O:$O),"*是*"),"【折扣】指定型号满2类享96折，满3类享94折","")</f>
        <v/>
      </c>
      <c r="X27" s="27" t="str" cm="1">
        <f t="array" ref="X27">IF(固定信息!$B$7="","",IF(_xlfn.XLOOKUP($A27&amp;$B27&amp;$C27,盘货信息!$A:$A&amp;盘货信息!$B:$B&amp;盘货信息!$C:$C,盘货信息!$N:$N)="是","【瓜分】"&amp;固定信息!$B$7,""))</f>
        <v/>
      </c>
      <c r="Y27" s="27" t="str">
        <f>IF(AND($V27="",$W27="",$X27=""),"",固定信息!$B$1)</f>
        <v/>
      </c>
      <c r="Z27" s="27" t="str" cm="1">
        <f t="array" ref="Z27">IF($C27="","",_xlfn.XLOOKUP($A27&amp;$B27&amp;$C27,服务!$A:$A&amp;服务!$B:$B&amp;服务!$C:$C,服务!$D:$D))</f>
        <v/>
      </c>
    </row>
    <row r="28" customHeight="1" spans="1:26">
      <c r="A28" s="26" t="str">
        <f>IF(盘货信息!A28="","",盘货信息!A28)</f>
        <v/>
      </c>
      <c r="B28" s="26" t="str">
        <f>IF(盘货信息!B28="","",盘货信息!B28)</f>
        <v/>
      </c>
      <c r="C28" s="27" t="str">
        <f>IF(盘货信息!C28="","",盘货信息!C28)</f>
        <v/>
      </c>
      <c r="D28" s="27" t="str">
        <f ca="1" t="shared" si="0"/>
        <v/>
      </c>
      <c r="E28" s="27" t="str">
        <f>IF(C28="","",固定信息!$B$2)</f>
        <v/>
      </c>
      <c r="F28" s="27" t="str">
        <f>IF(C28="","","【"&amp;C28&amp;"】"&amp;固定信息!$B$4)</f>
        <v/>
      </c>
      <c r="G28" s="27" t="str">
        <f>IF(C28="","","【"&amp;"活动时间："&amp;固定信息!$B$3&amp;"】")</f>
        <v/>
      </c>
      <c r="H28" s="27" t="str">
        <f>IF($C28="","",固定信息!$B$1)</f>
        <v/>
      </c>
      <c r="I28" s="27" t="str">
        <f>IF(OR(C28="",固定信息!$B$5=""),"","【1元预约锁好礼】"&amp;固定信息!$B$5)</f>
        <v/>
      </c>
      <c r="J28" s="27" t="str" cm="1">
        <f t="array" ref="J28">_xlfn.XLOOKUP($A28&amp;$B28&amp;$C28,价格信息!$A:$A&amp;价格信息!$B:$B&amp;价格信息!$C:$C,价格信息!$D:$D)</f>
        <v/>
      </c>
      <c r="K28" s="27" t="str">
        <f>IF($C28="","",固定信息!$B$1)</f>
        <v/>
      </c>
      <c r="L28" s="27" t="str" cm="1">
        <f t="array" ref="L28">IF(_xlfn.XLOOKUP($A28&amp;$B28&amp;$C28,盘货信息!$A:$A&amp;盘货信息!$B:$B&amp;盘货信息!$C:$C,盘货信息!$T:$T)="","","【优惠券】领"&amp;_xlfn.XLOOKUP($A28&amp;$B28&amp;$C28,盘货信息!$A:$A&amp;盘货信息!$B:$B&amp;盘货信息!$C:$C,盘货信息!$T:$T)&amp;"元优惠卷下单更优惠，领券链接："&amp;_xlfn.XLOOKUP($A28&amp;$B28&amp;$C28,盘货信息!$A:$A&amp;盘货信息!$B:$B&amp;盘货信息!$C:$C,盘货信息!$U:$U))</f>
        <v/>
      </c>
      <c r="M28" s="27" t="str" cm="1">
        <f t="array" ref="M28">IF(_xlfn.XLOOKUP($A28&amp;$B28&amp;$C28,盘货信息!$A:$A&amp;盘货信息!$B:$B&amp;盘货信息!$C:$C,盘货信息!$P:$P)="","","【限时】"&amp;_xlfn.XLOOKUP($A28&amp;$B28&amp;$C28,盘货信息!$A:$A&amp;盘货信息!$B:$B&amp;盘货信息!$C:$C,盘货信息!$P:$P))</f>
        <v/>
      </c>
      <c r="N28" s="27" t="str" cm="1">
        <f t="array" ref="N28">IF(_xlfn.XLOOKUP($A28&amp;$B28&amp;$C28,盘货信息!$A:$A&amp;盘货信息!$B:$B&amp;盘货信息!$C:$C,盘货信息!$V:$V)="","","【"&amp;盘货信息!$V$1&amp;"】"&amp;_xlfn.XLOOKUP($A28&amp;$B28&amp;$C28,盘货信息!$A:$A&amp;盘货信息!$B:$B&amp;盘货信息!$C:$C,盘货信息!$V:$V))</f>
        <v/>
      </c>
      <c r="O28" s="27" t="str" cm="1">
        <f t="array" ref="O28">IF(_xlfn.XLOOKUP($A28&amp;$B28&amp;$C28,盘货信息!$A:$A&amp;盘货信息!$B:$B&amp;盘货信息!$C:$C,盘货信息!$W:$W)="","","【"&amp;盘货信息!$W$1&amp;"】"&amp;_xlfn.XLOOKUP($A28&amp;$B28&amp;$C28,盘货信息!$A:$A&amp;盘货信息!$B:$B&amp;盘货信息!$C:$C,盘货信息!$W:$W))</f>
        <v/>
      </c>
      <c r="P28" s="27" t="str" cm="1">
        <f t="array" ref="P28">IF(_xlfn.XLOOKUP($A28&amp;$B28&amp;$C28,盘货信息!$A:$A&amp;盘货信息!$B:$B&amp;盘货信息!$C:$C,盘货信息!$S:$S)&lt;1,"","【"&amp;盘货信息!$S$1&amp;"】"&amp;"后返"&amp;_xlfn.XLOOKUP($A28&amp;$B28&amp;$C28,盘货信息!$A:$A&amp;盘货信息!$B:$B&amp;盘货信息!$C:$C,盘货信息!$S:$S)&amp;"元")</f>
        <v/>
      </c>
      <c r="Q28" s="27" t="str" cm="1">
        <f t="array" ref="Q28">IF(_xlfn.XLOOKUP($A28&amp;$B28&amp;$C28,盘货信息!$A:$A&amp;盘货信息!$B:$B&amp;盘货信息!$C:$C,盘货信息!$X:$X)="","","【"&amp;盘货信息!$X$1&amp;"】"&amp;_xlfn.XLOOKUP($A28&amp;$B28&amp;$C28,盘货信息!$A:$A&amp;盘货信息!$B:$B&amp;盘货信息!$C:$C,盘货信息!$X:$X))</f>
        <v/>
      </c>
      <c r="R28" s="27" t="str" cm="1">
        <f t="array" ref="R28">IF(_xlfn.XLOOKUP($A28&amp;$B28&amp;$C28,盘货信息!$A:$A&amp;盘货信息!$B:$B&amp;盘货信息!$C:$C,盘货信息!$Z:$Z)="","","【"&amp;盘货信息!$Z$1&amp;"】"&amp;_xlfn.XLOOKUP($A28&amp;$B28&amp;$C28,盘货信息!$A:$A&amp;盘货信息!$B:$B&amp;盘货信息!$C:$C,盘货信息!$Z:$Z))</f>
        <v/>
      </c>
      <c r="S28" s="27" t="str" cm="1">
        <f t="array" ref="S28">IF(_xlfn.XLOOKUP($A28&amp;$B28&amp;$C28,盘货信息!$A:$A&amp;盘货信息!$B:$B&amp;盘货信息!$C:$C,盘货信息!$Q:$Q)="","","【种草】站外带指定话题种草后返"&amp;_xlfn.XLOOKUP($A28&amp;$B28&amp;$C28,盘货信息!$A:$A&amp;盘货信息!$B:$B&amp;盘货信息!$C:$C,盘货信息!$Q:$Q)&amp;"元红包（每个淘宝账号仅限对应一个站外种草账号，同一个种草账号不可对应多个淘宝账号）")</f>
        <v/>
      </c>
      <c r="T28" s="27" t="str" cm="1">
        <f t="array" ref="T28">IF(_xlfn.XLOOKUP($A28&amp;$B28&amp;$C28,盘货信息!$A:$A&amp;盘货信息!$B:$B&amp;盘货信息!$C:$C,盘货信息!$R:$R)&lt;1,"","【以旧换新】"&amp;"享补贴"&amp;ROUND(_xlfn.XLOOKUP($A28&amp;$B28&amp;$C28,盘货信息!$A:$A&amp;盘货信息!$B:$B&amp;盘货信息!$C:$C,盘货信息!$R:$R),0)&amp;"元（可无旧机换新）")</f>
        <v/>
      </c>
      <c r="U28" s="27" t="str">
        <f>IF(AND($N28="",$O28="",$P28="",$Q28="",$R28="",$S28="",$T28=""),"",固定信息!$B$1)</f>
        <v/>
      </c>
      <c r="V28" s="27" t="str" cm="1">
        <f t="array" ref="V28">IF(_xlfn.XLOOKUP($A28&amp;$B28&amp;$C28,盘货信息!$A:$A&amp;盘货信息!$B:$B&amp;盘货信息!$C:$C,盘货信息!$Y:$Y)="","","【卡萨帝送赠】活动指定时间"&amp;_xlfn.TEXTBEFORE(_xlfn.TEXTAFTER(_xlfn.XLOOKUP($A28&amp;$B28&amp;$C28,盘货信息!$A:$A&amp;盘货信息!$B:$B&amp;盘货信息!$C:$C,盘货信息!$Y:$Y),"点"),"（"))</f>
        <v/>
      </c>
      <c r="W28" s="27" t="str" cm="1">
        <f t="array" ref="W28">IF(COUNTIF(_xlfn.XLOOKUP($A28&amp;$B28&amp;$C28,盘货信息!$A:$A&amp;盘货信息!$B:$B&amp;盘货信息!$C:$C,盘货信息!$O:$O),"*是*"),"【折扣】指定型号满2类享96折，满3类享94折","")</f>
        <v/>
      </c>
      <c r="X28" s="27" t="str" cm="1">
        <f t="array" ref="X28">IF(固定信息!$B$7="","",IF(_xlfn.XLOOKUP($A28&amp;$B28&amp;$C28,盘货信息!$A:$A&amp;盘货信息!$B:$B&amp;盘货信息!$C:$C,盘货信息!$N:$N)="是","【瓜分】"&amp;固定信息!$B$7,""))</f>
        <v/>
      </c>
      <c r="Y28" s="27" t="str">
        <f>IF(AND($V28="",$W28="",$X28=""),"",固定信息!$B$1)</f>
        <v/>
      </c>
      <c r="Z28" s="27" t="str" cm="1">
        <f t="array" ref="Z28">IF($C28="","",_xlfn.XLOOKUP($A28&amp;$B28&amp;$C28,服务!$A:$A&amp;服务!$B:$B&amp;服务!$C:$C,服务!$D:$D))</f>
        <v/>
      </c>
    </row>
    <row r="29" customHeight="1" spans="1:26">
      <c r="A29" s="26" t="str">
        <f>IF(盘货信息!A29="","",盘货信息!A29)</f>
        <v/>
      </c>
      <c r="B29" s="26" t="str">
        <f>IF(盘货信息!B29="","",盘货信息!B29)</f>
        <v/>
      </c>
      <c r="C29" s="27" t="str">
        <f>IF(盘货信息!C29="","",盘货信息!C29)</f>
        <v/>
      </c>
      <c r="D29" s="27" t="str">
        <f ca="1" t="shared" si="0"/>
        <v/>
      </c>
      <c r="E29" s="27" t="str">
        <f>IF(C29="","",固定信息!$B$2)</f>
        <v/>
      </c>
      <c r="F29" s="27" t="str">
        <f>IF(C29="","","【"&amp;C29&amp;"】"&amp;固定信息!$B$4)</f>
        <v/>
      </c>
      <c r="G29" s="27" t="str">
        <f>IF(C29="","","【"&amp;"活动时间："&amp;固定信息!$B$3&amp;"】")</f>
        <v/>
      </c>
      <c r="H29" s="27" t="str">
        <f>IF($C29="","",固定信息!$B$1)</f>
        <v/>
      </c>
      <c r="I29" s="27" t="str">
        <f>IF(OR(C29="",固定信息!$B$5=""),"","【1元预约锁好礼】"&amp;固定信息!$B$5)</f>
        <v/>
      </c>
      <c r="J29" s="27" t="str" cm="1">
        <f t="array" ref="J29">_xlfn.XLOOKUP($A29&amp;$B29&amp;$C29,价格信息!$A:$A&amp;价格信息!$B:$B&amp;价格信息!$C:$C,价格信息!$D:$D)</f>
        <v/>
      </c>
      <c r="K29" s="27" t="str">
        <f>IF($C29="","",固定信息!$B$1)</f>
        <v/>
      </c>
      <c r="L29" s="27" t="str" cm="1">
        <f t="array" ref="L29">IF(_xlfn.XLOOKUP($A29&amp;$B29&amp;$C29,盘货信息!$A:$A&amp;盘货信息!$B:$B&amp;盘货信息!$C:$C,盘货信息!$T:$T)="","","【优惠券】领"&amp;_xlfn.XLOOKUP($A29&amp;$B29&amp;$C29,盘货信息!$A:$A&amp;盘货信息!$B:$B&amp;盘货信息!$C:$C,盘货信息!$T:$T)&amp;"元优惠卷下单更优惠，领券链接："&amp;_xlfn.XLOOKUP($A29&amp;$B29&amp;$C29,盘货信息!$A:$A&amp;盘货信息!$B:$B&amp;盘货信息!$C:$C,盘货信息!$U:$U))</f>
        <v/>
      </c>
      <c r="M29" s="27" t="str" cm="1">
        <f t="array" ref="M29">IF(_xlfn.XLOOKUP($A29&amp;$B29&amp;$C29,盘货信息!$A:$A&amp;盘货信息!$B:$B&amp;盘货信息!$C:$C,盘货信息!$P:$P)="","","【限时】"&amp;_xlfn.XLOOKUP($A29&amp;$B29&amp;$C29,盘货信息!$A:$A&amp;盘货信息!$B:$B&amp;盘货信息!$C:$C,盘货信息!$P:$P))</f>
        <v/>
      </c>
      <c r="N29" s="27" t="str" cm="1">
        <f t="array" ref="N29">IF(_xlfn.XLOOKUP($A29&amp;$B29&amp;$C29,盘货信息!$A:$A&amp;盘货信息!$B:$B&amp;盘货信息!$C:$C,盘货信息!$V:$V)="","","【"&amp;盘货信息!$V$1&amp;"】"&amp;_xlfn.XLOOKUP($A29&amp;$B29&amp;$C29,盘货信息!$A:$A&amp;盘货信息!$B:$B&amp;盘货信息!$C:$C,盘货信息!$V:$V))</f>
        <v/>
      </c>
      <c r="O29" s="27" t="str" cm="1">
        <f t="array" ref="O29">IF(_xlfn.XLOOKUP($A29&amp;$B29&amp;$C29,盘货信息!$A:$A&amp;盘货信息!$B:$B&amp;盘货信息!$C:$C,盘货信息!$W:$W)="","","【"&amp;盘货信息!$W$1&amp;"】"&amp;_xlfn.XLOOKUP($A29&amp;$B29&amp;$C29,盘货信息!$A:$A&amp;盘货信息!$B:$B&amp;盘货信息!$C:$C,盘货信息!$W:$W))</f>
        <v/>
      </c>
      <c r="P29" s="27" t="str" cm="1">
        <f t="array" ref="P29">IF(_xlfn.XLOOKUP($A29&amp;$B29&amp;$C29,盘货信息!$A:$A&amp;盘货信息!$B:$B&amp;盘货信息!$C:$C,盘货信息!$S:$S)&lt;1,"","【"&amp;盘货信息!$S$1&amp;"】"&amp;"后返"&amp;_xlfn.XLOOKUP($A29&amp;$B29&amp;$C29,盘货信息!$A:$A&amp;盘货信息!$B:$B&amp;盘货信息!$C:$C,盘货信息!$S:$S)&amp;"元")</f>
        <v/>
      </c>
      <c r="Q29" s="27" t="str" cm="1">
        <f t="array" ref="Q29">IF(_xlfn.XLOOKUP($A29&amp;$B29&amp;$C29,盘货信息!$A:$A&amp;盘货信息!$B:$B&amp;盘货信息!$C:$C,盘货信息!$X:$X)="","","【"&amp;盘货信息!$X$1&amp;"】"&amp;_xlfn.XLOOKUP($A29&amp;$B29&amp;$C29,盘货信息!$A:$A&amp;盘货信息!$B:$B&amp;盘货信息!$C:$C,盘货信息!$X:$X))</f>
        <v/>
      </c>
      <c r="R29" s="27" t="str" cm="1">
        <f t="array" ref="R29">IF(_xlfn.XLOOKUP($A29&amp;$B29&amp;$C29,盘货信息!$A:$A&amp;盘货信息!$B:$B&amp;盘货信息!$C:$C,盘货信息!$Z:$Z)="","","【"&amp;盘货信息!$Z$1&amp;"】"&amp;_xlfn.XLOOKUP($A29&amp;$B29&amp;$C29,盘货信息!$A:$A&amp;盘货信息!$B:$B&amp;盘货信息!$C:$C,盘货信息!$Z:$Z))</f>
        <v/>
      </c>
      <c r="S29" s="27" t="str" cm="1">
        <f t="array" ref="S29">IF(_xlfn.XLOOKUP($A29&amp;$B29&amp;$C29,盘货信息!$A:$A&amp;盘货信息!$B:$B&amp;盘货信息!$C:$C,盘货信息!$Q:$Q)="","","【种草】站外带指定话题种草后返"&amp;_xlfn.XLOOKUP($A29&amp;$B29&amp;$C29,盘货信息!$A:$A&amp;盘货信息!$B:$B&amp;盘货信息!$C:$C,盘货信息!$Q:$Q)&amp;"元红包（每个淘宝账号仅限对应一个站外种草账号，同一个种草账号不可对应多个淘宝账号）")</f>
        <v/>
      </c>
      <c r="T29" s="27" t="str" cm="1">
        <f t="array" ref="T29">IF(_xlfn.XLOOKUP($A29&amp;$B29&amp;$C29,盘货信息!$A:$A&amp;盘货信息!$B:$B&amp;盘货信息!$C:$C,盘货信息!$R:$R)&lt;1,"","【以旧换新】"&amp;"享补贴"&amp;ROUND(_xlfn.XLOOKUP($A29&amp;$B29&amp;$C29,盘货信息!$A:$A&amp;盘货信息!$B:$B&amp;盘货信息!$C:$C,盘货信息!$R:$R),0)&amp;"元（可无旧机换新）")</f>
        <v/>
      </c>
      <c r="U29" s="27" t="str">
        <f>IF(AND($N29="",$O29="",$P29="",$Q29="",$R29="",$S29="",$T29=""),"",固定信息!$B$1)</f>
        <v/>
      </c>
      <c r="V29" s="27" t="str" cm="1">
        <f t="array" ref="V29">IF(_xlfn.XLOOKUP($A29&amp;$B29&amp;$C29,盘货信息!$A:$A&amp;盘货信息!$B:$B&amp;盘货信息!$C:$C,盘货信息!$Y:$Y)="","","【卡萨帝送赠】活动指定时间"&amp;_xlfn.TEXTBEFORE(_xlfn.TEXTAFTER(_xlfn.XLOOKUP($A29&amp;$B29&amp;$C29,盘货信息!$A:$A&amp;盘货信息!$B:$B&amp;盘货信息!$C:$C,盘货信息!$Y:$Y),"点"),"（"))</f>
        <v/>
      </c>
      <c r="W29" s="27" t="str" cm="1">
        <f t="array" ref="W29">IF(COUNTIF(_xlfn.XLOOKUP($A29&amp;$B29&amp;$C29,盘货信息!$A:$A&amp;盘货信息!$B:$B&amp;盘货信息!$C:$C,盘货信息!$O:$O),"*是*"),"【折扣】指定型号满2类享96折，满3类享94折","")</f>
        <v/>
      </c>
      <c r="X29" s="27" t="str" cm="1">
        <f t="array" ref="X29">IF(固定信息!$B$7="","",IF(_xlfn.XLOOKUP($A29&amp;$B29&amp;$C29,盘货信息!$A:$A&amp;盘货信息!$B:$B&amp;盘货信息!$C:$C,盘货信息!$N:$N)="是","【瓜分】"&amp;固定信息!$B$7,""))</f>
        <v/>
      </c>
      <c r="Y29" s="27" t="str">
        <f>IF(AND($V29="",$W29="",$X29=""),"",固定信息!$B$1)</f>
        <v/>
      </c>
      <c r="Z29" s="27" t="str" cm="1">
        <f t="array" ref="Z29">IF($C29="","",_xlfn.XLOOKUP($A29&amp;$B29&amp;$C29,服务!$A:$A&amp;服务!$B:$B&amp;服务!$C:$C,服务!$D:$D))</f>
        <v/>
      </c>
    </row>
    <row r="30" customHeight="1" spans="1:26">
      <c r="A30" s="26" t="str">
        <f>IF(盘货信息!A30="","",盘货信息!A30)</f>
        <v/>
      </c>
      <c r="B30" s="26" t="str">
        <f>IF(盘货信息!B30="","",盘货信息!B30)</f>
        <v/>
      </c>
      <c r="C30" s="27" t="str">
        <f>IF(盘货信息!C30="","",盘货信息!C30)</f>
        <v/>
      </c>
      <c r="D30" s="27" t="str">
        <f ca="1" t="shared" si="0"/>
        <v/>
      </c>
      <c r="E30" s="27" t="str">
        <f>IF(C30="","",固定信息!$B$2)</f>
        <v/>
      </c>
      <c r="F30" s="27" t="str">
        <f>IF(C30="","","【"&amp;C30&amp;"】"&amp;固定信息!$B$4)</f>
        <v/>
      </c>
      <c r="G30" s="27" t="str">
        <f>IF(C30="","","【"&amp;"活动时间："&amp;固定信息!$B$3&amp;"】")</f>
        <v/>
      </c>
      <c r="H30" s="27" t="str">
        <f>IF($C30="","",固定信息!$B$1)</f>
        <v/>
      </c>
      <c r="I30" s="27" t="str">
        <f>IF(OR(C30="",固定信息!$B$5=""),"","【1元预约锁好礼】"&amp;固定信息!$B$5)</f>
        <v/>
      </c>
      <c r="J30" s="27" t="str" cm="1">
        <f t="array" ref="J30">_xlfn.XLOOKUP($A30&amp;$B30&amp;$C30,价格信息!$A:$A&amp;价格信息!$B:$B&amp;价格信息!$C:$C,价格信息!$D:$D)</f>
        <v/>
      </c>
      <c r="K30" s="27" t="str">
        <f>IF($C30="","",固定信息!$B$1)</f>
        <v/>
      </c>
      <c r="L30" s="27" t="str" cm="1">
        <f t="array" ref="L30">IF(_xlfn.XLOOKUP($A30&amp;$B30&amp;$C30,盘货信息!$A:$A&amp;盘货信息!$B:$B&amp;盘货信息!$C:$C,盘货信息!$T:$T)="","","【优惠券】领"&amp;_xlfn.XLOOKUP($A30&amp;$B30&amp;$C30,盘货信息!$A:$A&amp;盘货信息!$B:$B&amp;盘货信息!$C:$C,盘货信息!$T:$T)&amp;"元优惠卷下单更优惠，领券链接："&amp;_xlfn.XLOOKUP($A30&amp;$B30&amp;$C30,盘货信息!$A:$A&amp;盘货信息!$B:$B&amp;盘货信息!$C:$C,盘货信息!$U:$U))</f>
        <v/>
      </c>
      <c r="M30" s="27" t="str" cm="1">
        <f t="array" ref="M30">IF(_xlfn.XLOOKUP($A30&amp;$B30&amp;$C30,盘货信息!$A:$A&amp;盘货信息!$B:$B&amp;盘货信息!$C:$C,盘货信息!$P:$P)="","","【限时】"&amp;_xlfn.XLOOKUP($A30&amp;$B30&amp;$C30,盘货信息!$A:$A&amp;盘货信息!$B:$B&amp;盘货信息!$C:$C,盘货信息!$P:$P))</f>
        <v/>
      </c>
      <c r="N30" s="27" t="str" cm="1">
        <f t="array" ref="N30">IF(_xlfn.XLOOKUP($A30&amp;$B30&amp;$C30,盘货信息!$A:$A&amp;盘货信息!$B:$B&amp;盘货信息!$C:$C,盘货信息!$V:$V)="","","【"&amp;盘货信息!$V$1&amp;"】"&amp;_xlfn.XLOOKUP($A30&amp;$B30&amp;$C30,盘货信息!$A:$A&amp;盘货信息!$B:$B&amp;盘货信息!$C:$C,盘货信息!$V:$V))</f>
        <v/>
      </c>
      <c r="O30" s="27" t="str" cm="1">
        <f t="array" ref="O30">IF(_xlfn.XLOOKUP($A30&amp;$B30&amp;$C30,盘货信息!$A:$A&amp;盘货信息!$B:$B&amp;盘货信息!$C:$C,盘货信息!$W:$W)="","","【"&amp;盘货信息!$W$1&amp;"】"&amp;_xlfn.XLOOKUP($A30&amp;$B30&amp;$C30,盘货信息!$A:$A&amp;盘货信息!$B:$B&amp;盘货信息!$C:$C,盘货信息!$W:$W))</f>
        <v/>
      </c>
      <c r="P30" s="27" t="str" cm="1">
        <f t="array" ref="P30">IF(_xlfn.XLOOKUP($A30&amp;$B30&amp;$C30,盘货信息!$A:$A&amp;盘货信息!$B:$B&amp;盘货信息!$C:$C,盘货信息!$S:$S)&lt;1,"","【"&amp;盘货信息!$S$1&amp;"】"&amp;"后返"&amp;_xlfn.XLOOKUP($A30&amp;$B30&amp;$C30,盘货信息!$A:$A&amp;盘货信息!$B:$B&amp;盘货信息!$C:$C,盘货信息!$S:$S)&amp;"元")</f>
        <v/>
      </c>
      <c r="Q30" s="27" t="str" cm="1">
        <f t="array" ref="Q30">IF(_xlfn.XLOOKUP($A30&amp;$B30&amp;$C30,盘货信息!$A:$A&amp;盘货信息!$B:$B&amp;盘货信息!$C:$C,盘货信息!$X:$X)="","","【"&amp;盘货信息!$X$1&amp;"】"&amp;_xlfn.XLOOKUP($A30&amp;$B30&amp;$C30,盘货信息!$A:$A&amp;盘货信息!$B:$B&amp;盘货信息!$C:$C,盘货信息!$X:$X))</f>
        <v/>
      </c>
      <c r="R30" s="27" t="str" cm="1">
        <f t="array" ref="R30">IF(_xlfn.XLOOKUP($A30&amp;$B30&amp;$C30,盘货信息!$A:$A&amp;盘货信息!$B:$B&amp;盘货信息!$C:$C,盘货信息!$Z:$Z)="","","【"&amp;盘货信息!$Z$1&amp;"】"&amp;_xlfn.XLOOKUP($A30&amp;$B30&amp;$C30,盘货信息!$A:$A&amp;盘货信息!$B:$B&amp;盘货信息!$C:$C,盘货信息!$Z:$Z))</f>
        <v/>
      </c>
      <c r="S30" s="27" t="str" cm="1">
        <f t="array" ref="S30">IF(_xlfn.XLOOKUP($A30&amp;$B30&amp;$C30,盘货信息!$A:$A&amp;盘货信息!$B:$B&amp;盘货信息!$C:$C,盘货信息!$Q:$Q)="","","【种草】站外带指定话题种草后返"&amp;_xlfn.XLOOKUP($A30&amp;$B30&amp;$C30,盘货信息!$A:$A&amp;盘货信息!$B:$B&amp;盘货信息!$C:$C,盘货信息!$Q:$Q)&amp;"元红包（每个淘宝账号仅限对应一个站外种草账号，同一个种草账号不可对应多个淘宝账号）")</f>
        <v/>
      </c>
      <c r="T30" s="27" t="str" cm="1">
        <f t="array" ref="T30">IF(_xlfn.XLOOKUP($A30&amp;$B30&amp;$C30,盘货信息!$A:$A&amp;盘货信息!$B:$B&amp;盘货信息!$C:$C,盘货信息!$R:$R)&lt;1,"","【以旧换新】"&amp;"享补贴"&amp;ROUND(_xlfn.XLOOKUP($A30&amp;$B30&amp;$C30,盘货信息!$A:$A&amp;盘货信息!$B:$B&amp;盘货信息!$C:$C,盘货信息!$R:$R),0)&amp;"元（可无旧机换新）")</f>
        <v/>
      </c>
      <c r="U30" s="27" t="str">
        <f>IF(AND($N30="",$O30="",$P30="",$Q30="",$R30="",$S30="",$T30=""),"",固定信息!$B$1)</f>
        <v/>
      </c>
      <c r="V30" s="27" t="str" cm="1">
        <f t="array" ref="V30">IF(_xlfn.XLOOKUP($A30&amp;$B30&amp;$C30,盘货信息!$A:$A&amp;盘货信息!$B:$B&amp;盘货信息!$C:$C,盘货信息!$Y:$Y)="","","【卡萨帝送赠】活动指定时间"&amp;_xlfn.TEXTBEFORE(_xlfn.TEXTAFTER(_xlfn.XLOOKUP($A30&amp;$B30&amp;$C30,盘货信息!$A:$A&amp;盘货信息!$B:$B&amp;盘货信息!$C:$C,盘货信息!$Y:$Y),"点"),"（"))</f>
        <v/>
      </c>
      <c r="W30" s="27" t="str" cm="1">
        <f t="array" ref="W30">IF(COUNTIF(_xlfn.XLOOKUP($A30&amp;$B30&amp;$C30,盘货信息!$A:$A&amp;盘货信息!$B:$B&amp;盘货信息!$C:$C,盘货信息!$O:$O),"*是*"),"【折扣】指定型号满2类享96折，满3类享94折","")</f>
        <v/>
      </c>
      <c r="X30" s="27" t="str" cm="1">
        <f t="array" ref="X30">IF(固定信息!$B$7="","",IF(_xlfn.XLOOKUP($A30&amp;$B30&amp;$C30,盘货信息!$A:$A&amp;盘货信息!$B:$B&amp;盘货信息!$C:$C,盘货信息!$N:$N)="是","【瓜分】"&amp;固定信息!$B$7,""))</f>
        <v/>
      </c>
      <c r="Y30" s="27" t="str">
        <f>IF(AND($V30="",$W30="",$X30=""),"",固定信息!$B$1)</f>
        <v/>
      </c>
      <c r="Z30" s="27" t="str" cm="1">
        <f t="array" ref="Z30">IF($C30="","",_xlfn.XLOOKUP($A30&amp;$B30&amp;$C30,服务!$A:$A&amp;服务!$B:$B&amp;服务!$C:$C,服务!$D:$D))</f>
        <v/>
      </c>
    </row>
    <row r="31" customHeight="1" spans="1:26">
      <c r="A31" s="26" t="str">
        <f>IF(盘货信息!A31="","",盘货信息!A31)</f>
        <v/>
      </c>
      <c r="B31" s="26" t="str">
        <f>IF(盘货信息!B31="","",盘货信息!B31)</f>
        <v/>
      </c>
      <c r="C31" s="27" t="str">
        <f>IF(盘货信息!C31="","",盘货信息!C31)</f>
        <v/>
      </c>
      <c r="D31" s="27" t="str">
        <f ca="1" t="shared" si="0"/>
        <v/>
      </c>
      <c r="E31" s="27" t="str">
        <f>IF(C31="","",固定信息!$B$2)</f>
        <v/>
      </c>
      <c r="F31" s="27" t="str">
        <f>IF(C31="","","【"&amp;C31&amp;"】"&amp;固定信息!$B$4)</f>
        <v/>
      </c>
      <c r="G31" s="27" t="str">
        <f>IF(C31="","","【"&amp;"活动时间："&amp;固定信息!$B$3&amp;"】")</f>
        <v/>
      </c>
      <c r="H31" s="27" t="str">
        <f>IF($C31="","",固定信息!$B$1)</f>
        <v/>
      </c>
      <c r="I31" s="27" t="str">
        <f>IF(OR(C31="",固定信息!$B$5=""),"","【1元预约锁好礼】"&amp;固定信息!$B$5)</f>
        <v/>
      </c>
      <c r="J31" s="27" t="str" cm="1">
        <f t="array" ref="J31">_xlfn.XLOOKUP($A31&amp;$B31&amp;$C31,价格信息!$A:$A&amp;价格信息!$B:$B&amp;价格信息!$C:$C,价格信息!$D:$D)</f>
        <v/>
      </c>
      <c r="K31" s="27" t="str">
        <f>IF($C31="","",固定信息!$B$1)</f>
        <v/>
      </c>
      <c r="L31" s="27" t="str" cm="1">
        <f t="array" ref="L31">IF(_xlfn.XLOOKUP($A31&amp;$B31&amp;$C31,盘货信息!$A:$A&amp;盘货信息!$B:$B&amp;盘货信息!$C:$C,盘货信息!$T:$T)="","","【优惠券】领"&amp;_xlfn.XLOOKUP($A31&amp;$B31&amp;$C31,盘货信息!$A:$A&amp;盘货信息!$B:$B&amp;盘货信息!$C:$C,盘货信息!$T:$T)&amp;"元优惠卷下单更优惠，领券链接："&amp;_xlfn.XLOOKUP($A31&amp;$B31&amp;$C31,盘货信息!$A:$A&amp;盘货信息!$B:$B&amp;盘货信息!$C:$C,盘货信息!$U:$U))</f>
        <v/>
      </c>
      <c r="M31" s="27" t="str" cm="1">
        <f t="array" ref="M31">IF(_xlfn.XLOOKUP($A31&amp;$B31&amp;$C31,盘货信息!$A:$A&amp;盘货信息!$B:$B&amp;盘货信息!$C:$C,盘货信息!$P:$P)="","","【限时】"&amp;_xlfn.XLOOKUP($A31&amp;$B31&amp;$C31,盘货信息!$A:$A&amp;盘货信息!$B:$B&amp;盘货信息!$C:$C,盘货信息!$P:$P))</f>
        <v/>
      </c>
      <c r="N31" s="27" t="str" cm="1">
        <f t="array" ref="N31">IF(_xlfn.XLOOKUP($A31&amp;$B31&amp;$C31,盘货信息!$A:$A&amp;盘货信息!$B:$B&amp;盘货信息!$C:$C,盘货信息!$V:$V)="","","【"&amp;盘货信息!$V$1&amp;"】"&amp;_xlfn.XLOOKUP($A31&amp;$B31&amp;$C31,盘货信息!$A:$A&amp;盘货信息!$B:$B&amp;盘货信息!$C:$C,盘货信息!$V:$V))</f>
        <v/>
      </c>
      <c r="O31" s="27" t="str" cm="1">
        <f t="array" ref="O31">IF(_xlfn.XLOOKUP($A31&amp;$B31&amp;$C31,盘货信息!$A:$A&amp;盘货信息!$B:$B&amp;盘货信息!$C:$C,盘货信息!$W:$W)="","","【"&amp;盘货信息!$W$1&amp;"】"&amp;_xlfn.XLOOKUP($A31&amp;$B31&amp;$C31,盘货信息!$A:$A&amp;盘货信息!$B:$B&amp;盘货信息!$C:$C,盘货信息!$W:$W))</f>
        <v/>
      </c>
      <c r="P31" s="27" t="str" cm="1">
        <f t="array" ref="P31">IF(_xlfn.XLOOKUP($A31&amp;$B31&amp;$C31,盘货信息!$A:$A&amp;盘货信息!$B:$B&amp;盘货信息!$C:$C,盘货信息!$S:$S)&lt;1,"","【"&amp;盘货信息!$S$1&amp;"】"&amp;"后返"&amp;_xlfn.XLOOKUP($A31&amp;$B31&amp;$C31,盘货信息!$A:$A&amp;盘货信息!$B:$B&amp;盘货信息!$C:$C,盘货信息!$S:$S)&amp;"元")</f>
        <v/>
      </c>
      <c r="Q31" s="27" t="str" cm="1">
        <f t="array" ref="Q31">IF(_xlfn.XLOOKUP($A31&amp;$B31&amp;$C31,盘货信息!$A:$A&amp;盘货信息!$B:$B&amp;盘货信息!$C:$C,盘货信息!$X:$X)="","","【"&amp;盘货信息!$X$1&amp;"】"&amp;_xlfn.XLOOKUP($A31&amp;$B31&amp;$C31,盘货信息!$A:$A&amp;盘货信息!$B:$B&amp;盘货信息!$C:$C,盘货信息!$X:$X))</f>
        <v/>
      </c>
      <c r="R31" s="27" t="str" cm="1">
        <f t="array" ref="R31">IF(_xlfn.XLOOKUP($A31&amp;$B31&amp;$C31,盘货信息!$A:$A&amp;盘货信息!$B:$B&amp;盘货信息!$C:$C,盘货信息!$Z:$Z)="","","【"&amp;盘货信息!$Z$1&amp;"】"&amp;_xlfn.XLOOKUP($A31&amp;$B31&amp;$C31,盘货信息!$A:$A&amp;盘货信息!$B:$B&amp;盘货信息!$C:$C,盘货信息!$Z:$Z))</f>
        <v/>
      </c>
      <c r="S31" s="27" t="str" cm="1">
        <f t="array" ref="S31">IF(_xlfn.XLOOKUP($A31&amp;$B31&amp;$C31,盘货信息!$A:$A&amp;盘货信息!$B:$B&amp;盘货信息!$C:$C,盘货信息!$Q:$Q)="","","【种草】站外带指定话题种草后返"&amp;_xlfn.XLOOKUP($A31&amp;$B31&amp;$C31,盘货信息!$A:$A&amp;盘货信息!$B:$B&amp;盘货信息!$C:$C,盘货信息!$Q:$Q)&amp;"元红包（每个淘宝账号仅限对应一个站外种草账号，同一个种草账号不可对应多个淘宝账号）")</f>
        <v/>
      </c>
      <c r="T31" s="27" t="str" cm="1">
        <f t="array" ref="T31">IF(_xlfn.XLOOKUP($A31&amp;$B31&amp;$C31,盘货信息!$A:$A&amp;盘货信息!$B:$B&amp;盘货信息!$C:$C,盘货信息!$R:$R)&lt;1,"","【以旧换新】"&amp;"享补贴"&amp;ROUND(_xlfn.XLOOKUP($A31&amp;$B31&amp;$C31,盘货信息!$A:$A&amp;盘货信息!$B:$B&amp;盘货信息!$C:$C,盘货信息!$R:$R),0)&amp;"元（可无旧机换新）")</f>
        <v/>
      </c>
      <c r="U31" s="27" t="str">
        <f>IF(AND($N31="",$O31="",$P31="",$Q31="",$R31="",$S31="",$T31=""),"",固定信息!$B$1)</f>
        <v/>
      </c>
      <c r="V31" s="27" t="str" cm="1">
        <f t="array" ref="V31">IF(_xlfn.XLOOKUP($A31&amp;$B31&amp;$C31,盘货信息!$A:$A&amp;盘货信息!$B:$B&amp;盘货信息!$C:$C,盘货信息!$Y:$Y)="","","【卡萨帝送赠】活动指定时间"&amp;_xlfn.TEXTBEFORE(_xlfn.TEXTAFTER(_xlfn.XLOOKUP($A31&amp;$B31&amp;$C31,盘货信息!$A:$A&amp;盘货信息!$B:$B&amp;盘货信息!$C:$C,盘货信息!$Y:$Y),"点"),"（"))</f>
        <v/>
      </c>
      <c r="W31" s="27" t="str" cm="1">
        <f t="array" ref="W31">IF(COUNTIF(_xlfn.XLOOKUP($A31&amp;$B31&amp;$C31,盘货信息!$A:$A&amp;盘货信息!$B:$B&amp;盘货信息!$C:$C,盘货信息!$O:$O),"*是*"),"【折扣】指定型号满2类享96折，满3类享94折","")</f>
        <v/>
      </c>
      <c r="X31" s="27" t="str" cm="1">
        <f t="array" ref="X31">IF(固定信息!$B$7="","",IF(_xlfn.XLOOKUP($A31&amp;$B31&amp;$C31,盘货信息!$A:$A&amp;盘货信息!$B:$B&amp;盘货信息!$C:$C,盘货信息!$N:$N)="是","【瓜分】"&amp;固定信息!$B$7,""))</f>
        <v/>
      </c>
      <c r="Y31" s="27" t="str">
        <f>IF(AND($V31="",$W31="",$X31=""),"",固定信息!$B$1)</f>
        <v/>
      </c>
      <c r="Z31" s="27" t="str" cm="1">
        <f t="array" ref="Z31">IF($C31="","",_xlfn.XLOOKUP($A31&amp;$B31&amp;$C31,服务!$A:$A&amp;服务!$B:$B&amp;服务!$C:$C,服务!$D:$D))</f>
        <v/>
      </c>
    </row>
    <row r="32" customHeight="1" spans="1:26">
      <c r="A32" s="26" t="str">
        <f>IF(盘货信息!A32="","",盘货信息!A32)</f>
        <v/>
      </c>
      <c r="B32" s="26" t="str">
        <f>IF(盘货信息!B32="","",盘货信息!B32)</f>
        <v/>
      </c>
      <c r="C32" s="27" t="str">
        <f>IF(盘货信息!C32="","",盘货信息!C32)</f>
        <v/>
      </c>
      <c r="D32" s="27" t="str">
        <f ca="1" t="shared" si="0"/>
        <v/>
      </c>
      <c r="E32" s="27" t="str">
        <f>IF(C32="","",固定信息!$B$2)</f>
        <v/>
      </c>
      <c r="F32" s="27" t="str">
        <f>IF(C32="","","【"&amp;C32&amp;"】"&amp;固定信息!$B$4)</f>
        <v/>
      </c>
      <c r="G32" s="27" t="str">
        <f>IF(C32="","","【"&amp;"活动时间："&amp;固定信息!$B$3&amp;"】")</f>
        <v/>
      </c>
      <c r="H32" s="27" t="str">
        <f>IF($C32="","",固定信息!$B$1)</f>
        <v/>
      </c>
      <c r="I32" s="27" t="str">
        <f>IF(OR(C32="",固定信息!$B$5=""),"","【1元预约锁好礼】"&amp;固定信息!$B$5)</f>
        <v/>
      </c>
      <c r="J32" s="27" t="str" cm="1">
        <f t="array" ref="J32">_xlfn.XLOOKUP($A32&amp;$B32&amp;$C32,价格信息!$A:$A&amp;价格信息!$B:$B&amp;价格信息!$C:$C,价格信息!$D:$D)</f>
        <v/>
      </c>
      <c r="K32" s="27" t="str">
        <f>IF($C32="","",固定信息!$B$1)</f>
        <v/>
      </c>
      <c r="L32" s="27" t="str" cm="1">
        <f t="array" ref="L32">IF(_xlfn.XLOOKUP($A32&amp;$B32&amp;$C32,盘货信息!$A:$A&amp;盘货信息!$B:$B&amp;盘货信息!$C:$C,盘货信息!$T:$T)="","","【优惠券】领"&amp;_xlfn.XLOOKUP($A32&amp;$B32&amp;$C32,盘货信息!$A:$A&amp;盘货信息!$B:$B&amp;盘货信息!$C:$C,盘货信息!$T:$T)&amp;"元优惠卷下单更优惠，领券链接："&amp;_xlfn.XLOOKUP($A32&amp;$B32&amp;$C32,盘货信息!$A:$A&amp;盘货信息!$B:$B&amp;盘货信息!$C:$C,盘货信息!$U:$U))</f>
        <v/>
      </c>
      <c r="M32" s="27" t="str" cm="1">
        <f t="array" ref="M32">IF(_xlfn.XLOOKUP($A32&amp;$B32&amp;$C32,盘货信息!$A:$A&amp;盘货信息!$B:$B&amp;盘货信息!$C:$C,盘货信息!$P:$P)="","","【限时】"&amp;_xlfn.XLOOKUP($A32&amp;$B32&amp;$C32,盘货信息!$A:$A&amp;盘货信息!$B:$B&amp;盘货信息!$C:$C,盘货信息!$P:$P))</f>
        <v/>
      </c>
      <c r="N32" s="27" t="str" cm="1">
        <f t="array" ref="N32">IF(_xlfn.XLOOKUP($A32&amp;$B32&amp;$C32,盘货信息!$A:$A&amp;盘货信息!$B:$B&amp;盘货信息!$C:$C,盘货信息!$V:$V)="","","【"&amp;盘货信息!$V$1&amp;"】"&amp;_xlfn.XLOOKUP($A32&amp;$B32&amp;$C32,盘货信息!$A:$A&amp;盘货信息!$B:$B&amp;盘货信息!$C:$C,盘货信息!$V:$V))</f>
        <v/>
      </c>
      <c r="O32" s="27" t="str" cm="1">
        <f t="array" ref="O32">IF(_xlfn.XLOOKUP($A32&amp;$B32&amp;$C32,盘货信息!$A:$A&amp;盘货信息!$B:$B&amp;盘货信息!$C:$C,盘货信息!$W:$W)="","","【"&amp;盘货信息!$W$1&amp;"】"&amp;_xlfn.XLOOKUP($A32&amp;$B32&amp;$C32,盘货信息!$A:$A&amp;盘货信息!$B:$B&amp;盘货信息!$C:$C,盘货信息!$W:$W))</f>
        <v/>
      </c>
      <c r="P32" s="27" t="str" cm="1">
        <f t="array" ref="P32">IF(_xlfn.XLOOKUP($A32&amp;$B32&amp;$C32,盘货信息!$A:$A&amp;盘货信息!$B:$B&amp;盘货信息!$C:$C,盘货信息!$S:$S)&lt;1,"","【"&amp;盘货信息!$S$1&amp;"】"&amp;"后返"&amp;_xlfn.XLOOKUP($A32&amp;$B32&amp;$C32,盘货信息!$A:$A&amp;盘货信息!$B:$B&amp;盘货信息!$C:$C,盘货信息!$S:$S)&amp;"元")</f>
        <v/>
      </c>
      <c r="Q32" s="27" t="str" cm="1">
        <f t="array" ref="Q32">IF(_xlfn.XLOOKUP($A32&amp;$B32&amp;$C32,盘货信息!$A:$A&amp;盘货信息!$B:$B&amp;盘货信息!$C:$C,盘货信息!$X:$X)="","","【"&amp;盘货信息!$X$1&amp;"】"&amp;_xlfn.XLOOKUP($A32&amp;$B32&amp;$C32,盘货信息!$A:$A&amp;盘货信息!$B:$B&amp;盘货信息!$C:$C,盘货信息!$X:$X))</f>
        <v/>
      </c>
      <c r="R32" s="27" t="str" cm="1">
        <f t="array" ref="R32">IF(_xlfn.XLOOKUP($A32&amp;$B32&amp;$C32,盘货信息!$A:$A&amp;盘货信息!$B:$B&amp;盘货信息!$C:$C,盘货信息!$Z:$Z)="","","【"&amp;盘货信息!$Z$1&amp;"】"&amp;_xlfn.XLOOKUP($A32&amp;$B32&amp;$C32,盘货信息!$A:$A&amp;盘货信息!$B:$B&amp;盘货信息!$C:$C,盘货信息!$Z:$Z))</f>
        <v/>
      </c>
      <c r="S32" s="27" t="str" cm="1">
        <f t="array" ref="S32">IF(_xlfn.XLOOKUP($A32&amp;$B32&amp;$C32,盘货信息!$A:$A&amp;盘货信息!$B:$B&amp;盘货信息!$C:$C,盘货信息!$Q:$Q)="","","【种草】站外带指定话题种草后返"&amp;_xlfn.XLOOKUP($A32&amp;$B32&amp;$C32,盘货信息!$A:$A&amp;盘货信息!$B:$B&amp;盘货信息!$C:$C,盘货信息!$Q:$Q)&amp;"元红包（每个淘宝账号仅限对应一个站外种草账号，同一个种草账号不可对应多个淘宝账号）")</f>
        <v/>
      </c>
      <c r="T32" s="27" t="str" cm="1">
        <f t="array" ref="T32">IF(_xlfn.XLOOKUP($A32&amp;$B32&amp;$C32,盘货信息!$A:$A&amp;盘货信息!$B:$B&amp;盘货信息!$C:$C,盘货信息!$R:$R)&lt;1,"","【以旧换新】"&amp;"享补贴"&amp;ROUND(_xlfn.XLOOKUP($A32&amp;$B32&amp;$C32,盘货信息!$A:$A&amp;盘货信息!$B:$B&amp;盘货信息!$C:$C,盘货信息!$R:$R),0)&amp;"元（可无旧机换新）")</f>
        <v/>
      </c>
      <c r="U32" s="27" t="str">
        <f>IF(AND($N32="",$O32="",$P32="",$Q32="",$R32="",$S32="",$T32=""),"",固定信息!$B$1)</f>
        <v/>
      </c>
      <c r="V32" s="27" t="str" cm="1">
        <f t="array" ref="V32">IF(_xlfn.XLOOKUP($A32&amp;$B32&amp;$C32,盘货信息!$A:$A&amp;盘货信息!$B:$B&amp;盘货信息!$C:$C,盘货信息!$Y:$Y)="","","【卡萨帝送赠】活动指定时间"&amp;_xlfn.TEXTBEFORE(_xlfn.TEXTAFTER(_xlfn.XLOOKUP($A32&amp;$B32&amp;$C32,盘货信息!$A:$A&amp;盘货信息!$B:$B&amp;盘货信息!$C:$C,盘货信息!$Y:$Y),"点"),"（"))</f>
        <v/>
      </c>
      <c r="W32" s="27" t="str" cm="1">
        <f t="array" ref="W32">IF(COUNTIF(_xlfn.XLOOKUP($A32&amp;$B32&amp;$C32,盘货信息!$A:$A&amp;盘货信息!$B:$B&amp;盘货信息!$C:$C,盘货信息!$O:$O),"*是*"),"【折扣】指定型号满2类享96折，满3类享94折","")</f>
        <v/>
      </c>
      <c r="X32" s="27" t="str" cm="1">
        <f t="array" ref="X32">IF(固定信息!$B$7="","",IF(_xlfn.XLOOKUP($A32&amp;$B32&amp;$C32,盘货信息!$A:$A&amp;盘货信息!$B:$B&amp;盘货信息!$C:$C,盘货信息!$N:$N)="是","【瓜分】"&amp;固定信息!$B$7,""))</f>
        <v/>
      </c>
      <c r="Y32" s="27" t="str">
        <f>IF(AND($V32="",$W32="",$X32=""),"",固定信息!$B$1)</f>
        <v/>
      </c>
      <c r="Z32" s="27" t="str" cm="1">
        <f t="array" ref="Z32">IF($C32="","",_xlfn.XLOOKUP($A32&amp;$B32&amp;$C32,服务!$A:$A&amp;服务!$B:$B&amp;服务!$C:$C,服务!$D:$D))</f>
        <v/>
      </c>
    </row>
    <row r="33" customHeight="1" spans="1:26">
      <c r="A33" s="26" t="str">
        <f>IF(盘货信息!A33="","",盘货信息!A33)</f>
        <v/>
      </c>
      <c r="B33" s="26" t="str">
        <f>IF(盘货信息!B33="","",盘货信息!B33)</f>
        <v/>
      </c>
      <c r="C33" s="27" t="str">
        <f>IF(盘货信息!C33="","",盘货信息!C33)</f>
        <v/>
      </c>
      <c r="D33" s="27" t="str">
        <f ca="1" t="shared" si="0"/>
        <v/>
      </c>
      <c r="E33" s="27" t="str">
        <f>IF(C33="","",固定信息!$B$2)</f>
        <v/>
      </c>
      <c r="F33" s="27" t="str">
        <f>IF(C33="","","【"&amp;C33&amp;"】"&amp;固定信息!$B$4)</f>
        <v/>
      </c>
      <c r="G33" s="27" t="str">
        <f>IF(C33="","","【"&amp;"活动时间："&amp;固定信息!$B$3&amp;"】")</f>
        <v/>
      </c>
      <c r="H33" s="27" t="str">
        <f>IF($C33="","",固定信息!$B$1)</f>
        <v/>
      </c>
      <c r="I33" s="27" t="str">
        <f>IF(OR(C33="",固定信息!$B$5=""),"","【1元预约锁好礼】"&amp;固定信息!$B$5)</f>
        <v/>
      </c>
      <c r="J33" s="27" t="str" cm="1">
        <f t="array" ref="J33">_xlfn.XLOOKUP($A33&amp;$B33&amp;$C33,价格信息!$A:$A&amp;价格信息!$B:$B&amp;价格信息!$C:$C,价格信息!$D:$D)</f>
        <v/>
      </c>
      <c r="K33" s="27" t="str">
        <f>IF($C33="","",固定信息!$B$1)</f>
        <v/>
      </c>
      <c r="L33" s="27" t="str" cm="1">
        <f t="array" ref="L33">IF(_xlfn.XLOOKUP($A33&amp;$B33&amp;$C33,盘货信息!$A:$A&amp;盘货信息!$B:$B&amp;盘货信息!$C:$C,盘货信息!$T:$T)="","","【优惠券】领"&amp;_xlfn.XLOOKUP($A33&amp;$B33&amp;$C33,盘货信息!$A:$A&amp;盘货信息!$B:$B&amp;盘货信息!$C:$C,盘货信息!$T:$T)&amp;"元优惠卷下单更优惠，领券链接："&amp;_xlfn.XLOOKUP($A33&amp;$B33&amp;$C33,盘货信息!$A:$A&amp;盘货信息!$B:$B&amp;盘货信息!$C:$C,盘货信息!$U:$U))</f>
        <v/>
      </c>
      <c r="M33" s="27" t="str" cm="1">
        <f t="array" ref="M33">IF(_xlfn.XLOOKUP($A33&amp;$B33&amp;$C33,盘货信息!$A:$A&amp;盘货信息!$B:$B&amp;盘货信息!$C:$C,盘货信息!$P:$P)="","","【限时】"&amp;_xlfn.XLOOKUP($A33&amp;$B33&amp;$C33,盘货信息!$A:$A&amp;盘货信息!$B:$B&amp;盘货信息!$C:$C,盘货信息!$P:$P))</f>
        <v/>
      </c>
      <c r="N33" s="27" t="str" cm="1">
        <f t="array" ref="N33">IF(_xlfn.XLOOKUP($A33&amp;$B33&amp;$C33,盘货信息!$A:$A&amp;盘货信息!$B:$B&amp;盘货信息!$C:$C,盘货信息!$V:$V)="","","【"&amp;盘货信息!$V$1&amp;"】"&amp;_xlfn.XLOOKUP($A33&amp;$B33&amp;$C33,盘货信息!$A:$A&amp;盘货信息!$B:$B&amp;盘货信息!$C:$C,盘货信息!$V:$V))</f>
        <v/>
      </c>
      <c r="O33" s="27" t="str" cm="1">
        <f t="array" ref="O33">IF(_xlfn.XLOOKUP($A33&amp;$B33&amp;$C33,盘货信息!$A:$A&amp;盘货信息!$B:$B&amp;盘货信息!$C:$C,盘货信息!$W:$W)="","","【"&amp;盘货信息!$W$1&amp;"】"&amp;_xlfn.XLOOKUP($A33&amp;$B33&amp;$C33,盘货信息!$A:$A&amp;盘货信息!$B:$B&amp;盘货信息!$C:$C,盘货信息!$W:$W))</f>
        <v/>
      </c>
      <c r="P33" s="27" t="str" cm="1">
        <f t="array" ref="P33">IF(_xlfn.XLOOKUP($A33&amp;$B33&amp;$C33,盘货信息!$A:$A&amp;盘货信息!$B:$B&amp;盘货信息!$C:$C,盘货信息!$S:$S)&lt;1,"","【"&amp;盘货信息!$S$1&amp;"】"&amp;"后返"&amp;_xlfn.XLOOKUP($A33&amp;$B33&amp;$C33,盘货信息!$A:$A&amp;盘货信息!$B:$B&amp;盘货信息!$C:$C,盘货信息!$S:$S)&amp;"元")</f>
        <v/>
      </c>
      <c r="Q33" s="27" t="str" cm="1">
        <f t="array" ref="Q33">IF(_xlfn.XLOOKUP($A33&amp;$B33&amp;$C33,盘货信息!$A:$A&amp;盘货信息!$B:$B&amp;盘货信息!$C:$C,盘货信息!$X:$X)="","","【"&amp;盘货信息!$X$1&amp;"】"&amp;_xlfn.XLOOKUP($A33&amp;$B33&amp;$C33,盘货信息!$A:$A&amp;盘货信息!$B:$B&amp;盘货信息!$C:$C,盘货信息!$X:$X))</f>
        <v/>
      </c>
      <c r="R33" s="27" t="str" cm="1">
        <f t="array" ref="R33">IF(_xlfn.XLOOKUP($A33&amp;$B33&amp;$C33,盘货信息!$A:$A&amp;盘货信息!$B:$B&amp;盘货信息!$C:$C,盘货信息!$Z:$Z)="","","【"&amp;盘货信息!$Z$1&amp;"】"&amp;_xlfn.XLOOKUP($A33&amp;$B33&amp;$C33,盘货信息!$A:$A&amp;盘货信息!$B:$B&amp;盘货信息!$C:$C,盘货信息!$Z:$Z))</f>
        <v/>
      </c>
      <c r="S33" s="27" t="str" cm="1">
        <f t="array" ref="S33">IF(_xlfn.XLOOKUP($A33&amp;$B33&amp;$C33,盘货信息!$A:$A&amp;盘货信息!$B:$B&amp;盘货信息!$C:$C,盘货信息!$Q:$Q)="","","【种草】站外带指定话题种草后返"&amp;_xlfn.XLOOKUP($A33&amp;$B33&amp;$C33,盘货信息!$A:$A&amp;盘货信息!$B:$B&amp;盘货信息!$C:$C,盘货信息!$Q:$Q)&amp;"元红包（每个淘宝账号仅限对应一个站外种草账号，同一个种草账号不可对应多个淘宝账号）")</f>
        <v/>
      </c>
      <c r="T33" s="27" t="str" cm="1">
        <f t="array" ref="T33">IF(_xlfn.XLOOKUP($A33&amp;$B33&amp;$C33,盘货信息!$A:$A&amp;盘货信息!$B:$B&amp;盘货信息!$C:$C,盘货信息!$R:$R)&lt;1,"","【以旧换新】"&amp;"享补贴"&amp;ROUND(_xlfn.XLOOKUP($A33&amp;$B33&amp;$C33,盘货信息!$A:$A&amp;盘货信息!$B:$B&amp;盘货信息!$C:$C,盘货信息!$R:$R),0)&amp;"元（可无旧机换新）")</f>
        <v/>
      </c>
      <c r="U33" s="27" t="str">
        <f>IF(AND($N33="",$O33="",$P33="",$Q33="",$R33="",$S33="",$T33=""),"",固定信息!$B$1)</f>
        <v/>
      </c>
      <c r="V33" s="27" t="str" cm="1">
        <f t="array" ref="V33">IF(_xlfn.XLOOKUP($A33&amp;$B33&amp;$C33,盘货信息!$A:$A&amp;盘货信息!$B:$B&amp;盘货信息!$C:$C,盘货信息!$Y:$Y)="","","【卡萨帝送赠】活动指定时间"&amp;_xlfn.TEXTBEFORE(_xlfn.TEXTAFTER(_xlfn.XLOOKUP($A33&amp;$B33&amp;$C33,盘货信息!$A:$A&amp;盘货信息!$B:$B&amp;盘货信息!$C:$C,盘货信息!$Y:$Y),"点"),"（"))</f>
        <v/>
      </c>
      <c r="W33" s="27" t="str" cm="1">
        <f t="array" ref="W33">IF(COUNTIF(_xlfn.XLOOKUP($A33&amp;$B33&amp;$C33,盘货信息!$A:$A&amp;盘货信息!$B:$B&amp;盘货信息!$C:$C,盘货信息!$O:$O),"*是*"),"【折扣】指定型号满2类享96折，满3类享94折","")</f>
        <v/>
      </c>
      <c r="X33" s="27" t="str" cm="1">
        <f t="array" ref="X33">IF(固定信息!$B$7="","",IF(_xlfn.XLOOKUP($A33&amp;$B33&amp;$C33,盘货信息!$A:$A&amp;盘货信息!$B:$B&amp;盘货信息!$C:$C,盘货信息!$N:$N)="是","【瓜分】"&amp;固定信息!$B$7,""))</f>
        <v/>
      </c>
      <c r="Y33" s="27" t="str">
        <f>IF(AND($V33="",$W33="",$X33=""),"",固定信息!$B$1)</f>
        <v/>
      </c>
      <c r="Z33" s="27" t="str" cm="1">
        <f t="array" ref="Z33">IF($C33="","",_xlfn.XLOOKUP($A33&amp;$B33&amp;$C33,服务!$A:$A&amp;服务!$B:$B&amp;服务!$C:$C,服务!$D:$D))</f>
        <v/>
      </c>
    </row>
    <row r="34" customHeight="1" spans="1:26">
      <c r="A34" s="26" t="str">
        <f>IF(盘货信息!A34="","",盘货信息!A34)</f>
        <v/>
      </c>
      <c r="B34" s="26" t="str">
        <f>IF(盘货信息!B34="","",盘货信息!B34)</f>
        <v/>
      </c>
      <c r="C34" s="27" t="str">
        <f>IF(盘货信息!C34="","",盘货信息!C34)</f>
        <v/>
      </c>
      <c r="D34" s="27" t="str">
        <f ca="1" t="shared" si="0"/>
        <v/>
      </c>
      <c r="E34" s="27" t="str">
        <f>IF(C34="","",固定信息!$B$2)</f>
        <v/>
      </c>
      <c r="F34" s="27" t="str">
        <f>IF(C34="","","【"&amp;C34&amp;"】"&amp;固定信息!$B$4)</f>
        <v/>
      </c>
      <c r="G34" s="27" t="str">
        <f>IF(C34="","","【"&amp;"活动时间："&amp;固定信息!$B$3&amp;"】")</f>
        <v/>
      </c>
      <c r="H34" s="27" t="str">
        <f>IF($C34="","",固定信息!$B$1)</f>
        <v/>
      </c>
      <c r="I34" s="27" t="str">
        <f>IF(OR(C34="",固定信息!$B$5=""),"","【1元预约锁好礼】"&amp;固定信息!$B$5)</f>
        <v/>
      </c>
      <c r="J34" s="27" t="str" cm="1">
        <f t="array" ref="J34">_xlfn.XLOOKUP($A34&amp;$B34&amp;$C34,价格信息!$A:$A&amp;价格信息!$B:$B&amp;价格信息!$C:$C,价格信息!$D:$D)</f>
        <v/>
      </c>
      <c r="K34" s="27" t="str">
        <f>IF($C34="","",固定信息!$B$1)</f>
        <v/>
      </c>
      <c r="L34" s="27" t="str" cm="1">
        <f t="array" ref="L34">IF(_xlfn.XLOOKUP($A34&amp;$B34&amp;$C34,盘货信息!$A:$A&amp;盘货信息!$B:$B&amp;盘货信息!$C:$C,盘货信息!$T:$T)="","","【优惠券】领"&amp;_xlfn.XLOOKUP($A34&amp;$B34&amp;$C34,盘货信息!$A:$A&amp;盘货信息!$B:$B&amp;盘货信息!$C:$C,盘货信息!$T:$T)&amp;"元优惠卷下单更优惠，领券链接："&amp;_xlfn.XLOOKUP($A34&amp;$B34&amp;$C34,盘货信息!$A:$A&amp;盘货信息!$B:$B&amp;盘货信息!$C:$C,盘货信息!$U:$U))</f>
        <v/>
      </c>
      <c r="M34" s="27" t="str" cm="1">
        <f t="array" ref="M34">IF(_xlfn.XLOOKUP($A34&amp;$B34&amp;$C34,盘货信息!$A:$A&amp;盘货信息!$B:$B&amp;盘货信息!$C:$C,盘货信息!$P:$P)="","","【限时】"&amp;_xlfn.XLOOKUP($A34&amp;$B34&amp;$C34,盘货信息!$A:$A&amp;盘货信息!$B:$B&amp;盘货信息!$C:$C,盘货信息!$P:$P))</f>
        <v/>
      </c>
      <c r="N34" s="27" t="str" cm="1">
        <f t="array" ref="N34">IF(_xlfn.XLOOKUP($A34&amp;$B34&amp;$C34,盘货信息!$A:$A&amp;盘货信息!$B:$B&amp;盘货信息!$C:$C,盘货信息!$V:$V)="","","【"&amp;盘货信息!$V$1&amp;"】"&amp;_xlfn.XLOOKUP($A34&amp;$B34&amp;$C34,盘货信息!$A:$A&amp;盘货信息!$B:$B&amp;盘货信息!$C:$C,盘货信息!$V:$V))</f>
        <v/>
      </c>
      <c r="O34" s="27" t="str" cm="1">
        <f t="array" ref="O34">IF(_xlfn.XLOOKUP($A34&amp;$B34&amp;$C34,盘货信息!$A:$A&amp;盘货信息!$B:$B&amp;盘货信息!$C:$C,盘货信息!$W:$W)="","","【"&amp;盘货信息!$W$1&amp;"】"&amp;_xlfn.XLOOKUP($A34&amp;$B34&amp;$C34,盘货信息!$A:$A&amp;盘货信息!$B:$B&amp;盘货信息!$C:$C,盘货信息!$W:$W))</f>
        <v/>
      </c>
      <c r="P34" s="27" t="str" cm="1">
        <f t="array" ref="P34">IF(_xlfn.XLOOKUP($A34&amp;$B34&amp;$C34,盘货信息!$A:$A&amp;盘货信息!$B:$B&amp;盘货信息!$C:$C,盘货信息!$S:$S)&lt;1,"","【"&amp;盘货信息!$S$1&amp;"】"&amp;"后返"&amp;_xlfn.XLOOKUP($A34&amp;$B34&amp;$C34,盘货信息!$A:$A&amp;盘货信息!$B:$B&amp;盘货信息!$C:$C,盘货信息!$S:$S)&amp;"元")</f>
        <v/>
      </c>
      <c r="Q34" s="27" t="str" cm="1">
        <f t="array" ref="Q34">IF(_xlfn.XLOOKUP($A34&amp;$B34&amp;$C34,盘货信息!$A:$A&amp;盘货信息!$B:$B&amp;盘货信息!$C:$C,盘货信息!$X:$X)="","","【"&amp;盘货信息!$X$1&amp;"】"&amp;_xlfn.XLOOKUP($A34&amp;$B34&amp;$C34,盘货信息!$A:$A&amp;盘货信息!$B:$B&amp;盘货信息!$C:$C,盘货信息!$X:$X))</f>
        <v/>
      </c>
      <c r="R34" s="27" t="str" cm="1">
        <f t="array" ref="R34">IF(_xlfn.XLOOKUP($A34&amp;$B34&amp;$C34,盘货信息!$A:$A&amp;盘货信息!$B:$B&amp;盘货信息!$C:$C,盘货信息!$Z:$Z)="","","【"&amp;盘货信息!$Z$1&amp;"】"&amp;_xlfn.XLOOKUP($A34&amp;$B34&amp;$C34,盘货信息!$A:$A&amp;盘货信息!$B:$B&amp;盘货信息!$C:$C,盘货信息!$Z:$Z))</f>
        <v/>
      </c>
      <c r="S34" s="27" t="str" cm="1">
        <f t="array" ref="S34">IF(_xlfn.XLOOKUP($A34&amp;$B34&amp;$C34,盘货信息!$A:$A&amp;盘货信息!$B:$B&amp;盘货信息!$C:$C,盘货信息!$Q:$Q)="","","【种草】站外带指定话题种草后返"&amp;_xlfn.XLOOKUP($A34&amp;$B34&amp;$C34,盘货信息!$A:$A&amp;盘货信息!$B:$B&amp;盘货信息!$C:$C,盘货信息!$Q:$Q)&amp;"元红包（每个淘宝账号仅限对应一个站外种草账号，同一个种草账号不可对应多个淘宝账号）")</f>
        <v/>
      </c>
      <c r="T34" s="27" t="str" cm="1">
        <f t="array" ref="T34">IF(_xlfn.XLOOKUP($A34&amp;$B34&amp;$C34,盘货信息!$A:$A&amp;盘货信息!$B:$B&amp;盘货信息!$C:$C,盘货信息!$R:$R)&lt;1,"","【以旧换新】"&amp;"享补贴"&amp;ROUND(_xlfn.XLOOKUP($A34&amp;$B34&amp;$C34,盘货信息!$A:$A&amp;盘货信息!$B:$B&amp;盘货信息!$C:$C,盘货信息!$R:$R),0)&amp;"元（可无旧机换新）")</f>
        <v/>
      </c>
      <c r="U34" s="27" t="str">
        <f>IF(AND($N34="",$O34="",$P34="",$Q34="",$R34="",$S34="",$T34=""),"",固定信息!$B$1)</f>
        <v/>
      </c>
      <c r="V34" s="27" t="str" cm="1">
        <f t="array" ref="V34">IF(_xlfn.XLOOKUP($A34&amp;$B34&amp;$C34,盘货信息!$A:$A&amp;盘货信息!$B:$B&amp;盘货信息!$C:$C,盘货信息!$Y:$Y)="","","【卡萨帝送赠】活动指定时间"&amp;_xlfn.TEXTBEFORE(_xlfn.TEXTAFTER(_xlfn.XLOOKUP($A34&amp;$B34&amp;$C34,盘货信息!$A:$A&amp;盘货信息!$B:$B&amp;盘货信息!$C:$C,盘货信息!$Y:$Y),"点"),"（"))</f>
        <v/>
      </c>
      <c r="W34" s="27" t="str" cm="1">
        <f t="array" ref="W34">IF(COUNTIF(_xlfn.XLOOKUP($A34&amp;$B34&amp;$C34,盘货信息!$A:$A&amp;盘货信息!$B:$B&amp;盘货信息!$C:$C,盘货信息!$O:$O),"*是*"),"【折扣】指定型号满2类享96折，满3类享94折","")</f>
        <v/>
      </c>
      <c r="X34" s="27" t="str" cm="1">
        <f t="array" ref="X34">IF(固定信息!$B$7="","",IF(_xlfn.XLOOKUP($A34&amp;$B34&amp;$C34,盘货信息!$A:$A&amp;盘货信息!$B:$B&amp;盘货信息!$C:$C,盘货信息!$N:$N)="是","【瓜分】"&amp;固定信息!$B$7,""))</f>
        <v/>
      </c>
      <c r="Y34" s="27" t="str">
        <f>IF(AND($V34="",$W34="",$X34=""),"",固定信息!$B$1)</f>
        <v/>
      </c>
      <c r="Z34" s="27" t="str" cm="1">
        <f t="array" ref="Z34">IF($C34="","",_xlfn.XLOOKUP($A34&amp;$B34&amp;$C34,服务!$A:$A&amp;服务!$B:$B&amp;服务!$C:$C,服务!$D:$D))</f>
        <v/>
      </c>
    </row>
    <row r="35" customHeight="1" spans="1:26">
      <c r="A35" s="26" t="str">
        <f>IF(盘货信息!A35="","",盘货信息!A35)</f>
        <v/>
      </c>
      <c r="B35" s="26" t="str">
        <f>IF(盘货信息!B35="","",盘货信息!B35)</f>
        <v/>
      </c>
      <c r="C35" s="27" t="str">
        <f>IF(盘货信息!C35="","",盘货信息!C35)</f>
        <v/>
      </c>
      <c r="D35" s="27" t="str">
        <f ca="1" t="shared" si="0"/>
        <v/>
      </c>
      <c r="E35" s="27" t="str">
        <f>IF(C35="","",固定信息!$B$2)</f>
        <v/>
      </c>
      <c r="F35" s="27" t="str">
        <f>IF(C35="","","【"&amp;C35&amp;"】"&amp;固定信息!$B$4)</f>
        <v/>
      </c>
      <c r="G35" s="27" t="str">
        <f>IF(C35="","","【"&amp;"活动时间："&amp;固定信息!$B$3&amp;"】")</f>
        <v/>
      </c>
      <c r="H35" s="27" t="str">
        <f>IF($C35="","",固定信息!$B$1)</f>
        <v/>
      </c>
      <c r="I35" s="27" t="str">
        <f>IF(OR(C35="",固定信息!$B$5=""),"","【1元预约锁好礼】"&amp;固定信息!$B$5)</f>
        <v/>
      </c>
      <c r="J35" s="27" t="str" cm="1">
        <f t="array" ref="J35">_xlfn.XLOOKUP($A35&amp;$B35&amp;$C35,价格信息!$A:$A&amp;价格信息!$B:$B&amp;价格信息!$C:$C,价格信息!$D:$D)</f>
        <v/>
      </c>
      <c r="K35" s="27" t="str">
        <f>IF($C35="","",固定信息!$B$1)</f>
        <v/>
      </c>
      <c r="L35" s="27" t="str" cm="1">
        <f t="array" ref="L35">IF(_xlfn.XLOOKUP($A35&amp;$B35&amp;$C35,盘货信息!$A:$A&amp;盘货信息!$B:$B&amp;盘货信息!$C:$C,盘货信息!$T:$T)="","","【优惠券】领"&amp;_xlfn.XLOOKUP($A35&amp;$B35&amp;$C35,盘货信息!$A:$A&amp;盘货信息!$B:$B&amp;盘货信息!$C:$C,盘货信息!$T:$T)&amp;"元优惠卷下单更优惠，领券链接："&amp;_xlfn.XLOOKUP($A35&amp;$B35&amp;$C35,盘货信息!$A:$A&amp;盘货信息!$B:$B&amp;盘货信息!$C:$C,盘货信息!$U:$U))</f>
        <v/>
      </c>
      <c r="M35" s="27" t="str" cm="1">
        <f t="array" ref="M35">IF(_xlfn.XLOOKUP($A35&amp;$B35&amp;$C35,盘货信息!$A:$A&amp;盘货信息!$B:$B&amp;盘货信息!$C:$C,盘货信息!$P:$P)="","","【限时】"&amp;_xlfn.XLOOKUP($A35&amp;$B35&amp;$C35,盘货信息!$A:$A&amp;盘货信息!$B:$B&amp;盘货信息!$C:$C,盘货信息!$P:$P))</f>
        <v/>
      </c>
      <c r="N35" s="27" t="str" cm="1">
        <f t="array" ref="N35">IF(_xlfn.XLOOKUP($A35&amp;$B35&amp;$C35,盘货信息!$A:$A&amp;盘货信息!$B:$B&amp;盘货信息!$C:$C,盘货信息!$V:$V)="","","【"&amp;盘货信息!$V$1&amp;"】"&amp;_xlfn.XLOOKUP($A35&amp;$B35&amp;$C35,盘货信息!$A:$A&amp;盘货信息!$B:$B&amp;盘货信息!$C:$C,盘货信息!$V:$V))</f>
        <v/>
      </c>
      <c r="O35" s="27" t="str" cm="1">
        <f t="array" ref="O35">IF(_xlfn.XLOOKUP($A35&amp;$B35&amp;$C35,盘货信息!$A:$A&amp;盘货信息!$B:$B&amp;盘货信息!$C:$C,盘货信息!$W:$W)="","","【"&amp;盘货信息!$W$1&amp;"】"&amp;_xlfn.XLOOKUP($A35&amp;$B35&amp;$C35,盘货信息!$A:$A&amp;盘货信息!$B:$B&amp;盘货信息!$C:$C,盘货信息!$W:$W))</f>
        <v/>
      </c>
      <c r="P35" s="27" t="str" cm="1">
        <f t="array" ref="P35">IF(_xlfn.XLOOKUP($A35&amp;$B35&amp;$C35,盘货信息!$A:$A&amp;盘货信息!$B:$B&amp;盘货信息!$C:$C,盘货信息!$S:$S)&lt;1,"","【"&amp;盘货信息!$S$1&amp;"】"&amp;"后返"&amp;_xlfn.XLOOKUP($A35&amp;$B35&amp;$C35,盘货信息!$A:$A&amp;盘货信息!$B:$B&amp;盘货信息!$C:$C,盘货信息!$S:$S)&amp;"元")</f>
        <v/>
      </c>
      <c r="Q35" s="27" t="str" cm="1">
        <f t="array" ref="Q35">IF(_xlfn.XLOOKUP($A35&amp;$B35&amp;$C35,盘货信息!$A:$A&amp;盘货信息!$B:$B&amp;盘货信息!$C:$C,盘货信息!$X:$X)="","","【"&amp;盘货信息!$X$1&amp;"】"&amp;_xlfn.XLOOKUP($A35&amp;$B35&amp;$C35,盘货信息!$A:$A&amp;盘货信息!$B:$B&amp;盘货信息!$C:$C,盘货信息!$X:$X))</f>
        <v/>
      </c>
      <c r="R35" s="27" t="str" cm="1">
        <f t="array" ref="R35">IF(_xlfn.XLOOKUP($A35&amp;$B35&amp;$C35,盘货信息!$A:$A&amp;盘货信息!$B:$B&amp;盘货信息!$C:$C,盘货信息!$Z:$Z)="","","【"&amp;盘货信息!$Z$1&amp;"】"&amp;_xlfn.XLOOKUP($A35&amp;$B35&amp;$C35,盘货信息!$A:$A&amp;盘货信息!$B:$B&amp;盘货信息!$C:$C,盘货信息!$Z:$Z))</f>
        <v/>
      </c>
      <c r="S35" s="27" t="str" cm="1">
        <f t="array" ref="S35">IF(_xlfn.XLOOKUP($A35&amp;$B35&amp;$C35,盘货信息!$A:$A&amp;盘货信息!$B:$B&amp;盘货信息!$C:$C,盘货信息!$Q:$Q)="","","【种草】站外带指定话题种草后返"&amp;_xlfn.XLOOKUP($A35&amp;$B35&amp;$C35,盘货信息!$A:$A&amp;盘货信息!$B:$B&amp;盘货信息!$C:$C,盘货信息!$Q:$Q)&amp;"元红包（每个淘宝账号仅限对应一个站外种草账号，同一个种草账号不可对应多个淘宝账号）")</f>
        <v/>
      </c>
      <c r="T35" s="27" t="str" cm="1">
        <f t="array" ref="T35">IF(_xlfn.XLOOKUP($A35&amp;$B35&amp;$C35,盘货信息!$A:$A&amp;盘货信息!$B:$B&amp;盘货信息!$C:$C,盘货信息!$R:$R)&lt;1,"","【以旧换新】"&amp;"享补贴"&amp;ROUND(_xlfn.XLOOKUP($A35&amp;$B35&amp;$C35,盘货信息!$A:$A&amp;盘货信息!$B:$B&amp;盘货信息!$C:$C,盘货信息!$R:$R),0)&amp;"元（可无旧机换新）")</f>
        <v/>
      </c>
      <c r="U35" s="27" t="str">
        <f>IF(AND($N35="",$O35="",$P35="",$Q35="",$R35="",$S35="",$T35=""),"",固定信息!$B$1)</f>
        <v/>
      </c>
      <c r="V35" s="27" t="str" cm="1">
        <f t="array" ref="V35">IF(_xlfn.XLOOKUP($A35&amp;$B35&amp;$C35,盘货信息!$A:$A&amp;盘货信息!$B:$B&amp;盘货信息!$C:$C,盘货信息!$Y:$Y)="","","【卡萨帝送赠】活动指定时间"&amp;_xlfn.TEXTBEFORE(_xlfn.TEXTAFTER(_xlfn.XLOOKUP($A35&amp;$B35&amp;$C35,盘货信息!$A:$A&amp;盘货信息!$B:$B&amp;盘货信息!$C:$C,盘货信息!$Y:$Y),"点"),"（"))</f>
        <v/>
      </c>
      <c r="W35" s="27" t="str" cm="1">
        <f t="array" ref="W35">IF(COUNTIF(_xlfn.XLOOKUP($A35&amp;$B35&amp;$C35,盘货信息!$A:$A&amp;盘货信息!$B:$B&amp;盘货信息!$C:$C,盘货信息!$O:$O),"*是*"),"【折扣】指定型号满2类享96折，满3类享94折","")</f>
        <v/>
      </c>
      <c r="X35" s="27" t="str" cm="1">
        <f t="array" ref="X35">IF(固定信息!$B$7="","",IF(_xlfn.XLOOKUP($A35&amp;$B35&amp;$C35,盘货信息!$A:$A&amp;盘货信息!$B:$B&amp;盘货信息!$C:$C,盘货信息!$N:$N)="是","【瓜分】"&amp;固定信息!$B$7,""))</f>
        <v/>
      </c>
      <c r="Y35" s="27" t="str">
        <f>IF(AND($V35="",$W35="",$X35=""),"",固定信息!$B$1)</f>
        <v/>
      </c>
      <c r="Z35" s="27" t="str" cm="1">
        <f t="array" ref="Z35">IF($C35="","",_xlfn.XLOOKUP($A35&amp;$B35&amp;$C35,服务!$A:$A&amp;服务!$B:$B&amp;服务!$C:$C,服务!$D:$D))</f>
        <v/>
      </c>
    </row>
    <row r="36" customHeight="1" spans="1:26">
      <c r="A36" s="26" t="str">
        <f>IF(盘货信息!A36="","",盘货信息!A36)</f>
        <v/>
      </c>
      <c r="B36" s="26" t="str">
        <f>IF(盘货信息!B36="","",盘货信息!B36)</f>
        <v/>
      </c>
      <c r="C36" s="27" t="str">
        <f>IF(盘货信息!C36="","",盘货信息!C36)</f>
        <v/>
      </c>
      <c r="D36" s="27" t="str">
        <f ca="1" t="shared" si="0"/>
        <v/>
      </c>
      <c r="E36" s="27" t="str">
        <f>IF(C36="","",固定信息!$B$2)</f>
        <v/>
      </c>
      <c r="F36" s="27" t="str">
        <f>IF(C36="","","【"&amp;C36&amp;"】"&amp;固定信息!$B$4)</f>
        <v/>
      </c>
      <c r="G36" s="27" t="str">
        <f>IF(C36="","","【"&amp;"活动时间："&amp;固定信息!$B$3&amp;"】")</f>
        <v/>
      </c>
      <c r="H36" s="27" t="str">
        <f>IF($C36="","",固定信息!$B$1)</f>
        <v/>
      </c>
      <c r="I36" s="27" t="str">
        <f>IF(OR(C36="",固定信息!$B$5=""),"","【1元预约锁好礼】"&amp;固定信息!$B$5)</f>
        <v/>
      </c>
      <c r="J36" s="27" t="str" cm="1">
        <f t="array" ref="J36">_xlfn.XLOOKUP($A36&amp;$B36&amp;$C36,价格信息!$A:$A&amp;价格信息!$B:$B&amp;价格信息!$C:$C,价格信息!$D:$D)</f>
        <v/>
      </c>
      <c r="K36" s="27" t="str">
        <f>IF($C36="","",固定信息!$B$1)</f>
        <v/>
      </c>
      <c r="L36" s="27" t="str" cm="1">
        <f t="array" ref="L36">IF(_xlfn.XLOOKUP($A36&amp;$B36&amp;$C36,盘货信息!$A:$A&amp;盘货信息!$B:$B&amp;盘货信息!$C:$C,盘货信息!$T:$T)="","","【优惠券】领"&amp;_xlfn.XLOOKUP($A36&amp;$B36&amp;$C36,盘货信息!$A:$A&amp;盘货信息!$B:$B&amp;盘货信息!$C:$C,盘货信息!$T:$T)&amp;"元优惠卷下单更优惠，领券链接："&amp;_xlfn.XLOOKUP($A36&amp;$B36&amp;$C36,盘货信息!$A:$A&amp;盘货信息!$B:$B&amp;盘货信息!$C:$C,盘货信息!$U:$U))</f>
        <v/>
      </c>
      <c r="M36" s="27" t="str" cm="1">
        <f t="array" ref="M36">IF(_xlfn.XLOOKUP($A36&amp;$B36&amp;$C36,盘货信息!$A:$A&amp;盘货信息!$B:$B&amp;盘货信息!$C:$C,盘货信息!$P:$P)="","","【限时】"&amp;_xlfn.XLOOKUP($A36&amp;$B36&amp;$C36,盘货信息!$A:$A&amp;盘货信息!$B:$B&amp;盘货信息!$C:$C,盘货信息!$P:$P))</f>
        <v/>
      </c>
      <c r="N36" s="27" t="str" cm="1">
        <f t="array" ref="N36">IF(_xlfn.XLOOKUP($A36&amp;$B36&amp;$C36,盘货信息!$A:$A&amp;盘货信息!$B:$B&amp;盘货信息!$C:$C,盘货信息!$V:$V)="","","【"&amp;盘货信息!$V$1&amp;"】"&amp;_xlfn.XLOOKUP($A36&amp;$B36&amp;$C36,盘货信息!$A:$A&amp;盘货信息!$B:$B&amp;盘货信息!$C:$C,盘货信息!$V:$V))</f>
        <v/>
      </c>
      <c r="O36" s="27" t="str" cm="1">
        <f t="array" ref="O36">IF(_xlfn.XLOOKUP($A36&amp;$B36&amp;$C36,盘货信息!$A:$A&amp;盘货信息!$B:$B&amp;盘货信息!$C:$C,盘货信息!$W:$W)="","","【"&amp;盘货信息!$W$1&amp;"】"&amp;_xlfn.XLOOKUP($A36&amp;$B36&amp;$C36,盘货信息!$A:$A&amp;盘货信息!$B:$B&amp;盘货信息!$C:$C,盘货信息!$W:$W))</f>
        <v/>
      </c>
      <c r="P36" s="27" t="str" cm="1">
        <f t="array" ref="P36">IF(_xlfn.XLOOKUP($A36&amp;$B36&amp;$C36,盘货信息!$A:$A&amp;盘货信息!$B:$B&amp;盘货信息!$C:$C,盘货信息!$S:$S)&lt;1,"","【"&amp;盘货信息!$S$1&amp;"】"&amp;"后返"&amp;_xlfn.XLOOKUP($A36&amp;$B36&amp;$C36,盘货信息!$A:$A&amp;盘货信息!$B:$B&amp;盘货信息!$C:$C,盘货信息!$S:$S)&amp;"元")</f>
        <v/>
      </c>
      <c r="Q36" s="27" t="str" cm="1">
        <f t="array" ref="Q36">IF(_xlfn.XLOOKUP($A36&amp;$B36&amp;$C36,盘货信息!$A:$A&amp;盘货信息!$B:$B&amp;盘货信息!$C:$C,盘货信息!$X:$X)="","","【"&amp;盘货信息!$X$1&amp;"】"&amp;_xlfn.XLOOKUP($A36&amp;$B36&amp;$C36,盘货信息!$A:$A&amp;盘货信息!$B:$B&amp;盘货信息!$C:$C,盘货信息!$X:$X))</f>
        <v/>
      </c>
      <c r="R36" s="27" t="str" cm="1">
        <f t="array" ref="R36">IF(_xlfn.XLOOKUP($A36&amp;$B36&amp;$C36,盘货信息!$A:$A&amp;盘货信息!$B:$B&amp;盘货信息!$C:$C,盘货信息!$Z:$Z)="","","【"&amp;盘货信息!$Z$1&amp;"】"&amp;_xlfn.XLOOKUP($A36&amp;$B36&amp;$C36,盘货信息!$A:$A&amp;盘货信息!$B:$B&amp;盘货信息!$C:$C,盘货信息!$Z:$Z))</f>
        <v/>
      </c>
      <c r="S36" s="27" t="str" cm="1">
        <f t="array" ref="S36">IF(_xlfn.XLOOKUP($A36&amp;$B36&amp;$C36,盘货信息!$A:$A&amp;盘货信息!$B:$B&amp;盘货信息!$C:$C,盘货信息!$Q:$Q)="","","【种草】站外带指定话题种草后返"&amp;_xlfn.XLOOKUP($A36&amp;$B36&amp;$C36,盘货信息!$A:$A&amp;盘货信息!$B:$B&amp;盘货信息!$C:$C,盘货信息!$Q:$Q)&amp;"元红包（每个淘宝账号仅限对应一个站外种草账号，同一个种草账号不可对应多个淘宝账号）")</f>
        <v/>
      </c>
      <c r="T36" s="27" t="str" cm="1">
        <f t="array" ref="T36">IF(_xlfn.XLOOKUP($A36&amp;$B36&amp;$C36,盘货信息!$A:$A&amp;盘货信息!$B:$B&amp;盘货信息!$C:$C,盘货信息!$R:$R)&lt;1,"","【以旧换新】"&amp;"享补贴"&amp;ROUND(_xlfn.XLOOKUP($A36&amp;$B36&amp;$C36,盘货信息!$A:$A&amp;盘货信息!$B:$B&amp;盘货信息!$C:$C,盘货信息!$R:$R),0)&amp;"元（可无旧机换新）")</f>
        <v/>
      </c>
      <c r="U36" s="27" t="str">
        <f>IF(AND($N36="",$O36="",$P36="",$Q36="",$R36="",$S36="",$T36=""),"",固定信息!$B$1)</f>
        <v/>
      </c>
      <c r="V36" s="27" t="str" cm="1">
        <f t="array" ref="V36">IF(_xlfn.XLOOKUP($A36&amp;$B36&amp;$C36,盘货信息!$A:$A&amp;盘货信息!$B:$B&amp;盘货信息!$C:$C,盘货信息!$Y:$Y)="","","【卡萨帝送赠】活动指定时间"&amp;_xlfn.TEXTBEFORE(_xlfn.TEXTAFTER(_xlfn.XLOOKUP($A36&amp;$B36&amp;$C36,盘货信息!$A:$A&amp;盘货信息!$B:$B&amp;盘货信息!$C:$C,盘货信息!$Y:$Y),"点"),"（"))</f>
        <v/>
      </c>
      <c r="W36" s="27" t="str" cm="1">
        <f t="array" ref="W36">IF(COUNTIF(_xlfn.XLOOKUP($A36&amp;$B36&amp;$C36,盘货信息!$A:$A&amp;盘货信息!$B:$B&amp;盘货信息!$C:$C,盘货信息!$O:$O),"*是*"),"【折扣】指定型号满2类享96折，满3类享94折","")</f>
        <v/>
      </c>
      <c r="X36" s="27" t="str" cm="1">
        <f t="array" ref="X36">IF(固定信息!$B$7="","",IF(_xlfn.XLOOKUP($A36&amp;$B36&amp;$C36,盘货信息!$A:$A&amp;盘货信息!$B:$B&amp;盘货信息!$C:$C,盘货信息!$N:$N)="是","【瓜分】"&amp;固定信息!$B$7,""))</f>
        <v/>
      </c>
      <c r="Y36" s="27" t="str">
        <f>IF(AND($V36="",$W36="",$X36=""),"",固定信息!$B$1)</f>
        <v/>
      </c>
      <c r="Z36" s="27" t="str" cm="1">
        <f t="array" ref="Z36">IF($C36="","",_xlfn.XLOOKUP($A36&amp;$B36&amp;$C36,服务!$A:$A&amp;服务!$B:$B&amp;服务!$C:$C,服务!$D:$D))</f>
        <v/>
      </c>
    </row>
    <row r="37" customHeight="1" spans="1:26">
      <c r="A37" s="26" t="str">
        <f>IF(盘货信息!A37="","",盘货信息!A37)</f>
        <v/>
      </c>
      <c r="B37" s="26" t="str">
        <f>IF(盘货信息!B37="","",盘货信息!B37)</f>
        <v/>
      </c>
      <c r="C37" s="27" t="str">
        <f>IF(盘货信息!C37="","",盘货信息!C37)</f>
        <v/>
      </c>
      <c r="D37" s="27" t="str">
        <f ca="1" t="shared" si="0"/>
        <v/>
      </c>
      <c r="E37" s="27" t="str">
        <f>IF(C37="","",固定信息!$B$2)</f>
        <v/>
      </c>
      <c r="F37" s="27" t="str">
        <f>IF(C37="","","【"&amp;C37&amp;"】"&amp;固定信息!$B$4)</f>
        <v/>
      </c>
      <c r="G37" s="27" t="str">
        <f>IF(C37="","","【"&amp;"活动时间："&amp;固定信息!$B$3&amp;"】")</f>
        <v/>
      </c>
      <c r="H37" s="27" t="str">
        <f>IF($C37="","",固定信息!$B$1)</f>
        <v/>
      </c>
      <c r="I37" s="27" t="str">
        <f>IF(OR(C37="",固定信息!$B$5=""),"","【1元预约锁好礼】"&amp;固定信息!$B$5)</f>
        <v/>
      </c>
      <c r="J37" s="27" t="str" cm="1">
        <f t="array" ref="J37">_xlfn.XLOOKUP($A37&amp;$B37&amp;$C37,价格信息!$A:$A&amp;价格信息!$B:$B&amp;价格信息!$C:$C,价格信息!$D:$D)</f>
        <v/>
      </c>
      <c r="K37" s="27" t="str">
        <f>IF($C37="","",固定信息!$B$1)</f>
        <v/>
      </c>
      <c r="L37" s="27" t="str" cm="1">
        <f t="array" ref="L37">IF(_xlfn.XLOOKUP($A37&amp;$B37&amp;$C37,盘货信息!$A:$A&amp;盘货信息!$B:$B&amp;盘货信息!$C:$C,盘货信息!$T:$T)="","","【优惠券】领"&amp;_xlfn.XLOOKUP($A37&amp;$B37&amp;$C37,盘货信息!$A:$A&amp;盘货信息!$B:$B&amp;盘货信息!$C:$C,盘货信息!$T:$T)&amp;"元优惠卷下单更优惠，领券链接："&amp;_xlfn.XLOOKUP($A37&amp;$B37&amp;$C37,盘货信息!$A:$A&amp;盘货信息!$B:$B&amp;盘货信息!$C:$C,盘货信息!$U:$U))</f>
        <v/>
      </c>
      <c r="M37" s="27" t="str" cm="1">
        <f t="array" ref="M37">IF(_xlfn.XLOOKUP($A37&amp;$B37&amp;$C37,盘货信息!$A:$A&amp;盘货信息!$B:$B&amp;盘货信息!$C:$C,盘货信息!$P:$P)="","","【限时】"&amp;_xlfn.XLOOKUP($A37&amp;$B37&amp;$C37,盘货信息!$A:$A&amp;盘货信息!$B:$B&amp;盘货信息!$C:$C,盘货信息!$P:$P))</f>
        <v/>
      </c>
      <c r="N37" s="27" t="str" cm="1">
        <f t="array" ref="N37">IF(_xlfn.XLOOKUP($A37&amp;$B37&amp;$C37,盘货信息!$A:$A&amp;盘货信息!$B:$B&amp;盘货信息!$C:$C,盘货信息!$V:$V)="","","【"&amp;盘货信息!$V$1&amp;"】"&amp;_xlfn.XLOOKUP($A37&amp;$B37&amp;$C37,盘货信息!$A:$A&amp;盘货信息!$B:$B&amp;盘货信息!$C:$C,盘货信息!$V:$V))</f>
        <v/>
      </c>
      <c r="O37" s="27" t="str" cm="1">
        <f t="array" ref="O37">IF(_xlfn.XLOOKUP($A37&amp;$B37&amp;$C37,盘货信息!$A:$A&amp;盘货信息!$B:$B&amp;盘货信息!$C:$C,盘货信息!$W:$W)="","","【"&amp;盘货信息!$W$1&amp;"】"&amp;_xlfn.XLOOKUP($A37&amp;$B37&amp;$C37,盘货信息!$A:$A&amp;盘货信息!$B:$B&amp;盘货信息!$C:$C,盘货信息!$W:$W))</f>
        <v/>
      </c>
      <c r="P37" s="27" t="str" cm="1">
        <f t="array" ref="P37">IF(_xlfn.XLOOKUP($A37&amp;$B37&amp;$C37,盘货信息!$A:$A&amp;盘货信息!$B:$B&amp;盘货信息!$C:$C,盘货信息!$S:$S)&lt;1,"","【"&amp;盘货信息!$S$1&amp;"】"&amp;"后返"&amp;_xlfn.XLOOKUP($A37&amp;$B37&amp;$C37,盘货信息!$A:$A&amp;盘货信息!$B:$B&amp;盘货信息!$C:$C,盘货信息!$S:$S)&amp;"元")</f>
        <v/>
      </c>
      <c r="Q37" s="27" t="str" cm="1">
        <f t="array" ref="Q37">IF(_xlfn.XLOOKUP($A37&amp;$B37&amp;$C37,盘货信息!$A:$A&amp;盘货信息!$B:$B&amp;盘货信息!$C:$C,盘货信息!$X:$X)="","","【"&amp;盘货信息!$X$1&amp;"】"&amp;_xlfn.XLOOKUP($A37&amp;$B37&amp;$C37,盘货信息!$A:$A&amp;盘货信息!$B:$B&amp;盘货信息!$C:$C,盘货信息!$X:$X))</f>
        <v/>
      </c>
      <c r="R37" s="27" t="str" cm="1">
        <f t="array" ref="R37">IF(_xlfn.XLOOKUP($A37&amp;$B37&amp;$C37,盘货信息!$A:$A&amp;盘货信息!$B:$B&amp;盘货信息!$C:$C,盘货信息!$Z:$Z)="","","【"&amp;盘货信息!$Z$1&amp;"】"&amp;_xlfn.XLOOKUP($A37&amp;$B37&amp;$C37,盘货信息!$A:$A&amp;盘货信息!$B:$B&amp;盘货信息!$C:$C,盘货信息!$Z:$Z))</f>
        <v/>
      </c>
      <c r="S37" s="27" t="str" cm="1">
        <f t="array" ref="S37">IF(_xlfn.XLOOKUP($A37&amp;$B37&amp;$C37,盘货信息!$A:$A&amp;盘货信息!$B:$B&amp;盘货信息!$C:$C,盘货信息!$Q:$Q)="","","【种草】站外带指定话题种草后返"&amp;_xlfn.XLOOKUP($A37&amp;$B37&amp;$C37,盘货信息!$A:$A&amp;盘货信息!$B:$B&amp;盘货信息!$C:$C,盘货信息!$Q:$Q)&amp;"元红包（每个淘宝账号仅限对应一个站外种草账号，同一个种草账号不可对应多个淘宝账号）")</f>
        <v/>
      </c>
      <c r="T37" s="27" t="str" cm="1">
        <f t="array" ref="T37">IF(_xlfn.XLOOKUP($A37&amp;$B37&amp;$C37,盘货信息!$A:$A&amp;盘货信息!$B:$B&amp;盘货信息!$C:$C,盘货信息!$R:$R)&lt;1,"","【以旧换新】"&amp;"享补贴"&amp;ROUND(_xlfn.XLOOKUP($A37&amp;$B37&amp;$C37,盘货信息!$A:$A&amp;盘货信息!$B:$B&amp;盘货信息!$C:$C,盘货信息!$R:$R),0)&amp;"元（可无旧机换新）")</f>
        <v/>
      </c>
      <c r="U37" s="27" t="str">
        <f>IF(AND($N37="",$O37="",$P37="",$Q37="",$R37="",$S37="",$T37=""),"",固定信息!$B$1)</f>
        <v/>
      </c>
      <c r="V37" s="27" t="str" cm="1">
        <f t="array" ref="V37">IF(_xlfn.XLOOKUP($A37&amp;$B37&amp;$C37,盘货信息!$A:$A&amp;盘货信息!$B:$B&amp;盘货信息!$C:$C,盘货信息!$Y:$Y)="","","【卡萨帝送赠】活动指定时间"&amp;_xlfn.TEXTBEFORE(_xlfn.TEXTAFTER(_xlfn.XLOOKUP($A37&amp;$B37&amp;$C37,盘货信息!$A:$A&amp;盘货信息!$B:$B&amp;盘货信息!$C:$C,盘货信息!$Y:$Y),"点"),"（"))</f>
        <v/>
      </c>
      <c r="W37" s="27" t="str" cm="1">
        <f t="array" ref="W37">IF(COUNTIF(_xlfn.XLOOKUP($A37&amp;$B37&amp;$C37,盘货信息!$A:$A&amp;盘货信息!$B:$B&amp;盘货信息!$C:$C,盘货信息!$O:$O),"*是*"),"【折扣】指定型号满2类享96折，满3类享94折","")</f>
        <v/>
      </c>
      <c r="X37" s="27" t="str" cm="1">
        <f t="array" ref="X37">IF(固定信息!$B$7="","",IF(_xlfn.XLOOKUP($A37&amp;$B37&amp;$C37,盘货信息!$A:$A&amp;盘货信息!$B:$B&amp;盘货信息!$C:$C,盘货信息!$N:$N)="是","【瓜分】"&amp;固定信息!$B$7,""))</f>
        <v/>
      </c>
      <c r="Y37" s="27" t="str">
        <f>IF(AND($V37="",$W37="",$X37=""),"",固定信息!$B$1)</f>
        <v/>
      </c>
      <c r="Z37" s="27" t="str" cm="1">
        <f t="array" ref="Z37">IF($C37="","",_xlfn.XLOOKUP($A37&amp;$B37&amp;$C37,服务!$A:$A&amp;服务!$B:$B&amp;服务!$C:$C,服务!$D:$D))</f>
        <v/>
      </c>
    </row>
    <row r="38" customHeight="1" spans="1:26">
      <c r="A38" s="26" t="str">
        <f>IF(盘货信息!A38="","",盘货信息!A38)</f>
        <v/>
      </c>
      <c r="B38" s="26" t="str">
        <f>IF(盘货信息!B38="","",盘货信息!B38)</f>
        <v/>
      </c>
      <c r="C38" s="27" t="str">
        <f>IF(盘货信息!C38="","",盘货信息!C38)</f>
        <v/>
      </c>
      <c r="D38" s="27" t="str">
        <f ca="1" t="shared" si="0"/>
        <v/>
      </c>
      <c r="E38" s="27" t="str">
        <f>IF(C38="","",固定信息!$B$2)</f>
        <v/>
      </c>
      <c r="F38" s="27" t="str">
        <f>IF(C38="","","【"&amp;C38&amp;"】"&amp;固定信息!$B$4)</f>
        <v/>
      </c>
      <c r="G38" s="27" t="str">
        <f>IF(C38="","","【"&amp;"活动时间："&amp;固定信息!$B$3&amp;"】")</f>
        <v/>
      </c>
      <c r="H38" s="27" t="str">
        <f>IF($C38="","",固定信息!$B$1)</f>
        <v/>
      </c>
      <c r="I38" s="27" t="str">
        <f>IF(OR(C38="",固定信息!$B$5=""),"","【1元预约锁好礼】"&amp;固定信息!$B$5)</f>
        <v/>
      </c>
      <c r="J38" s="27" t="str" cm="1">
        <f t="array" ref="J38">_xlfn.XLOOKUP($A38&amp;$B38&amp;$C38,价格信息!$A:$A&amp;价格信息!$B:$B&amp;价格信息!$C:$C,价格信息!$D:$D)</f>
        <v/>
      </c>
      <c r="K38" s="27" t="str">
        <f>IF($C38="","",固定信息!$B$1)</f>
        <v/>
      </c>
      <c r="L38" s="27" t="str" cm="1">
        <f t="array" ref="L38">IF(_xlfn.XLOOKUP($A38&amp;$B38&amp;$C38,盘货信息!$A:$A&amp;盘货信息!$B:$B&amp;盘货信息!$C:$C,盘货信息!$T:$T)="","","【优惠券】领"&amp;_xlfn.XLOOKUP($A38&amp;$B38&amp;$C38,盘货信息!$A:$A&amp;盘货信息!$B:$B&amp;盘货信息!$C:$C,盘货信息!$T:$T)&amp;"元优惠卷下单更优惠，领券链接："&amp;_xlfn.XLOOKUP($A38&amp;$B38&amp;$C38,盘货信息!$A:$A&amp;盘货信息!$B:$B&amp;盘货信息!$C:$C,盘货信息!$U:$U))</f>
        <v/>
      </c>
      <c r="M38" s="27" t="str" cm="1">
        <f t="array" ref="M38">IF(_xlfn.XLOOKUP($A38&amp;$B38&amp;$C38,盘货信息!$A:$A&amp;盘货信息!$B:$B&amp;盘货信息!$C:$C,盘货信息!$P:$P)="","","【限时】"&amp;_xlfn.XLOOKUP($A38&amp;$B38&amp;$C38,盘货信息!$A:$A&amp;盘货信息!$B:$B&amp;盘货信息!$C:$C,盘货信息!$P:$P))</f>
        <v/>
      </c>
      <c r="N38" s="27" t="str" cm="1">
        <f t="array" ref="N38">IF(_xlfn.XLOOKUP($A38&amp;$B38&amp;$C38,盘货信息!$A:$A&amp;盘货信息!$B:$B&amp;盘货信息!$C:$C,盘货信息!$V:$V)="","","【"&amp;盘货信息!$V$1&amp;"】"&amp;_xlfn.XLOOKUP($A38&amp;$B38&amp;$C38,盘货信息!$A:$A&amp;盘货信息!$B:$B&amp;盘货信息!$C:$C,盘货信息!$V:$V))</f>
        <v/>
      </c>
      <c r="O38" s="27" t="str" cm="1">
        <f t="array" ref="O38">IF(_xlfn.XLOOKUP($A38&amp;$B38&amp;$C38,盘货信息!$A:$A&amp;盘货信息!$B:$B&amp;盘货信息!$C:$C,盘货信息!$W:$W)="","","【"&amp;盘货信息!$W$1&amp;"】"&amp;_xlfn.XLOOKUP($A38&amp;$B38&amp;$C38,盘货信息!$A:$A&amp;盘货信息!$B:$B&amp;盘货信息!$C:$C,盘货信息!$W:$W))</f>
        <v/>
      </c>
      <c r="P38" s="27" t="str" cm="1">
        <f t="array" ref="P38">IF(_xlfn.XLOOKUP($A38&amp;$B38&amp;$C38,盘货信息!$A:$A&amp;盘货信息!$B:$B&amp;盘货信息!$C:$C,盘货信息!$S:$S)&lt;1,"","【"&amp;盘货信息!$S$1&amp;"】"&amp;"后返"&amp;_xlfn.XLOOKUP($A38&amp;$B38&amp;$C38,盘货信息!$A:$A&amp;盘货信息!$B:$B&amp;盘货信息!$C:$C,盘货信息!$S:$S)&amp;"元")</f>
        <v/>
      </c>
      <c r="Q38" s="27" t="str" cm="1">
        <f t="array" ref="Q38">IF(_xlfn.XLOOKUP($A38&amp;$B38&amp;$C38,盘货信息!$A:$A&amp;盘货信息!$B:$B&amp;盘货信息!$C:$C,盘货信息!$X:$X)="","","【"&amp;盘货信息!$X$1&amp;"】"&amp;_xlfn.XLOOKUP($A38&amp;$B38&amp;$C38,盘货信息!$A:$A&amp;盘货信息!$B:$B&amp;盘货信息!$C:$C,盘货信息!$X:$X))</f>
        <v/>
      </c>
      <c r="R38" s="27" t="str" cm="1">
        <f t="array" ref="R38">IF(_xlfn.XLOOKUP($A38&amp;$B38&amp;$C38,盘货信息!$A:$A&amp;盘货信息!$B:$B&amp;盘货信息!$C:$C,盘货信息!$Z:$Z)="","","【"&amp;盘货信息!$Z$1&amp;"】"&amp;_xlfn.XLOOKUP($A38&amp;$B38&amp;$C38,盘货信息!$A:$A&amp;盘货信息!$B:$B&amp;盘货信息!$C:$C,盘货信息!$Z:$Z))</f>
        <v/>
      </c>
      <c r="S38" s="27" t="str" cm="1">
        <f t="array" ref="S38">IF(_xlfn.XLOOKUP($A38&amp;$B38&amp;$C38,盘货信息!$A:$A&amp;盘货信息!$B:$B&amp;盘货信息!$C:$C,盘货信息!$Q:$Q)="","","【种草】站外带指定话题种草后返"&amp;_xlfn.XLOOKUP($A38&amp;$B38&amp;$C38,盘货信息!$A:$A&amp;盘货信息!$B:$B&amp;盘货信息!$C:$C,盘货信息!$Q:$Q)&amp;"元红包（每个淘宝账号仅限对应一个站外种草账号，同一个种草账号不可对应多个淘宝账号）")</f>
        <v/>
      </c>
      <c r="T38" s="27" t="str" cm="1">
        <f t="array" ref="T38">IF(_xlfn.XLOOKUP($A38&amp;$B38&amp;$C38,盘货信息!$A:$A&amp;盘货信息!$B:$B&amp;盘货信息!$C:$C,盘货信息!$R:$R)&lt;1,"","【以旧换新】"&amp;"享补贴"&amp;ROUND(_xlfn.XLOOKUP($A38&amp;$B38&amp;$C38,盘货信息!$A:$A&amp;盘货信息!$B:$B&amp;盘货信息!$C:$C,盘货信息!$R:$R),0)&amp;"元（可无旧机换新）")</f>
        <v/>
      </c>
      <c r="U38" s="27" t="str">
        <f>IF(AND($N38="",$O38="",$P38="",$Q38="",$R38="",$S38="",$T38=""),"",固定信息!$B$1)</f>
        <v/>
      </c>
      <c r="V38" s="27" t="str" cm="1">
        <f t="array" ref="V38">IF(_xlfn.XLOOKUP($A38&amp;$B38&amp;$C38,盘货信息!$A:$A&amp;盘货信息!$B:$B&amp;盘货信息!$C:$C,盘货信息!$Y:$Y)="","","【卡萨帝送赠】活动指定时间"&amp;_xlfn.TEXTBEFORE(_xlfn.TEXTAFTER(_xlfn.XLOOKUP($A38&amp;$B38&amp;$C38,盘货信息!$A:$A&amp;盘货信息!$B:$B&amp;盘货信息!$C:$C,盘货信息!$Y:$Y),"点"),"（"))</f>
        <v/>
      </c>
      <c r="W38" s="27" t="str" cm="1">
        <f t="array" ref="W38">IF(COUNTIF(_xlfn.XLOOKUP($A38&amp;$B38&amp;$C38,盘货信息!$A:$A&amp;盘货信息!$B:$B&amp;盘货信息!$C:$C,盘货信息!$O:$O),"*是*"),"【折扣】指定型号满2类享96折，满3类享94折","")</f>
        <v/>
      </c>
      <c r="X38" s="27" t="str" cm="1">
        <f t="array" ref="X38">IF(固定信息!$B$7="","",IF(_xlfn.XLOOKUP($A38&amp;$B38&amp;$C38,盘货信息!$A:$A&amp;盘货信息!$B:$B&amp;盘货信息!$C:$C,盘货信息!$N:$N)="是","【瓜分】"&amp;固定信息!$B$7,""))</f>
        <v/>
      </c>
      <c r="Y38" s="27" t="str">
        <f>IF(AND($V38="",$W38="",$X38=""),"",固定信息!$B$1)</f>
        <v/>
      </c>
      <c r="Z38" s="27" t="str" cm="1">
        <f t="array" ref="Z38">IF($C38="","",_xlfn.XLOOKUP($A38&amp;$B38&amp;$C38,服务!$A:$A&amp;服务!$B:$B&amp;服务!$C:$C,服务!$D:$D))</f>
        <v/>
      </c>
    </row>
    <row r="39" customHeight="1" spans="1:26">
      <c r="A39" s="26" t="str">
        <f>IF(盘货信息!A39="","",盘货信息!A39)</f>
        <v/>
      </c>
      <c r="B39" s="26" t="str">
        <f>IF(盘货信息!B39="","",盘货信息!B39)</f>
        <v/>
      </c>
      <c r="C39" s="27" t="str">
        <f>IF(盘货信息!C39="","",盘货信息!C39)</f>
        <v/>
      </c>
      <c r="D39" s="27" t="str">
        <f ca="1" t="shared" si="0"/>
        <v/>
      </c>
      <c r="E39" s="27" t="str">
        <f>IF(C39="","",固定信息!$B$2)</f>
        <v/>
      </c>
      <c r="F39" s="27" t="str">
        <f>IF(C39="","","【"&amp;C39&amp;"】"&amp;固定信息!$B$4)</f>
        <v/>
      </c>
      <c r="G39" s="27" t="str">
        <f>IF(C39="","","【"&amp;"活动时间："&amp;固定信息!$B$3&amp;"】")</f>
        <v/>
      </c>
      <c r="H39" s="27" t="str">
        <f>IF($C39="","",固定信息!$B$1)</f>
        <v/>
      </c>
      <c r="I39" s="27" t="str">
        <f>IF(OR(C39="",固定信息!$B$5=""),"","【1元预约锁好礼】"&amp;固定信息!$B$5)</f>
        <v/>
      </c>
      <c r="J39" s="27" t="str" cm="1">
        <f t="array" ref="J39">_xlfn.XLOOKUP($A39&amp;$B39&amp;$C39,价格信息!$A:$A&amp;价格信息!$B:$B&amp;价格信息!$C:$C,价格信息!$D:$D)</f>
        <v/>
      </c>
      <c r="K39" s="27" t="str">
        <f>IF($C39="","",固定信息!$B$1)</f>
        <v/>
      </c>
      <c r="L39" s="27" t="str" cm="1">
        <f t="array" ref="L39">IF(_xlfn.XLOOKUP($A39&amp;$B39&amp;$C39,盘货信息!$A:$A&amp;盘货信息!$B:$B&amp;盘货信息!$C:$C,盘货信息!$T:$T)="","","【优惠券】领"&amp;_xlfn.XLOOKUP($A39&amp;$B39&amp;$C39,盘货信息!$A:$A&amp;盘货信息!$B:$B&amp;盘货信息!$C:$C,盘货信息!$T:$T)&amp;"元优惠卷下单更优惠，领券链接："&amp;_xlfn.XLOOKUP($A39&amp;$B39&amp;$C39,盘货信息!$A:$A&amp;盘货信息!$B:$B&amp;盘货信息!$C:$C,盘货信息!$U:$U))</f>
        <v/>
      </c>
      <c r="M39" s="27" t="str" cm="1">
        <f t="array" ref="M39">IF(_xlfn.XLOOKUP($A39&amp;$B39&amp;$C39,盘货信息!$A:$A&amp;盘货信息!$B:$B&amp;盘货信息!$C:$C,盘货信息!$P:$P)="","","【限时】"&amp;_xlfn.XLOOKUP($A39&amp;$B39&amp;$C39,盘货信息!$A:$A&amp;盘货信息!$B:$B&amp;盘货信息!$C:$C,盘货信息!$P:$P))</f>
        <v/>
      </c>
      <c r="N39" s="27" t="str" cm="1">
        <f t="array" ref="N39">IF(_xlfn.XLOOKUP($A39&amp;$B39&amp;$C39,盘货信息!$A:$A&amp;盘货信息!$B:$B&amp;盘货信息!$C:$C,盘货信息!$V:$V)="","","【"&amp;盘货信息!$V$1&amp;"】"&amp;_xlfn.XLOOKUP($A39&amp;$B39&amp;$C39,盘货信息!$A:$A&amp;盘货信息!$B:$B&amp;盘货信息!$C:$C,盘货信息!$V:$V))</f>
        <v/>
      </c>
      <c r="O39" s="27" t="str" cm="1">
        <f t="array" ref="O39">IF(_xlfn.XLOOKUP($A39&amp;$B39&amp;$C39,盘货信息!$A:$A&amp;盘货信息!$B:$B&amp;盘货信息!$C:$C,盘货信息!$W:$W)="","","【"&amp;盘货信息!$W$1&amp;"】"&amp;_xlfn.XLOOKUP($A39&amp;$B39&amp;$C39,盘货信息!$A:$A&amp;盘货信息!$B:$B&amp;盘货信息!$C:$C,盘货信息!$W:$W))</f>
        <v/>
      </c>
      <c r="P39" s="27" t="str" cm="1">
        <f t="array" ref="P39">IF(_xlfn.XLOOKUP($A39&amp;$B39&amp;$C39,盘货信息!$A:$A&amp;盘货信息!$B:$B&amp;盘货信息!$C:$C,盘货信息!$S:$S)&lt;1,"","【"&amp;盘货信息!$S$1&amp;"】"&amp;"后返"&amp;_xlfn.XLOOKUP($A39&amp;$B39&amp;$C39,盘货信息!$A:$A&amp;盘货信息!$B:$B&amp;盘货信息!$C:$C,盘货信息!$S:$S)&amp;"元")</f>
        <v/>
      </c>
      <c r="Q39" s="27" t="str" cm="1">
        <f t="array" ref="Q39">IF(_xlfn.XLOOKUP($A39&amp;$B39&amp;$C39,盘货信息!$A:$A&amp;盘货信息!$B:$B&amp;盘货信息!$C:$C,盘货信息!$X:$X)="","","【"&amp;盘货信息!$X$1&amp;"】"&amp;_xlfn.XLOOKUP($A39&amp;$B39&amp;$C39,盘货信息!$A:$A&amp;盘货信息!$B:$B&amp;盘货信息!$C:$C,盘货信息!$X:$X))</f>
        <v/>
      </c>
      <c r="R39" s="27" t="str" cm="1">
        <f t="array" ref="R39">IF(_xlfn.XLOOKUP($A39&amp;$B39&amp;$C39,盘货信息!$A:$A&amp;盘货信息!$B:$B&amp;盘货信息!$C:$C,盘货信息!$Z:$Z)="","","【"&amp;盘货信息!$Z$1&amp;"】"&amp;_xlfn.XLOOKUP($A39&amp;$B39&amp;$C39,盘货信息!$A:$A&amp;盘货信息!$B:$B&amp;盘货信息!$C:$C,盘货信息!$Z:$Z))</f>
        <v/>
      </c>
      <c r="S39" s="27" t="str" cm="1">
        <f t="array" ref="S39">IF(_xlfn.XLOOKUP($A39&amp;$B39&amp;$C39,盘货信息!$A:$A&amp;盘货信息!$B:$B&amp;盘货信息!$C:$C,盘货信息!$Q:$Q)="","","【种草】站外带指定话题种草后返"&amp;_xlfn.XLOOKUP($A39&amp;$B39&amp;$C39,盘货信息!$A:$A&amp;盘货信息!$B:$B&amp;盘货信息!$C:$C,盘货信息!$Q:$Q)&amp;"元红包（每个淘宝账号仅限对应一个站外种草账号，同一个种草账号不可对应多个淘宝账号）")</f>
        <v/>
      </c>
      <c r="T39" s="27" t="str" cm="1">
        <f t="array" ref="T39">IF(_xlfn.XLOOKUP($A39&amp;$B39&amp;$C39,盘货信息!$A:$A&amp;盘货信息!$B:$B&amp;盘货信息!$C:$C,盘货信息!$R:$R)&lt;1,"","【以旧换新】"&amp;"享补贴"&amp;ROUND(_xlfn.XLOOKUP($A39&amp;$B39&amp;$C39,盘货信息!$A:$A&amp;盘货信息!$B:$B&amp;盘货信息!$C:$C,盘货信息!$R:$R),0)&amp;"元（可无旧机换新）")</f>
        <v/>
      </c>
      <c r="U39" s="27" t="str">
        <f>IF(AND($N39="",$O39="",$P39="",$Q39="",$R39="",$S39="",$T39=""),"",固定信息!$B$1)</f>
        <v/>
      </c>
      <c r="V39" s="27" t="str" cm="1">
        <f t="array" ref="V39">IF(_xlfn.XLOOKUP($A39&amp;$B39&amp;$C39,盘货信息!$A:$A&amp;盘货信息!$B:$B&amp;盘货信息!$C:$C,盘货信息!$Y:$Y)="","","【卡萨帝送赠】活动指定时间"&amp;_xlfn.TEXTBEFORE(_xlfn.TEXTAFTER(_xlfn.XLOOKUP($A39&amp;$B39&amp;$C39,盘货信息!$A:$A&amp;盘货信息!$B:$B&amp;盘货信息!$C:$C,盘货信息!$Y:$Y),"点"),"（"))</f>
        <v/>
      </c>
      <c r="W39" s="27" t="str" cm="1">
        <f t="array" ref="W39">IF(COUNTIF(_xlfn.XLOOKUP($A39&amp;$B39&amp;$C39,盘货信息!$A:$A&amp;盘货信息!$B:$B&amp;盘货信息!$C:$C,盘货信息!$O:$O),"*是*"),"【折扣】指定型号满2类享96折，满3类享94折","")</f>
        <v/>
      </c>
      <c r="X39" s="27" t="str" cm="1">
        <f t="array" ref="X39">IF(固定信息!$B$7="","",IF(_xlfn.XLOOKUP($A39&amp;$B39&amp;$C39,盘货信息!$A:$A&amp;盘货信息!$B:$B&amp;盘货信息!$C:$C,盘货信息!$N:$N)="是","【瓜分】"&amp;固定信息!$B$7,""))</f>
        <v/>
      </c>
      <c r="Y39" s="27" t="str">
        <f>IF(AND($V39="",$W39="",$X39=""),"",固定信息!$B$1)</f>
        <v/>
      </c>
      <c r="Z39" s="27" t="str" cm="1">
        <f t="array" ref="Z39">IF($C39="","",_xlfn.XLOOKUP($A39&amp;$B39&amp;$C39,服务!$A:$A&amp;服务!$B:$B&amp;服务!$C:$C,服务!$D:$D))</f>
        <v/>
      </c>
    </row>
    <row r="40" customHeight="1" spans="1:26">
      <c r="A40" s="26" t="str">
        <f>IF(盘货信息!A40="","",盘货信息!A40)</f>
        <v/>
      </c>
      <c r="B40" s="26" t="str">
        <f>IF(盘货信息!B40="","",盘货信息!B40)</f>
        <v/>
      </c>
      <c r="C40" s="27" t="str">
        <f>IF(盘货信息!C40="","",盘货信息!C40)</f>
        <v/>
      </c>
      <c r="D40" s="27" t="str">
        <f ca="1" t="shared" si="0"/>
        <v/>
      </c>
      <c r="E40" s="27" t="str">
        <f>IF(C40="","",固定信息!$B$2)</f>
        <v/>
      </c>
      <c r="F40" s="27" t="str">
        <f>IF(C40="","","【"&amp;C40&amp;"】"&amp;固定信息!$B$4)</f>
        <v/>
      </c>
      <c r="G40" s="27" t="str">
        <f>IF(C40="","","【"&amp;"活动时间："&amp;固定信息!$B$3&amp;"】")</f>
        <v/>
      </c>
      <c r="H40" s="27" t="str">
        <f>IF($C40="","",固定信息!$B$1)</f>
        <v/>
      </c>
      <c r="I40" s="27" t="str">
        <f>IF(OR(C40="",固定信息!$B$5=""),"","【1元预约锁好礼】"&amp;固定信息!$B$5)</f>
        <v/>
      </c>
      <c r="J40" s="27" t="str" cm="1">
        <f t="array" ref="J40">_xlfn.XLOOKUP($A40&amp;$B40&amp;$C40,价格信息!$A:$A&amp;价格信息!$B:$B&amp;价格信息!$C:$C,价格信息!$D:$D)</f>
        <v/>
      </c>
      <c r="K40" s="27" t="str">
        <f>IF($C40="","",固定信息!$B$1)</f>
        <v/>
      </c>
      <c r="L40" s="27" t="str" cm="1">
        <f t="array" ref="L40">IF(_xlfn.XLOOKUP($A40&amp;$B40&amp;$C40,盘货信息!$A:$A&amp;盘货信息!$B:$B&amp;盘货信息!$C:$C,盘货信息!$T:$T)="","","【优惠券】领"&amp;_xlfn.XLOOKUP($A40&amp;$B40&amp;$C40,盘货信息!$A:$A&amp;盘货信息!$B:$B&amp;盘货信息!$C:$C,盘货信息!$T:$T)&amp;"元优惠卷下单更优惠，领券链接："&amp;_xlfn.XLOOKUP($A40&amp;$B40&amp;$C40,盘货信息!$A:$A&amp;盘货信息!$B:$B&amp;盘货信息!$C:$C,盘货信息!$U:$U))</f>
        <v/>
      </c>
      <c r="M40" s="27" t="str" cm="1">
        <f t="array" ref="M40">IF(_xlfn.XLOOKUP($A40&amp;$B40&amp;$C40,盘货信息!$A:$A&amp;盘货信息!$B:$B&amp;盘货信息!$C:$C,盘货信息!$P:$P)="","","【限时】"&amp;_xlfn.XLOOKUP($A40&amp;$B40&amp;$C40,盘货信息!$A:$A&amp;盘货信息!$B:$B&amp;盘货信息!$C:$C,盘货信息!$P:$P))</f>
        <v/>
      </c>
      <c r="N40" s="27" t="str" cm="1">
        <f t="array" ref="N40">IF(_xlfn.XLOOKUP($A40&amp;$B40&amp;$C40,盘货信息!$A:$A&amp;盘货信息!$B:$B&amp;盘货信息!$C:$C,盘货信息!$V:$V)="","","【"&amp;盘货信息!$V$1&amp;"】"&amp;_xlfn.XLOOKUP($A40&amp;$B40&amp;$C40,盘货信息!$A:$A&amp;盘货信息!$B:$B&amp;盘货信息!$C:$C,盘货信息!$V:$V))</f>
        <v/>
      </c>
      <c r="O40" s="27" t="str" cm="1">
        <f t="array" ref="O40">IF(_xlfn.XLOOKUP($A40&amp;$B40&amp;$C40,盘货信息!$A:$A&amp;盘货信息!$B:$B&amp;盘货信息!$C:$C,盘货信息!$W:$W)="","","【"&amp;盘货信息!$W$1&amp;"】"&amp;_xlfn.XLOOKUP($A40&amp;$B40&amp;$C40,盘货信息!$A:$A&amp;盘货信息!$B:$B&amp;盘货信息!$C:$C,盘货信息!$W:$W))</f>
        <v/>
      </c>
      <c r="P40" s="27" t="str" cm="1">
        <f t="array" ref="P40">IF(_xlfn.XLOOKUP($A40&amp;$B40&amp;$C40,盘货信息!$A:$A&amp;盘货信息!$B:$B&amp;盘货信息!$C:$C,盘货信息!$S:$S)&lt;1,"","【"&amp;盘货信息!$S$1&amp;"】"&amp;"后返"&amp;_xlfn.XLOOKUP($A40&amp;$B40&amp;$C40,盘货信息!$A:$A&amp;盘货信息!$B:$B&amp;盘货信息!$C:$C,盘货信息!$S:$S)&amp;"元")</f>
        <v/>
      </c>
      <c r="Q40" s="27" t="str" cm="1">
        <f t="array" ref="Q40">IF(_xlfn.XLOOKUP($A40&amp;$B40&amp;$C40,盘货信息!$A:$A&amp;盘货信息!$B:$B&amp;盘货信息!$C:$C,盘货信息!$X:$X)="","","【"&amp;盘货信息!$X$1&amp;"】"&amp;_xlfn.XLOOKUP($A40&amp;$B40&amp;$C40,盘货信息!$A:$A&amp;盘货信息!$B:$B&amp;盘货信息!$C:$C,盘货信息!$X:$X))</f>
        <v/>
      </c>
      <c r="R40" s="27" t="str" cm="1">
        <f t="array" ref="R40">IF(_xlfn.XLOOKUP($A40&amp;$B40&amp;$C40,盘货信息!$A:$A&amp;盘货信息!$B:$B&amp;盘货信息!$C:$C,盘货信息!$Z:$Z)="","","【"&amp;盘货信息!$Z$1&amp;"】"&amp;_xlfn.XLOOKUP($A40&amp;$B40&amp;$C40,盘货信息!$A:$A&amp;盘货信息!$B:$B&amp;盘货信息!$C:$C,盘货信息!$Z:$Z))</f>
        <v/>
      </c>
      <c r="S40" s="27" t="str" cm="1">
        <f t="array" ref="S40">IF(_xlfn.XLOOKUP($A40&amp;$B40&amp;$C40,盘货信息!$A:$A&amp;盘货信息!$B:$B&amp;盘货信息!$C:$C,盘货信息!$Q:$Q)="","","【种草】站外带指定话题种草后返"&amp;_xlfn.XLOOKUP($A40&amp;$B40&amp;$C40,盘货信息!$A:$A&amp;盘货信息!$B:$B&amp;盘货信息!$C:$C,盘货信息!$Q:$Q)&amp;"元红包（每个淘宝账号仅限对应一个站外种草账号，同一个种草账号不可对应多个淘宝账号）")</f>
        <v/>
      </c>
      <c r="T40" s="27" t="str" cm="1">
        <f t="array" ref="T40">IF(_xlfn.XLOOKUP($A40&amp;$B40&amp;$C40,盘货信息!$A:$A&amp;盘货信息!$B:$B&amp;盘货信息!$C:$C,盘货信息!$R:$R)&lt;1,"","【以旧换新】"&amp;"享补贴"&amp;ROUND(_xlfn.XLOOKUP($A40&amp;$B40&amp;$C40,盘货信息!$A:$A&amp;盘货信息!$B:$B&amp;盘货信息!$C:$C,盘货信息!$R:$R),0)&amp;"元（可无旧机换新）")</f>
        <v/>
      </c>
      <c r="U40" s="27" t="str">
        <f>IF(AND($N40="",$O40="",$P40="",$Q40="",$R40="",$S40="",$T40=""),"",固定信息!$B$1)</f>
        <v/>
      </c>
      <c r="V40" s="27" t="str" cm="1">
        <f t="array" ref="V40">IF(_xlfn.XLOOKUP($A40&amp;$B40&amp;$C40,盘货信息!$A:$A&amp;盘货信息!$B:$B&amp;盘货信息!$C:$C,盘货信息!$Y:$Y)="","","【卡萨帝送赠】活动指定时间"&amp;_xlfn.TEXTBEFORE(_xlfn.TEXTAFTER(_xlfn.XLOOKUP($A40&amp;$B40&amp;$C40,盘货信息!$A:$A&amp;盘货信息!$B:$B&amp;盘货信息!$C:$C,盘货信息!$Y:$Y),"点"),"（"))</f>
        <v/>
      </c>
      <c r="W40" s="27" t="str" cm="1">
        <f t="array" ref="W40">IF(COUNTIF(_xlfn.XLOOKUP($A40&amp;$B40&amp;$C40,盘货信息!$A:$A&amp;盘货信息!$B:$B&amp;盘货信息!$C:$C,盘货信息!$O:$O),"*是*"),"【折扣】指定型号满2类享96折，满3类享94折","")</f>
        <v/>
      </c>
      <c r="X40" s="27" t="str" cm="1">
        <f t="array" ref="X40">IF(固定信息!$B$7="","",IF(_xlfn.XLOOKUP($A40&amp;$B40&amp;$C40,盘货信息!$A:$A&amp;盘货信息!$B:$B&amp;盘货信息!$C:$C,盘货信息!$N:$N)="是","【瓜分】"&amp;固定信息!$B$7,""))</f>
        <v/>
      </c>
      <c r="Y40" s="27" t="str">
        <f>IF(AND($V40="",$W40="",$X40=""),"",固定信息!$B$1)</f>
        <v/>
      </c>
      <c r="Z40" s="27" t="str" cm="1">
        <f t="array" ref="Z40">IF($C40="","",_xlfn.XLOOKUP($A40&amp;$B40&amp;$C40,服务!$A:$A&amp;服务!$B:$B&amp;服务!$C:$C,服务!$D:$D))</f>
        <v/>
      </c>
    </row>
    <row r="41" customHeight="1" spans="1:26">
      <c r="A41" s="26" t="str">
        <f>IF(盘货信息!A41="","",盘货信息!A41)</f>
        <v/>
      </c>
      <c r="B41" s="26" t="str">
        <f>IF(盘货信息!B41="","",盘货信息!B41)</f>
        <v/>
      </c>
      <c r="C41" s="27" t="str">
        <f>IF(盘货信息!C41="","",盘货信息!C41)</f>
        <v/>
      </c>
      <c r="D41" s="27" t="str">
        <f ca="1" t="shared" si="0"/>
        <v/>
      </c>
      <c r="E41" s="27" t="str">
        <f>IF(C41="","",固定信息!$B$2)</f>
        <v/>
      </c>
      <c r="F41" s="27" t="str">
        <f>IF(C41="","","【"&amp;C41&amp;"】"&amp;固定信息!$B$4)</f>
        <v/>
      </c>
      <c r="G41" s="27" t="str">
        <f>IF(C41="","","【"&amp;"活动时间："&amp;固定信息!$B$3&amp;"】")</f>
        <v/>
      </c>
      <c r="H41" s="27" t="str">
        <f>IF($C41="","",固定信息!$B$1)</f>
        <v/>
      </c>
      <c r="I41" s="27" t="str">
        <f>IF(OR(C41="",固定信息!$B$5=""),"","【1元预约锁好礼】"&amp;固定信息!$B$5)</f>
        <v/>
      </c>
      <c r="J41" s="27" t="str" cm="1">
        <f t="array" ref="J41">_xlfn.XLOOKUP($A41&amp;$B41&amp;$C41,价格信息!$A:$A&amp;价格信息!$B:$B&amp;价格信息!$C:$C,价格信息!$D:$D)</f>
        <v/>
      </c>
      <c r="K41" s="27" t="str">
        <f>IF($C41="","",固定信息!$B$1)</f>
        <v/>
      </c>
      <c r="L41" s="27" t="str" cm="1">
        <f t="array" ref="L41">IF(_xlfn.XLOOKUP($A41&amp;$B41&amp;$C41,盘货信息!$A:$A&amp;盘货信息!$B:$B&amp;盘货信息!$C:$C,盘货信息!$T:$T)="","","【优惠券】领"&amp;_xlfn.XLOOKUP($A41&amp;$B41&amp;$C41,盘货信息!$A:$A&amp;盘货信息!$B:$B&amp;盘货信息!$C:$C,盘货信息!$T:$T)&amp;"元优惠卷下单更优惠，领券链接："&amp;_xlfn.XLOOKUP($A41&amp;$B41&amp;$C41,盘货信息!$A:$A&amp;盘货信息!$B:$B&amp;盘货信息!$C:$C,盘货信息!$U:$U))</f>
        <v/>
      </c>
      <c r="M41" s="27" t="str" cm="1">
        <f t="array" ref="M41">IF(_xlfn.XLOOKUP($A41&amp;$B41&amp;$C41,盘货信息!$A:$A&amp;盘货信息!$B:$B&amp;盘货信息!$C:$C,盘货信息!$P:$P)="","","【限时】"&amp;_xlfn.XLOOKUP($A41&amp;$B41&amp;$C41,盘货信息!$A:$A&amp;盘货信息!$B:$B&amp;盘货信息!$C:$C,盘货信息!$P:$P))</f>
        <v/>
      </c>
      <c r="N41" s="27" t="str" cm="1">
        <f t="array" ref="N41">IF(_xlfn.XLOOKUP($A41&amp;$B41&amp;$C41,盘货信息!$A:$A&amp;盘货信息!$B:$B&amp;盘货信息!$C:$C,盘货信息!$V:$V)="","","【"&amp;盘货信息!$V$1&amp;"】"&amp;_xlfn.XLOOKUP($A41&amp;$B41&amp;$C41,盘货信息!$A:$A&amp;盘货信息!$B:$B&amp;盘货信息!$C:$C,盘货信息!$V:$V))</f>
        <v/>
      </c>
      <c r="O41" s="27" t="str" cm="1">
        <f t="array" ref="O41">IF(_xlfn.XLOOKUP($A41&amp;$B41&amp;$C41,盘货信息!$A:$A&amp;盘货信息!$B:$B&amp;盘货信息!$C:$C,盘货信息!$W:$W)="","","【"&amp;盘货信息!$W$1&amp;"】"&amp;_xlfn.XLOOKUP($A41&amp;$B41&amp;$C41,盘货信息!$A:$A&amp;盘货信息!$B:$B&amp;盘货信息!$C:$C,盘货信息!$W:$W))</f>
        <v/>
      </c>
      <c r="P41" s="27" t="str" cm="1">
        <f t="array" ref="P41">IF(_xlfn.XLOOKUP($A41&amp;$B41&amp;$C41,盘货信息!$A:$A&amp;盘货信息!$B:$B&amp;盘货信息!$C:$C,盘货信息!$S:$S)&lt;1,"","【"&amp;盘货信息!$S$1&amp;"】"&amp;"后返"&amp;_xlfn.XLOOKUP($A41&amp;$B41&amp;$C41,盘货信息!$A:$A&amp;盘货信息!$B:$B&amp;盘货信息!$C:$C,盘货信息!$S:$S)&amp;"元")</f>
        <v/>
      </c>
      <c r="Q41" s="27" t="str" cm="1">
        <f t="array" ref="Q41">IF(_xlfn.XLOOKUP($A41&amp;$B41&amp;$C41,盘货信息!$A:$A&amp;盘货信息!$B:$B&amp;盘货信息!$C:$C,盘货信息!$X:$X)="","","【"&amp;盘货信息!$X$1&amp;"】"&amp;_xlfn.XLOOKUP($A41&amp;$B41&amp;$C41,盘货信息!$A:$A&amp;盘货信息!$B:$B&amp;盘货信息!$C:$C,盘货信息!$X:$X))</f>
        <v/>
      </c>
      <c r="R41" s="27" t="str" cm="1">
        <f t="array" ref="R41">IF(_xlfn.XLOOKUP($A41&amp;$B41&amp;$C41,盘货信息!$A:$A&amp;盘货信息!$B:$B&amp;盘货信息!$C:$C,盘货信息!$Z:$Z)="","","【"&amp;盘货信息!$Z$1&amp;"】"&amp;_xlfn.XLOOKUP($A41&amp;$B41&amp;$C41,盘货信息!$A:$A&amp;盘货信息!$B:$B&amp;盘货信息!$C:$C,盘货信息!$Z:$Z))</f>
        <v/>
      </c>
      <c r="S41" s="27" t="str" cm="1">
        <f t="array" ref="S41">IF(_xlfn.XLOOKUP($A41&amp;$B41&amp;$C41,盘货信息!$A:$A&amp;盘货信息!$B:$B&amp;盘货信息!$C:$C,盘货信息!$Q:$Q)="","","【种草】站外带指定话题种草后返"&amp;_xlfn.XLOOKUP($A41&amp;$B41&amp;$C41,盘货信息!$A:$A&amp;盘货信息!$B:$B&amp;盘货信息!$C:$C,盘货信息!$Q:$Q)&amp;"元红包（每个淘宝账号仅限对应一个站外种草账号，同一个种草账号不可对应多个淘宝账号）")</f>
        <v/>
      </c>
      <c r="T41" s="27" t="str" cm="1">
        <f t="array" ref="T41">IF(_xlfn.XLOOKUP($A41&amp;$B41&amp;$C41,盘货信息!$A:$A&amp;盘货信息!$B:$B&amp;盘货信息!$C:$C,盘货信息!$R:$R)&lt;1,"","【以旧换新】"&amp;"享补贴"&amp;ROUND(_xlfn.XLOOKUP($A41&amp;$B41&amp;$C41,盘货信息!$A:$A&amp;盘货信息!$B:$B&amp;盘货信息!$C:$C,盘货信息!$R:$R),0)&amp;"元（可无旧机换新）")</f>
        <v/>
      </c>
      <c r="U41" s="27" t="str">
        <f>IF(AND($N41="",$O41="",$P41="",$Q41="",$R41="",$S41="",$T41=""),"",固定信息!$B$1)</f>
        <v/>
      </c>
      <c r="V41" s="27" t="str" cm="1">
        <f t="array" ref="V41">IF(_xlfn.XLOOKUP($A41&amp;$B41&amp;$C41,盘货信息!$A:$A&amp;盘货信息!$B:$B&amp;盘货信息!$C:$C,盘货信息!$Y:$Y)="","","【卡萨帝送赠】活动指定时间"&amp;_xlfn.TEXTBEFORE(_xlfn.TEXTAFTER(_xlfn.XLOOKUP($A41&amp;$B41&amp;$C41,盘货信息!$A:$A&amp;盘货信息!$B:$B&amp;盘货信息!$C:$C,盘货信息!$Y:$Y),"点"),"（"))</f>
        <v/>
      </c>
      <c r="W41" s="27" t="str" cm="1">
        <f t="array" ref="W41">IF(COUNTIF(_xlfn.XLOOKUP($A41&amp;$B41&amp;$C41,盘货信息!$A:$A&amp;盘货信息!$B:$B&amp;盘货信息!$C:$C,盘货信息!$O:$O),"*是*"),"【折扣】指定型号满2类享96折，满3类享94折","")</f>
        <v/>
      </c>
      <c r="X41" s="27" t="str" cm="1">
        <f t="array" ref="X41">IF(固定信息!$B$7="","",IF(_xlfn.XLOOKUP($A41&amp;$B41&amp;$C41,盘货信息!$A:$A&amp;盘货信息!$B:$B&amp;盘货信息!$C:$C,盘货信息!$N:$N)="是","【瓜分】"&amp;固定信息!$B$7,""))</f>
        <v/>
      </c>
      <c r="Y41" s="27" t="str">
        <f>IF(AND($V41="",$W41="",$X41=""),"",固定信息!$B$1)</f>
        <v/>
      </c>
      <c r="Z41" s="27" t="str" cm="1">
        <f t="array" ref="Z41">IF($C41="","",_xlfn.XLOOKUP($A41&amp;$B41&amp;$C41,服务!$A:$A&amp;服务!$B:$B&amp;服务!$C:$C,服务!$D:$D))</f>
        <v/>
      </c>
    </row>
    <row r="42" customHeight="1" spans="1:26">
      <c r="A42" s="26" t="str">
        <f>IF(盘货信息!A42="","",盘货信息!A42)</f>
        <v/>
      </c>
      <c r="B42" s="26" t="str">
        <f>IF(盘货信息!B42="","",盘货信息!B42)</f>
        <v/>
      </c>
      <c r="C42" s="27" t="str">
        <f>IF(盘货信息!C42="","",盘货信息!C42)</f>
        <v/>
      </c>
      <c r="D42" s="27" t="str">
        <f ca="1" t="shared" si="0"/>
        <v/>
      </c>
      <c r="E42" s="27" t="str">
        <f>IF(C42="","",固定信息!$B$2)</f>
        <v/>
      </c>
      <c r="F42" s="27" t="str">
        <f>IF(C42="","","【"&amp;C42&amp;"】"&amp;固定信息!$B$4)</f>
        <v/>
      </c>
      <c r="G42" s="27" t="str">
        <f>IF(C42="","","【"&amp;"活动时间："&amp;固定信息!$B$3&amp;"】")</f>
        <v/>
      </c>
      <c r="H42" s="27" t="str">
        <f>IF($C42="","",固定信息!$B$1)</f>
        <v/>
      </c>
      <c r="I42" s="27" t="str">
        <f>IF(OR(C42="",固定信息!$B$5=""),"","【1元预约锁好礼】"&amp;固定信息!$B$5)</f>
        <v/>
      </c>
      <c r="J42" s="27" t="str" cm="1">
        <f t="array" ref="J42">_xlfn.XLOOKUP($A42&amp;$B42&amp;$C42,价格信息!$A:$A&amp;价格信息!$B:$B&amp;价格信息!$C:$C,价格信息!$D:$D)</f>
        <v/>
      </c>
      <c r="K42" s="27" t="str">
        <f>IF($C42="","",固定信息!$B$1)</f>
        <v/>
      </c>
      <c r="L42" s="27" t="str" cm="1">
        <f t="array" ref="L42">IF(_xlfn.XLOOKUP($A42&amp;$B42&amp;$C42,盘货信息!$A:$A&amp;盘货信息!$B:$B&amp;盘货信息!$C:$C,盘货信息!$T:$T)="","","【优惠券】领"&amp;_xlfn.XLOOKUP($A42&amp;$B42&amp;$C42,盘货信息!$A:$A&amp;盘货信息!$B:$B&amp;盘货信息!$C:$C,盘货信息!$T:$T)&amp;"元优惠卷下单更优惠，领券链接："&amp;_xlfn.XLOOKUP($A42&amp;$B42&amp;$C42,盘货信息!$A:$A&amp;盘货信息!$B:$B&amp;盘货信息!$C:$C,盘货信息!$U:$U))</f>
        <v/>
      </c>
      <c r="M42" s="27" t="str" cm="1">
        <f t="array" ref="M42">IF(_xlfn.XLOOKUP($A42&amp;$B42&amp;$C42,盘货信息!$A:$A&amp;盘货信息!$B:$B&amp;盘货信息!$C:$C,盘货信息!$P:$P)="","","【限时】"&amp;_xlfn.XLOOKUP($A42&amp;$B42&amp;$C42,盘货信息!$A:$A&amp;盘货信息!$B:$B&amp;盘货信息!$C:$C,盘货信息!$P:$P))</f>
        <v/>
      </c>
      <c r="N42" s="27" t="str" cm="1">
        <f t="array" ref="N42">IF(_xlfn.XLOOKUP($A42&amp;$B42&amp;$C42,盘货信息!$A:$A&amp;盘货信息!$B:$B&amp;盘货信息!$C:$C,盘货信息!$V:$V)="","","【"&amp;盘货信息!$V$1&amp;"】"&amp;_xlfn.XLOOKUP($A42&amp;$B42&amp;$C42,盘货信息!$A:$A&amp;盘货信息!$B:$B&amp;盘货信息!$C:$C,盘货信息!$V:$V))</f>
        <v/>
      </c>
      <c r="O42" s="27" t="str" cm="1">
        <f t="array" ref="O42">IF(_xlfn.XLOOKUP($A42&amp;$B42&amp;$C42,盘货信息!$A:$A&amp;盘货信息!$B:$B&amp;盘货信息!$C:$C,盘货信息!$W:$W)="","","【"&amp;盘货信息!$W$1&amp;"】"&amp;_xlfn.XLOOKUP($A42&amp;$B42&amp;$C42,盘货信息!$A:$A&amp;盘货信息!$B:$B&amp;盘货信息!$C:$C,盘货信息!$W:$W))</f>
        <v/>
      </c>
      <c r="P42" s="27" t="str" cm="1">
        <f t="array" ref="P42">IF(_xlfn.XLOOKUP($A42&amp;$B42&amp;$C42,盘货信息!$A:$A&amp;盘货信息!$B:$B&amp;盘货信息!$C:$C,盘货信息!$S:$S)&lt;1,"","【"&amp;盘货信息!$S$1&amp;"】"&amp;"后返"&amp;_xlfn.XLOOKUP($A42&amp;$B42&amp;$C42,盘货信息!$A:$A&amp;盘货信息!$B:$B&amp;盘货信息!$C:$C,盘货信息!$S:$S)&amp;"元")</f>
        <v/>
      </c>
      <c r="Q42" s="27" t="str" cm="1">
        <f t="array" ref="Q42">IF(_xlfn.XLOOKUP($A42&amp;$B42&amp;$C42,盘货信息!$A:$A&amp;盘货信息!$B:$B&amp;盘货信息!$C:$C,盘货信息!$X:$X)="","","【"&amp;盘货信息!$X$1&amp;"】"&amp;_xlfn.XLOOKUP($A42&amp;$B42&amp;$C42,盘货信息!$A:$A&amp;盘货信息!$B:$B&amp;盘货信息!$C:$C,盘货信息!$X:$X))</f>
        <v/>
      </c>
      <c r="R42" s="27" t="str" cm="1">
        <f t="array" ref="R42">IF(_xlfn.XLOOKUP($A42&amp;$B42&amp;$C42,盘货信息!$A:$A&amp;盘货信息!$B:$B&amp;盘货信息!$C:$C,盘货信息!$Z:$Z)="","","【"&amp;盘货信息!$Z$1&amp;"】"&amp;_xlfn.XLOOKUP($A42&amp;$B42&amp;$C42,盘货信息!$A:$A&amp;盘货信息!$B:$B&amp;盘货信息!$C:$C,盘货信息!$Z:$Z))</f>
        <v/>
      </c>
      <c r="S42" s="27" t="str" cm="1">
        <f t="array" ref="S42">IF(_xlfn.XLOOKUP($A42&amp;$B42&amp;$C42,盘货信息!$A:$A&amp;盘货信息!$B:$B&amp;盘货信息!$C:$C,盘货信息!$Q:$Q)="","","【种草】站外带指定话题种草后返"&amp;_xlfn.XLOOKUP($A42&amp;$B42&amp;$C42,盘货信息!$A:$A&amp;盘货信息!$B:$B&amp;盘货信息!$C:$C,盘货信息!$Q:$Q)&amp;"元红包（每个淘宝账号仅限对应一个站外种草账号，同一个种草账号不可对应多个淘宝账号）")</f>
        <v/>
      </c>
      <c r="T42" s="27" t="str" cm="1">
        <f t="array" ref="T42">IF(_xlfn.XLOOKUP($A42&amp;$B42&amp;$C42,盘货信息!$A:$A&amp;盘货信息!$B:$B&amp;盘货信息!$C:$C,盘货信息!$R:$R)&lt;1,"","【以旧换新】"&amp;"享补贴"&amp;ROUND(_xlfn.XLOOKUP($A42&amp;$B42&amp;$C42,盘货信息!$A:$A&amp;盘货信息!$B:$B&amp;盘货信息!$C:$C,盘货信息!$R:$R),0)&amp;"元（可无旧机换新）")</f>
        <v/>
      </c>
      <c r="U42" s="27" t="str">
        <f>IF(AND($N42="",$O42="",$P42="",$Q42="",$R42="",$S42="",$T42=""),"",固定信息!$B$1)</f>
        <v/>
      </c>
      <c r="V42" s="27" t="str" cm="1">
        <f t="array" ref="V42">IF(_xlfn.XLOOKUP($A42&amp;$B42&amp;$C42,盘货信息!$A:$A&amp;盘货信息!$B:$B&amp;盘货信息!$C:$C,盘货信息!$Y:$Y)="","","【卡萨帝送赠】活动指定时间"&amp;_xlfn.TEXTBEFORE(_xlfn.TEXTAFTER(_xlfn.XLOOKUP($A42&amp;$B42&amp;$C42,盘货信息!$A:$A&amp;盘货信息!$B:$B&amp;盘货信息!$C:$C,盘货信息!$Y:$Y),"点"),"（"))</f>
        <v/>
      </c>
      <c r="W42" s="27" t="str" cm="1">
        <f t="array" ref="W42">IF(COUNTIF(_xlfn.XLOOKUP($A42&amp;$B42&amp;$C42,盘货信息!$A:$A&amp;盘货信息!$B:$B&amp;盘货信息!$C:$C,盘货信息!$O:$O),"*是*"),"【折扣】指定型号满2类享96折，满3类享94折","")</f>
        <v/>
      </c>
      <c r="X42" s="27" t="str" cm="1">
        <f t="array" ref="X42">IF(固定信息!$B$7="","",IF(_xlfn.XLOOKUP($A42&amp;$B42&amp;$C42,盘货信息!$A:$A&amp;盘货信息!$B:$B&amp;盘货信息!$C:$C,盘货信息!$N:$N)="是","【瓜分】"&amp;固定信息!$B$7,""))</f>
        <v/>
      </c>
      <c r="Y42" s="27" t="str">
        <f>IF(AND($V42="",$W42="",$X42=""),"",固定信息!$B$1)</f>
        <v/>
      </c>
      <c r="Z42" s="27" t="str" cm="1">
        <f t="array" ref="Z42">IF($C42="","",_xlfn.XLOOKUP($A42&amp;$B42&amp;$C42,服务!$A:$A&amp;服务!$B:$B&amp;服务!$C:$C,服务!$D:$D))</f>
        <v/>
      </c>
    </row>
    <row r="43" customHeight="1" spans="1:26">
      <c r="A43" s="26" t="str">
        <f>IF(盘货信息!A43="","",盘货信息!A43)</f>
        <v/>
      </c>
      <c r="B43" s="26" t="str">
        <f>IF(盘货信息!B43="","",盘货信息!B43)</f>
        <v/>
      </c>
      <c r="C43" s="27" t="str">
        <f>IF(盘货信息!C43="","",盘货信息!C43)</f>
        <v/>
      </c>
      <c r="D43" s="27" t="str">
        <f ca="1" t="shared" si="0"/>
        <v/>
      </c>
      <c r="E43" s="27" t="str">
        <f>IF(C43="","",固定信息!$B$2)</f>
        <v/>
      </c>
      <c r="F43" s="27" t="str">
        <f>IF(C43="","","【"&amp;C43&amp;"】"&amp;固定信息!$B$4)</f>
        <v/>
      </c>
      <c r="G43" s="27" t="str">
        <f>IF(C43="","","【"&amp;"活动时间："&amp;固定信息!$B$3&amp;"】")</f>
        <v/>
      </c>
      <c r="H43" s="27" t="str">
        <f>IF($C43="","",固定信息!$B$1)</f>
        <v/>
      </c>
      <c r="I43" s="27" t="str">
        <f>IF(OR(C43="",固定信息!$B$5=""),"","【1元预约锁好礼】"&amp;固定信息!$B$5)</f>
        <v/>
      </c>
      <c r="J43" s="27" t="str" cm="1">
        <f t="array" ref="J43">_xlfn.XLOOKUP($A43&amp;$B43&amp;$C43,价格信息!$A:$A&amp;价格信息!$B:$B&amp;价格信息!$C:$C,价格信息!$D:$D)</f>
        <v/>
      </c>
      <c r="K43" s="27" t="str">
        <f>IF($C43="","",固定信息!$B$1)</f>
        <v/>
      </c>
      <c r="L43" s="27" t="str" cm="1">
        <f t="array" ref="L43">IF(_xlfn.XLOOKUP($A43&amp;$B43&amp;$C43,盘货信息!$A:$A&amp;盘货信息!$B:$B&amp;盘货信息!$C:$C,盘货信息!$T:$T)="","","【优惠券】领"&amp;_xlfn.XLOOKUP($A43&amp;$B43&amp;$C43,盘货信息!$A:$A&amp;盘货信息!$B:$B&amp;盘货信息!$C:$C,盘货信息!$T:$T)&amp;"元优惠卷下单更优惠，领券链接："&amp;_xlfn.XLOOKUP($A43&amp;$B43&amp;$C43,盘货信息!$A:$A&amp;盘货信息!$B:$B&amp;盘货信息!$C:$C,盘货信息!$U:$U))</f>
        <v/>
      </c>
      <c r="M43" s="27" t="str" cm="1">
        <f t="array" ref="M43">IF(_xlfn.XLOOKUP($A43&amp;$B43&amp;$C43,盘货信息!$A:$A&amp;盘货信息!$B:$B&amp;盘货信息!$C:$C,盘货信息!$P:$P)="","","【限时】"&amp;_xlfn.XLOOKUP($A43&amp;$B43&amp;$C43,盘货信息!$A:$A&amp;盘货信息!$B:$B&amp;盘货信息!$C:$C,盘货信息!$P:$P))</f>
        <v/>
      </c>
      <c r="N43" s="27" t="str" cm="1">
        <f t="array" ref="N43">IF(_xlfn.XLOOKUP($A43&amp;$B43&amp;$C43,盘货信息!$A:$A&amp;盘货信息!$B:$B&amp;盘货信息!$C:$C,盘货信息!$V:$V)="","","【"&amp;盘货信息!$V$1&amp;"】"&amp;_xlfn.XLOOKUP($A43&amp;$B43&amp;$C43,盘货信息!$A:$A&amp;盘货信息!$B:$B&amp;盘货信息!$C:$C,盘货信息!$V:$V))</f>
        <v/>
      </c>
      <c r="O43" s="27" t="str" cm="1">
        <f t="array" ref="O43">IF(_xlfn.XLOOKUP($A43&amp;$B43&amp;$C43,盘货信息!$A:$A&amp;盘货信息!$B:$B&amp;盘货信息!$C:$C,盘货信息!$W:$W)="","","【"&amp;盘货信息!$W$1&amp;"】"&amp;_xlfn.XLOOKUP($A43&amp;$B43&amp;$C43,盘货信息!$A:$A&amp;盘货信息!$B:$B&amp;盘货信息!$C:$C,盘货信息!$W:$W))</f>
        <v/>
      </c>
      <c r="P43" s="27" t="str" cm="1">
        <f t="array" ref="P43">IF(_xlfn.XLOOKUP($A43&amp;$B43&amp;$C43,盘货信息!$A:$A&amp;盘货信息!$B:$B&amp;盘货信息!$C:$C,盘货信息!$S:$S)&lt;1,"","【"&amp;盘货信息!$S$1&amp;"】"&amp;"后返"&amp;_xlfn.XLOOKUP($A43&amp;$B43&amp;$C43,盘货信息!$A:$A&amp;盘货信息!$B:$B&amp;盘货信息!$C:$C,盘货信息!$S:$S)&amp;"元")</f>
        <v/>
      </c>
      <c r="Q43" s="27" t="str" cm="1">
        <f t="array" ref="Q43">IF(_xlfn.XLOOKUP($A43&amp;$B43&amp;$C43,盘货信息!$A:$A&amp;盘货信息!$B:$B&amp;盘货信息!$C:$C,盘货信息!$X:$X)="","","【"&amp;盘货信息!$X$1&amp;"】"&amp;_xlfn.XLOOKUP($A43&amp;$B43&amp;$C43,盘货信息!$A:$A&amp;盘货信息!$B:$B&amp;盘货信息!$C:$C,盘货信息!$X:$X))</f>
        <v/>
      </c>
      <c r="R43" s="27" t="str" cm="1">
        <f t="array" ref="R43">IF(_xlfn.XLOOKUP($A43&amp;$B43&amp;$C43,盘货信息!$A:$A&amp;盘货信息!$B:$B&amp;盘货信息!$C:$C,盘货信息!$Z:$Z)="","","【"&amp;盘货信息!$Z$1&amp;"】"&amp;_xlfn.XLOOKUP($A43&amp;$B43&amp;$C43,盘货信息!$A:$A&amp;盘货信息!$B:$B&amp;盘货信息!$C:$C,盘货信息!$Z:$Z))</f>
        <v/>
      </c>
      <c r="S43" s="27" t="str" cm="1">
        <f t="array" ref="S43">IF(_xlfn.XLOOKUP($A43&amp;$B43&amp;$C43,盘货信息!$A:$A&amp;盘货信息!$B:$B&amp;盘货信息!$C:$C,盘货信息!$Q:$Q)="","","【种草】站外带指定话题种草后返"&amp;_xlfn.XLOOKUP($A43&amp;$B43&amp;$C43,盘货信息!$A:$A&amp;盘货信息!$B:$B&amp;盘货信息!$C:$C,盘货信息!$Q:$Q)&amp;"元红包（每个淘宝账号仅限对应一个站外种草账号，同一个种草账号不可对应多个淘宝账号）")</f>
        <v/>
      </c>
      <c r="T43" s="27" t="str" cm="1">
        <f t="array" ref="T43">IF(_xlfn.XLOOKUP($A43&amp;$B43&amp;$C43,盘货信息!$A:$A&amp;盘货信息!$B:$B&amp;盘货信息!$C:$C,盘货信息!$R:$R)&lt;1,"","【以旧换新】"&amp;"享补贴"&amp;ROUND(_xlfn.XLOOKUP($A43&amp;$B43&amp;$C43,盘货信息!$A:$A&amp;盘货信息!$B:$B&amp;盘货信息!$C:$C,盘货信息!$R:$R),0)&amp;"元（可无旧机换新）")</f>
        <v/>
      </c>
      <c r="U43" s="27" t="str">
        <f>IF(AND($N43="",$O43="",$P43="",$Q43="",$R43="",$S43="",$T43=""),"",固定信息!$B$1)</f>
        <v/>
      </c>
      <c r="V43" s="27" t="str" cm="1">
        <f t="array" ref="V43">IF(_xlfn.XLOOKUP($A43&amp;$B43&amp;$C43,盘货信息!$A:$A&amp;盘货信息!$B:$B&amp;盘货信息!$C:$C,盘货信息!$Y:$Y)="","","【卡萨帝送赠】活动指定时间"&amp;_xlfn.TEXTBEFORE(_xlfn.TEXTAFTER(_xlfn.XLOOKUP($A43&amp;$B43&amp;$C43,盘货信息!$A:$A&amp;盘货信息!$B:$B&amp;盘货信息!$C:$C,盘货信息!$Y:$Y),"点"),"（"))</f>
        <v/>
      </c>
      <c r="W43" s="27" t="str" cm="1">
        <f t="array" ref="W43">IF(COUNTIF(_xlfn.XLOOKUP($A43&amp;$B43&amp;$C43,盘货信息!$A:$A&amp;盘货信息!$B:$B&amp;盘货信息!$C:$C,盘货信息!$O:$O),"*是*"),"【折扣】指定型号满2类享96折，满3类享94折","")</f>
        <v/>
      </c>
      <c r="X43" s="27" t="str" cm="1">
        <f t="array" ref="X43">IF(固定信息!$B$7="","",IF(_xlfn.XLOOKUP($A43&amp;$B43&amp;$C43,盘货信息!$A:$A&amp;盘货信息!$B:$B&amp;盘货信息!$C:$C,盘货信息!$N:$N)="是","【瓜分】"&amp;固定信息!$B$7,""))</f>
        <v/>
      </c>
      <c r="Y43" s="27" t="str">
        <f>IF(AND($V43="",$W43="",$X43=""),"",固定信息!$B$1)</f>
        <v/>
      </c>
      <c r="Z43" s="27" t="str" cm="1">
        <f t="array" ref="Z43">IF($C43="","",_xlfn.XLOOKUP($A43&amp;$B43&amp;$C43,服务!$A:$A&amp;服务!$B:$B&amp;服务!$C:$C,服务!$D:$D))</f>
        <v/>
      </c>
    </row>
    <row r="44" customHeight="1" spans="1:26">
      <c r="A44" s="26" t="str">
        <f>IF(盘货信息!A44="","",盘货信息!A44)</f>
        <v/>
      </c>
      <c r="B44" s="26" t="str">
        <f>IF(盘货信息!B44="","",盘货信息!B44)</f>
        <v/>
      </c>
      <c r="C44" s="27" t="str">
        <f>IF(盘货信息!C44="","",盘货信息!C44)</f>
        <v/>
      </c>
      <c r="D44" s="27" t="str">
        <f ca="1" t="shared" si="0"/>
        <v/>
      </c>
      <c r="E44" s="27" t="str">
        <f>IF(C44="","",固定信息!$B$2)</f>
        <v/>
      </c>
      <c r="F44" s="27" t="str">
        <f>IF(C44="","","【"&amp;C44&amp;"】"&amp;固定信息!$B$4)</f>
        <v/>
      </c>
      <c r="G44" s="27" t="str">
        <f>IF(C44="","","【"&amp;"活动时间："&amp;固定信息!$B$3&amp;"】")</f>
        <v/>
      </c>
      <c r="H44" s="27" t="str">
        <f>IF($C44="","",固定信息!$B$1)</f>
        <v/>
      </c>
      <c r="I44" s="27" t="str">
        <f>IF(OR(C44="",固定信息!$B$5=""),"","【1元预约锁好礼】"&amp;固定信息!$B$5)</f>
        <v/>
      </c>
      <c r="J44" s="27" t="str" cm="1">
        <f t="array" ref="J44">_xlfn.XLOOKUP($A44&amp;$B44&amp;$C44,价格信息!$A:$A&amp;价格信息!$B:$B&amp;价格信息!$C:$C,价格信息!$D:$D)</f>
        <v/>
      </c>
      <c r="K44" s="27" t="str">
        <f>IF($C44="","",固定信息!$B$1)</f>
        <v/>
      </c>
      <c r="L44" s="27" t="str" cm="1">
        <f t="array" ref="L44">IF(_xlfn.XLOOKUP($A44&amp;$B44&amp;$C44,盘货信息!$A:$A&amp;盘货信息!$B:$B&amp;盘货信息!$C:$C,盘货信息!$T:$T)="","","【优惠券】领"&amp;_xlfn.XLOOKUP($A44&amp;$B44&amp;$C44,盘货信息!$A:$A&amp;盘货信息!$B:$B&amp;盘货信息!$C:$C,盘货信息!$T:$T)&amp;"元优惠卷下单更优惠，领券链接："&amp;_xlfn.XLOOKUP($A44&amp;$B44&amp;$C44,盘货信息!$A:$A&amp;盘货信息!$B:$B&amp;盘货信息!$C:$C,盘货信息!$U:$U))</f>
        <v/>
      </c>
      <c r="M44" s="27" t="str" cm="1">
        <f t="array" ref="M44">IF(_xlfn.XLOOKUP($A44&amp;$B44&amp;$C44,盘货信息!$A:$A&amp;盘货信息!$B:$B&amp;盘货信息!$C:$C,盘货信息!$P:$P)="","","【限时】"&amp;_xlfn.XLOOKUP($A44&amp;$B44&amp;$C44,盘货信息!$A:$A&amp;盘货信息!$B:$B&amp;盘货信息!$C:$C,盘货信息!$P:$P))</f>
        <v/>
      </c>
      <c r="N44" s="27" t="str" cm="1">
        <f t="array" ref="N44">IF(_xlfn.XLOOKUP($A44&amp;$B44&amp;$C44,盘货信息!$A:$A&amp;盘货信息!$B:$B&amp;盘货信息!$C:$C,盘货信息!$V:$V)="","","【"&amp;盘货信息!$V$1&amp;"】"&amp;_xlfn.XLOOKUP($A44&amp;$B44&amp;$C44,盘货信息!$A:$A&amp;盘货信息!$B:$B&amp;盘货信息!$C:$C,盘货信息!$V:$V))</f>
        <v/>
      </c>
      <c r="O44" s="27" t="str" cm="1">
        <f t="array" ref="O44">IF(_xlfn.XLOOKUP($A44&amp;$B44&amp;$C44,盘货信息!$A:$A&amp;盘货信息!$B:$B&amp;盘货信息!$C:$C,盘货信息!$W:$W)="","","【"&amp;盘货信息!$W$1&amp;"】"&amp;_xlfn.XLOOKUP($A44&amp;$B44&amp;$C44,盘货信息!$A:$A&amp;盘货信息!$B:$B&amp;盘货信息!$C:$C,盘货信息!$W:$W))</f>
        <v/>
      </c>
      <c r="P44" s="27" t="str" cm="1">
        <f t="array" ref="P44">IF(_xlfn.XLOOKUP($A44&amp;$B44&amp;$C44,盘货信息!$A:$A&amp;盘货信息!$B:$B&amp;盘货信息!$C:$C,盘货信息!$S:$S)&lt;1,"","【"&amp;盘货信息!$S$1&amp;"】"&amp;"后返"&amp;_xlfn.XLOOKUP($A44&amp;$B44&amp;$C44,盘货信息!$A:$A&amp;盘货信息!$B:$B&amp;盘货信息!$C:$C,盘货信息!$S:$S)&amp;"元")</f>
        <v/>
      </c>
      <c r="Q44" s="27" t="str" cm="1">
        <f t="array" ref="Q44">IF(_xlfn.XLOOKUP($A44&amp;$B44&amp;$C44,盘货信息!$A:$A&amp;盘货信息!$B:$B&amp;盘货信息!$C:$C,盘货信息!$X:$X)="","","【"&amp;盘货信息!$X$1&amp;"】"&amp;_xlfn.XLOOKUP($A44&amp;$B44&amp;$C44,盘货信息!$A:$A&amp;盘货信息!$B:$B&amp;盘货信息!$C:$C,盘货信息!$X:$X))</f>
        <v/>
      </c>
      <c r="R44" s="27" t="str" cm="1">
        <f t="array" ref="R44">IF(_xlfn.XLOOKUP($A44&amp;$B44&amp;$C44,盘货信息!$A:$A&amp;盘货信息!$B:$B&amp;盘货信息!$C:$C,盘货信息!$Z:$Z)="","","【"&amp;盘货信息!$Z$1&amp;"】"&amp;_xlfn.XLOOKUP($A44&amp;$B44&amp;$C44,盘货信息!$A:$A&amp;盘货信息!$B:$B&amp;盘货信息!$C:$C,盘货信息!$Z:$Z))</f>
        <v/>
      </c>
      <c r="S44" s="27" t="str" cm="1">
        <f t="array" ref="S44">IF(_xlfn.XLOOKUP($A44&amp;$B44&amp;$C44,盘货信息!$A:$A&amp;盘货信息!$B:$B&amp;盘货信息!$C:$C,盘货信息!$Q:$Q)="","","【种草】站外带指定话题种草后返"&amp;_xlfn.XLOOKUP($A44&amp;$B44&amp;$C44,盘货信息!$A:$A&amp;盘货信息!$B:$B&amp;盘货信息!$C:$C,盘货信息!$Q:$Q)&amp;"元红包（每个淘宝账号仅限对应一个站外种草账号，同一个种草账号不可对应多个淘宝账号）")</f>
        <v/>
      </c>
      <c r="T44" s="27" t="str" cm="1">
        <f t="array" ref="T44">IF(_xlfn.XLOOKUP($A44&amp;$B44&amp;$C44,盘货信息!$A:$A&amp;盘货信息!$B:$B&amp;盘货信息!$C:$C,盘货信息!$R:$R)&lt;1,"","【以旧换新】"&amp;"享补贴"&amp;ROUND(_xlfn.XLOOKUP($A44&amp;$B44&amp;$C44,盘货信息!$A:$A&amp;盘货信息!$B:$B&amp;盘货信息!$C:$C,盘货信息!$R:$R),0)&amp;"元（可无旧机换新）")</f>
        <v/>
      </c>
      <c r="U44" s="27" t="str">
        <f>IF(AND($N44="",$O44="",$P44="",$Q44="",$R44="",$S44="",$T44=""),"",固定信息!$B$1)</f>
        <v/>
      </c>
      <c r="V44" s="27" t="str" cm="1">
        <f t="array" ref="V44">IF(_xlfn.XLOOKUP($A44&amp;$B44&amp;$C44,盘货信息!$A:$A&amp;盘货信息!$B:$B&amp;盘货信息!$C:$C,盘货信息!$Y:$Y)="","","【卡萨帝送赠】活动指定时间"&amp;_xlfn.TEXTBEFORE(_xlfn.TEXTAFTER(_xlfn.XLOOKUP($A44&amp;$B44&amp;$C44,盘货信息!$A:$A&amp;盘货信息!$B:$B&amp;盘货信息!$C:$C,盘货信息!$Y:$Y),"点"),"（"))</f>
        <v/>
      </c>
      <c r="W44" s="27" t="str" cm="1">
        <f t="array" ref="W44">IF(COUNTIF(_xlfn.XLOOKUP($A44&amp;$B44&amp;$C44,盘货信息!$A:$A&amp;盘货信息!$B:$B&amp;盘货信息!$C:$C,盘货信息!$O:$O),"*是*"),"【折扣】指定型号满2类享96折，满3类享94折","")</f>
        <v/>
      </c>
      <c r="X44" s="27" t="str" cm="1">
        <f t="array" ref="X44">IF(固定信息!$B$7="","",IF(_xlfn.XLOOKUP($A44&amp;$B44&amp;$C44,盘货信息!$A:$A&amp;盘货信息!$B:$B&amp;盘货信息!$C:$C,盘货信息!$N:$N)="是","【瓜分】"&amp;固定信息!$B$7,""))</f>
        <v/>
      </c>
      <c r="Y44" s="27" t="str">
        <f>IF(AND($V44="",$W44="",$X44=""),"",固定信息!$B$1)</f>
        <v/>
      </c>
      <c r="Z44" s="27" t="str" cm="1">
        <f t="array" ref="Z44">IF($C44="","",_xlfn.XLOOKUP($A44&amp;$B44&amp;$C44,服务!$A:$A&amp;服务!$B:$B&amp;服务!$C:$C,服务!$D:$D))</f>
        <v/>
      </c>
    </row>
    <row r="45" customHeight="1" spans="1:26">
      <c r="A45" s="26" t="str">
        <f>IF(盘货信息!A45="","",盘货信息!A45)</f>
        <v/>
      </c>
      <c r="B45" s="26" t="str">
        <f>IF(盘货信息!B45="","",盘货信息!B45)</f>
        <v/>
      </c>
      <c r="C45" s="27" t="str">
        <f>IF(盘货信息!C45="","",盘货信息!C45)</f>
        <v/>
      </c>
      <c r="D45" s="27" t="str">
        <f ca="1" t="shared" si="0"/>
        <v/>
      </c>
      <c r="E45" s="27" t="str">
        <f>IF(C45="","",固定信息!$B$2)</f>
        <v/>
      </c>
      <c r="F45" s="27" t="str">
        <f>IF(C45="","","【"&amp;C45&amp;"】"&amp;固定信息!$B$4)</f>
        <v/>
      </c>
      <c r="G45" s="27" t="str">
        <f>IF(C45="","","【"&amp;"活动时间："&amp;固定信息!$B$3&amp;"】")</f>
        <v/>
      </c>
      <c r="H45" s="27" t="str">
        <f>IF($C45="","",固定信息!$B$1)</f>
        <v/>
      </c>
      <c r="I45" s="27" t="str">
        <f>IF(OR(C45="",固定信息!$B$5=""),"","【1元预约锁好礼】"&amp;固定信息!$B$5)</f>
        <v/>
      </c>
      <c r="J45" s="27" t="str" cm="1">
        <f t="array" ref="J45">_xlfn.XLOOKUP($A45&amp;$B45&amp;$C45,价格信息!$A:$A&amp;价格信息!$B:$B&amp;价格信息!$C:$C,价格信息!$D:$D)</f>
        <v/>
      </c>
      <c r="K45" s="27" t="str">
        <f>IF($C45="","",固定信息!$B$1)</f>
        <v/>
      </c>
      <c r="L45" s="27" t="str" cm="1">
        <f t="array" ref="L45">IF(_xlfn.XLOOKUP($A45&amp;$B45&amp;$C45,盘货信息!$A:$A&amp;盘货信息!$B:$B&amp;盘货信息!$C:$C,盘货信息!$T:$T)="","","【优惠券】领"&amp;_xlfn.XLOOKUP($A45&amp;$B45&amp;$C45,盘货信息!$A:$A&amp;盘货信息!$B:$B&amp;盘货信息!$C:$C,盘货信息!$T:$T)&amp;"元优惠卷下单更优惠，领券链接："&amp;_xlfn.XLOOKUP($A45&amp;$B45&amp;$C45,盘货信息!$A:$A&amp;盘货信息!$B:$B&amp;盘货信息!$C:$C,盘货信息!$U:$U))</f>
        <v/>
      </c>
      <c r="M45" s="27" t="str" cm="1">
        <f t="array" ref="M45">IF(_xlfn.XLOOKUP($A45&amp;$B45&amp;$C45,盘货信息!$A:$A&amp;盘货信息!$B:$B&amp;盘货信息!$C:$C,盘货信息!$P:$P)="","","【限时】"&amp;_xlfn.XLOOKUP($A45&amp;$B45&amp;$C45,盘货信息!$A:$A&amp;盘货信息!$B:$B&amp;盘货信息!$C:$C,盘货信息!$P:$P))</f>
        <v/>
      </c>
      <c r="N45" s="27" t="str" cm="1">
        <f t="array" ref="N45">IF(_xlfn.XLOOKUP($A45&amp;$B45&amp;$C45,盘货信息!$A:$A&amp;盘货信息!$B:$B&amp;盘货信息!$C:$C,盘货信息!$V:$V)="","","【"&amp;盘货信息!$V$1&amp;"】"&amp;_xlfn.XLOOKUP($A45&amp;$B45&amp;$C45,盘货信息!$A:$A&amp;盘货信息!$B:$B&amp;盘货信息!$C:$C,盘货信息!$V:$V))</f>
        <v/>
      </c>
      <c r="O45" s="27" t="str" cm="1">
        <f t="array" ref="O45">IF(_xlfn.XLOOKUP($A45&amp;$B45&amp;$C45,盘货信息!$A:$A&amp;盘货信息!$B:$B&amp;盘货信息!$C:$C,盘货信息!$W:$W)="","","【"&amp;盘货信息!$W$1&amp;"】"&amp;_xlfn.XLOOKUP($A45&amp;$B45&amp;$C45,盘货信息!$A:$A&amp;盘货信息!$B:$B&amp;盘货信息!$C:$C,盘货信息!$W:$W))</f>
        <v/>
      </c>
      <c r="P45" s="27" t="str" cm="1">
        <f t="array" ref="P45">IF(_xlfn.XLOOKUP($A45&amp;$B45&amp;$C45,盘货信息!$A:$A&amp;盘货信息!$B:$B&amp;盘货信息!$C:$C,盘货信息!$S:$S)&lt;1,"","【"&amp;盘货信息!$S$1&amp;"】"&amp;"后返"&amp;_xlfn.XLOOKUP($A45&amp;$B45&amp;$C45,盘货信息!$A:$A&amp;盘货信息!$B:$B&amp;盘货信息!$C:$C,盘货信息!$S:$S)&amp;"元")</f>
        <v/>
      </c>
      <c r="Q45" s="27" t="str" cm="1">
        <f t="array" ref="Q45">IF(_xlfn.XLOOKUP($A45&amp;$B45&amp;$C45,盘货信息!$A:$A&amp;盘货信息!$B:$B&amp;盘货信息!$C:$C,盘货信息!$X:$X)="","","【"&amp;盘货信息!$X$1&amp;"】"&amp;_xlfn.XLOOKUP($A45&amp;$B45&amp;$C45,盘货信息!$A:$A&amp;盘货信息!$B:$B&amp;盘货信息!$C:$C,盘货信息!$X:$X))</f>
        <v/>
      </c>
      <c r="R45" s="27" t="str" cm="1">
        <f t="array" ref="R45">IF(_xlfn.XLOOKUP($A45&amp;$B45&amp;$C45,盘货信息!$A:$A&amp;盘货信息!$B:$B&amp;盘货信息!$C:$C,盘货信息!$Z:$Z)="","","【"&amp;盘货信息!$Z$1&amp;"】"&amp;_xlfn.XLOOKUP($A45&amp;$B45&amp;$C45,盘货信息!$A:$A&amp;盘货信息!$B:$B&amp;盘货信息!$C:$C,盘货信息!$Z:$Z))</f>
        <v/>
      </c>
      <c r="S45" s="27" t="str" cm="1">
        <f t="array" ref="S45">IF(_xlfn.XLOOKUP($A45&amp;$B45&amp;$C45,盘货信息!$A:$A&amp;盘货信息!$B:$B&amp;盘货信息!$C:$C,盘货信息!$Q:$Q)="","","【种草】站外带指定话题种草后返"&amp;_xlfn.XLOOKUP($A45&amp;$B45&amp;$C45,盘货信息!$A:$A&amp;盘货信息!$B:$B&amp;盘货信息!$C:$C,盘货信息!$Q:$Q)&amp;"元红包（每个淘宝账号仅限对应一个站外种草账号，同一个种草账号不可对应多个淘宝账号）")</f>
        <v/>
      </c>
      <c r="T45" s="27" t="str" cm="1">
        <f t="array" ref="T45">IF(_xlfn.XLOOKUP($A45&amp;$B45&amp;$C45,盘货信息!$A:$A&amp;盘货信息!$B:$B&amp;盘货信息!$C:$C,盘货信息!$R:$R)&lt;1,"","【以旧换新】"&amp;"享补贴"&amp;ROUND(_xlfn.XLOOKUP($A45&amp;$B45&amp;$C45,盘货信息!$A:$A&amp;盘货信息!$B:$B&amp;盘货信息!$C:$C,盘货信息!$R:$R),0)&amp;"元（可无旧机换新）")</f>
        <v/>
      </c>
      <c r="U45" s="27" t="str">
        <f>IF(AND($N45="",$O45="",$P45="",$Q45="",$R45="",$S45="",$T45=""),"",固定信息!$B$1)</f>
        <v/>
      </c>
      <c r="V45" s="27" t="str" cm="1">
        <f t="array" ref="V45">IF(_xlfn.XLOOKUP($A45&amp;$B45&amp;$C45,盘货信息!$A:$A&amp;盘货信息!$B:$B&amp;盘货信息!$C:$C,盘货信息!$Y:$Y)="","","【卡萨帝送赠】活动指定时间"&amp;_xlfn.TEXTBEFORE(_xlfn.TEXTAFTER(_xlfn.XLOOKUP($A45&amp;$B45&amp;$C45,盘货信息!$A:$A&amp;盘货信息!$B:$B&amp;盘货信息!$C:$C,盘货信息!$Y:$Y),"点"),"（"))</f>
        <v/>
      </c>
      <c r="W45" s="27" t="str" cm="1">
        <f t="array" ref="W45">IF(COUNTIF(_xlfn.XLOOKUP($A45&amp;$B45&amp;$C45,盘货信息!$A:$A&amp;盘货信息!$B:$B&amp;盘货信息!$C:$C,盘货信息!$O:$O),"*是*"),"【折扣】指定型号满2类享96折，满3类享94折","")</f>
        <v/>
      </c>
      <c r="X45" s="27" t="str" cm="1">
        <f t="array" ref="X45">IF(固定信息!$B$7="","",IF(_xlfn.XLOOKUP($A45&amp;$B45&amp;$C45,盘货信息!$A:$A&amp;盘货信息!$B:$B&amp;盘货信息!$C:$C,盘货信息!$N:$N)="是","【瓜分】"&amp;固定信息!$B$7,""))</f>
        <v/>
      </c>
      <c r="Y45" s="27" t="str">
        <f>IF(AND($V45="",$W45="",$X45=""),"",固定信息!$B$1)</f>
        <v/>
      </c>
      <c r="Z45" s="27" t="str" cm="1">
        <f t="array" ref="Z45">IF($C45="","",_xlfn.XLOOKUP($A45&amp;$B45&amp;$C45,服务!$A:$A&amp;服务!$B:$B&amp;服务!$C:$C,服务!$D:$D))</f>
        <v/>
      </c>
    </row>
    <row r="46" customHeight="1" spans="1:26">
      <c r="A46" s="26" t="str">
        <f>IF(盘货信息!A46="","",盘货信息!A46)</f>
        <v/>
      </c>
      <c r="B46" s="26" t="str">
        <f>IF(盘货信息!B46="","",盘货信息!B46)</f>
        <v/>
      </c>
      <c r="C46" s="27" t="str">
        <f>IF(盘货信息!C46="","",盘货信息!C46)</f>
        <v/>
      </c>
      <c r="D46" s="27" t="str">
        <f ca="1" t="shared" si="0"/>
        <v/>
      </c>
      <c r="E46" s="27" t="str">
        <f>IF(C46="","",固定信息!$B$2)</f>
        <v/>
      </c>
      <c r="F46" s="27" t="str">
        <f>IF(C46="","","【"&amp;C46&amp;"】"&amp;固定信息!$B$4)</f>
        <v/>
      </c>
      <c r="G46" s="27" t="str">
        <f>IF(C46="","","【"&amp;"活动时间："&amp;固定信息!$B$3&amp;"】")</f>
        <v/>
      </c>
      <c r="H46" s="27" t="str">
        <f>IF($C46="","",固定信息!$B$1)</f>
        <v/>
      </c>
      <c r="I46" s="27" t="str">
        <f>IF(OR(C46="",固定信息!$B$5=""),"","【1元预约锁好礼】"&amp;固定信息!$B$5)</f>
        <v/>
      </c>
      <c r="J46" s="27" t="str" cm="1">
        <f t="array" ref="J46">_xlfn.XLOOKUP($A46&amp;$B46&amp;$C46,价格信息!$A:$A&amp;价格信息!$B:$B&amp;价格信息!$C:$C,价格信息!$D:$D)</f>
        <v/>
      </c>
      <c r="K46" s="27" t="str">
        <f>IF($C46="","",固定信息!$B$1)</f>
        <v/>
      </c>
      <c r="L46" s="27" t="str" cm="1">
        <f t="array" ref="L46">IF(_xlfn.XLOOKUP($A46&amp;$B46&amp;$C46,盘货信息!$A:$A&amp;盘货信息!$B:$B&amp;盘货信息!$C:$C,盘货信息!$T:$T)="","","【优惠券】领"&amp;_xlfn.XLOOKUP($A46&amp;$B46&amp;$C46,盘货信息!$A:$A&amp;盘货信息!$B:$B&amp;盘货信息!$C:$C,盘货信息!$T:$T)&amp;"元优惠卷下单更优惠，领券链接："&amp;_xlfn.XLOOKUP($A46&amp;$B46&amp;$C46,盘货信息!$A:$A&amp;盘货信息!$B:$B&amp;盘货信息!$C:$C,盘货信息!$U:$U))</f>
        <v/>
      </c>
      <c r="M46" s="27" t="str" cm="1">
        <f t="array" ref="M46">IF(_xlfn.XLOOKUP($A46&amp;$B46&amp;$C46,盘货信息!$A:$A&amp;盘货信息!$B:$B&amp;盘货信息!$C:$C,盘货信息!$P:$P)="","","【限时】"&amp;_xlfn.XLOOKUP($A46&amp;$B46&amp;$C46,盘货信息!$A:$A&amp;盘货信息!$B:$B&amp;盘货信息!$C:$C,盘货信息!$P:$P))</f>
        <v/>
      </c>
      <c r="N46" s="27" t="str" cm="1">
        <f t="array" ref="N46">IF(_xlfn.XLOOKUP($A46&amp;$B46&amp;$C46,盘货信息!$A:$A&amp;盘货信息!$B:$B&amp;盘货信息!$C:$C,盘货信息!$V:$V)="","","【"&amp;盘货信息!$V$1&amp;"】"&amp;_xlfn.XLOOKUP($A46&amp;$B46&amp;$C46,盘货信息!$A:$A&amp;盘货信息!$B:$B&amp;盘货信息!$C:$C,盘货信息!$V:$V))</f>
        <v/>
      </c>
      <c r="O46" s="27" t="str" cm="1">
        <f t="array" ref="O46">IF(_xlfn.XLOOKUP($A46&amp;$B46&amp;$C46,盘货信息!$A:$A&amp;盘货信息!$B:$B&amp;盘货信息!$C:$C,盘货信息!$W:$W)="","","【"&amp;盘货信息!$W$1&amp;"】"&amp;_xlfn.XLOOKUP($A46&amp;$B46&amp;$C46,盘货信息!$A:$A&amp;盘货信息!$B:$B&amp;盘货信息!$C:$C,盘货信息!$W:$W))</f>
        <v/>
      </c>
      <c r="P46" s="27" t="str" cm="1">
        <f t="array" ref="P46">IF(_xlfn.XLOOKUP($A46&amp;$B46&amp;$C46,盘货信息!$A:$A&amp;盘货信息!$B:$B&amp;盘货信息!$C:$C,盘货信息!$S:$S)&lt;1,"","【"&amp;盘货信息!$S$1&amp;"】"&amp;"后返"&amp;_xlfn.XLOOKUP($A46&amp;$B46&amp;$C46,盘货信息!$A:$A&amp;盘货信息!$B:$B&amp;盘货信息!$C:$C,盘货信息!$S:$S)&amp;"元")</f>
        <v/>
      </c>
      <c r="Q46" s="27" t="str" cm="1">
        <f t="array" ref="Q46">IF(_xlfn.XLOOKUP($A46&amp;$B46&amp;$C46,盘货信息!$A:$A&amp;盘货信息!$B:$B&amp;盘货信息!$C:$C,盘货信息!$X:$X)="","","【"&amp;盘货信息!$X$1&amp;"】"&amp;_xlfn.XLOOKUP($A46&amp;$B46&amp;$C46,盘货信息!$A:$A&amp;盘货信息!$B:$B&amp;盘货信息!$C:$C,盘货信息!$X:$X))</f>
        <v/>
      </c>
      <c r="R46" s="27" t="str" cm="1">
        <f t="array" ref="R46">IF(_xlfn.XLOOKUP($A46&amp;$B46&amp;$C46,盘货信息!$A:$A&amp;盘货信息!$B:$B&amp;盘货信息!$C:$C,盘货信息!$Z:$Z)="","","【"&amp;盘货信息!$Z$1&amp;"】"&amp;_xlfn.XLOOKUP($A46&amp;$B46&amp;$C46,盘货信息!$A:$A&amp;盘货信息!$B:$B&amp;盘货信息!$C:$C,盘货信息!$Z:$Z))</f>
        <v/>
      </c>
      <c r="S46" s="27" t="str" cm="1">
        <f t="array" ref="S46">IF(_xlfn.XLOOKUP($A46&amp;$B46&amp;$C46,盘货信息!$A:$A&amp;盘货信息!$B:$B&amp;盘货信息!$C:$C,盘货信息!$Q:$Q)="","","【种草】站外带指定话题种草后返"&amp;_xlfn.XLOOKUP($A46&amp;$B46&amp;$C46,盘货信息!$A:$A&amp;盘货信息!$B:$B&amp;盘货信息!$C:$C,盘货信息!$Q:$Q)&amp;"元红包（每个淘宝账号仅限对应一个站外种草账号，同一个种草账号不可对应多个淘宝账号）")</f>
        <v/>
      </c>
      <c r="T46" s="27" t="str" cm="1">
        <f t="array" ref="T46">IF(_xlfn.XLOOKUP($A46&amp;$B46&amp;$C46,盘货信息!$A:$A&amp;盘货信息!$B:$B&amp;盘货信息!$C:$C,盘货信息!$R:$R)&lt;1,"","【以旧换新】"&amp;"享补贴"&amp;ROUND(_xlfn.XLOOKUP($A46&amp;$B46&amp;$C46,盘货信息!$A:$A&amp;盘货信息!$B:$B&amp;盘货信息!$C:$C,盘货信息!$R:$R),0)&amp;"元（可无旧机换新）")</f>
        <v/>
      </c>
      <c r="U46" s="27" t="str">
        <f>IF(AND($N46="",$O46="",$P46="",$Q46="",$R46="",$S46="",$T46=""),"",固定信息!$B$1)</f>
        <v/>
      </c>
      <c r="V46" s="27" t="str" cm="1">
        <f t="array" ref="V46">IF(_xlfn.XLOOKUP($A46&amp;$B46&amp;$C46,盘货信息!$A:$A&amp;盘货信息!$B:$B&amp;盘货信息!$C:$C,盘货信息!$Y:$Y)="","","【卡萨帝送赠】活动指定时间"&amp;_xlfn.TEXTBEFORE(_xlfn.TEXTAFTER(_xlfn.XLOOKUP($A46&amp;$B46&amp;$C46,盘货信息!$A:$A&amp;盘货信息!$B:$B&amp;盘货信息!$C:$C,盘货信息!$Y:$Y),"点"),"（"))</f>
        <v/>
      </c>
      <c r="W46" s="27" t="str" cm="1">
        <f t="array" ref="W46">IF(COUNTIF(_xlfn.XLOOKUP($A46&amp;$B46&amp;$C46,盘货信息!$A:$A&amp;盘货信息!$B:$B&amp;盘货信息!$C:$C,盘货信息!$O:$O),"*是*"),"【折扣】指定型号满2类享96折，满3类享94折","")</f>
        <v/>
      </c>
      <c r="X46" s="27" t="str" cm="1">
        <f t="array" ref="X46">IF(固定信息!$B$7="","",IF(_xlfn.XLOOKUP($A46&amp;$B46&amp;$C46,盘货信息!$A:$A&amp;盘货信息!$B:$B&amp;盘货信息!$C:$C,盘货信息!$N:$N)="是","【瓜分】"&amp;固定信息!$B$7,""))</f>
        <v/>
      </c>
      <c r="Y46" s="27" t="str">
        <f>IF(AND($V46="",$W46="",$X46=""),"",固定信息!$B$1)</f>
        <v/>
      </c>
      <c r="Z46" s="27" t="str" cm="1">
        <f t="array" ref="Z46">IF($C46="","",_xlfn.XLOOKUP($A46&amp;$B46&amp;$C46,服务!$A:$A&amp;服务!$B:$B&amp;服务!$C:$C,服务!$D:$D))</f>
        <v/>
      </c>
    </row>
    <row r="47" customHeight="1" spans="1:26">
      <c r="A47" s="26" t="str">
        <f>IF(盘货信息!A47="","",盘货信息!A47)</f>
        <v/>
      </c>
      <c r="B47" s="26" t="str">
        <f>IF(盘货信息!B47="","",盘货信息!B47)</f>
        <v/>
      </c>
      <c r="C47" s="27" t="str">
        <f>IF(盘货信息!C47="","",盘货信息!C47)</f>
        <v/>
      </c>
      <c r="D47" s="27" t="str">
        <f ca="1" t="shared" si="0"/>
        <v/>
      </c>
      <c r="E47" s="27" t="str">
        <f>IF(C47="","",固定信息!$B$2)</f>
        <v/>
      </c>
      <c r="F47" s="27" t="str">
        <f>IF(C47="","","【"&amp;C47&amp;"】"&amp;固定信息!$B$4)</f>
        <v/>
      </c>
      <c r="G47" s="27" t="str">
        <f>IF(C47="","","【"&amp;"活动时间："&amp;固定信息!$B$3&amp;"】")</f>
        <v/>
      </c>
      <c r="H47" s="27" t="str">
        <f>IF($C47="","",固定信息!$B$1)</f>
        <v/>
      </c>
      <c r="I47" s="27" t="str">
        <f>IF(OR(C47="",固定信息!$B$5=""),"","【1元预约锁好礼】"&amp;固定信息!$B$5)</f>
        <v/>
      </c>
      <c r="J47" s="27" t="str" cm="1">
        <f t="array" ref="J47">_xlfn.XLOOKUP($A47&amp;$B47&amp;$C47,价格信息!$A:$A&amp;价格信息!$B:$B&amp;价格信息!$C:$C,价格信息!$D:$D)</f>
        <v/>
      </c>
      <c r="K47" s="27" t="str">
        <f>IF($C47="","",固定信息!$B$1)</f>
        <v/>
      </c>
      <c r="L47" s="27" t="str" cm="1">
        <f t="array" ref="L47">IF(_xlfn.XLOOKUP($A47&amp;$B47&amp;$C47,盘货信息!$A:$A&amp;盘货信息!$B:$B&amp;盘货信息!$C:$C,盘货信息!$T:$T)="","","【优惠券】领"&amp;_xlfn.XLOOKUP($A47&amp;$B47&amp;$C47,盘货信息!$A:$A&amp;盘货信息!$B:$B&amp;盘货信息!$C:$C,盘货信息!$T:$T)&amp;"元优惠卷下单更优惠，领券链接："&amp;_xlfn.XLOOKUP($A47&amp;$B47&amp;$C47,盘货信息!$A:$A&amp;盘货信息!$B:$B&amp;盘货信息!$C:$C,盘货信息!$U:$U))</f>
        <v/>
      </c>
      <c r="M47" s="27" t="str" cm="1">
        <f t="array" ref="M47">IF(_xlfn.XLOOKUP($A47&amp;$B47&amp;$C47,盘货信息!$A:$A&amp;盘货信息!$B:$B&amp;盘货信息!$C:$C,盘货信息!$P:$P)="","","【限时】"&amp;_xlfn.XLOOKUP($A47&amp;$B47&amp;$C47,盘货信息!$A:$A&amp;盘货信息!$B:$B&amp;盘货信息!$C:$C,盘货信息!$P:$P))</f>
        <v/>
      </c>
      <c r="N47" s="27" t="str" cm="1">
        <f t="array" ref="N47">IF(_xlfn.XLOOKUP($A47&amp;$B47&amp;$C47,盘货信息!$A:$A&amp;盘货信息!$B:$B&amp;盘货信息!$C:$C,盘货信息!$V:$V)="","","【"&amp;盘货信息!$V$1&amp;"】"&amp;_xlfn.XLOOKUP($A47&amp;$B47&amp;$C47,盘货信息!$A:$A&amp;盘货信息!$B:$B&amp;盘货信息!$C:$C,盘货信息!$V:$V))</f>
        <v/>
      </c>
      <c r="O47" s="27" t="str" cm="1">
        <f t="array" ref="O47">IF(_xlfn.XLOOKUP($A47&amp;$B47&amp;$C47,盘货信息!$A:$A&amp;盘货信息!$B:$B&amp;盘货信息!$C:$C,盘货信息!$W:$W)="","","【"&amp;盘货信息!$W$1&amp;"】"&amp;_xlfn.XLOOKUP($A47&amp;$B47&amp;$C47,盘货信息!$A:$A&amp;盘货信息!$B:$B&amp;盘货信息!$C:$C,盘货信息!$W:$W))</f>
        <v/>
      </c>
      <c r="P47" s="27" t="str" cm="1">
        <f t="array" ref="P47">IF(_xlfn.XLOOKUP($A47&amp;$B47&amp;$C47,盘货信息!$A:$A&amp;盘货信息!$B:$B&amp;盘货信息!$C:$C,盘货信息!$S:$S)&lt;1,"","【"&amp;盘货信息!$S$1&amp;"】"&amp;"后返"&amp;_xlfn.XLOOKUP($A47&amp;$B47&amp;$C47,盘货信息!$A:$A&amp;盘货信息!$B:$B&amp;盘货信息!$C:$C,盘货信息!$S:$S)&amp;"元")</f>
        <v/>
      </c>
      <c r="Q47" s="27" t="str" cm="1">
        <f t="array" ref="Q47">IF(_xlfn.XLOOKUP($A47&amp;$B47&amp;$C47,盘货信息!$A:$A&amp;盘货信息!$B:$B&amp;盘货信息!$C:$C,盘货信息!$X:$X)="","","【"&amp;盘货信息!$X$1&amp;"】"&amp;_xlfn.XLOOKUP($A47&amp;$B47&amp;$C47,盘货信息!$A:$A&amp;盘货信息!$B:$B&amp;盘货信息!$C:$C,盘货信息!$X:$X))</f>
        <v/>
      </c>
      <c r="R47" s="27" t="str" cm="1">
        <f t="array" ref="R47">IF(_xlfn.XLOOKUP($A47&amp;$B47&amp;$C47,盘货信息!$A:$A&amp;盘货信息!$B:$B&amp;盘货信息!$C:$C,盘货信息!$Z:$Z)="","","【"&amp;盘货信息!$Z$1&amp;"】"&amp;_xlfn.XLOOKUP($A47&amp;$B47&amp;$C47,盘货信息!$A:$A&amp;盘货信息!$B:$B&amp;盘货信息!$C:$C,盘货信息!$Z:$Z))</f>
        <v/>
      </c>
      <c r="S47" s="27" t="str" cm="1">
        <f t="array" ref="S47">IF(_xlfn.XLOOKUP($A47&amp;$B47&amp;$C47,盘货信息!$A:$A&amp;盘货信息!$B:$B&amp;盘货信息!$C:$C,盘货信息!$Q:$Q)="","","【种草】站外带指定话题种草后返"&amp;_xlfn.XLOOKUP($A47&amp;$B47&amp;$C47,盘货信息!$A:$A&amp;盘货信息!$B:$B&amp;盘货信息!$C:$C,盘货信息!$Q:$Q)&amp;"元红包（每个淘宝账号仅限对应一个站外种草账号，同一个种草账号不可对应多个淘宝账号）")</f>
        <v/>
      </c>
      <c r="T47" s="27" t="str" cm="1">
        <f t="array" ref="T47">IF(_xlfn.XLOOKUP($A47&amp;$B47&amp;$C47,盘货信息!$A:$A&amp;盘货信息!$B:$B&amp;盘货信息!$C:$C,盘货信息!$R:$R)&lt;1,"","【以旧换新】"&amp;"享补贴"&amp;ROUND(_xlfn.XLOOKUP($A47&amp;$B47&amp;$C47,盘货信息!$A:$A&amp;盘货信息!$B:$B&amp;盘货信息!$C:$C,盘货信息!$R:$R),0)&amp;"元（可无旧机换新）")</f>
        <v/>
      </c>
      <c r="U47" s="27" t="str">
        <f>IF(AND($N47="",$O47="",$P47="",$Q47="",$R47="",$S47="",$T47=""),"",固定信息!$B$1)</f>
        <v/>
      </c>
      <c r="V47" s="27" t="str" cm="1">
        <f t="array" ref="V47">IF(_xlfn.XLOOKUP($A47&amp;$B47&amp;$C47,盘货信息!$A:$A&amp;盘货信息!$B:$B&amp;盘货信息!$C:$C,盘货信息!$Y:$Y)="","","【卡萨帝送赠】活动指定时间"&amp;_xlfn.TEXTBEFORE(_xlfn.TEXTAFTER(_xlfn.XLOOKUP($A47&amp;$B47&amp;$C47,盘货信息!$A:$A&amp;盘货信息!$B:$B&amp;盘货信息!$C:$C,盘货信息!$Y:$Y),"点"),"（"))</f>
        <v/>
      </c>
      <c r="W47" s="27" t="str" cm="1">
        <f t="array" ref="W47">IF(COUNTIF(_xlfn.XLOOKUP($A47&amp;$B47&amp;$C47,盘货信息!$A:$A&amp;盘货信息!$B:$B&amp;盘货信息!$C:$C,盘货信息!$O:$O),"*是*"),"【折扣】指定型号满2类享96折，满3类享94折","")</f>
        <v/>
      </c>
      <c r="X47" s="27" t="str" cm="1">
        <f t="array" ref="X47">IF(固定信息!$B$7="","",IF(_xlfn.XLOOKUP($A47&amp;$B47&amp;$C47,盘货信息!$A:$A&amp;盘货信息!$B:$B&amp;盘货信息!$C:$C,盘货信息!$N:$N)="是","【瓜分】"&amp;固定信息!$B$7,""))</f>
        <v/>
      </c>
      <c r="Y47" s="27" t="str">
        <f>IF(AND($V47="",$W47="",$X47=""),"",固定信息!$B$1)</f>
        <v/>
      </c>
      <c r="Z47" s="27" t="str" cm="1">
        <f t="array" ref="Z47">IF($C47="","",_xlfn.XLOOKUP($A47&amp;$B47&amp;$C47,服务!$A:$A&amp;服务!$B:$B&amp;服务!$C:$C,服务!$D:$D))</f>
        <v/>
      </c>
    </row>
    <row r="48" customHeight="1" spans="1:26">
      <c r="A48" s="26" t="str">
        <f>IF(盘货信息!A48="","",盘货信息!A48)</f>
        <v/>
      </c>
      <c r="B48" s="26" t="str">
        <f>IF(盘货信息!B48="","",盘货信息!B48)</f>
        <v/>
      </c>
      <c r="C48" s="27" t="str">
        <f>IF(盘货信息!C48="","",盘货信息!C48)</f>
        <v/>
      </c>
      <c r="D48" s="27" t="str">
        <f ca="1" t="shared" si="0"/>
        <v/>
      </c>
      <c r="E48" s="27" t="str">
        <f>IF(C48="","",固定信息!$B$2)</f>
        <v/>
      </c>
      <c r="F48" s="27" t="str">
        <f>IF(C48="","","【"&amp;C48&amp;"】"&amp;固定信息!$B$4)</f>
        <v/>
      </c>
      <c r="G48" s="27" t="str">
        <f>IF(C48="","","【"&amp;"活动时间："&amp;固定信息!$B$3&amp;"】")</f>
        <v/>
      </c>
      <c r="H48" s="27" t="str">
        <f>IF($C48="","",固定信息!$B$1)</f>
        <v/>
      </c>
      <c r="I48" s="27" t="str">
        <f>IF(OR(C48="",固定信息!$B$5=""),"","【1元预约锁好礼】"&amp;固定信息!$B$5)</f>
        <v/>
      </c>
      <c r="J48" s="27" t="str" cm="1">
        <f t="array" ref="J48">_xlfn.XLOOKUP($A48&amp;$B48&amp;$C48,价格信息!$A:$A&amp;价格信息!$B:$B&amp;价格信息!$C:$C,价格信息!$D:$D)</f>
        <v/>
      </c>
      <c r="K48" s="27" t="str">
        <f>IF($C48="","",固定信息!$B$1)</f>
        <v/>
      </c>
      <c r="L48" s="27" t="str" cm="1">
        <f t="array" ref="L48">IF(_xlfn.XLOOKUP($A48&amp;$B48&amp;$C48,盘货信息!$A:$A&amp;盘货信息!$B:$B&amp;盘货信息!$C:$C,盘货信息!$T:$T)="","","【优惠券】领"&amp;_xlfn.XLOOKUP($A48&amp;$B48&amp;$C48,盘货信息!$A:$A&amp;盘货信息!$B:$B&amp;盘货信息!$C:$C,盘货信息!$T:$T)&amp;"元优惠卷下单更优惠，领券链接："&amp;_xlfn.XLOOKUP($A48&amp;$B48&amp;$C48,盘货信息!$A:$A&amp;盘货信息!$B:$B&amp;盘货信息!$C:$C,盘货信息!$U:$U))</f>
        <v/>
      </c>
      <c r="M48" s="27" t="str" cm="1">
        <f t="array" ref="M48">IF(_xlfn.XLOOKUP($A48&amp;$B48&amp;$C48,盘货信息!$A:$A&amp;盘货信息!$B:$B&amp;盘货信息!$C:$C,盘货信息!$P:$P)="","","【限时】"&amp;_xlfn.XLOOKUP($A48&amp;$B48&amp;$C48,盘货信息!$A:$A&amp;盘货信息!$B:$B&amp;盘货信息!$C:$C,盘货信息!$P:$P))</f>
        <v/>
      </c>
      <c r="N48" s="27" t="str" cm="1">
        <f t="array" ref="N48">IF(_xlfn.XLOOKUP($A48&amp;$B48&amp;$C48,盘货信息!$A:$A&amp;盘货信息!$B:$B&amp;盘货信息!$C:$C,盘货信息!$V:$V)="","","【"&amp;盘货信息!$V$1&amp;"】"&amp;_xlfn.XLOOKUP($A48&amp;$B48&amp;$C48,盘货信息!$A:$A&amp;盘货信息!$B:$B&amp;盘货信息!$C:$C,盘货信息!$V:$V))</f>
        <v/>
      </c>
      <c r="O48" s="27" t="str" cm="1">
        <f t="array" ref="O48">IF(_xlfn.XLOOKUP($A48&amp;$B48&amp;$C48,盘货信息!$A:$A&amp;盘货信息!$B:$B&amp;盘货信息!$C:$C,盘货信息!$W:$W)="","","【"&amp;盘货信息!$W$1&amp;"】"&amp;_xlfn.XLOOKUP($A48&amp;$B48&amp;$C48,盘货信息!$A:$A&amp;盘货信息!$B:$B&amp;盘货信息!$C:$C,盘货信息!$W:$W))</f>
        <v/>
      </c>
      <c r="P48" s="27" t="str" cm="1">
        <f t="array" ref="P48">IF(_xlfn.XLOOKUP($A48&amp;$B48&amp;$C48,盘货信息!$A:$A&amp;盘货信息!$B:$B&amp;盘货信息!$C:$C,盘货信息!$S:$S)&lt;1,"","【"&amp;盘货信息!$S$1&amp;"】"&amp;"后返"&amp;_xlfn.XLOOKUP($A48&amp;$B48&amp;$C48,盘货信息!$A:$A&amp;盘货信息!$B:$B&amp;盘货信息!$C:$C,盘货信息!$S:$S)&amp;"元")</f>
        <v/>
      </c>
      <c r="Q48" s="27" t="str" cm="1">
        <f t="array" ref="Q48">IF(_xlfn.XLOOKUP($A48&amp;$B48&amp;$C48,盘货信息!$A:$A&amp;盘货信息!$B:$B&amp;盘货信息!$C:$C,盘货信息!$X:$X)="","","【"&amp;盘货信息!$X$1&amp;"】"&amp;_xlfn.XLOOKUP($A48&amp;$B48&amp;$C48,盘货信息!$A:$A&amp;盘货信息!$B:$B&amp;盘货信息!$C:$C,盘货信息!$X:$X))</f>
        <v/>
      </c>
      <c r="R48" s="27" t="str" cm="1">
        <f t="array" ref="R48">IF(_xlfn.XLOOKUP($A48&amp;$B48&amp;$C48,盘货信息!$A:$A&amp;盘货信息!$B:$B&amp;盘货信息!$C:$C,盘货信息!$Z:$Z)="","","【"&amp;盘货信息!$Z$1&amp;"】"&amp;_xlfn.XLOOKUP($A48&amp;$B48&amp;$C48,盘货信息!$A:$A&amp;盘货信息!$B:$B&amp;盘货信息!$C:$C,盘货信息!$Z:$Z))</f>
        <v/>
      </c>
      <c r="S48" s="27" t="str" cm="1">
        <f t="array" ref="S48">IF(_xlfn.XLOOKUP($A48&amp;$B48&amp;$C48,盘货信息!$A:$A&amp;盘货信息!$B:$B&amp;盘货信息!$C:$C,盘货信息!$Q:$Q)="","","【种草】站外带指定话题种草后返"&amp;_xlfn.XLOOKUP($A48&amp;$B48&amp;$C48,盘货信息!$A:$A&amp;盘货信息!$B:$B&amp;盘货信息!$C:$C,盘货信息!$Q:$Q)&amp;"元红包（每个淘宝账号仅限对应一个站外种草账号，同一个种草账号不可对应多个淘宝账号）")</f>
        <v/>
      </c>
      <c r="T48" s="27" t="str" cm="1">
        <f t="array" ref="T48">IF(_xlfn.XLOOKUP($A48&amp;$B48&amp;$C48,盘货信息!$A:$A&amp;盘货信息!$B:$B&amp;盘货信息!$C:$C,盘货信息!$R:$R)&lt;1,"","【以旧换新】"&amp;"享补贴"&amp;ROUND(_xlfn.XLOOKUP($A48&amp;$B48&amp;$C48,盘货信息!$A:$A&amp;盘货信息!$B:$B&amp;盘货信息!$C:$C,盘货信息!$R:$R),0)&amp;"元（可无旧机换新）")</f>
        <v/>
      </c>
      <c r="U48" s="27" t="str">
        <f>IF(AND($N48="",$O48="",$P48="",$Q48="",$R48="",$S48="",$T48=""),"",固定信息!$B$1)</f>
        <v/>
      </c>
      <c r="V48" s="27" t="str" cm="1">
        <f t="array" ref="V48">IF(_xlfn.XLOOKUP($A48&amp;$B48&amp;$C48,盘货信息!$A:$A&amp;盘货信息!$B:$B&amp;盘货信息!$C:$C,盘货信息!$Y:$Y)="","","【卡萨帝送赠】活动指定时间"&amp;_xlfn.TEXTBEFORE(_xlfn.TEXTAFTER(_xlfn.XLOOKUP($A48&amp;$B48&amp;$C48,盘货信息!$A:$A&amp;盘货信息!$B:$B&amp;盘货信息!$C:$C,盘货信息!$Y:$Y),"点"),"（"))</f>
        <v/>
      </c>
      <c r="W48" s="27" t="str" cm="1">
        <f t="array" ref="W48">IF(COUNTIF(_xlfn.XLOOKUP($A48&amp;$B48&amp;$C48,盘货信息!$A:$A&amp;盘货信息!$B:$B&amp;盘货信息!$C:$C,盘货信息!$O:$O),"*是*"),"【折扣】指定型号满2类享96折，满3类享94折","")</f>
        <v/>
      </c>
      <c r="X48" s="27" t="str" cm="1">
        <f t="array" ref="X48">IF(固定信息!$B$7="","",IF(_xlfn.XLOOKUP($A48&amp;$B48&amp;$C48,盘货信息!$A:$A&amp;盘货信息!$B:$B&amp;盘货信息!$C:$C,盘货信息!$N:$N)="是","【瓜分】"&amp;固定信息!$B$7,""))</f>
        <v/>
      </c>
      <c r="Y48" s="27" t="str">
        <f>IF(AND($V48="",$W48="",$X48=""),"",固定信息!$B$1)</f>
        <v/>
      </c>
      <c r="Z48" s="27" t="str" cm="1">
        <f t="array" ref="Z48">IF($C48="","",_xlfn.XLOOKUP($A48&amp;$B48&amp;$C48,服务!$A:$A&amp;服务!$B:$B&amp;服务!$C:$C,服务!$D:$D))</f>
        <v/>
      </c>
    </row>
    <row r="49" customHeight="1" spans="1:26">
      <c r="A49" s="26" t="str">
        <f>IF(盘货信息!A49="","",盘货信息!A49)</f>
        <v/>
      </c>
      <c r="B49" s="26" t="str">
        <f>IF(盘货信息!B49="","",盘货信息!B49)</f>
        <v/>
      </c>
      <c r="C49" s="27" t="str">
        <f>IF(盘货信息!C49="","",盘货信息!C49)</f>
        <v/>
      </c>
      <c r="D49" s="27" t="str">
        <f ca="1" t="shared" si="0"/>
        <v/>
      </c>
      <c r="E49" s="27" t="str">
        <f>IF(C49="","",固定信息!$B$2)</f>
        <v/>
      </c>
      <c r="F49" s="27" t="str">
        <f>IF(C49="","","【"&amp;C49&amp;"】"&amp;固定信息!$B$4)</f>
        <v/>
      </c>
      <c r="G49" s="27" t="str">
        <f>IF(C49="","","【"&amp;"活动时间："&amp;固定信息!$B$3&amp;"】")</f>
        <v/>
      </c>
      <c r="H49" s="27" t="str">
        <f>IF($C49="","",固定信息!$B$1)</f>
        <v/>
      </c>
      <c r="I49" s="27" t="str">
        <f>IF(OR(C49="",固定信息!$B$5=""),"","【1元预约锁好礼】"&amp;固定信息!$B$5)</f>
        <v/>
      </c>
      <c r="J49" s="27" t="str" cm="1">
        <f t="array" ref="J49">_xlfn.XLOOKUP($A49&amp;$B49&amp;$C49,价格信息!$A:$A&amp;价格信息!$B:$B&amp;价格信息!$C:$C,价格信息!$D:$D)</f>
        <v/>
      </c>
      <c r="K49" s="27" t="str">
        <f>IF($C49="","",固定信息!$B$1)</f>
        <v/>
      </c>
      <c r="L49" s="27" t="str" cm="1">
        <f t="array" ref="L49">IF(_xlfn.XLOOKUP($A49&amp;$B49&amp;$C49,盘货信息!$A:$A&amp;盘货信息!$B:$B&amp;盘货信息!$C:$C,盘货信息!$T:$T)="","","【优惠券】领"&amp;_xlfn.XLOOKUP($A49&amp;$B49&amp;$C49,盘货信息!$A:$A&amp;盘货信息!$B:$B&amp;盘货信息!$C:$C,盘货信息!$T:$T)&amp;"元优惠卷下单更优惠，领券链接："&amp;_xlfn.XLOOKUP($A49&amp;$B49&amp;$C49,盘货信息!$A:$A&amp;盘货信息!$B:$B&amp;盘货信息!$C:$C,盘货信息!$U:$U))</f>
        <v/>
      </c>
      <c r="M49" s="27" t="str" cm="1">
        <f t="array" ref="M49">IF(_xlfn.XLOOKUP($A49&amp;$B49&amp;$C49,盘货信息!$A:$A&amp;盘货信息!$B:$B&amp;盘货信息!$C:$C,盘货信息!$P:$P)="","","【限时】"&amp;_xlfn.XLOOKUP($A49&amp;$B49&amp;$C49,盘货信息!$A:$A&amp;盘货信息!$B:$B&amp;盘货信息!$C:$C,盘货信息!$P:$P))</f>
        <v/>
      </c>
      <c r="N49" s="27" t="str" cm="1">
        <f t="array" ref="N49">IF(_xlfn.XLOOKUP($A49&amp;$B49&amp;$C49,盘货信息!$A:$A&amp;盘货信息!$B:$B&amp;盘货信息!$C:$C,盘货信息!$V:$V)="","","【"&amp;盘货信息!$V$1&amp;"】"&amp;_xlfn.XLOOKUP($A49&amp;$B49&amp;$C49,盘货信息!$A:$A&amp;盘货信息!$B:$B&amp;盘货信息!$C:$C,盘货信息!$V:$V))</f>
        <v/>
      </c>
      <c r="O49" s="27" t="str" cm="1">
        <f t="array" ref="O49">IF(_xlfn.XLOOKUP($A49&amp;$B49&amp;$C49,盘货信息!$A:$A&amp;盘货信息!$B:$B&amp;盘货信息!$C:$C,盘货信息!$W:$W)="","","【"&amp;盘货信息!$W$1&amp;"】"&amp;_xlfn.XLOOKUP($A49&amp;$B49&amp;$C49,盘货信息!$A:$A&amp;盘货信息!$B:$B&amp;盘货信息!$C:$C,盘货信息!$W:$W))</f>
        <v/>
      </c>
      <c r="P49" s="27" t="str" cm="1">
        <f t="array" ref="P49">IF(_xlfn.XLOOKUP($A49&amp;$B49&amp;$C49,盘货信息!$A:$A&amp;盘货信息!$B:$B&amp;盘货信息!$C:$C,盘货信息!$S:$S)&lt;1,"","【"&amp;盘货信息!$S$1&amp;"】"&amp;"后返"&amp;_xlfn.XLOOKUP($A49&amp;$B49&amp;$C49,盘货信息!$A:$A&amp;盘货信息!$B:$B&amp;盘货信息!$C:$C,盘货信息!$S:$S)&amp;"元")</f>
        <v/>
      </c>
      <c r="Q49" s="27" t="str" cm="1">
        <f t="array" ref="Q49">IF(_xlfn.XLOOKUP($A49&amp;$B49&amp;$C49,盘货信息!$A:$A&amp;盘货信息!$B:$B&amp;盘货信息!$C:$C,盘货信息!$X:$X)="","","【"&amp;盘货信息!$X$1&amp;"】"&amp;_xlfn.XLOOKUP($A49&amp;$B49&amp;$C49,盘货信息!$A:$A&amp;盘货信息!$B:$B&amp;盘货信息!$C:$C,盘货信息!$X:$X))</f>
        <v/>
      </c>
      <c r="R49" s="27" t="str" cm="1">
        <f t="array" ref="R49">IF(_xlfn.XLOOKUP($A49&amp;$B49&amp;$C49,盘货信息!$A:$A&amp;盘货信息!$B:$B&amp;盘货信息!$C:$C,盘货信息!$Z:$Z)="","","【"&amp;盘货信息!$Z$1&amp;"】"&amp;_xlfn.XLOOKUP($A49&amp;$B49&amp;$C49,盘货信息!$A:$A&amp;盘货信息!$B:$B&amp;盘货信息!$C:$C,盘货信息!$Z:$Z))</f>
        <v/>
      </c>
      <c r="S49" s="27" t="str" cm="1">
        <f t="array" ref="S49">IF(_xlfn.XLOOKUP($A49&amp;$B49&amp;$C49,盘货信息!$A:$A&amp;盘货信息!$B:$B&amp;盘货信息!$C:$C,盘货信息!$Q:$Q)="","","【种草】站外带指定话题种草后返"&amp;_xlfn.XLOOKUP($A49&amp;$B49&amp;$C49,盘货信息!$A:$A&amp;盘货信息!$B:$B&amp;盘货信息!$C:$C,盘货信息!$Q:$Q)&amp;"元红包（每个淘宝账号仅限对应一个站外种草账号，同一个种草账号不可对应多个淘宝账号）")</f>
        <v/>
      </c>
      <c r="T49" s="27" t="str" cm="1">
        <f t="array" ref="T49">IF(_xlfn.XLOOKUP($A49&amp;$B49&amp;$C49,盘货信息!$A:$A&amp;盘货信息!$B:$B&amp;盘货信息!$C:$C,盘货信息!$R:$R)&lt;1,"","【以旧换新】"&amp;"享补贴"&amp;ROUND(_xlfn.XLOOKUP($A49&amp;$B49&amp;$C49,盘货信息!$A:$A&amp;盘货信息!$B:$B&amp;盘货信息!$C:$C,盘货信息!$R:$R),0)&amp;"元（可无旧机换新）")</f>
        <v/>
      </c>
      <c r="U49" s="27" t="str">
        <f>IF(AND($N49="",$O49="",$P49="",$Q49="",$R49="",$S49="",$T49=""),"",固定信息!$B$1)</f>
        <v/>
      </c>
      <c r="V49" s="27" t="str" cm="1">
        <f t="array" ref="V49">IF(_xlfn.XLOOKUP($A49&amp;$B49&amp;$C49,盘货信息!$A:$A&amp;盘货信息!$B:$B&amp;盘货信息!$C:$C,盘货信息!$Y:$Y)="","","【卡萨帝送赠】活动指定时间"&amp;_xlfn.TEXTBEFORE(_xlfn.TEXTAFTER(_xlfn.XLOOKUP($A49&amp;$B49&amp;$C49,盘货信息!$A:$A&amp;盘货信息!$B:$B&amp;盘货信息!$C:$C,盘货信息!$Y:$Y),"点"),"（"))</f>
        <v/>
      </c>
      <c r="W49" s="27" t="str" cm="1">
        <f t="array" ref="W49">IF(COUNTIF(_xlfn.XLOOKUP($A49&amp;$B49&amp;$C49,盘货信息!$A:$A&amp;盘货信息!$B:$B&amp;盘货信息!$C:$C,盘货信息!$O:$O),"*是*"),"【折扣】指定型号满2类享96折，满3类享94折","")</f>
        <v/>
      </c>
      <c r="X49" s="27" t="str" cm="1">
        <f t="array" ref="X49">IF(固定信息!$B$7="","",IF(_xlfn.XLOOKUP($A49&amp;$B49&amp;$C49,盘货信息!$A:$A&amp;盘货信息!$B:$B&amp;盘货信息!$C:$C,盘货信息!$N:$N)="是","【瓜分】"&amp;固定信息!$B$7,""))</f>
        <v/>
      </c>
      <c r="Y49" s="27" t="str">
        <f>IF(AND($V49="",$W49="",$X49=""),"",固定信息!$B$1)</f>
        <v/>
      </c>
      <c r="Z49" s="27" t="str" cm="1">
        <f t="array" ref="Z49">IF($C49="","",_xlfn.XLOOKUP($A49&amp;$B49&amp;$C49,服务!$A:$A&amp;服务!$B:$B&amp;服务!$C:$C,服务!$D:$D))</f>
        <v/>
      </c>
    </row>
    <row r="50" customHeight="1" spans="1:26">
      <c r="A50" s="26" t="str">
        <f>IF(盘货信息!A50="","",盘货信息!A50)</f>
        <v/>
      </c>
      <c r="B50" s="26" t="str">
        <f>IF(盘货信息!B50="","",盘货信息!B50)</f>
        <v/>
      </c>
      <c r="C50" s="27" t="str">
        <f>IF(盘货信息!C50="","",盘货信息!C50)</f>
        <v/>
      </c>
      <c r="D50" s="27" t="str">
        <f ca="1" t="shared" si="0"/>
        <v/>
      </c>
      <c r="E50" s="27" t="str">
        <f>IF(C50="","",固定信息!$B$2)</f>
        <v/>
      </c>
      <c r="F50" s="27" t="str">
        <f>IF(C50="","","【"&amp;C50&amp;"】"&amp;固定信息!$B$4)</f>
        <v/>
      </c>
      <c r="G50" s="27" t="str">
        <f>IF(C50="","","【"&amp;"活动时间："&amp;固定信息!$B$3&amp;"】")</f>
        <v/>
      </c>
      <c r="H50" s="27" t="str">
        <f>IF($C50="","",固定信息!$B$1)</f>
        <v/>
      </c>
      <c r="I50" s="27" t="str">
        <f>IF(OR(C50="",固定信息!$B$5=""),"","【1元预约锁好礼】"&amp;固定信息!$B$5)</f>
        <v/>
      </c>
      <c r="J50" s="27" t="str" cm="1">
        <f t="array" ref="J50">_xlfn.XLOOKUP($A50&amp;$B50&amp;$C50,价格信息!$A:$A&amp;价格信息!$B:$B&amp;价格信息!$C:$C,价格信息!$D:$D)</f>
        <v/>
      </c>
      <c r="K50" s="27" t="str">
        <f>IF($C50="","",固定信息!$B$1)</f>
        <v/>
      </c>
      <c r="L50" s="27" t="str" cm="1">
        <f t="array" ref="L50">IF(_xlfn.XLOOKUP($A50&amp;$B50&amp;$C50,盘货信息!$A:$A&amp;盘货信息!$B:$B&amp;盘货信息!$C:$C,盘货信息!$T:$T)="","","【优惠券】领"&amp;_xlfn.XLOOKUP($A50&amp;$B50&amp;$C50,盘货信息!$A:$A&amp;盘货信息!$B:$B&amp;盘货信息!$C:$C,盘货信息!$T:$T)&amp;"元优惠卷下单更优惠，领券链接："&amp;_xlfn.XLOOKUP($A50&amp;$B50&amp;$C50,盘货信息!$A:$A&amp;盘货信息!$B:$B&amp;盘货信息!$C:$C,盘货信息!$U:$U))</f>
        <v/>
      </c>
      <c r="M50" s="27" t="str" cm="1">
        <f t="array" ref="M50">IF(_xlfn.XLOOKUP($A50&amp;$B50&amp;$C50,盘货信息!$A:$A&amp;盘货信息!$B:$B&amp;盘货信息!$C:$C,盘货信息!$P:$P)="","","【限时】"&amp;_xlfn.XLOOKUP($A50&amp;$B50&amp;$C50,盘货信息!$A:$A&amp;盘货信息!$B:$B&amp;盘货信息!$C:$C,盘货信息!$P:$P))</f>
        <v/>
      </c>
      <c r="N50" s="27" t="str" cm="1">
        <f t="array" ref="N50">IF(_xlfn.XLOOKUP($A50&amp;$B50&amp;$C50,盘货信息!$A:$A&amp;盘货信息!$B:$B&amp;盘货信息!$C:$C,盘货信息!$V:$V)="","","【"&amp;盘货信息!$V$1&amp;"】"&amp;_xlfn.XLOOKUP($A50&amp;$B50&amp;$C50,盘货信息!$A:$A&amp;盘货信息!$B:$B&amp;盘货信息!$C:$C,盘货信息!$V:$V))</f>
        <v/>
      </c>
      <c r="O50" s="27" t="str" cm="1">
        <f t="array" ref="O50">IF(_xlfn.XLOOKUP($A50&amp;$B50&amp;$C50,盘货信息!$A:$A&amp;盘货信息!$B:$B&amp;盘货信息!$C:$C,盘货信息!$W:$W)="","","【"&amp;盘货信息!$W$1&amp;"】"&amp;_xlfn.XLOOKUP($A50&amp;$B50&amp;$C50,盘货信息!$A:$A&amp;盘货信息!$B:$B&amp;盘货信息!$C:$C,盘货信息!$W:$W))</f>
        <v/>
      </c>
      <c r="P50" s="27" t="str" cm="1">
        <f t="array" ref="P50">IF(_xlfn.XLOOKUP($A50&amp;$B50&amp;$C50,盘货信息!$A:$A&amp;盘货信息!$B:$B&amp;盘货信息!$C:$C,盘货信息!$S:$S)&lt;1,"","【"&amp;盘货信息!$S$1&amp;"】"&amp;"后返"&amp;_xlfn.XLOOKUP($A50&amp;$B50&amp;$C50,盘货信息!$A:$A&amp;盘货信息!$B:$B&amp;盘货信息!$C:$C,盘货信息!$S:$S)&amp;"元")</f>
        <v/>
      </c>
      <c r="Q50" s="27" t="str" cm="1">
        <f t="array" ref="Q50">IF(_xlfn.XLOOKUP($A50&amp;$B50&amp;$C50,盘货信息!$A:$A&amp;盘货信息!$B:$B&amp;盘货信息!$C:$C,盘货信息!$X:$X)="","","【"&amp;盘货信息!$X$1&amp;"】"&amp;_xlfn.XLOOKUP($A50&amp;$B50&amp;$C50,盘货信息!$A:$A&amp;盘货信息!$B:$B&amp;盘货信息!$C:$C,盘货信息!$X:$X))</f>
        <v/>
      </c>
      <c r="R50" s="27" t="str" cm="1">
        <f t="array" ref="R50">IF(_xlfn.XLOOKUP($A50&amp;$B50&amp;$C50,盘货信息!$A:$A&amp;盘货信息!$B:$B&amp;盘货信息!$C:$C,盘货信息!$Z:$Z)="","","【"&amp;盘货信息!$Z$1&amp;"】"&amp;_xlfn.XLOOKUP($A50&amp;$B50&amp;$C50,盘货信息!$A:$A&amp;盘货信息!$B:$B&amp;盘货信息!$C:$C,盘货信息!$Z:$Z))</f>
        <v/>
      </c>
      <c r="S50" s="27" t="str" cm="1">
        <f t="array" ref="S50">IF(_xlfn.XLOOKUP($A50&amp;$B50&amp;$C50,盘货信息!$A:$A&amp;盘货信息!$B:$B&amp;盘货信息!$C:$C,盘货信息!$Q:$Q)="","","【种草】站外带指定话题种草后返"&amp;_xlfn.XLOOKUP($A50&amp;$B50&amp;$C50,盘货信息!$A:$A&amp;盘货信息!$B:$B&amp;盘货信息!$C:$C,盘货信息!$Q:$Q)&amp;"元红包（每个淘宝账号仅限对应一个站外种草账号，同一个种草账号不可对应多个淘宝账号）")</f>
        <v/>
      </c>
      <c r="T50" s="27" t="str" cm="1">
        <f t="array" ref="T50">IF(_xlfn.XLOOKUP($A50&amp;$B50&amp;$C50,盘货信息!$A:$A&amp;盘货信息!$B:$B&amp;盘货信息!$C:$C,盘货信息!$R:$R)&lt;1,"","【以旧换新】"&amp;"享补贴"&amp;ROUND(_xlfn.XLOOKUP($A50&amp;$B50&amp;$C50,盘货信息!$A:$A&amp;盘货信息!$B:$B&amp;盘货信息!$C:$C,盘货信息!$R:$R),0)&amp;"元（可无旧机换新）")</f>
        <v/>
      </c>
      <c r="U50" s="27" t="str">
        <f>IF(AND($N50="",$O50="",$P50="",$Q50="",$R50="",$S50="",$T50=""),"",固定信息!$B$1)</f>
        <v/>
      </c>
      <c r="V50" s="27" t="str" cm="1">
        <f t="array" ref="V50">IF(_xlfn.XLOOKUP($A50&amp;$B50&amp;$C50,盘货信息!$A:$A&amp;盘货信息!$B:$B&amp;盘货信息!$C:$C,盘货信息!$Y:$Y)="","","【卡萨帝送赠】活动指定时间"&amp;_xlfn.TEXTBEFORE(_xlfn.TEXTAFTER(_xlfn.XLOOKUP($A50&amp;$B50&amp;$C50,盘货信息!$A:$A&amp;盘货信息!$B:$B&amp;盘货信息!$C:$C,盘货信息!$Y:$Y),"点"),"（"))</f>
        <v/>
      </c>
      <c r="W50" s="27" t="str" cm="1">
        <f t="array" ref="W50">IF(COUNTIF(_xlfn.XLOOKUP($A50&amp;$B50&amp;$C50,盘货信息!$A:$A&amp;盘货信息!$B:$B&amp;盘货信息!$C:$C,盘货信息!$O:$O),"*是*"),"【折扣】指定型号满2类享96折，满3类享94折","")</f>
        <v/>
      </c>
      <c r="X50" s="27" t="str" cm="1">
        <f t="array" ref="X50">IF(固定信息!$B$7="","",IF(_xlfn.XLOOKUP($A50&amp;$B50&amp;$C50,盘货信息!$A:$A&amp;盘货信息!$B:$B&amp;盘货信息!$C:$C,盘货信息!$N:$N)="是","【瓜分】"&amp;固定信息!$B$7,""))</f>
        <v/>
      </c>
      <c r="Y50" s="27" t="str">
        <f>IF(AND($V50="",$W50="",$X50=""),"",固定信息!$B$1)</f>
        <v/>
      </c>
      <c r="Z50" s="27" t="str" cm="1">
        <f t="array" ref="Z50">IF($C50="","",_xlfn.XLOOKUP($A50&amp;$B50&amp;$C50,服务!$A:$A&amp;服务!$B:$B&amp;服务!$C:$C,服务!$D:$D))</f>
        <v/>
      </c>
    </row>
    <row r="51" customHeight="1" spans="1:26">
      <c r="A51" s="26" t="str">
        <f>IF(盘货信息!A51="","",盘货信息!A51)</f>
        <v/>
      </c>
      <c r="B51" s="26" t="str">
        <f>IF(盘货信息!B51="","",盘货信息!B51)</f>
        <v/>
      </c>
      <c r="C51" s="27" t="str">
        <f>IF(盘货信息!C51="","",盘货信息!C51)</f>
        <v/>
      </c>
      <c r="D51" s="27" t="str">
        <f ca="1" t="shared" si="0"/>
        <v/>
      </c>
      <c r="E51" s="27" t="str">
        <f>IF(C51="","",固定信息!$B$2)</f>
        <v/>
      </c>
      <c r="F51" s="27" t="str">
        <f>IF(C51="","","【"&amp;C51&amp;"】"&amp;固定信息!$B$4)</f>
        <v/>
      </c>
      <c r="G51" s="27" t="str">
        <f>IF(C51="","","【"&amp;"活动时间："&amp;固定信息!$B$3&amp;"】")</f>
        <v/>
      </c>
      <c r="H51" s="27" t="str">
        <f>IF($C51="","",固定信息!$B$1)</f>
        <v/>
      </c>
      <c r="I51" s="27" t="str">
        <f>IF(OR(C51="",固定信息!$B$5=""),"","【1元预约锁好礼】"&amp;固定信息!$B$5)</f>
        <v/>
      </c>
      <c r="J51" s="27" t="str" cm="1">
        <f t="array" ref="J51">_xlfn.XLOOKUP($A51&amp;$B51&amp;$C51,价格信息!$A:$A&amp;价格信息!$B:$B&amp;价格信息!$C:$C,价格信息!$D:$D)</f>
        <v/>
      </c>
      <c r="K51" s="27" t="str">
        <f>IF($C51="","",固定信息!$B$1)</f>
        <v/>
      </c>
      <c r="L51" s="27" t="str" cm="1">
        <f t="array" ref="L51">IF(_xlfn.XLOOKUP($A51&amp;$B51&amp;$C51,盘货信息!$A:$A&amp;盘货信息!$B:$B&amp;盘货信息!$C:$C,盘货信息!$T:$T)="","","【优惠券】领"&amp;_xlfn.XLOOKUP($A51&amp;$B51&amp;$C51,盘货信息!$A:$A&amp;盘货信息!$B:$B&amp;盘货信息!$C:$C,盘货信息!$T:$T)&amp;"元优惠卷下单更优惠，领券链接："&amp;_xlfn.XLOOKUP($A51&amp;$B51&amp;$C51,盘货信息!$A:$A&amp;盘货信息!$B:$B&amp;盘货信息!$C:$C,盘货信息!$U:$U))</f>
        <v/>
      </c>
      <c r="M51" s="27" t="str" cm="1">
        <f t="array" ref="M51">IF(_xlfn.XLOOKUP($A51&amp;$B51&amp;$C51,盘货信息!$A:$A&amp;盘货信息!$B:$B&amp;盘货信息!$C:$C,盘货信息!$P:$P)="","","【限时】"&amp;_xlfn.XLOOKUP($A51&amp;$B51&amp;$C51,盘货信息!$A:$A&amp;盘货信息!$B:$B&amp;盘货信息!$C:$C,盘货信息!$P:$P))</f>
        <v/>
      </c>
      <c r="N51" s="27" t="str" cm="1">
        <f t="array" ref="N51">IF(_xlfn.XLOOKUP($A51&amp;$B51&amp;$C51,盘货信息!$A:$A&amp;盘货信息!$B:$B&amp;盘货信息!$C:$C,盘货信息!$V:$V)="","","【"&amp;盘货信息!$V$1&amp;"】"&amp;_xlfn.XLOOKUP($A51&amp;$B51&amp;$C51,盘货信息!$A:$A&amp;盘货信息!$B:$B&amp;盘货信息!$C:$C,盘货信息!$V:$V))</f>
        <v/>
      </c>
      <c r="O51" s="27" t="str" cm="1">
        <f t="array" ref="O51">IF(_xlfn.XLOOKUP($A51&amp;$B51&amp;$C51,盘货信息!$A:$A&amp;盘货信息!$B:$B&amp;盘货信息!$C:$C,盘货信息!$W:$W)="","","【"&amp;盘货信息!$W$1&amp;"】"&amp;_xlfn.XLOOKUP($A51&amp;$B51&amp;$C51,盘货信息!$A:$A&amp;盘货信息!$B:$B&amp;盘货信息!$C:$C,盘货信息!$W:$W))</f>
        <v/>
      </c>
      <c r="P51" s="27" t="str" cm="1">
        <f t="array" ref="P51">IF(_xlfn.XLOOKUP($A51&amp;$B51&amp;$C51,盘货信息!$A:$A&amp;盘货信息!$B:$B&amp;盘货信息!$C:$C,盘货信息!$S:$S)&lt;1,"","【"&amp;盘货信息!$S$1&amp;"】"&amp;"后返"&amp;_xlfn.XLOOKUP($A51&amp;$B51&amp;$C51,盘货信息!$A:$A&amp;盘货信息!$B:$B&amp;盘货信息!$C:$C,盘货信息!$S:$S)&amp;"元")</f>
        <v/>
      </c>
      <c r="Q51" s="27" t="str" cm="1">
        <f t="array" ref="Q51">IF(_xlfn.XLOOKUP($A51&amp;$B51&amp;$C51,盘货信息!$A:$A&amp;盘货信息!$B:$B&amp;盘货信息!$C:$C,盘货信息!$X:$X)="","","【"&amp;盘货信息!$X$1&amp;"】"&amp;_xlfn.XLOOKUP($A51&amp;$B51&amp;$C51,盘货信息!$A:$A&amp;盘货信息!$B:$B&amp;盘货信息!$C:$C,盘货信息!$X:$X))</f>
        <v/>
      </c>
      <c r="R51" s="27" t="str" cm="1">
        <f t="array" ref="R51">IF(_xlfn.XLOOKUP($A51&amp;$B51&amp;$C51,盘货信息!$A:$A&amp;盘货信息!$B:$B&amp;盘货信息!$C:$C,盘货信息!$Z:$Z)="","","【"&amp;盘货信息!$Z$1&amp;"】"&amp;_xlfn.XLOOKUP($A51&amp;$B51&amp;$C51,盘货信息!$A:$A&amp;盘货信息!$B:$B&amp;盘货信息!$C:$C,盘货信息!$Z:$Z))</f>
        <v/>
      </c>
      <c r="S51" s="27" t="str" cm="1">
        <f t="array" ref="S51">IF(_xlfn.XLOOKUP($A51&amp;$B51&amp;$C51,盘货信息!$A:$A&amp;盘货信息!$B:$B&amp;盘货信息!$C:$C,盘货信息!$Q:$Q)="","","【种草】站外带指定话题种草后返"&amp;_xlfn.XLOOKUP($A51&amp;$B51&amp;$C51,盘货信息!$A:$A&amp;盘货信息!$B:$B&amp;盘货信息!$C:$C,盘货信息!$Q:$Q)&amp;"元红包（每个淘宝账号仅限对应一个站外种草账号，同一个种草账号不可对应多个淘宝账号）")</f>
        <v/>
      </c>
      <c r="T51" s="27" t="str" cm="1">
        <f t="array" ref="T51">IF(_xlfn.XLOOKUP($A51&amp;$B51&amp;$C51,盘货信息!$A:$A&amp;盘货信息!$B:$B&amp;盘货信息!$C:$C,盘货信息!$R:$R)&lt;1,"","【以旧换新】"&amp;"享补贴"&amp;ROUND(_xlfn.XLOOKUP($A51&amp;$B51&amp;$C51,盘货信息!$A:$A&amp;盘货信息!$B:$B&amp;盘货信息!$C:$C,盘货信息!$R:$R),0)&amp;"元（可无旧机换新）")</f>
        <v/>
      </c>
      <c r="U51" s="27" t="str">
        <f>IF(AND($N51="",$O51="",$P51="",$Q51="",$R51="",$S51="",$T51=""),"",固定信息!$B$1)</f>
        <v/>
      </c>
      <c r="V51" s="27" t="str" cm="1">
        <f t="array" ref="V51">IF(_xlfn.XLOOKUP($A51&amp;$B51&amp;$C51,盘货信息!$A:$A&amp;盘货信息!$B:$B&amp;盘货信息!$C:$C,盘货信息!$Y:$Y)="","","【卡萨帝送赠】活动指定时间"&amp;_xlfn.TEXTBEFORE(_xlfn.TEXTAFTER(_xlfn.XLOOKUP($A51&amp;$B51&amp;$C51,盘货信息!$A:$A&amp;盘货信息!$B:$B&amp;盘货信息!$C:$C,盘货信息!$Y:$Y),"点"),"（"))</f>
        <v/>
      </c>
      <c r="W51" s="27" t="str" cm="1">
        <f t="array" ref="W51">IF(COUNTIF(_xlfn.XLOOKUP($A51&amp;$B51&amp;$C51,盘货信息!$A:$A&amp;盘货信息!$B:$B&amp;盘货信息!$C:$C,盘货信息!$O:$O),"*是*"),"【折扣】指定型号满2类享96折，满3类享94折","")</f>
        <v/>
      </c>
      <c r="X51" s="27" t="str" cm="1">
        <f t="array" ref="X51">IF(固定信息!$B$7="","",IF(_xlfn.XLOOKUP($A51&amp;$B51&amp;$C51,盘货信息!$A:$A&amp;盘货信息!$B:$B&amp;盘货信息!$C:$C,盘货信息!$N:$N)="是","【瓜分】"&amp;固定信息!$B$7,""))</f>
        <v/>
      </c>
      <c r="Y51" s="27" t="str">
        <f>IF(AND($V51="",$W51="",$X51=""),"",固定信息!$B$1)</f>
        <v/>
      </c>
      <c r="Z51" s="27" t="str" cm="1">
        <f t="array" ref="Z51">IF($C51="","",_xlfn.XLOOKUP($A51&amp;$B51&amp;$C51,服务!$A:$A&amp;服务!$B:$B&amp;服务!$C:$C,服务!$D:$D))</f>
        <v/>
      </c>
    </row>
    <row r="52" customHeight="1" spans="1:26">
      <c r="A52" s="26" t="str">
        <f>IF(盘货信息!A52="","",盘货信息!A52)</f>
        <v/>
      </c>
      <c r="B52" s="26" t="str">
        <f>IF(盘货信息!B52="","",盘货信息!B52)</f>
        <v/>
      </c>
      <c r="C52" s="27" t="str">
        <f>IF(盘货信息!C52="","",盘货信息!C52)</f>
        <v/>
      </c>
      <c r="D52" s="27" t="str">
        <f ca="1" t="shared" si="0"/>
        <v/>
      </c>
      <c r="E52" s="27" t="str">
        <f>IF(C52="","",固定信息!$B$2)</f>
        <v/>
      </c>
      <c r="F52" s="27" t="str">
        <f>IF(C52="","","【"&amp;C52&amp;"】"&amp;固定信息!$B$4)</f>
        <v/>
      </c>
      <c r="G52" s="27" t="str">
        <f>IF(C52="","","【"&amp;"活动时间："&amp;固定信息!$B$3&amp;"】")</f>
        <v/>
      </c>
      <c r="H52" s="27" t="str">
        <f>IF($C52="","",固定信息!$B$1)</f>
        <v/>
      </c>
      <c r="I52" s="27" t="str">
        <f>IF(OR(C52="",固定信息!$B$5=""),"","【1元预约锁好礼】"&amp;固定信息!$B$5)</f>
        <v/>
      </c>
      <c r="J52" s="27" t="str" cm="1">
        <f t="array" ref="J52">_xlfn.XLOOKUP($A52&amp;$B52&amp;$C52,价格信息!$A:$A&amp;价格信息!$B:$B&amp;价格信息!$C:$C,价格信息!$D:$D)</f>
        <v/>
      </c>
      <c r="K52" s="27" t="str">
        <f>IF($C52="","",固定信息!$B$1)</f>
        <v/>
      </c>
      <c r="L52" s="27" t="str" cm="1">
        <f t="array" ref="L52">IF(_xlfn.XLOOKUP($A52&amp;$B52&amp;$C52,盘货信息!$A:$A&amp;盘货信息!$B:$B&amp;盘货信息!$C:$C,盘货信息!$T:$T)="","","【优惠券】领"&amp;_xlfn.XLOOKUP($A52&amp;$B52&amp;$C52,盘货信息!$A:$A&amp;盘货信息!$B:$B&amp;盘货信息!$C:$C,盘货信息!$T:$T)&amp;"元优惠卷下单更优惠，领券链接："&amp;_xlfn.XLOOKUP($A52&amp;$B52&amp;$C52,盘货信息!$A:$A&amp;盘货信息!$B:$B&amp;盘货信息!$C:$C,盘货信息!$U:$U))</f>
        <v/>
      </c>
      <c r="M52" s="27" t="str" cm="1">
        <f t="array" ref="M52">IF(_xlfn.XLOOKUP($A52&amp;$B52&amp;$C52,盘货信息!$A:$A&amp;盘货信息!$B:$B&amp;盘货信息!$C:$C,盘货信息!$P:$P)="","","【限时】"&amp;_xlfn.XLOOKUP($A52&amp;$B52&amp;$C52,盘货信息!$A:$A&amp;盘货信息!$B:$B&amp;盘货信息!$C:$C,盘货信息!$P:$P))</f>
        <v/>
      </c>
      <c r="N52" s="27" t="str" cm="1">
        <f t="array" ref="N52">IF(_xlfn.XLOOKUP($A52&amp;$B52&amp;$C52,盘货信息!$A:$A&amp;盘货信息!$B:$B&amp;盘货信息!$C:$C,盘货信息!$V:$V)="","","【"&amp;盘货信息!$V$1&amp;"】"&amp;_xlfn.XLOOKUP($A52&amp;$B52&amp;$C52,盘货信息!$A:$A&amp;盘货信息!$B:$B&amp;盘货信息!$C:$C,盘货信息!$V:$V))</f>
        <v/>
      </c>
      <c r="O52" s="27" t="str" cm="1">
        <f t="array" ref="O52">IF(_xlfn.XLOOKUP($A52&amp;$B52&amp;$C52,盘货信息!$A:$A&amp;盘货信息!$B:$B&amp;盘货信息!$C:$C,盘货信息!$W:$W)="","","【"&amp;盘货信息!$W$1&amp;"】"&amp;_xlfn.XLOOKUP($A52&amp;$B52&amp;$C52,盘货信息!$A:$A&amp;盘货信息!$B:$B&amp;盘货信息!$C:$C,盘货信息!$W:$W))</f>
        <v/>
      </c>
      <c r="P52" s="27" t="str" cm="1">
        <f t="array" ref="P52">IF(_xlfn.XLOOKUP($A52&amp;$B52&amp;$C52,盘货信息!$A:$A&amp;盘货信息!$B:$B&amp;盘货信息!$C:$C,盘货信息!$S:$S)&lt;1,"","【"&amp;盘货信息!$S$1&amp;"】"&amp;"后返"&amp;_xlfn.XLOOKUP($A52&amp;$B52&amp;$C52,盘货信息!$A:$A&amp;盘货信息!$B:$B&amp;盘货信息!$C:$C,盘货信息!$S:$S)&amp;"元")</f>
        <v/>
      </c>
      <c r="Q52" s="27" t="str" cm="1">
        <f t="array" ref="Q52">IF(_xlfn.XLOOKUP($A52&amp;$B52&amp;$C52,盘货信息!$A:$A&amp;盘货信息!$B:$B&amp;盘货信息!$C:$C,盘货信息!$X:$X)="","","【"&amp;盘货信息!$X$1&amp;"】"&amp;_xlfn.XLOOKUP($A52&amp;$B52&amp;$C52,盘货信息!$A:$A&amp;盘货信息!$B:$B&amp;盘货信息!$C:$C,盘货信息!$X:$X))</f>
        <v/>
      </c>
      <c r="R52" s="27" t="str" cm="1">
        <f t="array" ref="R52">IF(_xlfn.XLOOKUP($A52&amp;$B52&amp;$C52,盘货信息!$A:$A&amp;盘货信息!$B:$B&amp;盘货信息!$C:$C,盘货信息!$Z:$Z)="","","【"&amp;盘货信息!$Z$1&amp;"】"&amp;_xlfn.XLOOKUP($A52&amp;$B52&amp;$C52,盘货信息!$A:$A&amp;盘货信息!$B:$B&amp;盘货信息!$C:$C,盘货信息!$Z:$Z))</f>
        <v/>
      </c>
      <c r="S52" s="27" t="str" cm="1">
        <f t="array" ref="S52">IF(_xlfn.XLOOKUP($A52&amp;$B52&amp;$C52,盘货信息!$A:$A&amp;盘货信息!$B:$B&amp;盘货信息!$C:$C,盘货信息!$Q:$Q)="","","【种草】站外带指定话题种草后返"&amp;_xlfn.XLOOKUP($A52&amp;$B52&amp;$C52,盘货信息!$A:$A&amp;盘货信息!$B:$B&amp;盘货信息!$C:$C,盘货信息!$Q:$Q)&amp;"元红包（每个淘宝账号仅限对应一个站外种草账号，同一个种草账号不可对应多个淘宝账号）")</f>
        <v/>
      </c>
      <c r="T52" s="27" t="str" cm="1">
        <f t="array" ref="T52">IF(_xlfn.XLOOKUP($A52&amp;$B52&amp;$C52,盘货信息!$A:$A&amp;盘货信息!$B:$B&amp;盘货信息!$C:$C,盘货信息!$R:$R)&lt;1,"","【以旧换新】"&amp;"享补贴"&amp;ROUND(_xlfn.XLOOKUP($A52&amp;$B52&amp;$C52,盘货信息!$A:$A&amp;盘货信息!$B:$B&amp;盘货信息!$C:$C,盘货信息!$R:$R),0)&amp;"元（可无旧机换新）")</f>
        <v/>
      </c>
      <c r="U52" s="27" t="str">
        <f>IF(AND($N52="",$O52="",$P52="",$Q52="",$R52="",$S52="",$T52=""),"",固定信息!$B$1)</f>
        <v/>
      </c>
      <c r="V52" s="27" t="str" cm="1">
        <f t="array" ref="V52">IF(_xlfn.XLOOKUP($A52&amp;$B52&amp;$C52,盘货信息!$A:$A&amp;盘货信息!$B:$B&amp;盘货信息!$C:$C,盘货信息!$Y:$Y)="","","【卡萨帝送赠】活动指定时间"&amp;_xlfn.TEXTBEFORE(_xlfn.TEXTAFTER(_xlfn.XLOOKUP($A52&amp;$B52&amp;$C52,盘货信息!$A:$A&amp;盘货信息!$B:$B&amp;盘货信息!$C:$C,盘货信息!$Y:$Y),"点"),"（"))</f>
        <v/>
      </c>
      <c r="W52" s="27" t="str" cm="1">
        <f t="array" ref="W52">IF(COUNTIF(_xlfn.XLOOKUP($A52&amp;$B52&amp;$C52,盘货信息!$A:$A&amp;盘货信息!$B:$B&amp;盘货信息!$C:$C,盘货信息!$O:$O),"*是*"),"【折扣】指定型号满2类享96折，满3类享94折","")</f>
        <v/>
      </c>
      <c r="X52" s="27" t="str" cm="1">
        <f t="array" ref="X52">IF(固定信息!$B$7="","",IF(_xlfn.XLOOKUP($A52&amp;$B52&amp;$C52,盘货信息!$A:$A&amp;盘货信息!$B:$B&amp;盘货信息!$C:$C,盘货信息!$N:$N)="是","【瓜分】"&amp;固定信息!$B$7,""))</f>
        <v/>
      </c>
      <c r="Y52" s="27" t="str">
        <f>IF(AND($V52="",$W52="",$X52=""),"",固定信息!$B$1)</f>
        <v/>
      </c>
      <c r="Z52" s="27" t="str" cm="1">
        <f t="array" ref="Z52">IF($C52="","",_xlfn.XLOOKUP($A52&amp;$B52&amp;$C52,服务!$A:$A&amp;服务!$B:$B&amp;服务!$C:$C,服务!$D:$D))</f>
        <v/>
      </c>
    </row>
    <row r="53" customHeight="1" spans="1:26">
      <c r="A53" s="26" t="str">
        <f>IF(盘货信息!A53="","",盘货信息!A53)</f>
        <v/>
      </c>
      <c r="B53" s="26" t="str">
        <f>IF(盘货信息!B53="","",盘货信息!B53)</f>
        <v/>
      </c>
      <c r="C53" s="27" t="str">
        <f>IF(盘货信息!C53="","",盘货信息!C53)</f>
        <v/>
      </c>
      <c r="D53" s="27" t="str">
        <f ca="1" t="shared" si="0"/>
        <v/>
      </c>
      <c r="E53" s="27" t="str">
        <f>IF(C53="","",固定信息!$B$2)</f>
        <v/>
      </c>
      <c r="F53" s="27" t="str">
        <f>IF(C53="","","【"&amp;C53&amp;"】"&amp;固定信息!$B$4)</f>
        <v/>
      </c>
      <c r="G53" s="27" t="str">
        <f>IF(C53="","","【"&amp;"活动时间："&amp;固定信息!$B$3&amp;"】")</f>
        <v/>
      </c>
      <c r="H53" s="27" t="str">
        <f>IF($C53="","",固定信息!$B$1)</f>
        <v/>
      </c>
      <c r="I53" s="27" t="str">
        <f>IF(OR(C53="",固定信息!$B$5=""),"","【1元预约锁好礼】"&amp;固定信息!$B$5)</f>
        <v/>
      </c>
      <c r="J53" s="27" t="str" cm="1">
        <f t="array" ref="J53">_xlfn.XLOOKUP($A53&amp;$B53&amp;$C53,价格信息!$A:$A&amp;价格信息!$B:$B&amp;价格信息!$C:$C,价格信息!$D:$D)</f>
        <v/>
      </c>
      <c r="K53" s="27" t="str">
        <f>IF($C53="","",固定信息!$B$1)</f>
        <v/>
      </c>
      <c r="L53" s="27" t="str" cm="1">
        <f t="array" ref="L53">IF(_xlfn.XLOOKUP($A53&amp;$B53&amp;$C53,盘货信息!$A:$A&amp;盘货信息!$B:$B&amp;盘货信息!$C:$C,盘货信息!$T:$T)="","","【优惠券】领"&amp;_xlfn.XLOOKUP($A53&amp;$B53&amp;$C53,盘货信息!$A:$A&amp;盘货信息!$B:$B&amp;盘货信息!$C:$C,盘货信息!$T:$T)&amp;"元优惠卷下单更优惠，领券链接："&amp;_xlfn.XLOOKUP($A53&amp;$B53&amp;$C53,盘货信息!$A:$A&amp;盘货信息!$B:$B&amp;盘货信息!$C:$C,盘货信息!$U:$U))</f>
        <v/>
      </c>
      <c r="M53" s="27" t="str" cm="1">
        <f t="array" ref="M53">IF(_xlfn.XLOOKUP($A53&amp;$B53&amp;$C53,盘货信息!$A:$A&amp;盘货信息!$B:$B&amp;盘货信息!$C:$C,盘货信息!$P:$P)="","","【限时】"&amp;_xlfn.XLOOKUP($A53&amp;$B53&amp;$C53,盘货信息!$A:$A&amp;盘货信息!$B:$B&amp;盘货信息!$C:$C,盘货信息!$P:$P))</f>
        <v/>
      </c>
      <c r="N53" s="27" t="str" cm="1">
        <f t="array" ref="N53">IF(_xlfn.XLOOKUP($A53&amp;$B53&amp;$C53,盘货信息!$A:$A&amp;盘货信息!$B:$B&amp;盘货信息!$C:$C,盘货信息!$V:$V)="","","【"&amp;盘货信息!$V$1&amp;"】"&amp;_xlfn.XLOOKUP($A53&amp;$B53&amp;$C53,盘货信息!$A:$A&amp;盘货信息!$B:$B&amp;盘货信息!$C:$C,盘货信息!$V:$V))</f>
        <v/>
      </c>
      <c r="O53" s="27" t="str" cm="1">
        <f t="array" ref="O53">IF(_xlfn.XLOOKUP($A53&amp;$B53&amp;$C53,盘货信息!$A:$A&amp;盘货信息!$B:$B&amp;盘货信息!$C:$C,盘货信息!$W:$W)="","","【"&amp;盘货信息!$W$1&amp;"】"&amp;_xlfn.XLOOKUP($A53&amp;$B53&amp;$C53,盘货信息!$A:$A&amp;盘货信息!$B:$B&amp;盘货信息!$C:$C,盘货信息!$W:$W))</f>
        <v/>
      </c>
      <c r="P53" s="27" t="str" cm="1">
        <f t="array" ref="P53">IF(_xlfn.XLOOKUP($A53&amp;$B53&amp;$C53,盘货信息!$A:$A&amp;盘货信息!$B:$B&amp;盘货信息!$C:$C,盘货信息!$S:$S)&lt;1,"","【"&amp;盘货信息!$S$1&amp;"】"&amp;"后返"&amp;_xlfn.XLOOKUP($A53&amp;$B53&amp;$C53,盘货信息!$A:$A&amp;盘货信息!$B:$B&amp;盘货信息!$C:$C,盘货信息!$S:$S)&amp;"元")</f>
        <v/>
      </c>
      <c r="Q53" s="27" t="str" cm="1">
        <f t="array" ref="Q53">IF(_xlfn.XLOOKUP($A53&amp;$B53&amp;$C53,盘货信息!$A:$A&amp;盘货信息!$B:$B&amp;盘货信息!$C:$C,盘货信息!$X:$X)="","","【"&amp;盘货信息!$X$1&amp;"】"&amp;_xlfn.XLOOKUP($A53&amp;$B53&amp;$C53,盘货信息!$A:$A&amp;盘货信息!$B:$B&amp;盘货信息!$C:$C,盘货信息!$X:$X))</f>
        <v/>
      </c>
      <c r="R53" s="27" t="str" cm="1">
        <f t="array" ref="R53">IF(_xlfn.XLOOKUP($A53&amp;$B53&amp;$C53,盘货信息!$A:$A&amp;盘货信息!$B:$B&amp;盘货信息!$C:$C,盘货信息!$Z:$Z)="","","【"&amp;盘货信息!$Z$1&amp;"】"&amp;_xlfn.XLOOKUP($A53&amp;$B53&amp;$C53,盘货信息!$A:$A&amp;盘货信息!$B:$B&amp;盘货信息!$C:$C,盘货信息!$Z:$Z))</f>
        <v/>
      </c>
      <c r="S53" s="27" t="str" cm="1">
        <f t="array" ref="S53">IF(_xlfn.XLOOKUP($A53&amp;$B53&amp;$C53,盘货信息!$A:$A&amp;盘货信息!$B:$B&amp;盘货信息!$C:$C,盘货信息!$Q:$Q)="","","【种草】站外带指定话题种草后返"&amp;_xlfn.XLOOKUP($A53&amp;$B53&amp;$C53,盘货信息!$A:$A&amp;盘货信息!$B:$B&amp;盘货信息!$C:$C,盘货信息!$Q:$Q)&amp;"元红包（每个淘宝账号仅限对应一个站外种草账号，同一个种草账号不可对应多个淘宝账号）")</f>
        <v/>
      </c>
      <c r="T53" s="27" t="str" cm="1">
        <f t="array" ref="T53">IF(_xlfn.XLOOKUP($A53&amp;$B53&amp;$C53,盘货信息!$A:$A&amp;盘货信息!$B:$B&amp;盘货信息!$C:$C,盘货信息!$R:$R)&lt;1,"","【以旧换新】"&amp;"享补贴"&amp;ROUND(_xlfn.XLOOKUP($A53&amp;$B53&amp;$C53,盘货信息!$A:$A&amp;盘货信息!$B:$B&amp;盘货信息!$C:$C,盘货信息!$R:$R),0)&amp;"元（可无旧机换新）")</f>
        <v/>
      </c>
      <c r="U53" s="27" t="str">
        <f>IF(AND($N53="",$O53="",$P53="",$Q53="",$R53="",$S53="",$T53=""),"",固定信息!$B$1)</f>
        <v/>
      </c>
      <c r="V53" s="27" t="str" cm="1">
        <f t="array" ref="V53">IF(_xlfn.XLOOKUP($A53&amp;$B53&amp;$C53,盘货信息!$A:$A&amp;盘货信息!$B:$B&amp;盘货信息!$C:$C,盘货信息!$Y:$Y)="","","【卡萨帝送赠】活动指定时间"&amp;_xlfn.TEXTBEFORE(_xlfn.TEXTAFTER(_xlfn.XLOOKUP($A53&amp;$B53&amp;$C53,盘货信息!$A:$A&amp;盘货信息!$B:$B&amp;盘货信息!$C:$C,盘货信息!$Y:$Y),"点"),"（"))</f>
        <v/>
      </c>
      <c r="W53" s="27" t="str" cm="1">
        <f t="array" ref="W53">IF(COUNTIF(_xlfn.XLOOKUP($A53&amp;$B53&amp;$C53,盘货信息!$A:$A&amp;盘货信息!$B:$B&amp;盘货信息!$C:$C,盘货信息!$O:$O),"*是*"),"【折扣】指定型号满2类享96折，满3类享94折","")</f>
        <v/>
      </c>
      <c r="X53" s="27" t="str" cm="1">
        <f t="array" ref="X53">IF(固定信息!$B$7="","",IF(_xlfn.XLOOKUP($A53&amp;$B53&amp;$C53,盘货信息!$A:$A&amp;盘货信息!$B:$B&amp;盘货信息!$C:$C,盘货信息!$N:$N)="是","【瓜分】"&amp;固定信息!$B$7,""))</f>
        <v/>
      </c>
      <c r="Y53" s="27" t="str">
        <f>IF(AND($V53="",$W53="",$X53=""),"",固定信息!$B$1)</f>
        <v/>
      </c>
      <c r="Z53" s="27" t="str" cm="1">
        <f t="array" ref="Z53">IF($C53="","",_xlfn.XLOOKUP($A53&amp;$B53&amp;$C53,服务!$A:$A&amp;服务!$B:$B&amp;服务!$C:$C,服务!$D:$D))</f>
        <v/>
      </c>
    </row>
    <row r="54" customHeight="1" spans="1:26">
      <c r="A54" s="26" t="str">
        <f>IF(盘货信息!A54="","",盘货信息!A54)</f>
        <v/>
      </c>
      <c r="B54" s="26" t="str">
        <f>IF(盘货信息!B54="","",盘货信息!B54)</f>
        <v/>
      </c>
      <c r="C54" s="27" t="str">
        <f>IF(盘货信息!C54="","",盘货信息!C54)</f>
        <v/>
      </c>
      <c r="D54" s="27" t="str">
        <f ca="1" t="shared" si="0"/>
        <v/>
      </c>
      <c r="E54" s="27" t="str">
        <f>IF(C54="","",固定信息!$B$2)</f>
        <v/>
      </c>
      <c r="F54" s="27" t="str">
        <f>IF(C54="","","【"&amp;C54&amp;"】"&amp;固定信息!$B$4)</f>
        <v/>
      </c>
      <c r="G54" s="27" t="str">
        <f>IF(C54="","","【"&amp;"活动时间："&amp;固定信息!$B$3&amp;"】")</f>
        <v/>
      </c>
      <c r="H54" s="27" t="str">
        <f>IF($C54="","",固定信息!$B$1)</f>
        <v/>
      </c>
      <c r="I54" s="27" t="str">
        <f>IF(OR(C54="",固定信息!$B$5=""),"","【1元预约锁好礼】"&amp;固定信息!$B$5)</f>
        <v/>
      </c>
      <c r="J54" s="27" t="str" cm="1">
        <f t="array" ref="J54">_xlfn.XLOOKUP($A54&amp;$B54&amp;$C54,价格信息!$A:$A&amp;价格信息!$B:$B&amp;价格信息!$C:$C,价格信息!$D:$D)</f>
        <v/>
      </c>
      <c r="K54" s="27" t="str">
        <f>IF($C54="","",固定信息!$B$1)</f>
        <v/>
      </c>
      <c r="L54" s="27" t="str" cm="1">
        <f t="array" ref="L54">IF(_xlfn.XLOOKUP($A54&amp;$B54&amp;$C54,盘货信息!$A:$A&amp;盘货信息!$B:$B&amp;盘货信息!$C:$C,盘货信息!$T:$T)="","","【优惠券】领"&amp;_xlfn.XLOOKUP($A54&amp;$B54&amp;$C54,盘货信息!$A:$A&amp;盘货信息!$B:$B&amp;盘货信息!$C:$C,盘货信息!$T:$T)&amp;"元优惠卷下单更优惠，领券链接："&amp;_xlfn.XLOOKUP($A54&amp;$B54&amp;$C54,盘货信息!$A:$A&amp;盘货信息!$B:$B&amp;盘货信息!$C:$C,盘货信息!$U:$U))</f>
        <v/>
      </c>
      <c r="M54" s="27" t="str" cm="1">
        <f t="array" ref="M54">IF(_xlfn.XLOOKUP($A54&amp;$B54&amp;$C54,盘货信息!$A:$A&amp;盘货信息!$B:$B&amp;盘货信息!$C:$C,盘货信息!$P:$P)="","","【限时】"&amp;_xlfn.XLOOKUP($A54&amp;$B54&amp;$C54,盘货信息!$A:$A&amp;盘货信息!$B:$B&amp;盘货信息!$C:$C,盘货信息!$P:$P))</f>
        <v/>
      </c>
      <c r="N54" s="27" t="str" cm="1">
        <f t="array" ref="N54">IF(_xlfn.XLOOKUP($A54&amp;$B54&amp;$C54,盘货信息!$A:$A&amp;盘货信息!$B:$B&amp;盘货信息!$C:$C,盘货信息!$V:$V)="","","【"&amp;盘货信息!$V$1&amp;"】"&amp;_xlfn.XLOOKUP($A54&amp;$B54&amp;$C54,盘货信息!$A:$A&amp;盘货信息!$B:$B&amp;盘货信息!$C:$C,盘货信息!$V:$V))</f>
        <v/>
      </c>
      <c r="O54" s="27" t="str" cm="1">
        <f t="array" ref="O54">IF(_xlfn.XLOOKUP($A54&amp;$B54&amp;$C54,盘货信息!$A:$A&amp;盘货信息!$B:$B&amp;盘货信息!$C:$C,盘货信息!$W:$W)="","","【"&amp;盘货信息!$W$1&amp;"】"&amp;_xlfn.XLOOKUP($A54&amp;$B54&amp;$C54,盘货信息!$A:$A&amp;盘货信息!$B:$B&amp;盘货信息!$C:$C,盘货信息!$W:$W))</f>
        <v/>
      </c>
      <c r="P54" s="27" t="str" cm="1">
        <f t="array" ref="P54">IF(_xlfn.XLOOKUP($A54&amp;$B54&amp;$C54,盘货信息!$A:$A&amp;盘货信息!$B:$B&amp;盘货信息!$C:$C,盘货信息!$S:$S)&lt;1,"","【"&amp;盘货信息!$S$1&amp;"】"&amp;"后返"&amp;_xlfn.XLOOKUP($A54&amp;$B54&amp;$C54,盘货信息!$A:$A&amp;盘货信息!$B:$B&amp;盘货信息!$C:$C,盘货信息!$S:$S)&amp;"元")</f>
        <v/>
      </c>
      <c r="Q54" s="27" t="str" cm="1">
        <f t="array" ref="Q54">IF(_xlfn.XLOOKUP($A54&amp;$B54&amp;$C54,盘货信息!$A:$A&amp;盘货信息!$B:$B&amp;盘货信息!$C:$C,盘货信息!$X:$X)="","","【"&amp;盘货信息!$X$1&amp;"】"&amp;_xlfn.XLOOKUP($A54&amp;$B54&amp;$C54,盘货信息!$A:$A&amp;盘货信息!$B:$B&amp;盘货信息!$C:$C,盘货信息!$X:$X))</f>
        <v/>
      </c>
      <c r="R54" s="27" t="str" cm="1">
        <f t="array" ref="R54">IF(_xlfn.XLOOKUP($A54&amp;$B54&amp;$C54,盘货信息!$A:$A&amp;盘货信息!$B:$B&amp;盘货信息!$C:$C,盘货信息!$Z:$Z)="","","【"&amp;盘货信息!$Z$1&amp;"】"&amp;_xlfn.XLOOKUP($A54&amp;$B54&amp;$C54,盘货信息!$A:$A&amp;盘货信息!$B:$B&amp;盘货信息!$C:$C,盘货信息!$Z:$Z))</f>
        <v/>
      </c>
      <c r="S54" s="27" t="str" cm="1">
        <f t="array" ref="S54">IF(_xlfn.XLOOKUP($A54&amp;$B54&amp;$C54,盘货信息!$A:$A&amp;盘货信息!$B:$B&amp;盘货信息!$C:$C,盘货信息!$Q:$Q)="","","【种草】站外带指定话题种草后返"&amp;_xlfn.XLOOKUP($A54&amp;$B54&amp;$C54,盘货信息!$A:$A&amp;盘货信息!$B:$B&amp;盘货信息!$C:$C,盘货信息!$Q:$Q)&amp;"元红包（每个淘宝账号仅限对应一个站外种草账号，同一个种草账号不可对应多个淘宝账号）")</f>
        <v/>
      </c>
      <c r="T54" s="27" t="str" cm="1">
        <f t="array" ref="T54">IF(_xlfn.XLOOKUP($A54&amp;$B54&amp;$C54,盘货信息!$A:$A&amp;盘货信息!$B:$B&amp;盘货信息!$C:$C,盘货信息!$R:$R)&lt;1,"","【以旧换新】"&amp;"享补贴"&amp;ROUND(_xlfn.XLOOKUP($A54&amp;$B54&amp;$C54,盘货信息!$A:$A&amp;盘货信息!$B:$B&amp;盘货信息!$C:$C,盘货信息!$R:$R),0)&amp;"元（可无旧机换新）")</f>
        <v/>
      </c>
      <c r="U54" s="27" t="str">
        <f>IF(AND($N54="",$O54="",$P54="",$Q54="",$R54="",$S54="",$T54=""),"",固定信息!$B$1)</f>
        <v/>
      </c>
      <c r="V54" s="27" t="str" cm="1">
        <f t="array" ref="V54">IF(_xlfn.XLOOKUP($A54&amp;$B54&amp;$C54,盘货信息!$A:$A&amp;盘货信息!$B:$B&amp;盘货信息!$C:$C,盘货信息!$Y:$Y)="","","【卡萨帝送赠】活动指定时间"&amp;_xlfn.TEXTBEFORE(_xlfn.TEXTAFTER(_xlfn.XLOOKUP($A54&amp;$B54&amp;$C54,盘货信息!$A:$A&amp;盘货信息!$B:$B&amp;盘货信息!$C:$C,盘货信息!$Y:$Y),"点"),"（"))</f>
        <v/>
      </c>
      <c r="W54" s="27" t="str" cm="1">
        <f t="array" ref="W54">IF(COUNTIF(_xlfn.XLOOKUP($A54&amp;$B54&amp;$C54,盘货信息!$A:$A&amp;盘货信息!$B:$B&amp;盘货信息!$C:$C,盘货信息!$O:$O),"*是*"),"【折扣】指定型号满2类享96折，满3类享94折","")</f>
        <v/>
      </c>
      <c r="X54" s="27" t="str" cm="1">
        <f t="array" ref="X54">IF(固定信息!$B$7="","",IF(_xlfn.XLOOKUP($A54&amp;$B54&amp;$C54,盘货信息!$A:$A&amp;盘货信息!$B:$B&amp;盘货信息!$C:$C,盘货信息!$N:$N)="是","【瓜分】"&amp;固定信息!$B$7,""))</f>
        <v/>
      </c>
      <c r="Y54" s="27" t="str">
        <f>IF(AND($V54="",$W54="",$X54=""),"",固定信息!$B$1)</f>
        <v/>
      </c>
      <c r="Z54" s="27" t="str" cm="1">
        <f t="array" ref="Z54">IF($C54="","",_xlfn.XLOOKUP($A54&amp;$B54&amp;$C54,服务!$A:$A&amp;服务!$B:$B&amp;服务!$C:$C,服务!$D:$D))</f>
        <v/>
      </c>
    </row>
    <row r="55" customHeight="1" spans="1:26">
      <c r="A55" s="26" t="str">
        <f>IF(盘货信息!A55="","",盘货信息!A55)</f>
        <v/>
      </c>
      <c r="B55" s="26" t="str">
        <f>IF(盘货信息!B55="","",盘货信息!B55)</f>
        <v/>
      </c>
      <c r="C55" s="27" t="str">
        <f>IF(盘货信息!C55="","",盘货信息!C55)</f>
        <v/>
      </c>
      <c r="D55" s="27" t="str">
        <f ca="1" t="shared" si="0"/>
        <v/>
      </c>
      <c r="E55" s="27" t="str">
        <f>IF(C55="","",固定信息!$B$2)</f>
        <v/>
      </c>
      <c r="F55" s="27" t="str">
        <f>IF(C55="","","【"&amp;C55&amp;"】"&amp;固定信息!$B$4)</f>
        <v/>
      </c>
      <c r="G55" s="27" t="str">
        <f>IF(C55="","","【"&amp;"活动时间："&amp;固定信息!$B$3&amp;"】")</f>
        <v/>
      </c>
      <c r="H55" s="27" t="str">
        <f>IF($C55="","",固定信息!$B$1)</f>
        <v/>
      </c>
      <c r="I55" s="27" t="str">
        <f>IF(OR(C55="",固定信息!$B$5=""),"","【1元预约锁好礼】"&amp;固定信息!$B$5)</f>
        <v/>
      </c>
      <c r="J55" s="27" t="str" cm="1">
        <f t="array" ref="J55">_xlfn.XLOOKUP($A55&amp;$B55&amp;$C55,价格信息!$A:$A&amp;价格信息!$B:$B&amp;价格信息!$C:$C,价格信息!$D:$D)</f>
        <v/>
      </c>
      <c r="K55" s="27" t="str">
        <f>IF($C55="","",固定信息!$B$1)</f>
        <v/>
      </c>
      <c r="L55" s="27" t="str" cm="1">
        <f t="array" ref="L55">IF(_xlfn.XLOOKUP($A55&amp;$B55&amp;$C55,盘货信息!$A:$A&amp;盘货信息!$B:$B&amp;盘货信息!$C:$C,盘货信息!$T:$T)="","","【优惠券】领"&amp;_xlfn.XLOOKUP($A55&amp;$B55&amp;$C55,盘货信息!$A:$A&amp;盘货信息!$B:$B&amp;盘货信息!$C:$C,盘货信息!$T:$T)&amp;"元优惠卷下单更优惠，领券链接："&amp;_xlfn.XLOOKUP($A55&amp;$B55&amp;$C55,盘货信息!$A:$A&amp;盘货信息!$B:$B&amp;盘货信息!$C:$C,盘货信息!$U:$U))</f>
        <v/>
      </c>
      <c r="M55" s="27" t="str" cm="1">
        <f t="array" ref="M55">IF(_xlfn.XLOOKUP($A55&amp;$B55&amp;$C55,盘货信息!$A:$A&amp;盘货信息!$B:$B&amp;盘货信息!$C:$C,盘货信息!$P:$P)="","","【限时】"&amp;_xlfn.XLOOKUP($A55&amp;$B55&amp;$C55,盘货信息!$A:$A&amp;盘货信息!$B:$B&amp;盘货信息!$C:$C,盘货信息!$P:$P))</f>
        <v/>
      </c>
      <c r="N55" s="27" t="str" cm="1">
        <f t="array" ref="N55">IF(_xlfn.XLOOKUP($A55&amp;$B55&amp;$C55,盘货信息!$A:$A&amp;盘货信息!$B:$B&amp;盘货信息!$C:$C,盘货信息!$V:$V)="","","【"&amp;盘货信息!$V$1&amp;"】"&amp;_xlfn.XLOOKUP($A55&amp;$B55&amp;$C55,盘货信息!$A:$A&amp;盘货信息!$B:$B&amp;盘货信息!$C:$C,盘货信息!$V:$V))</f>
        <v/>
      </c>
      <c r="O55" s="27" t="str" cm="1">
        <f t="array" ref="O55">IF(_xlfn.XLOOKUP($A55&amp;$B55&amp;$C55,盘货信息!$A:$A&amp;盘货信息!$B:$B&amp;盘货信息!$C:$C,盘货信息!$W:$W)="","","【"&amp;盘货信息!$W$1&amp;"】"&amp;_xlfn.XLOOKUP($A55&amp;$B55&amp;$C55,盘货信息!$A:$A&amp;盘货信息!$B:$B&amp;盘货信息!$C:$C,盘货信息!$W:$W))</f>
        <v/>
      </c>
      <c r="P55" s="27" t="str" cm="1">
        <f t="array" ref="P55">IF(_xlfn.XLOOKUP($A55&amp;$B55&amp;$C55,盘货信息!$A:$A&amp;盘货信息!$B:$B&amp;盘货信息!$C:$C,盘货信息!$S:$S)&lt;1,"","【"&amp;盘货信息!$S$1&amp;"】"&amp;"后返"&amp;_xlfn.XLOOKUP($A55&amp;$B55&amp;$C55,盘货信息!$A:$A&amp;盘货信息!$B:$B&amp;盘货信息!$C:$C,盘货信息!$S:$S)&amp;"元")</f>
        <v/>
      </c>
      <c r="Q55" s="27" t="str" cm="1">
        <f t="array" ref="Q55">IF(_xlfn.XLOOKUP($A55&amp;$B55&amp;$C55,盘货信息!$A:$A&amp;盘货信息!$B:$B&amp;盘货信息!$C:$C,盘货信息!$X:$X)="","","【"&amp;盘货信息!$X$1&amp;"】"&amp;_xlfn.XLOOKUP($A55&amp;$B55&amp;$C55,盘货信息!$A:$A&amp;盘货信息!$B:$B&amp;盘货信息!$C:$C,盘货信息!$X:$X))</f>
        <v/>
      </c>
      <c r="R55" s="27" t="str" cm="1">
        <f t="array" ref="R55">IF(_xlfn.XLOOKUP($A55&amp;$B55&amp;$C55,盘货信息!$A:$A&amp;盘货信息!$B:$B&amp;盘货信息!$C:$C,盘货信息!$Z:$Z)="","","【"&amp;盘货信息!$Z$1&amp;"】"&amp;_xlfn.XLOOKUP($A55&amp;$B55&amp;$C55,盘货信息!$A:$A&amp;盘货信息!$B:$B&amp;盘货信息!$C:$C,盘货信息!$Z:$Z))</f>
        <v/>
      </c>
      <c r="S55" s="27" t="str" cm="1">
        <f t="array" ref="S55">IF(_xlfn.XLOOKUP($A55&amp;$B55&amp;$C55,盘货信息!$A:$A&amp;盘货信息!$B:$B&amp;盘货信息!$C:$C,盘货信息!$Q:$Q)="","","【种草】站外带指定话题种草后返"&amp;_xlfn.XLOOKUP($A55&amp;$B55&amp;$C55,盘货信息!$A:$A&amp;盘货信息!$B:$B&amp;盘货信息!$C:$C,盘货信息!$Q:$Q)&amp;"元红包（每个淘宝账号仅限对应一个站外种草账号，同一个种草账号不可对应多个淘宝账号）")</f>
        <v/>
      </c>
      <c r="T55" s="27" t="str" cm="1">
        <f t="array" ref="T55">IF(_xlfn.XLOOKUP($A55&amp;$B55&amp;$C55,盘货信息!$A:$A&amp;盘货信息!$B:$B&amp;盘货信息!$C:$C,盘货信息!$R:$R)&lt;1,"","【以旧换新】"&amp;"享补贴"&amp;ROUND(_xlfn.XLOOKUP($A55&amp;$B55&amp;$C55,盘货信息!$A:$A&amp;盘货信息!$B:$B&amp;盘货信息!$C:$C,盘货信息!$R:$R),0)&amp;"元（可无旧机换新）")</f>
        <v/>
      </c>
      <c r="U55" s="27" t="str">
        <f>IF(AND($N55="",$O55="",$P55="",$Q55="",$R55="",$S55="",$T55=""),"",固定信息!$B$1)</f>
        <v/>
      </c>
      <c r="V55" s="27" t="str" cm="1">
        <f t="array" ref="V55">IF(_xlfn.XLOOKUP($A55&amp;$B55&amp;$C55,盘货信息!$A:$A&amp;盘货信息!$B:$B&amp;盘货信息!$C:$C,盘货信息!$Y:$Y)="","","【卡萨帝送赠】活动指定时间"&amp;_xlfn.TEXTBEFORE(_xlfn.TEXTAFTER(_xlfn.XLOOKUP($A55&amp;$B55&amp;$C55,盘货信息!$A:$A&amp;盘货信息!$B:$B&amp;盘货信息!$C:$C,盘货信息!$Y:$Y),"点"),"（"))</f>
        <v/>
      </c>
      <c r="W55" s="27" t="str" cm="1">
        <f t="array" ref="W55">IF(COUNTIF(_xlfn.XLOOKUP($A55&amp;$B55&amp;$C55,盘货信息!$A:$A&amp;盘货信息!$B:$B&amp;盘货信息!$C:$C,盘货信息!$O:$O),"*是*"),"【折扣】指定型号满2类享96折，满3类享94折","")</f>
        <v/>
      </c>
      <c r="X55" s="27" t="str" cm="1">
        <f t="array" ref="X55">IF(固定信息!$B$7="","",IF(_xlfn.XLOOKUP($A55&amp;$B55&amp;$C55,盘货信息!$A:$A&amp;盘货信息!$B:$B&amp;盘货信息!$C:$C,盘货信息!$N:$N)="是","【瓜分】"&amp;固定信息!$B$7,""))</f>
        <v/>
      </c>
      <c r="Y55" s="27" t="str">
        <f>IF(AND($V55="",$W55="",$X55=""),"",固定信息!$B$1)</f>
        <v/>
      </c>
      <c r="Z55" s="27" t="str" cm="1">
        <f t="array" ref="Z55">IF($C55="","",_xlfn.XLOOKUP($A55&amp;$B55&amp;$C55,服务!$A:$A&amp;服务!$B:$B&amp;服务!$C:$C,服务!$D:$D))</f>
        <v/>
      </c>
    </row>
    <row r="56" customHeight="1" spans="1:26">
      <c r="A56" s="26" t="str">
        <f>IF(盘货信息!A56="","",盘货信息!A56)</f>
        <v/>
      </c>
      <c r="B56" s="26" t="str">
        <f>IF(盘货信息!B56="","",盘货信息!B56)</f>
        <v/>
      </c>
      <c r="C56" s="27" t="str">
        <f>IF(盘货信息!C56="","",盘货信息!C56)</f>
        <v/>
      </c>
      <c r="D56" s="27" t="str">
        <f ca="1" t="shared" si="0"/>
        <v/>
      </c>
      <c r="E56" s="27" t="str">
        <f>IF(C56="","",固定信息!$B$2)</f>
        <v/>
      </c>
      <c r="F56" s="27" t="str">
        <f>IF(C56="","","【"&amp;C56&amp;"】"&amp;固定信息!$B$4)</f>
        <v/>
      </c>
      <c r="G56" s="27" t="str">
        <f>IF(C56="","","【"&amp;"活动时间："&amp;固定信息!$B$3&amp;"】")</f>
        <v/>
      </c>
      <c r="H56" s="27" t="str">
        <f>IF($C56="","",固定信息!$B$1)</f>
        <v/>
      </c>
      <c r="I56" s="27" t="str">
        <f>IF(OR(C56="",固定信息!$B$5=""),"","【1元预约锁好礼】"&amp;固定信息!$B$5)</f>
        <v/>
      </c>
      <c r="J56" s="27" t="str" cm="1">
        <f t="array" ref="J56">_xlfn.XLOOKUP($A56&amp;$B56&amp;$C56,价格信息!$A:$A&amp;价格信息!$B:$B&amp;价格信息!$C:$C,价格信息!$D:$D)</f>
        <v/>
      </c>
      <c r="K56" s="27" t="str">
        <f>IF($C56="","",固定信息!$B$1)</f>
        <v/>
      </c>
      <c r="L56" s="27" t="str" cm="1">
        <f t="array" ref="L56">IF(_xlfn.XLOOKUP($A56&amp;$B56&amp;$C56,盘货信息!$A:$A&amp;盘货信息!$B:$B&amp;盘货信息!$C:$C,盘货信息!$T:$T)="","","【优惠券】领"&amp;_xlfn.XLOOKUP($A56&amp;$B56&amp;$C56,盘货信息!$A:$A&amp;盘货信息!$B:$B&amp;盘货信息!$C:$C,盘货信息!$T:$T)&amp;"元优惠卷下单更优惠，领券链接："&amp;_xlfn.XLOOKUP($A56&amp;$B56&amp;$C56,盘货信息!$A:$A&amp;盘货信息!$B:$B&amp;盘货信息!$C:$C,盘货信息!$U:$U))</f>
        <v/>
      </c>
      <c r="M56" s="27" t="str" cm="1">
        <f t="array" ref="M56">IF(_xlfn.XLOOKUP($A56&amp;$B56&amp;$C56,盘货信息!$A:$A&amp;盘货信息!$B:$B&amp;盘货信息!$C:$C,盘货信息!$P:$P)="","","【限时】"&amp;_xlfn.XLOOKUP($A56&amp;$B56&amp;$C56,盘货信息!$A:$A&amp;盘货信息!$B:$B&amp;盘货信息!$C:$C,盘货信息!$P:$P))</f>
        <v/>
      </c>
      <c r="N56" s="27" t="str" cm="1">
        <f t="array" ref="N56">IF(_xlfn.XLOOKUP($A56&amp;$B56&amp;$C56,盘货信息!$A:$A&amp;盘货信息!$B:$B&amp;盘货信息!$C:$C,盘货信息!$V:$V)="","","【"&amp;盘货信息!$V$1&amp;"】"&amp;_xlfn.XLOOKUP($A56&amp;$B56&amp;$C56,盘货信息!$A:$A&amp;盘货信息!$B:$B&amp;盘货信息!$C:$C,盘货信息!$V:$V))</f>
        <v/>
      </c>
      <c r="O56" s="27" t="str" cm="1">
        <f t="array" ref="O56">IF(_xlfn.XLOOKUP($A56&amp;$B56&amp;$C56,盘货信息!$A:$A&amp;盘货信息!$B:$B&amp;盘货信息!$C:$C,盘货信息!$W:$W)="","","【"&amp;盘货信息!$W$1&amp;"】"&amp;_xlfn.XLOOKUP($A56&amp;$B56&amp;$C56,盘货信息!$A:$A&amp;盘货信息!$B:$B&amp;盘货信息!$C:$C,盘货信息!$W:$W))</f>
        <v/>
      </c>
      <c r="P56" s="27" t="str" cm="1">
        <f t="array" ref="P56">IF(_xlfn.XLOOKUP($A56&amp;$B56&amp;$C56,盘货信息!$A:$A&amp;盘货信息!$B:$B&amp;盘货信息!$C:$C,盘货信息!$S:$S)&lt;1,"","【"&amp;盘货信息!$S$1&amp;"】"&amp;"后返"&amp;_xlfn.XLOOKUP($A56&amp;$B56&amp;$C56,盘货信息!$A:$A&amp;盘货信息!$B:$B&amp;盘货信息!$C:$C,盘货信息!$S:$S)&amp;"元")</f>
        <v/>
      </c>
      <c r="Q56" s="27" t="str" cm="1">
        <f t="array" ref="Q56">IF(_xlfn.XLOOKUP($A56&amp;$B56&amp;$C56,盘货信息!$A:$A&amp;盘货信息!$B:$B&amp;盘货信息!$C:$C,盘货信息!$X:$X)="","","【"&amp;盘货信息!$X$1&amp;"】"&amp;_xlfn.XLOOKUP($A56&amp;$B56&amp;$C56,盘货信息!$A:$A&amp;盘货信息!$B:$B&amp;盘货信息!$C:$C,盘货信息!$X:$X))</f>
        <v/>
      </c>
      <c r="R56" s="27" t="str" cm="1">
        <f t="array" ref="R56">IF(_xlfn.XLOOKUP($A56&amp;$B56&amp;$C56,盘货信息!$A:$A&amp;盘货信息!$B:$B&amp;盘货信息!$C:$C,盘货信息!$Z:$Z)="","","【"&amp;盘货信息!$Z$1&amp;"】"&amp;_xlfn.XLOOKUP($A56&amp;$B56&amp;$C56,盘货信息!$A:$A&amp;盘货信息!$B:$B&amp;盘货信息!$C:$C,盘货信息!$Z:$Z))</f>
        <v/>
      </c>
      <c r="S56" s="27" t="str" cm="1">
        <f t="array" ref="S56">IF(_xlfn.XLOOKUP($A56&amp;$B56&amp;$C56,盘货信息!$A:$A&amp;盘货信息!$B:$B&amp;盘货信息!$C:$C,盘货信息!$Q:$Q)="","","【种草】站外带指定话题种草后返"&amp;_xlfn.XLOOKUP($A56&amp;$B56&amp;$C56,盘货信息!$A:$A&amp;盘货信息!$B:$B&amp;盘货信息!$C:$C,盘货信息!$Q:$Q)&amp;"元红包（每个淘宝账号仅限对应一个站外种草账号，同一个种草账号不可对应多个淘宝账号）")</f>
        <v/>
      </c>
      <c r="T56" s="27" t="str" cm="1">
        <f t="array" ref="T56">IF(_xlfn.XLOOKUP($A56&amp;$B56&amp;$C56,盘货信息!$A:$A&amp;盘货信息!$B:$B&amp;盘货信息!$C:$C,盘货信息!$R:$R)&lt;1,"","【以旧换新】"&amp;"享补贴"&amp;ROUND(_xlfn.XLOOKUP($A56&amp;$B56&amp;$C56,盘货信息!$A:$A&amp;盘货信息!$B:$B&amp;盘货信息!$C:$C,盘货信息!$R:$R),0)&amp;"元（可无旧机换新）")</f>
        <v/>
      </c>
      <c r="U56" s="27" t="str">
        <f>IF(AND($N56="",$O56="",$P56="",$Q56="",$R56="",$S56="",$T56=""),"",固定信息!$B$1)</f>
        <v/>
      </c>
      <c r="V56" s="27" t="str" cm="1">
        <f t="array" ref="V56">IF(_xlfn.XLOOKUP($A56&amp;$B56&amp;$C56,盘货信息!$A:$A&amp;盘货信息!$B:$B&amp;盘货信息!$C:$C,盘货信息!$Y:$Y)="","","【卡萨帝送赠】活动指定时间"&amp;_xlfn.TEXTBEFORE(_xlfn.TEXTAFTER(_xlfn.XLOOKUP($A56&amp;$B56&amp;$C56,盘货信息!$A:$A&amp;盘货信息!$B:$B&amp;盘货信息!$C:$C,盘货信息!$Y:$Y),"点"),"（"))</f>
        <v/>
      </c>
      <c r="W56" s="27" t="str" cm="1">
        <f t="array" ref="W56">IF(COUNTIF(_xlfn.XLOOKUP($A56&amp;$B56&amp;$C56,盘货信息!$A:$A&amp;盘货信息!$B:$B&amp;盘货信息!$C:$C,盘货信息!$O:$O),"*是*"),"【折扣】指定型号满2类享96折，满3类享94折","")</f>
        <v/>
      </c>
      <c r="X56" s="27" t="str" cm="1">
        <f t="array" ref="X56">IF(固定信息!$B$7="","",IF(_xlfn.XLOOKUP($A56&amp;$B56&amp;$C56,盘货信息!$A:$A&amp;盘货信息!$B:$B&amp;盘货信息!$C:$C,盘货信息!$N:$N)="是","【瓜分】"&amp;固定信息!$B$7,""))</f>
        <v/>
      </c>
      <c r="Y56" s="27" t="str">
        <f>IF(AND($V56="",$W56="",$X56=""),"",固定信息!$B$1)</f>
        <v/>
      </c>
      <c r="Z56" s="27" t="str" cm="1">
        <f t="array" ref="Z56">IF($C56="","",_xlfn.XLOOKUP($A56&amp;$B56&amp;$C56,服务!$A:$A&amp;服务!$B:$B&amp;服务!$C:$C,服务!$D:$D))</f>
        <v/>
      </c>
    </row>
    <row r="57" customHeight="1" spans="1:26">
      <c r="A57" s="26" t="str">
        <f>IF(盘货信息!A57="","",盘货信息!A57)</f>
        <v/>
      </c>
      <c r="B57" s="26" t="str">
        <f>IF(盘货信息!B57="","",盘货信息!B57)</f>
        <v/>
      </c>
      <c r="C57" s="27" t="str">
        <f>IF(盘货信息!C57="","",盘货信息!C57)</f>
        <v/>
      </c>
      <c r="D57" s="27" t="str">
        <f ca="1" t="shared" si="0"/>
        <v/>
      </c>
      <c r="E57" s="27" t="str">
        <f>IF(C57="","",固定信息!$B$2)</f>
        <v/>
      </c>
      <c r="F57" s="27" t="str">
        <f>IF(C57="","","【"&amp;C57&amp;"】"&amp;固定信息!$B$4)</f>
        <v/>
      </c>
      <c r="G57" s="27" t="str">
        <f>IF(C57="","","【"&amp;"活动时间："&amp;固定信息!$B$3&amp;"】")</f>
        <v/>
      </c>
      <c r="H57" s="27" t="str">
        <f>IF($C57="","",固定信息!$B$1)</f>
        <v/>
      </c>
      <c r="I57" s="27" t="str">
        <f>IF(OR(C57="",固定信息!$B$5=""),"","【1元预约锁好礼】"&amp;固定信息!$B$5)</f>
        <v/>
      </c>
      <c r="J57" s="27" t="str" cm="1">
        <f t="array" ref="J57">_xlfn.XLOOKUP($A57&amp;$B57&amp;$C57,价格信息!$A:$A&amp;价格信息!$B:$B&amp;价格信息!$C:$C,价格信息!$D:$D)</f>
        <v/>
      </c>
      <c r="K57" s="27" t="str">
        <f>IF($C57="","",固定信息!$B$1)</f>
        <v/>
      </c>
      <c r="L57" s="27" t="str" cm="1">
        <f t="array" ref="L57">IF(_xlfn.XLOOKUP($A57&amp;$B57&amp;$C57,盘货信息!$A:$A&amp;盘货信息!$B:$B&amp;盘货信息!$C:$C,盘货信息!$T:$T)="","","【优惠券】领"&amp;_xlfn.XLOOKUP($A57&amp;$B57&amp;$C57,盘货信息!$A:$A&amp;盘货信息!$B:$B&amp;盘货信息!$C:$C,盘货信息!$T:$T)&amp;"元优惠卷下单更优惠，领券链接："&amp;_xlfn.XLOOKUP($A57&amp;$B57&amp;$C57,盘货信息!$A:$A&amp;盘货信息!$B:$B&amp;盘货信息!$C:$C,盘货信息!$U:$U))</f>
        <v/>
      </c>
      <c r="M57" s="27" t="str" cm="1">
        <f t="array" ref="M57">IF(_xlfn.XLOOKUP($A57&amp;$B57&amp;$C57,盘货信息!$A:$A&amp;盘货信息!$B:$B&amp;盘货信息!$C:$C,盘货信息!$P:$P)="","","【限时】"&amp;_xlfn.XLOOKUP($A57&amp;$B57&amp;$C57,盘货信息!$A:$A&amp;盘货信息!$B:$B&amp;盘货信息!$C:$C,盘货信息!$P:$P))</f>
        <v/>
      </c>
      <c r="N57" s="27" t="str" cm="1">
        <f t="array" ref="N57">IF(_xlfn.XLOOKUP($A57&amp;$B57&amp;$C57,盘货信息!$A:$A&amp;盘货信息!$B:$B&amp;盘货信息!$C:$C,盘货信息!$V:$V)="","","【"&amp;盘货信息!$V$1&amp;"】"&amp;_xlfn.XLOOKUP($A57&amp;$B57&amp;$C57,盘货信息!$A:$A&amp;盘货信息!$B:$B&amp;盘货信息!$C:$C,盘货信息!$V:$V))</f>
        <v/>
      </c>
      <c r="O57" s="27" t="str" cm="1">
        <f t="array" ref="O57">IF(_xlfn.XLOOKUP($A57&amp;$B57&amp;$C57,盘货信息!$A:$A&amp;盘货信息!$B:$B&amp;盘货信息!$C:$C,盘货信息!$W:$W)="","","【"&amp;盘货信息!$W$1&amp;"】"&amp;_xlfn.XLOOKUP($A57&amp;$B57&amp;$C57,盘货信息!$A:$A&amp;盘货信息!$B:$B&amp;盘货信息!$C:$C,盘货信息!$W:$W))</f>
        <v/>
      </c>
      <c r="P57" s="27" t="str" cm="1">
        <f t="array" ref="P57">IF(_xlfn.XLOOKUP($A57&amp;$B57&amp;$C57,盘货信息!$A:$A&amp;盘货信息!$B:$B&amp;盘货信息!$C:$C,盘货信息!$S:$S)&lt;1,"","【"&amp;盘货信息!$S$1&amp;"】"&amp;"后返"&amp;_xlfn.XLOOKUP($A57&amp;$B57&amp;$C57,盘货信息!$A:$A&amp;盘货信息!$B:$B&amp;盘货信息!$C:$C,盘货信息!$S:$S)&amp;"元")</f>
        <v/>
      </c>
      <c r="Q57" s="27" t="str" cm="1">
        <f t="array" ref="Q57">IF(_xlfn.XLOOKUP($A57&amp;$B57&amp;$C57,盘货信息!$A:$A&amp;盘货信息!$B:$B&amp;盘货信息!$C:$C,盘货信息!$X:$X)="","","【"&amp;盘货信息!$X$1&amp;"】"&amp;_xlfn.XLOOKUP($A57&amp;$B57&amp;$C57,盘货信息!$A:$A&amp;盘货信息!$B:$B&amp;盘货信息!$C:$C,盘货信息!$X:$X))</f>
        <v/>
      </c>
      <c r="R57" s="27" t="str" cm="1">
        <f t="array" ref="R57">IF(_xlfn.XLOOKUP($A57&amp;$B57&amp;$C57,盘货信息!$A:$A&amp;盘货信息!$B:$B&amp;盘货信息!$C:$C,盘货信息!$Z:$Z)="","","【"&amp;盘货信息!$Z$1&amp;"】"&amp;_xlfn.XLOOKUP($A57&amp;$B57&amp;$C57,盘货信息!$A:$A&amp;盘货信息!$B:$B&amp;盘货信息!$C:$C,盘货信息!$Z:$Z))</f>
        <v/>
      </c>
      <c r="S57" s="27" t="str" cm="1">
        <f t="array" ref="S57">IF(_xlfn.XLOOKUP($A57&amp;$B57&amp;$C57,盘货信息!$A:$A&amp;盘货信息!$B:$B&amp;盘货信息!$C:$C,盘货信息!$Q:$Q)="","","【种草】站外带指定话题种草后返"&amp;_xlfn.XLOOKUP($A57&amp;$B57&amp;$C57,盘货信息!$A:$A&amp;盘货信息!$B:$B&amp;盘货信息!$C:$C,盘货信息!$Q:$Q)&amp;"元红包（每个淘宝账号仅限对应一个站外种草账号，同一个种草账号不可对应多个淘宝账号）")</f>
        <v/>
      </c>
      <c r="T57" s="27" t="str" cm="1">
        <f t="array" ref="T57">IF(_xlfn.XLOOKUP($A57&amp;$B57&amp;$C57,盘货信息!$A:$A&amp;盘货信息!$B:$B&amp;盘货信息!$C:$C,盘货信息!$R:$R)&lt;1,"","【以旧换新】"&amp;"享补贴"&amp;ROUND(_xlfn.XLOOKUP($A57&amp;$B57&amp;$C57,盘货信息!$A:$A&amp;盘货信息!$B:$B&amp;盘货信息!$C:$C,盘货信息!$R:$R),0)&amp;"元（可无旧机换新）")</f>
        <v/>
      </c>
      <c r="U57" s="27" t="str">
        <f>IF(AND($N57="",$O57="",$P57="",$Q57="",$R57="",$S57="",$T57=""),"",固定信息!$B$1)</f>
        <v/>
      </c>
      <c r="V57" s="27" t="str" cm="1">
        <f t="array" ref="V57">IF(_xlfn.XLOOKUP($A57&amp;$B57&amp;$C57,盘货信息!$A:$A&amp;盘货信息!$B:$B&amp;盘货信息!$C:$C,盘货信息!$Y:$Y)="","","【卡萨帝送赠】活动指定时间"&amp;_xlfn.TEXTBEFORE(_xlfn.TEXTAFTER(_xlfn.XLOOKUP($A57&amp;$B57&amp;$C57,盘货信息!$A:$A&amp;盘货信息!$B:$B&amp;盘货信息!$C:$C,盘货信息!$Y:$Y),"点"),"（"))</f>
        <v/>
      </c>
      <c r="W57" s="27" t="str" cm="1">
        <f t="array" ref="W57">IF(COUNTIF(_xlfn.XLOOKUP($A57&amp;$B57&amp;$C57,盘货信息!$A:$A&amp;盘货信息!$B:$B&amp;盘货信息!$C:$C,盘货信息!$O:$O),"*是*"),"【折扣】指定型号满2类享96折，满3类享94折","")</f>
        <v/>
      </c>
      <c r="X57" s="27" t="str" cm="1">
        <f t="array" ref="X57">IF(固定信息!$B$7="","",IF(_xlfn.XLOOKUP($A57&amp;$B57&amp;$C57,盘货信息!$A:$A&amp;盘货信息!$B:$B&amp;盘货信息!$C:$C,盘货信息!$N:$N)="是","【瓜分】"&amp;固定信息!$B$7,""))</f>
        <v/>
      </c>
      <c r="Y57" s="27" t="str">
        <f>IF(AND($V57="",$W57="",$X57=""),"",固定信息!$B$1)</f>
        <v/>
      </c>
      <c r="Z57" s="27" t="str" cm="1">
        <f t="array" ref="Z57">IF($C57="","",_xlfn.XLOOKUP($A57&amp;$B57&amp;$C57,服务!$A:$A&amp;服务!$B:$B&amp;服务!$C:$C,服务!$D:$D))</f>
        <v/>
      </c>
    </row>
    <row r="58" customHeight="1" spans="1:26">
      <c r="A58" s="26" t="str">
        <f>IF(盘货信息!A58="","",盘货信息!A58)</f>
        <v/>
      </c>
      <c r="B58" s="26" t="str">
        <f>IF(盘货信息!B58="","",盘货信息!B58)</f>
        <v/>
      </c>
      <c r="C58" s="27" t="str">
        <f>IF(盘货信息!C58="","",盘货信息!C58)</f>
        <v/>
      </c>
      <c r="D58" s="27" t="str">
        <f ca="1" t="shared" si="0"/>
        <v/>
      </c>
      <c r="E58" s="27" t="str">
        <f>IF(C58="","",固定信息!$B$2)</f>
        <v/>
      </c>
      <c r="F58" s="27" t="str">
        <f>IF(C58="","","【"&amp;C58&amp;"】"&amp;固定信息!$B$4)</f>
        <v/>
      </c>
      <c r="G58" s="27" t="str">
        <f>IF(C58="","","【"&amp;"活动时间："&amp;固定信息!$B$3&amp;"】")</f>
        <v/>
      </c>
      <c r="H58" s="27" t="str">
        <f>IF($C58="","",固定信息!$B$1)</f>
        <v/>
      </c>
      <c r="I58" s="27" t="str">
        <f>IF(OR(C58="",固定信息!$B$5=""),"","【1元预约锁好礼】"&amp;固定信息!$B$5)</f>
        <v/>
      </c>
      <c r="J58" s="27" t="str" cm="1">
        <f t="array" ref="J58">_xlfn.XLOOKUP($A58&amp;$B58&amp;$C58,价格信息!$A:$A&amp;价格信息!$B:$B&amp;价格信息!$C:$C,价格信息!$D:$D)</f>
        <v/>
      </c>
      <c r="K58" s="27" t="str">
        <f>IF($C58="","",固定信息!$B$1)</f>
        <v/>
      </c>
      <c r="L58" s="27" t="str" cm="1">
        <f t="array" ref="L58">IF(_xlfn.XLOOKUP($A58&amp;$B58&amp;$C58,盘货信息!$A:$A&amp;盘货信息!$B:$B&amp;盘货信息!$C:$C,盘货信息!$T:$T)="","","【优惠券】领"&amp;_xlfn.XLOOKUP($A58&amp;$B58&amp;$C58,盘货信息!$A:$A&amp;盘货信息!$B:$B&amp;盘货信息!$C:$C,盘货信息!$T:$T)&amp;"元优惠卷下单更优惠，领券链接："&amp;_xlfn.XLOOKUP($A58&amp;$B58&amp;$C58,盘货信息!$A:$A&amp;盘货信息!$B:$B&amp;盘货信息!$C:$C,盘货信息!$U:$U))</f>
        <v/>
      </c>
      <c r="M58" s="27" t="str" cm="1">
        <f t="array" ref="M58">IF(_xlfn.XLOOKUP($A58&amp;$B58&amp;$C58,盘货信息!$A:$A&amp;盘货信息!$B:$B&amp;盘货信息!$C:$C,盘货信息!$P:$P)="","","【限时】"&amp;_xlfn.XLOOKUP($A58&amp;$B58&amp;$C58,盘货信息!$A:$A&amp;盘货信息!$B:$B&amp;盘货信息!$C:$C,盘货信息!$P:$P))</f>
        <v/>
      </c>
      <c r="N58" s="27" t="str" cm="1">
        <f t="array" ref="N58">IF(_xlfn.XLOOKUP($A58&amp;$B58&amp;$C58,盘货信息!$A:$A&amp;盘货信息!$B:$B&amp;盘货信息!$C:$C,盘货信息!$V:$V)="","","【"&amp;盘货信息!$V$1&amp;"】"&amp;_xlfn.XLOOKUP($A58&amp;$B58&amp;$C58,盘货信息!$A:$A&amp;盘货信息!$B:$B&amp;盘货信息!$C:$C,盘货信息!$V:$V))</f>
        <v/>
      </c>
      <c r="O58" s="27" t="str" cm="1">
        <f t="array" ref="O58">IF(_xlfn.XLOOKUP($A58&amp;$B58&amp;$C58,盘货信息!$A:$A&amp;盘货信息!$B:$B&amp;盘货信息!$C:$C,盘货信息!$W:$W)="","","【"&amp;盘货信息!$W$1&amp;"】"&amp;_xlfn.XLOOKUP($A58&amp;$B58&amp;$C58,盘货信息!$A:$A&amp;盘货信息!$B:$B&amp;盘货信息!$C:$C,盘货信息!$W:$W))</f>
        <v/>
      </c>
      <c r="P58" s="27" t="str" cm="1">
        <f t="array" ref="P58">IF(_xlfn.XLOOKUP($A58&amp;$B58&amp;$C58,盘货信息!$A:$A&amp;盘货信息!$B:$B&amp;盘货信息!$C:$C,盘货信息!$S:$S)&lt;1,"","【"&amp;盘货信息!$S$1&amp;"】"&amp;"后返"&amp;_xlfn.XLOOKUP($A58&amp;$B58&amp;$C58,盘货信息!$A:$A&amp;盘货信息!$B:$B&amp;盘货信息!$C:$C,盘货信息!$S:$S)&amp;"元")</f>
        <v/>
      </c>
      <c r="Q58" s="27" t="str" cm="1">
        <f t="array" ref="Q58">IF(_xlfn.XLOOKUP($A58&amp;$B58&amp;$C58,盘货信息!$A:$A&amp;盘货信息!$B:$B&amp;盘货信息!$C:$C,盘货信息!$X:$X)="","","【"&amp;盘货信息!$X$1&amp;"】"&amp;_xlfn.XLOOKUP($A58&amp;$B58&amp;$C58,盘货信息!$A:$A&amp;盘货信息!$B:$B&amp;盘货信息!$C:$C,盘货信息!$X:$X))</f>
        <v/>
      </c>
      <c r="R58" s="27" t="str" cm="1">
        <f t="array" ref="R58">IF(_xlfn.XLOOKUP($A58&amp;$B58&amp;$C58,盘货信息!$A:$A&amp;盘货信息!$B:$B&amp;盘货信息!$C:$C,盘货信息!$Z:$Z)="","","【"&amp;盘货信息!$Z$1&amp;"】"&amp;_xlfn.XLOOKUP($A58&amp;$B58&amp;$C58,盘货信息!$A:$A&amp;盘货信息!$B:$B&amp;盘货信息!$C:$C,盘货信息!$Z:$Z))</f>
        <v/>
      </c>
      <c r="S58" s="27" t="str" cm="1">
        <f t="array" ref="S58">IF(_xlfn.XLOOKUP($A58&amp;$B58&amp;$C58,盘货信息!$A:$A&amp;盘货信息!$B:$B&amp;盘货信息!$C:$C,盘货信息!$Q:$Q)="","","【种草】站外带指定话题种草后返"&amp;_xlfn.XLOOKUP($A58&amp;$B58&amp;$C58,盘货信息!$A:$A&amp;盘货信息!$B:$B&amp;盘货信息!$C:$C,盘货信息!$Q:$Q)&amp;"元红包（每个淘宝账号仅限对应一个站外种草账号，同一个种草账号不可对应多个淘宝账号）")</f>
        <v/>
      </c>
      <c r="T58" s="27" t="str" cm="1">
        <f t="array" ref="T58">IF(_xlfn.XLOOKUP($A58&amp;$B58&amp;$C58,盘货信息!$A:$A&amp;盘货信息!$B:$B&amp;盘货信息!$C:$C,盘货信息!$R:$R)&lt;1,"","【以旧换新】"&amp;"享补贴"&amp;ROUND(_xlfn.XLOOKUP($A58&amp;$B58&amp;$C58,盘货信息!$A:$A&amp;盘货信息!$B:$B&amp;盘货信息!$C:$C,盘货信息!$R:$R),0)&amp;"元（可无旧机换新）")</f>
        <v/>
      </c>
      <c r="U58" s="27" t="str">
        <f>IF(AND($N58="",$O58="",$P58="",$Q58="",$R58="",$S58="",$T58=""),"",固定信息!$B$1)</f>
        <v/>
      </c>
      <c r="V58" s="27" t="str" cm="1">
        <f t="array" ref="V58">IF(_xlfn.XLOOKUP($A58&amp;$B58&amp;$C58,盘货信息!$A:$A&amp;盘货信息!$B:$B&amp;盘货信息!$C:$C,盘货信息!$Y:$Y)="","","【卡萨帝送赠】活动指定时间"&amp;_xlfn.TEXTBEFORE(_xlfn.TEXTAFTER(_xlfn.XLOOKUP($A58&amp;$B58&amp;$C58,盘货信息!$A:$A&amp;盘货信息!$B:$B&amp;盘货信息!$C:$C,盘货信息!$Y:$Y),"点"),"（"))</f>
        <v/>
      </c>
      <c r="W58" s="27" t="str" cm="1">
        <f t="array" ref="W58">IF(COUNTIF(_xlfn.XLOOKUP($A58&amp;$B58&amp;$C58,盘货信息!$A:$A&amp;盘货信息!$B:$B&amp;盘货信息!$C:$C,盘货信息!$O:$O),"*是*"),"【折扣】指定型号满2类享96折，满3类享94折","")</f>
        <v/>
      </c>
      <c r="X58" s="27" t="str" cm="1">
        <f t="array" ref="X58">IF(固定信息!$B$7="","",IF(_xlfn.XLOOKUP($A58&amp;$B58&amp;$C58,盘货信息!$A:$A&amp;盘货信息!$B:$B&amp;盘货信息!$C:$C,盘货信息!$N:$N)="是","【瓜分】"&amp;固定信息!$B$7,""))</f>
        <v/>
      </c>
      <c r="Y58" s="27" t="str">
        <f>IF(AND($V58="",$W58="",$X58=""),"",固定信息!$B$1)</f>
        <v/>
      </c>
      <c r="Z58" s="27" t="str" cm="1">
        <f t="array" ref="Z58">IF($C58="","",_xlfn.XLOOKUP($A58&amp;$B58&amp;$C58,服务!$A:$A&amp;服务!$B:$B&amp;服务!$C:$C,服务!$D:$D))</f>
        <v/>
      </c>
    </row>
    <row r="59" customHeight="1" spans="1:26">
      <c r="A59" s="26" t="str">
        <f>IF(盘货信息!A59="","",盘货信息!A59)</f>
        <v/>
      </c>
      <c r="B59" s="26" t="str">
        <f>IF(盘货信息!B59="","",盘货信息!B59)</f>
        <v/>
      </c>
      <c r="C59" s="27" t="str">
        <f>IF(盘货信息!C59="","",盘货信息!C59)</f>
        <v/>
      </c>
      <c r="D59" s="27" t="str">
        <f ca="1" t="shared" si="0"/>
        <v/>
      </c>
      <c r="E59" s="27" t="str">
        <f>IF(C59="","",固定信息!$B$2)</f>
        <v/>
      </c>
      <c r="F59" s="27" t="str">
        <f>IF(C59="","","【"&amp;C59&amp;"】"&amp;固定信息!$B$4)</f>
        <v/>
      </c>
      <c r="G59" s="27" t="str">
        <f>IF(C59="","","【"&amp;"活动时间："&amp;固定信息!$B$3&amp;"】")</f>
        <v/>
      </c>
      <c r="H59" s="27" t="str">
        <f>IF($C59="","",固定信息!$B$1)</f>
        <v/>
      </c>
      <c r="I59" s="27" t="str">
        <f>IF(OR(C59="",固定信息!$B$5=""),"","【1元预约锁好礼】"&amp;固定信息!$B$5)</f>
        <v/>
      </c>
      <c r="J59" s="27" t="str" cm="1">
        <f t="array" ref="J59">_xlfn.XLOOKUP($A59&amp;$B59&amp;$C59,价格信息!$A:$A&amp;价格信息!$B:$B&amp;价格信息!$C:$C,价格信息!$D:$D)</f>
        <v/>
      </c>
      <c r="K59" s="27" t="str">
        <f>IF($C59="","",固定信息!$B$1)</f>
        <v/>
      </c>
      <c r="L59" s="27" t="str" cm="1">
        <f t="array" ref="L59">IF(_xlfn.XLOOKUP($A59&amp;$B59&amp;$C59,盘货信息!$A:$A&amp;盘货信息!$B:$B&amp;盘货信息!$C:$C,盘货信息!$T:$T)="","","【优惠券】领"&amp;_xlfn.XLOOKUP($A59&amp;$B59&amp;$C59,盘货信息!$A:$A&amp;盘货信息!$B:$B&amp;盘货信息!$C:$C,盘货信息!$T:$T)&amp;"元优惠卷下单更优惠，领券链接："&amp;_xlfn.XLOOKUP($A59&amp;$B59&amp;$C59,盘货信息!$A:$A&amp;盘货信息!$B:$B&amp;盘货信息!$C:$C,盘货信息!$U:$U))</f>
        <v/>
      </c>
      <c r="M59" s="27" t="str" cm="1">
        <f t="array" ref="M59">IF(_xlfn.XLOOKUP($A59&amp;$B59&amp;$C59,盘货信息!$A:$A&amp;盘货信息!$B:$B&amp;盘货信息!$C:$C,盘货信息!$P:$P)="","","【限时】"&amp;_xlfn.XLOOKUP($A59&amp;$B59&amp;$C59,盘货信息!$A:$A&amp;盘货信息!$B:$B&amp;盘货信息!$C:$C,盘货信息!$P:$P))</f>
        <v/>
      </c>
      <c r="N59" s="27" t="str" cm="1">
        <f t="array" ref="N59">IF(_xlfn.XLOOKUP($A59&amp;$B59&amp;$C59,盘货信息!$A:$A&amp;盘货信息!$B:$B&amp;盘货信息!$C:$C,盘货信息!$V:$V)="","","【"&amp;盘货信息!$V$1&amp;"】"&amp;_xlfn.XLOOKUP($A59&amp;$B59&amp;$C59,盘货信息!$A:$A&amp;盘货信息!$B:$B&amp;盘货信息!$C:$C,盘货信息!$V:$V))</f>
        <v/>
      </c>
      <c r="O59" s="27" t="str" cm="1">
        <f t="array" ref="O59">IF(_xlfn.XLOOKUP($A59&amp;$B59&amp;$C59,盘货信息!$A:$A&amp;盘货信息!$B:$B&amp;盘货信息!$C:$C,盘货信息!$W:$W)="","","【"&amp;盘货信息!$W$1&amp;"】"&amp;_xlfn.XLOOKUP($A59&amp;$B59&amp;$C59,盘货信息!$A:$A&amp;盘货信息!$B:$B&amp;盘货信息!$C:$C,盘货信息!$W:$W))</f>
        <v/>
      </c>
      <c r="P59" s="27" t="str" cm="1">
        <f t="array" ref="P59">IF(_xlfn.XLOOKUP($A59&amp;$B59&amp;$C59,盘货信息!$A:$A&amp;盘货信息!$B:$B&amp;盘货信息!$C:$C,盘货信息!$S:$S)&lt;1,"","【"&amp;盘货信息!$S$1&amp;"】"&amp;"后返"&amp;_xlfn.XLOOKUP($A59&amp;$B59&amp;$C59,盘货信息!$A:$A&amp;盘货信息!$B:$B&amp;盘货信息!$C:$C,盘货信息!$S:$S)&amp;"元")</f>
        <v/>
      </c>
      <c r="Q59" s="27" t="str" cm="1">
        <f t="array" ref="Q59">IF(_xlfn.XLOOKUP($A59&amp;$B59&amp;$C59,盘货信息!$A:$A&amp;盘货信息!$B:$B&amp;盘货信息!$C:$C,盘货信息!$X:$X)="","","【"&amp;盘货信息!$X$1&amp;"】"&amp;_xlfn.XLOOKUP($A59&amp;$B59&amp;$C59,盘货信息!$A:$A&amp;盘货信息!$B:$B&amp;盘货信息!$C:$C,盘货信息!$X:$X))</f>
        <v/>
      </c>
      <c r="R59" s="27" t="str" cm="1">
        <f t="array" ref="R59">IF(_xlfn.XLOOKUP($A59&amp;$B59&amp;$C59,盘货信息!$A:$A&amp;盘货信息!$B:$B&amp;盘货信息!$C:$C,盘货信息!$Z:$Z)="","","【"&amp;盘货信息!$Z$1&amp;"】"&amp;_xlfn.XLOOKUP($A59&amp;$B59&amp;$C59,盘货信息!$A:$A&amp;盘货信息!$B:$B&amp;盘货信息!$C:$C,盘货信息!$Z:$Z))</f>
        <v/>
      </c>
      <c r="S59" s="27" t="str" cm="1">
        <f t="array" ref="S59">IF(_xlfn.XLOOKUP($A59&amp;$B59&amp;$C59,盘货信息!$A:$A&amp;盘货信息!$B:$B&amp;盘货信息!$C:$C,盘货信息!$Q:$Q)="","","【种草】站外带指定话题种草后返"&amp;_xlfn.XLOOKUP($A59&amp;$B59&amp;$C59,盘货信息!$A:$A&amp;盘货信息!$B:$B&amp;盘货信息!$C:$C,盘货信息!$Q:$Q)&amp;"元红包（每个淘宝账号仅限对应一个站外种草账号，同一个种草账号不可对应多个淘宝账号）")</f>
        <v/>
      </c>
      <c r="T59" s="27" t="str" cm="1">
        <f t="array" ref="T59">IF(_xlfn.XLOOKUP($A59&amp;$B59&amp;$C59,盘货信息!$A:$A&amp;盘货信息!$B:$B&amp;盘货信息!$C:$C,盘货信息!$R:$R)&lt;1,"","【以旧换新】"&amp;"享补贴"&amp;ROUND(_xlfn.XLOOKUP($A59&amp;$B59&amp;$C59,盘货信息!$A:$A&amp;盘货信息!$B:$B&amp;盘货信息!$C:$C,盘货信息!$R:$R),0)&amp;"元（可无旧机换新）")</f>
        <v/>
      </c>
      <c r="U59" s="27" t="str">
        <f>IF(AND($N59="",$O59="",$P59="",$Q59="",$R59="",$S59="",$T59=""),"",固定信息!$B$1)</f>
        <v/>
      </c>
      <c r="V59" s="27" t="str" cm="1">
        <f t="array" ref="V59">IF(_xlfn.XLOOKUP($A59&amp;$B59&amp;$C59,盘货信息!$A:$A&amp;盘货信息!$B:$B&amp;盘货信息!$C:$C,盘货信息!$Y:$Y)="","","【卡萨帝送赠】活动指定时间"&amp;_xlfn.TEXTBEFORE(_xlfn.TEXTAFTER(_xlfn.XLOOKUP($A59&amp;$B59&amp;$C59,盘货信息!$A:$A&amp;盘货信息!$B:$B&amp;盘货信息!$C:$C,盘货信息!$Y:$Y),"点"),"（"))</f>
        <v/>
      </c>
      <c r="W59" s="27" t="str" cm="1">
        <f t="array" ref="W59">IF(COUNTIF(_xlfn.XLOOKUP($A59&amp;$B59&amp;$C59,盘货信息!$A:$A&amp;盘货信息!$B:$B&amp;盘货信息!$C:$C,盘货信息!$O:$O),"*是*"),"【折扣】指定型号满2类享96折，满3类享94折","")</f>
        <v/>
      </c>
      <c r="X59" s="27" t="str" cm="1">
        <f t="array" ref="X59">IF(固定信息!$B$7="","",IF(_xlfn.XLOOKUP($A59&amp;$B59&amp;$C59,盘货信息!$A:$A&amp;盘货信息!$B:$B&amp;盘货信息!$C:$C,盘货信息!$N:$N)="是","【瓜分】"&amp;固定信息!$B$7,""))</f>
        <v/>
      </c>
      <c r="Y59" s="27" t="str">
        <f>IF(AND($V59="",$W59="",$X59=""),"",固定信息!$B$1)</f>
        <v/>
      </c>
      <c r="Z59" s="27" t="str" cm="1">
        <f t="array" ref="Z59">IF($C59="","",_xlfn.XLOOKUP($A59&amp;$B59&amp;$C59,服务!$A:$A&amp;服务!$B:$B&amp;服务!$C:$C,服务!$D:$D))</f>
        <v/>
      </c>
    </row>
    <row r="60" customHeight="1" spans="1:26">
      <c r="A60" s="26" t="str">
        <f>IF(盘货信息!A60="","",盘货信息!A60)</f>
        <v/>
      </c>
      <c r="B60" s="26" t="str">
        <f>IF(盘货信息!B60="","",盘货信息!B60)</f>
        <v/>
      </c>
      <c r="C60" s="27" t="str">
        <f>IF(盘货信息!C60="","",盘货信息!C60)</f>
        <v/>
      </c>
      <c r="D60" s="27" t="str">
        <f ca="1" t="shared" si="0"/>
        <v/>
      </c>
      <c r="E60" s="27" t="str">
        <f>IF(C60="","",固定信息!$B$2)</f>
        <v/>
      </c>
      <c r="F60" s="27" t="str">
        <f>IF(C60="","","【"&amp;C60&amp;"】"&amp;固定信息!$B$4)</f>
        <v/>
      </c>
      <c r="G60" s="27" t="str">
        <f>IF(C60="","","【"&amp;"活动时间："&amp;固定信息!$B$3&amp;"】")</f>
        <v/>
      </c>
      <c r="H60" s="27" t="str">
        <f>IF($C60="","",固定信息!$B$1)</f>
        <v/>
      </c>
      <c r="I60" s="27" t="str">
        <f>IF(OR(C60="",固定信息!$B$5=""),"","【1元预约锁好礼】"&amp;固定信息!$B$5)</f>
        <v/>
      </c>
      <c r="J60" s="27" t="str" cm="1">
        <f t="array" ref="J60">_xlfn.XLOOKUP($A60&amp;$B60&amp;$C60,价格信息!$A:$A&amp;价格信息!$B:$B&amp;价格信息!$C:$C,价格信息!$D:$D)</f>
        <v/>
      </c>
      <c r="K60" s="27" t="str">
        <f>IF($C60="","",固定信息!$B$1)</f>
        <v/>
      </c>
      <c r="L60" s="27" t="str" cm="1">
        <f t="array" ref="L60">IF(_xlfn.XLOOKUP($A60&amp;$B60&amp;$C60,盘货信息!$A:$A&amp;盘货信息!$B:$B&amp;盘货信息!$C:$C,盘货信息!$T:$T)="","","【优惠券】领"&amp;_xlfn.XLOOKUP($A60&amp;$B60&amp;$C60,盘货信息!$A:$A&amp;盘货信息!$B:$B&amp;盘货信息!$C:$C,盘货信息!$T:$T)&amp;"元优惠卷下单更优惠，领券链接："&amp;_xlfn.XLOOKUP($A60&amp;$B60&amp;$C60,盘货信息!$A:$A&amp;盘货信息!$B:$B&amp;盘货信息!$C:$C,盘货信息!$U:$U))</f>
        <v/>
      </c>
      <c r="M60" s="27" t="str" cm="1">
        <f t="array" ref="M60">IF(_xlfn.XLOOKUP($A60&amp;$B60&amp;$C60,盘货信息!$A:$A&amp;盘货信息!$B:$B&amp;盘货信息!$C:$C,盘货信息!$P:$P)="","","【限时】"&amp;_xlfn.XLOOKUP($A60&amp;$B60&amp;$C60,盘货信息!$A:$A&amp;盘货信息!$B:$B&amp;盘货信息!$C:$C,盘货信息!$P:$P))</f>
        <v/>
      </c>
      <c r="N60" s="27" t="str" cm="1">
        <f t="array" ref="N60">IF(_xlfn.XLOOKUP($A60&amp;$B60&amp;$C60,盘货信息!$A:$A&amp;盘货信息!$B:$B&amp;盘货信息!$C:$C,盘货信息!$V:$V)="","","【"&amp;盘货信息!$V$1&amp;"】"&amp;_xlfn.XLOOKUP($A60&amp;$B60&amp;$C60,盘货信息!$A:$A&amp;盘货信息!$B:$B&amp;盘货信息!$C:$C,盘货信息!$V:$V))</f>
        <v/>
      </c>
      <c r="O60" s="27" t="str" cm="1">
        <f t="array" ref="O60">IF(_xlfn.XLOOKUP($A60&amp;$B60&amp;$C60,盘货信息!$A:$A&amp;盘货信息!$B:$B&amp;盘货信息!$C:$C,盘货信息!$W:$W)="","","【"&amp;盘货信息!$W$1&amp;"】"&amp;_xlfn.XLOOKUP($A60&amp;$B60&amp;$C60,盘货信息!$A:$A&amp;盘货信息!$B:$B&amp;盘货信息!$C:$C,盘货信息!$W:$W))</f>
        <v/>
      </c>
      <c r="P60" s="27" t="str" cm="1">
        <f t="array" ref="P60">IF(_xlfn.XLOOKUP($A60&amp;$B60&amp;$C60,盘货信息!$A:$A&amp;盘货信息!$B:$B&amp;盘货信息!$C:$C,盘货信息!$S:$S)&lt;1,"","【"&amp;盘货信息!$S$1&amp;"】"&amp;"后返"&amp;_xlfn.XLOOKUP($A60&amp;$B60&amp;$C60,盘货信息!$A:$A&amp;盘货信息!$B:$B&amp;盘货信息!$C:$C,盘货信息!$S:$S)&amp;"元")</f>
        <v/>
      </c>
      <c r="Q60" s="27" t="str" cm="1">
        <f t="array" ref="Q60">IF(_xlfn.XLOOKUP($A60&amp;$B60&amp;$C60,盘货信息!$A:$A&amp;盘货信息!$B:$B&amp;盘货信息!$C:$C,盘货信息!$X:$X)="","","【"&amp;盘货信息!$X$1&amp;"】"&amp;_xlfn.XLOOKUP($A60&amp;$B60&amp;$C60,盘货信息!$A:$A&amp;盘货信息!$B:$B&amp;盘货信息!$C:$C,盘货信息!$X:$X))</f>
        <v/>
      </c>
      <c r="R60" s="27" t="str" cm="1">
        <f t="array" ref="R60">IF(_xlfn.XLOOKUP($A60&amp;$B60&amp;$C60,盘货信息!$A:$A&amp;盘货信息!$B:$B&amp;盘货信息!$C:$C,盘货信息!$Z:$Z)="","","【"&amp;盘货信息!$Z$1&amp;"】"&amp;_xlfn.XLOOKUP($A60&amp;$B60&amp;$C60,盘货信息!$A:$A&amp;盘货信息!$B:$B&amp;盘货信息!$C:$C,盘货信息!$Z:$Z))</f>
        <v/>
      </c>
      <c r="S60" s="27" t="str" cm="1">
        <f t="array" ref="S60">IF(_xlfn.XLOOKUP($A60&amp;$B60&amp;$C60,盘货信息!$A:$A&amp;盘货信息!$B:$B&amp;盘货信息!$C:$C,盘货信息!$Q:$Q)="","","【种草】站外带指定话题种草后返"&amp;_xlfn.XLOOKUP($A60&amp;$B60&amp;$C60,盘货信息!$A:$A&amp;盘货信息!$B:$B&amp;盘货信息!$C:$C,盘货信息!$Q:$Q)&amp;"元红包（每个淘宝账号仅限对应一个站外种草账号，同一个种草账号不可对应多个淘宝账号）")</f>
        <v/>
      </c>
      <c r="T60" s="27" t="str" cm="1">
        <f t="array" ref="T60">IF(_xlfn.XLOOKUP($A60&amp;$B60&amp;$C60,盘货信息!$A:$A&amp;盘货信息!$B:$B&amp;盘货信息!$C:$C,盘货信息!$R:$R)&lt;1,"","【以旧换新】"&amp;"享补贴"&amp;ROUND(_xlfn.XLOOKUP($A60&amp;$B60&amp;$C60,盘货信息!$A:$A&amp;盘货信息!$B:$B&amp;盘货信息!$C:$C,盘货信息!$R:$R),0)&amp;"元（可无旧机换新）")</f>
        <v/>
      </c>
      <c r="U60" s="27" t="str">
        <f>IF(AND($N60="",$O60="",$P60="",$Q60="",$R60="",$S60="",$T60=""),"",固定信息!$B$1)</f>
        <v/>
      </c>
      <c r="V60" s="27" t="str" cm="1">
        <f t="array" ref="V60">IF(_xlfn.XLOOKUP($A60&amp;$B60&amp;$C60,盘货信息!$A:$A&amp;盘货信息!$B:$B&amp;盘货信息!$C:$C,盘货信息!$Y:$Y)="","","【卡萨帝送赠】活动指定时间"&amp;_xlfn.TEXTBEFORE(_xlfn.TEXTAFTER(_xlfn.XLOOKUP($A60&amp;$B60&amp;$C60,盘货信息!$A:$A&amp;盘货信息!$B:$B&amp;盘货信息!$C:$C,盘货信息!$Y:$Y),"点"),"（"))</f>
        <v/>
      </c>
      <c r="W60" s="27" t="str" cm="1">
        <f t="array" ref="W60">IF(COUNTIF(_xlfn.XLOOKUP($A60&amp;$B60&amp;$C60,盘货信息!$A:$A&amp;盘货信息!$B:$B&amp;盘货信息!$C:$C,盘货信息!$O:$O),"*是*"),"【折扣】指定型号满2类享96折，满3类享94折","")</f>
        <v/>
      </c>
      <c r="X60" s="27" t="str" cm="1">
        <f t="array" ref="X60">IF(固定信息!$B$7="","",IF(_xlfn.XLOOKUP($A60&amp;$B60&amp;$C60,盘货信息!$A:$A&amp;盘货信息!$B:$B&amp;盘货信息!$C:$C,盘货信息!$N:$N)="是","【瓜分】"&amp;固定信息!$B$7,""))</f>
        <v/>
      </c>
      <c r="Y60" s="27" t="str">
        <f>IF(AND($V60="",$W60="",$X60=""),"",固定信息!$B$1)</f>
        <v/>
      </c>
      <c r="Z60" s="27" t="str" cm="1">
        <f t="array" ref="Z60">IF($C60="","",_xlfn.XLOOKUP($A60&amp;$B60&amp;$C60,服务!$A:$A&amp;服务!$B:$B&amp;服务!$C:$C,服务!$D:$D))</f>
        <v/>
      </c>
    </row>
    <row r="61" customHeight="1" spans="1:26">
      <c r="A61" s="26" t="str">
        <f>IF(盘货信息!A61="","",盘货信息!A61)</f>
        <v/>
      </c>
      <c r="B61" s="26" t="str">
        <f>IF(盘货信息!B61="","",盘货信息!B61)</f>
        <v/>
      </c>
      <c r="C61" s="27" t="str">
        <f>IF(盘货信息!C61="","",盘货信息!C61)</f>
        <v/>
      </c>
      <c r="D61" s="27" t="str">
        <f ca="1" t="shared" si="0"/>
        <v/>
      </c>
      <c r="E61" s="27" t="str">
        <f>IF(C61="","",固定信息!$B$2)</f>
        <v/>
      </c>
      <c r="F61" s="27" t="str">
        <f>IF(C61="","","【"&amp;C61&amp;"】"&amp;固定信息!$B$4)</f>
        <v/>
      </c>
      <c r="G61" s="27" t="str">
        <f>IF(C61="","","【"&amp;"活动时间："&amp;固定信息!$B$3&amp;"】")</f>
        <v/>
      </c>
      <c r="H61" s="27" t="str">
        <f>IF($C61="","",固定信息!$B$1)</f>
        <v/>
      </c>
      <c r="I61" s="27" t="str">
        <f>IF(OR(C61="",固定信息!$B$5=""),"","【1元预约锁好礼】"&amp;固定信息!$B$5)</f>
        <v/>
      </c>
      <c r="J61" s="27" t="str" cm="1">
        <f t="array" ref="J61">_xlfn.XLOOKUP($A61&amp;$B61&amp;$C61,价格信息!$A:$A&amp;价格信息!$B:$B&amp;价格信息!$C:$C,价格信息!$D:$D)</f>
        <v/>
      </c>
      <c r="K61" s="27" t="str">
        <f>IF($C61="","",固定信息!$B$1)</f>
        <v/>
      </c>
      <c r="L61" s="27" t="str" cm="1">
        <f t="array" ref="L61">IF(_xlfn.XLOOKUP($A61&amp;$B61&amp;$C61,盘货信息!$A:$A&amp;盘货信息!$B:$B&amp;盘货信息!$C:$C,盘货信息!$T:$T)="","","【优惠券】领"&amp;_xlfn.XLOOKUP($A61&amp;$B61&amp;$C61,盘货信息!$A:$A&amp;盘货信息!$B:$B&amp;盘货信息!$C:$C,盘货信息!$T:$T)&amp;"元优惠卷下单更优惠，领券链接："&amp;_xlfn.XLOOKUP($A61&amp;$B61&amp;$C61,盘货信息!$A:$A&amp;盘货信息!$B:$B&amp;盘货信息!$C:$C,盘货信息!$U:$U))</f>
        <v/>
      </c>
      <c r="M61" s="27" t="str" cm="1">
        <f t="array" ref="M61">IF(_xlfn.XLOOKUP($A61&amp;$B61&amp;$C61,盘货信息!$A:$A&amp;盘货信息!$B:$B&amp;盘货信息!$C:$C,盘货信息!$P:$P)="","","【限时】"&amp;_xlfn.XLOOKUP($A61&amp;$B61&amp;$C61,盘货信息!$A:$A&amp;盘货信息!$B:$B&amp;盘货信息!$C:$C,盘货信息!$P:$P))</f>
        <v/>
      </c>
      <c r="N61" s="27" t="str" cm="1">
        <f t="array" ref="N61">IF(_xlfn.XLOOKUP($A61&amp;$B61&amp;$C61,盘货信息!$A:$A&amp;盘货信息!$B:$B&amp;盘货信息!$C:$C,盘货信息!$V:$V)="","","【"&amp;盘货信息!$V$1&amp;"】"&amp;_xlfn.XLOOKUP($A61&amp;$B61&amp;$C61,盘货信息!$A:$A&amp;盘货信息!$B:$B&amp;盘货信息!$C:$C,盘货信息!$V:$V))</f>
        <v/>
      </c>
      <c r="O61" s="27" t="str" cm="1">
        <f t="array" ref="O61">IF(_xlfn.XLOOKUP($A61&amp;$B61&amp;$C61,盘货信息!$A:$A&amp;盘货信息!$B:$B&amp;盘货信息!$C:$C,盘货信息!$W:$W)="","","【"&amp;盘货信息!$W$1&amp;"】"&amp;_xlfn.XLOOKUP($A61&amp;$B61&amp;$C61,盘货信息!$A:$A&amp;盘货信息!$B:$B&amp;盘货信息!$C:$C,盘货信息!$W:$W))</f>
        <v/>
      </c>
      <c r="P61" s="27" t="str" cm="1">
        <f t="array" ref="P61">IF(_xlfn.XLOOKUP($A61&amp;$B61&amp;$C61,盘货信息!$A:$A&amp;盘货信息!$B:$B&amp;盘货信息!$C:$C,盘货信息!$S:$S)&lt;1,"","【"&amp;盘货信息!$S$1&amp;"】"&amp;"后返"&amp;_xlfn.XLOOKUP($A61&amp;$B61&amp;$C61,盘货信息!$A:$A&amp;盘货信息!$B:$B&amp;盘货信息!$C:$C,盘货信息!$S:$S)&amp;"元")</f>
        <v/>
      </c>
      <c r="Q61" s="27" t="str" cm="1">
        <f t="array" ref="Q61">IF(_xlfn.XLOOKUP($A61&amp;$B61&amp;$C61,盘货信息!$A:$A&amp;盘货信息!$B:$B&amp;盘货信息!$C:$C,盘货信息!$X:$X)="","","【"&amp;盘货信息!$X$1&amp;"】"&amp;_xlfn.XLOOKUP($A61&amp;$B61&amp;$C61,盘货信息!$A:$A&amp;盘货信息!$B:$B&amp;盘货信息!$C:$C,盘货信息!$X:$X))</f>
        <v/>
      </c>
      <c r="R61" s="27" t="str" cm="1">
        <f t="array" ref="R61">IF(_xlfn.XLOOKUP($A61&amp;$B61&amp;$C61,盘货信息!$A:$A&amp;盘货信息!$B:$B&amp;盘货信息!$C:$C,盘货信息!$Z:$Z)="","","【"&amp;盘货信息!$Z$1&amp;"】"&amp;_xlfn.XLOOKUP($A61&amp;$B61&amp;$C61,盘货信息!$A:$A&amp;盘货信息!$B:$B&amp;盘货信息!$C:$C,盘货信息!$Z:$Z))</f>
        <v/>
      </c>
      <c r="S61" s="27" t="str" cm="1">
        <f t="array" ref="S61">IF(_xlfn.XLOOKUP($A61&amp;$B61&amp;$C61,盘货信息!$A:$A&amp;盘货信息!$B:$B&amp;盘货信息!$C:$C,盘货信息!$Q:$Q)="","","【种草】站外带指定话题种草后返"&amp;_xlfn.XLOOKUP($A61&amp;$B61&amp;$C61,盘货信息!$A:$A&amp;盘货信息!$B:$B&amp;盘货信息!$C:$C,盘货信息!$Q:$Q)&amp;"元红包（每个淘宝账号仅限对应一个站外种草账号，同一个种草账号不可对应多个淘宝账号）")</f>
        <v/>
      </c>
      <c r="T61" s="27" t="str" cm="1">
        <f t="array" ref="T61">IF(_xlfn.XLOOKUP($A61&amp;$B61&amp;$C61,盘货信息!$A:$A&amp;盘货信息!$B:$B&amp;盘货信息!$C:$C,盘货信息!$R:$R)&lt;1,"","【以旧换新】"&amp;"享补贴"&amp;ROUND(_xlfn.XLOOKUP($A61&amp;$B61&amp;$C61,盘货信息!$A:$A&amp;盘货信息!$B:$B&amp;盘货信息!$C:$C,盘货信息!$R:$R),0)&amp;"元（可无旧机换新）")</f>
        <v/>
      </c>
      <c r="U61" s="27" t="str">
        <f>IF(AND($N61="",$O61="",$P61="",$Q61="",$R61="",$S61="",$T61=""),"",固定信息!$B$1)</f>
        <v/>
      </c>
      <c r="V61" s="27" t="str" cm="1">
        <f t="array" ref="V61">IF(_xlfn.XLOOKUP($A61&amp;$B61&amp;$C61,盘货信息!$A:$A&amp;盘货信息!$B:$B&amp;盘货信息!$C:$C,盘货信息!$Y:$Y)="","","【卡萨帝送赠】活动指定时间"&amp;_xlfn.TEXTBEFORE(_xlfn.TEXTAFTER(_xlfn.XLOOKUP($A61&amp;$B61&amp;$C61,盘货信息!$A:$A&amp;盘货信息!$B:$B&amp;盘货信息!$C:$C,盘货信息!$Y:$Y),"点"),"（"))</f>
        <v/>
      </c>
      <c r="W61" s="27" t="str" cm="1">
        <f t="array" ref="W61">IF(COUNTIF(_xlfn.XLOOKUP($A61&amp;$B61&amp;$C61,盘货信息!$A:$A&amp;盘货信息!$B:$B&amp;盘货信息!$C:$C,盘货信息!$O:$O),"*是*"),"【折扣】指定型号满2类享96折，满3类享94折","")</f>
        <v/>
      </c>
      <c r="X61" s="27" t="str" cm="1">
        <f t="array" ref="X61">IF(固定信息!$B$7="","",IF(_xlfn.XLOOKUP($A61&amp;$B61&amp;$C61,盘货信息!$A:$A&amp;盘货信息!$B:$B&amp;盘货信息!$C:$C,盘货信息!$N:$N)="是","【瓜分】"&amp;固定信息!$B$7,""))</f>
        <v/>
      </c>
      <c r="Y61" s="27" t="str">
        <f>IF(AND($V61="",$W61="",$X61=""),"",固定信息!$B$1)</f>
        <v/>
      </c>
      <c r="Z61" s="27" t="str" cm="1">
        <f t="array" ref="Z61">IF($C61="","",_xlfn.XLOOKUP($A61&amp;$B61&amp;$C61,服务!$A:$A&amp;服务!$B:$B&amp;服务!$C:$C,服务!$D:$D))</f>
        <v/>
      </c>
    </row>
    <row r="62" customHeight="1" spans="1:26">
      <c r="A62" s="26" t="str">
        <f>IF(盘货信息!A62="","",盘货信息!A62)</f>
        <v/>
      </c>
      <c r="B62" s="26" t="str">
        <f>IF(盘货信息!B62="","",盘货信息!B62)</f>
        <v/>
      </c>
      <c r="C62" s="27" t="str">
        <f>IF(盘货信息!C62="","",盘货信息!C62)</f>
        <v/>
      </c>
      <c r="D62" s="27" t="str">
        <f ca="1" t="shared" si="0"/>
        <v/>
      </c>
      <c r="E62" s="27" t="str">
        <f>IF(C62="","",固定信息!$B$2)</f>
        <v/>
      </c>
      <c r="F62" s="27" t="str">
        <f>IF(C62="","","【"&amp;C62&amp;"】"&amp;固定信息!$B$4)</f>
        <v/>
      </c>
      <c r="G62" s="27" t="str">
        <f>IF(C62="","","【"&amp;"活动时间："&amp;固定信息!$B$3&amp;"】")</f>
        <v/>
      </c>
      <c r="H62" s="27" t="str">
        <f>IF($C62="","",固定信息!$B$1)</f>
        <v/>
      </c>
      <c r="I62" s="27" t="str">
        <f>IF(OR(C62="",固定信息!$B$5=""),"","【1元预约锁好礼】"&amp;固定信息!$B$5)</f>
        <v/>
      </c>
      <c r="J62" s="27" t="str" cm="1">
        <f t="array" ref="J62">_xlfn.XLOOKUP($A62&amp;$B62&amp;$C62,价格信息!$A:$A&amp;价格信息!$B:$B&amp;价格信息!$C:$C,价格信息!$D:$D)</f>
        <v/>
      </c>
      <c r="K62" s="27" t="str">
        <f>IF($C62="","",固定信息!$B$1)</f>
        <v/>
      </c>
      <c r="L62" s="27" t="str" cm="1">
        <f t="array" ref="L62">IF(_xlfn.XLOOKUP($A62&amp;$B62&amp;$C62,盘货信息!$A:$A&amp;盘货信息!$B:$B&amp;盘货信息!$C:$C,盘货信息!$T:$T)="","","【优惠券】领"&amp;_xlfn.XLOOKUP($A62&amp;$B62&amp;$C62,盘货信息!$A:$A&amp;盘货信息!$B:$B&amp;盘货信息!$C:$C,盘货信息!$T:$T)&amp;"元优惠卷下单更优惠，领券链接："&amp;_xlfn.XLOOKUP($A62&amp;$B62&amp;$C62,盘货信息!$A:$A&amp;盘货信息!$B:$B&amp;盘货信息!$C:$C,盘货信息!$U:$U))</f>
        <v/>
      </c>
      <c r="M62" s="27" t="str" cm="1">
        <f t="array" ref="M62">IF(_xlfn.XLOOKUP($A62&amp;$B62&amp;$C62,盘货信息!$A:$A&amp;盘货信息!$B:$B&amp;盘货信息!$C:$C,盘货信息!$P:$P)="","","【限时】"&amp;_xlfn.XLOOKUP($A62&amp;$B62&amp;$C62,盘货信息!$A:$A&amp;盘货信息!$B:$B&amp;盘货信息!$C:$C,盘货信息!$P:$P))</f>
        <v/>
      </c>
      <c r="N62" s="27" t="str" cm="1">
        <f t="array" ref="N62">IF(_xlfn.XLOOKUP($A62&amp;$B62&amp;$C62,盘货信息!$A:$A&amp;盘货信息!$B:$B&amp;盘货信息!$C:$C,盘货信息!$V:$V)="","","【"&amp;盘货信息!$V$1&amp;"】"&amp;_xlfn.XLOOKUP($A62&amp;$B62&amp;$C62,盘货信息!$A:$A&amp;盘货信息!$B:$B&amp;盘货信息!$C:$C,盘货信息!$V:$V))</f>
        <v/>
      </c>
      <c r="O62" s="27" t="str" cm="1">
        <f t="array" ref="O62">IF(_xlfn.XLOOKUP($A62&amp;$B62&amp;$C62,盘货信息!$A:$A&amp;盘货信息!$B:$B&amp;盘货信息!$C:$C,盘货信息!$W:$W)="","","【"&amp;盘货信息!$W$1&amp;"】"&amp;_xlfn.XLOOKUP($A62&amp;$B62&amp;$C62,盘货信息!$A:$A&amp;盘货信息!$B:$B&amp;盘货信息!$C:$C,盘货信息!$W:$W))</f>
        <v/>
      </c>
      <c r="P62" s="27" t="str" cm="1">
        <f t="array" ref="P62">IF(_xlfn.XLOOKUP($A62&amp;$B62&amp;$C62,盘货信息!$A:$A&amp;盘货信息!$B:$B&amp;盘货信息!$C:$C,盘货信息!$S:$S)&lt;1,"","【"&amp;盘货信息!$S$1&amp;"】"&amp;"后返"&amp;_xlfn.XLOOKUP($A62&amp;$B62&amp;$C62,盘货信息!$A:$A&amp;盘货信息!$B:$B&amp;盘货信息!$C:$C,盘货信息!$S:$S)&amp;"元")</f>
        <v/>
      </c>
      <c r="Q62" s="27" t="str" cm="1">
        <f t="array" ref="Q62">IF(_xlfn.XLOOKUP($A62&amp;$B62&amp;$C62,盘货信息!$A:$A&amp;盘货信息!$B:$B&amp;盘货信息!$C:$C,盘货信息!$X:$X)="","","【"&amp;盘货信息!$X$1&amp;"】"&amp;_xlfn.XLOOKUP($A62&amp;$B62&amp;$C62,盘货信息!$A:$A&amp;盘货信息!$B:$B&amp;盘货信息!$C:$C,盘货信息!$X:$X))</f>
        <v/>
      </c>
      <c r="R62" s="27" t="str" cm="1">
        <f t="array" ref="R62">IF(_xlfn.XLOOKUP($A62&amp;$B62&amp;$C62,盘货信息!$A:$A&amp;盘货信息!$B:$B&amp;盘货信息!$C:$C,盘货信息!$Z:$Z)="","","【"&amp;盘货信息!$Z$1&amp;"】"&amp;_xlfn.XLOOKUP($A62&amp;$B62&amp;$C62,盘货信息!$A:$A&amp;盘货信息!$B:$B&amp;盘货信息!$C:$C,盘货信息!$Z:$Z))</f>
        <v/>
      </c>
      <c r="S62" s="27" t="str" cm="1">
        <f t="array" ref="S62">IF(_xlfn.XLOOKUP($A62&amp;$B62&amp;$C62,盘货信息!$A:$A&amp;盘货信息!$B:$B&amp;盘货信息!$C:$C,盘货信息!$Q:$Q)="","","【种草】站外带指定话题种草后返"&amp;_xlfn.XLOOKUP($A62&amp;$B62&amp;$C62,盘货信息!$A:$A&amp;盘货信息!$B:$B&amp;盘货信息!$C:$C,盘货信息!$Q:$Q)&amp;"元红包（每个淘宝账号仅限对应一个站外种草账号，同一个种草账号不可对应多个淘宝账号）")</f>
        <v/>
      </c>
      <c r="T62" s="27" t="str" cm="1">
        <f t="array" ref="T62">IF(_xlfn.XLOOKUP($A62&amp;$B62&amp;$C62,盘货信息!$A:$A&amp;盘货信息!$B:$B&amp;盘货信息!$C:$C,盘货信息!$R:$R)&lt;1,"","【以旧换新】"&amp;"享补贴"&amp;ROUND(_xlfn.XLOOKUP($A62&amp;$B62&amp;$C62,盘货信息!$A:$A&amp;盘货信息!$B:$B&amp;盘货信息!$C:$C,盘货信息!$R:$R),0)&amp;"元（可无旧机换新）")</f>
        <v/>
      </c>
      <c r="U62" s="27" t="str">
        <f>IF(AND($N62="",$O62="",$P62="",$Q62="",$R62="",$S62="",$T62=""),"",固定信息!$B$1)</f>
        <v/>
      </c>
      <c r="V62" s="27" t="str" cm="1">
        <f t="array" ref="V62">IF(_xlfn.XLOOKUP($A62&amp;$B62&amp;$C62,盘货信息!$A:$A&amp;盘货信息!$B:$B&amp;盘货信息!$C:$C,盘货信息!$Y:$Y)="","","【卡萨帝送赠】活动指定时间"&amp;_xlfn.TEXTBEFORE(_xlfn.TEXTAFTER(_xlfn.XLOOKUP($A62&amp;$B62&amp;$C62,盘货信息!$A:$A&amp;盘货信息!$B:$B&amp;盘货信息!$C:$C,盘货信息!$Y:$Y),"点"),"（"))</f>
        <v/>
      </c>
      <c r="W62" s="27" t="str" cm="1">
        <f t="array" ref="W62">IF(COUNTIF(_xlfn.XLOOKUP($A62&amp;$B62&amp;$C62,盘货信息!$A:$A&amp;盘货信息!$B:$B&amp;盘货信息!$C:$C,盘货信息!$O:$O),"*是*"),"【折扣】指定型号满2类享96折，满3类享94折","")</f>
        <v/>
      </c>
      <c r="X62" s="27" t="str" cm="1">
        <f t="array" ref="X62">IF(固定信息!$B$7="","",IF(_xlfn.XLOOKUP($A62&amp;$B62&amp;$C62,盘货信息!$A:$A&amp;盘货信息!$B:$B&amp;盘货信息!$C:$C,盘货信息!$N:$N)="是","【瓜分】"&amp;固定信息!$B$7,""))</f>
        <v/>
      </c>
      <c r="Y62" s="27" t="str">
        <f>IF(AND($V62="",$W62="",$X62=""),"",固定信息!$B$1)</f>
        <v/>
      </c>
      <c r="Z62" s="27" t="str" cm="1">
        <f t="array" ref="Z62">IF($C62="","",_xlfn.XLOOKUP($A62&amp;$B62&amp;$C62,服务!$A:$A&amp;服务!$B:$B&amp;服务!$C:$C,服务!$D:$D))</f>
        <v/>
      </c>
    </row>
    <row r="63" customHeight="1" spans="1:26">
      <c r="A63" s="26" t="str">
        <f>IF(盘货信息!A63="","",盘货信息!A63)</f>
        <v/>
      </c>
      <c r="B63" s="26" t="str">
        <f>IF(盘货信息!B63="","",盘货信息!B63)</f>
        <v/>
      </c>
      <c r="C63" s="27" t="str">
        <f>IF(盘货信息!C63="","",盘货信息!C63)</f>
        <v/>
      </c>
      <c r="D63" s="27" t="str">
        <f ca="1" t="shared" si="0"/>
        <v/>
      </c>
      <c r="E63" s="27" t="str">
        <f>IF(C63="","",固定信息!$B$2)</f>
        <v/>
      </c>
      <c r="F63" s="27" t="str">
        <f>IF(C63="","","【"&amp;C63&amp;"】"&amp;固定信息!$B$4)</f>
        <v/>
      </c>
      <c r="G63" s="27" t="str">
        <f>IF(C63="","","【"&amp;"活动时间："&amp;固定信息!$B$3&amp;"】")</f>
        <v/>
      </c>
      <c r="H63" s="27" t="str">
        <f>IF($C63="","",固定信息!$B$1)</f>
        <v/>
      </c>
      <c r="I63" s="27" t="str">
        <f>IF(OR(C63="",固定信息!$B$5=""),"","【1元预约锁好礼】"&amp;固定信息!$B$5)</f>
        <v/>
      </c>
      <c r="J63" s="27" t="str" cm="1">
        <f t="array" ref="J63">_xlfn.XLOOKUP($A63&amp;$B63&amp;$C63,价格信息!$A:$A&amp;价格信息!$B:$B&amp;价格信息!$C:$C,价格信息!$D:$D)</f>
        <v/>
      </c>
      <c r="K63" s="27" t="str">
        <f>IF($C63="","",固定信息!$B$1)</f>
        <v/>
      </c>
      <c r="L63" s="27" t="str" cm="1">
        <f t="array" ref="L63">IF(_xlfn.XLOOKUP($A63&amp;$B63&amp;$C63,盘货信息!$A:$A&amp;盘货信息!$B:$B&amp;盘货信息!$C:$C,盘货信息!$T:$T)="","","【优惠券】领"&amp;_xlfn.XLOOKUP($A63&amp;$B63&amp;$C63,盘货信息!$A:$A&amp;盘货信息!$B:$B&amp;盘货信息!$C:$C,盘货信息!$T:$T)&amp;"元优惠卷下单更优惠，领券链接："&amp;_xlfn.XLOOKUP($A63&amp;$B63&amp;$C63,盘货信息!$A:$A&amp;盘货信息!$B:$B&amp;盘货信息!$C:$C,盘货信息!$U:$U))</f>
        <v/>
      </c>
      <c r="M63" s="27" t="str" cm="1">
        <f t="array" ref="M63">IF(_xlfn.XLOOKUP($A63&amp;$B63&amp;$C63,盘货信息!$A:$A&amp;盘货信息!$B:$B&amp;盘货信息!$C:$C,盘货信息!$P:$P)="","","【限时】"&amp;_xlfn.XLOOKUP($A63&amp;$B63&amp;$C63,盘货信息!$A:$A&amp;盘货信息!$B:$B&amp;盘货信息!$C:$C,盘货信息!$P:$P))</f>
        <v/>
      </c>
      <c r="N63" s="27" t="str" cm="1">
        <f t="array" ref="N63">IF(_xlfn.XLOOKUP($A63&amp;$B63&amp;$C63,盘货信息!$A:$A&amp;盘货信息!$B:$B&amp;盘货信息!$C:$C,盘货信息!$V:$V)="","","【"&amp;盘货信息!$V$1&amp;"】"&amp;_xlfn.XLOOKUP($A63&amp;$B63&amp;$C63,盘货信息!$A:$A&amp;盘货信息!$B:$B&amp;盘货信息!$C:$C,盘货信息!$V:$V))</f>
        <v/>
      </c>
      <c r="O63" s="27" t="str" cm="1">
        <f t="array" ref="O63">IF(_xlfn.XLOOKUP($A63&amp;$B63&amp;$C63,盘货信息!$A:$A&amp;盘货信息!$B:$B&amp;盘货信息!$C:$C,盘货信息!$W:$W)="","","【"&amp;盘货信息!$W$1&amp;"】"&amp;_xlfn.XLOOKUP($A63&amp;$B63&amp;$C63,盘货信息!$A:$A&amp;盘货信息!$B:$B&amp;盘货信息!$C:$C,盘货信息!$W:$W))</f>
        <v/>
      </c>
      <c r="P63" s="27" t="str" cm="1">
        <f t="array" ref="P63">IF(_xlfn.XLOOKUP($A63&amp;$B63&amp;$C63,盘货信息!$A:$A&amp;盘货信息!$B:$B&amp;盘货信息!$C:$C,盘货信息!$S:$S)&lt;1,"","【"&amp;盘货信息!$S$1&amp;"】"&amp;"后返"&amp;_xlfn.XLOOKUP($A63&amp;$B63&amp;$C63,盘货信息!$A:$A&amp;盘货信息!$B:$B&amp;盘货信息!$C:$C,盘货信息!$S:$S)&amp;"元")</f>
        <v/>
      </c>
      <c r="Q63" s="27" t="str" cm="1">
        <f t="array" ref="Q63">IF(_xlfn.XLOOKUP($A63&amp;$B63&amp;$C63,盘货信息!$A:$A&amp;盘货信息!$B:$B&amp;盘货信息!$C:$C,盘货信息!$X:$X)="","","【"&amp;盘货信息!$X$1&amp;"】"&amp;_xlfn.XLOOKUP($A63&amp;$B63&amp;$C63,盘货信息!$A:$A&amp;盘货信息!$B:$B&amp;盘货信息!$C:$C,盘货信息!$X:$X))</f>
        <v/>
      </c>
      <c r="R63" s="27" t="str" cm="1">
        <f t="array" ref="R63">IF(_xlfn.XLOOKUP($A63&amp;$B63&amp;$C63,盘货信息!$A:$A&amp;盘货信息!$B:$B&amp;盘货信息!$C:$C,盘货信息!$Z:$Z)="","","【"&amp;盘货信息!$Z$1&amp;"】"&amp;_xlfn.XLOOKUP($A63&amp;$B63&amp;$C63,盘货信息!$A:$A&amp;盘货信息!$B:$B&amp;盘货信息!$C:$C,盘货信息!$Z:$Z))</f>
        <v/>
      </c>
      <c r="S63" s="27" t="str" cm="1">
        <f t="array" ref="S63">IF(_xlfn.XLOOKUP($A63&amp;$B63&amp;$C63,盘货信息!$A:$A&amp;盘货信息!$B:$B&amp;盘货信息!$C:$C,盘货信息!$Q:$Q)="","","【种草】站外带指定话题种草后返"&amp;_xlfn.XLOOKUP($A63&amp;$B63&amp;$C63,盘货信息!$A:$A&amp;盘货信息!$B:$B&amp;盘货信息!$C:$C,盘货信息!$Q:$Q)&amp;"元红包（每个淘宝账号仅限对应一个站外种草账号，同一个种草账号不可对应多个淘宝账号）")</f>
        <v/>
      </c>
      <c r="T63" s="27" t="str" cm="1">
        <f t="array" ref="T63">IF(_xlfn.XLOOKUP($A63&amp;$B63&amp;$C63,盘货信息!$A:$A&amp;盘货信息!$B:$B&amp;盘货信息!$C:$C,盘货信息!$R:$R)&lt;1,"","【以旧换新】"&amp;"享补贴"&amp;ROUND(_xlfn.XLOOKUP($A63&amp;$B63&amp;$C63,盘货信息!$A:$A&amp;盘货信息!$B:$B&amp;盘货信息!$C:$C,盘货信息!$R:$R),0)&amp;"元（可无旧机换新）")</f>
        <v/>
      </c>
      <c r="U63" s="27" t="str">
        <f>IF(AND($N63="",$O63="",$P63="",$Q63="",$R63="",$S63="",$T63=""),"",固定信息!$B$1)</f>
        <v/>
      </c>
      <c r="V63" s="27" t="str" cm="1">
        <f t="array" ref="V63">IF(_xlfn.XLOOKUP($A63&amp;$B63&amp;$C63,盘货信息!$A:$A&amp;盘货信息!$B:$B&amp;盘货信息!$C:$C,盘货信息!$Y:$Y)="","","【卡萨帝送赠】活动指定时间"&amp;_xlfn.TEXTBEFORE(_xlfn.TEXTAFTER(_xlfn.XLOOKUP($A63&amp;$B63&amp;$C63,盘货信息!$A:$A&amp;盘货信息!$B:$B&amp;盘货信息!$C:$C,盘货信息!$Y:$Y),"点"),"（"))</f>
        <v/>
      </c>
      <c r="W63" s="27" t="str" cm="1">
        <f t="array" ref="W63">IF(COUNTIF(_xlfn.XLOOKUP($A63&amp;$B63&amp;$C63,盘货信息!$A:$A&amp;盘货信息!$B:$B&amp;盘货信息!$C:$C,盘货信息!$O:$O),"*是*"),"【折扣】指定型号满2类享96折，满3类享94折","")</f>
        <v/>
      </c>
      <c r="X63" s="27" t="str" cm="1">
        <f t="array" ref="X63">IF(固定信息!$B$7="","",IF(_xlfn.XLOOKUP($A63&amp;$B63&amp;$C63,盘货信息!$A:$A&amp;盘货信息!$B:$B&amp;盘货信息!$C:$C,盘货信息!$N:$N)="是","【瓜分】"&amp;固定信息!$B$7,""))</f>
        <v/>
      </c>
      <c r="Y63" s="27" t="str">
        <f>IF(AND($V63="",$W63="",$X63=""),"",固定信息!$B$1)</f>
        <v/>
      </c>
      <c r="Z63" s="27" t="str" cm="1">
        <f t="array" ref="Z63">IF($C63="","",_xlfn.XLOOKUP($A63&amp;$B63&amp;$C63,服务!$A:$A&amp;服务!$B:$B&amp;服务!$C:$C,服务!$D:$D))</f>
        <v/>
      </c>
    </row>
    <row r="64" customHeight="1" spans="1:26">
      <c r="A64" s="26" t="str">
        <f>IF(盘货信息!A64="","",盘货信息!A64)</f>
        <v/>
      </c>
      <c r="B64" s="26" t="str">
        <f>IF(盘货信息!B64="","",盘货信息!B64)</f>
        <v/>
      </c>
      <c r="C64" s="27" t="str">
        <f>IF(盘货信息!C64="","",盘货信息!C64)</f>
        <v/>
      </c>
      <c r="D64" s="27" t="str">
        <f ca="1" t="shared" si="0"/>
        <v/>
      </c>
      <c r="E64" s="27" t="str">
        <f>IF(C64="","",固定信息!$B$2)</f>
        <v/>
      </c>
      <c r="F64" s="27" t="str">
        <f>IF(C64="","","【"&amp;C64&amp;"】"&amp;固定信息!$B$4)</f>
        <v/>
      </c>
      <c r="G64" s="27" t="str">
        <f>IF(C64="","","【"&amp;"活动时间："&amp;固定信息!$B$3&amp;"】")</f>
        <v/>
      </c>
      <c r="H64" s="27" t="str">
        <f>IF($C64="","",固定信息!$B$1)</f>
        <v/>
      </c>
      <c r="I64" s="27" t="str">
        <f>IF(OR(C64="",固定信息!$B$5=""),"","【1元预约锁好礼】"&amp;固定信息!$B$5)</f>
        <v/>
      </c>
      <c r="J64" s="27" t="str" cm="1">
        <f t="array" ref="J64">_xlfn.XLOOKUP($A64&amp;$B64&amp;$C64,价格信息!$A:$A&amp;价格信息!$B:$B&amp;价格信息!$C:$C,价格信息!$D:$D)</f>
        <v/>
      </c>
      <c r="K64" s="27" t="str">
        <f>IF($C64="","",固定信息!$B$1)</f>
        <v/>
      </c>
      <c r="L64" s="27" t="str" cm="1">
        <f t="array" ref="L64">IF(_xlfn.XLOOKUP($A64&amp;$B64&amp;$C64,盘货信息!$A:$A&amp;盘货信息!$B:$B&amp;盘货信息!$C:$C,盘货信息!$T:$T)="","","【优惠券】领"&amp;_xlfn.XLOOKUP($A64&amp;$B64&amp;$C64,盘货信息!$A:$A&amp;盘货信息!$B:$B&amp;盘货信息!$C:$C,盘货信息!$T:$T)&amp;"元优惠卷下单更优惠，领券链接："&amp;_xlfn.XLOOKUP($A64&amp;$B64&amp;$C64,盘货信息!$A:$A&amp;盘货信息!$B:$B&amp;盘货信息!$C:$C,盘货信息!$U:$U))</f>
        <v/>
      </c>
      <c r="M64" s="27" t="str" cm="1">
        <f t="array" ref="M64">IF(_xlfn.XLOOKUP($A64&amp;$B64&amp;$C64,盘货信息!$A:$A&amp;盘货信息!$B:$B&amp;盘货信息!$C:$C,盘货信息!$P:$P)="","","【限时】"&amp;_xlfn.XLOOKUP($A64&amp;$B64&amp;$C64,盘货信息!$A:$A&amp;盘货信息!$B:$B&amp;盘货信息!$C:$C,盘货信息!$P:$P))</f>
        <v/>
      </c>
      <c r="N64" s="27" t="str" cm="1">
        <f t="array" ref="N64">IF(_xlfn.XLOOKUP($A64&amp;$B64&amp;$C64,盘货信息!$A:$A&amp;盘货信息!$B:$B&amp;盘货信息!$C:$C,盘货信息!$V:$V)="","","【"&amp;盘货信息!$V$1&amp;"】"&amp;_xlfn.XLOOKUP($A64&amp;$B64&amp;$C64,盘货信息!$A:$A&amp;盘货信息!$B:$B&amp;盘货信息!$C:$C,盘货信息!$V:$V))</f>
        <v/>
      </c>
      <c r="O64" s="27" t="str" cm="1">
        <f t="array" ref="O64">IF(_xlfn.XLOOKUP($A64&amp;$B64&amp;$C64,盘货信息!$A:$A&amp;盘货信息!$B:$B&amp;盘货信息!$C:$C,盘货信息!$W:$W)="","","【"&amp;盘货信息!$W$1&amp;"】"&amp;_xlfn.XLOOKUP($A64&amp;$B64&amp;$C64,盘货信息!$A:$A&amp;盘货信息!$B:$B&amp;盘货信息!$C:$C,盘货信息!$W:$W))</f>
        <v/>
      </c>
      <c r="P64" s="27" t="str" cm="1">
        <f t="array" ref="P64">IF(_xlfn.XLOOKUP($A64&amp;$B64&amp;$C64,盘货信息!$A:$A&amp;盘货信息!$B:$B&amp;盘货信息!$C:$C,盘货信息!$S:$S)&lt;1,"","【"&amp;盘货信息!$S$1&amp;"】"&amp;"后返"&amp;_xlfn.XLOOKUP($A64&amp;$B64&amp;$C64,盘货信息!$A:$A&amp;盘货信息!$B:$B&amp;盘货信息!$C:$C,盘货信息!$S:$S)&amp;"元")</f>
        <v/>
      </c>
      <c r="Q64" s="27" t="str" cm="1">
        <f t="array" ref="Q64">IF(_xlfn.XLOOKUP($A64&amp;$B64&amp;$C64,盘货信息!$A:$A&amp;盘货信息!$B:$B&amp;盘货信息!$C:$C,盘货信息!$X:$X)="","","【"&amp;盘货信息!$X$1&amp;"】"&amp;_xlfn.XLOOKUP($A64&amp;$B64&amp;$C64,盘货信息!$A:$A&amp;盘货信息!$B:$B&amp;盘货信息!$C:$C,盘货信息!$X:$X))</f>
        <v/>
      </c>
      <c r="R64" s="27" t="str" cm="1">
        <f t="array" ref="R64">IF(_xlfn.XLOOKUP($A64&amp;$B64&amp;$C64,盘货信息!$A:$A&amp;盘货信息!$B:$B&amp;盘货信息!$C:$C,盘货信息!$Z:$Z)="","","【"&amp;盘货信息!$Z$1&amp;"】"&amp;_xlfn.XLOOKUP($A64&amp;$B64&amp;$C64,盘货信息!$A:$A&amp;盘货信息!$B:$B&amp;盘货信息!$C:$C,盘货信息!$Z:$Z))</f>
        <v/>
      </c>
      <c r="S64" s="27" t="str" cm="1">
        <f t="array" ref="S64">IF(_xlfn.XLOOKUP($A64&amp;$B64&amp;$C64,盘货信息!$A:$A&amp;盘货信息!$B:$B&amp;盘货信息!$C:$C,盘货信息!$Q:$Q)="","","【种草】站外带指定话题种草后返"&amp;_xlfn.XLOOKUP($A64&amp;$B64&amp;$C64,盘货信息!$A:$A&amp;盘货信息!$B:$B&amp;盘货信息!$C:$C,盘货信息!$Q:$Q)&amp;"元红包（每个淘宝账号仅限对应一个站外种草账号，同一个种草账号不可对应多个淘宝账号）")</f>
        <v/>
      </c>
      <c r="T64" s="27" t="str" cm="1">
        <f t="array" ref="T64">IF(_xlfn.XLOOKUP($A64&amp;$B64&amp;$C64,盘货信息!$A:$A&amp;盘货信息!$B:$B&amp;盘货信息!$C:$C,盘货信息!$R:$R)&lt;1,"","【以旧换新】"&amp;"享补贴"&amp;ROUND(_xlfn.XLOOKUP($A64&amp;$B64&amp;$C64,盘货信息!$A:$A&amp;盘货信息!$B:$B&amp;盘货信息!$C:$C,盘货信息!$R:$R),0)&amp;"元（可无旧机换新）")</f>
        <v/>
      </c>
      <c r="U64" s="27" t="str">
        <f>IF(AND($N64="",$O64="",$P64="",$Q64="",$R64="",$S64="",$T64=""),"",固定信息!$B$1)</f>
        <v/>
      </c>
      <c r="V64" s="27" t="str" cm="1">
        <f t="array" ref="V64">IF(_xlfn.XLOOKUP($A64&amp;$B64&amp;$C64,盘货信息!$A:$A&amp;盘货信息!$B:$B&amp;盘货信息!$C:$C,盘货信息!$Y:$Y)="","","【卡萨帝送赠】活动指定时间"&amp;_xlfn.TEXTBEFORE(_xlfn.TEXTAFTER(_xlfn.XLOOKUP($A64&amp;$B64&amp;$C64,盘货信息!$A:$A&amp;盘货信息!$B:$B&amp;盘货信息!$C:$C,盘货信息!$Y:$Y),"点"),"（"))</f>
        <v/>
      </c>
      <c r="W64" s="27" t="str" cm="1">
        <f t="array" ref="W64">IF(COUNTIF(_xlfn.XLOOKUP($A64&amp;$B64&amp;$C64,盘货信息!$A:$A&amp;盘货信息!$B:$B&amp;盘货信息!$C:$C,盘货信息!$O:$O),"*是*"),"【折扣】指定型号满2类享96折，满3类享94折","")</f>
        <v/>
      </c>
      <c r="X64" s="27" t="str" cm="1">
        <f t="array" ref="X64">IF(固定信息!$B$7="","",IF(_xlfn.XLOOKUP($A64&amp;$B64&amp;$C64,盘货信息!$A:$A&amp;盘货信息!$B:$B&amp;盘货信息!$C:$C,盘货信息!$N:$N)="是","【瓜分】"&amp;固定信息!$B$7,""))</f>
        <v/>
      </c>
      <c r="Y64" s="27" t="str">
        <f>IF(AND($V64="",$W64="",$X64=""),"",固定信息!$B$1)</f>
        <v/>
      </c>
      <c r="Z64" s="27" t="str" cm="1">
        <f t="array" ref="Z64">IF($C64="","",_xlfn.XLOOKUP($A64&amp;$B64&amp;$C64,服务!$A:$A&amp;服务!$B:$B&amp;服务!$C:$C,服务!$D:$D))</f>
        <v/>
      </c>
    </row>
    <row r="65" customHeight="1" spans="1:26">
      <c r="A65" s="26" t="str">
        <f>IF(盘货信息!A65="","",盘货信息!A65)</f>
        <v/>
      </c>
      <c r="B65" s="26" t="str">
        <f>IF(盘货信息!B65="","",盘货信息!B65)</f>
        <v/>
      </c>
      <c r="C65" s="27" t="str">
        <f>IF(盘货信息!C65="","",盘货信息!C65)</f>
        <v/>
      </c>
      <c r="D65" s="27" t="str">
        <f ca="1" t="shared" si="0"/>
        <v/>
      </c>
      <c r="E65" s="27" t="str">
        <f>IF(C65="","",固定信息!$B$2)</f>
        <v/>
      </c>
      <c r="F65" s="27" t="str">
        <f>IF(C65="","","【"&amp;C65&amp;"】"&amp;固定信息!$B$4)</f>
        <v/>
      </c>
      <c r="G65" s="27" t="str">
        <f>IF(C65="","","【"&amp;"活动时间："&amp;固定信息!$B$3&amp;"】")</f>
        <v/>
      </c>
      <c r="H65" s="27" t="str">
        <f>IF($C65="","",固定信息!$B$1)</f>
        <v/>
      </c>
      <c r="I65" s="27" t="str">
        <f>IF(OR(C65="",固定信息!$B$5=""),"","【1元预约锁好礼】"&amp;固定信息!$B$5)</f>
        <v/>
      </c>
      <c r="J65" s="27" t="str" cm="1">
        <f t="array" ref="J65">_xlfn.XLOOKUP($A65&amp;$B65&amp;$C65,价格信息!$A:$A&amp;价格信息!$B:$B&amp;价格信息!$C:$C,价格信息!$D:$D)</f>
        <v/>
      </c>
      <c r="K65" s="27" t="str">
        <f>IF($C65="","",固定信息!$B$1)</f>
        <v/>
      </c>
      <c r="L65" s="27" t="str" cm="1">
        <f t="array" ref="L65">IF(_xlfn.XLOOKUP($A65&amp;$B65&amp;$C65,盘货信息!$A:$A&amp;盘货信息!$B:$B&amp;盘货信息!$C:$C,盘货信息!$T:$T)="","","【优惠券】领"&amp;_xlfn.XLOOKUP($A65&amp;$B65&amp;$C65,盘货信息!$A:$A&amp;盘货信息!$B:$B&amp;盘货信息!$C:$C,盘货信息!$T:$T)&amp;"元优惠卷下单更优惠，领券链接："&amp;_xlfn.XLOOKUP($A65&amp;$B65&amp;$C65,盘货信息!$A:$A&amp;盘货信息!$B:$B&amp;盘货信息!$C:$C,盘货信息!$U:$U))</f>
        <v/>
      </c>
      <c r="M65" s="27" t="str" cm="1">
        <f t="array" ref="M65">IF(_xlfn.XLOOKUP($A65&amp;$B65&amp;$C65,盘货信息!$A:$A&amp;盘货信息!$B:$B&amp;盘货信息!$C:$C,盘货信息!$P:$P)="","","【限时】"&amp;_xlfn.XLOOKUP($A65&amp;$B65&amp;$C65,盘货信息!$A:$A&amp;盘货信息!$B:$B&amp;盘货信息!$C:$C,盘货信息!$P:$P))</f>
        <v/>
      </c>
      <c r="N65" s="27" t="str" cm="1">
        <f t="array" ref="N65">IF(_xlfn.XLOOKUP($A65&amp;$B65&amp;$C65,盘货信息!$A:$A&amp;盘货信息!$B:$B&amp;盘货信息!$C:$C,盘货信息!$V:$V)="","","【"&amp;盘货信息!$V$1&amp;"】"&amp;_xlfn.XLOOKUP($A65&amp;$B65&amp;$C65,盘货信息!$A:$A&amp;盘货信息!$B:$B&amp;盘货信息!$C:$C,盘货信息!$V:$V))</f>
        <v/>
      </c>
      <c r="O65" s="27" t="str" cm="1">
        <f t="array" ref="O65">IF(_xlfn.XLOOKUP($A65&amp;$B65&amp;$C65,盘货信息!$A:$A&amp;盘货信息!$B:$B&amp;盘货信息!$C:$C,盘货信息!$W:$W)="","","【"&amp;盘货信息!$W$1&amp;"】"&amp;_xlfn.XLOOKUP($A65&amp;$B65&amp;$C65,盘货信息!$A:$A&amp;盘货信息!$B:$B&amp;盘货信息!$C:$C,盘货信息!$W:$W))</f>
        <v/>
      </c>
      <c r="P65" s="27" t="str" cm="1">
        <f t="array" ref="P65">IF(_xlfn.XLOOKUP($A65&amp;$B65&amp;$C65,盘货信息!$A:$A&amp;盘货信息!$B:$B&amp;盘货信息!$C:$C,盘货信息!$S:$S)&lt;1,"","【"&amp;盘货信息!$S$1&amp;"】"&amp;"后返"&amp;_xlfn.XLOOKUP($A65&amp;$B65&amp;$C65,盘货信息!$A:$A&amp;盘货信息!$B:$B&amp;盘货信息!$C:$C,盘货信息!$S:$S)&amp;"元")</f>
        <v/>
      </c>
      <c r="Q65" s="27" t="str" cm="1">
        <f t="array" ref="Q65">IF(_xlfn.XLOOKUP($A65&amp;$B65&amp;$C65,盘货信息!$A:$A&amp;盘货信息!$B:$B&amp;盘货信息!$C:$C,盘货信息!$X:$X)="","","【"&amp;盘货信息!$X$1&amp;"】"&amp;_xlfn.XLOOKUP($A65&amp;$B65&amp;$C65,盘货信息!$A:$A&amp;盘货信息!$B:$B&amp;盘货信息!$C:$C,盘货信息!$X:$X))</f>
        <v/>
      </c>
      <c r="R65" s="27" t="str" cm="1">
        <f t="array" ref="R65">IF(_xlfn.XLOOKUP($A65&amp;$B65&amp;$C65,盘货信息!$A:$A&amp;盘货信息!$B:$B&amp;盘货信息!$C:$C,盘货信息!$Z:$Z)="","","【"&amp;盘货信息!$Z$1&amp;"】"&amp;_xlfn.XLOOKUP($A65&amp;$B65&amp;$C65,盘货信息!$A:$A&amp;盘货信息!$B:$B&amp;盘货信息!$C:$C,盘货信息!$Z:$Z))</f>
        <v/>
      </c>
      <c r="S65" s="27" t="str" cm="1">
        <f t="array" ref="S65">IF(_xlfn.XLOOKUP($A65&amp;$B65&amp;$C65,盘货信息!$A:$A&amp;盘货信息!$B:$B&amp;盘货信息!$C:$C,盘货信息!$Q:$Q)="","","【种草】站外带指定话题种草后返"&amp;_xlfn.XLOOKUP($A65&amp;$B65&amp;$C65,盘货信息!$A:$A&amp;盘货信息!$B:$B&amp;盘货信息!$C:$C,盘货信息!$Q:$Q)&amp;"元红包（每个淘宝账号仅限对应一个站外种草账号，同一个种草账号不可对应多个淘宝账号）")</f>
        <v/>
      </c>
      <c r="T65" s="27" t="str" cm="1">
        <f t="array" ref="T65">IF(_xlfn.XLOOKUP($A65&amp;$B65&amp;$C65,盘货信息!$A:$A&amp;盘货信息!$B:$B&amp;盘货信息!$C:$C,盘货信息!$R:$R)&lt;1,"","【以旧换新】"&amp;"享补贴"&amp;ROUND(_xlfn.XLOOKUP($A65&amp;$B65&amp;$C65,盘货信息!$A:$A&amp;盘货信息!$B:$B&amp;盘货信息!$C:$C,盘货信息!$R:$R),0)&amp;"元（可无旧机换新）")</f>
        <v/>
      </c>
      <c r="U65" s="27" t="str">
        <f>IF(AND($N65="",$O65="",$P65="",$Q65="",$R65="",$S65="",$T65=""),"",固定信息!$B$1)</f>
        <v/>
      </c>
      <c r="V65" s="27" t="str" cm="1">
        <f t="array" ref="V65">IF(_xlfn.XLOOKUP($A65&amp;$B65&amp;$C65,盘货信息!$A:$A&amp;盘货信息!$B:$B&amp;盘货信息!$C:$C,盘货信息!$Y:$Y)="","","【卡萨帝送赠】活动指定时间"&amp;_xlfn.TEXTBEFORE(_xlfn.TEXTAFTER(_xlfn.XLOOKUP($A65&amp;$B65&amp;$C65,盘货信息!$A:$A&amp;盘货信息!$B:$B&amp;盘货信息!$C:$C,盘货信息!$Y:$Y),"点"),"（"))</f>
        <v/>
      </c>
      <c r="W65" s="27" t="str" cm="1">
        <f t="array" ref="W65">IF(COUNTIF(_xlfn.XLOOKUP($A65&amp;$B65&amp;$C65,盘货信息!$A:$A&amp;盘货信息!$B:$B&amp;盘货信息!$C:$C,盘货信息!$O:$O),"*是*"),"【折扣】指定型号满2类享96折，满3类享94折","")</f>
        <v/>
      </c>
      <c r="X65" s="27" t="str" cm="1">
        <f t="array" ref="X65">IF(固定信息!$B$7="","",IF(_xlfn.XLOOKUP($A65&amp;$B65&amp;$C65,盘货信息!$A:$A&amp;盘货信息!$B:$B&amp;盘货信息!$C:$C,盘货信息!$N:$N)="是","【瓜分】"&amp;固定信息!$B$7,""))</f>
        <v/>
      </c>
      <c r="Y65" s="27" t="str">
        <f>IF(AND($V65="",$W65="",$X65=""),"",固定信息!$B$1)</f>
        <v/>
      </c>
      <c r="Z65" s="27" t="str" cm="1">
        <f t="array" ref="Z65">IF($C65="","",_xlfn.XLOOKUP($A65&amp;$B65&amp;$C65,服务!$A:$A&amp;服务!$B:$B&amp;服务!$C:$C,服务!$D:$D))</f>
        <v/>
      </c>
    </row>
    <row r="66" customHeight="1" spans="1:26">
      <c r="A66" s="26" t="str">
        <f>IF(盘货信息!A66="","",盘货信息!A66)</f>
        <v/>
      </c>
      <c r="B66" s="26" t="str">
        <f>IF(盘货信息!B66="","",盘货信息!B66)</f>
        <v/>
      </c>
      <c r="C66" s="27" t="str">
        <f>IF(盘货信息!C66="","",盘货信息!C66)</f>
        <v/>
      </c>
      <c r="D66" s="27" t="str">
        <f ca="1" t="shared" si="0"/>
        <v/>
      </c>
      <c r="E66" s="27" t="str">
        <f>IF(C66="","",固定信息!$B$2)</f>
        <v/>
      </c>
      <c r="F66" s="27" t="str">
        <f>IF(C66="","","【"&amp;C66&amp;"】"&amp;固定信息!$B$4)</f>
        <v/>
      </c>
      <c r="G66" s="27" t="str">
        <f>IF(C66="","","【"&amp;"活动时间："&amp;固定信息!$B$3&amp;"】")</f>
        <v/>
      </c>
      <c r="H66" s="27" t="str">
        <f>IF($C66="","",固定信息!$B$1)</f>
        <v/>
      </c>
      <c r="I66" s="27" t="str">
        <f>IF(OR(C66="",固定信息!$B$5=""),"","【1元预约锁好礼】"&amp;固定信息!$B$5)</f>
        <v/>
      </c>
      <c r="J66" s="27" t="str" cm="1">
        <f t="array" ref="J66">_xlfn.XLOOKUP($A66&amp;$B66&amp;$C66,价格信息!$A:$A&amp;价格信息!$B:$B&amp;价格信息!$C:$C,价格信息!$D:$D)</f>
        <v/>
      </c>
      <c r="K66" s="27" t="str">
        <f>IF($C66="","",固定信息!$B$1)</f>
        <v/>
      </c>
      <c r="L66" s="27" t="str" cm="1">
        <f t="array" ref="L66">IF(_xlfn.XLOOKUP($A66&amp;$B66&amp;$C66,盘货信息!$A:$A&amp;盘货信息!$B:$B&amp;盘货信息!$C:$C,盘货信息!$T:$T)="","","【优惠券】领"&amp;_xlfn.XLOOKUP($A66&amp;$B66&amp;$C66,盘货信息!$A:$A&amp;盘货信息!$B:$B&amp;盘货信息!$C:$C,盘货信息!$T:$T)&amp;"元优惠卷下单更优惠，领券链接："&amp;_xlfn.XLOOKUP($A66&amp;$B66&amp;$C66,盘货信息!$A:$A&amp;盘货信息!$B:$B&amp;盘货信息!$C:$C,盘货信息!$U:$U))</f>
        <v/>
      </c>
      <c r="M66" s="27" t="str" cm="1">
        <f t="array" ref="M66">IF(_xlfn.XLOOKUP($A66&amp;$B66&amp;$C66,盘货信息!$A:$A&amp;盘货信息!$B:$B&amp;盘货信息!$C:$C,盘货信息!$P:$P)="","","【限时】"&amp;_xlfn.XLOOKUP($A66&amp;$B66&amp;$C66,盘货信息!$A:$A&amp;盘货信息!$B:$B&amp;盘货信息!$C:$C,盘货信息!$P:$P))</f>
        <v/>
      </c>
      <c r="N66" s="27" t="str" cm="1">
        <f t="array" ref="N66">IF(_xlfn.XLOOKUP($A66&amp;$B66&amp;$C66,盘货信息!$A:$A&amp;盘货信息!$B:$B&amp;盘货信息!$C:$C,盘货信息!$V:$V)="","","【"&amp;盘货信息!$V$1&amp;"】"&amp;_xlfn.XLOOKUP($A66&amp;$B66&amp;$C66,盘货信息!$A:$A&amp;盘货信息!$B:$B&amp;盘货信息!$C:$C,盘货信息!$V:$V))</f>
        <v/>
      </c>
      <c r="O66" s="27" t="str" cm="1">
        <f t="array" ref="O66">IF(_xlfn.XLOOKUP($A66&amp;$B66&amp;$C66,盘货信息!$A:$A&amp;盘货信息!$B:$B&amp;盘货信息!$C:$C,盘货信息!$W:$W)="","","【"&amp;盘货信息!$W$1&amp;"】"&amp;_xlfn.XLOOKUP($A66&amp;$B66&amp;$C66,盘货信息!$A:$A&amp;盘货信息!$B:$B&amp;盘货信息!$C:$C,盘货信息!$W:$W))</f>
        <v/>
      </c>
      <c r="P66" s="27" t="str" cm="1">
        <f t="array" ref="P66">IF(_xlfn.XLOOKUP($A66&amp;$B66&amp;$C66,盘货信息!$A:$A&amp;盘货信息!$B:$B&amp;盘货信息!$C:$C,盘货信息!$S:$S)&lt;1,"","【"&amp;盘货信息!$S$1&amp;"】"&amp;"后返"&amp;_xlfn.XLOOKUP($A66&amp;$B66&amp;$C66,盘货信息!$A:$A&amp;盘货信息!$B:$B&amp;盘货信息!$C:$C,盘货信息!$S:$S)&amp;"元")</f>
        <v/>
      </c>
      <c r="Q66" s="27" t="str" cm="1">
        <f t="array" ref="Q66">IF(_xlfn.XLOOKUP($A66&amp;$B66&amp;$C66,盘货信息!$A:$A&amp;盘货信息!$B:$B&amp;盘货信息!$C:$C,盘货信息!$X:$X)="","","【"&amp;盘货信息!$X$1&amp;"】"&amp;_xlfn.XLOOKUP($A66&amp;$B66&amp;$C66,盘货信息!$A:$A&amp;盘货信息!$B:$B&amp;盘货信息!$C:$C,盘货信息!$X:$X))</f>
        <v/>
      </c>
      <c r="R66" s="27" t="str" cm="1">
        <f t="array" ref="R66">IF(_xlfn.XLOOKUP($A66&amp;$B66&amp;$C66,盘货信息!$A:$A&amp;盘货信息!$B:$B&amp;盘货信息!$C:$C,盘货信息!$Z:$Z)="","","【"&amp;盘货信息!$Z$1&amp;"】"&amp;_xlfn.XLOOKUP($A66&amp;$B66&amp;$C66,盘货信息!$A:$A&amp;盘货信息!$B:$B&amp;盘货信息!$C:$C,盘货信息!$Z:$Z))</f>
        <v/>
      </c>
      <c r="S66" s="27" t="str" cm="1">
        <f t="array" ref="S66">IF(_xlfn.XLOOKUP($A66&amp;$B66&amp;$C66,盘货信息!$A:$A&amp;盘货信息!$B:$B&amp;盘货信息!$C:$C,盘货信息!$Q:$Q)="","","【种草】站外带指定话题种草后返"&amp;_xlfn.XLOOKUP($A66&amp;$B66&amp;$C66,盘货信息!$A:$A&amp;盘货信息!$B:$B&amp;盘货信息!$C:$C,盘货信息!$Q:$Q)&amp;"元红包（每个淘宝账号仅限对应一个站外种草账号，同一个种草账号不可对应多个淘宝账号）")</f>
        <v/>
      </c>
      <c r="T66" s="27" t="str" cm="1">
        <f t="array" ref="T66">IF(_xlfn.XLOOKUP($A66&amp;$B66&amp;$C66,盘货信息!$A:$A&amp;盘货信息!$B:$B&amp;盘货信息!$C:$C,盘货信息!$R:$R)&lt;1,"","【以旧换新】"&amp;"享补贴"&amp;ROUND(_xlfn.XLOOKUP($A66&amp;$B66&amp;$C66,盘货信息!$A:$A&amp;盘货信息!$B:$B&amp;盘货信息!$C:$C,盘货信息!$R:$R),0)&amp;"元（可无旧机换新）")</f>
        <v/>
      </c>
      <c r="U66" s="27" t="str">
        <f>IF(AND($N66="",$O66="",$P66="",$Q66="",$R66="",$S66="",$T66=""),"",固定信息!$B$1)</f>
        <v/>
      </c>
      <c r="V66" s="27" t="str" cm="1">
        <f t="array" ref="V66">IF(_xlfn.XLOOKUP($A66&amp;$B66&amp;$C66,盘货信息!$A:$A&amp;盘货信息!$B:$B&amp;盘货信息!$C:$C,盘货信息!$Y:$Y)="","","【卡萨帝送赠】活动指定时间"&amp;_xlfn.TEXTBEFORE(_xlfn.TEXTAFTER(_xlfn.XLOOKUP($A66&amp;$B66&amp;$C66,盘货信息!$A:$A&amp;盘货信息!$B:$B&amp;盘货信息!$C:$C,盘货信息!$Y:$Y),"点"),"（"))</f>
        <v/>
      </c>
      <c r="W66" s="27" t="str" cm="1">
        <f t="array" ref="W66">IF(COUNTIF(_xlfn.XLOOKUP($A66&amp;$B66&amp;$C66,盘货信息!$A:$A&amp;盘货信息!$B:$B&amp;盘货信息!$C:$C,盘货信息!$O:$O),"*是*"),"【折扣】指定型号满2类享96折，满3类享94折","")</f>
        <v/>
      </c>
      <c r="X66" s="27" t="str" cm="1">
        <f t="array" ref="X66">IF(固定信息!$B$7="","",IF(_xlfn.XLOOKUP($A66&amp;$B66&amp;$C66,盘货信息!$A:$A&amp;盘货信息!$B:$B&amp;盘货信息!$C:$C,盘货信息!$N:$N)="是","【瓜分】"&amp;固定信息!$B$7,""))</f>
        <v/>
      </c>
      <c r="Y66" s="27" t="str">
        <f>IF(AND($V66="",$W66="",$X66=""),"",固定信息!$B$1)</f>
        <v/>
      </c>
      <c r="Z66" s="27" t="str" cm="1">
        <f t="array" ref="Z66">IF($C66="","",_xlfn.XLOOKUP($A66&amp;$B66&amp;$C66,服务!$A:$A&amp;服务!$B:$B&amp;服务!$C:$C,服务!$D:$D))</f>
        <v/>
      </c>
    </row>
    <row r="67" customHeight="1" spans="1:26">
      <c r="A67" s="26" t="str">
        <f>IF(盘货信息!A67="","",盘货信息!A67)</f>
        <v/>
      </c>
      <c r="B67" s="26" t="str">
        <f>IF(盘货信息!B67="","",盘货信息!B67)</f>
        <v/>
      </c>
      <c r="C67" s="27" t="str">
        <f>IF(盘货信息!C67="","",盘货信息!C67)</f>
        <v/>
      </c>
      <c r="D67" s="27" t="str">
        <f ca="1" t="shared" ref="D67:D130" si="1">_xlfn.TEXTJOIN(CHAR(10),TRUE,OFFSET(INDIRECT("RC",FALSE),0,1,1,30))</f>
        <v/>
      </c>
      <c r="E67" s="27" t="str">
        <f>IF(C67="","",固定信息!$B$2)</f>
        <v/>
      </c>
      <c r="F67" s="27" t="str">
        <f>IF(C67="","","【"&amp;C67&amp;"】"&amp;固定信息!$B$4)</f>
        <v/>
      </c>
      <c r="G67" s="27" t="str">
        <f>IF(C67="","","【"&amp;"活动时间："&amp;固定信息!$B$3&amp;"】")</f>
        <v/>
      </c>
      <c r="H67" s="27" t="str">
        <f>IF($C67="","",固定信息!$B$1)</f>
        <v/>
      </c>
      <c r="I67" s="27" t="str">
        <f>IF(OR(C67="",固定信息!$B$5=""),"","【1元预约锁好礼】"&amp;固定信息!$B$5)</f>
        <v/>
      </c>
      <c r="J67" s="27" t="str" cm="1">
        <f t="array" ref="J67">_xlfn.XLOOKUP($A67&amp;$B67&amp;$C67,价格信息!$A:$A&amp;价格信息!$B:$B&amp;价格信息!$C:$C,价格信息!$D:$D)</f>
        <v/>
      </c>
      <c r="K67" s="27" t="str">
        <f>IF($C67="","",固定信息!$B$1)</f>
        <v/>
      </c>
      <c r="L67" s="27" t="str" cm="1">
        <f t="array" ref="L67">IF(_xlfn.XLOOKUP($A67&amp;$B67&amp;$C67,盘货信息!$A:$A&amp;盘货信息!$B:$B&amp;盘货信息!$C:$C,盘货信息!$T:$T)="","","【优惠券】领"&amp;_xlfn.XLOOKUP($A67&amp;$B67&amp;$C67,盘货信息!$A:$A&amp;盘货信息!$B:$B&amp;盘货信息!$C:$C,盘货信息!$T:$T)&amp;"元优惠卷下单更优惠，领券链接："&amp;_xlfn.XLOOKUP($A67&amp;$B67&amp;$C67,盘货信息!$A:$A&amp;盘货信息!$B:$B&amp;盘货信息!$C:$C,盘货信息!$U:$U))</f>
        <v/>
      </c>
      <c r="M67" s="27" t="str" cm="1">
        <f t="array" ref="M67">IF(_xlfn.XLOOKUP($A67&amp;$B67&amp;$C67,盘货信息!$A:$A&amp;盘货信息!$B:$B&amp;盘货信息!$C:$C,盘货信息!$P:$P)="","","【限时】"&amp;_xlfn.XLOOKUP($A67&amp;$B67&amp;$C67,盘货信息!$A:$A&amp;盘货信息!$B:$B&amp;盘货信息!$C:$C,盘货信息!$P:$P))</f>
        <v/>
      </c>
      <c r="N67" s="27" t="str" cm="1">
        <f t="array" ref="N67">IF(_xlfn.XLOOKUP($A67&amp;$B67&amp;$C67,盘货信息!$A:$A&amp;盘货信息!$B:$B&amp;盘货信息!$C:$C,盘货信息!$V:$V)="","","【"&amp;盘货信息!$V$1&amp;"】"&amp;_xlfn.XLOOKUP($A67&amp;$B67&amp;$C67,盘货信息!$A:$A&amp;盘货信息!$B:$B&amp;盘货信息!$C:$C,盘货信息!$V:$V))</f>
        <v/>
      </c>
      <c r="O67" s="27" t="str" cm="1">
        <f t="array" ref="O67">IF(_xlfn.XLOOKUP($A67&amp;$B67&amp;$C67,盘货信息!$A:$A&amp;盘货信息!$B:$B&amp;盘货信息!$C:$C,盘货信息!$W:$W)="","","【"&amp;盘货信息!$W$1&amp;"】"&amp;_xlfn.XLOOKUP($A67&amp;$B67&amp;$C67,盘货信息!$A:$A&amp;盘货信息!$B:$B&amp;盘货信息!$C:$C,盘货信息!$W:$W))</f>
        <v/>
      </c>
      <c r="P67" s="27" t="str" cm="1">
        <f t="array" ref="P67">IF(_xlfn.XLOOKUP($A67&amp;$B67&amp;$C67,盘货信息!$A:$A&amp;盘货信息!$B:$B&amp;盘货信息!$C:$C,盘货信息!$S:$S)&lt;1,"","【"&amp;盘货信息!$S$1&amp;"】"&amp;"后返"&amp;_xlfn.XLOOKUP($A67&amp;$B67&amp;$C67,盘货信息!$A:$A&amp;盘货信息!$B:$B&amp;盘货信息!$C:$C,盘货信息!$S:$S)&amp;"元")</f>
        <v/>
      </c>
      <c r="Q67" s="27" t="str" cm="1">
        <f t="array" ref="Q67">IF(_xlfn.XLOOKUP($A67&amp;$B67&amp;$C67,盘货信息!$A:$A&amp;盘货信息!$B:$B&amp;盘货信息!$C:$C,盘货信息!$X:$X)="","","【"&amp;盘货信息!$X$1&amp;"】"&amp;_xlfn.XLOOKUP($A67&amp;$B67&amp;$C67,盘货信息!$A:$A&amp;盘货信息!$B:$B&amp;盘货信息!$C:$C,盘货信息!$X:$X))</f>
        <v/>
      </c>
      <c r="R67" s="27" t="str" cm="1">
        <f t="array" ref="R67">IF(_xlfn.XLOOKUP($A67&amp;$B67&amp;$C67,盘货信息!$A:$A&amp;盘货信息!$B:$B&amp;盘货信息!$C:$C,盘货信息!$Z:$Z)="","","【"&amp;盘货信息!$Z$1&amp;"】"&amp;_xlfn.XLOOKUP($A67&amp;$B67&amp;$C67,盘货信息!$A:$A&amp;盘货信息!$B:$B&amp;盘货信息!$C:$C,盘货信息!$Z:$Z))</f>
        <v/>
      </c>
      <c r="S67" s="27" t="str" cm="1">
        <f t="array" ref="S67">IF(_xlfn.XLOOKUP($A67&amp;$B67&amp;$C67,盘货信息!$A:$A&amp;盘货信息!$B:$B&amp;盘货信息!$C:$C,盘货信息!$Q:$Q)="","","【种草】站外带指定话题种草后返"&amp;_xlfn.XLOOKUP($A67&amp;$B67&amp;$C67,盘货信息!$A:$A&amp;盘货信息!$B:$B&amp;盘货信息!$C:$C,盘货信息!$Q:$Q)&amp;"元红包（每个淘宝账号仅限对应一个站外种草账号，同一个种草账号不可对应多个淘宝账号）")</f>
        <v/>
      </c>
      <c r="T67" s="27" t="str" cm="1">
        <f t="array" ref="T67">IF(_xlfn.XLOOKUP($A67&amp;$B67&amp;$C67,盘货信息!$A:$A&amp;盘货信息!$B:$B&amp;盘货信息!$C:$C,盘货信息!$R:$R)&lt;1,"","【以旧换新】"&amp;"享补贴"&amp;ROUND(_xlfn.XLOOKUP($A67&amp;$B67&amp;$C67,盘货信息!$A:$A&amp;盘货信息!$B:$B&amp;盘货信息!$C:$C,盘货信息!$R:$R),0)&amp;"元（可无旧机换新）")</f>
        <v/>
      </c>
      <c r="U67" s="27" t="str">
        <f>IF(AND($N67="",$O67="",$P67="",$Q67="",$R67="",$S67="",$T67=""),"",固定信息!$B$1)</f>
        <v/>
      </c>
      <c r="V67" s="27" t="str" cm="1">
        <f t="array" ref="V67">IF(_xlfn.XLOOKUP($A67&amp;$B67&amp;$C67,盘货信息!$A:$A&amp;盘货信息!$B:$B&amp;盘货信息!$C:$C,盘货信息!$Y:$Y)="","","【卡萨帝送赠】活动指定时间"&amp;_xlfn.TEXTBEFORE(_xlfn.TEXTAFTER(_xlfn.XLOOKUP($A67&amp;$B67&amp;$C67,盘货信息!$A:$A&amp;盘货信息!$B:$B&amp;盘货信息!$C:$C,盘货信息!$Y:$Y),"点"),"（"))</f>
        <v/>
      </c>
      <c r="W67" s="27" t="str" cm="1">
        <f t="array" ref="W67">IF(COUNTIF(_xlfn.XLOOKUP($A67&amp;$B67&amp;$C67,盘货信息!$A:$A&amp;盘货信息!$B:$B&amp;盘货信息!$C:$C,盘货信息!$O:$O),"*是*"),"【折扣】指定型号满2类享96折，满3类享94折","")</f>
        <v/>
      </c>
      <c r="X67" s="27" t="str" cm="1">
        <f t="array" ref="X67">IF(固定信息!$B$7="","",IF(_xlfn.XLOOKUP($A67&amp;$B67&amp;$C67,盘货信息!$A:$A&amp;盘货信息!$B:$B&amp;盘货信息!$C:$C,盘货信息!$N:$N)="是","【瓜分】"&amp;固定信息!$B$7,""))</f>
        <v/>
      </c>
      <c r="Y67" s="27" t="str">
        <f>IF(AND($V67="",$W67="",$X67=""),"",固定信息!$B$1)</f>
        <v/>
      </c>
      <c r="Z67" s="27" t="str" cm="1">
        <f t="array" ref="Z67">IF($C67="","",_xlfn.XLOOKUP($A67&amp;$B67&amp;$C67,服务!$A:$A&amp;服务!$B:$B&amp;服务!$C:$C,服务!$D:$D))</f>
        <v/>
      </c>
    </row>
    <row r="68" customHeight="1" spans="1:26">
      <c r="A68" s="26" t="str">
        <f>IF(盘货信息!A68="","",盘货信息!A68)</f>
        <v/>
      </c>
      <c r="B68" s="26" t="str">
        <f>IF(盘货信息!B68="","",盘货信息!B68)</f>
        <v/>
      </c>
      <c r="C68" s="27" t="str">
        <f>IF(盘货信息!C68="","",盘货信息!C68)</f>
        <v/>
      </c>
      <c r="D68" s="27" t="str">
        <f ca="1" t="shared" si="1"/>
        <v/>
      </c>
      <c r="E68" s="27" t="str">
        <f>IF(C68="","",固定信息!$B$2)</f>
        <v/>
      </c>
      <c r="F68" s="27" t="str">
        <f>IF(C68="","","【"&amp;C68&amp;"】"&amp;固定信息!$B$4)</f>
        <v/>
      </c>
      <c r="G68" s="27" t="str">
        <f>IF(C68="","","【"&amp;"活动时间："&amp;固定信息!$B$3&amp;"】")</f>
        <v/>
      </c>
      <c r="H68" s="27" t="str">
        <f>IF($C68="","",固定信息!$B$1)</f>
        <v/>
      </c>
      <c r="I68" s="27" t="str">
        <f>IF(OR(C68="",固定信息!$B$5=""),"","【1元预约锁好礼】"&amp;固定信息!$B$5)</f>
        <v/>
      </c>
      <c r="J68" s="27" t="str" cm="1">
        <f t="array" ref="J68">_xlfn.XLOOKUP($A68&amp;$B68&amp;$C68,价格信息!$A:$A&amp;价格信息!$B:$B&amp;价格信息!$C:$C,价格信息!$D:$D)</f>
        <v/>
      </c>
      <c r="K68" s="27" t="str">
        <f>IF($C68="","",固定信息!$B$1)</f>
        <v/>
      </c>
      <c r="L68" s="27" t="str" cm="1">
        <f t="array" ref="L68">IF(_xlfn.XLOOKUP($A68&amp;$B68&amp;$C68,盘货信息!$A:$A&amp;盘货信息!$B:$B&amp;盘货信息!$C:$C,盘货信息!$T:$T)="","","【优惠券】领"&amp;_xlfn.XLOOKUP($A68&amp;$B68&amp;$C68,盘货信息!$A:$A&amp;盘货信息!$B:$B&amp;盘货信息!$C:$C,盘货信息!$T:$T)&amp;"元优惠卷下单更优惠，领券链接："&amp;_xlfn.XLOOKUP($A68&amp;$B68&amp;$C68,盘货信息!$A:$A&amp;盘货信息!$B:$B&amp;盘货信息!$C:$C,盘货信息!$U:$U))</f>
        <v/>
      </c>
      <c r="M68" s="27" t="str" cm="1">
        <f t="array" ref="M68">IF(_xlfn.XLOOKUP($A68&amp;$B68&amp;$C68,盘货信息!$A:$A&amp;盘货信息!$B:$B&amp;盘货信息!$C:$C,盘货信息!$P:$P)="","","【限时】"&amp;_xlfn.XLOOKUP($A68&amp;$B68&amp;$C68,盘货信息!$A:$A&amp;盘货信息!$B:$B&amp;盘货信息!$C:$C,盘货信息!$P:$P))</f>
        <v/>
      </c>
      <c r="N68" s="27" t="str" cm="1">
        <f t="array" ref="N68">IF(_xlfn.XLOOKUP($A68&amp;$B68&amp;$C68,盘货信息!$A:$A&amp;盘货信息!$B:$B&amp;盘货信息!$C:$C,盘货信息!$V:$V)="","","【"&amp;盘货信息!$V$1&amp;"】"&amp;_xlfn.XLOOKUP($A68&amp;$B68&amp;$C68,盘货信息!$A:$A&amp;盘货信息!$B:$B&amp;盘货信息!$C:$C,盘货信息!$V:$V))</f>
        <v/>
      </c>
      <c r="O68" s="27" t="str" cm="1">
        <f t="array" ref="O68">IF(_xlfn.XLOOKUP($A68&amp;$B68&amp;$C68,盘货信息!$A:$A&amp;盘货信息!$B:$B&amp;盘货信息!$C:$C,盘货信息!$W:$W)="","","【"&amp;盘货信息!$W$1&amp;"】"&amp;_xlfn.XLOOKUP($A68&amp;$B68&amp;$C68,盘货信息!$A:$A&amp;盘货信息!$B:$B&amp;盘货信息!$C:$C,盘货信息!$W:$W))</f>
        <v/>
      </c>
      <c r="P68" s="27" t="str" cm="1">
        <f t="array" ref="P68">IF(_xlfn.XLOOKUP($A68&amp;$B68&amp;$C68,盘货信息!$A:$A&amp;盘货信息!$B:$B&amp;盘货信息!$C:$C,盘货信息!$S:$S)&lt;1,"","【"&amp;盘货信息!$S$1&amp;"】"&amp;"后返"&amp;_xlfn.XLOOKUP($A68&amp;$B68&amp;$C68,盘货信息!$A:$A&amp;盘货信息!$B:$B&amp;盘货信息!$C:$C,盘货信息!$S:$S)&amp;"元")</f>
        <v/>
      </c>
      <c r="Q68" s="27" t="str" cm="1">
        <f t="array" ref="Q68">IF(_xlfn.XLOOKUP($A68&amp;$B68&amp;$C68,盘货信息!$A:$A&amp;盘货信息!$B:$B&amp;盘货信息!$C:$C,盘货信息!$X:$X)="","","【"&amp;盘货信息!$X$1&amp;"】"&amp;_xlfn.XLOOKUP($A68&amp;$B68&amp;$C68,盘货信息!$A:$A&amp;盘货信息!$B:$B&amp;盘货信息!$C:$C,盘货信息!$X:$X))</f>
        <v/>
      </c>
      <c r="R68" s="27" t="str" cm="1">
        <f t="array" ref="R68">IF(_xlfn.XLOOKUP($A68&amp;$B68&amp;$C68,盘货信息!$A:$A&amp;盘货信息!$B:$B&amp;盘货信息!$C:$C,盘货信息!$Z:$Z)="","","【"&amp;盘货信息!$Z$1&amp;"】"&amp;_xlfn.XLOOKUP($A68&amp;$B68&amp;$C68,盘货信息!$A:$A&amp;盘货信息!$B:$B&amp;盘货信息!$C:$C,盘货信息!$Z:$Z))</f>
        <v/>
      </c>
      <c r="S68" s="27" t="str" cm="1">
        <f t="array" ref="S68">IF(_xlfn.XLOOKUP($A68&amp;$B68&amp;$C68,盘货信息!$A:$A&amp;盘货信息!$B:$B&amp;盘货信息!$C:$C,盘货信息!$Q:$Q)="","","【种草】站外带指定话题种草后返"&amp;_xlfn.XLOOKUP($A68&amp;$B68&amp;$C68,盘货信息!$A:$A&amp;盘货信息!$B:$B&amp;盘货信息!$C:$C,盘货信息!$Q:$Q)&amp;"元红包（每个淘宝账号仅限对应一个站外种草账号，同一个种草账号不可对应多个淘宝账号）")</f>
        <v/>
      </c>
      <c r="T68" s="27" t="str" cm="1">
        <f t="array" ref="T68">IF(_xlfn.XLOOKUP($A68&amp;$B68&amp;$C68,盘货信息!$A:$A&amp;盘货信息!$B:$B&amp;盘货信息!$C:$C,盘货信息!$R:$R)&lt;1,"","【以旧换新】"&amp;"享补贴"&amp;ROUND(_xlfn.XLOOKUP($A68&amp;$B68&amp;$C68,盘货信息!$A:$A&amp;盘货信息!$B:$B&amp;盘货信息!$C:$C,盘货信息!$R:$R),0)&amp;"元（可无旧机换新）")</f>
        <v/>
      </c>
      <c r="U68" s="27" t="str">
        <f>IF(AND($N68="",$O68="",$P68="",$Q68="",$R68="",$S68="",$T68=""),"",固定信息!$B$1)</f>
        <v/>
      </c>
      <c r="V68" s="27" t="str" cm="1">
        <f t="array" ref="V68">IF(_xlfn.XLOOKUP($A68&amp;$B68&amp;$C68,盘货信息!$A:$A&amp;盘货信息!$B:$B&amp;盘货信息!$C:$C,盘货信息!$Y:$Y)="","","【卡萨帝送赠】活动指定时间"&amp;_xlfn.TEXTBEFORE(_xlfn.TEXTAFTER(_xlfn.XLOOKUP($A68&amp;$B68&amp;$C68,盘货信息!$A:$A&amp;盘货信息!$B:$B&amp;盘货信息!$C:$C,盘货信息!$Y:$Y),"点"),"（"))</f>
        <v/>
      </c>
      <c r="W68" s="27" t="str" cm="1">
        <f t="array" ref="W68">IF(COUNTIF(_xlfn.XLOOKUP($A68&amp;$B68&amp;$C68,盘货信息!$A:$A&amp;盘货信息!$B:$B&amp;盘货信息!$C:$C,盘货信息!$O:$O),"*是*"),"【折扣】指定型号满2类享96折，满3类享94折","")</f>
        <v/>
      </c>
      <c r="X68" s="27" t="str" cm="1">
        <f t="array" ref="X68">IF(固定信息!$B$7="","",IF(_xlfn.XLOOKUP($A68&amp;$B68&amp;$C68,盘货信息!$A:$A&amp;盘货信息!$B:$B&amp;盘货信息!$C:$C,盘货信息!$N:$N)="是","【瓜分】"&amp;固定信息!$B$7,""))</f>
        <v/>
      </c>
      <c r="Y68" s="27" t="str">
        <f>IF(AND($V68="",$W68="",$X68=""),"",固定信息!$B$1)</f>
        <v/>
      </c>
      <c r="Z68" s="27" t="str" cm="1">
        <f t="array" ref="Z68">IF($C68="","",_xlfn.XLOOKUP($A68&amp;$B68&amp;$C68,服务!$A:$A&amp;服务!$B:$B&amp;服务!$C:$C,服务!$D:$D))</f>
        <v/>
      </c>
    </row>
    <row r="69" customHeight="1" spans="1:26">
      <c r="A69" s="26" t="str">
        <f>IF(盘货信息!A69="","",盘货信息!A69)</f>
        <v/>
      </c>
      <c r="B69" s="26" t="str">
        <f>IF(盘货信息!B69="","",盘货信息!B69)</f>
        <v/>
      </c>
      <c r="C69" s="27" t="str">
        <f>IF(盘货信息!C69="","",盘货信息!C69)</f>
        <v/>
      </c>
      <c r="D69" s="27" t="str">
        <f ca="1" t="shared" si="1"/>
        <v/>
      </c>
      <c r="E69" s="27" t="str">
        <f>IF(C69="","",固定信息!$B$2)</f>
        <v/>
      </c>
      <c r="F69" s="27" t="str">
        <f>IF(C69="","","【"&amp;C69&amp;"】"&amp;固定信息!$B$4)</f>
        <v/>
      </c>
      <c r="G69" s="27" t="str">
        <f>IF(C69="","","【"&amp;"活动时间："&amp;固定信息!$B$3&amp;"】")</f>
        <v/>
      </c>
      <c r="H69" s="27" t="str">
        <f>IF($C69="","",固定信息!$B$1)</f>
        <v/>
      </c>
      <c r="I69" s="27" t="str">
        <f>IF(OR(C69="",固定信息!$B$5=""),"","【1元预约锁好礼】"&amp;固定信息!$B$5)</f>
        <v/>
      </c>
      <c r="J69" s="27" t="str" cm="1">
        <f t="array" ref="J69">_xlfn.XLOOKUP($A69&amp;$B69&amp;$C69,价格信息!$A:$A&amp;价格信息!$B:$B&amp;价格信息!$C:$C,价格信息!$D:$D)</f>
        <v/>
      </c>
      <c r="K69" s="27" t="str">
        <f>IF($C69="","",固定信息!$B$1)</f>
        <v/>
      </c>
      <c r="L69" s="27" t="str" cm="1">
        <f t="array" ref="L69">IF(_xlfn.XLOOKUP($A69&amp;$B69&amp;$C69,盘货信息!$A:$A&amp;盘货信息!$B:$B&amp;盘货信息!$C:$C,盘货信息!$T:$T)="","","【优惠券】领"&amp;_xlfn.XLOOKUP($A69&amp;$B69&amp;$C69,盘货信息!$A:$A&amp;盘货信息!$B:$B&amp;盘货信息!$C:$C,盘货信息!$T:$T)&amp;"元优惠卷下单更优惠，领券链接："&amp;_xlfn.XLOOKUP($A69&amp;$B69&amp;$C69,盘货信息!$A:$A&amp;盘货信息!$B:$B&amp;盘货信息!$C:$C,盘货信息!$U:$U))</f>
        <v/>
      </c>
      <c r="M69" s="27" t="str" cm="1">
        <f t="array" ref="M69">IF(_xlfn.XLOOKUP($A69&amp;$B69&amp;$C69,盘货信息!$A:$A&amp;盘货信息!$B:$B&amp;盘货信息!$C:$C,盘货信息!$P:$P)="","","【限时】"&amp;_xlfn.XLOOKUP($A69&amp;$B69&amp;$C69,盘货信息!$A:$A&amp;盘货信息!$B:$B&amp;盘货信息!$C:$C,盘货信息!$P:$P))</f>
        <v/>
      </c>
      <c r="N69" s="27" t="str" cm="1">
        <f t="array" ref="N69">IF(_xlfn.XLOOKUP($A69&amp;$B69&amp;$C69,盘货信息!$A:$A&amp;盘货信息!$B:$B&amp;盘货信息!$C:$C,盘货信息!$V:$V)="","","【"&amp;盘货信息!$V$1&amp;"】"&amp;_xlfn.XLOOKUP($A69&amp;$B69&amp;$C69,盘货信息!$A:$A&amp;盘货信息!$B:$B&amp;盘货信息!$C:$C,盘货信息!$V:$V))</f>
        <v/>
      </c>
      <c r="O69" s="27" t="str" cm="1">
        <f t="array" ref="O69">IF(_xlfn.XLOOKUP($A69&amp;$B69&amp;$C69,盘货信息!$A:$A&amp;盘货信息!$B:$B&amp;盘货信息!$C:$C,盘货信息!$W:$W)="","","【"&amp;盘货信息!$W$1&amp;"】"&amp;_xlfn.XLOOKUP($A69&amp;$B69&amp;$C69,盘货信息!$A:$A&amp;盘货信息!$B:$B&amp;盘货信息!$C:$C,盘货信息!$W:$W))</f>
        <v/>
      </c>
      <c r="P69" s="27" t="str" cm="1">
        <f t="array" ref="P69">IF(_xlfn.XLOOKUP($A69&amp;$B69&amp;$C69,盘货信息!$A:$A&amp;盘货信息!$B:$B&amp;盘货信息!$C:$C,盘货信息!$S:$S)&lt;1,"","【"&amp;盘货信息!$S$1&amp;"】"&amp;"后返"&amp;_xlfn.XLOOKUP($A69&amp;$B69&amp;$C69,盘货信息!$A:$A&amp;盘货信息!$B:$B&amp;盘货信息!$C:$C,盘货信息!$S:$S)&amp;"元")</f>
        <v/>
      </c>
      <c r="Q69" s="27" t="str" cm="1">
        <f t="array" ref="Q69">IF(_xlfn.XLOOKUP($A69&amp;$B69&amp;$C69,盘货信息!$A:$A&amp;盘货信息!$B:$B&amp;盘货信息!$C:$C,盘货信息!$X:$X)="","","【"&amp;盘货信息!$X$1&amp;"】"&amp;_xlfn.XLOOKUP($A69&amp;$B69&amp;$C69,盘货信息!$A:$A&amp;盘货信息!$B:$B&amp;盘货信息!$C:$C,盘货信息!$X:$X))</f>
        <v/>
      </c>
      <c r="R69" s="27" t="str" cm="1">
        <f t="array" ref="R69">IF(_xlfn.XLOOKUP($A69&amp;$B69&amp;$C69,盘货信息!$A:$A&amp;盘货信息!$B:$B&amp;盘货信息!$C:$C,盘货信息!$Z:$Z)="","","【"&amp;盘货信息!$Z$1&amp;"】"&amp;_xlfn.XLOOKUP($A69&amp;$B69&amp;$C69,盘货信息!$A:$A&amp;盘货信息!$B:$B&amp;盘货信息!$C:$C,盘货信息!$Z:$Z))</f>
        <v/>
      </c>
      <c r="S69" s="27" t="str" cm="1">
        <f t="array" ref="S69">IF(_xlfn.XLOOKUP($A69&amp;$B69&amp;$C69,盘货信息!$A:$A&amp;盘货信息!$B:$B&amp;盘货信息!$C:$C,盘货信息!$Q:$Q)="","","【种草】站外带指定话题种草后返"&amp;_xlfn.XLOOKUP($A69&amp;$B69&amp;$C69,盘货信息!$A:$A&amp;盘货信息!$B:$B&amp;盘货信息!$C:$C,盘货信息!$Q:$Q)&amp;"元红包（每个淘宝账号仅限对应一个站外种草账号，同一个种草账号不可对应多个淘宝账号）")</f>
        <v/>
      </c>
      <c r="T69" s="27" t="str" cm="1">
        <f t="array" ref="T69">IF(_xlfn.XLOOKUP($A69&amp;$B69&amp;$C69,盘货信息!$A:$A&amp;盘货信息!$B:$B&amp;盘货信息!$C:$C,盘货信息!$R:$R)&lt;1,"","【以旧换新】"&amp;"享补贴"&amp;ROUND(_xlfn.XLOOKUP($A69&amp;$B69&amp;$C69,盘货信息!$A:$A&amp;盘货信息!$B:$B&amp;盘货信息!$C:$C,盘货信息!$R:$R),0)&amp;"元（可无旧机换新）")</f>
        <v/>
      </c>
      <c r="U69" s="27" t="str">
        <f>IF(AND($N69="",$O69="",$P69="",$Q69="",$R69="",$S69="",$T69=""),"",固定信息!$B$1)</f>
        <v/>
      </c>
      <c r="V69" s="27" t="str" cm="1">
        <f t="array" ref="V69">IF(_xlfn.XLOOKUP($A69&amp;$B69&amp;$C69,盘货信息!$A:$A&amp;盘货信息!$B:$B&amp;盘货信息!$C:$C,盘货信息!$Y:$Y)="","","【卡萨帝送赠】活动指定时间"&amp;_xlfn.TEXTBEFORE(_xlfn.TEXTAFTER(_xlfn.XLOOKUP($A69&amp;$B69&amp;$C69,盘货信息!$A:$A&amp;盘货信息!$B:$B&amp;盘货信息!$C:$C,盘货信息!$Y:$Y),"点"),"（"))</f>
        <v/>
      </c>
      <c r="W69" s="27" t="str" cm="1">
        <f t="array" ref="W69">IF(COUNTIF(_xlfn.XLOOKUP($A69&amp;$B69&amp;$C69,盘货信息!$A:$A&amp;盘货信息!$B:$B&amp;盘货信息!$C:$C,盘货信息!$O:$O),"*是*"),"【折扣】指定型号满2类享96折，满3类享94折","")</f>
        <v/>
      </c>
      <c r="X69" s="27" t="str" cm="1">
        <f t="array" ref="X69">IF(固定信息!$B$7="","",IF(_xlfn.XLOOKUP($A69&amp;$B69&amp;$C69,盘货信息!$A:$A&amp;盘货信息!$B:$B&amp;盘货信息!$C:$C,盘货信息!$N:$N)="是","【瓜分】"&amp;固定信息!$B$7,""))</f>
        <v/>
      </c>
      <c r="Y69" s="27" t="str">
        <f>IF(AND($V69="",$W69="",$X69=""),"",固定信息!$B$1)</f>
        <v/>
      </c>
      <c r="Z69" s="27" t="str" cm="1">
        <f t="array" ref="Z69">IF($C69="","",_xlfn.XLOOKUP($A69&amp;$B69&amp;$C69,服务!$A:$A&amp;服务!$B:$B&amp;服务!$C:$C,服务!$D:$D))</f>
        <v/>
      </c>
    </row>
    <row r="70" customHeight="1" spans="1:26">
      <c r="A70" s="26" t="str">
        <f>IF(盘货信息!A70="","",盘货信息!A70)</f>
        <v/>
      </c>
      <c r="B70" s="26" t="str">
        <f>IF(盘货信息!B70="","",盘货信息!B70)</f>
        <v/>
      </c>
      <c r="C70" s="27" t="str">
        <f>IF(盘货信息!C70="","",盘货信息!C70)</f>
        <v/>
      </c>
      <c r="D70" s="27" t="str">
        <f ca="1" t="shared" si="1"/>
        <v/>
      </c>
      <c r="E70" s="27" t="str">
        <f>IF(C70="","",固定信息!$B$2)</f>
        <v/>
      </c>
      <c r="F70" s="27" t="str">
        <f>IF(C70="","","【"&amp;C70&amp;"】"&amp;固定信息!$B$4)</f>
        <v/>
      </c>
      <c r="G70" s="27" t="str">
        <f>IF(C70="","","【"&amp;"活动时间："&amp;固定信息!$B$3&amp;"】")</f>
        <v/>
      </c>
      <c r="H70" s="27" t="str">
        <f>IF($C70="","",固定信息!$B$1)</f>
        <v/>
      </c>
      <c r="I70" s="27" t="str">
        <f>IF(OR(C70="",固定信息!$B$5=""),"","【1元预约锁好礼】"&amp;固定信息!$B$5)</f>
        <v/>
      </c>
      <c r="J70" s="27" t="str" cm="1">
        <f t="array" ref="J70">_xlfn.XLOOKUP($A70&amp;$B70&amp;$C70,价格信息!$A:$A&amp;价格信息!$B:$B&amp;价格信息!$C:$C,价格信息!$D:$D)</f>
        <v/>
      </c>
      <c r="K70" s="27" t="str">
        <f>IF($C70="","",固定信息!$B$1)</f>
        <v/>
      </c>
      <c r="L70" s="27" t="str" cm="1">
        <f t="array" ref="L70">IF(_xlfn.XLOOKUP($A70&amp;$B70&amp;$C70,盘货信息!$A:$A&amp;盘货信息!$B:$B&amp;盘货信息!$C:$C,盘货信息!$T:$T)="","","【优惠券】领"&amp;_xlfn.XLOOKUP($A70&amp;$B70&amp;$C70,盘货信息!$A:$A&amp;盘货信息!$B:$B&amp;盘货信息!$C:$C,盘货信息!$T:$T)&amp;"元优惠卷下单更优惠，领券链接："&amp;_xlfn.XLOOKUP($A70&amp;$B70&amp;$C70,盘货信息!$A:$A&amp;盘货信息!$B:$B&amp;盘货信息!$C:$C,盘货信息!$U:$U))</f>
        <v/>
      </c>
      <c r="M70" s="27" t="str" cm="1">
        <f t="array" ref="M70">IF(_xlfn.XLOOKUP($A70&amp;$B70&amp;$C70,盘货信息!$A:$A&amp;盘货信息!$B:$B&amp;盘货信息!$C:$C,盘货信息!$P:$P)="","","【限时】"&amp;_xlfn.XLOOKUP($A70&amp;$B70&amp;$C70,盘货信息!$A:$A&amp;盘货信息!$B:$B&amp;盘货信息!$C:$C,盘货信息!$P:$P))</f>
        <v/>
      </c>
      <c r="N70" s="27" t="str" cm="1">
        <f t="array" ref="N70">IF(_xlfn.XLOOKUP($A70&amp;$B70&amp;$C70,盘货信息!$A:$A&amp;盘货信息!$B:$B&amp;盘货信息!$C:$C,盘货信息!$V:$V)="","","【"&amp;盘货信息!$V$1&amp;"】"&amp;_xlfn.XLOOKUP($A70&amp;$B70&amp;$C70,盘货信息!$A:$A&amp;盘货信息!$B:$B&amp;盘货信息!$C:$C,盘货信息!$V:$V))</f>
        <v/>
      </c>
      <c r="O70" s="27" t="str" cm="1">
        <f t="array" ref="O70">IF(_xlfn.XLOOKUP($A70&amp;$B70&amp;$C70,盘货信息!$A:$A&amp;盘货信息!$B:$B&amp;盘货信息!$C:$C,盘货信息!$W:$W)="","","【"&amp;盘货信息!$W$1&amp;"】"&amp;_xlfn.XLOOKUP($A70&amp;$B70&amp;$C70,盘货信息!$A:$A&amp;盘货信息!$B:$B&amp;盘货信息!$C:$C,盘货信息!$W:$W))</f>
        <v/>
      </c>
      <c r="P70" s="27" t="str" cm="1">
        <f t="array" ref="P70">IF(_xlfn.XLOOKUP($A70&amp;$B70&amp;$C70,盘货信息!$A:$A&amp;盘货信息!$B:$B&amp;盘货信息!$C:$C,盘货信息!$S:$S)&lt;1,"","【"&amp;盘货信息!$S$1&amp;"】"&amp;"后返"&amp;_xlfn.XLOOKUP($A70&amp;$B70&amp;$C70,盘货信息!$A:$A&amp;盘货信息!$B:$B&amp;盘货信息!$C:$C,盘货信息!$S:$S)&amp;"元")</f>
        <v/>
      </c>
      <c r="Q70" s="27" t="str" cm="1">
        <f t="array" ref="Q70">IF(_xlfn.XLOOKUP($A70&amp;$B70&amp;$C70,盘货信息!$A:$A&amp;盘货信息!$B:$B&amp;盘货信息!$C:$C,盘货信息!$X:$X)="","","【"&amp;盘货信息!$X$1&amp;"】"&amp;_xlfn.XLOOKUP($A70&amp;$B70&amp;$C70,盘货信息!$A:$A&amp;盘货信息!$B:$B&amp;盘货信息!$C:$C,盘货信息!$X:$X))</f>
        <v/>
      </c>
      <c r="R70" s="27" t="str" cm="1">
        <f t="array" ref="R70">IF(_xlfn.XLOOKUP($A70&amp;$B70&amp;$C70,盘货信息!$A:$A&amp;盘货信息!$B:$B&amp;盘货信息!$C:$C,盘货信息!$Z:$Z)="","","【"&amp;盘货信息!$Z$1&amp;"】"&amp;_xlfn.XLOOKUP($A70&amp;$B70&amp;$C70,盘货信息!$A:$A&amp;盘货信息!$B:$B&amp;盘货信息!$C:$C,盘货信息!$Z:$Z))</f>
        <v/>
      </c>
      <c r="S70" s="27" t="str" cm="1">
        <f t="array" ref="S70">IF(_xlfn.XLOOKUP($A70&amp;$B70&amp;$C70,盘货信息!$A:$A&amp;盘货信息!$B:$B&amp;盘货信息!$C:$C,盘货信息!$Q:$Q)="","","【种草】站外带指定话题种草后返"&amp;_xlfn.XLOOKUP($A70&amp;$B70&amp;$C70,盘货信息!$A:$A&amp;盘货信息!$B:$B&amp;盘货信息!$C:$C,盘货信息!$Q:$Q)&amp;"元红包（每个淘宝账号仅限对应一个站外种草账号，同一个种草账号不可对应多个淘宝账号）")</f>
        <v/>
      </c>
      <c r="T70" s="27" t="str" cm="1">
        <f t="array" ref="T70">IF(_xlfn.XLOOKUP($A70&amp;$B70&amp;$C70,盘货信息!$A:$A&amp;盘货信息!$B:$B&amp;盘货信息!$C:$C,盘货信息!$R:$R)&lt;1,"","【以旧换新】"&amp;"享补贴"&amp;ROUND(_xlfn.XLOOKUP($A70&amp;$B70&amp;$C70,盘货信息!$A:$A&amp;盘货信息!$B:$B&amp;盘货信息!$C:$C,盘货信息!$R:$R),0)&amp;"元（可无旧机换新）")</f>
        <v/>
      </c>
      <c r="U70" s="27" t="str">
        <f>IF(AND($N70="",$O70="",$P70="",$Q70="",$R70="",$S70="",$T70=""),"",固定信息!$B$1)</f>
        <v/>
      </c>
      <c r="V70" s="27" t="str" cm="1">
        <f t="array" ref="V70">IF(_xlfn.XLOOKUP($A70&amp;$B70&amp;$C70,盘货信息!$A:$A&amp;盘货信息!$B:$B&amp;盘货信息!$C:$C,盘货信息!$Y:$Y)="","","【卡萨帝送赠】活动指定时间"&amp;_xlfn.TEXTBEFORE(_xlfn.TEXTAFTER(_xlfn.XLOOKUP($A70&amp;$B70&amp;$C70,盘货信息!$A:$A&amp;盘货信息!$B:$B&amp;盘货信息!$C:$C,盘货信息!$Y:$Y),"点"),"（"))</f>
        <v/>
      </c>
      <c r="W70" s="27" t="str" cm="1">
        <f t="array" ref="W70">IF(COUNTIF(_xlfn.XLOOKUP($A70&amp;$B70&amp;$C70,盘货信息!$A:$A&amp;盘货信息!$B:$B&amp;盘货信息!$C:$C,盘货信息!$O:$O),"*是*"),"【折扣】指定型号满2类享96折，满3类享94折","")</f>
        <v/>
      </c>
      <c r="X70" s="27" t="str" cm="1">
        <f t="array" ref="X70">IF(固定信息!$B$7="","",IF(_xlfn.XLOOKUP($A70&amp;$B70&amp;$C70,盘货信息!$A:$A&amp;盘货信息!$B:$B&amp;盘货信息!$C:$C,盘货信息!$N:$N)="是","【瓜分】"&amp;固定信息!$B$7,""))</f>
        <v/>
      </c>
      <c r="Y70" s="27" t="str">
        <f>IF(AND($V70="",$W70="",$X70=""),"",固定信息!$B$1)</f>
        <v/>
      </c>
      <c r="Z70" s="27" t="str" cm="1">
        <f t="array" ref="Z70">IF($C70="","",_xlfn.XLOOKUP($A70&amp;$B70&amp;$C70,服务!$A:$A&amp;服务!$B:$B&amp;服务!$C:$C,服务!$D:$D))</f>
        <v/>
      </c>
    </row>
    <row r="71" customHeight="1" spans="1:26">
      <c r="A71" s="26" t="str">
        <f>IF(盘货信息!A71="","",盘货信息!A71)</f>
        <v/>
      </c>
      <c r="B71" s="26" t="str">
        <f>IF(盘货信息!B71="","",盘货信息!B71)</f>
        <v/>
      </c>
      <c r="C71" s="27" t="str">
        <f>IF(盘货信息!C71="","",盘货信息!C71)</f>
        <v/>
      </c>
      <c r="D71" s="27" t="str">
        <f ca="1" t="shared" si="1"/>
        <v/>
      </c>
      <c r="E71" s="27" t="str">
        <f>IF(C71="","",固定信息!$B$2)</f>
        <v/>
      </c>
      <c r="F71" s="27" t="str">
        <f>IF(C71="","","【"&amp;C71&amp;"】"&amp;固定信息!$B$4)</f>
        <v/>
      </c>
      <c r="G71" s="27" t="str">
        <f>IF(C71="","","【"&amp;"活动时间："&amp;固定信息!$B$3&amp;"】")</f>
        <v/>
      </c>
      <c r="H71" s="27" t="str">
        <f>IF($C71="","",固定信息!$B$1)</f>
        <v/>
      </c>
      <c r="I71" s="27" t="str">
        <f>IF(OR(C71="",固定信息!$B$5=""),"","【1元预约锁好礼】"&amp;固定信息!$B$5)</f>
        <v/>
      </c>
      <c r="J71" s="27" t="str" cm="1">
        <f t="array" ref="J71">_xlfn.XLOOKUP($A71&amp;$B71&amp;$C71,价格信息!$A:$A&amp;价格信息!$B:$B&amp;价格信息!$C:$C,价格信息!$D:$D)</f>
        <v/>
      </c>
      <c r="K71" s="27" t="str">
        <f>IF($C71="","",固定信息!$B$1)</f>
        <v/>
      </c>
      <c r="L71" s="27" t="str" cm="1">
        <f t="array" ref="L71">IF(_xlfn.XLOOKUP($A71&amp;$B71&amp;$C71,盘货信息!$A:$A&amp;盘货信息!$B:$B&amp;盘货信息!$C:$C,盘货信息!$T:$T)="","","【优惠券】领"&amp;_xlfn.XLOOKUP($A71&amp;$B71&amp;$C71,盘货信息!$A:$A&amp;盘货信息!$B:$B&amp;盘货信息!$C:$C,盘货信息!$T:$T)&amp;"元优惠卷下单更优惠，领券链接："&amp;_xlfn.XLOOKUP($A71&amp;$B71&amp;$C71,盘货信息!$A:$A&amp;盘货信息!$B:$B&amp;盘货信息!$C:$C,盘货信息!$U:$U))</f>
        <v/>
      </c>
      <c r="M71" s="27" t="str" cm="1">
        <f t="array" ref="M71">IF(_xlfn.XLOOKUP($A71&amp;$B71&amp;$C71,盘货信息!$A:$A&amp;盘货信息!$B:$B&amp;盘货信息!$C:$C,盘货信息!$P:$P)="","","【限时】"&amp;_xlfn.XLOOKUP($A71&amp;$B71&amp;$C71,盘货信息!$A:$A&amp;盘货信息!$B:$B&amp;盘货信息!$C:$C,盘货信息!$P:$P))</f>
        <v/>
      </c>
      <c r="N71" s="27" t="str" cm="1">
        <f t="array" ref="N71">IF(_xlfn.XLOOKUP($A71&amp;$B71&amp;$C71,盘货信息!$A:$A&amp;盘货信息!$B:$B&amp;盘货信息!$C:$C,盘货信息!$V:$V)="","","【"&amp;盘货信息!$V$1&amp;"】"&amp;_xlfn.XLOOKUP($A71&amp;$B71&amp;$C71,盘货信息!$A:$A&amp;盘货信息!$B:$B&amp;盘货信息!$C:$C,盘货信息!$V:$V))</f>
        <v/>
      </c>
      <c r="O71" s="27" t="str" cm="1">
        <f t="array" ref="O71">IF(_xlfn.XLOOKUP($A71&amp;$B71&amp;$C71,盘货信息!$A:$A&amp;盘货信息!$B:$B&amp;盘货信息!$C:$C,盘货信息!$W:$W)="","","【"&amp;盘货信息!$W$1&amp;"】"&amp;_xlfn.XLOOKUP($A71&amp;$B71&amp;$C71,盘货信息!$A:$A&amp;盘货信息!$B:$B&amp;盘货信息!$C:$C,盘货信息!$W:$W))</f>
        <v/>
      </c>
      <c r="P71" s="27" t="str" cm="1">
        <f t="array" ref="P71">IF(_xlfn.XLOOKUP($A71&amp;$B71&amp;$C71,盘货信息!$A:$A&amp;盘货信息!$B:$B&amp;盘货信息!$C:$C,盘货信息!$S:$S)&lt;1,"","【"&amp;盘货信息!$S$1&amp;"】"&amp;"后返"&amp;_xlfn.XLOOKUP($A71&amp;$B71&amp;$C71,盘货信息!$A:$A&amp;盘货信息!$B:$B&amp;盘货信息!$C:$C,盘货信息!$S:$S)&amp;"元")</f>
        <v/>
      </c>
      <c r="Q71" s="27" t="str" cm="1">
        <f t="array" ref="Q71">IF(_xlfn.XLOOKUP($A71&amp;$B71&amp;$C71,盘货信息!$A:$A&amp;盘货信息!$B:$B&amp;盘货信息!$C:$C,盘货信息!$X:$X)="","","【"&amp;盘货信息!$X$1&amp;"】"&amp;_xlfn.XLOOKUP($A71&amp;$B71&amp;$C71,盘货信息!$A:$A&amp;盘货信息!$B:$B&amp;盘货信息!$C:$C,盘货信息!$X:$X))</f>
        <v/>
      </c>
      <c r="R71" s="27" t="str" cm="1">
        <f t="array" ref="R71">IF(_xlfn.XLOOKUP($A71&amp;$B71&amp;$C71,盘货信息!$A:$A&amp;盘货信息!$B:$B&amp;盘货信息!$C:$C,盘货信息!$Z:$Z)="","","【"&amp;盘货信息!$Z$1&amp;"】"&amp;_xlfn.XLOOKUP($A71&amp;$B71&amp;$C71,盘货信息!$A:$A&amp;盘货信息!$B:$B&amp;盘货信息!$C:$C,盘货信息!$Z:$Z))</f>
        <v/>
      </c>
      <c r="S71" s="27" t="str" cm="1">
        <f t="array" ref="S71">IF(_xlfn.XLOOKUP($A71&amp;$B71&amp;$C71,盘货信息!$A:$A&amp;盘货信息!$B:$B&amp;盘货信息!$C:$C,盘货信息!$Q:$Q)="","","【种草】站外带指定话题种草后返"&amp;_xlfn.XLOOKUP($A71&amp;$B71&amp;$C71,盘货信息!$A:$A&amp;盘货信息!$B:$B&amp;盘货信息!$C:$C,盘货信息!$Q:$Q)&amp;"元红包（每个淘宝账号仅限对应一个站外种草账号，同一个种草账号不可对应多个淘宝账号）")</f>
        <v/>
      </c>
      <c r="T71" s="27" t="str" cm="1">
        <f t="array" ref="T71">IF(_xlfn.XLOOKUP($A71&amp;$B71&amp;$C71,盘货信息!$A:$A&amp;盘货信息!$B:$B&amp;盘货信息!$C:$C,盘货信息!$R:$R)&lt;1,"","【以旧换新】"&amp;"享补贴"&amp;ROUND(_xlfn.XLOOKUP($A71&amp;$B71&amp;$C71,盘货信息!$A:$A&amp;盘货信息!$B:$B&amp;盘货信息!$C:$C,盘货信息!$R:$R),0)&amp;"元（可无旧机换新）")</f>
        <v/>
      </c>
      <c r="U71" s="27" t="str">
        <f>IF(AND($N71="",$O71="",$P71="",$Q71="",$R71="",$S71="",$T71=""),"",固定信息!$B$1)</f>
        <v/>
      </c>
      <c r="V71" s="27" t="str" cm="1">
        <f t="array" ref="V71">IF(_xlfn.XLOOKUP($A71&amp;$B71&amp;$C71,盘货信息!$A:$A&amp;盘货信息!$B:$B&amp;盘货信息!$C:$C,盘货信息!$Y:$Y)="","","【卡萨帝送赠】活动指定时间"&amp;_xlfn.TEXTBEFORE(_xlfn.TEXTAFTER(_xlfn.XLOOKUP($A71&amp;$B71&amp;$C71,盘货信息!$A:$A&amp;盘货信息!$B:$B&amp;盘货信息!$C:$C,盘货信息!$Y:$Y),"点"),"（"))</f>
        <v/>
      </c>
      <c r="W71" s="27" t="str" cm="1">
        <f t="array" ref="W71">IF(COUNTIF(_xlfn.XLOOKUP($A71&amp;$B71&amp;$C71,盘货信息!$A:$A&amp;盘货信息!$B:$B&amp;盘货信息!$C:$C,盘货信息!$O:$O),"*是*"),"【折扣】指定型号满2类享96折，满3类享94折","")</f>
        <v/>
      </c>
      <c r="X71" s="27" t="str" cm="1">
        <f t="array" ref="X71">IF(固定信息!$B$7="","",IF(_xlfn.XLOOKUP($A71&amp;$B71&amp;$C71,盘货信息!$A:$A&amp;盘货信息!$B:$B&amp;盘货信息!$C:$C,盘货信息!$N:$N)="是","【瓜分】"&amp;固定信息!$B$7,""))</f>
        <v/>
      </c>
      <c r="Y71" s="27" t="str">
        <f>IF(AND($V71="",$W71="",$X71=""),"",固定信息!$B$1)</f>
        <v/>
      </c>
      <c r="Z71" s="27" t="str" cm="1">
        <f t="array" ref="Z71">IF($C71="","",_xlfn.XLOOKUP($A71&amp;$B71&amp;$C71,服务!$A:$A&amp;服务!$B:$B&amp;服务!$C:$C,服务!$D:$D))</f>
        <v/>
      </c>
    </row>
    <row r="72" customHeight="1" spans="1:26">
      <c r="A72" s="26" t="str">
        <f>IF(盘货信息!A72="","",盘货信息!A72)</f>
        <v/>
      </c>
      <c r="B72" s="26" t="str">
        <f>IF(盘货信息!B72="","",盘货信息!B72)</f>
        <v/>
      </c>
      <c r="C72" s="27" t="str">
        <f>IF(盘货信息!C72="","",盘货信息!C72)</f>
        <v/>
      </c>
      <c r="D72" s="27" t="str">
        <f ca="1" t="shared" si="1"/>
        <v/>
      </c>
      <c r="E72" s="27" t="str">
        <f>IF(C72="","",固定信息!$B$2)</f>
        <v/>
      </c>
      <c r="F72" s="27" t="str">
        <f>IF(C72="","","【"&amp;C72&amp;"】"&amp;固定信息!$B$4)</f>
        <v/>
      </c>
      <c r="G72" s="27" t="str">
        <f>IF(C72="","","【"&amp;"活动时间："&amp;固定信息!$B$3&amp;"】")</f>
        <v/>
      </c>
      <c r="H72" s="27" t="str">
        <f>IF($C72="","",固定信息!$B$1)</f>
        <v/>
      </c>
      <c r="I72" s="27" t="str">
        <f>IF(OR(C72="",固定信息!$B$5=""),"","【1元预约锁好礼】"&amp;固定信息!$B$5)</f>
        <v/>
      </c>
      <c r="J72" s="27" t="str" cm="1">
        <f t="array" ref="J72">_xlfn.XLOOKUP($A72&amp;$B72&amp;$C72,价格信息!$A:$A&amp;价格信息!$B:$B&amp;价格信息!$C:$C,价格信息!$D:$D)</f>
        <v/>
      </c>
      <c r="K72" s="27" t="str">
        <f>IF($C72="","",固定信息!$B$1)</f>
        <v/>
      </c>
      <c r="L72" s="27" t="str" cm="1">
        <f t="array" ref="L72">IF(_xlfn.XLOOKUP($A72&amp;$B72&amp;$C72,盘货信息!$A:$A&amp;盘货信息!$B:$B&amp;盘货信息!$C:$C,盘货信息!$T:$T)="","","【优惠券】领"&amp;_xlfn.XLOOKUP($A72&amp;$B72&amp;$C72,盘货信息!$A:$A&amp;盘货信息!$B:$B&amp;盘货信息!$C:$C,盘货信息!$T:$T)&amp;"元优惠卷下单更优惠，领券链接："&amp;_xlfn.XLOOKUP($A72&amp;$B72&amp;$C72,盘货信息!$A:$A&amp;盘货信息!$B:$B&amp;盘货信息!$C:$C,盘货信息!$U:$U))</f>
        <v/>
      </c>
      <c r="M72" s="27" t="str" cm="1">
        <f t="array" ref="M72">IF(_xlfn.XLOOKUP($A72&amp;$B72&amp;$C72,盘货信息!$A:$A&amp;盘货信息!$B:$B&amp;盘货信息!$C:$C,盘货信息!$P:$P)="","","【限时】"&amp;_xlfn.XLOOKUP($A72&amp;$B72&amp;$C72,盘货信息!$A:$A&amp;盘货信息!$B:$B&amp;盘货信息!$C:$C,盘货信息!$P:$P))</f>
        <v/>
      </c>
      <c r="N72" s="27" t="str" cm="1">
        <f t="array" ref="N72">IF(_xlfn.XLOOKUP($A72&amp;$B72&amp;$C72,盘货信息!$A:$A&amp;盘货信息!$B:$B&amp;盘货信息!$C:$C,盘货信息!$V:$V)="","","【"&amp;盘货信息!$V$1&amp;"】"&amp;_xlfn.XLOOKUP($A72&amp;$B72&amp;$C72,盘货信息!$A:$A&amp;盘货信息!$B:$B&amp;盘货信息!$C:$C,盘货信息!$V:$V))</f>
        <v/>
      </c>
      <c r="O72" s="27" t="str" cm="1">
        <f t="array" ref="O72">IF(_xlfn.XLOOKUP($A72&amp;$B72&amp;$C72,盘货信息!$A:$A&amp;盘货信息!$B:$B&amp;盘货信息!$C:$C,盘货信息!$W:$W)="","","【"&amp;盘货信息!$W$1&amp;"】"&amp;_xlfn.XLOOKUP($A72&amp;$B72&amp;$C72,盘货信息!$A:$A&amp;盘货信息!$B:$B&amp;盘货信息!$C:$C,盘货信息!$W:$W))</f>
        <v/>
      </c>
      <c r="P72" s="27" t="str" cm="1">
        <f t="array" ref="P72">IF(_xlfn.XLOOKUP($A72&amp;$B72&amp;$C72,盘货信息!$A:$A&amp;盘货信息!$B:$B&amp;盘货信息!$C:$C,盘货信息!$S:$S)&lt;1,"","【"&amp;盘货信息!$S$1&amp;"】"&amp;"后返"&amp;_xlfn.XLOOKUP($A72&amp;$B72&amp;$C72,盘货信息!$A:$A&amp;盘货信息!$B:$B&amp;盘货信息!$C:$C,盘货信息!$S:$S)&amp;"元")</f>
        <v/>
      </c>
      <c r="Q72" s="27" t="str" cm="1">
        <f t="array" ref="Q72">IF(_xlfn.XLOOKUP($A72&amp;$B72&amp;$C72,盘货信息!$A:$A&amp;盘货信息!$B:$B&amp;盘货信息!$C:$C,盘货信息!$X:$X)="","","【"&amp;盘货信息!$X$1&amp;"】"&amp;_xlfn.XLOOKUP($A72&amp;$B72&amp;$C72,盘货信息!$A:$A&amp;盘货信息!$B:$B&amp;盘货信息!$C:$C,盘货信息!$X:$X))</f>
        <v/>
      </c>
      <c r="R72" s="27" t="str" cm="1">
        <f t="array" ref="R72">IF(_xlfn.XLOOKUP($A72&amp;$B72&amp;$C72,盘货信息!$A:$A&amp;盘货信息!$B:$B&amp;盘货信息!$C:$C,盘货信息!$Z:$Z)="","","【"&amp;盘货信息!$Z$1&amp;"】"&amp;_xlfn.XLOOKUP($A72&amp;$B72&amp;$C72,盘货信息!$A:$A&amp;盘货信息!$B:$B&amp;盘货信息!$C:$C,盘货信息!$Z:$Z))</f>
        <v/>
      </c>
      <c r="S72" s="27" t="str" cm="1">
        <f t="array" ref="S72">IF(_xlfn.XLOOKUP($A72&amp;$B72&amp;$C72,盘货信息!$A:$A&amp;盘货信息!$B:$B&amp;盘货信息!$C:$C,盘货信息!$Q:$Q)="","","【种草】站外带指定话题种草后返"&amp;_xlfn.XLOOKUP($A72&amp;$B72&amp;$C72,盘货信息!$A:$A&amp;盘货信息!$B:$B&amp;盘货信息!$C:$C,盘货信息!$Q:$Q)&amp;"元红包（每个淘宝账号仅限对应一个站外种草账号，同一个种草账号不可对应多个淘宝账号）")</f>
        <v/>
      </c>
      <c r="T72" s="27" t="str" cm="1">
        <f t="array" ref="T72">IF(_xlfn.XLOOKUP($A72&amp;$B72&amp;$C72,盘货信息!$A:$A&amp;盘货信息!$B:$B&amp;盘货信息!$C:$C,盘货信息!$R:$R)&lt;1,"","【以旧换新】"&amp;"享补贴"&amp;ROUND(_xlfn.XLOOKUP($A72&amp;$B72&amp;$C72,盘货信息!$A:$A&amp;盘货信息!$B:$B&amp;盘货信息!$C:$C,盘货信息!$R:$R),0)&amp;"元（可无旧机换新）")</f>
        <v/>
      </c>
      <c r="U72" s="27" t="str">
        <f>IF(AND($N72="",$O72="",$P72="",$Q72="",$R72="",$S72="",$T72=""),"",固定信息!$B$1)</f>
        <v/>
      </c>
      <c r="V72" s="27" t="str" cm="1">
        <f t="array" ref="V72">IF(_xlfn.XLOOKUP($A72&amp;$B72&amp;$C72,盘货信息!$A:$A&amp;盘货信息!$B:$B&amp;盘货信息!$C:$C,盘货信息!$Y:$Y)="","","【卡萨帝送赠】活动指定时间"&amp;_xlfn.TEXTBEFORE(_xlfn.TEXTAFTER(_xlfn.XLOOKUP($A72&amp;$B72&amp;$C72,盘货信息!$A:$A&amp;盘货信息!$B:$B&amp;盘货信息!$C:$C,盘货信息!$Y:$Y),"点"),"（"))</f>
        <v/>
      </c>
      <c r="W72" s="27" t="str" cm="1">
        <f t="array" ref="W72">IF(COUNTIF(_xlfn.XLOOKUP($A72&amp;$B72&amp;$C72,盘货信息!$A:$A&amp;盘货信息!$B:$B&amp;盘货信息!$C:$C,盘货信息!$O:$O),"*是*"),"【折扣】指定型号满2类享96折，满3类享94折","")</f>
        <v/>
      </c>
      <c r="X72" s="27" t="str" cm="1">
        <f t="array" ref="X72">IF(固定信息!$B$7="","",IF(_xlfn.XLOOKUP($A72&amp;$B72&amp;$C72,盘货信息!$A:$A&amp;盘货信息!$B:$B&amp;盘货信息!$C:$C,盘货信息!$N:$N)="是","【瓜分】"&amp;固定信息!$B$7,""))</f>
        <v/>
      </c>
      <c r="Y72" s="27" t="str">
        <f>IF(AND($V72="",$W72="",$X72=""),"",固定信息!$B$1)</f>
        <v/>
      </c>
      <c r="Z72" s="27" t="str" cm="1">
        <f t="array" ref="Z72">IF($C72="","",_xlfn.XLOOKUP($A72&amp;$B72&amp;$C72,服务!$A:$A&amp;服务!$B:$B&amp;服务!$C:$C,服务!$D:$D))</f>
        <v/>
      </c>
    </row>
    <row r="73" customHeight="1" spans="1:26">
      <c r="A73" s="26" t="str">
        <f>IF(盘货信息!A73="","",盘货信息!A73)</f>
        <v/>
      </c>
      <c r="B73" s="26" t="str">
        <f>IF(盘货信息!B73="","",盘货信息!B73)</f>
        <v/>
      </c>
      <c r="C73" s="27" t="str">
        <f>IF(盘货信息!C73="","",盘货信息!C73)</f>
        <v/>
      </c>
      <c r="D73" s="27" t="str">
        <f ca="1" t="shared" si="1"/>
        <v/>
      </c>
      <c r="E73" s="27" t="str">
        <f>IF(C73="","",固定信息!$B$2)</f>
        <v/>
      </c>
      <c r="F73" s="27" t="str">
        <f>IF(C73="","","【"&amp;C73&amp;"】"&amp;固定信息!$B$4)</f>
        <v/>
      </c>
      <c r="G73" s="27" t="str">
        <f>IF(C73="","","【"&amp;"活动时间："&amp;固定信息!$B$3&amp;"】")</f>
        <v/>
      </c>
      <c r="H73" s="27" t="str">
        <f>IF($C73="","",固定信息!$B$1)</f>
        <v/>
      </c>
      <c r="I73" s="27" t="str">
        <f>IF(OR(C73="",固定信息!$B$5=""),"","【1元预约锁好礼】"&amp;固定信息!$B$5)</f>
        <v/>
      </c>
      <c r="J73" s="27" t="str" cm="1">
        <f t="array" ref="J73">_xlfn.XLOOKUP($A73&amp;$B73&amp;$C73,价格信息!$A:$A&amp;价格信息!$B:$B&amp;价格信息!$C:$C,价格信息!$D:$D)</f>
        <v/>
      </c>
      <c r="K73" s="27" t="str">
        <f>IF($C73="","",固定信息!$B$1)</f>
        <v/>
      </c>
      <c r="L73" s="27" t="str" cm="1">
        <f t="array" ref="L73">IF(_xlfn.XLOOKUP($A73&amp;$B73&amp;$C73,盘货信息!$A:$A&amp;盘货信息!$B:$B&amp;盘货信息!$C:$C,盘货信息!$T:$T)="","","【优惠券】领"&amp;_xlfn.XLOOKUP($A73&amp;$B73&amp;$C73,盘货信息!$A:$A&amp;盘货信息!$B:$B&amp;盘货信息!$C:$C,盘货信息!$T:$T)&amp;"元优惠卷下单更优惠，领券链接："&amp;_xlfn.XLOOKUP($A73&amp;$B73&amp;$C73,盘货信息!$A:$A&amp;盘货信息!$B:$B&amp;盘货信息!$C:$C,盘货信息!$U:$U))</f>
        <v/>
      </c>
      <c r="M73" s="27" t="str" cm="1">
        <f t="array" ref="M73">IF(_xlfn.XLOOKUP($A73&amp;$B73&amp;$C73,盘货信息!$A:$A&amp;盘货信息!$B:$B&amp;盘货信息!$C:$C,盘货信息!$P:$P)="","","【限时】"&amp;_xlfn.XLOOKUP($A73&amp;$B73&amp;$C73,盘货信息!$A:$A&amp;盘货信息!$B:$B&amp;盘货信息!$C:$C,盘货信息!$P:$P))</f>
        <v/>
      </c>
      <c r="N73" s="27" t="str" cm="1">
        <f t="array" ref="N73">IF(_xlfn.XLOOKUP($A73&amp;$B73&amp;$C73,盘货信息!$A:$A&amp;盘货信息!$B:$B&amp;盘货信息!$C:$C,盘货信息!$V:$V)="","","【"&amp;盘货信息!$V$1&amp;"】"&amp;_xlfn.XLOOKUP($A73&amp;$B73&amp;$C73,盘货信息!$A:$A&amp;盘货信息!$B:$B&amp;盘货信息!$C:$C,盘货信息!$V:$V))</f>
        <v/>
      </c>
      <c r="O73" s="27" t="str" cm="1">
        <f t="array" ref="O73">IF(_xlfn.XLOOKUP($A73&amp;$B73&amp;$C73,盘货信息!$A:$A&amp;盘货信息!$B:$B&amp;盘货信息!$C:$C,盘货信息!$W:$W)="","","【"&amp;盘货信息!$W$1&amp;"】"&amp;_xlfn.XLOOKUP($A73&amp;$B73&amp;$C73,盘货信息!$A:$A&amp;盘货信息!$B:$B&amp;盘货信息!$C:$C,盘货信息!$W:$W))</f>
        <v/>
      </c>
      <c r="P73" s="27" t="str" cm="1">
        <f t="array" ref="P73">IF(_xlfn.XLOOKUP($A73&amp;$B73&amp;$C73,盘货信息!$A:$A&amp;盘货信息!$B:$B&amp;盘货信息!$C:$C,盘货信息!$S:$S)&lt;1,"","【"&amp;盘货信息!$S$1&amp;"】"&amp;"后返"&amp;_xlfn.XLOOKUP($A73&amp;$B73&amp;$C73,盘货信息!$A:$A&amp;盘货信息!$B:$B&amp;盘货信息!$C:$C,盘货信息!$S:$S)&amp;"元")</f>
        <v/>
      </c>
      <c r="Q73" s="27" t="str" cm="1">
        <f t="array" ref="Q73">IF(_xlfn.XLOOKUP($A73&amp;$B73&amp;$C73,盘货信息!$A:$A&amp;盘货信息!$B:$B&amp;盘货信息!$C:$C,盘货信息!$X:$X)="","","【"&amp;盘货信息!$X$1&amp;"】"&amp;_xlfn.XLOOKUP($A73&amp;$B73&amp;$C73,盘货信息!$A:$A&amp;盘货信息!$B:$B&amp;盘货信息!$C:$C,盘货信息!$X:$X))</f>
        <v/>
      </c>
      <c r="R73" s="27" t="str" cm="1">
        <f t="array" ref="R73">IF(_xlfn.XLOOKUP($A73&amp;$B73&amp;$C73,盘货信息!$A:$A&amp;盘货信息!$B:$B&amp;盘货信息!$C:$C,盘货信息!$Z:$Z)="","","【"&amp;盘货信息!$Z$1&amp;"】"&amp;_xlfn.XLOOKUP($A73&amp;$B73&amp;$C73,盘货信息!$A:$A&amp;盘货信息!$B:$B&amp;盘货信息!$C:$C,盘货信息!$Z:$Z))</f>
        <v/>
      </c>
      <c r="S73" s="27" t="str" cm="1">
        <f t="array" ref="S73">IF(_xlfn.XLOOKUP($A73&amp;$B73&amp;$C73,盘货信息!$A:$A&amp;盘货信息!$B:$B&amp;盘货信息!$C:$C,盘货信息!$Q:$Q)="","","【种草】站外带指定话题种草后返"&amp;_xlfn.XLOOKUP($A73&amp;$B73&amp;$C73,盘货信息!$A:$A&amp;盘货信息!$B:$B&amp;盘货信息!$C:$C,盘货信息!$Q:$Q)&amp;"元红包（每个淘宝账号仅限对应一个站外种草账号，同一个种草账号不可对应多个淘宝账号）")</f>
        <v/>
      </c>
      <c r="T73" s="27" t="str" cm="1">
        <f t="array" ref="T73">IF(_xlfn.XLOOKUP($A73&amp;$B73&amp;$C73,盘货信息!$A:$A&amp;盘货信息!$B:$B&amp;盘货信息!$C:$C,盘货信息!$R:$R)&lt;1,"","【以旧换新】"&amp;"享补贴"&amp;ROUND(_xlfn.XLOOKUP($A73&amp;$B73&amp;$C73,盘货信息!$A:$A&amp;盘货信息!$B:$B&amp;盘货信息!$C:$C,盘货信息!$R:$R),0)&amp;"元（可无旧机换新）")</f>
        <v/>
      </c>
      <c r="U73" s="27" t="str">
        <f>IF(AND($N73="",$O73="",$P73="",$Q73="",$R73="",$S73="",$T73=""),"",固定信息!$B$1)</f>
        <v/>
      </c>
      <c r="V73" s="27" t="str" cm="1">
        <f t="array" ref="V73">IF(_xlfn.XLOOKUP($A73&amp;$B73&amp;$C73,盘货信息!$A:$A&amp;盘货信息!$B:$B&amp;盘货信息!$C:$C,盘货信息!$Y:$Y)="","","【卡萨帝送赠】活动指定时间"&amp;_xlfn.TEXTBEFORE(_xlfn.TEXTAFTER(_xlfn.XLOOKUP($A73&amp;$B73&amp;$C73,盘货信息!$A:$A&amp;盘货信息!$B:$B&amp;盘货信息!$C:$C,盘货信息!$Y:$Y),"点"),"（"))</f>
        <v/>
      </c>
      <c r="W73" s="27" t="str" cm="1">
        <f t="array" ref="W73">IF(COUNTIF(_xlfn.XLOOKUP($A73&amp;$B73&amp;$C73,盘货信息!$A:$A&amp;盘货信息!$B:$B&amp;盘货信息!$C:$C,盘货信息!$O:$O),"*是*"),"【折扣】指定型号满2类享96折，满3类享94折","")</f>
        <v/>
      </c>
      <c r="X73" s="27" t="str" cm="1">
        <f t="array" ref="X73">IF(固定信息!$B$7="","",IF(_xlfn.XLOOKUP($A73&amp;$B73&amp;$C73,盘货信息!$A:$A&amp;盘货信息!$B:$B&amp;盘货信息!$C:$C,盘货信息!$N:$N)="是","【瓜分】"&amp;固定信息!$B$7,""))</f>
        <v/>
      </c>
      <c r="Y73" s="27" t="str">
        <f>IF(AND($V73="",$W73="",$X73=""),"",固定信息!$B$1)</f>
        <v/>
      </c>
      <c r="Z73" s="27" t="str" cm="1">
        <f t="array" ref="Z73">IF($C73="","",_xlfn.XLOOKUP($A73&amp;$B73&amp;$C73,服务!$A:$A&amp;服务!$B:$B&amp;服务!$C:$C,服务!$D:$D))</f>
        <v/>
      </c>
    </row>
    <row r="74" customHeight="1" spans="1:26">
      <c r="A74" s="26" t="str">
        <f>IF(盘货信息!A74="","",盘货信息!A74)</f>
        <v/>
      </c>
      <c r="B74" s="26" t="str">
        <f>IF(盘货信息!B74="","",盘货信息!B74)</f>
        <v/>
      </c>
      <c r="C74" s="27" t="str">
        <f>IF(盘货信息!C74="","",盘货信息!C74)</f>
        <v/>
      </c>
      <c r="D74" s="27" t="str">
        <f ca="1" t="shared" si="1"/>
        <v/>
      </c>
      <c r="E74" s="27" t="str">
        <f>IF(C74="","",固定信息!$B$2)</f>
        <v/>
      </c>
      <c r="F74" s="27" t="str">
        <f>IF(C74="","","【"&amp;C74&amp;"】"&amp;固定信息!$B$4)</f>
        <v/>
      </c>
      <c r="G74" s="27" t="str">
        <f>IF(C74="","","【"&amp;"活动时间："&amp;固定信息!$B$3&amp;"】")</f>
        <v/>
      </c>
      <c r="H74" s="27" t="str">
        <f>IF($C74="","",固定信息!$B$1)</f>
        <v/>
      </c>
      <c r="I74" s="27" t="str">
        <f>IF(OR(C74="",固定信息!$B$5=""),"","【1元预约锁好礼】"&amp;固定信息!$B$5)</f>
        <v/>
      </c>
      <c r="J74" s="27" t="str" cm="1">
        <f t="array" ref="J74">_xlfn.XLOOKUP($A74&amp;$B74&amp;$C74,价格信息!$A:$A&amp;价格信息!$B:$B&amp;价格信息!$C:$C,价格信息!$D:$D)</f>
        <v/>
      </c>
      <c r="K74" s="27" t="str">
        <f>IF($C74="","",固定信息!$B$1)</f>
        <v/>
      </c>
      <c r="L74" s="27" t="str" cm="1">
        <f t="array" ref="L74">IF(_xlfn.XLOOKUP($A74&amp;$B74&amp;$C74,盘货信息!$A:$A&amp;盘货信息!$B:$B&amp;盘货信息!$C:$C,盘货信息!$T:$T)="","","【优惠券】领"&amp;_xlfn.XLOOKUP($A74&amp;$B74&amp;$C74,盘货信息!$A:$A&amp;盘货信息!$B:$B&amp;盘货信息!$C:$C,盘货信息!$T:$T)&amp;"元优惠卷下单更优惠，领券链接："&amp;_xlfn.XLOOKUP($A74&amp;$B74&amp;$C74,盘货信息!$A:$A&amp;盘货信息!$B:$B&amp;盘货信息!$C:$C,盘货信息!$U:$U))</f>
        <v/>
      </c>
      <c r="M74" s="27" t="str" cm="1">
        <f t="array" ref="M74">IF(_xlfn.XLOOKUP($A74&amp;$B74&amp;$C74,盘货信息!$A:$A&amp;盘货信息!$B:$B&amp;盘货信息!$C:$C,盘货信息!$P:$P)="","","【限时】"&amp;_xlfn.XLOOKUP($A74&amp;$B74&amp;$C74,盘货信息!$A:$A&amp;盘货信息!$B:$B&amp;盘货信息!$C:$C,盘货信息!$P:$P))</f>
        <v/>
      </c>
      <c r="N74" s="27" t="str" cm="1">
        <f t="array" ref="N74">IF(_xlfn.XLOOKUP($A74&amp;$B74&amp;$C74,盘货信息!$A:$A&amp;盘货信息!$B:$B&amp;盘货信息!$C:$C,盘货信息!$V:$V)="","","【"&amp;盘货信息!$V$1&amp;"】"&amp;_xlfn.XLOOKUP($A74&amp;$B74&amp;$C74,盘货信息!$A:$A&amp;盘货信息!$B:$B&amp;盘货信息!$C:$C,盘货信息!$V:$V))</f>
        <v/>
      </c>
      <c r="O74" s="27" t="str" cm="1">
        <f t="array" ref="O74">IF(_xlfn.XLOOKUP($A74&amp;$B74&amp;$C74,盘货信息!$A:$A&amp;盘货信息!$B:$B&amp;盘货信息!$C:$C,盘货信息!$W:$W)="","","【"&amp;盘货信息!$W$1&amp;"】"&amp;_xlfn.XLOOKUP($A74&amp;$B74&amp;$C74,盘货信息!$A:$A&amp;盘货信息!$B:$B&amp;盘货信息!$C:$C,盘货信息!$W:$W))</f>
        <v/>
      </c>
      <c r="P74" s="27" t="str" cm="1">
        <f t="array" ref="P74">IF(_xlfn.XLOOKUP($A74&amp;$B74&amp;$C74,盘货信息!$A:$A&amp;盘货信息!$B:$B&amp;盘货信息!$C:$C,盘货信息!$S:$S)&lt;1,"","【"&amp;盘货信息!$S$1&amp;"】"&amp;"后返"&amp;_xlfn.XLOOKUP($A74&amp;$B74&amp;$C74,盘货信息!$A:$A&amp;盘货信息!$B:$B&amp;盘货信息!$C:$C,盘货信息!$S:$S)&amp;"元")</f>
        <v/>
      </c>
      <c r="Q74" s="27" t="str" cm="1">
        <f t="array" ref="Q74">IF(_xlfn.XLOOKUP($A74&amp;$B74&amp;$C74,盘货信息!$A:$A&amp;盘货信息!$B:$B&amp;盘货信息!$C:$C,盘货信息!$X:$X)="","","【"&amp;盘货信息!$X$1&amp;"】"&amp;_xlfn.XLOOKUP($A74&amp;$B74&amp;$C74,盘货信息!$A:$A&amp;盘货信息!$B:$B&amp;盘货信息!$C:$C,盘货信息!$X:$X))</f>
        <v/>
      </c>
      <c r="R74" s="27" t="str" cm="1">
        <f t="array" ref="R74">IF(_xlfn.XLOOKUP($A74&amp;$B74&amp;$C74,盘货信息!$A:$A&amp;盘货信息!$B:$B&amp;盘货信息!$C:$C,盘货信息!$Z:$Z)="","","【"&amp;盘货信息!$Z$1&amp;"】"&amp;_xlfn.XLOOKUP($A74&amp;$B74&amp;$C74,盘货信息!$A:$A&amp;盘货信息!$B:$B&amp;盘货信息!$C:$C,盘货信息!$Z:$Z))</f>
        <v/>
      </c>
      <c r="S74" s="27" t="str" cm="1">
        <f t="array" ref="S74">IF(_xlfn.XLOOKUP($A74&amp;$B74&amp;$C74,盘货信息!$A:$A&amp;盘货信息!$B:$B&amp;盘货信息!$C:$C,盘货信息!$Q:$Q)="","","【种草】站外带指定话题种草后返"&amp;_xlfn.XLOOKUP($A74&amp;$B74&amp;$C74,盘货信息!$A:$A&amp;盘货信息!$B:$B&amp;盘货信息!$C:$C,盘货信息!$Q:$Q)&amp;"元红包（每个淘宝账号仅限对应一个站外种草账号，同一个种草账号不可对应多个淘宝账号）")</f>
        <v/>
      </c>
      <c r="T74" s="27" t="str" cm="1">
        <f t="array" ref="T74">IF(_xlfn.XLOOKUP($A74&amp;$B74&amp;$C74,盘货信息!$A:$A&amp;盘货信息!$B:$B&amp;盘货信息!$C:$C,盘货信息!$R:$R)&lt;1,"","【以旧换新】"&amp;"享补贴"&amp;ROUND(_xlfn.XLOOKUP($A74&amp;$B74&amp;$C74,盘货信息!$A:$A&amp;盘货信息!$B:$B&amp;盘货信息!$C:$C,盘货信息!$R:$R),0)&amp;"元（可无旧机换新）")</f>
        <v/>
      </c>
      <c r="U74" s="27" t="str">
        <f>IF(AND($N74="",$O74="",$P74="",$Q74="",$R74="",$S74="",$T74=""),"",固定信息!$B$1)</f>
        <v/>
      </c>
      <c r="V74" s="27" t="str" cm="1">
        <f t="array" ref="V74">IF(_xlfn.XLOOKUP($A74&amp;$B74&amp;$C74,盘货信息!$A:$A&amp;盘货信息!$B:$B&amp;盘货信息!$C:$C,盘货信息!$Y:$Y)="","","【卡萨帝送赠】活动指定时间"&amp;_xlfn.TEXTBEFORE(_xlfn.TEXTAFTER(_xlfn.XLOOKUP($A74&amp;$B74&amp;$C74,盘货信息!$A:$A&amp;盘货信息!$B:$B&amp;盘货信息!$C:$C,盘货信息!$Y:$Y),"点"),"（"))</f>
        <v/>
      </c>
      <c r="W74" s="27" t="str" cm="1">
        <f t="array" ref="W74">IF(COUNTIF(_xlfn.XLOOKUP($A74&amp;$B74&amp;$C74,盘货信息!$A:$A&amp;盘货信息!$B:$B&amp;盘货信息!$C:$C,盘货信息!$O:$O),"*是*"),"【折扣】指定型号满2类享96折，满3类享94折","")</f>
        <v/>
      </c>
      <c r="X74" s="27" t="str" cm="1">
        <f t="array" ref="X74">IF(固定信息!$B$7="","",IF(_xlfn.XLOOKUP($A74&amp;$B74&amp;$C74,盘货信息!$A:$A&amp;盘货信息!$B:$B&amp;盘货信息!$C:$C,盘货信息!$N:$N)="是","【瓜分】"&amp;固定信息!$B$7,""))</f>
        <v/>
      </c>
      <c r="Y74" s="27" t="str">
        <f>IF(AND($V74="",$W74="",$X74=""),"",固定信息!$B$1)</f>
        <v/>
      </c>
      <c r="Z74" s="27" t="str" cm="1">
        <f t="array" ref="Z74">IF($C74="","",_xlfn.XLOOKUP($A74&amp;$B74&amp;$C74,服务!$A:$A&amp;服务!$B:$B&amp;服务!$C:$C,服务!$D:$D))</f>
        <v/>
      </c>
    </row>
    <row r="75" customHeight="1" spans="1:26">
      <c r="A75" s="26" t="str">
        <f>IF(盘货信息!A75="","",盘货信息!A75)</f>
        <v/>
      </c>
      <c r="B75" s="26" t="str">
        <f>IF(盘货信息!B75="","",盘货信息!B75)</f>
        <v/>
      </c>
      <c r="C75" s="27" t="str">
        <f>IF(盘货信息!C75="","",盘货信息!C75)</f>
        <v/>
      </c>
      <c r="D75" s="27" t="str">
        <f ca="1" t="shared" si="1"/>
        <v/>
      </c>
      <c r="E75" s="27" t="str">
        <f>IF(C75="","",固定信息!$B$2)</f>
        <v/>
      </c>
      <c r="F75" s="27" t="str">
        <f>IF(C75="","","【"&amp;C75&amp;"】"&amp;固定信息!$B$4)</f>
        <v/>
      </c>
      <c r="G75" s="27" t="str">
        <f>IF(C75="","","【"&amp;"活动时间："&amp;固定信息!$B$3&amp;"】")</f>
        <v/>
      </c>
      <c r="H75" s="27" t="str">
        <f>IF($C75="","",固定信息!$B$1)</f>
        <v/>
      </c>
      <c r="I75" s="27" t="str">
        <f>IF(OR(C75="",固定信息!$B$5=""),"","【1元预约锁好礼】"&amp;固定信息!$B$5)</f>
        <v/>
      </c>
      <c r="J75" s="27" t="str" cm="1">
        <f t="array" ref="J75">_xlfn.XLOOKUP($A75&amp;$B75&amp;$C75,价格信息!$A:$A&amp;价格信息!$B:$B&amp;价格信息!$C:$C,价格信息!$D:$D)</f>
        <v/>
      </c>
      <c r="K75" s="27" t="str">
        <f>IF($C75="","",固定信息!$B$1)</f>
        <v/>
      </c>
      <c r="L75" s="27" t="str" cm="1">
        <f t="array" ref="L75">IF(_xlfn.XLOOKUP($A75&amp;$B75&amp;$C75,盘货信息!$A:$A&amp;盘货信息!$B:$B&amp;盘货信息!$C:$C,盘货信息!$T:$T)="","","【优惠券】领"&amp;_xlfn.XLOOKUP($A75&amp;$B75&amp;$C75,盘货信息!$A:$A&amp;盘货信息!$B:$B&amp;盘货信息!$C:$C,盘货信息!$T:$T)&amp;"元优惠卷下单更优惠，领券链接："&amp;_xlfn.XLOOKUP($A75&amp;$B75&amp;$C75,盘货信息!$A:$A&amp;盘货信息!$B:$B&amp;盘货信息!$C:$C,盘货信息!$U:$U))</f>
        <v/>
      </c>
      <c r="M75" s="27" t="str" cm="1">
        <f t="array" ref="M75">IF(_xlfn.XLOOKUP($A75&amp;$B75&amp;$C75,盘货信息!$A:$A&amp;盘货信息!$B:$B&amp;盘货信息!$C:$C,盘货信息!$P:$P)="","","【限时】"&amp;_xlfn.XLOOKUP($A75&amp;$B75&amp;$C75,盘货信息!$A:$A&amp;盘货信息!$B:$B&amp;盘货信息!$C:$C,盘货信息!$P:$P))</f>
        <v/>
      </c>
      <c r="N75" s="27" t="str" cm="1">
        <f t="array" ref="N75">IF(_xlfn.XLOOKUP($A75&amp;$B75&amp;$C75,盘货信息!$A:$A&amp;盘货信息!$B:$B&amp;盘货信息!$C:$C,盘货信息!$V:$V)="","","【"&amp;盘货信息!$V$1&amp;"】"&amp;_xlfn.XLOOKUP($A75&amp;$B75&amp;$C75,盘货信息!$A:$A&amp;盘货信息!$B:$B&amp;盘货信息!$C:$C,盘货信息!$V:$V))</f>
        <v/>
      </c>
      <c r="O75" s="27" t="str" cm="1">
        <f t="array" ref="O75">IF(_xlfn.XLOOKUP($A75&amp;$B75&amp;$C75,盘货信息!$A:$A&amp;盘货信息!$B:$B&amp;盘货信息!$C:$C,盘货信息!$W:$W)="","","【"&amp;盘货信息!$W$1&amp;"】"&amp;_xlfn.XLOOKUP($A75&amp;$B75&amp;$C75,盘货信息!$A:$A&amp;盘货信息!$B:$B&amp;盘货信息!$C:$C,盘货信息!$W:$W))</f>
        <v/>
      </c>
      <c r="P75" s="27" t="str" cm="1">
        <f t="array" ref="P75">IF(_xlfn.XLOOKUP($A75&amp;$B75&amp;$C75,盘货信息!$A:$A&amp;盘货信息!$B:$B&amp;盘货信息!$C:$C,盘货信息!$S:$S)&lt;1,"","【"&amp;盘货信息!$S$1&amp;"】"&amp;"后返"&amp;_xlfn.XLOOKUP($A75&amp;$B75&amp;$C75,盘货信息!$A:$A&amp;盘货信息!$B:$B&amp;盘货信息!$C:$C,盘货信息!$S:$S)&amp;"元")</f>
        <v/>
      </c>
      <c r="Q75" s="27" t="str" cm="1">
        <f t="array" ref="Q75">IF(_xlfn.XLOOKUP($A75&amp;$B75&amp;$C75,盘货信息!$A:$A&amp;盘货信息!$B:$B&amp;盘货信息!$C:$C,盘货信息!$X:$X)="","","【"&amp;盘货信息!$X$1&amp;"】"&amp;_xlfn.XLOOKUP($A75&amp;$B75&amp;$C75,盘货信息!$A:$A&amp;盘货信息!$B:$B&amp;盘货信息!$C:$C,盘货信息!$X:$X))</f>
        <v/>
      </c>
      <c r="R75" s="27" t="str" cm="1">
        <f t="array" ref="R75">IF(_xlfn.XLOOKUP($A75&amp;$B75&amp;$C75,盘货信息!$A:$A&amp;盘货信息!$B:$B&amp;盘货信息!$C:$C,盘货信息!$Z:$Z)="","","【"&amp;盘货信息!$Z$1&amp;"】"&amp;_xlfn.XLOOKUP($A75&amp;$B75&amp;$C75,盘货信息!$A:$A&amp;盘货信息!$B:$B&amp;盘货信息!$C:$C,盘货信息!$Z:$Z))</f>
        <v/>
      </c>
      <c r="S75" s="27" t="str" cm="1">
        <f t="array" ref="S75">IF(_xlfn.XLOOKUP($A75&amp;$B75&amp;$C75,盘货信息!$A:$A&amp;盘货信息!$B:$B&amp;盘货信息!$C:$C,盘货信息!$Q:$Q)="","","【种草】站外带指定话题种草后返"&amp;_xlfn.XLOOKUP($A75&amp;$B75&amp;$C75,盘货信息!$A:$A&amp;盘货信息!$B:$B&amp;盘货信息!$C:$C,盘货信息!$Q:$Q)&amp;"元红包（每个淘宝账号仅限对应一个站外种草账号，同一个种草账号不可对应多个淘宝账号）")</f>
        <v/>
      </c>
      <c r="T75" s="27" t="str" cm="1">
        <f t="array" ref="T75">IF(_xlfn.XLOOKUP($A75&amp;$B75&amp;$C75,盘货信息!$A:$A&amp;盘货信息!$B:$B&amp;盘货信息!$C:$C,盘货信息!$R:$R)&lt;1,"","【以旧换新】"&amp;"享补贴"&amp;ROUND(_xlfn.XLOOKUP($A75&amp;$B75&amp;$C75,盘货信息!$A:$A&amp;盘货信息!$B:$B&amp;盘货信息!$C:$C,盘货信息!$R:$R),0)&amp;"元（可无旧机换新）")</f>
        <v/>
      </c>
      <c r="U75" s="27" t="str">
        <f>IF(AND($N75="",$O75="",$P75="",$Q75="",$R75="",$S75="",$T75=""),"",固定信息!$B$1)</f>
        <v/>
      </c>
      <c r="V75" s="27" t="str" cm="1">
        <f t="array" ref="V75">IF(_xlfn.XLOOKUP($A75&amp;$B75&amp;$C75,盘货信息!$A:$A&amp;盘货信息!$B:$B&amp;盘货信息!$C:$C,盘货信息!$Y:$Y)="","","【卡萨帝送赠】活动指定时间"&amp;_xlfn.TEXTBEFORE(_xlfn.TEXTAFTER(_xlfn.XLOOKUP($A75&amp;$B75&amp;$C75,盘货信息!$A:$A&amp;盘货信息!$B:$B&amp;盘货信息!$C:$C,盘货信息!$Y:$Y),"点"),"（"))</f>
        <v/>
      </c>
      <c r="W75" s="27" t="str" cm="1">
        <f t="array" ref="W75">IF(COUNTIF(_xlfn.XLOOKUP($A75&amp;$B75&amp;$C75,盘货信息!$A:$A&amp;盘货信息!$B:$B&amp;盘货信息!$C:$C,盘货信息!$O:$O),"*是*"),"【折扣】指定型号满2类享96折，满3类享94折","")</f>
        <v/>
      </c>
      <c r="X75" s="27" t="str" cm="1">
        <f t="array" ref="X75">IF(固定信息!$B$7="","",IF(_xlfn.XLOOKUP($A75&amp;$B75&amp;$C75,盘货信息!$A:$A&amp;盘货信息!$B:$B&amp;盘货信息!$C:$C,盘货信息!$N:$N)="是","【瓜分】"&amp;固定信息!$B$7,""))</f>
        <v/>
      </c>
      <c r="Y75" s="27" t="str">
        <f>IF(AND($V75="",$W75="",$X75=""),"",固定信息!$B$1)</f>
        <v/>
      </c>
      <c r="Z75" s="27" t="str" cm="1">
        <f t="array" ref="Z75">IF($C75="","",_xlfn.XLOOKUP($A75&amp;$B75&amp;$C75,服务!$A:$A&amp;服务!$B:$B&amp;服务!$C:$C,服务!$D:$D))</f>
        <v/>
      </c>
    </row>
    <row r="76" customHeight="1" spans="1:26">
      <c r="A76" s="26" t="str">
        <f>IF(盘货信息!A76="","",盘货信息!A76)</f>
        <v/>
      </c>
      <c r="B76" s="26" t="str">
        <f>IF(盘货信息!B76="","",盘货信息!B76)</f>
        <v/>
      </c>
      <c r="C76" s="27" t="str">
        <f>IF(盘货信息!C76="","",盘货信息!C76)</f>
        <v/>
      </c>
      <c r="D76" s="27" t="str">
        <f ca="1" t="shared" si="1"/>
        <v/>
      </c>
      <c r="E76" s="27" t="str">
        <f>IF(C76="","",固定信息!$B$2)</f>
        <v/>
      </c>
      <c r="F76" s="27" t="str">
        <f>IF(C76="","","【"&amp;C76&amp;"】"&amp;固定信息!$B$4)</f>
        <v/>
      </c>
      <c r="G76" s="27" t="str">
        <f>IF(C76="","","【"&amp;"活动时间："&amp;固定信息!$B$3&amp;"】")</f>
        <v/>
      </c>
      <c r="H76" s="27" t="str">
        <f>IF($C76="","",固定信息!$B$1)</f>
        <v/>
      </c>
      <c r="I76" s="27" t="str">
        <f>IF(OR(C76="",固定信息!$B$5=""),"","【1元预约锁好礼】"&amp;固定信息!$B$5)</f>
        <v/>
      </c>
      <c r="J76" s="27" t="str" cm="1">
        <f t="array" ref="J76">_xlfn.XLOOKUP($A76&amp;$B76&amp;$C76,价格信息!$A:$A&amp;价格信息!$B:$B&amp;价格信息!$C:$C,价格信息!$D:$D)</f>
        <v/>
      </c>
      <c r="K76" s="27" t="str">
        <f>IF($C76="","",固定信息!$B$1)</f>
        <v/>
      </c>
      <c r="L76" s="27" t="str" cm="1">
        <f t="array" ref="L76">IF(_xlfn.XLOOKUP($A76&amp;$B76&amp;$C76,盘货信息!$A:$A&amp;盘货信息!$B:$B&amp;盘货信息!$C:$C,盘货信息!$T:$T)="","","【优惠券】领"&amp;_xlfn.XLOOKUP($A76&amp;$B76&amp;$C76,盘货信息!$A:$A&amp;盘货信息!$B:$B&amp;盘货信息!$C:$C,盘货信息!$T:$T)&amp;"元优惠卷下单更优惠，领券链接："&amp;_xlfn.XLOOKUP($A76&amp;$B76&amp;$C76,盘货信息!$A:$A&amp;盘货信息!$B:$B&amp;盘货信息!$C:$C,盘货信息!$U:$U))</f>
        <v/>
      </c>
      <c r="M76" s="27" t="str" cm="1">
        <f t="array" ref="M76">IF(_xlfn.XLOOKUP($A76&amp;$B76&amp;$C76,盘货信息!$A:$A&amp;盘货信息!$B:$B&amp;盘货信息!$C:$C,盘货信息!$P:$P)="","","【限时】"&amp;_xlfn.XLOOKUP($A76&amp;$B76&amp;$C76,盘货信息!$A:$A&amp;盘货信息!$B:$B&amp;盘货信息!$C:$C,盘货信息!$P:$P))</f>
        <v/>
      </c>
      <c r="N76" s="27" t="str" cm="1">
        <f t="array" ref="N76">IF(_xlfn.XLOOKUP($A76&amp;$B76&amp;$C76,盘货信息!$A:$A&amp;盘货信息!$B:$B&amp;盘货信息!$C:$C,盘货信息!$V:$V)="","","【"&amp;盘货信息!$V$1&amp;"】"&amp;_xlfn.XLOOKUP($A76&amp;$B76&amp;$C76,盘货信息!$A:$A&amp;盘货信息!$B:$B&amp;盘货信息!$C:$C,盘货信息!$V:$V))</f>
        <v/>
      </c>
      <c r="O76" s="27" t="str" cm="1">
        <f t="array" ref="O76">IF(_xlfn.XLOOKUP($A76&amp;$B76&amp;$C76,盘货信息!$A:$A&amp;盘货信息!$B:$B&amp;盘货信息!$C:$C,盘货信息!$W:$W)="","","【"&amp;盘货信息!$W$1&amp;"】"&amp;_xlfn.XLOOKUP($A76&amp;$B76&amp;$C76,盘货信息!$A:$A&amp;盘货信息!$B:$B&amp;盘货信息!$C:$C,盘货信息!$W:$W))</f>
        <v/>
      </c>
      <c r="P76" s="27" t="str" cm="1">
        <f t="array" ref="P76">IF(_xlfn.XLOOKUP($A76&amp;$B76&amp;$C76,盘货信息!$A:$A&amp;盘货信息!$B:$B&amp;盘货信息!$C:$C,盘货信息!$S:$S)&lt;1,"","【"&amp;盘货信息!$S$1&amp;"】"&amp;"后返"&amp;_xlfn.XLOOKUP($A76&amp;$B76&amp;$C76,盘货信息!$A:$A&amp;盘货信息!$B:$B&amp;盘货信息!$C:$C,盘货信息!$S:$S)&amp;"元")</f>
        <v/>
      </c>
      <c r="Q76" s="27" t="str" cm="1">
        <f t="array" ref="Q76">IF(_xlfn.XLOOKUP($A76&amp;$B76&amp;$C76,盘货信息!$A:$A&amp;盘货信息!$B:$B&amp;盘货信息!$C:$C,盘货信息!$X:$X)="","","【"&amp;盘货信息!$X$1&amp;"】"&amp;_xlfn.XLOOKUP($A76&amp;$B76&amp;$C76,盘货信息!$A:$A&amp;盘货信息!$B:$B&amp;盘货信息!$C:$C,盘货信息!$X:$X))</f>
        <v/>
      </c>
      <c r="R76" s="27" t="str" cm="1">
        <f t="array" ref="R76">IF(_xlfn.XLOOKUP($A76&amp;$B76&amp;$C76,盘货信息!$A:$A&amp;盘货信息!$B:$B&amp;盘货信息!$C:$C,盘货信息!$Z:$Z)="","","【"&amp;盘货信息!$Z$1&amp;"】"&amp;_xlfn.XLOOKUP($A76&amp;$B76&amp;$C76,盘货信息!$A:$A&amp;盘货信息!$B:$B&amp;盘货信息!$C:$C,盘货信息!$Z:$Z))</f>
        <v/>
      </c>
      <c r="S76" s="27" t="str" cm="1">
        <f t="array" ref="S76">IF(_xlfn.XLOOKUP($A76&amp;$B76&amp;$C76,盘货信息!$A:$A&amp;盘货信息!$B:$B&amp;盘货信息!$C:$C,盘货信息!$Q:$Q)="","","【种草】站外带指定话题种草后返"&amp;_xlfn.XLOOKUP($A76&amp;$B76&amp;$C76,盘货信息!$A:$A&amp;盘货信息!$B:$B&amp;盘货信息!$C:$C,盘货信息!$Q:$Q)&amp;"元红包（每个淘宝账号仅限对应一个站外种草账号，同一个种草账号不可对应多个淘宝账号）")</f>
        <v/>
      </c>
      <c r="T76" s="27" t="str" cm="1">
        <f t="array" ref="T76">IF(_xlfn.XLOOKUP($A76&amp;$B76&amp;$C76,盘货信息!$A:$A&amp;盘货信息!$B:$B&amp;盘货信息!$C:$C,盘货信息!$R:$R)&lt;1,"","【以旧换新】"&amp;"享补贴"&amp;ROUND(_xlfn.XLOOKUP($A76&amp;$B76&amp;$C76,盘货信息!$A:$A&amp;盘货信息!$B:$B&amp;盘货信息!$C:$C,盘货信息!$R:$R),0)&amp;"元（可无旧机换新）")</f>
        <v/>
      </c>
      <c r="U76" s="27" t="str">
        <f>IF(AND($N76="",$O76="",$P76="",$Q76="",$R76="",$S76="",$T76=""),"",固定信息!$B$1)</f>
        <v/>
      </c>
      <c r="V76" s="27" t="str" cm="1">
        <f t="array" ref="V76">IF(_xlfn.XLOOKUP($A76&amp;$B76&amp;$C76,盘货信息!$A:$A&amp;盘货信息!$B:$B&amp;盘货信息!$C:$C,盘货信息!$Y:$Y)="","","【卡萨帝送赠】活动指定时间"&amp;_xlfn.TEXTBEFORE(_xlfn.TEXTAFTER(_xlfn.XLOOKUP($A76&amp;$B76&amp;$C76,盘货信息!$A:$A&amp;盘货信息!$B:$B&amp;盘货信息!$C:$C,盘货信息!$Y:$Y),"点"),"（"))</f>
        <v/>
      </c>
      <c r="W76" s="27" t="str" cm="1">
        <f t="array" ref="W76">IF(COUNTIF(_xlfn.XLOOKUP($A76&amp;$B76&amp;$C76,盘货信息!$A:$A&amp;盘货信息!$B:$B&amp;盘货信息!$C:$C,盘货信息!$O:$O),"*是*"),"【折扣】指定型号满2类享96折，满3类享94折","")</f>
        <v/>
      </c>
      <c r="X76" s="27" t="str" cm="1">
        <f t="array" ref="X76">IF(固定信息!$B$7="","",IF(_xlfn.XLOOKUP($A76&amp;$B76&amp;$C76,盘货信息!$A:$A&amp;盘货信息!$B:$B&amp;盘货信息!$C:$C,盘货信息!$N:$N)="是","【瓜分】"&amp;固定信息!$B$7,""))</f>
        <v/>
      </c>
      <c r="Y76" s="27" t="str">
        <f>IF(AND($V76="",$W76="",$X76=""),"",固定信息!$B$1)</f>
        <v/>
      </c>
      <c r="Z76" s="27" t="str" cm="1">
        <f t="array" ref="Z76">IF($C76="","",_xlfn.XLOOKUP($A76&amp;$B76&amp;$C76,服务!$A:$A&amp;服务!$B:$B&amp;服务!$C:$C,服务!$D:$D))</f>
        <v/>
      </c>
    </row>
    <row r="77" customHeight="1" spans="1:26">
      <c r="A77" s="26" t="str">
        <f>IF(盘货信息!A77="","",盘货信息!A77)</f>
        <v/>
      </c>
      <c r="B77" s="26" t="str">
        <f>IF(盘货信息!B77="","",盘货信息!B77)</f>
        <v/>
      </c>
      <c r="C77" s="27" t="str">
        <f>IF(盘货信息!C77="","",盘货信息!C77)</f>
        <v/>
      </c>
      <c r="D77" s="27" t="str">
        <f ca="1" t="shared" si="1"/>
        <v/>
      </c>
      <c r="E77" s="27" t="str">
        <f>IF(C77="","",固定信息!$B$2)</f>
        <v/>
      </c>
      <c r="F77" s="27" t="str">
        <f>IF(C77="","","【"&amp;C77&amp;"】"&amp;固定信息!$B$4)</f>
        <v/>
      </c>
      <c r="G77" s="27" t="str">
        <f>IF(C77="","","【"&amp;"活动时间："&amp;固定信息!$B$3&amp;"】")</f>
        <v/>
      </c>
      <c r="H77" s="27" t="str">
        <f>IF($C77="","",固定信息!$B$1)</f>
        <v/>
      </c>
      <c r="I77" s="27" t="str">
        <f>IF(OR(C77="",固定信息!$B$5=""),"","【1元预约锁好礼】"&amp;固定信息!$B$5)</f>
        <v/>
      </c>
      <c r="J77" s="27" t="str" cm="1">
        <f t="array" ref="J77">_xlfn.XLOOKUP($A77&amp;$B77&amp;$C77,价格信息!$A:$A&amp;价格信息!$B:$B&amp;价格信息!$C:$C,价格信息!$D:$D)</f>
        <v/>
      </c>
      <c r="K77" s="27" t="str">
        <f>IF($C77="","",固定信息!$B$1)</f>
        <v/>
      </c>
      <c r="L77" s="27" t="str" cm="1">
        <f t="array" ref="L77">IF(_xlfn.XLOOKUP($A77&amp;$B77&amp;$C77,盘货信息!$A:$A&amp;盘货信息!$B:$B&amp;盘货信息!$C:$C,盘货信息!$T:$T)="","","【优惠券】领"&amp;_xlfn.XLOOKUP($A77&amp;$B77&amp;$C77,盘货信息!$A:$A&amp;盘货信息!$B:$B&amp;盘货信息!$C:$C,盘货信息!$T:$T)&amp;"元优惠卷下单更优惠，领券链接："&amp;_xlfn.XLOOKUP($A77&amp;$B77&amp;$C77,盘货信息!$A:$A&amp;盘货信息!$B:$B&amp;盘货信息!$C:$C,盘货信息!$U:$U))</f>
        <v/>
      </c>
      <c r="M77" s="27" t="str" cm="1">
        <f t="array" ref="M77">IF(_xlfn.XLOOKUP($A77&amp;$B77&amp;$C77,盘货信息!$A:$A&amp;盘货信息!$B:$B&amp;盘货信息!$C:$C,盘货信息!$P:$P)="","","【限时】"&amp;_xlfn.XLOOKUP($A77&amp;$B77&amp;$C77,盘货信息!$A:$A&amp;盘货信息!$B:$B&amp;盘货信息!$C:$C,盘货信息!$P:$P))</f>
        <v/>
      </c>
      <c r="N77" s="27" t="str" cm="1">
        <f t="array" ref="N77">IF(_xlfn.XLOOKUP($A77&amp;$B77&amp;$C77,盘货信息!$A:$A&amp;盘货信息!$B:$B&amp;盘货信息!$C:$C,盘货信息!$V:$V)="","","【"&amp;盘货信息!$V$1&amp;"】"&amp;_xlfn.XLOOKUP($A77&amp;$B77&amp;$C77,盘货信息!$A:$A&amp;盘货信息!$B:$B&amp;盘货信息!$C:$C,盘货信息!$V:$V))</f>
        <v/>
      </c>
      <c r="O77" s="27" t="str" cm="1">
        <f t="array" ref="O77">IF(_xlfn.XLOOKUP($A77&amp;$B77&amp;$C77,盘货信息!$A:$A&amp;盘货信息!$B:$B&amp;盘货信息!$C:$C,盘货信息!$W:$W)="","","【"&amp;盘货信息!$W$1&amp;"】"&amp;_xlfn.XLOOKUP($A77&amp;$B77&amp;$C77,盘货信息!$A:$A&amp;盘货信息!$B:$B&amp;盘货信息!$C:$C,盘货信息!$W:$W))</f>
        <v/>
      </c>
      <c r="P77" s="27" t="str" cm="1">
        <f t="array" ref="P77">IF(_xlfn.XLOOKUP($A77&amp;$B77&amp;$C77,盘货信息!$A:$A&amp;盘货信息!$B:$B&amp;盘货信息!$C:$C,盘货信息!$S:$S)&lt;1,"","【"&amp;盘货信息!$S$1&amp;"】"&amp;"后返"&amp;_xlfn.XLOOKUP($A77&amp;$B77&amp;$C77,盘货信息!$A:$A&amp;盘货信息!$B:$B&amp;盘货信息!$C:$C,盘货信息!$S:$S)&amp;"元")</f>
        <v/>
      </c>
      <c r="Q77" s="27" t="str" cm="1">
        <f t="array" ref="Q77">IF(_xlfn.XLOOKUP($A77&amp;$B77&amp;$C77,盘货信息!$A:$A&amp;盘货信息!$B:$B&amp;盘货信息!$C:$C,盘货信息!$X:$X)="","","【"&amp;盘货信息!$X$1&amp;"】"&amp;_xlfn.XLOOKUP($A77&amp;$B77&amp;$C77,盘货信息!$A:$A&amp;盘货信息!$B:$B&amp;盘货信息!$C:$C,盘货信息!$X:$X))</f>
        <v/>
      </c>
      <c r="R77" s="27" t="str" cm="1">
        <f t="array" ref="R77">IF(_xlfn.XLOOKUP($A77&amp;$B77&amp;$C77,盘货信息!$A:$A&amp;盘货信息!$B:$B&amp;盘货信息!$C:$C,盘货信息!$Z:$Z)="","","【"&amp;盘货信息!$Z$1&amp;"】"&amp;_xlfn.XLOOKUP($A77&amp;$B77&amp;$C77,盘货信息!$A:$A&amp;盘货信息!$B:$B&amp;盘货信息!$C:$C,盘货信息!$Z:$Z))</f>
        <v/>
      </c>
      <c r="S77" s="27" t="str" cm="1">
        <f t="array" ref="S77">IF(_xlfn.XLOOKUP($A77&amp;$B77&amp;$C77,盘货信息!$A:$A&amp;盘货信息!$B:$B&amp;盘货信息!$C:$C,盘货信息!$Q:$Q)="","","【种草】站外带指定话题种草后返"&amp;_xlfn.XLOOKUP($A77&amp;$B77&amp;$C77,盘货信息!$A:$A&amp;盘货信息!$B:$B&amp;盘货信息!$C:$C,盘货信息!$Q:$Q)&amp;"元红包（每个淘宝账号仅限对应一个站外种草账号，同一个种草账号不可对应多个淘宝账号）")</f>
        <v/>
      </c>
      <c r="T77" s="27" t="str" cm="1">
        <f t="array" ref="T77">IF(_xlfn.XLOOKUP($A77&amp;$B77&amp;$C77,盘货信息!$A:$A&amp;盘货信息!$B:$B&amp;盘货信息!$C:$C,盘货信息!$R:$R)&lt;1,"","【以旧换新】"&amp;"享补贴"&amp;ROUND(_xlfn.XLOOKUP($A77&amp;$B77&amp;$C77,盘货信息!$A:$A&amp;盘货信息!$B:$B&amp;盘货信息!$C:$C,盘货信息!$R:$R),0)&amp;"元（可无旧机换新）")</f>
        <v/>
      </c>
      <c r="U77" s="27" t="str">
        <f>IF(AND($N77="",$O77="",$P77="",$Q77="",$R77="",$S77="",$T77=""),"",固定信息!$B$1)</f>
        <v/>
      </c>
      <c r="V77" s="27" t="str" cm="1">
        <f t="array" ref="V77">IF(_xlfn.XLOOKUP($A77&amp;$B77&amp;$C77,盘货信息!$A:$A&amp;盘货信息!$B:$B&amp;盘货信息!$C:$C,盘货信息!$Y:$Y)="","","【卡萨帝送赠】活动指定时间"&amp;_xlfn.TEXTBEFORE(_xlfn.TEXTAFTER(_xlfn.XLOOKUP($A77&amp;$B77&amp;$C77,盘货信息!$A:$A&amp;盘货信息!$B:$B&amp;盘货信息!$C:$C,盘货信息!$Y:$Y),"点"),"（"))</f>
        <v/>
      </c>
      <c r="W77" s="27" t="str" cm="1">
        <f t="array" ref="W77">IF(COUNTIF(_xlfn.XLOOKUP($A77&amp;$B77&amp;$C77,盘货信息!$A:$A&amp;盘货信息!$B:$B&amp;盘货信息!$C:$C,盘货信息!$O:$O),"*是*"),"【折扣】指定型号满2类享96折，满3类享94折","")</f>
        <v/>
      </c>
      <c r="X77" s="27" t="str" cm="1">
        <f t="array" ref="X77">IF(固定信息!$B$7="","",IF(_xlfn.XLOOKUP($A77&amp;$B77&amp;$C77,盘货信息!$A:$A&amp;盘货信息!$B:$B&amp;盘货信息!$C:$C,盘货信息!$N:$N)="是","【瓜分】"&amp;固定信息!$B$7,""))</f>
        <v/>
      </c>
      <c r="Y77" s="27" t="str">
        <f>IF(AND($V77="",$W77="",$X77=""),"",固定信息!$B$1)</f>
        <v/>
      </c>
      <c r="Z77" s="27" t="str" cm="1">
        <f t="array" ref="Z77">IF($C77="","",_xlfn.XLOOKUP($A77&amp;$B77&amp;$C77,服务!$A:$A&amp;服务!$B:$B&amp;服务!$C:$C,服务!$D:$D))</f>
        <v/>
      </c>
    </row>
    <row r="78" customHeight="1" spans="1:26">
      <c r="A78" s="26" t="str">
        <f>IF(盘货信息!A78="","",盘货信息!A78)</f>
        <v/>
      </c>
      <c r="B78" s="26" t="str">
        <f>IF(盘货信息!B78="","",盘货信息!B78)</f>
        <v/>
      </c>
      <c r="C78" s="27" t="str">
        <f>IF(盘货信息!C78="","",盘货信息!C78)</f>
        <v/>
      </c>
      <c r="D78" s="27" t="str">
        <f ca="1" t="shared" si="1"/>
        <v/>
      </c>
      <c r="E78" s="27" t="str">
        <f>IF(C78="","",固定信息!$B$2)</f>
        <v/>
      </c>
      <c r="F78" s="27" t="str">
        <f>IF(C78="","","【"&amp;C78&amp;"】"&amp;固定信息!$B$4)</f>
        <v/>
      </c>
      <c r="G78" s="27" t="str">
        <f>IF(C78="","","【"&amp;"活动时间："&amp;固定信息!$B$3&amp;"】")</f>
        <v/>
      </c>
      <c r="H78" s="27" t="str">
        <f>IF($C78="","",固定信息!$B$1)</f>
        <v/>
      </c>
      <c r="I78" s="27" t="str">
        <f>IF(OR(C78="",固定信息!$B$5=""),"","【1元预约锁好礼】"&amp;固定信息!$B$5)</f>
        <v/>
      </c>
      <c r="J78" s="27" t="str" cm="1">
        <f t="array" ref="J78">_xlfn.XLOOKUP($A78&amp;$B78&amp;$C78,价格信息!$A:$A&amp;价格信息!$B:$B&amp;价格信息!$C:$C,价格信息!$D:$D)</f>
        <v/>
      </c>
      <c r="K78" s="27" t="str">
        <f>IF($C78="","",固定信息!$B$1)</f>
        <v/>
      </c>
      <c r="L78" s="27" t="str" cm="1">
        <f t="array" ref="L78">IF(_xlfn.XLOOKUP($A78&amp;$B78&amp;$C78,盘货信息!$A:$A&amp;盘货信息!$B:$B&amp;盘货信息!$C:$C,盘货信息!$T:$T)="","","【优惠券】领"&amp;_xlfn.XLOOKUP($A78&amp;$B78&amp;$C78,盘货信息!$A:$A&amp;盘货信息!$B:$B&amp;盘货信息!$C:$C,盘货信息!$T:$T)&amp;"元优惠卷下单更优惠，领券链接："&amp;_xlfn.XLOOKUP($A78&amp;$B78&amp;$C78,盘货信息!$A:$A&amp;盘货信息!$B:$B&amp;盘货信息!$C:$C,盘货信息!$U:$U))</f>
        <v/>
      </c>
      <c r="M78" s="27" t="str" cm="1">
        <f t="array" ref="M78">IF(_xlfn.XLOOKUP($A78&amp;$B78&amp;$C78,盘货信息!$A:$A&amp;盘货信息!$B:$B&amp;盘货信息!$C:$C,盘货信息!$P:$P)="","","【限时】"&amp;_xlfn.XLOOKUP($A78&amp;$B78&amp;$C78,盘货信息!$A:$A&amp;盘货信息!$B:$B&amp;盘货信息!$C:$C,盘货信息!$P:$P))</f>
        <v/>
      </c>
      <c r="N78" s="27" t="str" cm="1">
        <f t="array" ref="N78">IF(_xlfn.XLOOKUP($A78&amp;$B78&amp;$C78,盘货信息!$A:$A&amp;盘货信息!$B:$B&amp;盘货信息!$C:$C,盘货信息!$V:$V)="","","【"&amp;盘货信息!$V$1&amp;"】"&amp;_xlfn.XLOOKUP($A78&amp;$B78&amp;$C78,盘货信息!$A:$A&amp;盘货信息!$B:$B&amp;盘货信息!$C:$C,盘货信息!$V:$V))</f>
        <v/>
      </c>
      <c r="O78" s="27" t="str" cm="1">
        <f t="array" ref="O78">IF(_xlfn.XLOOKUP($A78&amp;$B78&amp;$C78,盘货信息!$A:$A&amp;盘货信息!$B:$B&amp;盘货信息!$C:$C,盘货信息!$W:$W)="","","【"&amp;盘货信息!$W$1&amp;"】"&amp;_xlfn.XLOOKUP($A78&amp;$B78&amp;$C78,盘货信息!$A:$A&amp;盘货信息!$B:$B&amp;盘货信息!$C:$C,盘货信息!$W:$W))</f>
        <v/>
      </c>
      <c r="P78" s="27" t="str" cm="1">
        <f t="array" ref="P78">IF(_xlfn.XLOOKUP($A78&amp;$B78&amp;$C78,盘货信息!$A:$A&amp;盘货信息!$B:$B&amp;盘货信息!$C:$C,盘货信息!$S:$S)&lt;1,"","【"&amp;盘货信息!$S$1&amp;"】"&amp;"后返"&amp;_xlfn.XLOOKUP($A78&amp;$B78&amp;$C78,盘货信息!$A:$A&amp;盘货信息!$B:$B&amp;盘货信息!$C:$C,盘货信息!$S:$S)&amp;"元")</f>
        <v/>
      </c>
      <c r="Q78" s="27" t="str" cm="1">
        <f t="array" ref="Q78">IF(_xlfn.XLOOKUP($A78&amp;$B78&amp;$C78,盘货信息!$A:$A&amp;盘货信息!$B:$B&amp;盘货信息!$C:$C,盘货信息!$X:$X)="","","【"&amp;盘货信息!$X$1&amp;"】"&amp;_xlfn.XLOOKUP($A78&amp;$B78&amp;$C78,盘货信息!$A:$A&amp;盘货信息!$B:$B&amp;盘货信息!$C:$C,盘货信息!$X:$X))</f>
        <v/>
      </c>
      <c r="R78" s="27" t="str" cm="1">
        <f t="array" ref="R78">IF(_xlfn.XLOOKUP($A78&amp;$B78&amp;$C78,盘货信息!$A:$A&amp;盘货信息!$B:$B&amp;盘货信息!$C:$C,盘货信息!$Z:$Z)="","","【"&amp;盘货信息!$Z$1&amp;"】"&amp;_xlfn.XLOOKUP($A78&amp;$B78&amp;$C78,盘货信息!$A:$A&amp;盘货信息!$B:$B&amp;盘货信息!$C:$C,盘货信息!$Z:$Z))</f>
        <v/>
      </c>
      <c r="S78" s="27" t="str" cm="1">
        <f t="array" ref="S78">IF(_xlfn.XLOOKUP($A78&amp;$B78&amp;$C78,盘货信息!$A:$A&amp;盘货信息!$B:$B&amp;盘货信息!$C:$C,盘货信息!$Q:$Q)="","","【种草】站外带指定话题种草后返"&amp;_xlfn.XLOOKUP($A78&amp;$B78&amp;$C78,盘货信息!$A:$A&amp;盘货信息!$B:$B&amp;盘货信息!$C:$C,盘货信息!$Q:$Q)&amp;"元红包（每个淘宝账号仅限对应一个站外种草账号，同一个种草账号不可对应多个淘宝账号）")</f>
        <v/>
      </c>
      <c r="T78" s="27" t="str" cm="1">
        <f t="array" ref="T78">IF(_xlfn.XLOOKUP($A78&amp;$B78&amp;$C78,盘货信息!$A:$A&amp;盘货信息!$B:$B&amp;盘货信息!$C:$C,盘货信息!$R:$R)&lt;1,"","【以旧换新】"&amp;"享补贴"&amp;ROUND(_xlfn.XLOOKUP($A78&amp;$B78&amp;$C78,盘货信息!$A:$A&amp;盘货信息!$B:$B&amp;盘货信息!$C:$C,盘货信息!$R:$R),0)&amp;"元（可无旧机换新）")</f>
        <v/>
      </c>
      <c r="U78" s="27" t="str">
        <f>IF(AND($N78="",$O78="",$P78="",$Q78="",$R78="",$S78="",$T78=""),"",固定信息!$B$1)</f>
        <v/>
      </c>
      <c r="V78" s="27" t="str" cm="1">
        <f t="array" ref="V78">IF(_xlfn.XLOOKUP($A78&amp;$B78&amp;$C78,盘货信息!$A:$A&amp;盘货信息!$B:$B&amp;盘货信息!$C:$C,盘货信息!$Y:$Y)="","","【卡萨帝送赠】活动指定时间"&amp;_xlfn.TEXTBEFORE(_xlfn.TEXTAFTER(_xlfn.XLOOKUP($A78&amp;$B78&amp;$C78,盘货信息!$A:$A&amp;盘货信息!$B:$B&amp;盘货信息!$C:$C,盘货信息!$Y:$Y),"点"),"（"))</f>
        <v/>
      </c>
      <c r="W78" s="27" t="str" cm="1">
        <f t="array" ref="W78">IF(COUNTIF(_xlfn.XLOOKUP($A78&amp;$B78&amp;$C78,盘货信息!$A:$A&amp;盘货信息!$B:$B&amp;盘货信息!$C:$C,盘货信息!$O:$O),"*是*"),"【折扣】指定型号满2类享96折，满3类享94折","")</f>
        <v/>
      </c>
      <c r="X78" s="27" t="str" cm="1">
        <f t="array" ref="X78">IF(固定信息!$B$7="","",IF(_xlfn.XLOOKUP($A78&amp;$B78&amp;$C78,盘货信息!$A:$A&amp;盘货信息!$B:$B&amp;盘货信息!$C:$C,盘货信息!$N:$N)="是","【瓜分】"&amp;固定信息!$B$7,""))</f>
        <v/>
      </c>
      <c r="Y78" s="27" t="str">
        <f>IF(AND($V78="",$W78="",$X78=""),"",固定信息!$B$1)</f>
        <v/>
      </c>
      <c r="Z78" s="27" t="str" cm="1">
        <f t="array" ref="Z78">IF($C78="","",_xlfn.XLOOKUP($A78&amp;$B78&amp;$C78,服务!$A:$A&amp;服务!$B:$B&amp;服务!$C:$C,服务!$D:$D))</f>
        <v/>
      </c>
    </row>
    <row r="79" customHeight="1" spans="1:26">
      <c r="A79" s="28" t="str">
        <f>IF(盘货信息!A79="","",盘货信息!A79)</f>
        <v/>
      </c>
      <c r="B79" s="28" t="str">
        <f>IF(盘货信息!B79="","",盘货信息!B79)</f>
        <v/>
      </c>
      <c r="C79" s="27" t="str">
        <f>IF(盘货信息!C79="","",盘货信息!C79)</f>
        <v/>
      </c>
      <c r="D79" s="27" t="str">
        <f ca="1" t="shared" si="1"/>
        <v/>
      </c>
      <c r="E79" s="27" t="str">
        <f>IF(C79="","",固定信息!$B$2)</f>
        <v/>
      </c>
      <c r="F79" s="27" t="str">
        <f>IF(C79="","","【"&amp;C79&amp;"】"&amp;固定信息!$B$4)</f>
        <v/>
      </c>
      <c r="G79" s="27" t="str">
        <f>IF(C79="","","【"&amp;"活动时间："&amp;固定信息!$B$3&amp;"】")</f>
        <v/>
      </c>
      <c r="H79" s="27" t="str">
        <f>IF($C79="","",固定信息!$B$1)</f>
        <v/>
      </c>
      <c r="I79" s="27" t="str">
        <f>IF(OR(C79="",固定信息!$B$5=""),"","【1元预约锁好礼】"&amp;固定信息!$B$5)</f>
        <v/>
      </c>
      <c r="J79" s="27" t="str" cm="1">
        <f t="array" ref="J79">_xlfn.XLOOKUP($A79&amp;$B79&amp;$C79,价格信息!$A:$A&amp;价格信息!$B:$B&amp;价格信息!$C:$C,价格信息!$D:$D)</f>
        <v/>
      </c>
      <c r="K79" s="27" t="str">
        <f>IF($C79="","",固定信息!$B$1)</f>
        <v/>
      </c>
      <c r="L79" s="27" t="str" cm="1">
        <f t="array" ref="L79">IF(_xlfn.XLOOKUP($A79&amp;$B79&amp;$C79,盘货信息!$A:$A&amp;盘货信息!$B:$B&amp;盘货信息!$C:$C,盘货信息!$T:$T)="","","【优惠券】领"&amp;_xlfn.XLOOKUP($A79&amp;$B79&amp;$C79,盘货信息!$A:$A&amp;盘货信息!$B:$B&amp;盘货信息!$C:$C,盘货信息!$T:$T)&amp;"元优惠卷下单更优惠，领券链接："&amp;_xlfn.XLOOKUP($A79&amp;$B79&amp;$C79,盘货信息!$A:$A&amp;盘货信息!$B:$B&amp;盘货信息!$C:$C,盘货信息!$U:$U))</f>
        <v/>
      </c>
      <c r="M79" s="27" t="str" cm="1">
        <f t="array" ref="M79">IF(_xlfn.XLOOKUP($A79&amp;$B79&amp;$C79,盘货信息!$A:$A&amp;盘货信息!$B:$B&amp;盘货信息!$C:$C,盘货信息!$P:$P)="","","【限时】"&amp;_xlfn.XLOOKUP($A79&amp;$B79&amp;$C79,盘货信息!$A:$A&amp;盘货信息!$B:$B&amp;盘货信息!$C:$C,盘货信息!$P:$P))</f>
        <v/>
      </c>
      <c r="N79" s="27" t="str" cm="1">
        <f t="array" ref="N79">IF(_xlfn.XLOOKUP($A79&amp;$B79&amp;$C79,盘货信息!$A:$A&amp;盘货信息!$B:$B&amp;盘货信息!$C:$C,盘货信息!$V:$V)="","","【"&amp;盘货信息!$V$1&amp;"】"&amp;_xlfn.XLOOKUP($A79&amp;$B79&amp;$C79,盘货信息!$A:$A&amp;盘货信息!$B:$B&amp;盘货信息!$C:$C,盘货信息!$V:$V))</f>
        <v/>
      </c>
      <c r="O79" s="27" t="str" cm="1">
        <f t="array" ref="O79">IF(_xlfn.XLOOKUP($A79&amp;$B79&amp;$C79,盘货信息!$A:$A&amp;盘货信息!$B:$B&amp;盘货信息!$C:$C,盘货信息!$W:$W)="","","【"&amp;盘货信息!$W$1&amp;"】"&amp;_xlfn.XLOOKUP($A79&amp;$B79&amp;$C79,盘货信息!$A:$A&amp;盘货信息!$B:$B&amp;盘货信息!$C:$C,盘货信息!$W:$W))</f>
        <v/>
      </c>
      <c r="P79" s="27" t="str" cm="1">
        <f t="array" ref="P79">IF(_xlfn.XLOOKUP($A79&amp;$B79&amp;$C79,盘货信息!$A:$A&amp;盘货信息!$B:$B&amp;盘货信息!$C:$C,盘货信息!$S:$S)&lt;1,"","【"&amp;盘货信息!$S$1&amp;"】"&amp;"后返"&amp;_xlfn.XLOOKUP($A79&amp;$B79&amp;$C79,盘货信息!$A:$A&amp;盘货信息!$B:$B&amp;盘货信息!$C:$C,盘货信息!$S:$S)&amp;"元")</f>
        <v/>
      </c>
      <c r="Q79" s="27" t="str" cm="1">
        <f t="array" ref="Q79">IF(_xlfn.XLOOKUP($A79&amp;$B79&amp;$C79,盘货信息!$A:$A&amp;盘货信息!$B:$B&amp;盘货信息!$C:$C,盘货信息!$X:$X)="","","【"&amp;盘货信息!$X$1&amp;"】"&amp;_xlfn.XLOOKUP($A79&amp;$B79&amp;$C79,盘货信息!$A:$A&amp;盘货信息!$B:$B&amp;盘货信息!$C:$C,盘货信息!$X:$X))</f>
        <v/>
      </c>
      <c r="R79" s="27" t="str" cm="1">
        <f t="array" ref="R79">IF(_xlfn.XLOOKUP($A79&amp;$B79&amp;$C79,盘货信息!$A:$A&amp;盘货信息!$B:$B&amp;盘货信息!$C:$C,盘货信息!$Z:$Z)="","","【"&amp;盘货信息!$Z$1&amp;"】"&amp;_xlfn.XLOOKUP($A79&amp;$B79&amp;$C79,盘货信息!$A:$A&amp;盘货信息!$B:$B&amp;盘货信息!$C:$C,盘货信息!$Z:$Z))</f>
        <v/>
      </c>
      <c r="S79" s="27" t="str" cm="1">
        <f t="array" ref="S79">IF(_xlfn.XLOOKUP($A79&amp;$B79&amp;$C79,盘货信息!$A:$A&amp;盘货信息!$B:$B&amp;盘货信息!$C:$C,盘货信息!$Q:$Q)="","","【种草】站外带指定话题种草后返"&amp;_xlfn.XLOOKUP($A79&amp;$B79&amp;$C79,盘货信息!$A:$A&amp;盘货信息!$B:$B&amp;盘货信息!$C:$C,盘货信息!$Q:$Q)&amp;"元红包（每个淘宝账号仅限对应一个站外种草账号，同一个种草账号不可对应多个淘宝账号）")</f>
        <v/>
      </c>
      <c r="T79" s="27" t="str" cm="1">
        <f t="array" ref="T79">IF(_xlfn.XLOOKUP($A79&amp;$B79&amp;$C79,盘货信息!$A:$A&amp;盘货信息!$B:$B&amp;盘货信息!$C:$C,盘货信息!$R:$R)&lt;1,"","【以旧换新】"&amp;"享补贴"&amp;ROUND(_xlfn.XLOOKUP($A79&amp;$B79&amp;$C79,盘货信息!$A:$A&amp;盘货信息!$B:$B&amp;盘货信息!$C:$C,盘货信息!$R:$R),0)&amp;"元（可无旧机换新）")</f>
        <v/>
      </c>
      <c r="U79" s="27" t="str">
        <f>IF(AND($N79="",$O79="",$P79="",$Q79="",$R79="",$S79="",$T79=""),"",固定信息!$B$1)</f>
        <v/>
      </c>
      <c r="V79" s="27" t="str" cm="1">
        <f t="array" ref="V79">IF(_xlfn.XLOOKUP($A79&amp;$B79&amp;$C79,盘货信息!$A:$A&amp;盘货信息!$B:$B&amp;盘货信息!$C:$C,盘货信息!$Y:$Y)="","","【卡萨帝送赠】活动指定时间"&amp;_xlfn.TEXTBEFORE(_xlfn.TEXTAFTER(_xlfn.XLOOKUP($A79&amp;$B79&amp;$C79,盘货信息!$A:$A&amp;盘货信息!$B:$B&amp;盘货信息!$C:$C,盘货信息!$Y:$Y),"点"),"（"))</f>
        <v/>
      </c>
      <c r="W79" s="27" t="str" cm="1">
        <f t="array" ref="W79">IF(COUNTIF(_xlfn.XLOOKUP($A79&amp;$B79&amp;$C79,盘货信息!$A:$A&amp;盘货信息!$B:$B&amp;盘货信息!$C:$C,盘货信息!$O:$O),"*是*"),"【折扣】指定型号满2类享96折，满3类享94折","")</f>
        <v/>
      </c>
      <c r="X79" s="27" t="str" cm="1">
        <f t="array" ref="X79">IF(固定信息!$B$7="","",IF(_xlfn.XLOOKUP($A79&amp;$B79&amp;$C79,盘货信息!$A:$A&amp;盘货信息!$B:$B&amp;盘货信息!$C:$C,盘货信息!$N:$N)="是","【瓜分】"&amp;固定信息!$B$7,""))</f>
        <v/>
      </c>
      <c r="Y79" s="27" t="str">
        <f>IF(AND($V79="",$W79="",$X79=""),"",固定信息!$B$1)</f>
        <v/>
      </c>
      <c r="Z79" s="27" t="str" cm="1">
        <f t="array" ref="Z79">IF($C79="","",_xlfn.XLOOKUP($A79&amp;$B79&amp;$C79,服务!$A:$A&amp;服务!$B:$B&amp;服务!$C:$C,服务!$D:$D))</f>
        <v/>
      </c>
    </row>
    <row r="80" customHeight="1" spans="1:26">
      <c r="A80" s="26" t="str">
        <f>IF(盘货信息!A80="","",盘货信息!A80)</f>
        <v/>
      </c>
      <c r="B80" s="26" t="str">
        <f>IF(盘货信息!B80="","",盘货信息!B80)</f>
        <v/>
      </c>
      <c r="C80" s="27" t="str">
        <f>IF(盘货信息!C80="","",盘货信息!C80)</f>
        <v/>
      </c>
      <c r="D80" s="27" t="str">
        <f ca="1" t="shared" si="1"/>
        <v/>
      </c>
      <c r="E80" s="27" t="str">
        <f>IF(C80="","",固定信息!$B$2)</f>
        <v/>
      </c>
      <c r="F80" s="27" t="str">
        <f>IF(C80="","","【"&amp;C80&amp;"】"&amp;固定信息!$B$4)</f>
        <v/>
      </c>
      <c r="G80" s="27" t="str">
        <f>IF(C80="","","【"&amp;"活动时间："&amp;固定信息!$B$3&amp;"】")</f>
        <v/>
      </c>
      <c r="H80" s="27" t="str">
        <f>IF($C80="","",固定信息!$B$1)</f>
        <v/>
      </c>
      <c r="I80" s="27" t="str">
        <f>IF(OR(C80="",固定信息!$B$5=""),"","【1元预约锁好礼】"&amp;固定信息!$B$5)</f>
        <v/>
      </c>
      <c r="J80" s="27" t="str" cm="1">
        <f t="array" ref="J80">_xlfn.XLOOKUP($A80&amp;$B80&amp;$C80,价格信息!$A:$A&amp;价格信息!$B:$B&amp;价格信息!$C:$C,价格信息!$D:$D)</f>
        <v/>
      </c>
      <c r="K80" s="27" t="str">
        <f>IF($C80="","",固定信息!$B$1)</f>
        <v/>
      </c>
      <c r="L80" s="27" t="str" cm="1">
        <f t="array" ref="L80">IF(_xlfn.XLOOKUP($A80&amp;$B80&amp;$C80,盘货信息!$A:$A&amp;盘货信息!$B:$B&amp;盘货信息!$C:$C,盘货信息!$T:$T)="","","【优惠券】领"&amp;_xlfn.XLOOKUP($A80&amp;$B80&amp;$C80,盘货信息!$A:$A&amp;盘货信息!$B:$B&amp;盘货信息!$C:$C,盘货信息!$T:$T)&amp;"元优惠卷下单更优惠，领券链接："&amp;_xlfn.XLOOKUP($A80&amp;$B80&amp;$C80,盘货信息!$A:$A&amp;盘货信息!$B:$B&amp;盘货信息!$C:$C,盘货信息!$U:$U))</f>
        <v/>
      </c>
      <c r="M80" s="27" t="str" cm="1">
        <f t="array" ref="M80">IF(_xlfn.XLOOKUP($A80&amp;$B80&amp;$C80,盘货信息!$A:$A&amp;盘货信息!$B:$B&amp;盘货信息!$C:$C,盘货信息!$P:$P)="","","【限时】"&amp;_xlfn.XLOOKUP($A80&amp;$B80&amp;$C80,盘货信息!$A:$A&amp;盘货信息!$B:$B&amp;盘货信息!$C:$C,盘货信息!$P:$P))</f>
        <v/>
      </c>
      <c r="N80" s="27" t="str" cm="1">
        <f t="array" ref="N80">IF(_xlfn.XLOOKUP($A80&amp;$B80&amp;$C80,盘货信息!$A:$A&amp;盘货信息!$B:$B&amp;盘货信息!$C:$C,盘货信息!$V:$V)="","","【"&amp;盘货信息!$V$1&amp;"】"&amp;_xlfn.XLOOKUP($A80&amp;$B80&amp;$C80,盘货信息!$A:$A&amp;盘货信息!$B:$B&amp;盘货信息!$C:$C,盘货信息!$V:$V))</f>
        <v/>
      </c>
      <c r="O80" s="27" t="str" cm="1">
        <f t="array" ref="O80">IF(_xlfn.XLOOKUP($A80&amp;$B80&amp;$C80,盘货信息!$A:$A&amp;盘货信息!$B:$B&amp;盘货信息!$C:$C,盘货信息!$W:$W)="","","【"&amp;盘货信息!$W$1&amp;"】"&amp;_xlfn.XLOOKUP($A80&amp;$B80&amp;$C80,盘货信息!$A:$A&amp;盘货信息!$B:$B&amp;盘货信息!$C:$C,盘货信息!$W:$W))</f>
        <v/>
      </c>
      <c r="P80" s="27" t="str" cm="1">
        <f t="array" ref="P80">IF(_xlfn.XLOOKUP($A80&amp;$B80&amp;$C80,盘货信息!$A:$A&amp;盘货信息!$B:$B&amp;盘货信息!$C:$C,盘货信息!$S:$S)&lt;1,"","【"&amp;盘货信息!$S$1&amp;"】"&amp;"后返"&amp;_xlfn.XLOOKUP($A80&amp;$B80&amp;$C80,盘货信息!$A:$A&amp;盘货信息!$B:$B&amp;盘货信息!$C:$C,盘货信息!$S:$S)&amp;"元")</f>
        <v/>
      </c>
      <c r="Q80" s="27" t="str" cm="1">
        <f t="array" ref="Q80">IF(_xlfn.XLOOKUP($A80&amp;$B80&amp;$C80,盘货信息!$A:$A&amp;盘货信息!$B:$B&amp;盘货信息!$C:$C,盘货信息!$X:$X)="","","【"&amp;盘货信息!$X$1&amp;"】"&amp;_xlfn.XLOOKUP($A80&amp;$B80&amp;$C80,盘货信息!$A:$A&amp;盘货信息!$B:$B&amp;盘货信息!$C:$C,盘货信息!$X:$X))</f>
        <v/>
      </c>
      <c r="R80" s="27" t="str" cm="1">
        <f t="array" ref="R80">IF(_xlfn.XLOOKUP($A80&amp;$B80&amp;$C80,盘货信息!$A:$A&amp;盘货信息!$B:$B&amp;盘货信息!$C:$C,盘货信息!$Z:$Z)="","","【"&amp;盘货信息!$Z$1&amp;"】"&amp;_xlfn.XLOOKUP($A80&amp;$B80&amp;$C80,盘货信息!$A:$A&amp;盘货信息!$B:$B&amp;盘货信息!$C:$C,盘货信息!$Z:$Z))</f>
        <v/>
      </c>
      <c r="S80" s="27" t="str" cm="1">
        <f t="array" ref="S80">IF(_xlfn.XLOOKUP($A80&amp;$B80&amp;$C80,盘货信息!$A:$A&amp;盘货信息!$B:$B&amp;盘货信息!$C:$C,盘货信息!$Q:$Q)="","","【种草】站外带指定话题种草后返"&amp;_xlfn.XLOOKUP($A80&amp;$B80&amp;$C80,盘货信息!$A:$A&amp;盘货信息!$B:$B&amp;盘货信息!$C:$C,盘货信息!$Q:$Q)&amp;"元红包（每个淘宝账号仅限对应一个站外种草账号，同一个种草账号不可对应多个淘宝账号）")</f>
        <v/>
      </c>
      <c r="T80" s="27" t="str" cm="1">
        <f t="array" ref="T80">IF(_xlfn.XLOOKUP($A80&amp;$B80&amp;$C80,盘货信息!$A:$A&amp;盘货信息!$B:$B&amp;盘货信息!$C:$C,盘货信息!$R:$R)&lt;1,"","【以旧换新】"&amp;"享补贴"&amp;ROUND(_xlfn.XLOOKUP($A80&amp;$B80&amp;$C80,盘货信息!$A:$A&amp;盘货信息!$B:$B&amp;盘货信息!$C:$C,盘货信息!$R:$R),0)&amp;"元（可无旧机换新）")</f>
        <v/>
      </c>
      <c r="U80" s="27" t="str">
        <f>IF(AND($N80="",$O80="",$P80="",$Q80="",$R80="",$S80="",$T80=""),"",固定信息!$B$1)</f>
        <v/>
      </c>
      <c r="V80" s="27" t="str" cm="1">
        <f t="array" ref="V80">IF(_xlfn.XLOOKUP($A80&amp;$B80&amp;$C80,盘货信息!$A:$A&amp;盘货信息!$B:$B&amp;盘货信息!$C:$C,盘货信息!$Y:$Y)="","","【卡萨帝送赠】活动指定时间"&amp;_xlfn.TEXTBEFORE(_xlfn.TEXTAFTER(_xlfn.XLOOKUP($A80&amp;$B80&amp;$C80,盘货信息!$A:$A&amp;盘货信息!$B:$B&amp;盘货信息!$C:$C,盘货信息!$Y:$Y),"点"),"（"))</f>
        <v/>
      </c>
      <c r="W80" s="27" t="str" cm="1">
        <f t="array" ref="W80">IF(COUNTIF(_xlfn.XLOOKUP($A80&amp;$B80&amp;$C80,盘货信息!$A:$A&amp;盘货信息!$B:$B&amp;盘货信息!$C:$C,盘货信息!$O:$O),"*是*"),"【折扣】指定型号满2类享96折，满3类享94折","")</f>
        <v/>
      </c>
      <c r="X80" s="27" t="str" cm="1">
        <f t="array" ref="X80">IF(固定信息!$B$7="","",IF(_xlfn.XLOOKUP($A80&amp;$B80&amp;$C80,盘货信息!$A:$A&amp;盘货信息!$B:$B&amp;盘货信息!$C:$C,盘货信息!$N:$N)="是","【瓜分】"&amp;固定信息!$B$7,""))</f>
        <v/>
      </c>
      <c r="Y80" s="27" t="str">
        <f>IF(AND($V80="",$W80="",$X80=""),"",固定信息!$B$1)</f>
        <v/>
      </c>
      <c r="Z80" s="27" t="str" cm="1">
        <f t="array" ref="Z80">IF($C80="","",_xlfn.XLOOKUP($A80&amp;$B80&amp;$C80,服务!$A:$A&amp;服务!$B:$B&amp;服务!$C:$C,服务!$D:$D))</f>
        <v/>
      </c>
    </row>
    <row r="81" customHeight="1" spans="1:26">
      <c r="A81" s="26" t="str">
        <f>IF(盘货信息!A81="","",盘货信息!A81)</f>
        <v/>
      </c>
      <c r="B81" s="26" t="str">
        <f>IF(盘货信息!B81="","",盘货信息!B81)</f>
        <v/>
      </c>
      <c r="C81" s="27" t="str">
        <f>IF(盘货信息!C81="","",盘货信息!C81)</f>
        <v/>
      </c>
      <c r="D81" s="27" t="str">
        <f ca="1" t="shared" si="1"/>
        <v/>
      </c>
      <c r="E81" s="27" t="str">
        <f>IF(C81="","",固定信息!$B$2)</f>
        <v/>
      </c>
      <c r="F81" s="27" t="str">
        <f>IF(C81="","","【"&amp;C81&amp;"】"&amp;固定信息!$B$4)</f>
        <v/>
      </c>
      <c r="G81" s="27" t="str">
        <f>IF(C81="","","【"&amp;"活动时间："&amp;固定信息!$B$3&amp;"】")</f>
        <v/>
      </c>
      <c r="H81" s="27" t="str">
        <f>IF($C81="","",固定信息!$B$1)</f>
        <v/>
      </c>
      <c r="I81" s="27" t="str">
        <f>IF(OR(C81="",固定信息!$B$5=""),"","【1元预约锁好礼】"&amp;固定信息!$B$5)</f>
        <v/>
      </c>
      <c r="J81" s="27" t="str" cm="1">
        <f t="array" ref="J81">_xlfn.XLOOKUP($A81&amp;$B81&amp;$C81,价格信息!$A:$A&amp;价格信息!$B:$B&amp;价格信息!$C:$C,价格信息!$D:$D)</f>
        <v/>
      </c>
      <c r="K81" s="27" t="str">
        <f>IF($C81="","",固定信息!$B$1)</f>
        <v/>
      </c>
      <c r="L81" s="27" t="str" cm="1">
        <f t="array" ref="L81">IF(_xlfn.XLOOKUP($A81&amp;$B81&amp;$C81,盘货信息!$A:$A&amp;盘货信息!$B:$B&amp;盘货信息!$C:$C,盘货信息!$T:$T)="","","【优惠券】领"&amp;_xlfn.XLOOKUP($A81&amp;$B81&amp;$C81,盘货信息!$A:$A&amp;盘货信息!$B:$B&amp;盘货信息!$C:$C,盘货信息!$T:$T)&amp;"元优惠卷下单更优惠，领券链接："&amp;_xlfn.XLOOKUP($A81&amp;$B81&amp;$C81,盘货信息!$A:$A&amp;盘货信息!$B:$B&amp;盘货信息!$C:$C,盘货信息!$U:$U))</f>
        <v/>
      </c>
      <c r="M81" s="27" t="str" cm="1">
        <f t="array" ref="M81">IF(_xlfn.XLOOKUP($A81&amp;$B81&amp;$C81,盘货信息!$A:$A&amp;盘货信息!$B:$B&amp;盘货信息!$C:$C,盘货信息!$P:$P)="","","【限时】"&amp;_xlfn.XLOOKUP($A81&amp;$B81&amp;$C81,盘货信息!$A:$A&amp;盘货信息!$B:$B&amp;盘货信息!$C:$C,盘货信息!$P:$P))</f>
        <v/>
      </c>
      <c r="N81" s="27" t="str" cm="1">
        <f t="array" ref="N81">IF(_xlfn.XLOOKUP($A81&amp;$B81&amp;$C81,盘货信息!$A:$A&amp;盘货信息!$B:$B&amp;盘货信息!$C:$C,盘货信息!$V:$V)="","","【"&amp;盘货信息!$V$1&amp;"】"&amp;_xlfn.XLOOKUP($A81&amp;$B81&amp;$C81,盘货信息!$A:$A&amp;盘货信息!$B:$B&amp;盘货信息!$C:$C,盘货信息!$V:$V))</f>
        <v/>
      </c>
      <c r="O81" s="27" t="str" cm="1">
        <f t="array" ref="O81">IF(_xlfn.XLOOKUP($A81&amp;$B81&amp;$C81,盘货信息!$A:$A&amp;盘货信息!$B:$B&amp;盘货信息!$C:$C,盘货信息!$W:$W)="","","【"&amp;盘货信息!$W$1&amp;"】"&amp;_xlfn.XLOOKUP($A81&amp;$B81&amp;$C81,盘货信息!$A:$A&amp;盘货信息!$B:$B&amp;盘货信息!$C:$C,盘货信息!$W:$W))</f>
        <v/>
      </c>
      <c r="P81" s="27" t="str" cm="1">
        <f t="array" ref="P81">IF(_xlfn.XLOOKUP($A81&amp;$B81&amp;$C81,盘货信息!$A:$A&amp;盘货信息!$B:$B&amp;盘货信息!$C:$C,盘货信息!$S:$S)&lt;1,"","【"&amp;盘货信息!$S$1&amp;"】"&amp;"后返"&amp;_xlfn.XLOOKUP($A81&amp;$B81&amp;$C81,盘货信息!$A:$A&amp;盘货信息!$B:$B&amp;盘货信息!$C:$C,盘货信息!$S:$S)&amp;"元")</f>
        <v/>
      </c>
      <c r="Q81" s="27" t="str" cm="1">
        <f t="array" ref="Q81">IF(_xlfn.XLOOKUP($A81&amp;$B81&amp;$C81,盘货信息!$A:$A&amp;盘货信息!$B:$B&amp;盘货信息!$C:$C,盘货信息!$X:$X)="","","【"&amp;盘货信息!$X$1&amp;"】"&amp;_xlfn.XLOOKUP($A81&amp;$B81&amp;$C81,盘货信息!$A:$A&amp;盘货信息!$B:$B&amp;盘货信息!$C:$C,盘货信息!$X:$X))</f>
        <v/>
      </c>
      <c r="R81" s="27" t="str" cm="1">
        <f t="array" ref="R81">IF(_xlfn.XLOOKUP($A81&amp;$B81&amp;$C81,盘货信息!$A:$A&amp;盘货信息!$B:$B&amp;盘货信息!$C:$C,盘货信息!$Z:$Z)="","","【"&amp;盘货信息!$Z$1&amp;"】"&amp;_xlfn.XLOOKUP($A81&amp;$B81&amp;$C81,盘货信息!$A:$A&amp;盘货信息!$B:$B&amp;盘货信息!$C:$C,盘货信息!$Z:$Z))</f>
        <v/>
      </c>
      <c r="S81" s="27" t="str" cm="1">
        <f t="array" ref="S81">IF(_xlfn.XLOOKUP($A81&amp;$B81&amp;$C81,盘货信息!$A:$A&amp;盘货信息!$B:$B&amp;盘货信息!$C:$C,盘货信息!$Q:$Q)="","","【种草】站外带指定话题种草后返"&amp;_xlfn.XLOOKUP($A81&amp;$B81&amp;$C81,盘货信息!$A:$A&amp;盘货信息!$B:$B&amp;盘货信息!$C:$C,盘货信息!$Q:$Q)&amp;"元红包（每个淘宝账号仅限对应一个站外种草账号，同一个种草账号不可对应多个淘宝账号）")</f>
        <v/>
      </c>
      <c r="T81" s="27" t="str" cm="1">
        <f t="array" ref="T81">IF(_xlfn.XLOOKUP($A81&amp;$B81&amp;$C81,盘货信息!$A:$A&amp;盘货信息!$B:$B&amp;盘货信息!$C:$C,盘货信息!$R:$R)&lt;1,"","【以旧换新】"&amp;"享补贴"&amp;ROUND(_xlfn.XLOOKUP($A81&amp;$B81&amp;$C81,盘货信息!$A:$A&amp;盘货信息!$B:$B&amp;盘货信息!$C:$C,盘货信息!$R:$R),0)&amp;"元（可无旧机换新）")</f>
        <v/>
      </c>
      <c r="U81" s="27" t="str">
        <f>IF(AND($N81="",$O81="",$P81="",$Q81="",$R81="",$S81="",$T81=""),"",固定信息!$B$1)</f>
        <v/>
      </c>
      <c r="V81" s="27" t="str" cm="1">
        <f t="array" ref="V81">IF(_xlfn.XLOOKUP($A81&amp;$B81&amp;$C81,盘货信息!$A:$A&amp;盘货信息!$B:$B&amp;盘货信息!$C:$C,盘货信息!$Y:$Y)="","","【卡萨帝送赠】活动指定时间"&amp;_xlfn.TEXTBEFORE(_xlfn.TEXTAFTER(_xlfn.XLOOKUP($A81&amp;$B81&amp;$C81,盘货信息!$A:$A&amp;盘货信息!$B:$B&amp;盘货信息!$C:$C,盘货信息!$Y:$Y),"点"),"（"))</f>
        <v/>
      </c>
      <c r="W81" s="27" t="str" cm="1">
        <f t="array" ref="W81">IF(COUNTIF(_xlfn.XLOOKUP($A81&amp;$B81&amp;$C81,盘货信息!$A:$A&amp;盘货信息!$B:$B&amp;盘货信息!$C:$C,盘货信息!$O:$O),"*是*"),"【折扣】指定型号满2类享96折，满3类享94折","")</f>
        <v/>
      </c>
      <c r="X81" s="27" t="str" cm="1">
        <f t="array" ref="X81">IF(固定信息!$B$7="","",IF(_xlfn.XLOOKUP($A81&amp;$B81&amp;$C81,盘货信息!$A:$A&amp;盘货信息!$B:$B&amp;盘货信息!$C:$C,盘货信息!$N:$N)="是","【瓜分】"&amp;固定信息!$B$7,""))</f>
        <v/>
      </c>
      <c r="Y81" s="27" t="str">
        <f>IF(AND($V81="",$W81="",$X81=""),"",固定信息!$B$1)</f>
        <v/>
      </c>
      <c r="Z81" s="27" t="str" cm="1">
        <f t="array" ref="Z81">IF($C81="","",_xlfn.XLOOKUP($A81&amp;$B81&amp;$C81,服务!$A:$A&amp;服务!$B:$B&amp;服务!$C:$C,服务!$D:$D))</f>
        <v/>
      </c>
    </row>
    <row r="82" customHeight="1" spans="1:26">
      <c r="A82" s="26" t="str">
        <f>IF(盘货信息!A82="","",盘货信息!A82)</f>
        <v/>
      </c>
      <c r="B82" s="26" t="str">
        <f>IF(盘货信息!B82="","",盘货信息!B82)</f>
        <v/>
      </c>
      <c r="C82" s="27" t="str">
        <f>IF(盘货信息!C82="","",盘货信息!C82)</f>
        <v/>
      </c>
      <c r="D82" s="27" t="str">
        <f ca="1" t="shared" si="1"/>
        <v/>
      </c>
      <c r="E82" s="27" t="str">
        <f>IF(C82="","",固定信息!$B$2)</f>
        <v/>
      </c>
      <c r="F82" s="27" t="str">
        <f>IF(C82="","","【"&amp;C82&amp;"】"&amp;固定信息!$B$4)</f>
        <v/>
      </c>
      <c r="G82" s="27" t="str">
        <f>IF(C82="","","【"&amp;"活动时间："&amp;固定信息!$B$3&amp;"】")</f>
        <v/>
      </c>
      <c r="H82" s="27" t="str">
        <f>IF($C82="","",固定信息!$B$1)</f>
        <v/>
      </c>
      <c r="I82" s="27" t="str">
        <f>IF(OR(C82="",固定信息!$B$5=""),"","【1元预约锁好礼】"&amp;固定信息!$B$5)</f>
        <v/>
      </c>
      <c r="J82" s="27" t="str" cm="1">
        <f t="array" ref="J82">_xlfn.XLOOKUP($A82&amp;$B82&amp;$C82,价格信息!$A:$A&amp;价格信息!$B:$B&amp;价格信息!$C:$C,价格信息!$D:$D)</f>
        <v/>
      </c>
      <c r="K82" s="27" t="str">
        <f>IF($C82="","",固定信息!$B$1)</f>
        <v/>
      </c>
      <c r="L82" s="27" t="str" cm="1">
        <f t="array" ref="L82">IF(_xlfn.XLOOKUP($A82&amp;$B82&amp;$C82,盘货信息!$A:$A&amp;盘货信息!$B:$B&amp;盘货信息!$C:$C,盘货信息!$T:$T)="","","【优惠券】领"&amp;_xlfn.XLOOKUP($A82&amp;$B82&amp;$C82,盘货信息!$A:$A&amp;盘货信息!$B:$B&amp;盘货信息!$C:$C,盘货信息!$T:$T)&amp;"元优惠卷下单更优惠，领券链接："&amp;_xlfn.XLOOKUP($A82&amp;$B82&amp;$C82,盘货信息!$A:$A&amp;盘货信息!$B:$B&amp;盘货信息!$C:$C,盘货信息!$U:$U))</f>
        <v/>
      </c>
      <c r="M82" s="27" t="str" cm="1">
        <f t="array" ref="M82">IF(_xlfn.XLOOKUP($A82&amp;$B82&amp;$C82,盘货信息!$A:$A&amp;盘货信息!$B:$B&amp;盘货信息!$C:$C,盘货信息!$P:$P)="","","【限时】"&amp;_xlfn.XLOOKUP($A82&amp;$B82&amp;$C82,盘货信息!$A:$A&amp;盘货信息!$B:$B&amp;盘货信息!$C:$C,盘货信息!$P:$P))</f>
        <v/>
      </c>
      <c r="N82" s="27" t="str" cm="1">
        <f t="array" ref="N82">IF(_xlfn.XLOOKUP($A82&amp;$B82&amp;$C82,盘货信息!$A:$A&amp;盘货信息!$B:$B&amp;盘货信息!$C:$C,盘货信息!$V:$V)="","","【"&amp;盘货信息!$V$1&amp;"】"&amp;_xlfn.XLOOKUP($A82&amp;$B82&amp;$C82,盘货信息!$A:$A&amp;盘货信息!$B:$B&amp;盘货信息!$C:$C,盘货信息!$V:$V))</f>
        <v/>
      </c>
      <c r="O82" s="27" t="str" cm="1">
        <f t="array" ref="O82">IF(_xlfn.XLOOKUP($A82&amp;$B82&amp;$C82,盘货信息!$A:$A&amp;盘货信息!$B:$B&amp;盘货信息!$C:$C,盘货信息!$W:$W)="","","【"&amp;盘货信息!$W$1&amp;"】"&amp;_xlfn.XLOOKUP($A82&amp;$B82&amp;$C82,盘货信息!$A:$A&amp;盘货信息!$B:$B&amp;盘货信息!$C:$C,盘货信息!$W:$W))</f>
        <v/>
      </c>
      <c r="P82" s="27" t="str" cm="1">
        <f t="array" ref="P82">IF(_xlfn.XLOOKUP($A82&amp;$B82&amp;$C82,盘货信息!$A:$A&amp;盘货信息!$B:$B&amp;盘货信息!$C:$C,盘货信息!$S:$S)&lt;1,"","【"&amp;盘货信息!$S$1&amp;"】"&amp;"后返"&amp;_xlfn.XLOOKUP($A82&amp;$B82&amp;$C82,盘货信息!$A:$A&amp;盘货信息!$B:$B&amp;盘货信息!$C:$C,盘货信息!$S:$S)&amp;"元")</f>
        <v/>
      </c>
      <c r="Q82" s="27" t="str" cm="1">
        <f t="array" ref="Q82">IF(_xlfn.XLOOKUP($A82&amp;$B82&amp;$C82,盘货信息!$A:$A&amp;盘货信息!$B:$B&amp;盘货信息!$C:$C,盘货信息!$X:$X)="","","【"&amp;盘货信息!$X$1&amp;"】"&amp;_xlfn.XLOOKUP($A82&amp;$B82&amp;$C82,盘货信息!$A:$A&amp;盘货信息!$B:$B&amp;盘货信息!$C:$C,盘货信息!$X:$X))</f>
        <v/>
      </c>
      <c r="R82" s="27" t="str" cm="1">
        <f t="array" ref="R82">IF(_xlfn.XLOOKUP($A82&amp;$B82&amp;$C82,盘货信息!$A:$A&amp;盘货信息!$B:$B&amp;盘货信息!$C:$C,盘货信息!$Z:$Z)="","","【"&amp;盘货信息!$Z$1&amp;"】"&amp;_xlfn.XLOOKUP($A82&amp;$B82&amp;$C82,盘货信息!$A:$A&amp;盘货信息!$B:$B&amp;盘货信息!$C:$C,盘货信息!$Z:$Z))</f>
        <v/>
      </c>
      <c r="S82" s="27" t="str" cm="1">
        <f t="array" ref="S82">IF(_xlfn.XLOOKUP($A82&amp;$B82&amp;$C82,盘货信息!$A:$A&amp;盘货信息!$B:$B&amp;盘货信息!$C:$C,盘货信息!$Q:$Q)="","","【种草】站外带指定话题种草后返"&amp;_xlfn.XLOOKUP($A82&amp;$B82&amp;$C82,盘货信息!$A:$A&amp;盘货信息!$B:$B&amp;盘货信息!$C:$C,盘货信息!$Q:$Q)&amp;"元红包（每个淘宝账号仅限对应一个站外种草账号，同一个种草账号不可对应多个淘宝账号）")</f>
        <v/>
      </c>
      <c r="T82" s="27" t="str" cm="1">
        <f t="array" ref="T82">IF(_xlfn.XLOOKUP($A82&amp;$B82&amp;$C82,盘货信息!$A:$A&amp;盘货信息!$B:$B&amp;盘货信息!$C:$C,盘货信息!$R:$R)&lt;1,"","【以旧换新】"&amp;"享补贴"&amp;ROUND(_xlfn.XLOOKUP($A82&amp;$B82&amp;$C82,盘货信息!$A:$A&amp;盘货信息!$B:$B&amp;盘货信息!$C:$C,盘货信息!$R:$R),0)&amp;"元（可无旧机换新）")</f>
        <v/>
      </c>
      <c r="U82" s="27" t="str">
        <f>IF(AND($N82="",$O82="",$P82="",$Q82="",$R82="",$S82="",$T82=""),"",固定信息!$B$1)</f>
        <v/>
      </c>
      <c r="V82" s="27" t="str" cm="1">
        <f t="array" ref="V82">IF(_xlfn.XLOOKUP($A82&amp;$B82&amp;$C82,盘货信息!$A:$A&amp;盘货信息!$B:$B&amp;盘货信息!$C:$C,盘货信息!$Y:$Y)="","","【卡萨帝送赠】活动指定时间"&amp;_xlfn.TEXTBEFORE(_xlfn.TEXTAFTER(_xlfn.XLOOKUP($A82&amp;$B82&amp;$C82,盘货信息!$A:$A&amp;盘货信息!$B:$B&amp;盘货信息!$C:$C,盘货信息!$Y:$Y),"点"),"（"))</f>
        <v/>
      </c>
      <c r="W82" s="27" t="str" cm="1">
        <f t="array" ref="W82">IF(COUNTIF(_xlfn.XLOOKUP($A82&amp;$B82&amp;$C82,盘货信息!$A:$A&amp;盘货信息!$B:$B&amp;盘货信息!$C:$C,盘货信息!$O:$O),"*是*"),"【折扣】指定型号满2类享96折，满3类享94折","")</f>
        <v/>
      </c>
      <c r="X82" s="27" t="str" cm="1">
        <f t="array" ref="X82">IF(固定信息!$B$7="","",IF(_xlfn.XLOOKUP($A82&amp;$B82&amp;$C82,盘货信息!$A:$A&amp;盘货信息!$B:$B&amp;盘货信息!$C:$C,盘货信息!$N:$N)="是","【瓜分】"&amp;固定信息!$B$7,""))</f>
        <v/>
      </c>
      <c r="Y82" s="27" t="str">
        <f>IF(AND($V82="",$W82="",$X82=""),"",固定信息!$B$1)</f>
        <v/>
      </c>
      <c r="Z82" s="27" t="str" cm="1">
        <f t="array" ref="Z82">IF($C82="","",_xlfn.XLOOKUP($A82&amp;$B82&amp;$C82,服务!$A:$A&amp;服务!$B:$B&amp;服务!$C:$C,服务!$D:$D))</f>
        <v/>
      </c>
    </row>
    <row r="83" customHeight="1" spans="1:26">
      <c r="A83" s="26" t="str">
        <f>IF(盘货信息!A83="","",盘货信息!A83)</f>
        <v/>
      </c>
      <c r="B83" s="26" t="str">
        <f>IF(盘货信息!B83="","",盘货信息!B83)</f>
        <v/>
      </c>
      <c r="C83" s="27" t="str">
        <f>IF(盘货信息!C83="","",盘货信息!C83)</f>
        <v/>
      </c>
      <c r="D83" s="27" t="str">
        <f ca="1" t="shared" si="1"/>
        <v/>
      </c>
      <c r="E83" s="27" t="str">
        <f>IF(C83="","",固定信息!$B$2)</f>
        <v/>
      </c>
      <c r="F83" s="27" t="str">
        <f>IF(C83="","","【"&amp;C83&amp;"】"&amp;固定信息!$B$4)</f>
        <v/>
      </c>
      <c r="G83" s="27" t="str">
        <f>IF(C83="","","【"&amp;"活动时间："&amp;固定信息!$B$3&amp;"】")</f>
        <v/>
      </c>
      <c r="H83" s="27" t="str">
        <f>IF($C83="","",固定信息!$B$1)</f>
        <v/>
      </c>
      <c r="I83" s="27" t="str">
        <f>IF(OR(C83="",固定信息!$B$5=""),"","【1元预约锁好礼】"&amp;固定信息!$B$5)</f>
        <v/>
      </c>
      <c r="J83" s="27" t="str" cm="1">
        <f t="array" ref="J83">_xlfn.XLOOKUP($A83&amp;$B83&amp;$C83,价格信息!$A:$A&amp;价格信息!$B:$B&amp;价格信息!$C:$C,价格信息!$D:$D)</f>
        <v/>
      </c>
      <c r="K83" s="27" t="str">
        <f>IF($C83="","",固定信息!$B$1)</f>
        <v/>
      </c>
      <c r="L83" s="27" t="str" cm="1">
        <f t="array" ref="L83">IF(_xlfn.XLOOKUP($A83&amp;$B83&amp;$C83,盘货信息!$A:$A&amp;盘货信息!$B:$B&amp;盘货信息!$C:$C,盘货信息!$T:$T)="","","【优惠券】领"&amp;_xlfn.XLOOKUP($A83&amp;$B83&amp;$C83,盘货信息!$A:$A&amp;盘货信息!$B:$B&amp;盘货信息!$C:$C,盘货信息!$T:$T)&amp;"元优惠卷下单更优惠，领券链接："&amp;_xlfn.XLOOKUP($A83&amp;$B83&amp;$C83,盘货信息!$A:$A&amp;盘货信息!$B:$B&amp;盘货信息!$C:$C,盘货信息!$U:$U))</f>
        <v/>
      </c>
      <c r="M83" s="27" t="str" cm="1">
        <f t="array" ref="M83">IF(_xlfn.XLOOKUP($A83&amp;$B83&amp;$C83,盘货信息!$A:$A&amp;盘货信息!$B:$B&amp;盘货信息!$C:$C,盘货信息!$P:$P)="","","【限时】"&amp;_xlfn.XLOOKUP($A83&amp;$B83&amp;$C83,盘货信息!$A:$A&amp;盘货信息!$B:$B&amp;盘货信息!$C:$C,盘货信息!$P:$P))</f>
        <v/>
      </c>
      <c r="N83" s="27" t="str" cm="1">
        <f t="array" ref="N83">IF(_xlfn.XLOOKUP($A83&amp;$B83&amp;$C83,盘货信息!$A:$A&amp;盘货信息!$B:$B&amp;盘货信息!$C:$C,盘货信息!$V:$V)="","","【"&amp;盘货信息!$V$1&amp;"】"&amp;_xlfn.XLOOKUP($A83&amp;$B83&amp;$C83,盘货信息!$A:$A&amp;盘货信息!$B:$B&amp;盘货信息!$C:$C,盘货信息!$V:$V))</f>
        <v/>
      </c>
      <c r="O83" s="27" t="str" cm="1">
        <f t="array" ref="O83">IF(_xlfn.XLOOKUP($A83&amp;$B83&amp;$C83,盘货信息!$A:$A&amp;盘货信息!$B:$B&amp;盘货信息!$C:$C,盘货信息!$W:$W)="","","【"&amp;盘货信息!$W$1&amp;"】"&amp;_xlfn.XLOOKUP($A83&amp;$B83&amp;$C83,盘货信息!$A:$A&amp;盘货信息!$B:$B&amp;盘货信息!$C:$C,盘货信息!$W:$W))</f>
        <v/>
      </c>
      <c r="P83" s="27" t="str" cm="1">
        <f t="array" ref="P83">IF(_xlfn.XLOOKUP($A83&amp;$B83&amp;$C83,盘货信息!$A:$A&amp;盘货信息!$B:$B&amp;盘货信息!$C:$C,盘货信息!$S:$S)&lt;1,"","【"&amp;盘货信息!$S$1&amp;"】"&amp;"后返"&amp;_xlfn.XLOOKUP($A83&amp;$B83&amp;$C83,盘货信息!$A:$A&amp;盘货信息!$B:$B&amp;盘货信息!$C:$C,盘货信息!$S:$S)&amp;"元")</f>
        <v/>
      </c>
      <c r="Q83" s="27" t="str" cm="1">
        <f t="array" ref="Q83">IF(_xlfn.XLOOKUP($A83&amp;$B83&amp;$C83,盘货信息!$A:$A&amp;盘货信息!$B:$B&amp;盘货信息!$C:$C,盘货信息!$X:$X)="","","【"&amp;盘货信息!$X$1&amp;"】"&amp;_xlfn.XLOOKUP($A83&amp;$B83&amp;$C83,盘货信息!$A:$A&amp;盘货信息!$B:$B&amp;盘货信息!$C:$C,盘货信息!$X:$X))</f>
        <v/>
      </c>
      <c r="R83" s="27" t="str" cm="1">
        <f t="array" ref="R83">IF(_xlfn.XLOOKUP($A83&amp;$B83&amp;$C83,盘货信息!$A:$A&amp;盘货信息!$B:$B&amp;盘货信息!$C:$C,盘货信息!$Z:$Z)="","","【"&amp;盘货信息!$Z$1&amp;"】"&amp;_xlfn.XLOOKUP($A83&amp;$B83&amp;$C83,盘货信息!$A:$A&amp;盘货信息!$B:$B&amp;盘货信息!$C:$C,盘货信息!$Z:$Z))</f>
        <v/>
      </c>
      <c r="S83" s="27" t="str" cm="1">
        <f t="array" ref="S83">IF(_xlfn.XLOOKUP($A83&amp;$B83&amp;$C83,盘货信息!$A:$A&amp;盘货信息!$B:$B&amp;盘货信息!$C:$C,盘货信息!$Q:$Q)="","","【种草】站外带指定话题种草后返"&amp;_xlfn.XLOOKUP($A83&amp;$B83&amp;$C83,盘货信息!$A:$A&amp;盘货信息!$B:$B&amp;盘货信息!$C:$C,盘货信息!$Q:$Q)&amp;"元红包（每个淘宝账号仅限对应一个站外种草账号，同一个种草账号不可对应多个淘宝账号）")</f>
        <v/>
      </c>
      <c r="T83" s="27" t="str" cm="1">
        <f t="array" ref="T83">IF(_xlfn.XLOOKUP($A83&amp;$B83&amp;$C83,盘货信息!$A:$A&amp;盘货信息!$B:$B&amp;盘货信息!$C:$C,盘货信息!$R:$R)&lt;1,"","【以旧换新】"&amp;"享补贴"&amp;ROUND(_xlfn.XLOOKUP($A83&amp;$B83&amp;$C83,盘货信息!$A:$A&amp;盘货信息!$B:$B&amp;盘货信息!$C:$C,盘货信息!$R:$R),0)&amp;"元（可无旧机换新）")</f>
        <v/>
      </c>
      <c r="U83" s="27" t="str">
        <f>IF(AND($N83="",$O83="",$P83="",$Q83="",$R83="",$S83="",$T83=""),"",固定信息!$B$1)</f>
        <v/>
      </c>
      <c r="V83" s="27" t="str" cm="1">
        <f t="array" ref="V83">IF(_xlfn.XLOOKUP($A83&amp;$B83&amp;$C83,盘货信息!$A:$A&amp;盘货信息!$B:$B&amp;盘货信息!$C:$C,盘货信息!$Y:$Y)="","","【卡萨帝送赠】活动指定时间"&amp;_xlfn.TEXTBEFORE(_xlfn.TEXTAFTER(_xlfn.XLOOKUP($A83&amp;$B83&amp;$C83,盘货信息!$A:$A&amp;盘货信息!$B:$B&amp;盘货信息!$C:$C,盘货信息!$Y:$Y),"点"),"（"))</f>
        <v/>
      </c>
      <c r="W83" s="27" t="str" cm="1">
        <f t="array" ref="W83">IF(COUNTIF(_xlfn.XLOOKUP($A83&amp;$B83&amp;$C83,盘货信息!$A:$A&amp;盘货信息!$B:$B&amp;盘货信息!$C:$C,盘货信息!$O:$O),"*是*"),"【折扣】指定型号满2类享96折，满3类享94折","")</f>
        <v/>
      </c>
      <c r="X83" s="27" t="str" cm="1">
        <f t="array" ref="X83">IF(固定信息!$B$7="","",IF(_xlfn.XLOOKUP($A83&amp;$B83&amp;$C83,盘货信息!$A:$A&amp;盘货信息!$B:$B&amp;盘货信息!$C:$C,盘货信息!$N:$N)="是","【瓜分】"&amp;固定信息!$B$7,""))</f>
        <v/>
      </c>
      <c r="Y83" s="27" t="str">
        <f>IF(AND($V83="",$W83="",$X83=""),"",固定信息!$B$1)</f>
        <v/>
      </c>
      <c r="Z83" s="27" t="str" cm="1">
        <f t="array" ref="Z83">IF($C83="","",_xlfn.XLOOKUP($A83&amp;$B83&amp;$C83,服务!$A:$A&amp;服务!$B:$B&amp;服务!$C:$C,服务!$D:$D))</f>
        <v/>
      </c>
    </row>
    <row r="84" customHeight="1" spans="1:26">
      <c r="A84" s="26" t="str">
        <f>IF(盘货信息!A84="","",盘货信息!A84)</f>
        <v/>
      </c>
      <c r="B84" s="26" t="str">
        <f>IF(盘货信息!B84="","",盘货信息!B84)</f>
        <v/>
      </c>
      <c r="C84" s="27" t="str">
        <f>IF(盘货信息!C84="","",盘货信息!C84)</f>
        <v/>
      </c>
      <c r="D84" s="27" t="str">
        <f ca="1" t="shared" si="1"/>
        <v/>
      </c>
      <c r="E84" s="27" t="str">
        <f>IF(C84="","",固定信息!$B$2)</f>
        <v/>
      </c>
      <c r="F84" s="27" t="str">
        <f>IF(C84="","","【"&amp;C84&amp;"】"&amp;固定信息!$B$4)</f>
        <v/>
      </c>
      <c r="G84" s="27" t="str">
        <f>IF(C84="","","【"&amp;"活动时间："&amp;固定信息!$B$3&amp;"】")</f>
        <v/>
      </c>
      <c r="H84" s="27" t="str">
        <f>IF($C84="","",固定信息!$B$1)</f>
        <v/>
      </c>
      <c r="I84" s="27" t="str">
        <f>IF(OR(C84="",固定信息!$B$5=""),"","【1元预约锁好礼】"&amp;固定信息!$B$5)</f>
        <v/>
      </c>
      <c r="J84" s="27" t="str" cm="1">
        <f t="array" ref="J84">_xlfn.XLOOKUP($A84&amp;$B84&amp;$C84,价格信息!$A:$A&amp;价格信息!$B:$B&amp;价格信息!$C:$C,价格信息!$D:$D)</f>
        <v/>
      </c>
      <c r="K84" s="27" t="str">
        <f>IF($C84="","",固定信息!$B$1)</f>
        <v/>
      </c>
      <c r="L84" s="27" t="str" cm="1">
        <f t="array" ref="L84">IF(_xlfn.XLOOKUP($A84&amp;$B84&amp;$C84,盘货信息!$A:$A&amp;盘货信息!$B:$B&amp;盘货信息!$C:$C,盘货信息!$T:$T)="","","【优惠券】领"&amp;_xlfn.XLOOKUP($A84&amp;$B84&amp;$C84,盘货信息!$A:$A&amp;盘货信息!$B:$B&amp;盘货信息!$C:$C,盘货信息!$T:$T)&amp;"元优惠卷下单更优惠，领券链接："&amp;_xlfn.XLOOKUP($A84&amp;$B84&amp;$C84,盘货信息!$A:$A&amp;盘货信息!$B:$B&amp;盘货信息!$C:$C,盘货信息!$U:$U))</f>
        <v/>
      </c>
      <c r="M84" s="27" t="str" cm="1">
        <f t="array" ref="M84">IF(_xlfn.XLOOKUP($A84&amp;$B84&amp;$C84,盘货信息!$A:$A&amp;盘货信息!$B:$B&amp;盘货信息!$C:$C,盘货信息!$P:$P)="","","【限时】"&amp;_xlfn.XLOOKUP($A84&amp;$B84&amp;$C84,盘货信息!$A:$A&amp;盘货信息!$B:$B&amp;盘货信息!$C:$C,盘货信息!$P:$P))</f>
        <v/>
      </c>
      <c r="N84" s="27" t="str" cm="1">
        <f t="array" ref="N84">IF(_xlfn.XLOOKUP($A84&amp;$B84&amp;$C84,盘货信息!$A:$A&amp;盘货信息!$B:$B&amp;盘货信息!$C:$C,盘货信息!$V:$V)="","","【"&amp;盘货信息!$V$1&amp;"】"&amp;_xlfn.XLOOKUP($A84&amp;$B84&amp;$C84,盘货信息!$A:$A&amp;盘货信息!$B:$B&amp;盘货信息!$C:$C,盘货信息!$V:$V))</f>
        <v/>
      </c>
      <c r="O84" s="27" t="str" cm="1">
        <f t="array" ref="O84">IF(_xlfn.XLOOKUP($A84&amp;$B84&amp;$C84,盘货信息!$A:$A&amp;盘货信息!$B:$B&amp;盘货信息!$C:$C,盘货信息!$W:$W)="","","【"&amp;盘货信息!$W$1&amp;"】"&amp;_xlfn.XLOOKUP($A84&amp;$B84&amp;$C84,盘货信息!$A:$A&amp;盘货信息!$B:$B&amp;盘货信息!$C:$C,盘货信息!$W:$W))</f>
        <v/>
      </c>
      <c r="P84" s="27" t="str" cm="1">
        <f t="array" ref="P84">IF(_xlfn.XLOOKUP($A84&amp;$B84&amp;$C84,盘货信息!$A:$A&amp;盘货信息!$B:$B&amp;盘货信息!$C:$C,盘货信息!$S:$S)&lt;1,"","【"&amp;盘货信息!$S$1&amp;"】"&amp;"后返"&amp;_xlfn.XLOOKUP($A84&amp;$B84&amp;$C84,盘货信息!$A:$A&amp;盘货信息!$B:$B&amp;盘货信息!$C:$C,盘货信息!$S:$S)&amp;"元")</f>
        <v/>
      </c>
      <c r="Q84" s="27" t="str" cm="1">
        <f t="array" ref="Q84">IF(_xlfn.XLOOKUP($A84&amp;$B84&amp;$C84,盘货信息!$A:$A&amp;盘货信息!$B:$B&amp;盘货信息!$C:$C,盘货信息!$X:$X)="","","【"&amp;盘货信息!$X$1&amp;"】"&amp;_xlfn.XLOOKUP($A84&amp;$B84&amp;$C84,盘货信息!$A:$A&amp;盘货信息!$B:$B&amp;盘货信息!$C:$C,盘货信息!$X:$X))</f>
        <v/>
      </c>
      <c r="R84" s="27" t="str" cm="1">
        <f t="array" ref="R84">IF(_xlfn.XLOOKUP($A84&amp;$B84&amp;$C84,盘货信息!$A:$A&amp;盘货信息!$B:$B&amp;盘货信息!$C:$C,盘货信息!$Z:$Z)="","","【"&amp;盘货信息!$Z$1&amp;"】"&amp;_xlfn.XLOOKUP($A84&amp;$B84&amp;$C84,盘货信息!$A:$A&amp;盘货信息!$B:$B&amp;盘货信息!$C:$C,盘货信息!$Z:$Z))</f>
        <v/>
      </c>
      <c r="S84" s="27" t="str" cm="1">
        <f t="array" ref="S84">IF(_xlfn.XLOOKUP($A84&amp;$B84&amp;$C84,盘货信息!$A:$A&amp;盘货信息!$B:$B&amp;盘货信息!$C:$C,盘货信息!$Q:$Q)="","","【种草】站外带指定话题种草后返"&amp;_xlfn.XLOOKUP($A84&amp;$B84&amp;$C84,盘货信息!$A:$A&amp;盘货信息!$B:$B&amp;盘货信息!$C:$C,盘货信息!$Q:$Q)&amp;"元红包（每个淘宝账号仅限对应一个站外种草账号，同一个种草账号不可对应多个淘宝账号）")</f>
        <v/>
      </c>
      <c r="T84" s="27" t="str" cm="1">
        <f t="array" ref="T84">IF(_xlfn.XLOOKUP($A84&amp;$B84&amp;$C84,盘货信息!$A:$A&amp;盘货信息!$B:$B&amp;盘货信息!$C:$C,盘货信息!$R:$R)&lt;1,"","【以旧换新】"&amp;"享补贴"&amp;ROUND(_xlfn.XLOOKUP($A84&amp;$B84&amp;$C84,盘货信息!$A:$A&amp;盘货信息!$B:$B&amp;盘货信息!$C:$C,盘货信息!$R:$R),0)&amp;"元（可无旧机换新）")</f>
        <v/>
      </c>
      <c r="U84" s="27" t="str">
        <f>IF(AND($N84="",$O84="",$P84="",$Q84="",$R84="",$S84="",$T84=""),"",固定信息!$B$1)</f>
        <v/>
      </c>
      <c r="V84" s="27" t="str" cm="1">
        <f t="array" ref="V84">IF(_xlfn.XLOOKUP($A84&amp;$B84&amp;$C84,盘货信息!$A:$A&amp;盘货信息!$B:$B&amp;盘货信息!$C:$C,盘货信息!$Y:$Y)="","","【卡萨帝送赠】活动指定时间"&amp;_xlfn.TEXTBEFORE(_xlfn.TEXTAFTER(_xlfn.XLOOKUP($A84&amp;$B84&amp;$C84,盘货信息!$A:$A&amp;盘货信息!$B:$B&amp;盘货信息!$C:$C,盘货信息!$Y:$Y),"点"),"（"))</f>
        <v/>
      </c>
      <c r="W84" s="27" t="str" cm="1">
        <f t="array" ref="W84">IF(COUNTIF(_xlfn.XLOOKUP($A84&amp;$B84&amp;$C84,盘货信息!$A:$A&amp;盘货信息!$B:$B&amp;盘货信息!$C:$C,盘货信息!$O:$O),"*是*"),"【折扣】指定型号满2类享96折，满3类享94折","")</f>
        <v/>
      </c>
      <c r="X84" s="27" t="str" cm="1">
        <f t="array" ref="X84">IF(固定信息!$B$7="","",IF(_xlfn.XLOOKUP($A84&amp;$B84&amp;$C84,盘货信息!$A:$A&amp;盘货信息!$B:$B&amp;盘货信息!$C:$C,盘货信息!$N:$N)="是","【瓜分】"&amp;固定信息!$B$7,""))</f>
        <v/>
      </c>
      <c r="Y84" s="27" t="str">
        <f>IF(AND($V84="",$W84="",$X84=""),"",固定信息!$B$1)</f>
        <v/>
      </c>
      <c r="Z84" s="27" t="str" cm="1">
        <f t="array" ref="Z84">IF($C84="","",_xlfn.XLOOKUP($A84&amp;$B84&amp;$C84,服务!$A:$A&amp;服务!$B:$B&amp;服务!$C:$C,服务!$D:$D))</f>
        <v/>
      </c>
    </row>
    <row r="85" customHeight="1" spans="1:26">
      <c r="A85" s="26" t="str">
        <f>IF(盘货信息!A85="","",盘货信息!A85)</f>
        <v/>
      </c>
      <c r="B85" s="26" t="str">
        <f>IF(盘货信息!B85="","",盘货信息!B85)</f>
        <v/>
      </c>
      <c r="C85" s="27" t="str">
        <f>IF(盘货信息!C85="","",盘货信息!C85)</f>
        <v/>
      </c>
      <c r="D85" s="27" t="str">
        <f ca="1" t="shared" si="1"/>
        <v/>
      </c>
      <c r="E85" s="27" t="str">
        <f>IF(C85="","",固定信息!$B$2)</f>
        <v/>
      </c>
      <c r="F85" s="27" t="str">
        <f>IF(C85="","","【"&amp;C85&amp;"】"&amp;固定信息!$B$4)</f>
        <v/>
      </c>
      <c r="G85" s="27" t="str">
        <f>IF(C85="","","【"&amp;"活动时间："&amp;固定信息!$B$3&amp;"】")</f>
        <v/>
      </c>
      <c r="H85" s="27" t="str">
        <f>IF($C85="","",固定信息!$B$1)</f>
        <v/>
      </c>
      <c r="I85" s="27" t="str">
        <f>IF(OR(C85="",固定信息!$B$5=""),"","【1元预约锁好礼】"&amp;固定信息!$B$5)</f>
        <v/>
      </c>
      <c r="J85" s="27" t="str" cm="1">
        <f t="array" ref="J85">_xlfn.XLOOKUP($A85&amp;$B85&amp;$C85,价格信息!$A:$A&amp;价格信息!$B:$B&amp;价格信息!$C:$C,价格信息!$D:$D)</f>
        <v/>
      </c>
      <c r="K85" s="27" t="str">
        <f>IF($C85="","",固定信息!$B$1)</f>
        <v/>
      </c>
      <c r="L85" s="27" t="str" cm="1">
        <f t="array" ref="L85">IF(_xlfn.XLOOKUP($A85&amp;$B85&amp;$C85,盘货信息!$A:$A&amp;盘货信息!$B:$B&amp;盘货信息!$C:$C,盘货信息!$T:$T)="","","【优惠券】领"&amp;_xlfn.XLOOKUP($A85&amp;$B85&amp;$C85,盘货信息!$A:$A&amp;盘货信息!$B:$B&amp;盘货信息!$C:$C,盘货信息!$T:$T)&amp;"元优惠卷下单更优惠，领券链接："&amp;_xlfn.XLOOKUP($A85&amp;$B85&amp;$C85,盘货信息!$A:$A&amp;盘货信息!$B:$B&amp;盘货信息!$C:$C,盘货信息!$U:$U))</f>
        <v/>
      </c>
      <c r="M85" s="27" t="str" cm="1">
        <f t="array" ref="M85">IF(_xlfn.XLOOKUP($A85&amp;$B85&amp;$C85,盘货信息!$A:$A&amp;盘货信息!$B:$B&amp;盘货信息!$C:$C,盘货信息!$P:$P)="","","【限时】"&amp;_xlfn.XLOOKUP($A85&amp;$B85&amp;$C85,盘货信息!$A:$A&amp;盘货信息!$B:$B&amp;盘货信息!$C:$C,盘货信息!$P:$P))</f>
        <v/>
      </c>
      <c r="N85" s="27" t="str" cm="1">
        <f t="array" ref="N85">IF(_xlfn.XLOOKUP($A85&amp;$B85&amp;$C85,盘货信息!$A:$A&amp;盘货信息!$B:$B&amp;盘货信息!$C:$C,盘货信息!$V:$V)="","","【"&amp;盘货信息!$V$1&amp;"】"&amp;_xlfn.XLOOKUP($A85&amp;$B85&amp;$C85,盘货信息!$A:$A&amp;盘货信息!$B:$B&amp;盘货信息!$C:$C,盘货信息!$V:$V))</f>
        <v/>
      </c>
      <c r="O85" s="27" t="str" cm="1">
        <f t="array" ref="O85">IF(_xlfn.XLOOKUP($A85&amp;$B85&amp;$C85,盘货信息!$A:$A&amp;盘货信息!$B:$B&amp;盘货信息!$C:$C,盘货信息!$W:$W)="","","【"&amp;盘货信息!$W$1&amp;"】"&amp;_xlfn.XLOOKUP($A85&amp;$B85&amp;$C85,盘货信息!$A:$A&amp;盘货信息!$B:$B&amp;盘货信息!$C:$C,盘货信息!$W:$W))</f>
        <v/>
      </c>
      <c r="P85" s="27" t="str" cm="1">
        <f t="array" ref="P85">IF(_xlfn.XLOOKUP($A85&amp;$B85&amp;$C85,盘货信息!$A:$A&amp;盘货信息!$B:$B&amp;盘货信息!$C:$C,盘货信息!$S:$S)&lt;1,"","【"&amp;盘货信息!$S$1&amp;"】"&amp;"后返"&amp;_xlfn.XLOOKUP($A85&amp;$B85&amp;$C85,盘货信息!$A:$A&amp;盘货信息!$B:$B&amp;盘货信息!$C:$C,盘货信息!$S:$S)&amp;"元")</f>
        <v/>
      </c>
      <c r="Q85" s="27" t="str" cm="1">
        <f t="array" ref="Q85">IF(_xlfn.XLOOKUP($A85&amp;$B85&amp;$C85,盘货信息!$A:$A&amp;盘货信息!$B:$B&amp;盘货信息!$C:$C,盘货信息!$X:$X)="","","【"&amp;盘货信息!$X$1&amp;"】"&amp;_xlfn.XLOOKUP($A85&amp;$B85&amp;$C85,盘货信息!$A:$A&amp;盘货信息!$B:$B&amp;盘货信息!$C:$C,盘货信息!$X:$X))</f>
        <v/>
      </c>
      <c r="R85" s="27" t="str" cm="1">
        <f t="array" ref="R85">IF(_xlfn.XLOOKUP($A85&amp;$B85&amp;$C85,盘货信息!$A:$A&amp;盘货信息!$B:$B&amp;盘货信息!$C:$C,盘货信息!$Z:$Z)="","","【"&amp;盘货信息!$Z$1&amp;"】"&amp;_xlfn.XLOOKUP($A85&amp;$B85&amp;$C85,盘货信息!$A:$A&amp;盘货信息!$B:$B&amp;盘货信息!$C:$C,盘货信息!$Z:$Z))</f>
        <v/>
      </c>
      <c r="S85" s="27" t="str" cm="1">
        <f t="array" ref="S85">IF(_xlfn.XLOOKUP($A85&amp;$B85&amp;$C85,盘货信息!$A:$A&amp;盘货信息!$B:$B&amp;盘货信息!$C:$C,盘货信息!$Q:$Q)="","","【种草】站外带指定话题种草后返"&amp;_xlfn.XLOOKUP($A85&amp;$B85&amp;$C85,盘货信息!$A:$A&amp;盘货信息!$B:$B&amp;盘货信息!$C:$C,盘货信息!$Q:$Q)&amp;"元红包（每个淘宝账号仅限对应一个站外种草账号，同一个种草账号不可对应多个淘宝账号）")</f>
        <v/>
      </c>
      <c r="T85" s="27" t="str" cm="1">
        <f t="array" ref="T85">IF(_xlfn.XLOOKUP($A85&amp;$B85&amp;$C85,盘货信息!$A:$A&amp;盘货信息!$B:$B&amp;盘货信息!$C:$C,盘货信息!$R:$R)&lt;1,"","【以旧换新】"&amp;"享补贴"&amp;ROUND(_xlfn.XLOOKUP($A85&amp;$B85&amp;$C85,盘货信息!$A:$A&amp;盘货信息!$B:$B&amp;盘货信息!$C:$C,盘货信息!$R:$R),0)&amp;"元（可无旧机换新）")</f>
        <v/>
      </c>
      <c r="U85" s="27" t="str">
        <f>IF(AND($N85="",$O85="",$P85="",$Q85="",$R85="",$S85="",$T85=""),"",固定信息!$B$1)</f>
        <v/>
      </c>
      <c r="V85" s="27" t="str" cm="1">
        <f t="array" ref="V85">IF(_xlfn.XLOOKUP($A85&amp;$B85&amp;$C85,盘货信息!$A:$A&amp;盘货信息!$B:$B&amp;盘货信息!$C:$C,盘货信息!$Y:$Y)="","","【卡萨帝送赠】活动指定时间"&amp;_xlfn.TEXTBEFORE(_xlfn.TEXTAFTER(_xlfn.XLOOKUP($A85&amp;$B85&amp;$C85,盘货信息!$A:$A&amp;盘货信息!$B:$B&amp;盘货信息!$C:$C,盘货信息!$Y:$Y),"点"),"（"))</f>
        <v/>
      </c>
      <c r="W85" s="27" t="str" cm="1">
        <f t="array" ref="W85">IF(COUNTIF(_xlfn.XLOOKUP($A85&amp;$B85&amp;$C85,盘货信息!$A:$A&amp;盘货信息!$B:$B&amp;盘货信息!$C:$C,盘货信息!$O:$O),"*是*"),"【折扣】指定型号满2类享96折，满3类享94折","")</f>
        <v/>
      </c>
      <c r="X85" s="27" t="str" cm="1">
        <f t="array" ref="X85">IF(固定信息!$B$7="","",IF(_xlfn.XLOOKUP($A85&amp;$B85&amp;$C85,盘货信息!$A:$A&amp;盘货信息!$B:$B&amp;盘货信息!$C:$C,盘货信息!$N:$N)="是","【瓜分】"&amp;固定信息!$B$7,""))</f>
        <v/>
      </c>
      <c r="Y85" s="27" t="str">
        <f>IF(AND($V85="",$W85="",$X85=""),"",固定信息!$B$1)</f>
        <v/>
      </c>
      <c r="Z85" s="27" t="str" cm="1">
        <f t="array" ref="Z85">IF($C85="","",_xlfn.XLOOKUP($A85&amp;$B85&amp;$C85,服务!$A:$A&amp;服务!$B:$B&amp;服务!$C:$C,服务!$D:$D))</f>
        <v/>
      </c>
    </row>
    <row r="86" customHeight="1" spans="1:26">
      <c r="A86" s="26" t="str">
        <f>IF(盘货信息!A86="","",盘货信息!A86)</f>
        <v/>
      </c>
      <c r="B86" s="26" t="str">
        <f>IF(盘货信息!B86="","",盘货信息!B86)</f>
        <v/>
      </c>
      <c r="C86" s="27" t="str">
        <f>IF(盘货信息!C86="","",盘货信息!C86)</f>
        <v/>
      </c>
      <c r="D86" s="27" t="str">
        <f ca="1" t="shared" si="1"/>
        <v/>
      </c>
      <c r="E86" s="27" t="str">
        <f>IF(C86="","",固定信息!$B$2)</f>
        <v/>
      </c>
      <c r="F86" s="27" t="str">
        <f>IF(C86="","","【"&amp;C86&amp;"】"&amp;固定信息!$B$4)</f>
        <v/>
      </c>
      <c r="G86" s="27" t="str">
        <f>IF(C86="","","【"&amp;"活动时间："&amp;固定信息!$B$3&amp;"】")</f>
        <v/>
      </c>
      <c r="H86" s="27" t="str">
        <f>IF($C86="","",固定信息!$B$1)</f>
        <v/>
      </c>
      <c r="I86" s="27" t="str">
        <f>IF(OR(C86="",固定信息!$B$5=""),"","【1元预约锁好礼】"&amp;固定信息!$B$5)</f>
        <v/>
      </c>
      <c r="J86" s="27" t="str" cm="1">
        <f t="array" ref="J86">_xlfn.XLOOKUP($A86&amp;$B86&amp;$C86,价格信息!$A:$A&amp;价格信息!$B:$B&amp;价格信息!$C:$C,价格信息!$D:$D)</f>
        <v/>
      </c>
      <c r="K86" s="27" t="str">
        <f>IF($C86="","",固定信息!$B$1)</f>
        <v/>
      </c>
      <c r="L86" s="27" t="str" cm="1">
        <f t="array" ref="L86">IF(_xlfn.XLOOKUP($A86&amp;$B86&amp;$C86,盘货信息!$A:$A&amp;盘货信息!$B:$B&amp;盘货信息!$C:$C,盘货信息!$T:$T)="","","【优惠券】领"&amp;_xlfn.XLOOKUP($A86&amp;$B86&amp;$C86,盘货信息!$A:$A&amp;盘货信息!$B:$B&amp;盘货信息!$C:$C,盘货信息!$T:$T)&amp;"元优惠卷下单更优惠，领券链接："&amp;_xlfn.XLOOKUP($A86&amp;$B86&amp;$C86,盘货信息!$A:$A&amp;盘货信息!$B:$B&amp;盘货信息!$C:$C,盘货信息!$U:$U))</f>
        <v/>
      </c>
      <c r="M86" s="27" t="str" cm="1">
        <f t="array" ref="M86">IF(_xlfn.XLOOKUP($A86&amp;$B86&amp;$C86,盘货信息!$A:$A&amp;盘货信息!$B:$B&amp;盘货信息!$C:$C,盘货信息!$P:$P)="","","【限时】"&amp;_xlfn.XLOOKUP($A86&amp;$B86&amp;$C86,盘货信息!$A:$A&amp;盘货信息!$B:$B&amp;盘货信息!$C:$C,盘货信息!$P:$P))</f>
        <v/>
      </c>
      <c r="N86" s="27" t="str" cm="1">
        <f t="array" ref="N86">IF(_xlfn.XLOOKUP($A86&amp;$B86&amp;$C86,盘货信息!$A:$A&amp;盘货信息!$B:$B&amp;盘货信息!$C:$C,盘货信息!$V:$V)="","","【"&amp;盘货信息!$V$1&amp;"】"&amp;_xlfn.XLOOKUP($A86&amp;$B86&amp;$C86,盘货信息!$A:$A&amp;盘货信息!$B:$B&amp;盘货信息!$C:$C,盘货信息!$V:$V))</f>
        <v/>
      </c>
      <c r="O86" s="27" t="str" cm="1">
        <f t="array" ref="O86">IF(_xlfn.XLOOKUP($A86&amp;$B86&amp;$C86,盘货信息!$A:$A&amp;盘货信息!$B:$B&amp;盘货信息!$C:$C,盘货信息!$W:$W)="","","【"&amp;盘货信息!$W$1&amp;"】"&amp;_xlfn.XLOOKUP($A86&amp;$B86&amp;$C86,盘货信息!$A:$A&amp;盘货信息!$B:$B&amp;盘货信息!$C:$C,盘货信息!$W:$W))</f>
        <v/>
      </c>
      <c r="P86" s="27" t="str" cm="1">
        <f t="array" ref="P86">IF(_xlfn.XLOOKUP($A86&amp;$B86&amp;$C86,盘货信息!$A:$A&amp;盘货信息!$B:$B&amp;盘货信息!$C:$C,盘货信息!$S:$S)&lt;1,"","【"&amp;盘货信息!$S$1&amp;"】"&amp;"后返"&amp;_xlfn.XLOOKUP($A86&amp;$B86&amp;$C86,盘货信息!$A:$A&amp;盘货信息!$B:$B&amp;盘货信息!$C:$C,盘货信息!$S:$S)&amp;"元")</f>
        <v/>
      </c>
      <c r="Q86" s="27" t="str" cm="1">
        <f t="array" ref="Q86">IF(_xlfn.XLOOKUP($A86&amp;$B86&amp;$C86,盘货信息!$A:$A&amp;盘货信息!$B:$B&amp;盘货信息!$C:$C,盘货信息!$X:$X)="","","【"&amp;盘货信息!$X$1&amp;"】"&amp;_xlfn.XLOOKUP($A86&amp;$B86&amp;$C86,盘货信息!$A:$A&amp;盘货信息!$B:$B&amp;盘货信息!$C:$C,盘货信息!$X:$X))</f>
        <v/>
      </c>
      <c r="R86" s="27" t="str" cm="1">
        <f t="array" ref="R86">IF(_xlfn.XLOOKUP($A86&amp;$B86&amp;$C86,盘货信息!$A:$A&amp;盘货信息!$B:$B&amp;盘货信息!$C:$C,盘货信息!$Z:$Z)="","","【"&amp;盘货信息!$Z$1&amp;"】"&amp;_xlfn.XLOOKUP($A86&amp;$B86&amp;$C86,盘货信息!$A:$A&amp;盘货信息!$B:$B&amp;盘货信息!$C:$C,盘货信息!$Z:$Z))</f>
        <v/>
      </c>
      <c r="S86" s="27" t="str" cm="1">
        <f t="array" ref="S86">IF(_xlfn.XLOOKUP($A86&amp;$B86&amp;$C86,盘货信息!$A:$A&amp;盘货信息!$B:$B&amp;盘货信息!$C:$C,盘货信息!$Q:$Q)="","","【种草】站外带指定话题种草后返"&amp;_xlfn.XLOOKUP($A86&amp;$B86&amp;$C86,盘货信息!$A:$A&amp;盘货信息!$B:$B&amp;盘货信息!$C:$C,盘货信息!$Q:$Q)&amp;"元红包（每个淘宝账号仅限对应一个站外种草账号，同一个种草账号不可对应多个淘宝账号）")</f>
        <v/>
      </c>
      <c r="T86" s="27" t="str" cm="1">
        <f t="array" ref="T86">IF(_xlfn.XLOOKUP($A86&amp;$B86&amp;$C86,盘货信息!$A:$A&amp;盘货信息!$B:$B&amp;盘货信息!$C:$C,盘货信息!$R:$R)&lt;1,"","【以旧换新】"&amp;"享补贴"&amp;ROUND(_xlfn.XLOOKUP($A86&amp;$B86&amp;$C86,盘货信息!$A:$A&amp;盘货信息!$B:$B&amp;盘货信息!$C:$C,盘货信息!$R:$R),0)&amp;"元（可无旧机换新）")</f>
        <v/>
      </c>
      <c r="U86" s="27" t="str">
        <f>IF(AND($N86="",$O86="",$P86="",$Q86="",$R86="",$S86="",$T86=""),"",固定信息!$B$1)</f>
        <v/>
      </c>
      <c r="V86" s="27" t="str" cm="1">
        <f t="array" ref="V86">IF(_xlfn.XLOOKUP($A86&amp;$B86&amp;$C86,盘货信息!$A:$A&amp;盘货信息!$B:$B&amp;盘货信息!$C:$C,盘货信息!$Y:$Y)="","","【卡萨帝送赠】活动指定时间"&amp;_xlfn.TEXTBEFORE(_xlfn.TEXTAFTER(_xlfn.XLOOKUP($A86&amp;$B86&amp;$C86,盘货信息!$A:$A&amp;盘货信息!$B:$B&amp;盘货信息!$C:$C,盘货信息!$Y:$Y),"点"),"（"))</f>
        <v/>
      </c>
      <c r="W86" s="27" t="str" cm="1">
        <f t="array" ref="W86">IF(COUNTIF(_xlfn.XLOOKUP($A86&amp;$B86&amp;$C86,盘货信息!$A:$A&amp;盘货信息!$B:$B&amp;盘货信息!$C:$C,盘货信息!$O:$O),"*是*"),"【折扣】指定型号满2类享96折，满3类享94折","")</f>
        <v/>
      </c>
      <c r="X86" s="27" t="str" cm="1">
        <f t="array" ref="X86">IF(固定信息!$B$7="","",IF(_xlfn.XLOOKUP($A86&amp;$B86&amp;$C86,盘货信息!$A:$A&amp;盘货信息!$B:$B&amp;盘货信息!$C:$C,盘货信息!$N:$N)="是","【瓜分】"&amp;固定信息!$B$7,""))</f>
        <v/>
      </c>
      <c r="Y86" s="27" t="str">
        <f>IF(AND($V86="",$W86="",$X86=""),"",固定信息!$B$1)</f>
        <v/>
      </c>
      <c r="Z86" s="27" t="str" cm="1">
        <f t="array" ref="Z86">IF($C86="","",_xlfn.XLOOKUP($A86&amp;$B86&amp;$C86,服务!$A:$A&amp;服务!$B:$B&amp;服务!$C:$C,服务!$D:$D))</f>
        <v/>
      </c>
    </row>
    <row r="87" customHeight="1" spans="1:26">
      <c r="A87" s="26" t="str">
        <f>IF(盘货信息!A87="","",盘货信息!A87)</f>
        <v/>
      </c>
      <c r="B87" s="26" t="str">
        <f>IF(盘货信息!B87="","",盘货信息!B87)</f>
        <v/>
      </c>
      <c r="C87" s="27" t="str">
        <f>IF(盘货信息!C87="","",盘货信息!C87)</f>
        <v/>
      </c>
      <c r="D87" s="27" t="str">
        <f ca="1" t="shared" si="1"/>
        <v/>
      </c>
      <c r="E87" s="27" t="str">
        <f>IF(C87="","",固定信息!$B$2)</f>
        <v/>
      </c>
      <c r="F87" s="27" t="str">
        <f>IF(C87="","","【"&amp;C87&amp;"】"&amp;固定信息!$B$4)</f>
        <v/>
      </c>
      <c r="G87" s="27" t="str">
        <f>IF(C87="","","【"&amp;"活动时间："&amp;固定信息!$B$3&amp;"】")</f>
        <v/>
      </c>
      <c r="H87" s="27" t="str">
        <f>IF($C87="","",固定信息!$B$1)</f>
        <v/>
      </c>
      <c r="I87" s="27" t="str">
        <f>IF(OR(C87="",固定信息!$B$5=""),"","【1元预约锁好礼】"&amp;固定信息!$B$5)</f>
        <v/>
      </c>
      <c r="J87" s="27" t="str" cm="1">
        <f t="array" ref="J87">_xlfn.XLOOKUP($A87&amp;$B87&amp;$C87,价格信息!$A:$A&amp;价格信息!$B:$B&amp;价格信息!$C:$C,价格信息!$D:$D)</f>
        <v/>
      </c>
      <c r="K87" s="27" t="str">
        <f>IF($C87="","",固定信息!$B$1)</f>
        <v/>
      </c>
      <c r="L87" s="27" t="str" cm="1">
        <f t="array" ref="L87">IF(_xlfn.XLOOKUP($A87&amp;$B87&amp;$C87,盘货信息!$A:$A&amp;盘货信息!$B:$B&amp;盘货信息!$C:$C,盘货信息!$T:$T)="","","【优惠券】领"&amp;_xlfn.XLOOKUP($A87&amp;$B87&amp;$C87,盘货信息!$A:$A&amp;盘货信息!$B:$B&amp;盘货信息!$C:$C,盘货信息!$T:$T)&amp;"元优惠卷下单更优惠，领券链接："&amp;_xlfn.XLOOKUP($A87&amp;$B87&amp;$C87,盘货信息!$A:$A&amp;盘货信息!$B:$B&amp;盘货信息!$C:$C,盘货信息!$U:$U))</f>
        <v/>
      </c>
      <c r="M87" s="27" t="str" cm="1">
        <f t="array" ref="M87">IF(_xlfn.XLOOKUP($A87&amp;$B87&amp;$C87,盘货信息!$A:$A&amp;盘货信息!$B:$B&amp;盘货信息!$C:$C,盘货信息!$P:$P)="","","【限时】"&amp;_xlfn.XLOOKUP($A87&amp;$B87&amp;$C87,盘货信息!$A:$A&amp;盘货信息!$B:$B&amp;盘货信息!$C:$C,盘货信息!$P:$P))</f>
        <v/>
      </c>
      <c r="N87" s="27" t="str" cm="1">
        <f t="array" ref="N87">IF(_xlfn.XLOOKUP($A87&amp;$B87&amp;$C87,盘货信息!$A:$A&amp;盘货信息!$B:$B&amp;盘货信息!$C:$C,盘货信息!$V:$V)="","","【"&amp;盘货信息!$V$1&amp;"】"&amp;_xlfn.XLOOKUP($A87&amp;$B87&amp;$C87,盘货信息!$A:$A&amp;盘货信息!$B:$B&amp;盘货信息!$C:$C,盘货信息!$V:$V))</f>
        <v/>
      </c>
      <c r="O87" s="27" t="str" cm="1">
        <f t="array" ref="O87">IF(_xlfn.XLOOKUP($A87&amp;$B87&amp;$C87,盘货信息!$A:$A&amp;盘货信息!$B:$B&amp;盘货信息!$C:$C,盘货信息!$W:$W)="","","【"&amp;盘货信息!$W$1&amp;"】"&amp;_xlfn.XLOOKUP($A87&amp;$B87&amp;$C87,盘货信息!$A:$A&amp;盘货信息!$B:$B&amp;盘货信息!$C:$C,盘货信息!$W:$W))</f>
        <v/>
      </c>
      <c r="P87" s="27" t="str" cm="1">
        <f t="array" ref="P87">IF(_xlfn.XLOOKUP($A87&amp;$B87&amp;$C87,盘货信息!$A:$A&amp;盘货信息!$B:$B&amp;盘货信息!$C:$C,盘货信息!$S:$S)&lt;1,"","【"&amp;盘货信息!$S$1&amp;"】"&amp;"后返"&amp;_xlfn.XLOOKUP($A87&amp;$B87&amp;$C87,盘货信息!$A:$A&amp;盘货信息!$B:$B&amp;盘货信息!$C:$C,盘货信息!$S:$S)&amp;"元")</f>
        <v/>
      </c>
      <c r="Q87" s="27" t="str" cm="1">
        <f t="array" ref="Q87">IF(_xlfn.XLOOKUP($A87&amp;$B87&amp;$C87,盘货信息!$A:$A&amp;盘货信息!$B:$B&amp;盘货信息!$C:$C,盘货信息!$X:$X)="","","【"&amp;盘货信息!$X$1&amp;"】"&amp;_xlfn.XLOOKUP($A87&amp;$B87&amp;$C87,盘货信息!$A:$A&amp;盘货信息!$B:$B&amp;盘货信息!$C:$C,盘货信息!$X:$X))</f>
        <v/>
      </c>
      <c r="R87" s="27" t="str" cm="1">
        <f t="array" ref="R87">IF(_xlfn.XLOOKUP($A87&amp;$B87&amp;$C87,盘货信息!$A:$A&amp;盘货信息!$B:$B&amp;盘货信息!$C:$C,盘货信息!$Z:$Z)="","","【"&amp;盘货信息!$Z$1&amp;"】"&amp;_xlfn.XLOOKUP($A87&amp;$B87&amp;$C87,盘货信息!$A:$A&amp;盘货信息!$B:$B&amp;盘货信息!$C:$C,盘货信息!$Z:$Z))</f>
        <v/>
      </c>
      <c r="S87" s="27" t="str" cm="1">
        <f t="array" ref="S87">IF(_xlfn.XLOOKUP($A87&amp;$B87&amp;$C87,盘货信息!$A:$A&amp;盘货信息!$B:$B&amp;盘货信息!$C:$C,盘货信息!$Q:$Q)="","","【种草】站外带指定话题种草后返"&amp;_xlfn.XLOOKUP($A87&amp;$B87&amp;$C87,盘货信息!$A:$A&amp;盘货信息!$B:$B&amp;盘货信息!$C:$C,盘货信息!$Q:$Q)&amp;"元红包（每个淘宝账号仅限对应一个站外种草账号，同一个种草账号不可对应多个淘宝账号）")</f>
        <v/>
      </c>
      <c r="T87" s="27" t="str" cm="1">
        <f t="array" ref="T87">IF(_xlfn.XLOOKUP($A87&amp;$B87&amp;$C87,盘货信息!$A:$A&amp;盘货信息!$B:$B&amp;盘货信息!$C:$C,盘货信息!$R:$R)&lt;1,"","【以旧换新】"&amp;"享补贴"&amp;ROUND(_xlfn.XLOOKUP($A87&amp;$B87&amp;$C87,盘货信息!$A:$A&amp;盘货信息!$B:$B&amp;盘货信息!$C:$C,盘货信息!$R:$R),0)&amp;"元（可无旧机换新）")</f>
        <v/>
      </c>
      <c r="U87" s="27" t="str">
        <f>IF(AND($N87="",$O87="",$P87="",$Q87="",$R87="",$S87="",$T87=""),"",固定信息!$B$1)</f>
        <v/>
      </c>
      <c r="V87" s="27" t="str" cm="1">
        <f t="array" ref="V87">IF(_xlfn.XLOOKUP($A87&amp;$B87&amp;$C87,盘货信息!$A:$A&amp;盘货信息!$B:$B&amp;盘货信息!$C:$C,盘货信息!$Y:$Y)="","","【卡萨帝送赠】活动指定时间"&amp;_xlfn.TEXTBEFORE(_xlfn.TEXTAFTER(_xlfn.XLOOKUP($A87&amp;$B87&amp;$C87,盘货信息!$A:$A&amp;盘货信息!$B:$B&amp;盘货信息!$C:$C,盘货信息!$Y:$Y),"点"),"（"))</f>
        <v/>
      </c>
      <c r="W87" s="27" t="str" cm="1">
        <f t="array" ref="W87">IF(COUNTIF(_xlfn.XLOOKUP($A87&amp;$B87&amp;$C87,盘货信息!$A:$A&amp;盘货信息!$B:$B&amp;盘货信息!$C:$C,盘货信息!$O:$O),"*是*"),"【折扣】指定型号满2类享96折，满3类享94折","")</f>
        <v/>
      </c>
      <c r="X87" s="27" t="str" cm="1">
        <f t="array" ref="X87">IF(固定信息!$B$7="","",IF(_xlfn.XLOOKUP($A87&amp;$B87&amp;$C87,盘货信息!$A:$A&amp;盘货信息!$B:$B&amp;盘货信息!$C:$C,盘货信息!$N:$N)="是","【瓜分】"&amp;固定信息!$B$7,""))</f>
        <v/>
      </c>
      <c r="Y87" s="27" t="str">
        <f>IF(AND($V87="",$W87="",$X87=""),"",固定信息!$B$1)</f>
        <v/>
      </c>
      <c r="Z87" s="27" t="str" cm="1">
        <f t="array" ref="Z87">IF($C87="","",_xlfn.XLOOKUP($A87&amp;$B87&amp;$C87,服务!$A:$A&amp;服务!$B:$B&amp;服务!$C:$C,服务!$D:$D))</f>
        <v/>
      </c>
    </row>
    <row r="88" customHeight="1" spans="1:26">
      <c r="A88" s="26" t="str">
        <f>IF(盘货信息!A88="","",盘货信息!A88)</f>
        <v/>
      </c>
      <c r="B88" s="26" t="str">
        <f>IF(盘货信息!B88="","",盘货信息!B88)</f>
        <v/>
      </c>
      <c r="C88" s="27" t="str">
        <f>IF(盘货信息!C88="","",盘货信息!C88)</f>
        <v/>
      </c>
      <c r="D88" s="27" t="str">
        <f ca="1" t="shared" si="1"/>
        <v/>
      </c>
      <c r="E88" s="27" t="str">
        <f>IF(C88="","",固定信息!$B$2)</f>
        <v/>
      </c>
      <c r="F88" s="27" t="str">
        <f>IF(C88="","","【"&amp;C88&amp;"】"&amp;固定信息!$B$4)</f>
        <v/>
      </c>
      <c r="G88" s="27" t="str">
        <f>IF(C88="","","【"&amp;"活动时间："&amp;固定信息!$B$3&amp;"】")</f>
        <v/>
      </c>
      <c r="H88" s="27" t="str">
        <f>IF($C88="","",固定信息!$B$1)</f>
        <v/>
      </c>
      <c r="I88" s="27" t="str">
        <f>IF(OR(C88="",固定信息!$B$5=""),"","【1元预约锁好礼】"&amp;固定信息!$B$5)</f>
        <v/>
      </c>
      <c r="J88" s="27" t="str" cm="1">
        <f t="array" ref="J88">_xlfn.XLOOKUP($A88&amp;$B88&amp;$C88,价格信息!$A:$A&amp;价格信息!$B:$B&amp;价格信息!$C:$C,价格信息!$D:$D)</f>
        <v/>
      </c>
      <c r="K88" s="27" t="str">
        <f>IF($C88="","",固定信息!$B$1)</f>
        <v/>
      </c>
      <c r="L88" s="27" t="str" cm="1">
        <f t="array" ref="L88">IF(_xlfn.XLOOKUP($A88&amp;$B88&amp;$C88,盘货信息!$A:$A&amp;盘货信息!$B:$B&amp;盘货信息!$C:$C,盘货信息!$T:$T)="","","【优惠券】领"&amp;_xlfn.XLOOKUP($A88&amp;$B88&amp;$C88,盘货信息!$A:$A&amp;盘货信息!$B:$B&amp;盘货信息!$C:$C,盘货信息!$T:$T)&amp;"元优惠卷下单更优惠，领券链接："&amp;_xlfn.XLOOKUP($A88&amp;$B88&amp;$C88,盘货信息!$A:$A&amp;盘货信息!$B:$B&amp;盘货信息!$C:$C,盘货信息!$U:$U))</f>
        <v/>
      </c>
      <c r="M88" s="27" t="str" cm="1">
        <f t="array" ref="M88">IF(_xlfn.XLOOKUP($A88&amp;$B88&amp;$C88,盘货信息!$A:$A&amp;盘货信息!$B:$B&amp;盘货信息!$C:$C,盘货信息!$P:$P)="","","【限时】"&amp;_xlfn.XLOOKUP($A88&amp;$B88&amp;$C88,盘货信息!$A:$A&amp;盘货信息!$B:$B&amp;盘货信息!$C:$C,盘货信息!$P:$P))</f>
        <v/>
      </c>
      <c r="N88" s="27" t="str" cm="1">
        <f t="array" ref="N88">IF(_xlfn.XLOOKUP($A88&amp;$B88&amp;$C88,盘货信息!$A:$A&amp;盘货信息!$B:$B&amp;盘货信息!$C:$C,盘货信息!$V:$V)="","","【"&amp;盘货信息!$V$1&amp;"】"&amp;_xlfn.XLOOKUP($A88&amp;$B88&amp;$C88,盘货信息!$A:$A&amp;盘货信息!$B:$B&amp;盘货信息!$C:$C,盘货信息!$V:$V))</f>
        <v/>
      </c>
      <c r="O88" s="27" t="str" cm="1">
        <f t="array" ref="O88">IF(_xlfn.XLOOKUP($A88&amp;$B88&amp;$C88,盘货信息!$A:$A&amp;盘货信息!$B:$B&amp;盘货信息!$C:$C,盘货信息!$W:$W)="","","【"&amp;盘货信息!$W$1&amp;"】"&amp;_xlfn.XLOOKUP($A88&amp;$B88&amp;$C88,盘货信息!$A:$A&amp;盘货信息!$B:$B&amp;盘货信息!$C:$C,盘货信息!$W:$W))</f>
        <v/>
      </c>
      <c r="P88" s="27" t="str" cm="1">
        <f t="array" ref="P88">IF(_xlfn.XLOOKUP($A88&amp;$B88&amp;$C88,盘货信息!$A:$A&amp;盘货信息!$B:$B&amp;盘货信息!$C:$C,盘货信息!$S:$S)&lt;1,"","【"&amp;盘货信息!$S$1&amp;"】"&amp;"后返"&amp;_xlfn.XLOOKUP($A88&amp;$B88&amp;$C88,盘货信息!$A:$A&amp;盘货信息!$B:$B&amp;盘货信息!$C:$C,盘货信息!$S:$S)&amp;"元")</f>
        <v/>
      </c>
      <c r="Q88" s="27" t="str" cm="1">
        <f t="array" ref="Q88">IF(_xlfn.XLOOKUP($A88&amp;$B88&amp;$C88,盘货信息!$A:$A&amp;盘货信息!$B:$B&amp;盘货信息!$C:$C,盘货信息!$X:$X)="","","【"&amp;盘货信息!$X$1&amp;"】"&amp;_xlfn.XLOOKUP($A88&amp;$B88&amp;$C88,盘货信息!$A:$A&amp;盘货信息!$B:$B&amp;盘货信息!$C:$C,盘货信息!$X:$X))</f>
        <v/>
      </c>
      <c r="R88" s="27" t="str" cm="1">
        <f t="array" ref="R88">IF(_xlfn.XLOOKUP($A88&amp;$B88&amp;$C88,盘货信息!$A:$A&amp;盘货信息!$B:$B&amp;盘货信息!$C:$C,盘货信息!$Z:$Z)="","","【"&amp;盘货信息!$Z$1&amp;"】"&amp;_xlfn.XLOOKUP($A88&amp;$B88&amp;$C88,盘货信息!$A:$A&amp;盘货信息!$B:$B&amp;盘货信息!$C:$C,盘货信息!$Z:$Z))</f>
        <v/>
      </c>
      <c r="S88" s="27" t="str" cm="1">
        <f t="array" ref="S88">IF(_xlfn.XLOOKUP($A88&amp;$B88&amp;$C88,盘货信息!$A:$A&amp;盘货信息!$B:$B&amp;盘货信息!$C:$C,盘货信息!$Q:$Q)="","","【种草】站外带指定话题种草后返"&amp;_xlfn.XLOOKUP($A88&amp;$B88&amp;$C88,盘货信息!$A:$A&amp;盘货信息!$B:$B&amp;盘货信息!$C:$C,盘货信息!$Q:$Q)&amp;"元红包（每个淘宝账号仅限对应一个站外种草账号，同一个种草账号不可对应多个淘宝账号）")</f>
        <v/>
      </c>
      <c r="T88" s="27" t="str" cm="1">
        <f t="array" ref="T88">IF(_xlfn.XLOOKUP($A88&amp;$B88&amp;$C88,盘货信息!$A:$A&amp;盘货信息!$B:$B&amp;盘货信息!$C:$C,盘货信息!$R:$R)&lt;1,"","【以旧换新】"&amp;"享补贴"&amp;ROUND(_xlfn.XLOOKUP($A88&amp;$B88&amp;$C88,盘货信息!$A:$A&amp;盘货信息!$B:$B&amp;盘货信息!$C:$C,盘货信息!$R:$R),0)&amp;"元（可无旧机换新）")</f>
        <v/>
      </c>
      <c r="U88" s="27" t="str">
        <f>IF(AND($N88="",$O88="",$P88="",$Q88="",$R88="",$S88="",$T88=""),"",固定信息!$B$1)</f>
        <v/>
      </c>
      <c r="V88" s="27" t="str" cm="1">
        <f t="array" ref="V88">IF(_xlfn.XLOOKUP($A88&amp;$B88&amp;$C88,盘货信息!$A:$A&amp;盘货信息!$B:$B&amp;盘货信息!$C:$C,盘货信息!$Y:$Y)="","","【卡萨帝送赠】活动指定时间"&amp;_xlfn.TEXTBEFORE(_xlfn.TEXTAFTER(_xlfn.XLOOKUP($A88&amp;$B88&amp;$C88,盘货信息!$A:$A&amp;盘货信息!$B:$B&amp;盘货信息!$C:$C,盘货信息!$Y:$Y),"点"),"（"))</f>
        <v/>
      </c>
      <c r="W88" s="27" t="str" cm="1">
        <f t="array" ref="W88">IF(COUNTIF(_xlfn.XLOOKUP($A88&amp;$B88&amp;$C88,盘货信息!$A:$A&amp;盘货信息!$B:$B&amp;盘货信息!$C:$C,盘货信息!$O:$O),"*是*"),"【折扣】指定型号满2类享96折，满3类享94折","")</f>
        <v/>
      </c>
      <c r="X88" s="27" t="str" cm="1">
        <f t="array" ref="X88">IF(固定信息!$B$7="","",IF(_xlfn.XLOOKUP($A88&amp;$B88&amp;$C88,盘货信息!$A:$A&amp;盘货信息!$B:$B&amp;盘货信息!$C:$C,盘货信息!$N:$N)="是","【瓜分】"&amp;固定信息!$B$7,""))</f>
        <v/>
      </c>
      <c r="Y88" s="27" t="str">
        <f>IF(AND($V88="",$W88="",$X88=""),"",固定信息!$B$1)</f>
        <v/>
      </c>
      <c r="Z88" s="27" t="str" cm="1">
        <f t="array" ref="Z88">IF($C88="","",_xlfn.XLOOKUP($A88&amp;$B88&amp;$C88,服务!$A:$A&amp;服务!$B:$B&amp;服务!$C:$C,服务!$D:$D))</f>
        <v/>
      </c>
    </row>
    <row r="89" customHeight="1" spans="1:26">
      <c r="A89" s="26" t="str">
        <f>IF(盘货信息!A89="","",盘货信息!A89)</f>
        <v/>
      </c>
      <c r="B89" s="26" t="str">
        <f>IF(盘货信息!B89="","",盘货信息!B89)</f>
        <v/>
      </c>
      <c r="C89" s="27" t="str">
        <f>IF(盘货信息!C89="","",盘货信息!C89)</f>
        <v/>
      </c>
      <c r="D89" s="27" t="str">
        <f ca="1" t="shared" si="1"/>
        <v/>
      </c>
      <c r="E89" s="27" t="str">
        <f>IF(C89="","",固定信息!$B$2)</f>
        <v/>
      </c>
      <c r="F89" s="27" t="str">
        <f>IF(C89="","","【"&amp;C89&amp;"】"&amp;固定信息!$B$4)</f>
        <v/>
      </c>
      <c r="G89" s="27" t="str">
        <f>IF(C89="","","【"&amp;"活动时间："&amp;固定信息!$B$3&amp;"】")</f>
        <v/>
      </c>
      <c r="H89" s="27" t="str">
        <f>IF($C89="","",固定信息!$B$1)</f>
        <v/>
      </c>
      <c r="I89" s="27" t="str">
        <f>IF(OR(C89="",固定信息!$B$5=""),"","【1元预约锁好礼】"&amp;固定信息!$B$5)</f>
        <v/>
      </c>
      <c r="J89" s="27" t="str" cm="1">
        <f t="array" ref="J89">_xlfn.XLOOKUP($A89&amp;$B89&amp;$C89,价格信息!$A:$A&amp;价格信息!$B:$B&amp;价格信息!$C:$C,价格信息!$D:$D)</f>
        <v/>
      </c>
      <c r="K89" s="27" t="str">
        <f>IF($C89="","",固定信息!$B$1)</f>
        <v/>
      </c>
      <c r="L89" s="27" t="str" cm="1">
        <f t="array" ref="L89">IF(_xlfn.XLOOKUP($A89&amp;$B89&amp;$C89,盘货信息!$A:$A&amp;盘货信息!$B:$B&amp;盘货信息!$C:$C,盘货信息!$T:$T)="","","【优惠券】领"&amp;_xlfn.XLOOKUP($A89&amp;$B89&amp;$C89,盘货信息!$A:$A&amp;盘货信息!$B:$B&amp;盘货信息!$C:$C,盘货信息!$T:$T)&amp;"元优惠卷下单更优惠，领券链接："&amp;_xlfn.XLOOKUP($A89&amp;$B89&amp;$C89,盘货信息!$A:$A&amp;盘货信息!$B:$B&amp;盘货信息!$C:$C,盘货信息!$U:$U))</f>
        <v/>
      </c>
      <c r="M89" s="27" t="str" cm="1">
        <f t="array" ref="M89">IF(_xlfn.XLOOKUP($A89&amp;$B89&amp;$C89,盘货信息!$A:$A&amp;盘货信息!$B:$B&amp;盘货信息!$C:$C,盘货信息!$P:$P)="","","【限时】"&amp;_xlfn.XLOOKUP($A89&amp;$B89&amp;$C89,盘货信息!$A:$A&amp;盘货信息!$B:$B&amp;盘货信息!$C:$C,盘货信息!$P:$P))</f>
        <v/>
      </c>
      <c r="N89" s="27" t="str" cm="1">
        <f t="array" ref="N89">IF(_xlfn.XLOOKUP($A89&amp;$B89&amp;$C89,盘货信息!$A:$A&amp;盘货信息!$B:$B&amp;盘货信息!$C:$C,盘货信息!$V:$V)="","","【"&amp;盘货信息!$V$1&amp;"】"&amp;_xlfn.XLOOKUP($A89&amp;$B89&amp;$C89,盘货信息!$A:$A&amp;盘货信息!$B:$B&amp;盘货信息!$C:$C,盘货信息!$V:$V))</f>
        <v/>
      </c>
      <c r="O89" s="27" t="str" cm="1">
        <f t="array" ref="O89">IF(_xlfn.XLOOKUP($A89&amp;$B89&amp;$C89,盘货信息!$A:$A&amp;盘货信息!$B:$B&amp;盘货信息!$C:$C,盘货信息!$W:$W)="","","【"&amp;盘货信息!$W$1&amp;"】"&amp;_xlfn.XLOOKUP($A89&amp;$B89&amp;$C89,盘货信息!$A:$A&amp;盘货信息!$B:$B&amp;盘货信息!$C:$C,盘货信息!$W:$W))</f>
        <v/>
      </c>
      <c r="P89" s="27" t="str" cm="1">
        <f t="array" ref="P89">IF(_xlfn.XLOOKUP($A89&amp;$B89&amp;$C89,盘货信息!$A:$A&amp;盘货信息!$B:$B&amp;盘货信息!$C:$C,盘货信息!$S:$S)&lt;1,"","【"&amp;盘货信息!$S$1&amp;"】"&amp;"后返"&amp;_xlfn.XLOOKUP($A89&amp;$B89&amp;$C89,盘货信息!$A:$A&amp;盘货信息!$B:$B&amp;盘货信息!$C:$C,盘货信息!$S:$S)&amp;"元")</f>
        <v/>
      </c>
      <c r="Q89" s="27" t="str" cm="1">
        <f t="array" ref="Q89">IF(_xlfn.XLOOKUP($A89&amp;$B89&amp;$C89,盘货信息!$A:$A&amp;盘货信息!$B:$B&amp;盘货信息!$C:$C,盘货信息!$X:$X)="","","【"&amp;盘货信息!$X$1&amp;"】"&amp;_xlfn.XLOOKUP($A89&amp;$B89&amp;$C89,盘货信息!$A:$A&amp;盘货信息!$B:$B&amp;盘货信息!$C:$C,盘货信息!$X:$X))</f>
        <v/>
      </c>
      <c r="R89" s="27" t="str" cm="1">
        <f t="array" ref="R89">IF(_xlfn.XLOOKUP($A89&amp;$B89&amp;$C89,盘货信息!$A:$A&amp;盘货信息!$B:$B&amp;盘货信息!$C:$C,盘货信息!$Z:$Z)="","","【"&amp;盘货信息!$Z$1&amp;"】"&amp;_xlfn.XLOOKUP($A89&amp;$B89&amp;$C89,盘货信息!$A:$A&amp;盘货信息!$B:$B&amp;盘货信息!$C:$C,盘货信息!$Z:$Z))</f>
        <v/>
      </c>
      <c r="S89" s="27" t="str" cm="1">
        <f t="array" ref="S89">IF(_xlfn.XLOOKUP($A89&amp;$B89&amp;$C89,盘货信息!$A:$A&amp;盘货信息!$B:$B&amp;盘货信息!$C:$C,盘货信息!$Q:$Q)="","","【种草】站外带指定话题种草后返"&amp;_xlfn.XLOOKUP($A89&amp;$B89&amp;$C89,盘货信息!$A:$A&amp;盘货信息!$B:$B&amp;盘货信息!$C:$C,盘货信息!$Q:$Q)&amp;"元红包（每个淘宝账号仅限对应一个站外种草账号，同一个种草账号不可对应多个淘宝账号）")</f>
        <v/>
      </c>
      <c r="T89" s="27" t="str" cm="1">
        <f t="array" ref="T89">IF(_xlfn.XLOOKUP($A89&amp;$B89&amp;$C89,盘货信息!$A:$A&amp;盘货信息!$B:$B&amp;盘货信息!$C:$C,盘货信息!$R:$R)&lt;1,"","【以旧换新】"&amp;"享补贴"&amp;ROUND(_xlfn.XLOOKUP($A89&amp;$B89&amp;$C89,盘货信息!$A:$A&amp;盘货信息!$B:$B&amp;盘货信息!$C:$C,盘货信息!$R:$R),0)&amp;"元（可无旧机换新）")</f>
        <v/>
      </c>
      <c r="U89" s="27" t="str">
        <f>IF(AND($N89="",$O89="",$P89="",$Q89="",$R89="",$S89="",$T89=""),"",固定信息!$B$1)</f>
        <v/>
      </c>
      <c r="V89" s="27" t="str" cm="1">
        <f t="array" ref="V89">IF(_xlfn.XLOOKUP($A89&amp;$B89&amp;$C89,盘货信息!$A:$A&amp;盘货信息!$B:$B&amp;盘货信息!$C:$C,盘货信息!$Y:$Y)="","","【卡萨帝送赠】活动指定时间"&amp;_xlfn.TEXTBEFORE(_xlfn.TEXTAFTER(_xlfn.XLOOKUP($A89&amp;$B89&amp;$C89,盘货信息!$A:$A&amp;盘货信息!$B:$B&amp;盘货信息!$C:$C,盘货信息!$Y:$Y),"点"),"（"))</f>
        <v/>
      </c>
      <c r="W89" s="27" t="str" cm="1">
        <f t="array" ref="W89">IF(COUNTIF(_xlfn.XLOOKUP($A89&amp;$B89&amp;$C89,盘货信息!$A:$A&amp;盘货信息!$B:$B&amp;盘货信息!$C:$C,盘货信息!$O:$O),"*是*"),"【折扣】指定型号满2类享96折，满3类享94折","")</f>
        <v/>
      </c>
      <c r="X89" s="27" t="str" cm="1">
        <f t="array" ref="X89">IF(固定信息!$B$7="","",IF(_xlfn.XLOOKUP($A89&amp;$B89&amp;$C89,盘货信息!$A:$A&amp;盘货信息!$B:$B&amp;盘货信息!$C:$C,盘货信息!$N:$N)="是","【瓜分】"&amp;固定信息!$B$7,""))</f>
        <v/>
      </c>
      <c r="Y89" s="27" t="str">
        <f>IF(AND($V89="",$W89="",$X89=""),"",固定信息!$B$1)</f>
        <v/>
      </c>
      <c r="Z89" s="27" t="str" cm="1">
        <f t="array" ref="Z89">IF($C89="","",_xlfn.XLOOKUP($A89&amp;$B89&amp;$C89,服务!$A:$A&amp;服务!$B:$B&amp;服务!$C:$C,服务!$D:$D))</f>
        <v/>
      </c>
    </row>
    <row r="90" customHeight="1" spans="1:26">
      <c r="A90" s="26" t="str">
        <f>IF(盘货信息!A90="","",盘货信息!A90)</f>
        <v/>
      </c>
      <c r="B90" s="26" t="str">
        <f>IF(盘货信息!B90="","",盘货信息!B90)</f>
        <v/>
      </c>
      <c r="C90" s="27" t="str">
        <f>IF(盘货信息!C90="","",盘货信息!C90)</f>
        <v/>
      </c>
      <c r="D90" s="27" t="str">
        <f ca="1" t="shared" si="1"/>
        <v/>
      </c>
      <c r="E90" s="27" t="str">
        <f>IF(C90="","",固定信息!$B$2)</f>
        <v/>
      </c>
      <c r="F90" s="27" t="str">
        <f>IF(C90="","","【"&amp;C90&amp;"】"&amp;固定信息!$B$4)</f>
        <v/>
      </c>
      <c r="G90" s="27" t="str">
        <f>IF(C90="","","【"&amp;"活动时间："&amp;固定信息!$B$3&amp;"】")</f>
        <v/>
      </c>
      <c r="H90" s="27" t="str">
        <f>IF($C90="","",固定信息!$B$1)</f>
        <v/>
      </c>
      <c r="I90" s="27" t="str">
        <f>IF(OR(C90="",固定信息!$B$5=""),"","【1元预约锁好礼】"&amp;固定信息!$B$5)</f>
        <v/>
      </c>
      <c r="J90" s="27" t="str" cm="1">
        <f t="array" ref="J90">_xlfn.XLOOKUP($A90&amp;$B90&amp;$C90,价格信息!$A:$A&amp;价格信息!$B:$B&amp;价格信息!$C:$C,价格信息!$D:$D)</f>
        <v/>
      </c>
      <c r="K90" s="27" t="str">
        <f>IF($C90="","",固定信息!$B$1)</f>
        <v/>
      </c>
      <c r="L90" s="27" t="str" cm="1">
        <f t="array" ref="L90">IF(_xlfn.XLOOKUP($A90&amp;$B90&amp;$C90,盘货信息!$A:$A&amp;盘货信息!$B:$B&amp;盘货信息!$C:$C,盘货信息!$T:$T)="","","【优惠券】领"&amp;_xlfn.XLOOKUP($A90&amp;$B90&amp;$C90,盘货信息!$A:$A&amp;盘货信息!$B:$B&amp;盘货信息!$C:$C,盘货信息!$T:$T)&amp;"元优惠卷下单更优惠，领券链接："&amp;_xlfn.XLOOKUP($A90&amp;$B90&amp;$C90,盘货信息!$A:$A&amp;盘货信息!$B:$B&amp;盘货信息!$C:$C,盘货信息!$U:$U))</f>
        <v/>
      </c>
      <c r="M90" s="27" t="str" cm="1">
        <f t="array" ref="M90">IF(_xlfn.XLOOKUP($A90&amp;$B90&amp;$C90,盘货信息!$A:$A&amp;盘货信息!$B:$B&amp;盘货信息!$C:$C,盘货信息!$P:$P)="","","【限时】"&amp;_xlfn.XLOOKUP($A90&amp;$B90&amp;$C90,盘货信息!$A:$A&amp;盘货信息!$B:$B&amp;盘货信息!$C:$C,盘货信息!$P:$P))</f>
        <v/>
      </c>
      <c r="N90" s="27" t="str" cm="1">
        <f t="array" ref="N90">IF(_xlfn.XLOOKUP($A90&amp;$B90&amp;$C90,盘货信息!$A:$A&amp;盘货信息!$B:$B&amp;盘货信息!$C:$C,盘货信息!$V:$V)="","","【"&amp;盘货信息!$V$1&amp;"】"&amp;_xlfn.XLOOKUP($A90&amp;$B90&amp;$C90,盘货信息!$A:$A&amp;盘货信息!$B:$B&amp;盘货信息!$C:$C,盘货信息!$V:$V))</f>
        <v/>
      </c>
      <c r="O90" s="27" t="str" cm="1">
        <f t="array" ref="O90">IF(_xlfn.XLOOKUP($A90&amp;$B90&amp;$C90,盘货信息!$A:$A&amp;盘货信息!$B:$B&amp;盘货信息!$C:$C,盘货信息!$W:$W)="","","【"&amp;盘货信息!$W$1&amp;"】"&amp;_xlfn.XLOOKUP($A90&amp;$B90&amp;$C90,盘货信息!$A:$A&amp;盘货信息!$B:$B&amp;盘货信息!$C:$C,盘货信息!$W:$W))</f>
        <v/>
      </c>
      <c r="P90" s="27" t="str" cm="1">
        <f t="array" ref="P90">IF(_xlfn.XLOOKUP($A90&amp;$B90&amp;$C90,盘货信息!$A:$A&amp;盘货信息!$B:$B&amp;盘货信息!$C:$C,盘货信息!$S:$S)&lt;1,"","【"&amp;盘货信息!$S$1&amp;"】"&amp;"后返"&amp;_xlfn.XLOOKUP($A90&amp;$B90&amp;$C90,盘货信息!$A:$A&amp;盘货信息!$B:$B&amp;盘货信息!$C:$C,盘货信息!$S:$S)&amp;"元")</f>
        <v/>
      </c>
      <c r="Q90" s="27" t="str" cm="1">
        <f t="array" ref="Q90">IF(_xlfn.XLOOKUP($A90&amp;$B90&amp;$C90,盘货信息!$A:$A&amp;盘货信息!$B:$B&amp;盘货信息!$C:$C,盘货信息!$X:$X)="","","【"&amp;盘货信息!$X$1&amp;"】"&amp;_xlfn.XLOOKUP($A90&amp;$B90&amp;$C90,盘货信息!$A:$A&amp;盘货信息!$B:$B&amp;盘货信息!$C:$C,盘货信息!$X:$X))</f>
        <v/>
      </c>
      <c r="R90" s="27" t="str" cm="1">
        <f t="array" ref="R90">IF(_xlfn.XLOOKUP($A90&amp;$B90&amp;$C90,盘货信息!$A:$A&amp;盘货信息!$B:$B&amp;盘货信息!$C:$C,盘货信息!$Z:$Z)="","","【"&amp;盘货信息!$Z$1&amp;"】"&amp;_xlfn.XLOOKUP($A90&amp;$B90&amp;$C90,盘货信息!$A:$A&amp;盘货信息!$B:$B&amp;盘货信息!$C:$C,盘货信息!$Z:$Z))</f>
        <v/>
      </c>
      <c r="S90" s="27" t="str" cm="1">
        <f t="array" ref="S90">IF(_xlfn.XLOOKUP($A90&amp;$B90&amp;$C90,盘货信息!$A:$A&amp;盘货信息!$B:$B&amp;盘货信息!$C:$C,盘货信息!$Q:$Q)="","","【种草】站外带指定话题种草后返"&amp;_xlfn.XLOOKUP($A90&amp;$B90&amp;$C90,盘货信息!$A:$A&amp;盘货信息!$B:$B&amp;盘货信息!$C:$C,盘货信息!$Q:$Q)&amp;"元红包（每个淘宝账号仅限对应一个站外种草账号，同一个种草账号不可对应多个淘宝账号）")</f>
        <v/>
      </c>
      <c r="T90" s="27" t="str" cm="1">
        <f t="array" ref="T90">IF(_xlfn.XLOOKUP($A90&amp;$B90&amp;$C90,盘货信息!$A:$A&amp;盘货信息!$B:$B&amp;盘货信息!$C:$C,盘货信息!$R:$R)&lt;1,"","【以旧换新】"&amp;"享补贴"&amp;ROUND(_xlfn.XLOOKUP($A90&amp;$B90&amp;$C90,盘货信息!$A:$A&amp;盘货信息!$B:$B&amp;盘货信息!$C:$C,盘货信息!$R:$R),0)&amp;"元（可无旧机换新）")</f>
        <v/>
      </c>
      <c r="U90" s="27" t="str">
        <f>IF(AND($N90="",$O90="",$P90="",$Q90="",$R90="",$S90="",$T90=""),"",固定信息!$B$1)</f>
        <v/>
      </c>
      <c r="V90" s="27" t="str" cm="1">
        <f t="array" ref="V90">IF(_xlfn.XLOOKUP($A90&amp;$B90&amp;$C90,盘货信息!$A:$A&amp;盘货信息!$B:$B&amp;盘货信息!$C:$C,盘货信息!$Y:$Y)="","","【卡萨帝送赠】活动指定时间"&amp;_xlfn.TEXTBEFORE(_xlfn.TEXTAFTER(_xlfn.XLOOKUP($A90&amp;$B90&amp;$C90,盘货信息!$A:$A&amp;盘货信息!$B:$B&amp;盘货信息!$C:$C,盘货信息!$Y:$Y),"点"),"（"))</f>
        <v/>
      </c>
      <c r="W90" s="27" t="str" cm="1">
        <f t="array" ref="W90">IF(COUNTIF(_xlfn.XLOOKUP($A90&amp;$B90&amp;$C90,盘货信息!$A:$A&amp;盘货信息!$B:$B&amp;盘货信息!$C:$C,盘货信息!$O:$O),"*是*"),"【折扣】指定型号满2类享96折，满3类享94折","")</f>
        <v/>
      </c>
      <c r="X90" s="27" t="str" cm="1">
        <f t="array" ref="X90">IF(固定信息!$B$7="","",IF(_xlfn.XLOOKUP($A90&amp;$B90&amp;$C90,盘货信息!$A:$A&amp;盘货信息!$B:$B&amp;盘货信息!$C:$C,盘货信息!$N:$N)="是","【瓜分】"&amp;固定信息!$B$7,""))</f>
        <v/>
      </c>
      <c r="Y90" s="27" t="str">
        <f>IF(AND($V90="",$W90="",$X90=""),"",固定信息!$B$1)</f>
        <v/>
      </c>
      <c r="Z90" s="27" t="str" cm="1">
        <f t="array" ref="Z90">IF($C90="","",_xlfn.XLOOKUP($A90&amp;$B90&amp;$C90,服务!$A:$A&amp;服务!$B:$B&amp;服务!$C:$C,服务!$D:$D))</f>
        <v/>
      </c>
    </row>
    <row r="91" customHeight="1" spans="1:26">
      <c r="A91" s="26" t="str">
        <f>IF(盘货信息!A91="","",盘货信息!A91)</f>
        <v/>
      </c>
      <c r="B91" s="26" t="str">
        <f>IF(盘货信息!B91="","",盘货信息!B91)</f>
        <v/>
      </c>
      <c r="C91" s="27" t="str">
        <f>IF(盘货信息!C91="","",盘货信息!C91)</f>
        <v/>
      </c>
      <c r="D91" s="27" t="str">
        <f ca="1" t="shared" si="1"/>
        <v/>
      </c>
      <c r="E91" s="27" t="str">
        <f>IF(C91="","",固定信息!$B$2)</f>
        <v/>
      </c>
      <c r="F91" s="27" t="str">
        <f>IF(C91="","","【"&amp;C91&amp;"】"&amp;固定信息!$B$4)</f>
        <v/>
      </c>
      <c r="G91" s="27" t="str">
        <f>IF(C91="","","【"&amp;"活动时间："&amp;固定信息!$B$3&amp;"】")</f>
        <v/>
      </c>
      <c r="H91" s="27" t="str">
        <f>IF($C91="","",固定信息!$B$1)</f>
        <v/>
      </c>
      <c r="I91" s="27" t="str">
        <f>IF(OR(C91="",固定信息!$B$5=""),"","【1元预约锁好礼】"&amp;固定信息!$B$5)</f>
        <v/>
      </c>
      <c r="J91" s="27" t="str" cm="1">
        <f t="array" ref="J91">_xlfn.XLOOKUP($A91&amp;$B91&amp;$C91,价格信息!$A:$A&amp;价格信息!$B:$B&amp;价格信息!$C:$C,价格信息!$D:$D)</f>
        <v/>
      </c>
      <c r="K91" s="27" t="str">
        <f>IF($C91="","",固定信息!$B$1)</f>
        <v/>
      </c>
      <c r="L91" s="27" t="str" cm="1">
        <f t="array" ref="L91">IF(_xlfn.XLOOKUP($A91&amp;$B91&amp;$C91,盘货信息!$A:$A&amp;盘货信息!$B:$B&amp;盘货信息!$C:$C,盘货信息!$T:$T)="","","【优惠券】领"&amp;_xlfn.XLOOKUP($A91&amp;$B91&amp;$C91,盘货信息!$A:$A&amp;盘货信息!$B:$B&amp;盘货信息!$C:$C,盘货信息!$T:$T)&amp;"元优惠卷下单更优惠，领券链接："&amp;_xlfn.XLOOKUP($A91&amp;$B91&amp;$C91,盘货信息!$A:$A&amp;盘货信息!$B:$B&amp;盘货信息!$C:$C,盘货信息!$U:$U))</f>
        <v/>
      </c>
      <c r="M91" s="27" t="str" cm="1">
        <f t="array" ref="M91">IF(_xlfn.XLOOKUP($A91&amp;$B91&amp;$C91,盘货信息!$A:$A&amp;盘货信息!$B:$B&amp;盘货信息!$C:$C,盘货信息!$P:$P)="","","【限时】"&amp;_xlfn.XLOOKUP($A91&amp;$B91&amp;$C91,盘货信息!$A:$A&amp;盘货信息!$B:$B&amp;盘货信息!$C:$C,盘货信息!$P:$P))</f>
        <v/>
      </c>
      <c r="N91" s="27" t="str" cm="1">
        <f t="array" ref="N91">IF(_xlfn.XLOOKUP($A91&amp;$B91&amp;$C91,盘货信息!$A:$A&amp;盘货信息!$B:$B&amp;盘货信息!$C:$C,盘货信息!$V:$V)="","","【"&amp;盘货信息!$V$1&amp;"】"&amp;_xlfn.XLOOKUP($A91&amp;$B91&amp;$C91,盘货信息!$A:$A&amp;盘货信息!$B:$B&amp;盘货信息!$C:$C,盘货信息!$V:$V))</f>
        <v/>
      </c>
      <c r="O91" s="27" t="str" cm="1">
        <f t="array" ref="O91">IF(_xlfn.XLOOKUP($A91&amp;$B91&amp;$C91,盘货信息!$A:$A&amp;盘货信息!$B:$B&amp;盘货信息!$C:$C,盘货信息!$W:$W)="","","【"&amp;盘货信息!$W$1&amp;"】"&amp;_xlfn.XLOOKUP($A91&amp;$B91&amp;$C91,盘货信息!$A:$A&amp;盘货信息!$B:$B&amp;盘货信息!$C:$C,盘货信息!$W:$W))</f>
        <v/>
      </c>
      <c r="P91" s="27" t="str" cm="1">
        <f t="array" ref="P91">IF(_xlfn.XLOOKUP($A91&amp;$B91&amp;$C91,盘货信息!$A:$A&amp;盘货信息!$B:$B&amp;盘货信息!$C:$C,盘货信息!$S:$S)&lt;1,"","【"&amp;盘货信息!$S$1&amp;"】"&amp;"后返"&amp;_xlfn.XLOOKUP($A91&amp;$B91&amp;$C91,盘货信息!$A:$A&amp;盘货信息!$B:$B&amp;盘货信息!$C:$C,盘货信息!$S:$S)&amp;"元")</f>
        <v/>
      </c>
      <c r="Q91" s="27" t="str" cm="1">
        <f t="array" ref="Q91">IF(_xlfn.XLOOKUP($A91&amp;$B91&amp;$C91,盘货信息!$A:$A&amp;盘货信息!$B:$B&amp;盘货信息!$C:$C,盘货信息!$X:$X)="","","【"&amp;盘货信息!$X$1&amp;"】"&amp;_xlfn.XLOOKUP($A91&amp;$B91&amp;$C91,盘货信息!$A:$A&amp;盘货信息!$B:$B&amp;盘货信息!$C:$C,盘货信息!$X:$X))</f>
        <v/>
      </c>
      <c r="R91" s="27" t="str" cm="1">
        <f t="array" ref="R91">IF(_xlfn.XLOOKUP($A91&amp;$B91&amp;$C91,盘货信息!$A:$A&amp;盘货信息!$B:$B&amp;盘货信息!$C:$C,盘货信息!$Z:$Z)="","","【"&amp;盘货信息!$Z$1&amp;"】"&amp;_xlfn.XLOOKUP($A91&amp;$B91&amp;$C91,盘货信息!$A:$A&amp;盘货信息!$B:$B&amp;盘货信息!$C:$C,盘货信息!$Z:$Z))</f>
        <v/>
      </c>
      <c r="S91" s="27" t="str" cm="1">
        <f t="array" ref="S91">IF(_xlfn.XLOOKUP($A91&amp;$B91&amp;$C91,盘货信息!$A:$A&amp;盘货信息!$B:$B&amp;盘货信息!$C:$C,盘货信息!$Q:$Q)="","","【种草】站外带指定话题种草后返"&amp;_xlfn.XLOOKUP($A91&amp;$B91&amp;$C91,盘货信息!$A:$A&amp;盘货信息!$B:$B&amp;盘货信息!$C:$C,盘货信息!$Q:$Q)&amp;"元红包（每个淘宝账号仅限对应一个站外种草账号，同一个种草账号不可对应多个淘宝账号）")</f>
        <v/>
      </c>
      <c r="T91" s="27" t="str" cm="1">
        <f t="array" ref="T91">IF(_xlfn.XLOOKUP($A91&amp;$B91&amp;$C91,盘货信息!$A:$A&amp;盘货信息!$B:$B&amp;盘货信息!$C:$C,盘货信息!$R:$R)&lt;1,"","【以旧换新】"&amp;"享补贴"&amp;ROUND(_xlfn.XLOOKUP($A91&amp;$B91&amp;$C91,盘货信息!$A:$A&amp;盘货信息!$B:$B&amp;盘货信息!$C:$C,盘货信息!$R:$R),0)&amp;"元（可无旧机换新）")</f>
        <v/>
      </c>
      <c r="U91" s="27" t="str">
        <f>IF(AND($N91="",$O91="",$P91="",$Q91="",$R91="",$S91="",$T91=""),"",固定信息!$B$1)</f>
        <v/>
      </c>
      <c r="V91" s="27" t="str" cm="1">
        <f t="array" ref="V91">IF(_xlfn.XLOOKUP($A91&amp;$B91&amp;$C91,盘货信息!$A:$A&amp;盘货信息!$B:$B&amp;盘货信息!$C:$C,盘货信息!$Y:$Y)="","","【卡萨帝送赠】活动指定时间"&amp;_xlfn.TEXTBEFORE(_xlfn.TEXTAFTER(_xlfn.XLOOKUP($A91&amp;$B91&amp;$C91,盘货信息!$A:$A&amp;盘货信息!$B:$B&amp;盘货信息!$C:$C,盘货信息!$Y:$Y),"点"),"（"))</f>
        <v/>
      </c>
      <c r="W91" s="27" t="str" cm="1">
        <f t="array" ref="W91">IF(COUNTIF(_xlfn.XLOOKUP($A91&amp;$B91&amp;$C91,盘货信息!$A:$A&amp;盘货信息!$B:$B&amp;盘货信息!$C:$C,盘货信息!$O:$O),"*是*"),"【折扣】指定型号满2类享96折，满3类享94折","")</f>
        <v/>
      </c>
      <c r="X91" s="27" t="str" cm="1">
        <f t="array" ref="X91">IF(固定信息!$B$7="","",IF(_xlfn.XLOOKUP($A91&amp;$B91&amp;$C91,盘货信息!$A:$A&amp;盘货信息!$B:$B&amp;盘货信息!$C:$C,盘货信息!$N:$N)="是","【瓜分】"&amp;固定信息!$B$7,""))</f>
        <v/>
      </c>
      <c r="Y91" s="27" t="str">
        <f>IF(AND($V91="",$W91="",$X91=""),"",固定信息!$B$1)</f>
        <v/>
      </c>
      <c r="Z91" s="27" t="str" cm="1">
        <f t="array" ref="Z91">IF($C91="","",_xlfn.XLOOKUP($A91&amp;$B91&amp;$C91,服务!$A:$A&amp;服务!$B:$B&amp;服务!$C:$C,服务!$D:$D))</f>
        <v/>
      </c>
    </row>
    <row r="92" customHeight="1" spans="1:26">
      <c r="A92" s="26" t="str">
        <f>IF(盘货信息!A92="","",盘货信息!A92)</f>
        <v/>
      </c>
      <c r="B92" s="26" t="str">
        <f>IF(盘货信息!B92="","",盘货信息!B92)</f>
        <v/>
      </c>
      <c r="C92" s="27" t="str">
        <f>IF(盘货信息!C92="","",盘货信息!C92)</f>
        <v/>
      </c>
      <c r="D92" s="27" t="str">
        <f ca="1" t="shared" si="1"/>
        <v/>
      </c>
      <c r="E92" s="27" t="str">
        <f>IF(C92="","",固定信息!$B$2)</f>
        <v/>
      </c>
      <c r="F92" s="27" t="str">
        <f>IF(C92="","","【"&amp;C92&amp;"】"&amp;固定信息!$B$4)</f>
        <v/>
      </c>
      <c r="G92" s="27" t="str">
        <f>IF(C92="","","【"&amp;"活动时间："&amp;固定信息!$B$3&amp;"】")</f>
        <v/>
      </c>
      <c r="H92" s="27" t="str">
        <f>IF($C92="","",固定信息!$B$1)</f>
        <v/>
      </c>
      <c r="I92" s="27" t="str">
        <f>IF(OR(C92="",固定信息!$B$5=""),"","【1元预约锁好礼】"&amp;固定信息!$B$5)</f>
        <v/>
      </c>
      <c r="J92" s="27" t="str" cm="1">
        <f t="array" ref="J92">_xlfn.XLOOKUP($A92&amp;$B92&amp;$C92,价格信息!$A:$A&amp;价格信息!$B:$B&amp;价格信息!$C:$C,价格信息!$D:$D)</f>
        <v/>
      </c>
      <c r="K92" s="27" t="str">
        <f>IF($C92="","",固定信息!$B$1)</f>
        <v/>
      </c>
      <c r="L92" s="27" t="str" cm="1">
        <f t="array" ref="L92">IF(_xlfn.XLOOKUP($A92&amp;$B92&amp;$C92,盘货信息!$A:$A&amp;盘货信息!$B:$B&amp;盘货信息!$C:$C,盘货信息!$T:$T)="","","【优惠券】领"&amp;_xlfn.XLOOKUP($A92&amp;$B92&amp;$C92,盘货信息!$A:$A&amp;盘货信息!$B:$B&amp;盘货信息!$C:$C,盘货信息!$T:$T)&amp;"元优惠卷下单更优惠，领券链接："&amp;_xlfn.XLOOKUP($A92&amp;$B92&amp;$C92,盘货信息!$A:$A&amp;盘货信息!$B:$B&amp;盘货信息!$C:$C,盘货信息!$U:$U))</f>
        <v/>
      </c>
      <c r="M92" s="27" t="str" cm="1">
        <f t="array" ref="M92">IF(_xlfn.XLOOKUP($A92&amp;$B92&amp;$C92,盘货信息!$A:$A&amp;盘货信息!$B:$B&amp;盘货信息!$C:$C,盘货信息!$P:$P)="","","【限时】"&amp;_xlfn.XLOOKUP($A92&amp;$B92&amp;$C92,盘货信息!$A:$A&amp;盘货信息!$B:$B&amp;盘货信息!$C:$C,盘货信息!$P:$P))</f>
        <v/>
      </c>
      <c r="N92" s="27" t="str" cm="1">
        <f t="array" ref="N92">IF(_xlfn.XLOOKUP($A92&amp;$B92&amp;$C92,盘货信息!$A:$A&amp;盘货信息!$B:$B&amp;盘货信息!$C:$C,盘货信息!$V:$V)="","","【"&amp;盘货信息!$V$1&amp;"】"&amp;_xlfn.XLOOKUP($A92&amp;$B92&amp;$C92,盘货信息!$A:$A&amp;盘货信息!$B:$B&amp;盘货信息!$C:$C,盘货信息!$V:$V))</f>
        <v/>
      </c>
      <c r="O92" s="27" t="str" cm="1">
        <f t="array" ref="O92">IF(_xlfn.XLOOKUP($A92&amp;$B92&amp;$C92,盘货信息!$A:$A&amp;盘货信息!$B:$B&amp;盘货信息!$C:$C,盘货信息!$W:$W)="","","【"&amp;盘货信息!$W$1&amp;"】"&amp;_xlfn.XLOOKUP($A92&amp;$B92&amp;$C92,盘货信息!$A:$A&amp;盘货信息!$B:$B&amp;盘货信息!$C:$C,盘货信息!$W:$W))</f>
        <v/>
      </c>
      <c r="P92" s="27" t="str" cm="1">
        <f t="array" ref="P92">IF(_xlfn.XLOOKUP($A92&amp;$B92&amp;$C92,盘货信息!$A:$A&amp;盘货信息!$B:$B&amp;盘货信息!$C:$C,盘货信息!$S:$S)&lt;1,"","【"&amp;盘货信息!$S$1&amp;"】"&amp;"后返"&amp;_xlfn.XLOOKUP($A92&amp;$B92&amp;$C92,盘货信息!$A:$A&amp;盘货信息!$B:$B&amp;盘货信息!$C:$C,盘货信息!$S:$S)&amp;"元")</f>
        <v/>
      </c>
      <c r="Q92" s="27" t="str" cm="1">
        <f t="array" ref="Q92">IF(_xlfn.XLOOKUP($A92&amp;$B92&amp;$C92,盘货信息!$A:$A&amp;盘货信息!$B:$B&amp;盘货信息!$C:$C,盘货信息!$X:$X)="","","【"&amp;盘货信息!$X$1&amp;"】"&amp;_xlfn.XLOOKUP($A92&amp;$B92&amp;$C92,盘货信息!$A:$A&amp;盘货信息!$B:$B&amp;盘货信息!$C:$C,盘货信息!$X:$X))</f>
        <v/>
      </c>
      <c r="R92" s="27" t="str" cm="1">
        <f t="array" ref="R92">IF(_xlfn.XLOOKUP($A92&amp;$B92&amp;$C92,盘货信息!$A:$A&amp;盘货信息!$B:$B&amp;盘货信息!$C:$C,盘货信息!$Z:$Z)="","","【"&amp;盘货信息!$Z$1&amp;"】"&amp;_xlfn.XLOOKUP($A92&amp;$B92&amp;$C92,盘货信息!$A:$A&amp;盘货信息!$B:$B&amp;盘货信息!$C:$C,盘货信息!$Z:$Z))</f>
        <v/>
      </c>
      <c r="S92" s="27" t="str" cm="1">
        <f t="array" ref="S92">IF(_xlfn.XLOOKUP($A92&amp;$B92&amp;$C92,盘货信息!$A:$A&amp;盘货信息!$B:$B&amp;盘货信息!$C:$C,盘货信息!$Q:$Q)="","","【种草】站外带指定话题种草后返"&amp;_xlfn.XLOOKUP($A92&amp;$B92&amp;$C92,盘货信息!$A:$A&amp;盘货信息!$B:$B&amp;盘货信息!$C:$C,盘货信息!$Q:$Q)&amp;"元红包（每个淘宝账号仅限对应一个站外种草账号，同一个种草账号不可对应多个淘宝账号）")</f>
        <v/>
      </c>
      <c r="T92" s="27" t="str" cm="1">
        <f t="array" ref="T92">IF(_xlfn.XLOOKUP($A92&amp;$B92&amp;$C92,盘货信息!$A:$A&amp;盘货信息!$B:$B&amp;盘货信息!$C:$C,盘货信息!$R:$R)&lt;1,"","【以旧换新】"&amp;"享补贴"&amp;ROUND(_xlfn.XLOOKUP($A92&amp;$B92&amp;$C92,盘货信息!$A:$A&amp;盘货信息!$B:$B&amp;盘货信息!$C:$C,盘货信息!$R:$R),0)&amp;"元（可无旧机换新）")</f>
        <v/>
      </c>
      <c r="U92" s="27" t="str">
        <f>IF(AND($N92="",$O92="",$P92="",$Q92="",$R92="",$S92="",$T92=""),"",固定信息!$B$1)</f>
        <v/>
      </c>
      <c r="V92" s="27" t="str" cm="1">
        <f t="array" ref="V92">IF(_xlfn.XLOOKUP($A92&amp;$B92&amp;$C92,盘货信息!$A:$A&amp;盘货信息!$B:$B&amp;盘货信息!$C:$C,盘货信息!$Y:$Y)="","","【卡萨帝送赠】活动指定时间"&amp;_xlfn.TEXTBEFORE(_xlfn.TEXTAFTER(_xlfn.XLOOKUP($A92&amp;$B92&amp;$C92,盘货信息!$A:$A&amp;盘货信息!$B:$B&amp;盘货信息!$C:$C,盘货信息!$Y:$Y),"点"),"（"))</f>
        <v/>
      </c>
      <c r="W92" s="27" t="str" cm="1">
        <f t="array" ref="W92">IF(COUNTIF(_xlfn.XLOOKUP($A92&amp;$B92&amp;$C92,盘货信息!$A:$A&amp;盘货信息!$B:$B&amp;盘货信息!$C:$C,盘货信息!$O:$O),"*是*"),"【折扣】指定型号满2类享96折，满3类享94折","")</f>
        <v/>
      </c>
      <c r="X92" s="27" t="str" cm="1">
        <f t="array" ref="X92">IF(固定信息!$B$7="","",IF(_xlfn.XLOOKUP($A92&amp;$B92&amp;$C92,盘货信息!$A:$A&amp;盘货信息!$B:$B&amp;盘货信息!$C:$C,盘货信息!$N:$N)="是","【瓜分】"&amp;固定信息!$B$7,""))</f>
        <v/>
      </c>
      <c r="Y92" s="27" t="str">
        <f>IF(AND($V92="",$W92="",$X92=""),"",固定信息!$B$1)</f>
        <v/>
      </c>
      <c r="Z92" s="27" t="str" cm="1">
        <f t="array" ref="Z92">IF($C92="","",_xlfn.XLOOKUP($A92&amp;$B92&amp;$C92,服务!$A:$A&amp;服务!$B:$B&amp;服务!$C:$C,服务!$D:$D))</f>
        <v/>
      </c>
    </row>
    <row r="93" customHeight="1" spans="1:26">
      <c r="A93" s="26" t="str">
        <f>IF(盘货信息!A93="","",盘货信息!A93)</f>
        <v/>
      </c>
      <c r="B93" s="26" t="str">
        <f>IF(盘货信息!B93="","",盘货信息!B93)</f>
        <v/>
      </c>
      <c r="C93" s="23" t="str">
        <f>IF(盘货信息!C93="","",盘货信息!C93)</f>
        <v/>
      </c>
      <c r="D93" s="27" t="str">
        <f ca="1" t="shared" si="1"/>
        <v/>
      </c>
      <c r="E93" s="27" t="str">
        <f>IF(C93="","",固定信息!$B$2)</f>
        <v/>
      </c>
      <c r="F93" s="27" t="str">
        <f>IF(C93="","","【"&amp;C93&amp;"】"&amp;固定信息!$B$4)</f>
        <v/>
      </c>
      <c r="G93" s="27" t="str">
        <f>IF(C93="","","【"&amp;"活动时间："&amp;固定信息!$B$3&amp;"】")</f>
        <v/>
      </c>
      <c r="H93" s="27" t="str">
        <f>IF($C93="","",固定信息!$B$1)</f>
        <v/>
      </c>
      <c r="I93" s="27" t="str">
        <f>IF(OR(C93="",固定信息!$B$5=""),"","【1元预约锁好礼】"&amp;固定信息!$B$5)</f>
        <v/>
      </c>
      <c r="J93" s="27" t="str" cm="1">
        <f t="array" ref="J93">_xlfn.XLOOKUP($A93&amp;$B93&amp;$C93,价格信息!$A:$A&amp;价格信息!$B:$B&amp;价格信息!$C:$C,价格信息!$D:$D)</f>
        <v/>
      </c>
      <c r="K93" s="27" t="str">
        <f>IF($C93="","",固定信息!$B$1)</f>
        <v/>
      </c>
      <c r="L93" s="27" t="str" cm="1">
        <f t="array" ref="L93">IF(_xlfn.XLOOKUP($A93&amp;$B93&amp;$C93,盘货信息!$A:$A&amp;盘货信息!$B:$B&amp;盘货信息!$C:$C,盘货信息!$T:$T)="","","【优惠券】领"&amp;_xlfn.XLOOKUP($A93&amp;$B93&amp;$C93,盘货信息!$A:$A&amp;盘货信息!$B:$B&amp;盘货信息!$C:$C,盘货信息!$T:$T)&amp;"元优惠卷下单更优惠，领券链接："&amp;_xlfn.XLOOKUP($A93&amp;$B93&amp;$C93,盘货信息!$A:$A&amp;盘货信息!$B:$B&amp;盘货信息!$C:$C,盘货信息!$U:$U))</f>
        <v/>
      </c>
      <c r="M93" s="27" t="str" cm="1">
        <f t="array" ref="M93">IF(_xlfn.XLOOKUP($A93&amp;$B93&amp;$C93,盘货信息!$A:$A&amp;盘货信息!$B:$B&amp;盘货信息!$C:$C,盘货信息!$P:$P)="","","【限时】"&amp;_xlfn.XLOOKUP($A93&amp;$B93&amp;$C93,盘货信息!$A:$A&amp;盘货信息!$B:$B&amp;盘货信息!$C:$C,盘货信息!$P:$P))</f>
        <v/>
      </c>
      <c r="N93" s="27" t="str" cm="1">
        <f t="array" ref="N93">IF(_xlfn.XLOOKUP($A93&amp;$B93&amp;$C93,盘货信息!$A:$A&amp;盘货信息!$B:$B&amp;盘货信息!$C:$C,盘货信息!$V:$V)="","","【"&amp;盘货信息!$V$1&amp;"】"&amp;_xlfn.XLOOKUP($A93&amp;$B93&amp;$C93,盘货信息!$A:$A&amp;盘货信息!$B:$B&amp;盘货信息!$C:$C,盘货信息!$V:$V))</f>
        <v/>
      </c>
      <c r="O93" s="27" t="str" cm="1">
        <f t="array" ref="O93">IF(_xlfn.XLOOKUP($A93&amp;$B93&amp;$C93,盘货信息!$A:$A&amp;盘货信息!$B:$B&amp;盘货信息!$C:$C,盘货信息!$W:$W)="","","【"&amp;盘货信息!$W$1&amp;"】"&amp;_xlfn.XLOOKUP($A93&amp;$B93&amp;$C93,盘货信息!$A:$A&amp;盘货信息!$B:$B&amp;盘货信息!$C:$C,盘货信息!$W:$W))</f>
        <v/>
      </c>
      <c r="P93" s="27" t="str" cm="1">
        <f t="array" ref="P93">IF(_xlfn.XLOOKUP($A93&amp;$B93&amp;$C93,盘货信息!$A:$A&amp;盘货信息!$B:$B&amp;盘货信息!$C:$C,盘货信息!$S:$S)&lt;1,"","【"&amp;盘货信息!$S$1&amp;"】"&amp;"后返"&amp;_xlfn.XLOOKUP($A93&amp;$B93&amp;$C93,盘货信息!$A:$A&amp;盘货信息!$B:$B&amp;盘货信息!$C:$C,盘货信息!$S:$S)&amp;"元")</f>
        <v/>
      </c>
      <c r="Q93" s="27" t="str" cm="1">
        <f t="array" ref="Q93">IF(_xlfn.XLOOKUP($A93&amp;$B93&amp;$C93,盘货信息!$A:$A&amp;盘货信息!$B:$B&amp;盘货信息!$C:$C,盘货信息!$X:$X)="","","【"&amp;盘货信息!$X$1&amp;"】"&amp;_xlfn.XLOOKUP($A93&amp;$B93&amp;$C93,盘货信息!$A:$A&amp;盘货信息!$B:$B&amp;盘货信息!$C:$C,盘货信息!$X:$X))</f>
        <v/>
      </c>
      <c r="R93" s="27" t="str" cm="1">
        <f t="array" ref="R93">IF(_xlfn.XLOOKUP($A93&amp;$B93&amp;$C93,盘货信息!$A:$A&amp;盘货信息!$B:$B&amp;盘货信息!$C:$C,盘货信息!$Z:$Z)="","","【"&amp;盘货信息!$Z$1&amp;"】"&amp;_xlfn.XLOOKUP($A93&amp;$B93&amp;$C93,盘货信息!$A:$A&amp;盘货信息!$B:$B&amp;盘货信息!$C:$C,盘货信息!$Z:$Z))</f>
        <v/>
      </c>
      <c r="S93" s="27" t="str" cm="1">
        <f t="array" ref="S93">IF(_xlfn.XLOOKUP($A93&amp;$B93&amp;$C93,盘货信息!$A:$A&amp;盘货信息!$B:$B&amp;盘货信息!$C:$C,盘货信息!$Q:$Q)="","","【种草】站外带指定话题种草后返"&amp;_xlfn.XLOOKUP($A93&amp;$B93&amp;$C93,盘货信息!$A:$A&amp;盘货信息!$B:$B&amp;盘货信息!$C:$C,盘货信息!$Q:$Q)&amp;"元红包（每个淘宝账号仅限对应一个站外种草账号，同一个种草账号不可对应多个淘宝账号）")</f>
        <v/>
      </c>
      <c r="T93" s="27" t="str" cm="1">
        <f t="array" ref="T93">IF(_xlfn.XLOOKUP($A93&amp;$B93&amp;$C93,盘货信息!$A:$A&amp;盘货信息!$B:$B&amp;盘货信息!$C:$C,盘货信息!$R:$R)&lt;1,"","【以旧换新】"&amp;"享补贴"&amp;ROUND(_xlfn.XLOOKUP($A93&amp;$B93&amp;$C93,盘货信息!$A:$A&amp;盘货信息!$B:$B&amp;盘货信息!$C:$C,盘货信息!$R:$R),0)&amp;"元（可无旧机换新）")</f>
        <v/>
      </c>
      <c r="U93" s="27" t="str">
        <f>IF(AND($N93="",$O93="",$P93="",$Q93="",$R93="",$S93="",$T93=""),"",固定信息!$B$1)</f>
        <v/>
      </c>
      <c r="V93" s="27" t="str" cm="1">
        <f t="array" ref="V93">IF(_xlfn.XLOOKUP($A93&amp;$B93&amp;$C93,盘货信息!$A:$A&amp;盘货信息!$B:$B&amp;盘货信息!$C:$C,盘货信息!$Y:$Y)="","","【卡萨帝送赠】活动指定时间"&amp;_xlfn.TEXTBEFORE(_xlfn.TEXTAFTER(_xlfn.XLOOKUP($A93&amp;$B93&amp;$C93,盘货信息!$A:$A&amp;盘货信息!$B:$B&amp;盘货信息!$C:$C,盘货信息!$Y:$Y),"点"),"（"))</f>
        <v/>
      </c>
      <c r="W93" s="27" t="str" cm="1">
        <f t="array" ref="W93">IF(COUNTIF(_xlfn.XLOOKUP($A93&amp;$B93&amp;$C93,盘货信息!$A:$A&amp;盘货信息!$B:$B&amp;盘货信息!$C:$C,盘货信息!$O:$O),"*是*"),"【折扣】指定型号满2类享96折，满3类享94折","")</f>
        <v/>
      </c>
      <c r="X93" s="27" t="str" cm="1">
        <f t="array" ref="X93">IF(固定信息!$B$7="","",IF(_xlfn.XLOOKUP($A93&amp;$B93&amp;$C93,盘货信息!$A:$A&amp;盘货信息!$B:$B&amp;盘货信息!$C:$C,盘货信息!$N:$N)="是","【瓜分】"&amp;固定信息!$B$7,""))</f>
        <v/>
      </c>
      <c r="Y93" s="27" t="str">
        <f>IF(AND($V93="",$W93="",$X93=""),"",固定信息!$B$1)</f>
        <v/>
      </c>
      <c r="Z93" s="27" t="str" cm="1">
        <f t="array" ref="Z93">IF($C93="","",_xlfn.XLOOKUP($A93&amp;$B93&amp;$C93,服务!$A:$A&amp;服务!$B:$B&amp;服务!$C:$C,服务!$D:$D))</f>
        <v/>
      </c>
    </row>
    <row r="94" customHeight="1" spans="1:26">
      <c r="A94" s="26" t="str">
        <f>IF(盘货信息!A94="","",盘货信息!A94)</f>
        <v/>
      </c>
      <c r="B94" s="26" t="str">
        <f>IF(盘货信息!B94="","",盘货信息!B94)</f>
        <v/>
      </c>
      <c r="C94" s="26" t="str">
        <f>IF(盘货信息!C94="","",盘货信息!C94)</f>
        <v/>
      </c>
      <c r="D94" s="27" t="str">
        <f ca="1" t="shared" si="1"/>
        <v/>
      </c>
      <c r="E94" s="27" t="str">
        <f>IF(C94="","",固定信息!$B$2)</f>
        <v/>
      </c>
      <c r="F94" s="27" t="str">
        <f>IF(C94="","","【"&amp;C94&amp;"】"&amp;固定信息!$B$4)</f>
        <v/>
      </c>
      <c r="G94" s="27" t="str">
        <f>IF(C94="","","【"&amp;"活动时间："&amp;固定信息!$B$3&amp;"】")</f>
        <v/>
      </c>
      <c r="H94" s="27" t="str">
        <f>IF($C94="","",固定信息!$B$1)</f>
        <v/>
      </c>
      <c r="I94" s="27" t="str">
        <f>IF(OR(C94="",固定信息!$B$5=""),"","【1元预约锁好礼】"&amp;固定信息!$B$5)</f>
        <v/>
      </c>
      <c r="J94" s="27" t="str" cm="1">
        <f t="array" ref="J94">_xlfn.XLOOKUP($A94&amp;$B94&amp;$C94,价格信息!$A:$A&amp;价格信息!$B:$B&amp;价格信息!$C:$C,价格信息!$D:$D)</f>
        <v/>
      </c>
      <c r="K94" s="27" t="str">
        <f>IF($C94="","",固定信息!$B$1)</f>
        <v/>
      </c>
      <c r="L94" s="27" t="str" cm="1">
        <f t="array" ref="L94">IF(_xlfn.XLOOKUP($A94&amp;$B94&amp;$C94,盘货信息!$A:$A&amp;盘货信息!$B:$B&amp;盘货信息!$C:$C,盘货信息!$T:$T)="","","【优惠券】领"&amp;_xlfn.XLOOKUP($A94&amp;$B94&amp;$C94,盘货信息!$A:$A&amp;盘货信息!$B:$B&amp;盘货信息!$C:$C,盘货信息!$T:$T)&amp;"元优惠卷下单更优惠，领券链接："&amp;_xlfn.XLOOKUP($A94&amp;$B94&amp;$C94,盘货信息!$A:$A&amp;盘货信息!$B:$B&amp;盘货信息!$C:$C,盘货信息!$U:$U))</f>
        <v/>
      </c>
      <c r="M94" s="27" t="str" cm="1">
        <f t="array" ref="M94">IF(_xlfn.XLOOKUP($A94&amp;$B94&amp;$C94,盘货信息!$A:$A&amp;盘货信息!$B:$B&amp;盘货信息!$C:$C,盘货信息!$P:$P)="","","【限时】"&amp;_xlfn.XLOOKUP($A94&amp;$B94&amp;$C94,盘货信息!$A:$A&amp;盘货信息!$B:$B&amp;盘货信息!$C:$C,盘货信息!$P:$P))</f>
        <v/>
      </c>
      <c r="N94" s="27" t="str" cm="1">
        <f t="array" ref="N94">IF(_xlfn.XLOOKUP($A94&amp;$B94&amp;$C94,盘货信息!$A:$A&amp;盘货信息!$B:$B&amp;盘货信息!$C:$C,盘货信息!$V:$V)="","","【"&amp;盘货信息!$V$1&amp;"】"&amp;_xlfn.XLOOKUP($A94&amp;$B94&amp;$C94,盘货信息!$A:$A&amp;盘货信息!$B:$B&amp;盘货信息!$C:$C,盘货信息!$V:$V))</f>
        <v/>
      </c>
      <c r="O94" s="27" t="str" cm="1">
        <f t="array" ref="O94">IF(_xlfn.XLOOKUP($A94&amp;$B94&amp;$C94,盘货信息!$A:$A&amp;盘货信息!$B:$B&amp;盘货信息!$C:$C,盘货信息!$W:$W)="","","【"&amp;盘货信息!$W$1&amp;"】"&amp;_xlfn.XLOOKUP($A94&amp;$B94&amp;$C94,盘货信息!$A:$A&amp;盘货信息!$B:$B&amp;盘货信息!$C:$C,盘货信息!$W:$W))</f>
        <v/>
      </c>
      <c r="P94" s="27" t="str" cm="1">
        <f t="array" ref="P94">IF(_xlfn.XLOOKUP($A94&amp;$B94&amp;$C94,盘货信息!$A:$A&amp;盘货信息!$B:$B&amp;盘货信息!$C:$C,盘货信息!$S:$S)&lt;1,"","【"&amp;盘货信息!$S$1&amp;"】"&amp;"后返"&amp;_xlfn.XLOOKUP($A94&amp;$B94&amp;$C94,盘货信息!$A:$A&amp;盘货信息!$B:$B&amp;盘货信息!$C:$C,盘货信息!$S:$S)&amp;"元")</f>
        <v/>
      </c>
      <c r="Q94" s="27" t="str" cm="1">
        <f t="array" ref="Q94">IF(_xlfn.XLOOKUP($A94&amp;$B94&amp;$C94,盘货信息!$A:$A&amp;盘货信息!$B:$B&amp;盘货信息!$C:$C,盘货信息!$X:$X)="","","【"&amp;盘货信息!$X$1&amp;"】"&amp;_xlfn.XLOOKUP($A94&amp;$B94&amp;$C94,盘货信息!$A:$A&amp;盘货信息!$B:$B&amp;盘货信息!$C:$C,盘货信息!$X:$X))</f>
        <v/>
      </c>
      <c r="R94" s="27" t="str" cm="1">
        <f t="array" ref="R94">IF(_xlfn.XLOOKUP($A94&amp;$B94&amp;$C94,盘货信息!$A:$A&amp;盘货信息!$B:$B&amp;盘货信息!$C:$C,盘货信息!$Z:$Z)="","","【"&amp;盘货信息!$Z$1&amp;"】"&amp;_xlfn.XLOOKUP($A94&amp;$B94&amp;$C94,盘货信息!$A:$A&amp;盘货信息!$B:$B&amp;盘货信息!$C:$C,盘货信息!$Z:$Z))</f>
        <v/>
      </c>
      <c r="S94" s="27" t="str" cm="1">
        <f t="array" ref="S94">IF(_xlfn.XLOOKUP($A94&amp;$B94&amp;$C94,盘货信息!$A:$A&amp;盘货信息!$B:$B&amp;盘货信息!$C:$C,盘货信息!$Q:$Q)="","","【种草】站外带指定话题种草后返"&amp;_xlfn.XLOOKUP($A94&amp;$B94&amp;$C94,盘货信息!$A:$A&amp;盘货信息!$B:$B&amp;盘货信息!$C:$C,盘货信息!$Q:$Q)&amp;"元红包（每个淘宝账号仅限对应一个站外种草账号，同一个种草账号不可对应多个淘宝账号）")</f>
        <v/>
      </c>
      <c r="T94" s="27" t="str" cm="1">
        <f t="array" ref="T94">IF(_xlfn.XLOOKUP($A94&amp;$B94&amp;$C94,盘货信息!$A:$A&amp;盘货信息!$B:$B&amp;盘货信息!$C:$C,盘货信息!$R:$R)&lt;1,"","【以旧换新】"&amp;"享补贴"&amp;ROUND(_xlfn.XLOOKUP($A94&amp;$B94&amp;$C94,盘货信息!$A:$A&amp;盘货信息!$B:$B&amp;盘货信息!$C:$C,盘货信息!$R:$R),0)&amp;"元（可无旧机换新）")</f>
        <v/>
      </c>
      <c r="U94" s="27" t="str">
        <f>IF(AND($N94="",$O94="",$P94="",$Q94="",$R94="",$S94="",$T94=""),"",固定信息!$B$1)</f>
        <v/>
      </c>
      <c r="V94" s="27" t="str" cm="1">
        <f t="array" ref="V94">IF(_xlfn.XLOOKUP($A94&amp;$B94&amp;$C94,盘货信息!$A:$A&amp;盘货信息!$B:$B&amp;盘货信息!$C:$C,盘货信息!$Y:$Y)="","","【卡萨帝送赠】活动指定时间"&amp;_xlfn.TEXTBEFORE(_xlfn.TEXTAFTER(_xlfn.XLOOKUP($A94&amp;$B94&amp;$C94,盘货信息!$A:$A&amp;盘货信息!$B:$B&amp;盘货信息!$C:$C,盘货信息!$Y:$Y),"点"),"（"))</f>
        <v/>
      </c>
      <c r="W94" s="27" t="str" cm="1">
        <f t="array" ref="W94">IF(COUNTIF(_xlfn.XLOOKUP($A94&amp;$B94&amp;$C94,盘货信息!$A:$A&amp;盘货信息!$B:$B&amp;盘货信息!$C:$C,盘货信息!$O:$O),"*是*"),"【折扣】指定型号满2类享96折，满3类享94折","")</f>
        <v/>
      </c>
      <c r="X94" s="27" t="str" cm="1">
        <f t="array" ref="X94">IF(固定信息!$B$7="","",IF(_xlfn.XLOOKUP($A94&amp;$B94&amp;$C94,盘货信息!$A:$A&amp;盘货信息!$B:$B&amp;盘货信息!$C:$C,盘货信息!$N:$N)="是","【瓜分】"&amp;固定信息!$B$7,""))</f>
        <v/>
      </c>
      <c r="Y94" s="27" t="str">
        <f>IF(AND($V94="",$W94="",$X94=""),"",固定信息!$B$1)</f>
        <v/>
      </c>
      <c r="Z94" s="27" t="str" cm="1">
        <f t="array" ref="Z94">IF($C94="","",_xlfn.XLOOKUP($A94&amp;$B94&amp;$C94,服务!$A:$A&amp;服务!$B:$B&amp;服务!$C:$C,服务!$D:$D))</f>
        <v/>
      </c>
    </row>
    <row r="95" customHeight="1" spans="1:26">
      <c r="A95" s="26" t="str">
        <f>IF(盘货信息!A95="","",盘货信息!A95)</f>
        <v/>
      </c>
      <c r="B95" s="26" t="str">
        <f>IF(盘货信息!B95="","",盘货信息!B95)</f>
        <v/>
      </c>
      <c r="C95" s="23" t="str">
        <f>IF(盘货信息!C95="","",盘货信息!C95)</f>
        <v/>
      </c>
      <c r="D95" s="27" t="str">
        <f ca="1" t="shared" si="1"/>
        <v/>
      </c>
      <c r="E95" s="27" t="str">
        <f>IF(C95="","",固定信息!$B$2)</f>
        <v/>
      </c>
      <c r="F95" s="27" t="str">
        <f>IF(C95="","","【"&amp;C95&amp;"】"&amp;固定信息!$B$4)</f>
        <v/>
      </c>
      <c r="G95" s="27" t="str">
        <f>IF(C95="","","【"&amp;"活动时间："&amp;固定信息!$B$3&amp;"】")</f>
        <v/>
      </c>
      <c r="H95" s="27" t="str">
        <f>IF($C95="","",固定信息!$B$1)</f>
        <v/>
      </c>
      <c r="I95" s="27" t="str">
        <f>IF(OR(C95="",固定信息!$B$5=""),"","【1元预约锁好礼】"&amp;固定信息!$B$5)</f>
        <v/>
      </c>
      <c r="J95" s="27" t="str" cm="1">
        <f t="array" ref="J95">_xlfn.XLOOKUP($A95&amp;$B95&amp;$C95,价格信息!$A:$A&amp;价格信息!$B:$B&amp;价格信息!$C:$C,价格信息!$D:$D)</f>
        <v/>
      </c>
      <c r="K95" s="27" t="str">
        <f>IF($C95="","",固定信息!$B$1)</f>
        <v/>
      </c>
      <c r="L95" s="27" t="str" cm="1">
        <f t="array" ref="L95">IF(_xlfn.XLOOKUP($A95&amp;$B95&amp;$C95,盘货信息!$A:$A&amp;盘货信息!$B:$B&amp;盘货信息!$C:$C,盘货信息!$T:$T)="","","【优惠券】领"&amp;_xlfn.XLOOKUP($A95&amp;$B95&amp;$C95,盘货信息!$A:$A&amp;盘货信息!$B:$B&amp;盘货信息!$C:$C,盘货信息!$T:$T)&amp;"元优惠卷下单更优惠，领券链接："&amp;_xlfn.XLOOKUP($A95&amp;$B95&amp;$C95,盘货信息!$A:$A&amp;盘货信息!$B:$B&amp;盘货信息!$C:$C,盘货信息!$U:$U))</f>
        <v/>
      </c>
      <c r="M95" s="27" t="str" cm="1">
        <f t="array" ref="M95">IF(_xlfn.XLOOKUP($A95&amp;$B95&amp;$C95,盘货信息!$A:$A&amp;盘货信息!$B:$B&amp;盘货信息!$C:$C,盘货信息!$P:$P)="","","【限时】"&amp;_xlfn.XLOOKUP($A95&amp;$B95&amp;$C95,盘货信息!$A:$A&amp;盘货信息!$B:$B&amp;盘货信息!$C:$C,盘货信息!$P:$P))</f>
        <v/>
      </c>
      <c r="N95" s="27" t="str" cm="1">
        <f t="array" ref="N95">IF(_xlfn.XLOOKUP($A95&amp;$B95&amp;$C95,盘货信息!$A:$A&amp;盘货信息!$B:$B&amp;盘货信息!$C:$C,盘货信息!$V:$V)="","","【"&amp;盘货信息!$V$1&amp;"】"&amp;_xlfn.XLOOKUP($A95&amp;$B95&amp;$C95,盘货信息!$A:$A&amp;盘货信息!$B:$B&amp;盘货信息!$C:$C,盘货信息!$V:$V))</f>
        <v/>
      </c>
      <c r="O95" s="27" t="str" cm="1">
        <f t="array" ref="O95">IF(_xlfn.XLOOKUP($A95&amp;$B95&amp;$C95,盘货信息!$A:$A&amp;盘货信息!$B:$B&amp;盘货信息!$C:$C,盘货信息!$W:$W)="","","【"&amp;盘货信息!$W$1&amp;"】"&amp;_xlfn.XLOOKUP($A95&amp;$B95&amp;$C95,盘货信息!$A:$A&amp;盘货信息!$B:$B&amp;盘货信息!$C:$C,盘货信息!$W:$W))</f>
        <v/>
      </c>
      <c r="P95" s="27" t="str" cm="1">
        <f t="array" ref="P95">IF(_xlfn.XLOOKUP($A95&amp;$B95&amp;$C95,盘货信息!$A:$A&amp;盘货信息!$B:$B&amp;盘货信息!$C:$C,盘货信息!$S:$S)&lt;1,"","【"&amp;盘货信息!$S$1&amp;"】"&amp;"后返"&amp;_xlfn.XLOOKUP($A95&amp;$B95&amp;$C95,盘货信息!$A:$A&amp;盘货信息!$B:$B&amp;盘货信息!$C:$C,盘货信息!$S:$S)&amp;"元")</f>
        <v/>
      </c>
      <c r="Q95" s="27" t="str" cm="1">
        <f t="array" ref="Q95">IF(_xlfn.XLOOKUP($A95&amp;$B95&amp;$C95,盘货信息!$A:$A&amp;盘货信息!$B:$B&amp;盘货信息!$C:$C,盘货信息!$X:$X)="","","【"&amp;盘货信息!$X$1&amp;"】"&amp;_xlfn.XLOOKUP($A95&amp;$B95&amp;$C95,盘货信息!$A:$A&amp;盘货信息!$B:$B&amp;盘货信息!$C:$C,盘货信息!$X:$X))</f>
        <v/>
      </c>
      <c r="R95" s="27" t="str" cm="1">
        <f t="array" ref="R95">IF(_xlfn.XLOOKUP($A95&amp;$B95&amp;$C95,盘货信息!$A:$A&amp;盘货信息!$B:$B&amp;盘货信息!$C:$C,盘货信息!$Z:$Z)="","","【"&amp;盘货信息!$Z$1&amp;"】"&amp;_xlfn.XLOOKUP($A95&amp;$B95&amp;$C95,盘货信息!$A:$A&amp;盘货信息!$B:$B&amp;盘货信息!$C:$C,盘货信息!$Z:$Z))</f>
        <v/>
      </c>
      <c r="S95" s="27" t="str" cm="1">
        <f t="array" ref="S95">IF(_xlfn.XLOOKUP($A95&amp;$B95&amp;$C95,盘货信息!$A:$A&amp;盘货信息!$B:$B&amp;盘货信息!$C:$C,盘货信息!$Q:$Q)="","","【种草】站外带指定话题种草后返"&amp;_xlfn.XLOOKUP($A95&amp;$B95&amp;$C95,盘货信息!$A:$A&amp;盘货信息!$B:$B&amp;盘货信息!$C:$C,盘货信息!$Q:$Q)&amp;"元红包（每个淘宝账号仅限对应一个站外种草账号，同一个种草账号不可对应多个淘宝账号）")</f>
        <v/>
      </c>
      <c r="T95" s="27" t="str" cm="1">
        <f t="array" ref="T95">IF(_xlfn.XLOOKUP($A95&amp;$B95&amp;$C95,盘货信息!$A:$A&amp;盘货信息!$B:$B&amp;盘货信息!$C:$C,盘货信息!$R:$R)&lt;1,"","【以旧换新】"&amp;"享补贴"&amp;ROUND(_xlfn.XLOOKUP($A95&amp;$B95&amp;$C95,盘货信息!$A:$A&amp;盘货信息!$B:$B&amp;盘货信息!$C:$C,盘货信息!$R:$R),0)&amp;"元（可无旧机换新）")</f>
        <v/>
      </c>
      <c r="U95" s="27" t="str">
        <f>IF(AND($N95="",$O95="",$P95="",$Q95="",$R95="",$S95="",$T95=""),"",固定信息!$B$1)</f>
        <v/>
      </c>
      <c r="V95" s="27" t="str" cm="1">
        <f t="array" ref="V95">IF(_xlfn.XLOOKUP($A95&amp;$B95&amp;$C95,盘货信息!$A:$A&amp;盘货信息!$B:$B&amp;盘货信息!$C:$C,盘货信息!$Y:$Y)="","","【卡萨帝送赠】活动指定时间"&amp;_xlfn.TEXTBEFORE(_xlfn.TEXTAFTER(_xlfn.XLOOKUP($A95&amp;$B95&amp;$C95,盘货信息!$A:$A&amp;盘货信息!$B:$B&amp;盘货信息!$C:$C,盘货信息!$Y:$Y),"点"),"（"))</f>
        <v/>
      </c>
      <c r="W95" s="27" t="str" cm="1">
        <f t="array" ref="W95">IF(COUNTIF(_xlfn.XLOOKUP($A95&amp;$B95&amp;$C95,盘货信息!$A:$A&amp;盘货信息!$B:$B&amp;盘货信息!$C:$C,盘货信息!$O:$O),"*是*"),"【折扣】指定型号满2类享96折，满3类享94折","")</f>
        <v/>
      </c>
      <c r="X95" s="27" t="str" cm="1">
        <f t="array" ref="X95">IF(固定信息!$B$7="","",IF(_xlfn.XLOOKUP($A95&amp;$B95&amp;$C95,盘货信息!$A:$A&amp;盘货信息!$B:$B&amp;盘货信息!$C:$C,盘货信息!$N:$N)="是","【瓜分】"&amp;固定信息!$B$7,""))</f>
        <v/>
      </c>
      <c r="Y95" s="27" t="str">
        <f>IF(AND($V95="",$W95="",$X95=""),"",固定信息!$B$1)</f>
        <v/>
      </c>
      <c r="Z95" s="27" t="str" cm="1">
        <f t="array" ref="Z95">IF($C95="","",_xlfn.XLOOKUP($A95&amp;$B95&amp;$C95,服务!$A:$A&amp;服务!$B:$B&amp;服务!$C:$C,服务!$D:$D))</f>
        <v/>
      </c>
    </row>
    <row r="96" customHeight="1" spans="1:26">
      <c r="A96" s="26" t="str">
        <f>IF(盘货信息!A96="","",盘货信息!A96)</f>
        <v/>
      </c>
      <c r="B96" s="26" t="str">
        <f>IF(盘货信息!B96="","",盘货信息!B96)</f>
        <v/>
      </c>
      <c r="C96" s="23" t="str">
        <f>IF(盘货信息!C96="","",盘货信息!C96)</f>
        <v/>
      </c>
      <c r="D96" s="27" t="str">
        <f ca="1" t="shared" si="1"/>
        <v/>
      </c>
      <c r="E96" s="27" t="str">
        <f>IF(C96="","",固定信息!$B$2)</f>
        <v/>
      </c>
      <c r="F96" s="27" t="str">
        <f>IF(C96="","","【"&amp;C96&amp;"】"&amp;固定信息!$B$4)</f>
        <v/>
      </c>
      <c r="G96" s="27" t="str">
        <f>IF(C96="","","【"&amp;"活动时间："&amp;固定信息!$B$3&amp;"】")</f>
        <v/>
      </c>
      <c r="H96" s="27" t="str">
        <f>IF($C96="","",固定信息!$B$1)</f>
        <v/>
      </c>
      <c r="I96" s="27" t="str">
        <f>IF(OR(C96="",固定信息!$B$5=""),"","【1元预约锁好礼】"&amp;固定信息!$B$5)</f>
        <v/>
      </c>
      <c r="J96" s="27" t="str" cm="1">
        <f t="array" ref="J96">_xlfn.XLOOKUP($A96&amp;$B96&amp;$C96,价格信息!$A:$A&amp;价格信息!$B:$B&amp;价格信息!$C:$C,价格信息!$D:$D)</f>
        <v/>
      </c>
      <c r="K96" s="27" t="str">
        <f>IF($C96="","",固定信息!$B$1)</f>
        <v/>
      </c>
      <c r="L96" s="27" t="str" cm="1">
        <f t="array" ref="L96">IF(_xlfn.XLOOKUP($A96&amp;$B96&amp;$C96,盘货信息!$A:$A&amp;盘货信息!$B:$B&amp;盘货信息!$C:$C,盘货信息!$T:$T)="","","【优惠券】领"&amp;_xlfn.XLOOKUP($A96&amp;$B96&amp;$C96,盘货信息!$A:$A&amp;盘货信息!$B:$B&amp;盘货信息!$C:$C,盘货信息!$T:$T)&amp;"元优惠卷下单更优惠，领券链接："&amp;_xlfn.XLOOKUP($A96&amp;$B96&amp;$C96,盘货信息!$A:$A&amp;盘货信息!$B:$B&amp;盘货信息!$C:$C,盘货信息!$U:$U))</f>
        <v/>
      </c>
      <c r="M96" s="27" t="str" cm="1">
        <f t="array" ref="M96">IF(_xlfn.XLOOKUP($A96&amp;$B96&amp;$C96,盘货信息!$A:$A&amp;盘货信息!$B:$B&amp;盘货信息!$C:$C,盘货信息!$P:$P)="","","【限时】"&amp;_xlfn.XLOOKUP($A96&amp;$B96&amp;$C96,盘货信息!$A:$A&amp;盘货信息!$B:$B&amp;盘货信息!$C:$C,盘货信息!$P:$P))</f>
        <v/>
      </c>
      <c r="N96" s="27" t="str" cm="1">
        <f t="array" ref="N96">IF(_xlfn.XLOOKUP($A96&amp;$B96&amp;$C96,盘货信息!$A:$A&amp;盘货信息!$B:$B&amp;盘货信息!$C:$C,盘货信息!$V:$V)="","","【"&amp;盘货信息!$V$1&amp;"】"&amp;_xlfn.XLOOKUP($A96&amp;$B96&amp;$C96,盘货信息!$A:$A&amp;盘货信息!$B:$B&amp;盘货信息!$C:$C,盘货信息!$V:$V))</f>
        <v/>
      </c>
      <c r="O96" s="27" t="str" cm="1">
        <f t="array" ref="O96">IF(_xlfn.XLOOKUP($A96&amp;$B96&amp;$C96,盘货信息!$A:$A&amp;盘货信息!$B:$B&amp;盘货信息!$C:$C,盘货信息!$W:$W)="","","【"&amp;盘货信息!$W$1&amp;"】"&amp;_xlfn.XLOOKUP($A96&amp;$B96&amp;$C96,盘货信息!$A:$A&amp;盘货信息!$B:$B&amp;盘货信息!$C:$C,盘货信息!$W:$W))</f>
        <v/>
      </c>
      <c r="P96" s="27" t="str" cm="1">
        <f t="array" ref="P96">IF(_xlfn.XLOOKUP($A96&amp;$B96&amp;$C96,盘货信息!$A:$A&amp;盘货信息!$B:$B&amp;盘货信息!$C:$C,盘货信息!$S:$S)&lt;1,"","【"&amp;盘货信息!$S$1&amp;"】"&amp;"后返"&amp;_xlfn.XLOOKUP($A96&amp;$B96&amp;$C96,盘货信息!$A:$A&amp;盘货信息!$B:$B&amp;盘货信息!$C:$C,盘货信息!$S:$S)&amp;"元")</f>
        <v/>
      </c>
      <c r="Q96" s="27" t="str" cm="1">
        <f t="array" ref="Q96">IF(_xlfn.XLOOKUP($A96&amp;$B96&amp;$C96,盘货信息!$A:$A&amp;盘货信息!$B:$B&amp;盘货信息!$C:$C,盘货信息!$X:$X)="","","【"&amp;盘货信息!$X$1&amp;"】"&amp;_xlfn.XLOOKUP($A96&amp;$B96&amp;$C96,盘货信息!$A:$A&amp;盘货信息!$B:$B&amp;盘货信息!$C:$C,盘货信息!$X:$X))</f>
        <v/>
      </c>
      <c r="R96" s="27" t="str" cm="1">
        <f t="array" ref="R96">IF(_xlfn.XLOOKUP($A96&amp;$B96&amp;$C96,盘货信息!$A:$A&amp;盘货信息!$B:$B&amp;盘货信息!$C:$C,盘货信息!$Z:$Z)="","","【"&amp;盘货信息!$Z$1&amp;"】"&amp;_xlfn.XLOOKUP($A96&amp;$B96&amp;$C96,盘货信息!$A:$A&amp;盘货信息!$B:$B&amp;盘货信息!$C:$C,盘货信息!$Z:$Z))</f>
        <v/>
      </c>
      <c r="S96" s="27" t="str" cm="1">
        <f t="array" ref="S96">IF(_xlfn.XLOOKUP($A96&amp;$B96&amp;$C96,盘货信息!$A:$A&amp;盘货信息!$B:$B&amp;盘货信息!$C:$C,盘货信息!$Q:$Q)="","","【种草】站外带指定话题种草后返"&amp;_xlfn.XLOOKUP($A96&amp;$B96&amp;$C96,盘货信息!$A:$A&amp;盘货信息!$B:$B&amp;盘货信息!$C:$C,盘货信息!$Q:$Q)&amp;"元红包（每个淘宝账号仅限对应一个站外种草账号，同一个种草账号不可对应多个淘宝账号）")</f>
        <v/>
      </c>
      <c r="T96" s="27" t="str" cm="1">
        <f t="array" ref="T96">IF(_xlfn.XLOOKUP($A96&amp;$B96&amp;$C96,盘货信息!$A:$A&amp;盘货信息!$B:$B&amp;盘货信息!$C:$C,盘货信息!$R:$R)&lt;1,"","【以旧换新】"&amp;"享补贴"&amp;ROUND(_xlfn.XLOOKUP($A96&amp;$B96&amp;$C96,盘货信息!$A:$A&amp;盘货信息!$B:$B&amp;盘货信息!$C:$C,盘货信息!$R:$R),0)&amp;"元（可无旧机换新）")</f>
        <v/>
      </c>
      <c r="U96" s="27" t="str">
        <f>IF(AND($N96="",$O96="",$P96="",$Q96="",$R96="",$S96="",$T96=""),"",固定信息!$B$1)</f>
        <v/>
      </c>
      <c r="V96" s="27" t="str" cm="1">
        <f t="array" ref="V96">IF(_xlfn.XLOOKUP($A96&amp;$B96&amp;$C96,盘货信息!$A:$A&amp;盘货信息!$B:$B&amp;盘货信息!$C:$C,盘货信息!$Y:$Y)="","","【卡萨帝送赠】活动指定时间"&amp;_xlfn.TEXTBEFORE(_xlfn.TEXTAFTER(_xlfn.XLOOKUP($A96&amp;$B96&amp;$C96,盘货信息!$A:$A&amp;盘货信息!$B:$B&amp;盘货信息!$C:$C,盘货信息!$Y:$Y),"点"),"（"))</f>
        <v/>
      </c>
      <c r="W96" s="27" t="str" cm="1">
        <f t="array" ref="W96">IF(COUNTIF(_xlfn.XLOOKUP($A96&amp;$B96&amp;$C96,盘货信息!$A:$A&amp;盘货信息!$B:$B&amp;盘货信息!$C:$C,盘货信息!$O:$O),"*是*"),"【折扣】指定型号满2类享96折，满3类享94折","")</f>
        <v/>
      </c>
      <c r="X96" s="27" t="str" cm="1">
        <f t="array" ref="X96">IF(固定信息!$B$7="","",IF(_xlfn.XLOOKUP($A96&amp;$B96&amp;$C96,盘货信息!$A:$A&amp;盘货信息!$B:$B&amp;盘货信息!$C:$C,盘货信息!$N:$N)="是","【瓜分】"&amp;固定信息!$B$7,""))</f>
        <v/>
      </c>
      <c r="Y96" s="27" t="str">
        <f>IF(AND($V96="",$W96="",$X96=""),"",固定信息!$B$1)</f>
        <v/>
      </c>
      <c r="Z96" s="27" t="str" cm="1">
        <f t="array" ref="Z96">IF($C96="","",_xlfn.XLOOKUP($A96&amp;$B96&amp;$C96,服务!$A:$A&amp;服务!$B:$B&amp;服务!$C:$C,服务!$D:$D))</f>
        <v/>
      </c>
    </row>
    <row r="97" customHeight="1" spans="1:26">
      <c r="A97" s="26" t="str">
        <f>IF(盘货信息!A97="","",盘货信息!A97)</f>
        <v/>
      </c>
      <c r="B97" s="26" t="str">
        <f>IF(盘货信息!B97="","",盘货信息!B97)</f>
        <v/>
      </c>
      <c r="C97" s="23" t="str">
        <f>IF(盘货信息!C97="","",盘货信息!C97)</f>
        <v/>
      </c>
      <c r="D97" s="27" t="str">
        <f ca="1" t="shared" si="1"/>
        <v/>
      </c>
      <c r="E97" s="27" t="str">
        <f>IF(C97="","",固定信息!$B$2)</f>
        <v/>
      </c>
      <c r="F97" s="27" t="str">
        <f>IF(C97="","","【"&amp;C97&amp;"】"&amp;固定信息!$B$4)</f>
        <v/>
      </c>
      <c r="G97" s="27" t="str">
        <f>IF(C97="","","【"&amp;"活动时间："&amp;固定信息!$B$3&amp;"】")</f>
        <v/>
      </c>
      <c r="H97" s="27" t="str">
        <f>IF($C97="","",固定信息!$B$1)</f>
        <v/>
      </c>
      <c r="I97" s="27" t="str">
        <f>IF(OR(C97="",固定信息!$B$5=""),"","【1元预约锁好礼】"&amp;固定信息!$B$5)</f>
        <v/>
      </c>
      <c r="J97" s="27" t="str" cm="1">
        <f t="array" ref="J97">_xlfn.XLOOKUP($A97&amp;$B97&amp;$C97,价格信息!$A:$A&amp;价格信息!$B:$B&amp;价格信息!$C:$C,价格信息!$D:$D)</f>
        <v/>
      </c>
      <c r="K97" s="27" t="str">
        <f>IF($C97="","",固定信息!$B$1)</f>
        <v/>
      </c>
      <c r="L97" s="27" t="str" cm="1">
        <f t="array" ref="L97">IF(_xlfn.XLOOKUP($A97&amp;$B97&amp;$C97,盘货信息!$A:$A&amp;盘货信息!$B:$B&amp;盘货信息!$C:$C,盘货信息!$T:$T)="","","【优惠券】领"&amp;_xlfn.XLOOKUP($A97&amp;$B97&amp;$C97,盘货信息!$A:$A&amp;盘货信息!$B:$B&amp;盘货信息!$C:$C,盘货信息!$T:$T)&amp;"元优惠卷下单更优惠，领券链接："&amp;_xlfn.XLOOKUP($A97&amp;$B97&amp;$C97,盘货信息!$A:$A&amp;盘货信息!$B:$B&amp;盘货信息!$C:$C,盘货信息!$U:$U))</f>
        <v/>
      </c>
      <c r="M97" s="27" t="str" cm="1">
        <f t="array" ref="M97">IF(_xlfn.XLOOKUP($A97&amp;$B97&amp;$C97,盘货信息!$A:$A&amp;盘货信息!$B:$B&amp;盘货信息!$C:$C,盘货信息!$P:$P)="","","【限时】"&amp;_xlfn.XLOOKUP($A97&amp;$B97&amp;$C97,盘货信息!$A:$A&amp;盘货信息!$B:$B&amp;盘货信息!$C:$C,盘货信息!$P:$P))</f>
        <v/>
      </c>
      <c r="N97" s="27" t="str" cm="1">
        <f t="array" ref="N97">IF(_xlfn.XLOOKUP($A97&amp;$B97&amp;$C97,盘货信息!$A:$A&amp;盘货信息!$B:$B&amp;盘货信息!$C:$C,盘货信息!$V:$V)="","","【"&amp;盘货信息!$V$1&amp;"】"&amp;_xlfn.XLOOKUP($A97&amp;$B97&amp;$C97,盘货信息!$A:$A&amp;盘货信息!$B:$B&amp;盘货信息!$C:$C,盘货信息!$V:$V))</f>
        <v/>
      </c>
      <c r="O97" s="27" t="str" cm="1">
        <f t="array" ref="O97">IF(_xlfn.XLOOKUP($A97&amp;$B97&amp;$C97,盘货信息!$A:$A&amp;盘货信息!$B:$B&amp;盘货信息!$C:$C,盘货信息!$W:$W)="","","【"&amp;盘货信息!$W$1&amp;"】"&amp;_xlfn.XLOOKUP($A97&amp;$B97&amp;$C97,盘货信息!$A:$A&amp;盘货信息!$B:$B&amp;盘货信息!$C:$C,盘货信息!$W:$W))</f>
        <v/>
      </c>
      <c r="P97" s="27" t="str" cm="1">
        <f t="array" ref="P97">IF(_xlfn.XLOOKUP($A97&amp;$B97&amp;$C97,盘货信息!$A:$A&amp;盘货信息!$B:$B&amp;盘货信息!$C:$C,盘货信息!$S:$S)&lt;1,"","【"&amp;盘货信息!$S$1&amp;"】"&amp;"后返"&amp;_xlfn.XLOOKUP($A97&amp;$B97&amp;$C97,盘货信息!$A:$A&amp;盘货信息!$B:$B&amp;盘货信息!$C:$C,盘货信息!$S:$S)&amp;"元")</f>
        <v/>
      </c>
      <c r="Q97" s="27" t="str" cm="1">
        <f t="array" ref="Q97">IF(_xlfn.XLOOKUP($A97&amp;$B97&amp;$C97,盘货信息!$A:$A&amp;盘货信息!$B:$B&amp;盘货信息!$C:$C,盘货信息!$X:$X)="","","【"&amp;盘货信息!$X$1&amp;"】"&amp;_xlfn.XLOOKUP($A97&amp;$B97&amp;$C97,盘货信息!$A:$A&amp;盘货信息!$B:$B&amp;盘货信息!$C:$C,盘货信息!$X:$X))</f>
        <v/>
      </c>
      <c r="R97" s="27" t="str" cm="1">
        <f t="array" ref="R97">IF(_xlfn.XLOOKUP($A97&amp;$B97&amp;$C97,盘货信息!$A:$A&amp;盘货信息!$B:$B&amp;盘货信息!$C:$C,盘货信息!$Z:$Z)="","","【"&amp;盘货信息!$Z$1&amp;"】"&amp;_xlfn.XLOOKUP($A97&amp;$B97&amp;$C97,盘货信息!$A:$A&amp;盘货信息!$B:$B&amp;盘货信息!$C:$C,盘货信息!$Z:$Z))</f>
        <v/>
      </c>
      <c r="S97" s="27" t="str" cm="1">
        <f t="array" ref="S97">IF(_xlfn.XLOOKUP($A97&amp;$B97&amp;$C97,盘货信息!$A:$A&amp;盘货信息!$B:$B&amp;盘货信息!$C:$C,盘货信息!$Q:$Q)="","","【种草】站外带指定话题种草后返"&amp;_xlfn.XLOOKUP($A97&amp;$B97&amp;$C97,盘货信息!$A:$A&amp;盘货信息!$B:$B&amp;盘货信息!$C:$C,盘货信息!$Q:$Q)&amp;"元红包（每个淘宝账号仅限对应一个站外种草账号，同一个种草账号不可对应多个淘宝账号）")</f>
        <v/>
      </c>
      <c r="T97" s="27" t="str" cm="1">
        <f t="array" ref="T97">IF(_xlfn.XLOOKUP($A97&amp;$B97&amp;$C97,盘货信息!$A:$A&amp;盘货信息!$B:$B&amp;盘货信息!$C:$C,盘货信息!$R:$R)&lt;1,"","【以旧换新】"&amp;"享补贴"&amp;ROUND(_xlfn.XLOOKUP($A97&amp;$B97&amp;$C97,盘货信息!$A:$A&amp;盘货信息!$B:$B&amp;盘货信息!$C:$C,盘货信息!$R:$R),0)&amp;"元（可无旧机换新）")</f>
        <v/>
      </c>
      <c r="U97" s="27" t="str">
        <f>IF(AND($N97="",$O97="",$P97="",$Q97="",$R97="",$S97="",$T97=""),"",固定信息!$B$1)</f>
        <v/>
      </c>
      <c r="V97" s="27" t="str" cm="1">
        <f t="array" ref="V97">IF(_xlfn.XLOOKUP($A97&amp;$B97&amp;$C97,盘货信息!$A:$A&amp;盘货信息!$B:$B&amp;盘货信息!$C:$C,盘货信息!$Y:$Y)="","","【卡萨帝送赠】活动指定时间"&amp;_xlfn.TEXTBEFORE(_xlfn.TEXTAFTER(_xlfn.XLOOKUP($A97&amp;$B97&amp;$C97,盘货信息!$A:$A&amp;盘货信息!$B:$B&amp;盘货信息!$C:$C,盘货信息!$Y:$Y),"点"),"（"))</f>
        <v/>
      </c>
      <c r="W97" s="27" t="str" cm="1">
        <f t="array" ref="W97">IF(COUNTIF(_xlfn.XLOOKUP($A97&amp;$B97&amp;$C97,盘货信息!$A:$A&amp;盘货信息!$B:$B&amp;盘货信息!$C:$C,盘货信息!$O:$O),"*是*"),"【折扣】指定型号满2类享96折，满3类享94折","")</f>
        <v/>
      </c>
      <c r="X97" s="27" t="str" cm="1">
        <f t="array" ref="X97">IF(固定信息!$B$7="","",IF(_xlfn.XLOOKUP($A97&amp;$B97&amp;$C97,盘货信息!$A:$A&amp;盘货信息!$B:$B&amp;盘货信息!$C:$C,盘货信息!$N:$N)="是","【瓜分】"&amp;固定信息!$B$7,""))</f>
        <v/>
      </c>
      <c r="Y97" s="27" t="str">
        <f>IF(AND($V97="",$W97="",$X97=""),"",固定信息!$B$1)</f>
        <v/>
      </c>
      <c r="Z97" s="27" t="str" cm="1">
        <f t="array" ref="Z97">IF($C97="","",_xlfn.XLOOKUP($A97&amp;$B97&amp;$C97,服务!$A:$A&amp;服务!$B:$B&amp;服务!$C:$C,服务!$D:$D))</f>
        <v/>
      </c>
    </row>
    <row r="98" customHeight="1" spans="1:26">
      <c r="A98" s="26" t="str">
        <f>IF(盘货信息!A98="","",盘货信息!A98)</f>
        <v/>
      </c>
      <c r="B98" s="26" t="str">
        <f>IF(盘货信息!B98="","",盘货信息!B98)</f>
        <v/>
      </c>
      <c r="C98" s="23" t="str">
        <f>IF(盘货信息!C98="","",盘货信息!C98)</f>
        <v/>
      </c>
      <c r="D98" s="27" t="str">
        <f ca="1" t="shared" si="1"/>
        <v/>
      </c>
      <c r="E98" s="27" t="str">
        <f>IF(C98="","",固定信息!$B$2)</f>
        <v/>
      </c>
      <c r="F98" s="27" t="str">
        <f>IF(C98="","","【"&amp;C98&amp;"】"&amp;固定信息!$B$4)</f>
        <v/>
      </c>
      <c r="G98" s="27" t="str">
        <f>IF(C98="","","【"&amp;"活动时间："&amp;固定信息!$B$3&amp;"】")</f>
        <v/>
      </c>
      <c r="H98" s="27" t="str">
        <f>IF($C98="","",固定信息!$B$1)</f>
        <v/>
      </c>
      <c r="I98" s="27" t="str">
        <f>IF(OR(C98="",固定信息!$B$5=""),"","【1元预约锁好礼】"&amp;固定信息!$B$5)</f>
        <v/>
      </c>
      <c r="J98" s="27" t="str" cm="1">
        <f t="array" ref="J98">_xlfn.XLOOKUP($A98&amp;$B98&amp;$C98,价格信息!$A:$A&amp;价格信息!$B:$B&amp;价格信息!$C:$C,价格信息!$D:$D)</f>
        <v/>
      </c>
      <c r="K98" s="27" t="str">
        <f>IF($C98="","",固定信息!$B$1)</f>
        <v/>
      </c>
      <c r="L98" s="27" t="str" cm="1">
        <f t="array" ref="L98">IF(_xlfn.XLOOKUP($A98&amp;$B98&amp;$C98,盘货信息!$A:$A&amp;盘货信息!$B:$B&amp;盘货信息!$C:$C,盘货信息!$T:$T)="","","【优惠券】领"&amp;_xlfn.XLOOKUP($A98&amp;$B98&amp;$C98,盘货信息!$A:$A&amp;盘货信息!$B:$B&amp;盘货信息!$C:$C,盘货信息!$T:$T)&amp;"元优惠卷下单更优惠，领券链接："&amp;_xlfn.XLOOKUP($A98&amp;$B98&amp;$C98,盘货信息!$A:$A&amp;盘货信息!$B:$B&amp;盘货信息!$C:$C,盘货信息!$U:$U))</f>
        <v/>
      </c>
      <c r="M98" s="27" t="str" cm="1">
        <f t="array" ref="M98">IF(_xlfn.XLOOKUP($A98&amp;$B98&amp;$C98,盘货信息!$A:$A&amp;盘货信息!$B:$B&amp;盘货信息!$C:$C,盘货信息!$P:$P)="","","【限时】"&amp;_xlfn.XLOOKUP($A98&amp;$B98&amp;$C98,盘货信息!$A:$A&amp;盘货信息!$B:$B&amp;盘货信息!$C:$C,盘货信息!$P:$P))</f>
        <v/>
      </c>
      <c r="N98" s="27" t="str" cm="1">
        <f t="array" ref="N98">IF(_xlfn.XLOOKUP($A98&amp;$B98&amp;$C98,盘货信息!$A:$A&amp;盘货信息!$B:$B&amp;盘货信息!$C:$C,盘货信息!$V:$V)="","","【"&amp;盘货信息!$V$1&amp;"】"&amp;_xlfn.XLOOKUP($A98&amp;$B98&amp;$C98,盘货信息!$A:$A&amp;盘货信息!$B:$B&amp;盘货信息!$C:$C,盘货信息!$V:$V))</f>
        <v/>
      </c>
      <c r="O98" s="27" t="str" cm="1">
        <f t="array" ref="O98">IF(_xlfn.XLOOKUP($A98&amp;$B98&amp;$C98,盘货信息!$A:$A&amp;盘货信息!$B:$B&amp;盘货信息!$C:$C,盘货信息!$W:$W)="","","【"&amp;盘货信息!$W$1&amp;"】"&amp;_xlfn.XLOOKUP($A98&amp;$B98&amp;$C98,盘货信息!$A:$A&amp;盘货信息!$B:$B&amp;盘货信息!$C:$C,盘货信息!$W:$W))</f>
        <v/>
      </c>
      <c r="P98" s="27" t="str" cm="1">
        <f t="array" ref="P98">IF(_xlfn.XLOOKUP($A98&amp;$B98&amp;$C98,盘货信息!$A:$A&amp;盘货信息!$B:$B&amp;盘货信息!$C:$C,盘货信息!$S:$S)&lt;1,"","【"&amp;盘货信息!$S$1&amp;"】"&amp;"后返"&amp;_xlfn.XLOOKUP($A98&amp;$B98&amp;$C98,盘货信息!$A:$A&amp;盘货信息!$B:$B&amp;盘货信息!$C:$C,盘货信息!$S:$S)&amp;"元")</f>
        <v/>
      </c>
      <c r="Q98" s="27" t="str" cm="1">
        <f t="array" ref="Q98">IF(_xlfn.XLOOKUP($A98&amp;$B98&amp;$C98,盘货信息!$A:$A&amp;盘货信息!$B:$B&amp;盘货信息!$C:$C,盘货信息!$X:$X)="","","【"&amp;盘货信息!$X$1&amp;"】"&amp;_xlfn.XLOOKUP($A98&amp;$B98&amp;$C98,盘货信息!$A:$A&amp;盘货信息!$B:$B&amp;盘货信息!$C:$C,盘货信息!$X:$X))</f>
        <v/>
      </c>
      <c r="R98" s="27" t="str" cm="1">
        <f t="array" ref="R98">IF(_xlfn.XLOOKUP($A98&amp;$B98&amp;$C98,盘货信息!$A:$A&amp;盘货信息!$B:$B&amp;盘货信息!$C:$C,盘货信息!$Z:$Z)="","","【"&amp;盘货信息!$Z$1&amp;"】"&amp;_xlfn.XLOOKUP($A98&amp;$B98&amp;$C98,盘货信息!$A:$A&amp;盘货信息!$B:$B&amp;盘货信息!$C:$C,盘货信息!$Z:$Z))</f>
        <v/>
      </c>
      <c r="S98" s="27" t="str" cm="1">
        <f t="array" ref="S98">IF(_xlfn.XLOOKUP($A98&amp;$B98&amp;$C98,盘货信息!$A:$A&amp;盘货信息!$B:$B&amp;盘货信息!$C:$C,盘货信息!$Q:$Q)="","","【种草】站外带指定话题种草后返"&amp;_xlfn.XLOOKUP($A98&amp;$B98&amp;$C98,盘货信息!$A:$A&amp;盘货信息!$B:$B&amp;盘货信息!$C:$C,盘货信息!$Q:$Q)&amp;"元红包（每个淘宝账号仅限对应一个站外种草账号，同一个种草账号不可对应多个淘宝账号）")</f>
        <v/>
      </c>
      <c r="T98" s="27" t="str" cm="1">
        <f t="array" ref="T98">IF(_xlfn.XLOOKUP($A98&amp;$B98&amp;$C98,盘货信息!$A:$A&amp;盘货信息!$B:$B&amp;盘货信息!$C:$C,盘货信息!$R:$R)&lt;1,"","【以旧换新】"&amp;"享补贴"&amp;ROUND(_xlfn.XLOOKUP($A98&amp;$B98&amp;$C98,盘货信息!$A:$A&amp;盘货信息!$B:$B&amp;盘货信息!$C:$C,盘货信息!$R:$R),0)&amp;"元（可无旧机换新）")</f>
        <v/>
      </c>
      <c r="U98" s="27" t="str">
        <f>IF(AND($N98="",$O98="",$P98="",$Q98="",$R98="",$S98="",$T98=""),"",固定信息!$B$1)</f>
        <v/>
      </c>
      <c r="V98" s="27" t="str" cm="1">
        <f t="array" ref="V98">IF(_xlfn.XLOOKUP($A98&amp;$B98&amp;$C98,盘货信息!$A:$A&amp;盘货信息!$B:$B&amp;盘货信息!$C:$C,盘货信息!$Y:$Y)="","","【卡萨帝送赠】活动指定时间"&amp;_xlfn.TEXTBEFORE(_xlfn.TEXTAFTER(_xlfn.XLOOKUP($A98&amp;$B98&amp;$C98,盘货信息!$A:$A&amp;盘货信息!$B:$B&amp;盘货信息!$C:$C,盘货信息!$Y:$Y),"点"),"（"))</f>
        <v/>
      </c>
      <c r="W98" s="27" t="str" cm="1">
        <f t="array" ref="W98">IF(COUNTIF(_xlfn.XLOOKUP($A98&amp;$B98&amp;$C98,盘货信息!$A:$A&amp;盘货信息!$B:$B&amp;盘货信息!$C:$C,盘货信息!$O:$O),"*是*"),"【折扣】指定型号满2类享96折，满3类享94折","")</f>
        <v/>
      </c>
      <c r="X98" s="27" t="str" cm="1">
        <f t="array" ref="X98">IF(固定信息!$B$7="","",IF(_xlfn.XLOOKUP($A98&amp;$B98&amp;$C98,盘货信息!$A:$A&amp;盘货信息!$B:$B&amp;盘货信息!$C:$C,盘货信息!$N:$N)="是","【瓜分】"&amp;固定信息!$B$7,""))</f>
        <v/>
      </c>
      <c r="Y98" s="27" t="str">
        <f>IF(AND($V98="",$W98="",$X98=""),"",固定信息!$B$1)</f>
        <v/>
      </c>
      <c r="Z98" s="27" t="str" cm="1">
        <f t="array" ref="Z98">IF($C98="","",_xlfn.XLOOKUP($A98&amp;$B98&amp;$C98,服务!$A:$A&amp;服务!$B:$B&amp;服务!$C:$C,服务!$D:$D))</f>
        <v/>
      </c>
    </row>
    <row r="99" customHeight="1" spans="1:26">
      <c r="A99" s="26" t="str">
        <f>IF(盘货信息!A99="","",盘货信息!A99)</f>
        <v/>
      </c>
      <c r="B99" s="26" t="str">
        <f>IF(盘货信息!B99="","",盘货信息!B99)</f>
        <v/>
      </c>
      <c r="C99" s="23" t="str">
        <f>IF(盘货信息!C99="","",盘货信息!C99)</f>
        <v/>
      </c>
      <c r="D99" s="27" t="str">
        <f ca="1" t="shared" si="1"/>
        <v/>
      </c>
      <c r="E99" s="27" t="str">
        <f>IF(C99="","",固定信息!$B$2)</f>
        <v/>
      </c>
      <c r="F99" s="27" t="str">
        <f>IF(C99="","","【"&amp;C99&amp;"】"&amp;固定信息!$B$4)</f>
        <v/>
      </c>
      <c r="G99" s="27" t="str">
        <f>IF(C99="","","【"&amp;"活动时间："&amp;固定信息!$B$3&amp;"】")</f>
        <v/>
      </c>
      <c r="H99" s="27" t="str">
        <f>IF($C99="","",固定信息!$B$1)</f>
        <v/>
      </c>
      <c r="I99" s="27" t="str">
        <f>IF(OR(C99="",固定信息!$B$5=""),"","【1元预约锁好礼】"&amp;固定信息!$B$5)</f>
        <v/>
      </c>
      <c r="J99" s="27" t="str" cm="1">
        <f t="array" ref="J99">_xlfn.XLOOKUP($A99&amp;$B99&amp;$C99,价格信息!$A:$A&amp;价格信息!$B:$B&amp;价格信息!$C:$C,价格信息!$D:$D)</f>
        <v/>
      </c>
      <c r="K99" s="27" t="str">
        <f>IF($C99="","",固定信息!$B$1)</f>
        <v/>
      </c>
      <c r="L99" s="27" t="str" cm="1">
        <f t="array" ref="L99">IF(_xlfn.XLOOKUP($A99&amp;$B99&amp;$C99,盘货信息!$A:$A&amp;盘货信息!$B:$B&amp;盘货信息!$C:$C,盘货信息!$T:$T)="","","【优惠券】领"&amp;_xlfn.XLOOKUP($A99&amp;$B99&amp;$C99,盘货信息!$A:$A&amp;盘货信息!$B:$B&amp;盘货信息!$C:$C,盘货信息!$T:$T)&amp;"元优惠卷下单更优惠，领券链接："&amp;_xlfn.XLOOKUP($A99&amp;$B99&amp;$C99,盘货信息!$A:$A&amp;盘货信息!$B:$B&amp;盘货信息!$C:$C,盘货信息!$U:$U))</f>
        <v/>
      </c>
      <c r="M99" s="27" t="str" cm="1">
        <f t="array" ref="M99">IF(_xlfn.XLOOKUP($A99&amp;$B99&amp;$C99,盘货信息!$A:$A&amp;盘货信息!$B:$B&amp;盘货信息!$C:$C,盘货信息!$P:$P)="","","【限时】"&amp;_xlfn.XLOOKUP($A99&amp;$B99&amp;$C99,盘货信息!$A:$A&amp;盘货信息!$B:$B&amp;盘货信息!$C:$C,盘货信息!$P:$P))</f>
        <v/>
      </c>
      <c r="N99" s="27" t="str" cm="1">
        <f t="array" ref="N99">IF(_xlfn.XLOOKUP($A99&amp;$B99&amp;$C99,盘货信息!$A:$A&amp;盘货信息!$B:$B&amp;盘货信息!$C:$C,盘货信息!$V:$V)="","","【"&amp;盘货信息!$V$1&amp;"】"&amp;_xlfn.XLOOKUP($A99&amp;$B99&amp;$C99,盘货信息!$A:$A&amp;盘货信息!$B:$B&amp;盘货信息!$C:$C,盘货信息!$V:$V))</f>
        <v/>
      </c>
      <c r="O99" s="27" t="str" cm="1">
        <f t="array" ref="O99">IF(_xlfn.XLOOKUP($A99&amp;$B99&amp;$C99,盘货信息!$A:$A&amp;盘货信息!$B:$B&amp;盘货信息!$C:$C,盘货信息!$W:$W)="","","【"&amp;盘货信息!$W$1&amp;"】"&amp;_xlfn.XLOOKUP($A99&amp;$B99&amp;$C99,盘货信息!$A:$A&amp;盘货信息!$B:$B&amp;盘货信息!$C:$C,盘货信息!$W:$W))</f>
        <v/>
      </c>
      <c r="P99" s="27" t="str" cm="1">
        <f t="array" ref="P99">IF(_xlfn.XLOOKUP($A99&amp;$B99&amp;$C99,盘货信息!$A:$A&amp;盘货信息!$B:$B&amp;盘货信息!$C:$C,盘货信息!$S:$S)&lt;1,"","【"&amp;盘货信息!$S$1&amp;"】"&amp;"后返"&amp;_xlfn.XLOOKUP($A99&amp;$B99&amp;$C99,盘货信息!$A:$A&amp;盘货信息!$B:$B&amp;盘货信息!$C:$C,盘货信息!$S:$S)&amp;"元")</f>
        <v/>
      </c>
      <c r="Q99" s="27" t="str" cm="1">
        <f t="array" ref="Q99">IF(_xlfn.XLOOKUP($A99&amp;$B99&amp;$C99,盘货信息!$A:$A&amp;盘货信息!$B:$B&amp;盘货信息!$C:$C,盘货信息!$X:$X)="","","【"&amp;盘货信息!$X$1&amp;"】"&amp;_xlfn.XLOOKUP($A99&amp;$B99&amp;$C99,盘货信息!$A:$A&amp;盘货信息!$B:$B&amp;盘货信息!$C:$C,盘货信息!$X:$X))</f>
        <v/>
      </c>
      <c r="R99" s="27" t="str" cm="1">
        <f t="array" ref="R99">IF(_xlfn.XLOOKUP($A99&amp;$B99&amp;$C99,盘货信息!$A:$A&amp;盘货信息!$B:$B&amp;盘货信息!$C:$C,盘货信息!$Z:$Z)="","","【"&amp;盘货信息!$Z$1&amp;"】"&amp;_xlfn.XLOOKUP($A99&amp;$B99&amp;$C99,盘货信息!$A:$A&amp;盘货信息!$B:$B&amp;盘货信息!$C:$C,盘货信息!$Z:$Z))</f>
        <v/>
      </c>
      <c r="S99" s="27" t="str" cm="1">
        <f t="array" ref="S99">IF(_xlfn.XLOOKUP($A99&amp;$B99&amp;$C99,盘货信息!$A:$A&amp;盘货信息!$B:$B&amp;盘货信息!$C:$C,盘货信息!$Q:$Q)="","","【种草】站外带指定话题种草后返"&amp;_xlfn.XLOOKUP($A99&amp;$B99&amp;$C99,盘货信息!$A:$A&amp;盘货信息!$B:$B&amp;盘货信息!$C:$C,盘货信息!$Q:$Q)&amp;"元红包（每个淘宝账号仅限对应一个站外种草账号，同一个种草账号不可对应多个淘宝账号）")</f>
        <v/>
      </c>
      <c r="T99" s="27" t="str" cm="1">
        <f t="array" ref="T99">IF(_xlfn.XLOOKUP($A99&amp;$B99&amp;$C99,盘货信息!$A:$A&amp;盘货信息!$B:$B&amp;盘货信息!$C:$C,盘货信息!$R:$R)&lt;1,"","【以旧换新】"&amp;"享补贴"&amp;ROUND(_xlfn.XLOOKUP($A99&amp;$B99&amp;$C99,盘货信息!$A:$A&amp;盘货信息!$B:$B&amp;盘货信息!$C:$C,盘货信息!$R:$R),0)&amp;"元（可无旧机换新）")</f>
        <v/>
      </c>
      <c r="U99" s="27" t="str">
        <f>IF(AND($N99="",$O99="",$P99="",$Q99="",$R99="",$S99="",$T99=""),"",固定信息!$B$1)</f>
        <v/>
      </c>
      <c r="V99" s="27" t="str" cm="1">
        <f t="array" ref="V99">IF(_xlfn.XLOOKUP($A99&amp;$B99&amp;$C99,盘货信息!$A:$A&amp;盘货信息!$B:$B&amp;盘货信息!$C:$C,盘货信息!$Y:$Y)="","","【卡萨帝送赠】活动指定时间"&amp;_xlfn.TEXTBEFORE(_xlfn.TEXTAFTER(_xlfn.XLOOKUP($A99&amp;$B99&amp;$C99,盘货信息!$A:$A&amp;盘货信息!$B:$B&amp;盘货信息!$C:$C,盘货信息!$Y:$Y),"点"),"（"))</f>
        <v/>
      </c>
      <c r="W99" s="27" t="str" cm="1">
        <f t="array" ref="W99">IF(COUNTIF(_xlfn.XLOOKUP($A99&amp;$B99&amp;$C99,盘货信息!$A:$A&amp;盘货信息!$B:$B&amp;盘货信息!$C:$C,盘货信息!$O:$O),"*是*"),"【折扣】指定型号满2类享96折，满3类享94折","")</f>
        <v/>
      </c>
      <c r="X99" s="27" t="str" cm="1">
        <f t="array" ref="X99">IF(固定信息!$B$7="","",IF(_xlfn.XLOOKUP($A99&amp;$B99&amp;$C99,盘货信息!$A:$A&amp;盘货信息!$B:$B&amp;盘货信息!$C:$C,盘货信息!$N:$N)="是","【瓜分】"&amp;固定信息!$B$7,""))</f>
        <v/>
      </c>
      <c r="Y99" s="27" t="str">
        <f>IF(AND($V99="",$W99="",$X99=""),"",固定信息!$B$1)</f>
        <v/>
      </c>
      <c r="Z99" s="27" t="str" cm="1">
        <f t="array" ref="Z99">IF($C99="","",_xlfn.XLOOKUP($A99&amp;$B99&amp;$C99,服务!$A:$A&amp;服务!$B:$B&amp;服务!$C:$C,服务!$D:$D))</f>
        <v/>
      </c>
    </row>
    <row r="100" customHeight="1" spans="1:26">
      <c r="A100" s="26" t="str">
        <f>IF(盘货信息!A100="","",盘货信息!A100)</f>
        <v/>
      </c>
      <c r="B100" s="26" t="str">
        <f>IF(盘货信息!B100="","",盘货信息!B100)</f>
        <v/>
      </c>
      <c r="C100" s="23" t="str">
        <f>IF(盘货信息!C100="","",盘货信息!C100)</f>
        <v/>
      </c>
      <c r="D100" s="27" t="str">
        <f ca="1" t="shared" si="1"/>
        <v/>
      </c>
      <c r="E100" s="27" t="str">
        <f>IF(C100="","",固定信息!$B$2)</f>
        <v/>
      </c>
      <c r="F100" s="27" t="str">
        <f>IF(C100="","","【"&amp;C100&amp;"】"&amp;固定信息!$B$4)</f>
        <v/>
      </c>
      <c r="G100" s="27" t="str">
        <f>IF(C100="","","【"&amp;"活动时间："&amp;固定信息!$B$3&amp;"】")</f>
        <v/>
      </c>
      <c r="H100" s="27" t="str">
        <f>IF($C100="","",固定信息!$B$1)</f>
        <v/>
      </c>
      <c r="I100" s="27" t="str">
        <f>IF(OR(C100="",固定信息!$B$5=""),"","【1元预约锁好礼】"&amp;固定信息!$B$5)</f>
        <v/>
      </c>
      <c r="J100" s="27" t="str" cm="1">
        <f t="array" ref="J100">_xlfn.XLOOKUP($A100&amp;$B100&amp;$C100,价格信息!$A:$A&amp;价格信息!$B:$B&amp;价格信息!$C:$C,价格信息!$D:$D)</f>
        <v/>
      </c>
      <c r="K100" s="27" t="str">
        <f>IF($C100="","",固定信息!$B$1)</f>
        <v/>
      </c>
      <c r="L100" s="27" t="str" cm="1">
        <f t="array" ref="L100">IF(_xlfn.XLOOKUP($A100&amp;$B100&amp;$C100,盘货信息!$A:$A&amp;盘货信息!$B:$B&amp;盘货信息!$C:$C,盘货信息!$T:$T)="","","【优惠券】领"&amp;_xlfn.XLOOKUP($A100&amp;$B100&amp;$C100,盘货信息!$A:$A&amp;盘货信息!$B:$B&amp;盘货信息!$C:$C,盘货信息!$T:$T)&amp;"元优惠卷下单更优惠，领券链接："&amp;_xlfn.XLOOKUP($A100&amp;$B100&amp;$C100,盘货信息!$A:$A&amp;盘货信息!$B:$B&amp;盘货信息!$C:$C,盘货信息!$U:$U))</f>
        <v/>
      </c>
      <c r="M100" s="27" t="str" cm="1">
        <f t="array" ref="M100">IF(_xlfn.XLOOKUP($A100&amp;$B100&amp;$C100,盘货信息!$A:$A&amp;盘货信息!$B:$B&amp;盘货信息!$C:$C,盘货信息!$P:$P)="","","【限时】"&amp;_xlfn.XLOOKUP($A100&amp;$B100&amp;$C100,盘货信息!$A:$A&amp;盘货信息!$B:$B&amp;盘货信息!$C:$C,盘货信息!$P:$P))</f>
        <v/>
      </c>
      <c r="N100" s="27" t="str" cm="1">
        <f t="array" ref="N100">IF(_xlfn.XLOOKUP($A100&amp;$B100&amp;$C100,盘货信息!$A:$A&amp;盘货信息!$B:$B&amp;盘货信息!$C:$C,盘货信息!$V:$V)="","","【"&amp;盘货信息!$V$1&amp;"】"&amp;_xlfn.XLOOKUP($A100&amp;$B100&amp;$C100,盘货信息!$A:$A&amp;盘货信息!$B:$B&amp;盘货信息!$C:$C,盘货信息!$V:$V))</f>
        <v/>
      </c>
      <c r="O100" s="27" t="str" cm="1">
        <f t="array" ref="O100">IF(_xlfn.XLOOKUP($A100&amp;$B100&amp;$C100,盘货信息!$A:$A&amp;盘货信息!$B:$B&amp;盘货信息!$C:$C,盘货信息!$W:$W)="","","【"&amp;盘货信息!$W$1&amp;"】"&amp;_xlfn.XLOOKUP($A100&amp;$B100&amp;$C100,盘货信息!$A:$A&amp;盘货信息!$B:$B&amp;盘货信息!$C:$C,盘货信息!$W:$W))</f>
        <v/>
      </c>
      <c r="P100" s="27" t="str" cm="1">
        <f t="array" ref="P100">IF(_xlfn.XLOOKUP($A100&amp;$B100&amp;$C100,盘货信息!$A:$A&amp;盘货信息!$B:$B&amp;盘货信息!$C:$C,盘货信息!$S:$S)&lt;1,"","【"&amp;盘货信息!$S$1&amp;"】"&amp;"后返"&amp;_xlfn.XLOOKUP($A100&amp;$B100&amp;$C100,盘货信息!$A:$A&amp;盘货信息!$B:$B&amp;盘货信息!$C:$C,盘货信息!$S:$S)&amp;"元")</f>
        <v/>
      </c>
      <c r="Q100" s="27" t="str" cm="1">
        <f t="array" ref="Q100">IF(_xlfn.XLOOKUP($A100&amp;$B100&amp;$C100,盘货信息!$A:$A&amp;盘货信息!$B:$B&amp;盘货信息!$C:$C,盘货信息!$X:$X)="","","【"&amp;盘货信息!$X$1&amp;"】"&amp;_xlfn.XLOOKUP($A100&amp;$B100&amp;$C100,盘货信息!$A:$A&amp;盘货信息!$B:$B&amp;盘货信息!$C:$C,盘货信息!$X:$X))</f>
        <v/>
      </c>
      <c r="R100" s="27" t="str" cm="1">
        <f t="array" ref="R100">IF(_xlfn.XLOOKUP($A100&amp;$B100&amp;$C100,盘货信息!$A:$A&amp;盘货信息!$B:$B&amp;盘货信息!$C:$C,盘货信息!$Z:$Z)="","","【"&amp;盘货信息!$Z$1&amp;"】"&amp;_xlfn.XLOOKUP($A100&amp;$B100&amp;$C100,盘货信息!$A:$A&amp;盘货信息!$B:$B&amp;盘货信息!$C:$C,盘货信息!$Z:$Z))</f>
        <v/>
      </c>
      <c r="S100" s="27" t="str" cm="1">
        <f t="array" ref="S100">IF(_xlfn.XLOOKUP($A100&amp;$B100&amp;$C100,盘货信息!$A:$A&amp;盘货信息!$B:$B&amp;盘货信息!$C:$C,盘货信息!$Q:$Q)="","","【种草】站外带指定话题种草后返"&amp;_xlfn.XLOOKUP($A100&amp;$B100&amp;$C100,盘货信息!$A:$A&amp;盘货信息!$B:$B&amp;盘货信息!$C:$C,盘货信息!$Q:$Q)&amp;"元红包（每个淘宝账号仅限对应一个站外种草账号，同一个种草账号不可对应多个淘宝账号）")</f>
        <v/>
      </c>
      <c r="T100" s="27" t="str" cm="1">
        <f t="array" ref="T100">IF(_xlfn.XLOOKUP($A100&amp;$B100&amp;$C100,盘货信息!$A:$A&amp;盘货信息!$B:$B&amp;盘货信息!$C:$C,盘货信息!$R:$R)&lt;1,"","【以旧换新】"&amp;"享补贴"&amp;ROUND(_xlfn.XLOOKUP($A100&amp;$B100&amp;$C100,盘货信息!$A:$A&amp;盘货信息!$B:$B&amp;盘货信息!$C:$C,盘货信息!$R:$R),0)&amp;"元（可无旧机换新）")</f>
        <v/>
      </c>
      <c r="U100" s="27" t="str">
        <f>IF(AND($N100="",$O100="",$P100="",$Q100="",$R100="",$S100="",$T100=""),"",固定信息!$B$1)</f>
        <v/>
      </c>
      <c r="V100" s="27" t="str" cm="1">
        <f t="array" ref="V100">IF(_xlfn.XLOOKUP($A100&amp;$B100&amp;$C100,盘货信息!$A:$A&amp;盘货信息!$B:$B&amp;盘货信息!$C:$C,盘货信息!$Y:$Y)="","","【卡萨帝送赠】活动指定时间"&amp;_xlfn.TEXTBEFORE(_xlfn.TEXTAFTER(_xlfn.XLOOKUP($A100&amp;$B100&amp;$C100,盘货信息!$A:$A&amp;盘货信息!$B:$B&amp;盘货信息!$C:$C,盘货信息!$Y:$Y),"点"),"（"))</f>
        <v/>
      </c>
      <c r="W100" s="27" t="str" cm="1">
        <f t="array" ref="W100">IF(COUNTIF(_xlfn.XLOOKUP($A100&amp;$B100&amp;$C100,盘货信息!$A:$A&amp;盘货信息!$B:$B&amp;盘货信息!$C:$C,盘货信息!$O:$O),"*是*"),"【折扣】指定型号满2类享96折，满3类享94折","")</f>
        <v/>
      </c>
      <c r="X100" s="27" t="str" cm="1">
        <f t="array" ref="X100">IF(固定信息!$B$7="","",IF(_xlfn.XLOOKUP($A100&amp;$B100&amp;$C100,盘货信息!$A:$A&amp;盘货信息!$B:$B&amp;盘货信息!$C:$C,盘货信息!$N:$N)="是","【瓜分】"&amp;固定信息!$B$7,""))</f>
        <v/>
      </c>
      <c r="Y100" s="27" t="str">
        <f>IF(AND($V100="",$W100="",$X100=""),"",固定信息!$B$1)</f>
        <v/>
      </c>
      <c r="Z100" s="27" t="str" cm="1">
        <f t="array" ref="Z100">IF($C100="","",_xlfn.XLOOKUP($A100&amp;$B100&amp;$C100,服务!$A:$A&amp;服务!$B:$B&amp;服务!$C:$C,服务!$D:$D))</f>
        <v/>
      </c>
    </row>
    <row r="101" customHeight="1" spans="1:26">
      <c r="A101" s="26" t="str">
        <f>IF(盘货信息!A101="","",盘货信息!A101)</f>
        <v/>
      </c>
      <c r="B101" s="26" t="str">
        <f>IF(盘货信息!B101="","",盘货信息!B101)</f>
        <v/>
      </c>
      <c r="C101" s="23" t="str">
        <f>IF(盘货信息!C101="","",盘货信息!C101)</f>
        <v/>
      </c>
      <c r="D101" s="27" t="str">
        <f ca="1" t="shared" si="1"/>
        <v/>
      </c>
      <c r="E101" s="27" t="str">
        <f>IF(C101="","",固定信息!$B$2)</f>
        <v/>
      </c>
      <c r="F101" s="27" t="str">
        <f>IF(C101="","","【"&amp;C101&amp;"】"&amp;固定信息!$B$4)</f>
        <v/>
      </c>
      <c r="G101" s="27" t="str">
        <f>IF(C101="","","【"&amp;"活动时间："&amp;固定信息!$B$3&amp;"】")</f>
        <v/>
      </c>
      <c r="H101" s="27" t="str">
        <f>IF($C101="","",固定信息!$B$1)</f>
        <v/>
      </c>
      <c r="I101" s="27" t="str">
        <f>IF(OR(C101="",固定信息!$B$5=""),"","【1元预约锁好礼】"&amp;固定信息!$B$5)</f>
        <v/>
      </c>
      <c r="J101" s="27" t="str" cm="1">
        <f t="array" ref="J101">_xlfn.XLOOKUP($A101&amp;$B101&amp;$C101,价格信息!$A:$A&amp;价格信息!$B:$B&amp;价格信息!$C:$C,价格信息!$D:$D)</f>
        <v/>
      </c>
      <c r="K101" s="27" t="str">
        <f>IF($C101="","",固定信息!$B$1)</f>
        <v/>
      </c>
      <c r="L101" s="27" t="str" cm="1">
        <f t="array" ref="L101">IF(_xlfn.XLOOKUP($A101&amp;$B101&amp;$C101,盘货信息!$A:$A&amp;盘货信息!$B:$B&amp;盘货信息!$C:$C,盘货信息!$T:$T)="","","【优惠券】领"&amp;_xlfn.XLOOKUP($A101&amp;$B101&amp;$C101,盘货信息!$A:$A&amp;盘货信息!$B:$B&amp;盘货信息!$C:$C,盘货信息!$T:$T)&amp;"元优惠卷下单更优惠，领券链接："&amp;_xlfn.XLOOKUP($A101&amp;$B101&amp;$C101,盘货信息!$A:$A&amp;盘货信息!$B:$B&amp;盘货信息!$C:$C,盘货信息!$U:$U))</f>
        <v/>
      </c>
      <c r="M101" s="27" t="str" cm="1">
        <f t="array" ref="M101">IF(_xlfn.XLOOKUP($A101&amp;$B101&amp;$C101,盘货信息!$A:$A&amp;盘货信息!$B:$B&amp;盘货信息!$C:$C,盘货信息!$P:$P)="","","【限时】"&amp;_xlfn.XLOOKUP($A101&amp;$B101&amp;$C101,盘货信息!$A:$A&amp;盘货信息!$B:$B&amp;盘货信息!$C:$C,盘货信息!$P:$P))</f>
        <v/>
      </c>
      <c r="N101" s="27" t="str" cm="1">
        <f t="array" ref="N101">IF(_xlfn.XLOOKUP($A101&amp;$B101&amp;$C101,盘货信息!$A:$A&amp;盘货信息!$B:$B&amp;盘货信息!$C:$C,盘货信息!$V:$V)="","","【"&amp;盘货信息!$V$1&amp;"】"&amp;_xlfn.XLOOKUP($A101&amp;$B101&amp;$C101,盘货信息!$A:$A&amp;盘货信息!$B:$B&amp;盘货信息!$C:$C,盘货信息!$V:$V))</f>
        <v/>
      </c>
      <c r="O101" s="27" t="str" cm="1">
        <f t="array" ref="O101">IF(_xlfn.XLOOKUP($A101&amp;$B101&amp;$C101,盘货信息!$A:$A&amp;盘货信息!$B:$B&amp;盘货信息!$C:$C,盘货信息!$W:$W)="","","【"&amp;盘货信息!$W$1&amp;"】"&amp;_xlfn.XLOOKUP($A101&amp;$B101&amp;$C101,盘货信息!$A:$A&amp;盘货信息!$B:$B&amp;盘货信息!$C:$C,盘货信息!$W:$W))</f>
        <v/>
      </c>
      <c r="P101" s="27" t="str" cm="1">
        <f t="array" ref="P101">IF(_xlfn.XLOOKUP($A101&amp;$B101&amp;$C101,盘货信息!$A:$A&amp;盘货信息!$B:$B&amp;盘货信息!$C:$C,盘货信息!$S:$S)&lt;1,"","【"&amp;盘货信息!$S$1&amp;"】"&amp;"后返"&amp;_xlfn.XLOOKUP($A101&amp;$B101&amp;$C101,盘货信息!$A:$A&amp;盘货信息!$B:$B&amp;盘货信息!$C:$C,盘货信息!$S:$S)&amp;"元")</f>
        <v/>
      </c>
      <c r="Q101" s="27" t="str" cm="1">
        <f t="array" ref="Q101">IF(_xlfn.XLOOKUP($A101&amp;$B101&amp;$C101,盘货信息!$A:$A&amp;盘货信息!$B:$B&amp;盘货信息!$C:$C,盘货信息!$X:$X)="","","【"&amp;盘货信息!$X$1&amp;"】"&amp;_xlfn.XLOOKUP($A101&amp;$B101&amp;$C101,盘货信息!$A:$A&amp;盘货信息!$B:$B&amp;盘货信息!$C:$C,盘货信息!$X:$X))</f>
        <v/>
      </c>
      <c r="R101" s="27" t="str" cm="1">
        <f t="array" ref="R101">IF(_xlfn.XLOOKUP($A101&amp;$B101&amp;$C101,盘货信息!$A:$A&amp;盘货信息!$B:$B&amp;盘货信息!$C:$C,盘货信息!$Z:$Z)="","","【"&amp;盘货信息!$Z$1&amp;"】"&amp;_xlfn.XLOOKUP($A101&amp;$B101&amp;$C101,盘货信息!$A:$A&amp;盘货信息!$B:$B&amp;盘货信息!$C:$C,盘货信息!$Z:$Z))</f>
        <v/>
      </c>
      <c r="S101" s="27" t="str" cm="1">
        <f t="array" ref="S101">IF(_xlfn.XLOOKUP($A101&amp;$B101&amp;$C101,盘货信息!$A:$A&amp;盘货信息!$B:$B&amp;盘货信息!$C:$C,盘货信息!$Q:$Q)="","","【种草】站外带指定话题种草后返"&amp;_xlfn.XLOOKUP($A101&amp;$B101&amp;$C101,盘货信息!$A:$A&amp;盘货信息!$B:$B&amp;盘货信息!$C:$C,盘货信息!$Q:$Q)&amp;"元红包（每个淘宝账号仅限对应一个站外种草账号，同一个种草账号不可对应多个淘宝账号）")</f>
        <v/>
      </c>
      <c r="T101" s="27" t="str" cm="1">
        <f t="array" ref="T101">IF(_xlfn.XLOOKUP($A101&amp;$B101&amp;$C101,盘货信息!$A:$A&amp;盘货信息!$B:$B&amp;盘货信息!$C:$C,盘货信息!$R:$R)&lt;1,"","【以旧换新】"&amp;"享补贴"&amp;ROUND(_xlfn.XLOOKUP($A101&amp;$B101&amp;$C101,盘货信息!$A:$A&amp;盘货信息!$B:$B&amp;盘货信息!$C:$C,盘货信息!$R:$R),0)&amp;"元（可无旧机换新）")</f>
        <v/>
      </c>
      <c r="U101" s="27" t="str">
        <f>IF(AND($N101="",$O101="",$P101="",$Q101="",$R101="",$S101="",$T101=""),"",固定信息!$B$1)</f>
        <v/>
      </c>
      <c r="V101" s="27" t="str" cm="1">
        <f t="array" ref="V101">IF(_xlfn.XLOOKUP($A101&amp;$B101&amp;$C101,盘货信息!$A:$A&amp;盘货信息!$B:$B&amp;盘货信息!$C:$C,盘货信息!$Y:$Y)="","","【卡萨帝送赠】活动指定时间"&amp;_xlfn.TEXTBEFORE(_xlfn.TEXTAFTER(_xlfn.XLOOKUP($A101&amp;$B101&amp;$C101,盘货信息!$A:$A&amp;盘货信息!$B:$B&amp;盘货信息!$C:$C,盘货信息!$Y:$Y),"点"),"（"))</f>
        <v/>
      </c>
      <c r="W101" s="27" t="str" cm="1">
        <f t="array" ref="W101">IF(COUNTIF(_xlfn.XLOOKUP($A101&amp;$B101&amp;$C101,盘货信息!$A:$A&amp;盘货信息!$B:$B&amp;盘货信息!$C:$C,盘货信息!$O:$O),"*是*"),"【折扣】指定型号满2类享96折，满3类享94折","")</f>
        <v/>
      </c>
      <c r="X101" s="27" t="str" cm="1">
        <f t="array" ref="X101">IF(固定信息!$B$7="","",IF(_xlfn.XLOOKUP($A101&amp;$B101&amp;$C101,盘货信息!$A:$A&amp;盘货信息!$B:$B&amp;盘货信息!$C:$C,盘货信息!$N:$N)="是","【瓜分】"&amp;固定信息!$B$7,""))</f>
        <v/>
      </c>
      <c r="Y101" s="27" t="str">
        <f>IF(AND($V101="",$W101="",$X101=""),"",固定信息!$B$1)</f>
        <v/>
      </c>
      <c r="Z101" s="27" t="str" cm="1">
        <f t="array" ref="Z101">IF($C101="","",_xlfn.XLOOKUP($A101&amp;$B101&amp;$C101,服务!$A:$A&amp;服务!$B:$B&amp;服务!$C:$C,服务!$D:$D))</f>
        <v/>
      </c>
    </row>
    <row r="102" customHeight="1" spans="1:26">
      <c r="A102" s="26" t="str">
        <f>IF(盘货信息!A102="","",盘货信息!A102)</f>
        <v/>
      </c>
      <c r="B102" s="26" t="str">
        <f>IF(盘货信息!B102="","",盘货信息!B102)</f>
        <v/>
      </c>
      <c r="C102" s="23" t="str">
        <f>IF(盘货信息!C102="","",盘货信息!C102)</f>
        <v/>
      </c>
      <c r="D102" s="27" t="str">
        <f ca="1" t="shared" si="1"/>
        <v/>
      </c>
      <c r="E102" s="27" t="str">
        <f>IF(C102="","",固定信息!$B$2)</f>
        <v/>
      </c>
      <c r="F102" s="27" t="str">
        <f>IF(C102="","","【"&amp;C102&amp;"】"&amp;固定信息!$B$4)</f>
        <v/>
      </c>
      <c r="G102" s="27" t="str">
        <f>IF(C102="","","【"&amp;"活动时间："&amp;固定信息!$B$3&amp;"】")</f>
        <v/>
      </c>
      <c r="H102" s="27" t="str">
        <f>IF($C102="","",固定信息!$B$1)</f>
        <v/>
      </c>
      <c r="I102" s="27" t="str">
        <f>IF(OR(C102="",固定信息!$B$5=""),"","【1元预约锁好礼】"&amp;固定信息!$B$5)</f>
        <v/>
      </c>
      <c r="J102" s="27" t="str" cm="1">
        <f t="array" ref="J102">_xlfn.XLOOKUP($A102&amp;$B102&amp;$C102,价格信息!$A:$A&amp;价格信息!$B:$B&amp;价格信息!$C:$C,价格信息!$D:$D)</f>
        <v/>
      </c>
      <c r="K102" s="27" t="str">
        <f>IF($C102="","",固定信息!$B$1)</f>
        <v/>
      </c>
      <c r="L102" s="27" t="str" cm="1">
        <f t="array" ref="L102">IF(_xlfn.XLOOKUP($A102&amp;$B102&amp;$C102,盘货信息!$A:$A&amp;盘货信息!$B:$B&amp;盘货信息!$C:$C,盘货信息!$T:$T)="","","【优惠券】领"&amp;_xlfn.XLOOKUP($A102&amp;$B102&amp;$C102,盘货信息!$A:$A&amp;盘货信息!$B:$B&amp;盘货信息!$C:$C,盘货信息!$T:$T)&amp;"元优惠卷下单更优惠，领券链接："&amp;_xlfn.XLOOKUP($A102&amp;$B102&amp;$C102,盘货信息!$A:$A&amp;盘货信息!$B:$B&amp;盘货信息!$C:$C,盘货信息!$U:$U))</f>
        <v/>
      </c>
      <c r="M102" s="27" t="str" cm="1">
        <f t="array" ref="M102">IF(_xlfn.XLOOKUP($A102&amp;$B102&amp;$C102,盘货信息!$A:$A&amp;盘货信息!$B:$B&amp;盘货信息!$C:$C,盘货信息!$P:$P)="","","【限时】"&amp;_xlfn.XLOOKUP($A102&amp;$B102&amp;$C102,盘货信息!$A:$A&amp;盘货信息!$B:$B&amp;盘货信息!$C:$C,盘货信息!$P:$P))</f>
        <v/>
      </c>
      <c r="N102" s="27" t="str" cm="1">
        <f t="array" ref="N102">IF(_xlfn.XLOOKUP($A102&amp;$B102&amp;$C102,盘货信息!$A:$A&amp;盘货信息!$B:$B&amp;盘货信息!$C:$C,盘货信息!$V:$V)="","","【"&amp;盘货信息!$V$1&amp;"】"&amp;_xlfn.XLOOKUP($A102&amp;$B102&amp;$C102,盘货信息!$A:$A&amp;盘货信息!$B:$B&amp;盘货信息!$C:$C,盘货信息!$V:$V))</f>
        <v/>
      </c>
      <c r="O102" s="27" t="str" cm="1">
        <f t="array" ref="O102">IF(_xlfn.XLOOKUP($A102&amp;$B102&amp;$C102,盘货信息!$A:$A&amp;盘货信息!$B:$B&amp;盘货信息!$C:$C,盘货信息!$W:$W)="","","【"&amp;盘货信息!$W$1&amp;"】"&amp;_xlfn.XLOOKUP($A102&amp;$B102&amp;$C102,盘货信息!$A:$A&amp;盘货信息!$B:$B&amp;盘货信息!$C:$C,盘货信息!$W:$W))</f>
        <v/>
      </c>
      <c r="P102" s="27" t="str" cm="1">
        <f t="array" ref="P102">IF(_xlfn.XLOOKUP($A102&amp;$B102&amp;$C102,盘货信息!$A:$A&amp;盘货信息!$B:$B&amp;盘货信息!$C:$C,盘货信息!$S:$S)&lt;1,"","【"&amp;盘货信息!$S$1&amp;"】"&amp;"后返"&amp;_xlfn.XLOOKUP($A102&amp;$B102&amp;$C102,盘货信息!$A:$A&amp;盘货信息!$B:$B&amp;盘货信息!$C:$C,盘货信息!$S:$S)&amp;"元")</f>
        <v/>
      </c>
      <c r="Q102" s="27" t="str" cm="1">
        <f t="array" ref="Q102">IF(_xlfn.XLOOKUP($A102&amp;$B102&amp;$C102,盘货信息!$A:$A&amp;盘货信息!$B:$B&amp;盘货信息!$C:$C,盘货信息!$X:$X)="","","【"&amp;盘货信息!$X$1&amp;"】"&amp;_xlfn.XLOOKUP($A102&amp;$B102&amp;$C102,盘货信息!$A:$A&amp;盘货信息!$B:$B&amp;盘货信息!$C:$C,盘货信息!$X:$X))</f>
        <v/>
      </c>
      <c r="R102" s="27" t="str" cm="1">
        <f t="array" ref="R102">IF(_xlfn.XLOOKUP($A102&amp;$B102&amp;$C102,盘货信息!$A:$A&amp;盘货信息!$B:$B&amp;盘货信息!$C:$C,盘货信息!$Z:$Z)="","","【"&amp;盘货信息!$Z$1&amp;"】"&amp;_xlfn.XLOOKUP($A102&amp;$B102&amp;$C102,盘货信息!$A:$A&amp;盘货信息!$B:$B&amp;盘货信息!$C:$C,盘货信息!$Z:$Z))</f>
        <v/>
      </c>
      <c r="S102" s="27" t="str" cm="1">
        <f t="array" ref="S102">IF(_xlfn.XLOOKUP($A102&amp;$B102&amp;$C102,盘货信息!$A:$A&amp;盘货信息!$B:$B&amp;盘货信息!$C:$C,盘货信息!$Q:$Q)="","","【种草】站外带指定话题种草后返"&amp;_xlfn.XLOOKUP($A102&amp;$B102&amp;$C102,盘货信息!$A:$A&amp;盘货信息!$B:$B&amp;盘货信息!$C:$C,盘货信息!$Q:$Q)&amp;"元红包（每个淘宝账号仅限对应一个站外种草账号，同一个种草账号不可对应多个淘宝账号）")</f>
        <v/>
      </c>
      <c r="T102" s="27" t="str" cm="1">
        <f t="array" ref="T102">IF(_xlfn.XLOOKUP($A102&amp;$B102&amp;$C102,盘货信息!$A:$A&amp;盘货信息!$B:$B&amp;盘货信息!$C:$C,盘货信息!$R:$R)&lt;1,"","【以旧换新】"&amp;"享补贴"&amp;ROUND(_xlfn.XLOOKUP($A102&amp;$B102&amp;$C102,盘货信息!$A:$A&amp;盘货信息!$B:$B&amp;盘货信息!$C:$C,盘货信息!$R:$R),0)&amp;"元（可无旧机换新）")</f>
        <v/>
      </c>
      <c r="U102" s="27" t="str">
        <f>IF(AND($N102="",$O102="",$P102="",$Q102="",$R102="",$S102="",$T102=""),"",固定信息!$B$1)</f>
        <v/>
      </c>
      <c r="V102" s="27" t="str" cm="1">
        <f t="array" ref="V102">IF(_xlfn.XLOOKUP($A102&amp;$B102&amp;$C102,盘货信息!$A:$A&amp;盘货信息!$B:$B&amp;盘货信息!$C:$C,盘货信息!$Y:$Y)="","","【卡萨帝送赠】活动指定时间"&amp;_xlfn.TEXTBEFORE(_xlfn.TEXTAFTER(_xlfn.XLOOKUP($A102&amp;$B102&amp;$C102,盘货信息!$A:$A&amp;盘货信息!$B:$B&amp;盘货信息!$C:$C,盘货信息!$Y:$Y),"点"),"（"))</f>
        <v/>
      </c>
      <c r="W102" s="27" t="str" cm="1">
        <f t="array" ref="W102">IF(COUNTIF(_xlfn.XLOOKUP($A102&amp;$B102&amp;$C102,盘货信息!$A:$A&amp;盘货信息!$B:$B&amp;盘货信息!$C:$C,盘货信息!$O:$O),"*是*"),"【折扣】指定型号满2类享96折，满3类享94折","")</f>
        <v/>
      </c>
      <c r="X102" s="27" t="str" cm="1">
        <f t="array" ref="X102">IF(固定信息!$B$7="","",IF(_xlfn.XLOOKUP($A102&amp;$B102&amp;$C102,盘货信息!$A:$A&amp;盘货信息!$B:$B&amp;盘货信息!$C:$C,盘货信息!$N:$N)="是","【瓜分】"&amp;固定信息!$B$7,""))</f>
        <v/>
      </c>
      <c r="Y102" s="27" t="str">
        <f>IF(AND($V102="",$W102="",$X102=""),"",固定信息!$B$1)</f>
        <v/>
      </c>
      <c r="Z102" s="27" t="str" cm="1">
        <f t="array" ref="Z102">IF($C102="","",_xlfn.XLOOKUP($A102&amp;$B102&amp;$C102,服务!$A:$A&amp;服务!$B:$B&amp;服务!$C:$C,服务!$D:$D))</f>
        <v/>
      </c>
    </row>
    <row r="103" customHeight="1" spans="1:26">
      <c r="A103" s="26" t="str">
        <f>IF(盘货信息!A103="","",盘货信息!A103)</f>
        <v/>
      </c>
      <c r="B103" s="26" t="str">
        <f>IF(盘货信息!B103="","",盘货信息!B103)</f>
        <v/>
      </c>
      <c r="C103" s="23" t="str">
        <f>IF(盘货信息!C103="","",盘货信息!C103)</f>
        <v/>
      </c>
      <c r="D103" s="27" t="str">
        <f ca="1" t="shared" si="1"/>
        <v/>
      </c>
      <c r="E103" s="27" t="str">
        <f>IF(C103="","",固定信息!$B$2)</f>
        <v/>
      </c>
      <c r="F103" s="27" t="str">
        <f>IF(C103="","","【"&amp;C103&amp;"】"&amp;固定信息!$B$4)</f>
        <v/>
      </c>
      <c r="G103" s="27" t="str">
        <f>IF(C103="","","【"&amp;"活动时间："&amp;固定信息!$B$3&amp;"】")</f>
        <v/>
      </c>
      <c r="H103" s="27" t="str">
        <f>IF($C103="","",固定信息!$B$1)</f>
        <v/>
      </c>
      <c r="I103" s="27" t="str">
        <f>IF(OR(C103="",固定信息!$B$5=""),"","【1元预约锁好礼】"&amp;固定信息!$B$5)</f>
        <v/>
      </c>
      <c r="J103" s="27" t="str" cm="1">
        <f t="array" ref="J103">_xlfn.XLOOKUP($A103&amp;$B103&amp;$C103,价格信息!$A:$A&amp;价格信息!$B:$B&amp;价格信息!$C:$C,价格信息!$D:$D)</f>
        <v/>
      </c>
      <c r="K103" s="27" t="str">
        <f>IF($C103="","",固定信息!$B$1)</f>
        <v/>
      </c>
      <c r="L103" s="27" t="str" cm="1">
        <f t="array" ref="L103">IF(_xlfn.XLOOKUP($A103&amp;$B103&amp;$C103,盘货信息!$A:$A&amp;盘货信息!$B:$B&amp;盘货信息!$C:$C,盘货信息!$T:$T)="","","【优惠券】领"&amp;_xlfn.XLOOKUP($A103&amp;$B103&amp;$C103,盘货信息!$A:$A&amp;盘货信息!$B:$B&amp;盘货信息!$C:$C,盘货信息!$T:$T)&amp;"元优惠卷下单更优惠，领券链接："&amp;_xlfn.XLOOKUP($A103&amp;$B103&amp;$C103,盘货信息!$A:$A&amp;盘货信息!$B:$B&amp;盘货信息!$C:$C,盘货信息!$U:$U))</f>
        <v/>
      </c>
      <c r="M103" s="27" t="str" cm="1">
        <f t="array" ref="M103">IF(_xlfn.XLOOKUP($A103&amp;$B103&amp;$C103,盘货信息!$A:$A&amp;盘货信息!$B:$B&amp;盘货信息!$C:$C,盘货信息!$P:$P)="","","【限时】"&amp;_xlfn.XLOOKUP($A103&amp;$B103&amp;$C103,盘货信息!$A:$A&amp;盘货信息!$B:$B&amp;盘货信息!$C:$C,盘货信息!$P:$P))</f>
        <v/>
      </c>
      <c r="N103" s="27" t="str" cm="1">
        <f t="array" ref="N103">IF(_xlfn.XLOOKUP($A103&amp;$B103&amp;$C103,盘货信息!$A:$A&amp;盘货信息!$B:$B&amp;盘货信息!$C:$C,盘货信息!$V:$V)="","","【"&amp;盘货信息!$V$1&amp;"】"&amp;_xlfn.XLOOKUP($A103&amp;$B103&amp;$C103,盘货信息!$A:$A&amp;盘货信息!$B:$B&amp;盘货信息!$C:$C,盘货信息!$V:$V))</f>
        <v/>
      </c>
      <c r="O103" s="27" t="str" cm="1">
        <f t="array" ref="O103">IF(_xlfn.XLOOKUP($A103&amp;$B103&amp;$C103,盘货信息!$A:$A&amp;盘货信息!$B:$B&amp;盘货信息!$C:$C,盘货信息!$W:$W)="","","【"&amp;盘货信息!$W$1&amp;"】"&amp;_xlfn.XLOOKUP($A103&amp;$B103&amp;$C103,盘货信息!$A:$A&amp;盘货信息!$B:$B&amp;盘货信息!$C:$C,盘货信息!$W:$W))</f>
        <v/>
      </c>
      <c r="P103" s="27" t="str" cm="1">
        <f t="array" ref="P103">IF(_xlfn.XLOOKUP($A103&amp;$B103&amp;$C103,盘货信息!$A:$A&amp;盘货信息!$B:$B&amp;盘货信息!$C:$C,盘货信息!$S:$S)&lt;1,"","【"&amp;盘货信息!$S$1&amp;"】"&amp;"后返"&amp;_xlfn.XLOOKUP($A103&amp;$B103&amp;$C103,盘货信息!$A:$A&amp;盘货信息!$B:$B&amp;盘货信息!$C:$C,盘货信息!$S:$S)&amp;"元")</f>
        <v/>
      </c>
      <c r="Q103" s="27" t="str" cm="1">
        <f t="array" ref="Q103">IF(_xlfn.XLOOKUP($A103&amp;$B103&amp;$C103,盘货信息!$A:$A&amp;盘货信息!$B:$B&amp;盘货信息!$C:$C,盘货信息!$X:$X)="","","【"&amp;盘货信息!$X$1&amp;"】"&amp;_xlfn.XLOOKUP($A103&amp;$B103&amp;$C103,盘货信息!$A:$A&amp;盘货信息!$B:$B&amp;盘货信息!$C:$C,盘货信息!$X:$X))</f>
        <v/>
      </c>
      <c r="R103" s="27" t="str" cm="1">
        <f t="array" ref="R103">IF(_xlfn.XLOOKUP($A103&amp;$B103&amp;$C103,盘货信息!$A:$A&amp;盘货信息!$B:$B&amp;盘货信息!$C:$C,盘货信息!$Z:$Z)="","","【"&amp;盘货信息!$Z$1&amp;"】"&amp;_xlfn.XLOOKUP($A103&amp;$B103&amp;$C103,盘货信息!$A:$A&amp;盘货信息!$B:$B&amp;盘货信息!$C:$C,盘货信息!$Z:$Z))</f>
        <v/>
      </c>
      <c r="S103" s="27" t="str" cm="1">
        <f t="array" ref="S103">IF(_xlfn.XLOOKUP($A103&amp;$B103&amp;$C103,盘货信息!$A:$A&amp;盘货信息!$B:$B&amp;盘货信息!$C:$C,盘货信息!$Q:$Q)="","","【种草】站外带指定话题种草后返"&amp;_xlfn.XLOOKUP($A103&amp;$B103&amp;$C103,盘货信息!$A:$A&amp;盘货信息!$B:$B&amp;盘货信息!$C:$C,盘货信息!$Q:$Q)&amp;"元红包（每个淘宝账号仅限对应一个站外种草账号，同一个种草账号不可对应多个淘宝账号）")</f>
        <v/>
      </c>
      <c r="T103" s="27" t="str" cm="1">
        <f t="array" ref="T103">IF(_xlfn.XLOOKUP($A103&amp;$B103&amp;$C103,盘货信息!$A:$A&amp;盘货信息!$B:$B&amp;盘货信息!$C:$C,盘货信息!$R:$R)&lt;1,"","【以旧换新】"&amp;"享补贴"&amp;ROUND(_xlfn.XLOOKUP($A103&amp;$B103&amp;$C103,盘货信息!$A:$A&amp;盘货信息!$B:$B&amp;盘货信息!$C:$C,盘货信息!$R:$R),0)&amp;"元（可无旧机换新）")</f>
        <v/>
      </c>
      <c r="U103" s="27" t="str">
        <f>IF(AND($N103="",$O103="",$P103="",$Q103="",$R103="",$S103="",$T103=""),"",固定信息!$B$1)</f>
        <v/>
      </c>
      <c r="V103" s="27" t="str" cm="1">
        <f t="array" ref="V103">IF(_xlfn.XLOOKUP($A103&amp;$B103&amp;$C103,盘货信息!$A:$A&amp;盘货信息!$B:$B&amp;盘货信息!$C:$C,盘货信息!$Y:$Y)="","","【卡萨帝送赠】活动指定时间"&amp;_xlfn.TEXTBEFORE(_xlfn.TEXTAFTER(_xlfn.XLOOKUP($A103&amp;$B103&amp;$C103,盘货信息!$A:$A&amp;盘货信息!$B:$B&amp;盘货信息!$C:$C,盘货信息!$Y:$Y),"点"),"（"))</f>
        <v/>
      </c>
      <c r="W103" s="27" t="str" cm="1">
        <f t="array" ref="W103">IF(COUNTIF(_xlfn.XLOOKUP($A103&amp;$B103&amp;$C103,盘货信息!$A:$A&amp;盘货信息!$B:$B&amp;盘货信息!$C:$C,盘货信息!$O:$O),"*是*"),"【折扣】指定型号满2类享96折，满3类享94折","")</f>
        <v/>
      </c>
      <c r="X103" s="27" t="str" cm="1">
        <f t="array" ref="X103">IF(固定信息!$B$7="","",IF(_xlfn.XLOOKUP($A103&amp;$B103&amp;$C103,盘货信息!$A:$A&amp;盘货信息!$B:$B&amp;盘货信息!$C:$C,盘货信息!$N:$N)="是","【瓜分】"&amp;固定信息!$B$7,""))</f>
        <v/>
      </c>
      <c r="Y103" s="27" t="str">
        <f>IF(AND($V103="",$W103="",$X103=""),"",固定信息!$B$1)</f>
        <v/>
      </c>
      <c r="Z103" s="27" t="str" cm="1">
        <f t="array" ref="Z103">IF($C103="","",_xlfn.XLOOKUP($A103&amp;$B103&amp;$C103,服务!$A:$A&amp;服务!$B:$B&amp;服务!$C:$C,服务!$D:$D))</f>
        <v/>
      </c>
    </row>
    <row r="104" customHeight="1" spans="1:26">
      <c r="A104" s="26" t="str">
        <f>IF(盘货信息!A104="","",盘货信息!A104)</f>
        <v/>
      </c>
      <c r="B104" s="26" t="str">
        <f>IF(盘货信息!B104="","",盘货信息!B104)</f>
        <v/>
      </c>
      <c r="C104" s="23" t="str">
        <f>IF(盘货信息!C104="","",盘货信息!C104)</f>
        <v/>
      </c>
      <c r="D104" s="27" t="str">
        <f ca="1" t="shared" si="1"/>
        <v/>
      </c>
      <c r="E104" s="27" t="str">
        <f>IF(C104="","",固定信息!$B$2)</f>
        <v/>
      </c>
      <c r="F104" s="27" t="str">
        <f>IF(C104="","","【"&amp;C104&amp;"】"&amp;固定信息!$B$4)</f>
        <v/>
      </c>
      <c r="G104" s="27" t="str">
        <f>IF(C104="","","【"&amp;"活动时间："&amp;固定信息!$B$3&amp;"】")</f>
        <v/>
      </c>
      <c r="H104" s="27" t="str">
        <f>IF($C104="","",固定信息!$B$1)</f>
        <v/>
      </c>
      <c r="I104" s="27" t="str">
        <f>IF(OR(C104="",固定信息!$B$5=""),"","【1元预约锁好礼】"&amp;固定信息!$B$5)</f>
        <v/>
      </c>
      <c r="J104" s="27" t="str" cm="1">
        <f t="array" ref="J104">_xlfn.XLOOKUP($A104&amp;$B104&amp;$C104,价格信息!$A:$A&amp;价格信息!$B:$B&amp;价格信息!$C:$C,价格信息!$D:$D)</f>
        <v/>
      </c>
      <c r="K104" s="27" t="str">
        <f>IF($C104="","",固定信息!$B$1)</f>
        <v/>
      </c>
      <c r="L104" s="27" t="str" cm="1">
        <f t="array" ref="L104">IF(_xlfn.XLOOKUP($A104&amp;$B104&amp;$C104,盘货信息!$A:$A&amp;盘货信息!$B:$B&amp;盘货信息!$C:$C,盘货信息!$T:$T)="","","【优惠券】领"&amp;_xlfn.XLOOKUP($A104&amp;$B104&amp;$C104,盘货信息!$A:$A&amp;盘货信息!$B:$B&amp;盘货信息!$C:$C,盘货信息!$T:$T)&amp;"元优惠卷下单更优惠，领券链接："&amp;_xlfn.XLOOKUP($A104&amp;$B104&amp;$C104,盘货信息!$A:$A&amp;盘货信息!$B:$B&amp;盘货信息!$C:$C,盘货信息!$U:$U))</f>
        <v/>
      </c>
      <c r="M104" s="27" t="str" cm="1">
        <f t="array" ref="M104">IF(_xlfn.XLOOKUP($A104&amp;$B104&amp;$C104,盘货信息!$A:$A&amp;盘货信息!$B:$B&amp;盘货信息!$C:$C,盘货信息!$P:$P)="","","【限时】"&amp;_xlfn.XLOOKUP($A104&amp;$B104&amp;$C104,盘货信息!$A:$A&amp;盘货信息!$B:$B&amp;盘货信息!$C:$C,盘货信息!$P:$P))</f>
        <v/>
      </c>
      <c r="N104" s="27" t="str" cm="1">
        <f t="array" ref="N104">IF(_xlfn.XLOOKUP($A104&amp;$B104&amp;$C104,盘货信息!$A:$A&amp;盘货信息!$B:$B&amp;盘货信息!$C:$C,盘货信息!$V:$V)="","","【"&amp;盘货信息!$V$1&amp;"】"&amp;_xlfn.XLOOKUP($A104&amp;$B104&amp;$C104,盘货信息!$A:$A&amp;盘货信息!$B:$B&amp;盘货信息!$C:$C,盘货信息!$V:$V))</f>
        <v/>
      </c>
      <c r="O104" s="27" t="str" cm="1">
        <f t="array" ref="O104">IF(_xlfn.XLOOKUP($A104&amp;$B104&amp;$C104,盘货信息!$A:$A&amp;盘货信息!$B:$B&amp;盘货信息!$C:$C,盘货信息!$W:$W)="","","【"&amp;盘货信息!$W$1&amp;"】"&amp;_xlfn.XLOOKUP($A104&amp;$B104&amp;$C104,盘货信息!$A:$A&amp;盘货信息!$B:$B&amp;盘货信息!$C:$C,盘货信息!$W:$W))</f>
        <v/>
      </c>
      <c r="P104" s="27" t="str" cm="1">
        <f t="array" ref="P104">IF(_xlfn.XLOOKUP($A104&amp;$B104&amp;$C104,盘货信息!$A:$A&amp;盘货信息!$B:$B&amp;盘货信息!$C:$C,盘货信息!$S:$S)&lt;1,"","【"&amp;盘货信息!$S$1&amp;"】"&amp;"后返"&amp;_xlfn.XLOOKUP($A104&amp;$B104&amp;$C104,盘货信息!$A:$A&amp;盘货信息!$B:$B&amp;盘货信息!$C:$C,盘货信息!$S:$S)&amp;"元")</f>
        <v/>
      </c>
      <c r="Q104" s="27" t="str" cm="1">
        <f t="array" ref="Q104">IF(_xlfn.XLOOKUP($A104&amp;$B104&amp;$C104,盘货信息!$A:$A&amp;盘货信息!$B:$B&amp;盘货信息!$C:$C,盘货信息!$X:$X)="","","【"&amp;盘货信息!$X$1&amp;"】"&amp;_xlfn.XLOOKUP($A104&amp;$B104&amp;$C104,盘货信息!$A:$A&amp;盘货信息!$B:$B&amp;盘货信息!$C:$C,盘货信息!$X:$X))</f>
        <v/>
      </c>
      <c r="R104" s="27" t="str" cm="1">
        <f t="array" ref="R104">IF(_xlfn.XLOOKUP($A104&amp;$B104&amp;$C104,盘货信息!$A:$A&amp;盘货信息!$B:$B&amp;盘货信息!$C:$C,盘货信息!$Z:$Z)="","","【"&amp;盘货信息!$Z$1&amp;"】"&amp;_xlfn.XLOOKUP($A104&amp;$B104&amp;$C104,盘货信息!$A:$A&amp;盘货信息!$B:$B&amp;盘货信息!$C:$C,盘货信息!$Z:$Z))</f>
        <v/>
      </c>
      <c r="S104" s="27" t="str" cm="1">
        <f t="array" ref="S104">IF(_xlfn.XLOOKUP($A104&amp;$B104&amp;$C104,盘货信息!$A:$A&amp;盘货信息!$B:$B&amp;盘货信息!$C:$C,盘货信息!$Q:$Q)="","","【种草】站外带指定话题种草后返"&amp;_xlfn.XLOOKUP($A104&amp;$B104&amp;$C104,盘货信息!$A:$A&amp;盘货信息!$B:$B&amp;盘货信息!$C:$C,盘货信息!$Q:$Q)&amp;"元红包（每个淘宝账号仅限对应一个站外种草账号，同一个种草账号不可对应多个淘宝账号）")</f>
        <v/>
      </c>
      <c r="T104" s="27" t="str" cm="1">
        <f t="array" ref="T104">IF(_xlfn.XLOOKUP($A104&amp;$B104&amp;$C104,盘货信息!$A:$A&amp;盘货信息!$B:$B&amp;盘货信息!$C:$C,盘货信息!$R:$R)&lt;1,"","【以旧换新】"&amp;"享补贴"&amp;ROUND(_xlfn.XLOOKUP($A104&amp;$B104&amp;$C104,盘货信息!$A:$A&amp;盘货信息!$B:$B&amp;盘货信息!$C:$C,盘货信息!$R:$R),0)&amp;"元（可无旧机换新）")</f>
        <v/>
      </c>
      <c r="U104" s="27" t="str">
        <f>IF(AND($N104="",$O104="",$P104="",$Q104="",$R104="",$S104="",$T104=""),"",固定信息!$B$1)</f>
        <v/>
      </c>
      <c r="V104" s="27" t="str" cm="1">
        <f t="array" ref="V104">IF(_xlfn.XLOOKUP($A104&amp;$B104&amp;$C104,盘货信息!$A:$A&amp;盘货信息!$B:$B&amp;盘货信息!$C:$C,盘货信息!$Y:$Y)="","","【卡萨帝送赠】活动指定时间"&amp;_xlfn.TEXTBEFORE(_xlfn.TEXTAFTER(_xlfn.XLOOKUP($A104&amp;$B104&amp;$C104,盘货信息!$A:$A&amp;盘货信息!$B:$B&amp;盘货信息!$C:$C,盘货信息!$Y:$Y),"点"),"（"))</f>
        <v/>
      </c>
      <c r="W104" s="27" t="str" cm="1">
        <f t="array" ref="W104">IF(COUNTIF(_xlfn.XLOOKUP($A104&amp;$B104&amp;$C104,盘货信息!$A:$A&amp;盘货信息!$B:$B&amp;盘货信息!$C:$C,盘货信息!$O:$O),"*是*"),"【折扣】指定型号满2类享96折，满3类享94折","")</f>
        <v/>
      </c>
      <c r="X104" s="27" t="str" cm="1">
        <f t="array" ref="X104">IF(固定信息!$B$7="","",IF(_xlfn.XLOOKUP($A104&amp;$B104&amp;$C104,盘货信息!$A:$A&amp;盘货信息!$B:$B&amp;盘货信息!$C:$C,盘货信息!$N:$N)="是","【瓜分】"&amp;固定信息!$B$7,""))</f>
        <v/>
      </c>
      <c r="Y104" s="27" t="str">
        <f>IF(AND($V104="",$W104="",$X104=""),"",固定信息!$B$1)</f>
        <v/>
      </c>
      <c r="Z104" s="27" t="str" cm="1">
        <f t="array" ref="Z104">IF($C104="","",_xlfn.XLOOKUP($A104&amp;$B104&amp;$C104,服务!$A:$A&amp;服务!$B:$B&amp;服务!$C:$C,服务!$D:$D))</f>
        <v/>
      </c>
    </row>
    <row r="105" customHeight="1" spans="1:26">
      <c r="A105" s="26" t="str">
        <f>IF(盘货信息!A105="","",盘货信息!A105)</f>
        <v/>
      </c>
      <c r="B105" s="26" t="str">
        <f>IF(盘货信息!B105="","",盘货信息!B105)</f>
        <v/>
      </c>
      <c r="C105" s="23" t="str">
        <f>IF(盘货信息!C105="","",盘货信息!C105)</f>
        <v/>
      </c>
      <c r="D105" s="27" t="str">
        <f ca="1" t="shared" si="1"/>
        <v/>
      </c>
      <c r="E105" s="27" t="str">
        <f>IF(C105="","",固定信息!$B$2)</f>
        <v/>
      </c>
      <c r="F105" s="27" t="str">
        <f>IF(C105="","","【"&amp;C105&amp;"】"&amp;固定信息!$B$4)</f>
        <v/>
      </c>
      <c r="G105" s="27" t="str">
        <f>IF(C105="","","【"&amp;"活动时间："&amp;固定信息!$B$3&amp;"】")</f>
        <v/>
      </c>
      <c r="H105" s="27" t="str">
        <f>IF($C105="","",固定信息!$B$1)</f>
        <v/>
      </c>
      <c r="I105" s="27" t="str">
        <f>IF(OR(C105="",固定信息!$B$5=""),"","【1元预约锁好礼】"&amp;固定信息!$B$5)</f>
        <v/>
      </c>
      <c r="J105" s="27" t="str" cm="1">
        <f t="array" ref="J105">_xlfn.XLOOKUP($A105&amp;$B105&amp;$C105,价格信息!$A:$A&amp;价格信息!$B:$B&amp;价格信息!$C:$C,价格信息!$D:$D)</f>
        <v/>
      </c>
      <c r="K105" s="27" t="str">
        <f>IF($C105="","",固定信息!$B$1)</f>
        <v/>
      </c>
      <c r="L105" s="27" t="str" cm="1">
        <f t="array" ref="L105">IF(_xlfn.XLOOKUP($A105&amp;$B105&amp;$C105,盘货信息!$A:$A&amp;盘货信息!$B:$B&amp;盘货信息!$C:$C,盘货信息!$T:$T)="","","【优惠券】领"&amp;_xlfn.XLOOKUP($A105&amp;$B105&amp;$C105,盘货信息!$A:$A&amp;盘货信息!$B:$B&amp;盘货信息!$C:$C,盘货信息!$T:$T)&amp;"元优惠卷下单更优惠，领券链接："&amp;_xlfn.XLOOKUP($A105&amp;$B105&amp;$C105,盘货信息!$A:$A&amp;盘货信息!$B:$B&amp;盘货信息!$C:$C,盘货信息!$U:$U))</f>
        <v/>
      </c>
      <c r="M105" s="27" t="str" cm="1">
        <f t="array" ref="M105">IF(_xlfn.XLOOKUP($A105&amp;$B105&amp;$C105,盘货信息!$A:$A&amp;盘货信息!$B:$B&amp;盘货信息!$C:$C,盘货信息!$P:$P)="","","【限时】"&amp;_xlfn.XLOOKUP($A105&amp;$B105&amp;$C105,盘货信息!$A:$A&amp;盘货信息!$B:$B&amp;盘货信息!$C:$C,盘货信息!$P:$P))</f>
        <v/>
      </c>
      <c r="N105" s="27" t="str" cm="1">
        <f t="array" ref="N105">IF(_xlfn.XLOOKUP($A105&amp;$B105&amp;$C105,盘货信息!$A:$A&amp;盘货信息!$B:$B&amp;盘货信息!$C:$C,盘货信息!$V:$V)="","","【"&amp;盘货信息!$V$1&amp;"】"&amp;_xlfn.XLOOKUP($A105&amp;$B105&amp;$C105,盘货信息!$A:$A&amp;盘货信息!$B:$B&amp;盘货信息!$C:$C,盘货信息!$V:$V))</f>
        <v/>
      </c>
      <c r="O105" s="27" t="str" cm="1">
        <f t="array" ref="O105">IF(_xlfn.XLOOKUP($A105&amp;$B105&amp;$C105,盘货信息!$A:$A&amp;盘货信息!$B:$B&amp;盘货信息!$C:$C,盘货信息!$W:$W)="","","【"&amp;盘货信息!$W$1&amp;"】"&amp;_xlfn.XLOOKUP($A105&amp;$B105&amp;$C105,盘货信息!$A:$A&amp;盘货信息!$B:$B&amp;盘货信息!$C:$C,盘货信息!$W:$W))</f>
        <v/>
      </c>
      <c r="P105" s="27" t="str" cm="1">
        <f t="array" ref="P105">IF(_xlfn.XLOOKUP($A105&amp;$B105&amp;$C105,盘货信息!$A:$A&amp;盘货信息!$B:$B&amp;盘货信息!$C:$C,盘货信息!$S:$S)&lt;1,"","【"&amp;盘货信息!$S$1&amp;"】"&amp;"后返"&amp;_xlfn.XLOOKUP($A105&amp;$B105&amp;$C105,盘货信息!$A:$A&amp;盘货信息!$B:$B&amp;盘货信息!$C:$C,盘货信息!$S:$S)&amp;"元")</f>
        <v/>
      </c>
      <c r="Q105" s="27" t="str" cm="1">
        <f t="array" ref="Q105">IF(_xlfn.XLOOKUP($A105&amp;$B105&amp;$C105,盘货信息!$A:$A&amp;盘货信息!$B:$B&amp;盘货信息!$C:$C,盘货信息!$X:$X)="","","【"&amp;盘货信息!$X$1&amp;"】"&amp;_xlfn.XLOOKUP($A105&amp;$B105&amp;$C105,盘货信息!$A:$A&amp;盘货信息!$B:$B&amp;盘货信息!$C:$C,盘货信息!$X:$X))</f>
        <v/>
      </c>
      <c r="R105" s="27" t="str" cm="1">
        <f t="array" ref="R105">IF(_xlfn.XLOOKUP($A105&amp;$B105&amp;$C105,盘货信息!$A:$A&amp;盘货信息!$B:$B&amp;盘货信息!$C:$C,盘货信息!$Z:$Z)="","","【"&amp;盘货信息!$Z$1&amp;"】"&amp;_xlfn.XLOOKUP($A105&amp;$B105&amp;$C105,盘货信息!$A:$A&amp;盘货信息!$B:$B&amp;盘货信息!$C:$C,盘货信息!$Z:$Z))</f>
        <v/>
      </c>
      <c r="S105" s="27" t="str" cm="1">
        <f t="array" ref="S105">IF(_xlfn.XLOOKUP($A105&amp;$B105&amp;$C105,盘货信息!$A:$A&amp;盘货信息!$B:$B&amp;盘货信息!$C:$C,盘货信息!$Q:$Q)="","","【种草】站外带指定话题种草后返"&amp;_xlfn.XLOOKUP($A105&amp;$B105&amp;$C105,盘货信息!$A:$A&amp;盘货信息!$B:$B&amp;盘货信息!$C:$C,盘货信息!$Q:$Q)&amp;"元红包（每个淘宝账号仅限对应一个站外种草账号，同一个种草账号不可对应多个淘宝账号）")</f>
        <v/>
      </c>
      <c r="T105" s="27" t="str" cm="1">
        <f t="array" ref="T105">IF(_xlfn.XLOOKUP($A105&amp;$B105&amp;$C105,盘货信息!$A:$A&amp;盘货信息!$B:$B&amp;盘货信息!$C:$C,盘货信息!$R:$R)&lt;1,"","【以旧换新】"&amp;"享补贴"&amp;ROUND(_xlfn.XLOOKUP($A105&amp;$B105&amp;$C105,盘货信息!$A:$A&amp;盘货信息!$B:$B&amp;盘货信息!$C:$C,盘货信息!$R:$R),0)&amp;"元（可无旧机换新）")</f>
        <v/>
      </c>
      <c r="U105" s="27" t="str">
        <f>IF(AND($N105="",$O105="",$P105="",$Q105="",$R105="",$S105="",$T105=""),"",固定信息!$B$1)</f>
        <v/>
      </c>
      <c r="V105" s="27" t="str" cm="1">
        <f t="array" ref="V105">IF(_xlfn.XLOOKUP($A105&amp;$B105&amp;$C105,盘货信息!$A:$A&amp;盘货信息!$B:$B&amp;盘货信息!$C:$C,盘货信息!$Y:$Y)="","","【卡萨帝送赠】活动指定时间"&amp;_xlfn.TEXTBEFORE(_xlfn.TEXTAFTER(_xlfn.XLOOKUP($A105&amp;$B105&amp;$C105,盘货信息!$A:$A&amp;盘货信息!$B:$B&amp;盘货信息!$C:$C,盘货信息!$Y:$Y),"点"),"（"))</f>
        <v/>
      </c>
      <c r="W105" s="27" t="str" cm="1">
        <f t="array" ref="W105">IF(COUNTIF(_xlfn.XLOOKUP($A105&amp;$B105&amp;$C105,盘货信息!$A:$A&amp;盘货信息!$B:$B&amp;盘货信息!$C:$C,盘货信息!$O:$O),"*是*"),"【折扣】指定型号满2类享96折，满3类享94折","")</f>
        <v/>
      </c>
      <c r="X105" s="27" t="str" cm="1">
        <f t="array" ref="X105">IF(固定信息!$B$7="","",IF(_xlfn.XLOOKUP($A105&amp;$B105&amp;$C105,盘货信息!$A:$A&amp;盘货信息!$B:$B&amp;盘货信息!$C:$C,盘货信息!$N:$N)="是","【瓜分】"&amp;固定信息!$B$7,""))</f>
        <v/>
      </c>
      <c r="Y105" s="27" t="str">
        <f>IF(AND($V105="",$W105="",$X105=""),"",固定信息!$B$1)</f>
        <v/>
      </c>
      <c r="Z105" s="27" t="str" cm="1">
        <f t="array" ref="Z105">IF($C105="","",_xlfn.XLOOKUP($A105&amp;$B105&amp;$C105,服务!$A:$A&amp;服务!$B:$B&amp;服务!$C:$C,服务!$D:$D))</f>
        <v/>
      </c>
    </row>
    <row r="106" customHeight="1" spans="1:26">
      <c r="A106" s="26" t="str">
        <f>IF(盘货信息!A106="","",盘货信息!A106)</f>
        <v/>
      </c>
      <c r="B106" s="26" t="str">
        <f>IF(盘货信息!B106="","",盘货信息!B106)</f>
        <v/>
      </c>
      <c r="C106" s="26" t="str">
        <f>IF(盘货信息!C106="","",盘货信息!C106)</f>
        <v/>
      </c>
      <c r="D106" s="27" t="str">
        <f ca="1" t="shared" si="1"/>
        <v/>
      </c>
      <c r="E106" s="27" t="str">
        <f>IF(C106="","",固定信息!$B$2)</f>
        <v/>
      </c>
      <c r="F106" s="27" t="str">
        <f>IF(C106="","","【"&amp;C106&amp;"】"&amp;固定信息!$B$4)</f>
        <v/>
      </c>
      <c r="G106" s="27" t="str">
        <f>IF(C106="","","【"&amp;"活动时间："&amp;固定信息!$B$3&amp;"】")</f>
        <v/>
      </c>
      <c r="H106" s="27" t="str">
        <f>IF($C106="","",固定信息!$B$1)</f>
        <v/>
      </c>
      <c r="I106" s="27" t="str">
        <f>IF(OR(C106="",固定信息!$B$5=""),"","【1元预约锁好礼】"&amp;固定信息!$B$5)</f>
        <v/>
      </c>
      <c r="J106" s="27" t="str" cm="1">
        <f t="array" ref="J106">_xlfn.XLOOKUP($A106&amp;$B106&amp;$C106,价格信息!$A:$A&amp;价格信息!$B:$B&amp;价格信息!$C:$C,价格信息!$D:$D)</f>
        <v/>
      </c>
      <c r="K106" s="27" t="str">
        <f>IF($C106="","",固定信息!$B$1)</f>
        <v/>
      </c>
      <c r="L106" s="27" t="str" cm="1">
        <f t="array" ref="L106">IF(_xlfn.XLOOKUP($A106&amp;$B106&amp;$C106,盘货信息!$A:$A&amp;盘货信息!$B:$B&amp;盘货信息!$C:$C,盘货信息!$T:$T)="","","【优惠券】领"&amp;_xlfn.XLOOKUP($A106&amp;$B106&amp;$C106,盘货信息!$A:$A&amp;盘货信息!$B:$B&amp;盘货信息!$C:$C,盘货信息!$T:$T)&amp;"元优惠卷下单更优惠，领券链接："&amp;_xlfn.XLOOKUP($A106&amp;$B106&amp;$C106,盘货信息!$A:$A&amp;盘货信息!$B:$B&amp;盘货信息!$C:$C,盘货信息!$U:$U))</f>
        <v/>
      </c>
      <c r="M106" s="27" t="str" cm="1">
        <f t="array" ref="M106">IF(_xlfn.XLOOKUP($A106&amp;$B106&amp;$C106,盘货信息!$A:$A&amp;盘货信息!$B:$B&amp;盘货信息!$C:$C,盘货信息!$P:$P)="","","【限时】"&amp;_xlfn.XLOOKUP($A106&amp;$B106&amp;$C106,盘货信息!$A:$A&amp;盘货信息!$B:$B&amp;盘货信息!$C:$C,盘货信息!$P:$P))</f>
        <v/>
      </c>
      <c r="N106" s="27" t="str" cm="1">
        <f t="array" ref="N106">IF(_xlfn.XLOOKUP($A106&amp;$B106&amp;$C106,盘货信息!$A:$A&amp;盘货信息!$B:$B&amp;盘货信息!$C:$C,盘货信息!$V:$V)="","","【"&amp;盘货信息!$V$1&amp;"】"&amp;_xlfn.XLOOKUP($A106&amp;$B106&amp;$C106,盘货信息!$A:$A&amp;盘货信息!$B:$B&amp;盘货信息!$C:$C,盘货信息!$V:$V))</f>
        <v/>
      </c>
      <c r="O106" s="27" t="str" cm="1">
        <f t="array" ref="O106">IF(_xlfn.XLOOKUP($A106&amp;$B106&amp;$C106,盘货信息!$A:$A&amp;盘货信息!$B:$B&amp;盘货信息!$C:$C,盘货信息!$W:$W)="","","【"&amp;盘货信息!$W$1&amp;"】"&amp;_xlfn.XLOOKUP($A106&amp;$B106&amp;$C106,盘货信息!$A:$A&amp;盘货信息!$B:$B&amp;盘货信息!$C:$C,盘货信息!$W:$W))</f>
        <v/>
      </c>
      <c r="P106" s="27" t="str" cm="1">
        <f t="array" ref="P106">IF(_xlfn.XLOOKUP($A106&amp;$B106&amp;$C106,盘货信息!$A:$A&amp;盘货信息!$B:$B&amp;盘货信息!$C:$C,盘货信息!$S:$S)&lt;1,"","【"&amp;盘货信息!$S$1&amp;"】"&amp;"后返"&amp;_xlfn.XLOOKUP($A106&amp;$B106&amp;$C106,盘货信息!$A:$A&amp;盘货信息!$B:$B&amp;盘货信息!$C:$C,盘货信息!$S:$S)&amp;"元")</f>
        <v/>
      </c>
      <c r="Q106" s="27" t="str" cm="1">
        <f t="array" ref="Q106">IF(_xlfn.XLOOKUP($A106&amp;$B106&amp;$C106,盘货信息!$A:$A&amp;盘货信息!$B:$B&amp;盘货信息!$C:$C,盘货信息!$X:$X)="","","【"&amp;盘货信息!$X$1&amp;"】"&amp;_xlfn.XLOOKUP($A106&amp;$B106&amp;$C106,盘货信息!$A:$A&amp;盘货信息!$B:$B&amp;盘货信息!$C:$C,盘货信息!$X:$X))</f>
        <v/>
      </c>
      <c r="R106" s="27" t="str" cm="1">
        <f t="array" ref="R106">IF(_xlfn.XLOOKUP($A106&amp;$B106&amp;$C106,盘货信息!$A:$A&amp;盘货信息!$B:$B&amp;盘货信息!$C:$C,盘货信息!$Z:$Z)="","","【"&amp;盘货信息!$Z$1&amp;"】"&amp;_xlfn.XLOOKUP($A106&amp;$B106&amp;$C106,盘货信息!$A:$A&amp;盘货信息!$B:$B&amp;盘货信息!$C:$C,盘货信息!$Z:$Z))</f>
        <v/>
      </c>
      <c r="S106" s="27" t="str" cm="1">
        <f t="array" ref="S106">IF(_xlfn.XLOOKUP($A106&amp;$B106&amp;$C106,盘货信息!$A:$A&amp;盘货信息!$B:$B&amp;盘货信息!$C:$C,盘货信息!$Q:$Q)="","","【种草】站外带指定话题种草后返"&amp;_xlfn.XLOOKUP($A106&amp;$B106&amp;$C106,盘货信息!$A:$A&amp;盘货信息!$B:$B&amp;盘货信息!$C:$C,盘货信息!$Q:$Q)&amp;"元红包（每个淘宝账号仅限对应一个站外种草账号，同一个种草账号不可对应多个淘宝账号）")</f>
        <v/>
      </c>
      <c r="T106" s="27" t="str" cm="1">
        <f t="array" ref="T106">IF(_xlfn.XLOOKUP($A106&amp;$B106&amp;$C106,盘货信息!$A:$A&amp;盘货信息!$B:$B&amp;盘货信息!$C:$C,盘货信息!$R:$R)&lt;1,"","【以旧换新】"&amp;"享补贴"&amp;ROUND(_xlfn.XLOOKUP($A106&amp;$B106&amp;$C106,盘货信息!$A:$A&amp;盘货信息!$B:$B&amp;盘货信息!$C:$C,盘货信息!$R:$R),0)&amp;"元（可无旧机换新）")</f>
        <v/>
      </c>
      <c r="U106" s="27" t="str">
        <f>IF(AND($N106="",$O106="",$P106="",$Q106="",$R106="",$S106="",$T106=""),"",固定信息!$B$1)</f>
        <v/>
      </c>
      <c r="V106" s="27" t="str" cm="1">
        <f t="array" ref="V106">IF(_xlfn.XLOOKUP($A106&amp;$B106&amp;$C106,盘货信息!$A:$A&amp;盘货信息!$B:$B&amp;盘货信息!$C:$C,盘货信息!$Y:$Y)="","","【卡萨帝送赠】活动指定时间"&amp;_xlfn.TEXTBEFORE(_xlfn.TEXTAFTER(_xlfn.XLOOKUP($A106&amp;$B106&amp;$C106,盘货信息!$A:$A&amp;盘货信息!$B:$B&amp;盘货信息!$C:$C,盘货信息!$Y:$Y),"点"),"（"))</f>
        <v/>
      </c>
      <c r="W106" s="27" t="str" cm="1">
        <f t="array" ref="W106">IF(COUNTIF(_xlfn.XLOOKUP($A106&amp;$B106&amp;$C106,盘货信息!$A:$A&amp;盘货信息!$B:$B&amp;盘货信息!$C:$C,盘货信息!$O:$O),"*是*"),"【折扣】指定型号满2类享96折，满3类享94折","")</f>
        <v/>
      </c>
      <c r="X106" s="27" t="str" cm="1">
        <f t="array" ref="X106">IF(固定信息!$B$7="","",IF(_xlfn.XLOOKUP($A106&amp;$B106&amp;$C106,盘货信息!$A:$A&amp;盘货信息!$B:$B&amp;盘货信息!$C:$C,盘货信息!$N:$N)="是","【瓜分】"&amp;固定信息!$B$7,""))</f>
        <v/>
      </c>
      <c r="Y106" s="27" t="str">
        <f>IF(AND($V106="",$W106="",$X106=""),"",固定信息!$B$1)</f>
        <v/>
      </c>
      <c r="Z106" s="27" t="str" cm="1">
        <f t="array" ref="Z106">IF($C106="","",_xlfn.XLOOKUP($A106&amp;$B106&amp;$C106,服务!$A:$A&amp;服务!$B:$B&amp;服务!$C:$C,服务!$D:$D))</f>
        <v/>
      </c>
    </row>
    <row r="107" customHeight="1" spans="1:26">
      <c r="A107" s="26" t="str">
        <f>IF(盘货信息!A107="","",盘货信息!A107)</f>
        <v/>
      </c>
      <c r="B107" s="26" t="str">
        <f>IF(盘货信息!B107="","",盘货信息!B107)</f>
        <v/>
      </c>
      <c r="C107" s="26" t="str">
        <f>IF(盘货信息!C107="","",盘货信息!C107)</f>
        <v/>
      </c>
      <c r="D107" s="27" t="str">
        <f ca="1" t="shared" si="1"/>
        <v/>
      </c>
      <c r="E107" s="27" t="str">
        <f>IF(C107="","",固定信息!$B$2)</f>
        <v/>
      </c>
      <c r="F107" s="27" t="str">
        <f>IF(C107="","","【"&amp;C107&amp;"】"&amp;固定信息!$B$4)</f>
        <v/>
      </c>
      <c r="G107" s="27" t="str">
        <f>IF(C107="","","【"&amp;"活动时间："&amp;固定信息!$B$3&amp;"】")</f>
        <v/>
      </c>
      <c r="H107" s="27" t="str">
        <f>IF($C107="","",固定信息!$B$1)</f>
        <v/>
      </c>
      <c r="I107" s="27" t="str">
        <f>IF(OR(C107="",固定信息!$B$5=""),"","【1元预约锁好礼】"&amp;固定信息!$B$5)</f>
        <v/>
      </c>
      <c r="J107" s="27" t="str" cm="1">
        <f t="array" ref="J107">_xlfn.XLOOKUP($A107&amp;$B107&amp;$C107,价格信息!$A:$A&amp;价格信息!$B:$B&amp;价格信息!$C:$C,价格信息!$D:$D)</f>
        <v/>
      </c>
      <c r="K107" s="27" t="str">
        <f>IF($C107="","",固定信息!$B$1)</f>
        <v/>
      </c>
      <c r="L107" s="27" t="str" cm="1">
        <f t="array" ref="L107">IF(_xlfn.XLOOKUP($A107&amp;$B107&amp;$C107,盘货信息!$A:$A&amp;盘货信息!$B:$B&amp;盘货信息!$C:$C,盘货信息!$T:$T)="","","【优惠券】领"&amp;_xlfn.XLOOKUP($A107&amp;$B107&amp;$C107,盘货信息!$A:$A&amp;盘货信息!$B:$B&amp;盘货信息!$C:$C,盘货信息!$T:$T)&amp;"元优惠卷下单更优惠，领券链接："&amp;_xlfn.XLOOKUP($A107&amp;$B107&amp;$C107,盘货信息!$A:$A&amp;盘货信息!$B:$B&amp;盘货信息!$C:$C,盘货信息!$U:$U))</f>
        <v/>
      </c>
      <c r="M107" s="27" t="str" cm="1">
        <f t="array" ref="M107">IF(_xlfn.XLOOKUP($A107&amp;$B107&amp;$C107,盘货信息!$A:$A&amp;盘货信息!$B:$B&amp;盘货信息!$C:$C,盘货信息!$P:$P)="","","【限时】"&amp;_xlfn.XLOOKUP($A107&amp;$B107&amp;$C107,盘货信息!$A:$A&amp;盘货信息!$B:$B&amp;盘货信息!$C:$C,盘货信息!$P:$P))</f>
        <v/>
      </c>
      <c r="N107" s="27" t="str" cm="1">
        <f t="array" ref="N107">IF(_xlfn.XLOOKUP($A107&amp;$B107&amp;$C107,盘货信息!$A:$A&amp;盘货信息!$B:$B&amp;盘货信息!$C:$C,盘货信息!$V:$V)="","","【"&amp;盘货信息!$V$1&amp;"】"&amp;_xlfn.XLOOKUP($A107&amp;$B107&amp;$C107,盘货信息!$A:$A&amp;盘货信息!$B:$B&amp;盘货信息!$C:$C,盘货信息!$V:$V))</f>
        <v/>
      </c>
      <c r="O107" s="27" t="str" cm="1">
        <f t="array" ref="O107">IF(_xlfn.XLOOKUP($A107&amp;$B107&amp;$C107,盘货信息!$A:$A&amp;盘货信息!$B:$B&amp;盘货信息!$C:$C,盘货信息!$W:$W)="","","【"&amp;盘货信息!$W$1&amp;"】"&amp;_xlfn.XLOOKUP($A107&amp;$B107&amp;$C107,盘货信息!$A:$A&amp;盘货信息!$B:$B&amp;盘货信息!$C:$C,盘货信息!$W:$W))</f>
        <v/>
      </c>
      <c r="P107" s="27" t="str" cm="1">
        <f t="array" ref="P107">IF(_xlfn.XLOOKUP($A107&amp;$B107&amp;$C107,盘货信息!$A:$A&amp;盘货信息!$B:$B&amp;盘货信息!$C:$C,盘货信息!$S:$S)&lt;1,"","【"&amp;盘货信息!$S$1&amp;"】"&amp;"后返"&amp;_xlfn.XLOOKUP($A107&amp;$B107&amp;$C107,盘货信息!$A:$A&amp;盘货信息!$B:$B&amp;盘货信息!$C:$C,盘货信息!$S:$S)&amp;"元")</f>
        <v/>
      </c>
      <c r="Q107" s="27" t="str" cm="1">
        <f t="array" ref="Q107">IF(_xlfn.XLOOKUP($A107&amp;$B107&amp;$C107,盘货信息!$A:$A&amp;盘货信息!$B:$B&amp;盘货信息!$C:$C,盘货信息!$X:$X)="","","【"&amp;盘货信息!$X$1&amp;"】"&amp;_xlfn.XLOOKUP($A107&amp;$B107&amp;$C107,盘货信息!$A:$A&amp;盘货信息!$B:$B&amp;盘货信息!$C:$C,盘货信息!$X:$X))</f>
        <v/>
      </c>
      <c r="R107" s="27" t="str" cm="1">
        <f t="array" ref="R107">IF(_xlfn.XLOOKUP($A107&amp;$B107&amp;$C107,盘货信息!$A:$A&amp;盘货信息!$B:$B&amp;盘货信息!$C:$C,盘货信息!$Z:$Z)="","","【"&amp;盘货信息!$Z$1&amp;"】"&amp;_xlfn.XLOOKUP($A107&amp;$B107&amp;$C107,盘货信息!$A:$A&amp;盘货信息!$B:$B&amp;盘货信息!$C:$C,盘货信息!$Z:$Z))</f>
        <v/>
      </c>
      <c r="S107" s="27" t="str" cm="1">
        <f t="array" ref="S107">IF(_xlfn.XLOOKUP($A107&amp;$B107&amp;$C107,盘货信息!$A:$A&amp;盘货信息!$B:$B&amp;盘货信息!$C:$C,盘货信息!$Q:$Q)="","","【种草】站外带指定话题种草后返"&amp;_xlfn.XLOOKUP($A107&amp;$B107&amp;$C107,盘货信息!$A:$A&amp;盘货信息!$B:$B&amp;盘货信息!$C:$C,盘货信息!$Q:$Q)&amp;"元红包（每个淘宝账号仅限对应一个站外种草账号，同一个种草账号不可对应多个淘宝账号）")</f>
        <v/>
      </c>
      <c r="T107" s="27" t="str" cm="1">
        <f t="array" ref="T107">IF(_xlfn.XLOOKUP($A107&amp;$B107&amp;$C107,盘货信息!$A:$A&amp;盘货信息!$B:$B&amp;盘货信息!$C:$C,盘货信息!$R:$R)&lt;1,"","【以旧换新】"&amp;"享补贴"&amp;ROUND(_xlfn.XLOOKUP($A107&amp;$B107&amp;$C107,盘货信息!$A:$A&amp;盘货信息!$B:$B&amp;盘货信息!$C:$C,盘货信息!$R:$R),0)&amp;"元（可无旧机换新）")</f>
        <v/>
      </c>
      <c r="U107" s="27" t="str">
        <f>IF(AND($N107="",$O107="",$P107="",$Q107="",$R107="",$S107="",$T107=""),"",固定信息!$B$1)</f>
        <v/>
      </c>
      <c r="V107" s="27" t="str" cm="1">
        <f t="array" ref="V107">IF(_xlfn.XLOOKUP($A107&amp;$B107&amp;$C107,盘货信息!$A:$A&amp;盘货信息!$B:$B&amp;盘货信息!$C:$C,盘货信息!$Y:$Y)="","","【卡萨帝送赠】活动指定时间"&amp;_xlfn.TEXTBEFORE(_xlfn.TEXTAFTER(_xlfn.XLOOKUP($A107&amp;$B107&amp;$C107,盘货信息!$A:$A&amp;盘货信息!$B:$B&amp;盘货信息!$C:$C,盘货信息!$Y:$Y),"点"),"（"))</f>
        <v/>
      </c>
      <c r="W107" s="27" t="str" cm="1">
        <f t="array" ref="W107">IF(COUNTIF(_xlfn.XLOOKUP($A107&amp;$B107&amp;$C107,盘货信息!$A:$A&amp;盘货信息!$B:$B&amp;盘货信息!$C:$C,盘货信息!$O:$O),"*是*"),"【折扣】指定型号满2类享96折，满3类享94折","")</f>
        <v/>
      </c>
      <c r="X107" s="27" t="str" cm="1">
        <f t="array" ref="X107">IF(固定信息!$B$7="","",IF(_xlfn.XLOOKUP($A107&amp;$B107&amp;$C107,盘货信息!$A:$A&amp;盘货信息!$B:$B&amp;盘货信息!$C:$C,盘货信息!$N:$N)="是","【瓜分】"&amp;固定信息!$B$7,""))</f>
        <v/>
      </c>
      <c r="Y107" s="27" t="str">
        <f>IF(AND($V107="",$W107="",$X107=""),"",固定信息!$B$1)</f>
        <v/>
      </c>
      <c r="Z107" s="27" t="str" cm="1">
        <f t="array" ref="Z107">IF($C107="","",_xlfn.XLOOKUP($A107&amp;$B107&amp;$C107,服务!$A:$A&amp;服务!$B:$B&amp;服务!$C:$C,服务!$D:$D))</f>
        <v/>
      </c>
    </row>
    <row r="108" customHeight="1" spans="1:26">
      <c r="A108" s="26" t="str">
        <f>IF(盘货信息!A108="","",盘货信息!A108)</f>
        <v/>
      </c>
      <c r="B108" s="26" t="str">
        <f>IF(盘货信息!B108="","",盘货信息!B108)</f>
        <v/>
      </c>
      <c r="C108" s="23" t="str">
        <f>IF(盘货信息!C108="","",盘货信息!C108)</f>
        <v/>
      </c>
      <c r="D108" s="27" t="str">
        <f ca="1" t="shared" si="1"/>
        <v/>
      </c>
      <c r="E108" s="27" t="str">
        <f>IF(C108="","",固定信息!$B$2)</f>
        <v/>
      </c>
      <c r="F108" s="27" t="str">
        <f>IF(C108="","","【"&amp;C108&amp;"】"&amp;固定信息!$B$4)</f>
        <v/>
      </c>
      <c r="G108" s="27" t="str">
        <f>IF(C108="","","【"&amp;"活动时间："&amp;固定信息!$B$3&amp;"】")</f>
        <v/>
      </c>
      <c r="H108" s="27" t="str">
        <f>IF($C108="","",固定信息!$B$1)</f>
        <v/>
      </c>
      <c r="I108" s="27" t="str">
        <f>IF(OR(C108="",固定信息!$B$5=""),"","【1元预约锁好礼】"&amp;固定信息!$B$5)</f>
        <v/>
      </c>
      <c r="J108" s="27" t="str" cm="1">
        <f t="array" ref="J108">_xlfn.XLOOKUP($A108&amp;$B108&amp;$C108,价格信息!$A:$A&amp;价格信息!$B:$B&amp;价格信息!$C:$C,价格信息!$D:$D)</f>
        <v/>
      </c>
      <c r="K108" s="27" t="str">
        <f>IF($C108="","",固定信息!$B$1)</f>
        <v/>
      </c>
      <c r="L108" s="27" t="str" cm="1">
        <f t="array" ref="L108">IF(_xlfn.XLOOKUP($A108&amp;$B108&amp;$C108,盘货信息!$A:$A&amp;盘货信息!$B:$B&amp;盘货信息!$C:$C,盘货信息!$T:$T)="","","【优惠券】领"&amp;_xlfn.XLOOKUP($A108&amp;$B108&amp;$C108,盘货信息!$A:$A&amp;盘货信息!$B:$B&amp;盘货信息!$C:$C,盘货信息!$T:$T)&amp;"元优惠卷下单更优惠，领券链接："&amp;_xlfn.XLOOKUP($A108&amp;$B108&amp;$C108,盘货信息!$A:$A&amp;盘货信息!$B:$B&amp;盘货信息!$C:$C,盘货信息!$U:$U))</f>
        <v/>
      </c>
      <c r="M108" s="27" t="str" cm="1">
        <f t="array" ref="M108">IF(_xlfn.XLOOKUP($A108&amp;$B108&amp;$C108,盘货信息!$A:$A&amp;盘货信息!$B:$B&amp;盘货信息!$C:$C,盘货信息!$P:$P)="","","【限时】"&amp;_xlfn.XLOOKUP($A108&amp;$B108&amp;$C108,盘货信息!$A:$A&amp;盘货信息!$B:$B&amp;盘货信息!$C:$C,盘货信息!$P:$P))</f>
        <v/>
      </c>
      <c r="N108" s="27" t="str" cm="1">
        <f t="array" ref="N108">IF(_xlfn.XLOOKUP($A108&amp;$B108&amp;$C108,盘货信息!$A:$A&amp;盘货信息!$B:$B&amp;盘货信息!$C:$C,盘货信息!$V:$V)="","","【"&amp;盘货信息!$V$1&amp;"】"&amp;_xlfn.XLOOKUP($A108&amp;$B108&amp;$C108,盘货信息!$A:$A&amp;盘货信息!$B:$B&amp;盘货信息!$C:$C,盘货信息!$V:$V))</f>
        <v/>
      </c>
      <c r="O108" s="27" t="str" cm="1">
        <f t="array" ref="O108">IF(_xlfn.XLOOKUP($A108&amp;$B108&amp;$C108,盘货信息!$A:$A&amp;盘货信息!$B:$B&amp;盘货信息!$C:$C,盘货信息!$W:$W)="","","【"&amp;盘货信息!$W$1&amp;"】"&amp;_xlfn.XLOOKUP($A108&amp;$B108&amp;$C108,盘货信息!$A:$A&amp;盘货信息!$B:$B&amp;盘货信息!$C:$C,盘货信息!$W:$W))</f>
        <v/>
      </c>
      <c r="P108" s="27" t="str" cm="1">
        <f t="array" ref="P108">IF(_xlfn.XLOOKUP($A108&amp;$B108&amp;$C108,盘货信息!$A:$A&amp;盘货信息!$B:$B&amp;盘货信息!$C:$C,盘货信息!$S:$S)&lt;1,"","【"&amp;盘货信息!$S$1&amp;"】"&amp;"后返"&amp;_xlfn.XLOOKUP($A108&amp;$B108&amp;$C108,盘货信息!$A:$A&amp;盘货信息!$B:$B&amp;盘货信息!$C:$C,盘货信息!$S:$S)&amp;"元")</f>
        <v/>
      </c>
      <c r="Q108" s="27" t="str" cm="1">
        <f t="array" ref="Q108">IF(_xlfn.XLOOKUP($A108&amp;$B108&amp;$C108,盘货信息!$A:$A&amp;盘货信息!$B:$B&amp;盘货信息!$C:$C,盘货信息!$X:$X)="","","【"&amp;盘货信息!$X$1&amp;"】"&amp;_xlfn.XLOOKUP($A108&amp;$B108&amp;$C108,盘货信息!$A:$A&amp;盘货信息!$B:$B&amp;盘货信息!$C:$C,盘货信息!$X:$X))</f>
        <v/>
      </c>
      <c r="R108" s="27" t="str" cm="1">
        <f t="array" ref="R108">IF(_xlfn.XLOOKUP($A108&amp;$B108&amp;$C108,盘货信息!$A:$A&amp;盘货信息!$B:$B&amp;盘货信息!$C:$C,盘货信息!$Z:$Z)="","","【"&amp;盘货信息!$Z$1&amp;"】"&amp;_xlfn.XLOOKUP($A108&amp;$B108&amp;$C108,盘货信息!$A:$A&amp;盘货信息!$B:$B&amp;盘货信息!$C:$C,盘货信息!$Z:$Z))</f>
        <v/>
      </c>
      <c r="S108" s="27" t="str" cm="1">
        <f t="array" ref="S108">IF(_xlfn.XLOOKUP($A108&amp;$B108&amp;$C108,盘货信息!$A:$A&amp;盘货信息!$B:$B&amp;盘货信息!$C:$C,盘货信息!$Q:$Q)="","","【种草】站外带指定话题种草后返"&amp;_xlfn.XLOOKUP($A108&amp;$B108&amp;$C108,盘货信息!$A:$A&amp;盘货信息!$B:$B&amp;盘货信息!$C:$C,盘货信息!$Q:$Q)&amp;"元红包（每个淘宝账号仅限对应一个站外种草账号，同一个种草账号不可对应多个淘宝账号）")</f>
        <v/>
      </c>
      <c r="T108" s="27" t="str" cm="1">
        <f t="array" ref="T108">IF(_xlfn.XLOOKUP($A108&amp;$B108&amp;$C108,盘货信息!$A:$A&amp;盘货信息!$B:$B&amp;盘货信息!$C:$C,盘货信息!$R:$R)&lt;1,"","【以旧换新】"&amp;"享补贴"&amp;ROUND(_xlfn.XLOOKUP($A108&amp;$B108&amp;$C108,盘货信息!$A:$A&amp;盘货信息!$B:$B&amp;盘货信息!$C:$C,盘货信息!$R:$R),0)&amp;"元（可无旧机换新）")</f>
        <v/>
      </c>
      <c r="U108" s="27" t="str">
        <f>IF(AND($N108="",$O108="",$P108="",$Q108="",$R108="",$S108="",$T108=""),"",固定信息!$B$1)</f>
        <v/>
      </c>
      <c r="V108" s="27" t="str" cm="1">
        <f t="array" ref="V108">IF(_xlfn.XLOOKUP($A108&amp;$B108&amp;$C108,盘货信息!$A:$A&amp;盘货信息!$B:$B&amp;盘货信息!$C:$C,盘货信息!$Y:$Y)="","","【卡萨帝送赠】活动指定时间"&amp;_xlfn.TEXTBEFORE(_xlfn.TEXTAFTER(_xlfn.XLOOKUP($A108&amp;$B108&amp;$C108,盘货信息!$A:$A&amp;盘货信息!$B:$B&amp;盘货信息!$C:$C,盘货信息!$Y:$Y),"点"),"（"))</f>
        <v/>
      </c>
      <c r="W108" s="27" t="str" cm="1">
        <f t="array" ref="W108">IF(COUNTIF(_xlfn.XLOOKUP($A108&amp;$B108&amp;$C108,盘货信息!$A:$A&amp;盘货信息!$B:$B&amp;盘货信息!$C:$C,盘货信息!$O:$O),"*是*"),"【折扣】指定型号满2类享96折，满3类享94折","")</f>
        <v/>
      </c>
      <c r="X108" s="27" t="str" cm="1">
        <f t="array" ref="X108">IF(固定信息!$B$7="","",IF(_xlfn.XLOOKUP($A108&amp;$B108&amp;$C108,盘货信息!$A:$A&amp;盘货信息!$B:$B&amp;盘货信息!$C:$C,盘货信息!$N:$N)="是","【瓜分】"&amp;固定信息!$B$7,""))</f>
        <v/>
      </c>
      <c r="Y108" s="27" t="str">
        <f>IF(AND($V108="",$W108="",$X108=""),"",固定信息!$B$1)</f>
        <v/>
      </c>
      <c r="Z108" s="27" t="str" cm="1">
        <f t="array" ref="Z108">IF($C108="","",_xlfn.XLOOKUP($A108&amp;$B108&amp;$C108,服务!$A:$A&amp;服务!$B:$B&amp;服务!$C:$C,服务!$D:$D))</f>
        <v/>
      </c>
    </row>
    <row r="109" customHeight="1" spans="1:26">
      <c r="A109" s="26" t="str">
        <f>IF(盘货信息!A109="","",盘货信息!A109)</f>
        <v/>
      </c>
      <c r="B109" s="26" t="str">
        <f>IF(盘货信息!B109="","",盘货信息!B109)</f>
        <v/>
      </c>
      <c r="C109" s="26" t="str">
        <f>IF(盘货信息!C109="","",盘货信息!C109)</f>
        <v/>
      </c>
      <c r="D109" s="27" t="str">
        <f ca="1" t="shared" si="1"/>
        <v/>
      </c>
      <c r="E109" s="27" t="str">
        <f>IF(C109="","",固定信息!$B$2)</f>
        <v/>
      </c>
      <c r="F109" s="27" t="str">
        <f>IF(C109="","","【"&amp;C109&amp;"】"&amp;固定信息!$B$4)</f>
        <v/>
      </c>
      <c r="G109" s="27" t="str">
        <f>IF(C109="","","【"&amp;"活动时间："&amp;固定信息!$B$3&amp;"】")</f>
        <v/>
      </c>
      <c r="H109" s="27" t="str">
        <f>IF($C109="","",固定信息!$B$1)</f>
        <v/>
      </c>
      <c r="I109" s="27" t="str">
        <f>IF(OR(C109="",固定信息!$B$5=""),"","【1元预约锁好礼】"&amp;固定信息!$B$5)</f>
        <v/>
      </c>
      <c r="J109" s="27" t="str" cm="1">
        <f t="array" ref="J109">_xlfn.XLOOKUP($A109&amp;$B109&amp;$C109,价格信息!$A:$A&amp;价格信息!$B:$B&amp;价格信息!$C:$C,价格信息!$D:$D)</f>
        <v/>
      </c>
      <c r="K109" s="27" t="str">
        <f>IF($C109="","",固定信息!$B$1)</f>
        <v/>
      </c>
      <c r="L109" s="27" t="str" cm="1">
        <f t="array" ref="L109">IF(_xlfn.XLOOKUP($A109&amp;$B109&amp;$C109,盘货信息!$A:$A&amp;盘货信息!$B:$B&amp;盘货信息!$C:$C,盘货信息!$T:$T)="","","【优惠券】领"&amp;_xlfn.XLOOKUP($A109&amp;$B109&amp;$C109,盘货信息!$A:$A&amp;盘货信息!$B:$B&amp;盘货信息!$C:$C,盘货信息!$T:$T)&amp;"元优惠卷下单更优惠，领券链接："&amp;_xlfn.XLOOKUP($A109&amp;$B109&amp;$C109,盘货信息!$A:$A&amp;盘货信息!$B:$B&amp;盘货信息!$C:$C,盘货信息!$U:$U))</f>
        <v/>
      </c>
      <c r="M109" s="27" t="str" cm="1">
        <f t="array" ref="M109">IF(_xlfn.XLOOKUP($A109&amp;$B109&amp;$C109,盘货信息!$A:$A&amp;盘货信息!$B:$B&amp;盘货信息!$C:$C,盘货信息!$P:$P)="","","【限时】"&amp;_xlfn.XLOOKUP($A109&amp;$B109&amp;$C109,盘货信息!$A:$A&amp;盘货信息!$B:$B&amp;盘货信息!$C:$C,盘货信息!$P:$P))</f>
        <v/>
      </c>
      <c r="N109" s="27" t="str" cm="1">
        <f t="array" ref="N109">IF(_xlfn.XLOOKUP($A109&amp;$B109&amp;$C109,盘货信息!$A:$A&amp;盘货信息!$B:$B&amp;盘货信息!$C:$C,盘货信息!$V:$V)="","","【"&amp;盘货信息!$V$1&amp;"】"&amp;_xlfn.XLOOKUP($A109&amp;$B109&amp;$C109,盘货信息!$A:$A&amp;盘货信息!$B:$B&amp;盘货信息!$C:$C,盘货信息!$V:$V))</f>
        <v/>
      </c>
      <c r="O109" s="27" t="str" cm="1">
        <f t="array" ref="O109">IF(_xlfn.XLOOKUP($A109&amp;$B109&amp;$C109,盘货信息!$A:$A&amp;盘货信息!$B:$B&amp;盘货信息!$C:$C,盘货信息!$W:$W)="","","【"&amp;盘货信息!$W$1&amp;"】"&amp;_xlfn.XLOOKUP($A109&amp;$B109&amp;$C109,盘货信息!$A:$A&amp;盘货信息!$B:$B&amp;盘货信息!$C:$C,盘货信息!$W:$W))</f>
        <v/>
      </c>
      <c r="P109" s="27" t="str" cm="1">
        <f t="array" ref="P109">IF(_xlfn.XLOOKUP($A109&amp;$B109&amp;$C109,盘货信息!$A:$A&amp;盘货信息!$B:$B&amp;盘货信息!$C:$C,盘货信息!$S:$S)&lt;1,"","【"&amp;盘货信息!$S$1&amp;"】"&amp;"后返"&amp;_xlfn.XLOOKUP($A109&amp;$B109&amp;$C109,盘货信息!$A:$A&amp;盘货信息!$B:$B&amp;盘货信息!$C:$C,盘货信息!$S:$S)&amp;"元")</f>
        <v/>
      </c>
      <c r="Q109" s="27" t="str" cm="1">
        <f t="array" ref="Q109">IF(_xlfn.XLOOKUP($A109&amp;$B109&amp;$C109,盘货信息!$A:$A&amp;盘货信息!$B:$B&amp;盘货信息!$C:$C,盘货信息!$X:$X)="","","【"&amp;盘货信息!$X$1&amp;"】"&amp;_xlfn.XLOOKUP($A109&amp;$B109&amp;$C109,盘货信息!$A:$A&amp;盘货信息!$B:$B&amp;盘货信息!$C:$C,盘货信息!$X:$X))</f>
        <v/>
      </c>
      <c r="R109" s="27" t="str" cm="1">
        <f t="array" ref="R109">IF(_xlfn.XLOOKUP($A109&amp;$B109&amp;$C109,盘货信息!$A:$A&amp;盘货信息!$B:$B&amp;盘货信息!$C:$C,盘货信息!$Z:$Z)="","","【"&amp;盘货信息!$Z$1&amp;"】"&amp;_xlfn.XLOOKUP($A109&amp;$B109&amp;$C109,盘货信息!$A:$A&amp;盘货信息!$B:$B&amp;盘货信息!$C:$C,盘货信息!$Z:$Z))</f>
        <v/>
      </c>
      <c r="S109" s="27" t="str" cm="1">
        <f t="array" ref="S109">IF(_xlfn.XLOOKUP($A109&amp;$B109&amp;$C109,盘货信息!$A:$A&amp;盘货信息!$B:$B&amp;盘货信息!$C:$C,盘货信息!$Q:$Q)="","","【种草】站外带指定话题种草后返"&amp;_xlfn.XLOOKUP($A109&amp;$B109&amp;$C109,盘货信息!$A:$A&amp;盘货信息!$B:$B&amp;盘货信息!$C:$C,盘货信息!$Q:$Q)&amp;"元红包（每个淘宝账号仅限对应一个站外种草账号，同一个种草账号不可对应多个淘宝账号）")</f>
        <v/>
      </c>
      <c r="T109" s="27" t="str" cm="1">
        <f t="array" ref="T109">IF(_xlfn.XLOOKUP($A109&amp;$B109&amp;$C109,盘货信息!$A:$A&amp;盘货信息!$B:$B&amp;盘货信息!$C:$C,盘货信息!$R:$R)&lt;1,"","【以旧换新】"&amp;"享补贴"&amp;ROUND(_xlfn.XLOOKUP($A109&amp;$B109&amp;$C109,盘货信息!$A:$A&amp;盘货信息!$B:$B&amp;盘货信息!$C:$C,盘货信息!$R:$R),0)&amp;"元（可无旧机换新）")</f>
        <v/>
      </c>
      <c r="U109" s="27" t="str">
        <f>IF(AND($N109="",$O109="",$P109="",$Q109="",$R109="",$S109="",$T109=""),"",固定信息!$B$1)</f>
        <v/>
      </c>
      <c r="V109" s="27" t="str" cm="1">
        <f t="array" ref="V109">IF(_xlfn.XLOOKUP($A109&amp;$B109&amp;$C109,盘货信息!$A:$A&amp;盘货信息!$B:$B&amp;盘货信息!$C:$C,盘货信息!$Y:$Y)="","","【卡萨帝送赠】活动指定时间"&amp;_xlfn.TEXTBEFORE(_xlfn.TEXTAFTER(_xlfn.XLOOKUP($A109&amp;$B109&amp;$C109,盘货信息!$A:$A&amp;盘货信息!$B:$B&amp;盘货信息!$C:$C,盘货信息!$Y:$Y),"点"),"（"))</f>
        <v/>
      </c>
      <c r="W109" s="27" t="str" cm="1">
        <f t="array" ref="W109">IF(COUNTIF(_xlfn.XLOOKUP($A109&amp;$B109&amp;$C109,盘货信息!$A:$A&amp;盘货信息!$B:$B&amp;盘货信息!$C:$C,盘货信息!$O:$O),"*是*"),"【折扣】指定型号满2类享96折，满3类享94折","")</f>
        <v/>
      </c>
      <c r="X109" s="27" t="str" cm="1">
        <f t="array" ref="X109">IF(固定信息!$B$7="","",IF(_xlfn.XLOOKUP($A109&amp;$B109&amp;$C109,盘货信息!$A:$A&amp;盘货信息!$B:$B&amp;盘货信息!$C:$C,盘货信息!$N:$N)="是","【瓜分】"&amp;固定信息!$B$7,""))</f>
        <v/>
      </c>
      <c r="Y109" s="27" t="str">
        <f>IF(AND($V109="",$W109="",$X109=""),"",固定信息!$B$1)</f>
        <v/>
      </c>
      <c r="Z109" s="27" t="str" cm="1">
        <f t="array" ref="Z109">IF($C109="","",_xlfn.XLOOKUP($A109&amp;$B109&amp;$C109,服务!$A:$A&amp;服务!$B:$B&amp;服务!$C:$C,服务!$D:$D))</f>
        <v/>
      </c>
    </row>
    <row r="110" customHeight="1" spans="1:26">
      <c r="A110" s="26" t="str">
        <f>IF(盘货信息!A110="","",盘货信息!A110)</f>
        <v/>
      </c>
      <c r="B110" s="26" t="str">
        <f>IF(盘货信息!B110="","",盘货信息!B110)</f>
        <v/>
      </c>
      <c r="C110" s="26" t="str">
        <f>IF(盘货信息!C110="","",盘货信息!C110)</f>
        <v/>
      </c>
      <c r="D110" s="27" t="str">
        <f ca="1" t="shared" si="1"/>
        <v/>
      </c>
      <c r="E110" s="27" t="str">
        <f>IF(C110="","",固定信息!$B$2)</f>
        <v/>
      </c>
      <c r="F110" s="27" t="str">
        <f>IF(C110="","","【"&amp;C110&amp;"】"&amp;固定信息!$B$4)</f>
        <v/>
      </c>
      <c r="G110" s="27" t="str">
        <f>IF(C110="","","【"&amp;"活动时间："&amp;固定信息!$B$3&amp;"】")</f>
        <v/>
      </c>
      <c r="H110" s="27" t="str">
        <f>IF($C110="","",固定信息!$B$1)</f>
        <v/>
      </c>
      <c r="I110" s="27" t="str">
        <f>IF(OR(C110="",固定信息!$B$5=""),"","【1元预约锁好礼】"&amp;固定信息!$B$5)</f>
        <v/>
      </c>
      <c r="J110" s="27" t="str" cm="1">
        <f t="array" ref="J110">_xlfn.XLOOKUP($A110&amp;$B110&amp;$C110,价格信息!$A:$A&amp;价格信息!$B:$B&amp;价格信息!$C:$C,价格信息!$D:$D)</f>
        <v/>
      </c>
      <c r="K110" s="27" t="str">
        <f>IF($C110="","",固定信息!$B$1)</f>
        <v/>
      </c>
      <c r="L110" s="27" t="str" cm="1">
        <f t="array" ref="L110">IF(_xlfn.XLOOKUP($A110&amp;$B110&amp;$C110,盘货信息!$A:$A&amp;盘货信息!$B:$B&amp;盘货信息!$C:$C,盘货信息!$T:$T)="","","【优惠券】领"&amp;_xlfn.XLOOKUP($A110&amp;$B110&amp;$C110,盘货信息!$A:$A&amp;盘货信息!$B:$B&amp;盘货信息!$C:$C,盘货信息!$T:$T)&amp;"元优惠卷下单更优惠，领券链接："&amp;_xlfn.XLOOKUP($A110&amp;$B110&amp;$C110,盘货信息!$A:$A&amp;盘货信息!$B:$B&amp;盘货信息!$C:$C,盘货信息!$U:$U))</f>
        <v/>
      </c>
      <c r="M110" s="27" t="str" cm="1">
        <f t="array" ref="M110">IF(_xlfn.XLOOKUP($A110&amp;$B110&amp;$C110,盘货信息!$A:$A&amp;盘货信息!$B:$B&amp;盘货信息!$C:$C,盘货信息!$P:$P)="","","【限时】"&amp;_xlfn.XLOOKUP($A110&amp;$B110&amp;$C110,盘货信息!$A:$A&amp;盘货信息!$B:$B&amp;盘货信息!$C:$C,盘货信息!$P:$P))</f>
        <v/>
      </c>
      <c r="N110" s="27" t="str" cm="1">
        <f t="array" ref="N110">IF(_xlfn.XLOOKUP($A110&amp;$B110&amp;$C110,盘货信息!$A:$A&amp;盘货信息!$B:$B&amp;盘货信息!$C:$C,盘货信息!$V:$V)="","","【"&amp;盘货信息!$V$1&amp;"】"&amp;_xlfn.XLOOKUP($A110&amp;$B110&amp;$C110,盘货信息!$A:$A&amp;盘货信息!$B:$B&amp;盘货信息!$C:$C,盘货信息!$V:$V))</f>
        <v/>
      </c>
      <c r="O110" s="27" t="str" cm="1">
        <f t="array" ref="O110">IF(_xlfn.XLOOKUP($A110&amp;$B110&amp;$C110,盘货信息!$A:$A&amp;盘货信息!$B:$B&amp;盘货信息!$C:$C,盘货信息!$W:$W)="","","【"&amp;盘货信息!$W$1&amp;"】"&amp;_xlfn.XLOOKUP($A110&amp;$B110&amp;$C110,盘货信息!$A:$A&amp;盘货信息!$B:$B&amp;盘货信息!$C:$C,盘货信息!$W:$W))</f>
        <v/>
      </c>
      <c r="P110" s="27" t="str" cm="1">
        <f t="array" ref="P110">IF(_xlfn.XLOOKUP($A110&amp;$B110&amp;$C110,盘货信息!$A:$A&amp;盘货信息!$B:$B&amp;盘货信息!$C:$C,盘货信息!$S:$S)&lt;1,"","【"&amp;盘货信息!$S$1&amp;"】"&amp;"后返"&amp;_xlfn.XLOOKUP($A110&amp;$B110&amp;$C110,盘货信息!$A:$A&amp;盘货信息!$B:$B&amp;盘货信息!$C:$C,盘货信息!$S:$S)&amp;"元")</f>
        <v/>
      </c>
      <c r="Q110" s="27" t="str" cm="1">
        <f t="array" ref="Q110">IF(_xlfn.XLOOKUP($A110&amp;$B110&amp;$C110,盘货信息!$A:$A&amp;盘货信息!$B:$B&amp;盘货信息!$C:$C,盘货信息!$X:$X)="","","【"&amp;盘货信息!$X$1&amp;"】"&amp;_xlfn.XLOOKUP($A110&amp;$B110&amp;$C110,盘货信息!$A:$A&amp;盘货信息!$B:$B&amp;盘货信息!$C:$C,盘货信息!$X:$X))</f>
        <v/>
      </c>
      <c r="R110" s="27" t="str" cm="1">
        <f t="array" ref="R110">IF(_xlfn.XLOOKUP($A110&amp;$B110&amp;$C110,盘货信息!$A:$A&amp;盘货信息!$B:$B&amp;盘货信息!$C:$C,盘货信息!$Z:$Z)="","","【"&amp;盘货信息!$Z$1&amp;"】"&amp;_xlfn.XLOOKUP($A110&amp;$B110&amp;$C110,盘货信息!$A:$A&amp;盘货信息!$B:$B&amp;盘货信息!$C:$C,盘货信息!$Z:$Z))</f>
        <v/>
      </c>
      <c r="S110" s="27" t="str" cm="1">
        <f t="array" ref="S110">IF(_xlfn.XLOOKUP($A110&amp;$B110&amp;$C110,盘货信息!$A:$A&amp;盘货信息!$B:$B&amp;盘货信息!$C:$C,盘货信息!$Q:$Q)="","","【种草】站外带指定话题种草后返"&amp;_xlfn.XLOOKUP($A110&amp;$B110&amp;$C110,盘货信息!$A:$A&amp;盘货信息!$B:$B&amp;盘货信息!$C:$C,盘货信息!$Q:$Q)&amp;"元红包（每个淘宝账号仅限对应一个站外种草账号，同一个种草账号不可对应多个淘宝账号）")</f>
        <v/>
      </c>
      <c r="T110" s="27" t="str" cm="1">
        <f t="array" ref="T110">IF(_xlfn.XLOOKUP($A110&amp;$B110&amp;$C110,盘货信息!$A:$A&amp;盘货信息!$B:$B&amp;盘货信息!$C:$C,盘货信息!$R:$R)&lt;1,"","【以旧换新】"&amp;"享补贴"&amp;ROUND(_xlfn.XLOOKUP($A110&amp;$B110&amp;$C110,盘货信息!$A:$A&amp;盘货信息!$B:$B&amp;盘货信息!$C:$C,盘货信息!$R:$R),0)&amp;"元（可无旧机换新）")</f>
        <v/>
      </c>
      <c r="U110" s="27" t="str">
        <f>IF(AND($N110="",$O110="",$P110="",$Q110="",$R110="",$S110="",$T110=""),"",固定信息!$B$1)</f>
        <v/>
      </c>
      <c r="V110" s="27" t="str" cm="1">
        <f t="array" ref="V110">IF(_xlfn.XLOOKUP($A110&amp;$B110&amp;$C110,盘货信息!$A:$A&amp;盘货信息!$B:$B&amp;盘货信息!$C:$C,盘货信息!$Y:$Y)="","","【卡萨帝送赠】活动指定时间"&amp;_xlfn.TEXTBEFORE(_xlfn.TEXTAFTER(_xlfn.XLOOKUP($A110&amp;$B110&amp;$C110,盘货信息!$A:$A&amp;盘货信息!$B:$B&amp;盘货信息!$C:$C,盘货信息!$Y:$Y),"点"),"（"))</f>
        <v/>
      </c>
      <c r="W110" s="27" t="str" cm="1">
        <f t="array" ref="W110">IF(COUNTIF(_xlfn.XLOOKUP($A110&amp;$B110&amp;$C110,盘货信息!$A:$A&amp;盘货信息!$B:$B&amp;盘货信息!$C:$C,盘货信息!$O:$O),"*是*"),"【折扣】指定型号满2类享96折，满3类享94折","")</f>
        <v/>
      </c>
      <c r="X110" s="27" t="str" cm="1">
        <f t="array" ref="X110">IF(固定信息!$B$7="","",IF(_xlfn.XLOOKUP($A110&amp;$B110&amp;$C110,盘货信息!$A:$A&amp;盘货信息!$B:$B&amp;盘货信息!$C:$C,盘货信息!$N:$N)="是","【瓜分】"&amp;固定信息!$B$7,""))</f>
        <v/>
      </c>
      <c r="Y110" s="27" t="str">
        <f>IF(AND($V110="",$W110="",$X110=""),"",固定信息!$B$1)</f>
        <v/>
      </c>
      <c r="Z110" s="27" t="str" cm="1">
        <f t="array" ref="Z110">IF($C110="","",_xlfn.XLOOKUP($A110&amp;$B110&amp;$C110,服务!$A:$A&amp;服务!$B:$B&amp;服务!$C:$C,服务!$D:$D))</f>
        <v/>
      </c>
    </row>
    <row r="111" customHeight="1" spans="1:26">
      <c r="A111" s="26" t="str">
        <f>IF(盘货信息!A111="","",盘货信息!A111)</f>
        <v/>
      </c>
      <c r="B111" s="26" t="str">
        <f>IF(盘货信息!B111="","",盘货信息!B111)</f>
        <v/>
      </c>
      <c r="C111" s="23" t="str">
        <f>IF(盘货信息!C111="","",盘货信息!C111)</f>
        <v/>
      </c>
      <c r="D111" s="27" t="str">
        <f ca="1" t="shared" si="1"/>
        <v/>
      </c>
      <c r="E111" s="27" t="str">
        <f>IF(C111="","",固定信息!$B$2)</f>
        <v/>
      </c>
      <c r="F111" s="27" t="str">
        <f>IF(C111="","","【"&amp;C111&amp;"】"&amp;固定信息!$B$4)</f>
        <v/>
      </c>
      <c r="G111" s="27" t="str">
        <f>IF(C111="","","【"&amp;"活动时间："&amp;固定信息!$B$3&amp;"】")</f>
        <v/>
      </c>
      <c r="H111" s="27" t="str">
        <f>IF($C111="","",固定信息!$B$1)</f>
        <v/>
      </c>
      <c r="I111" s="27" t="str">
        <f>IF(OR(C111="",固定信息!$B$5=""),"","【1元预约锁好礼】"&amp;固定信息!$B$5)</f>
        <v/>
      </c>
      <c r="J111" s="27" t="str" cm="1">
        <f t="array" ref="J111">_xlfn.XLOOKUP($A111&amp;$B111&amp;$C111,价格信息!$A:$A&amp;价格信息!$B:$B&amp;价格信息!$C:$C,价格信息!$D:$D)</f>
        <v/>
      </c>
      <c r="K111" s="27" t="str">
        <f>IF($C111="","",固定信息!$B$1)</f>
        <v/>
      </c>
      <c r="L111" s="27" t="str" cm="1">
        <f t="array" ref="L111">IF(_xlfn.XLOOKUP($A111&amp;$B111&amp;$C111,盘货信息!$A:$A&amp;盘货信息!$B:$B&amp;盘货信息!$C:$C,盘货信息!$T:$T)="","","【优惠券】领"&amp;_xlfn.XLOOKUP($A111&amp;$B111&amp;$C111,盘货信息!$A:$A&amp;盘货信息!$B:$B&amp;盘货信息!$C:$C,盘货信息!$T:$T)&amp;"元优惠卷下单更优惠，领券链接："&amp;_xlfn.XLOOKUP($A111&amp;$B111&amp;$C111,盘货信息!$A:$A&amp;盘货信息!$B:$B&amp;盘货信息!$C:$C,盘货信息!$U:$U))</f>
        <v/>
      </c>
      <c r="M111" s="27" t="str" cm="1">
        <f t="array" ref="M111">IF(_xlfn.XLOOKUP($A111&amp;$B111&amp;$C111,盘货信息!$A:$A&amp;盘货信息!$B:$B&amp;盘货信息!$C:$C,盘货信息!$P:$P)="","","【限时】"&amp;_xlfn.XLOOKUP($A111&amp;$B111&amp;$C111,盘货信息!$A:$A&amp;盘货信息!$B:$B&amp;盘货信息!$C:$C,盘货信息!$P:$P))</f>
        <v/>
      </c>
      <c r="N111" s="27" t="str" cm="1">
        <f t="array" ref="N111">IF(_xlfn.XLOOKUP($A111&amp;$B111&amp;$C111,盘货信息!$A:$A&amp;盘货信息!$B:$B&amp;盘货信息!$C:$C,盘货信息!$V:$V)="","","【"&amp;盘货信息!$V$1&amp;"】"&amp;_xlfn.XLOOKUP($A111&amp;$B111&amp;$C111,盘货信息!$A:$A&amp;盘货信息!$B:$B&amp;盘货信息!$C:$C,盘货信息!$V:$V))</f>
        <v/>
      </c>
      <c r="O111" s="27" t="str" cm="1">
        <f t="array" ref="O111">IF(_xlfn.XLOOKUP($A111&amp;$B111&amp;$C111,盘货信息!$A:$A&amp;盘货信息!$B:$B&amp;盘货信息!$C:$C,盘货信息!$W:$W)="","","【"&amp;盘货信息!$W$1&amp;"】"&amp;_xlfn.XLOOKUP($A111&amp;$B111&amp;$C111,盘货信息!$A:$A&amp;盘货信息!$B:$B&amp;盘货信息!$C:$C,盘货信息!$W:$W))</f>
        <v/>
      </c>
      <c r="P111" s="27" t="str" cm="1">
        <f t="array" ref="P111">IF(_xlfn.XLOOKUP($A111&amp;$B111&amp;$C111,盘货信息!$A:$A&amp;盘货信息!$B:$B&amp;盘货信息!$C:$C,盘货信息!$S:$S)&lt;1,"","【"&amp;盘货信息!$S$1&amp;"】"&amp;"后返"&amp;_xlfn.XLOOKUP($A111&amp;$B111&amp;$C111,盘货信息!$A:$A&amp;盘货信息!$B:$B&amp;盘货信息!$C:$C,盘货信息!$S:$S)&amp;"元")</f>
        <v/>
      </c>
      <c r="Q111" s="27" t="str" cm="1">
        <f t="array" ref="Q111">IF(_xlfn.XLOOKUP($A111&amp;$B111&amp;$C111,盘货信息!$A:$A&amp;盘货信息!$B:$B&amp;盘货信息!$C:$C,盘货信息!$X:$X)="","","【"&amp;盘货信息!$X$1&amp;"】"&amp;_xlfn.XLOOKUP($A111&amp;$B111&amp;$C111,盘货信息!$A:$A&amp;盘货信息!$B:$B&amp;盘货信息!$C:$C,盘货信息!$X:$X))</f>
        <v/>
      </c>
      <c r="R111" s="27" t="str" cm="1">
        <f t="array" ref="R111">IF(_xlfn.XLOOKUP($A111&amp;$B111&amp;$C111,盘货信息!$A:$A&amp;盘货信息!$B:$B&amp;盘货信息!$C:$C,盘货信息!$Z:$Z)="","","【"&amp;盘货信息!$Z$1&amp;"】"&amp;_xlfn.XLOOKUP($A111&amp;$B111&amp;$C111,盘货信息!$A:$A&amp;盘货信息!$B:$B&amp;盘货信息!$C:$C,盘货信息!$Z:$Z))</f>
        <v/>
      </c>
      <c r="S111" s="27" t="str" cm="1">
        <f t="array" ref="S111">IF(_xlfn.XLOOKUP($A111&amp;$B111&amp;$C111,盘货信息!$A:$A&amp;盘货信息!$B:$B&amp;盘货信息!$C:$C,盘货信息!$Q:$Q)="","","【种草】站外带指定话题种草后返"&amp;_xlfn.XLOOKUP($A111&amp;$B111&amp;$C111,盘货信息!$A:$A&amp;盘货信息!$B:$B&amp;盘货信息!$C:$C,盘货信息!$Q:$Q)&amp;"元红包（每个淘宝账号仅限对应一个站外种草账号，同一个种草账号不可对应多个淘宝账号）")</f>
        <v/>
      </c>
      <c r="T111" s="27" t="str" cm="1">
        <f t="array" ref="T111">IF(_xlfn.XLOOKUP($A111&amp;$B111&amp;$C111,盘货信息!$A:$A&amp;盘货信息!$B:$B&amp;盘货信息!$C:$C,盘货信息!$R:$R)&lt;1,"","【以旧换新】"&amp;"享补贴"&amp;ROUND(_xlfn.XLOOKUP($A111&amp;$B111&amp;$C111,盘货信息!$A:$A&amp;盘货信息!$B:$B&amp;盘货信息!$C:$C,盘货信息!$R:$R),0)&amp;"元（可无旧机换新）")</f>
        <v/>
      </c>
      <c r="U111" s="27" t="str">
        <f>IF(AND($N111="",$O111="",$P111="",$Q111="",$R111="",$S111="",$T111=""),"",固定信息!$B$1)</f>
        <v/>
      </c>
      <c r="V111" s="27" t="str" cm="1">
        <f t="array" ref="V111">IF(_xlfn.XLOOKUP($A111&amp;$B111&amp;$C111,盘货信息!$A:$A&amp;盘货信息!$B:$B&amp;盘货信息!$C:$C,盘货信息!$Y:$Y)="","","【卡萨帝送赠】活动指定时间"&amp;_xlfn.TEXTBEFORE(_xlfn.TEXTAFTER(_xlfn.XLOOKUP($A111&amp;$B111&amp;$C111,盘货信息!$A:$A&amp;盘货信息!$B:$B&amp;盘货信息!$C:$C,盘货信息!$Y:$Y),"点"),"（"))</f>
        <v/>
      </c>
      <c r="W111" s="27" t="str" cm="1">
        <f t="array" ref="W111">IF(COUNTIF(_xlfn.XLOOKUP($A111&amp;$B111&amp;$C111,盘货信息!$A:$A&amp;盘货信息!$B:$B&amp;盘货信息!$C:$C,盘货信息!$O:$O),"*是*"),"【折扣】指定型号满2类享96折，满3类享94折","")</f>
        <v/>
      </c>
      <c r="X111" s="27" t="str" cm="1">
        <f t="array" ref="X111">IF(固定信息!$B$7="","",IF(_xlfn.XLOOKUP($A111&amp;$B111&amp;$C111,盘货信息!$A:$A&amp;盘货信息!$B:$B&amp;盘货信息!$C:$C,盘货信息!$N:$N)="是","【瓜分】"&amp;固定信息!$B$7,""))</f>
        <v/>
      </c>
      <c r="Y111" s="27" t="str">
        <f>IF(AND($V111="",$W111="",$X111=""),"",固定信息!$B$1)</f>
        <v/>
      </c>
      <c r="Z111" s="27" t="str" cm="1">
        <f t="array" ref="Z111">IF($C111="","",_xlfn.XLOOKUP($A111&amp;$B111&amp;$C111,服务!$A:$A&amp;服务!$B:$B&amp;服务!$C:$C,服务!$D:$D))</f>
        <v/>
      </c>
    </row>
    <row r="112" customHeight="1" spans="1:26">
      <c r="A112" s="26" t="str">
        <f>IF(盘货信息!A112="","",盘货信息!A112)</f>
        <v/>
      </c>
      <c r="B112" s="26" t="str">
        <f>IF(盘货信息!B112="","",盘货信息!B112)</f>
        <v/>
      </c>
      <c r="C112" s="23" t="str">
        <f>IF(盘货信息!C112="","",盘货信息!C112)</f>
        <v/>
      </c>
      <c r="D112" s="27" t="str">
        <f ca="1" t="shared" si="1"/>
        <v/>
      </c>
      <c r="E112" s="27" t="str">
        <f>IF(C112="","",固定信息!$B$2)</f>
        <v/>
      </c>
      <c r="F112" s="27" t="str">
        <f>IF(C112="","","【"&amp;C112&amp;"】"&amp;固定信息!$B$4)</f>
        <v/>
      </c>
      <c r="G112" s="27" t="str">
        <f>IF(C112="","","【"&amp;"活动时间："&amp;固定信息!$B$3&amp;"】")</f>
        <v/>
      </c>
      <c r="H112" s="27" t="str">
        <f>IF($C112="","",固定信息!$B$1)</f>
        <v/>
      </c>
      <c r="I112" s="27" t="str">
        <f>IF(OR(C112="",固定信息!$B$5=""),"","【1元预约锁好礼】"&amp;固定信息!$B$5)</f>
        <v/>
      </c>
      <c r="J112" s="27" t="str" cm="1">
        <f t="array" ref="J112">_xlfn.XLOOKUP($A112&amp;$B112&amp;$C112,价格信息!$A:$A&amp;价格信息!$B:$B&amp;价格信息!$C:$C,价格信息!$D:$D)</f>
        <v/>
      </c>
      <c r="K112" s="27" t="str">
        <f>IF($C112="","",固定信息!$B$1)</f>
        <v/>
      </c>
      <c r="L112" s="27" t="str" cm="1">
        <f t="array" ref="L112">IF(_xlfn.XLOOKUP($A112&amp;$B112&amp;$C112,盘货信息!$A:$A&amp;盘货信息!$B:$B&amp;盘货信息!$C:$C,盘货信息!$T:$T)="","","【优惠券】领"&amp;_xlfn.XLOOKUP($A112&amp;$B112&amp;$C112,盘货信息!$A:$A&amp;盘货信息!$B:$B&amp;盘货信息!$C:$C,盘货信息!$T:$T)&amp;"元优惠卷下单更优惠，领券链接："&amp;_xlfn.XLOOKUP($A112&amp;$B112&amp;$C112,盘货信息!$A:$A&amp;盘货信息!$B:$B&amp;盘货信息!$C:$C,盘货信息!$U:$U))</f>
        <v/>
      </c>
      <c r="M112" s="27" t="str" cm="1">
        <f t="array" ref="M112">IF(_xlfn.XLOOKUP($A112&amp;$B112&amp;$C112,盘货信息!$A:$A&amp;盘货信息!$B:$B&amp;盘货信息!$C:$C,盘货信息!$P:$P)="","","【限时】"&amp;_xlfn.XLOOKUP($A112&amp;$B112&amp;$C112,盘货信息!$A:$A&amp;盘货信息!$B:$B&amp;盘货信息!$C:$C,盘货信息!$P:$P))</f>
        <v/>
      </c>
      <c r="N112" s="27" t="str" cm="1">
        <f t="array" ref="N112">IF(_xlfn.XLOOKUP($A112&amp;$B112&amp;$C112,盘货信息!$A:$A&amp;盘货信息!$B:$B&amp;盘货信息!$C:$C,盘货信息!$V:$V)="","","【"&amp;盘货信息!$V$1&amp;"】"&amp;_xlfn.XLOOKUP($A112&amp;$B112&amp;$C112,盘货信息!$A:$A&amp;盘货信息!$B:$B&amp;盘货信息!$C:$C,盘货信息!$V:$V))</f>
        <v/>
      </c>
      <c r="O112" s="27" t="str" cm="1">
        <f t="array" ref="O112">IF(_xlfn.XLOOKUP($A112&amp;$B112&amp;$C112,盘货信息!$A:$A&amp;盘货信息!$B:$B&amp;盘货信息!$C:$C,盘货信息!$W:$W)="","","【"&amp;盘货信息!$W$1&amp;"】"&amp;_xlfn.XLOOKUP($A112&amp;$B112&amp;$C112,盘货信息!$A:$A&amp;盘货信息!$B:$B&amp;盘货信息!$C:$C,盘货信息!$W:$W))</f>
        <v/>
      </c>
      <c r="P112" s="27" t="str" cm="1">
        <f t="array" ref="P112">IF(_xlfn.XLOOKUP($A112&amp;$B112&amp;$C112,盘货信息!$A:$A&amp;盘货信息!$B:$B&amp;盘货信息!$C:$C,盘货信息!$S:$S)&lt;1,"","【"&amp;盘货信息!$S$1&amp;"】"&amp;"后返"&amp;_xlfn.XLOOKUP($A112&amp;$B112&amp;$C112,盘货信息!$A:$A&amp;盘货信息!$B:$B&amp;盘货信息!$C:$C,盘货信息!$S:$S)&amp;"元")</f>
        <v/>
      </c>
      <c r="Q112" s="27" t="str" cm="1">
        <f t="array" ref="Q112">IF(_xlfn.XLOOKUP($A112&amp;$B112&amp;$C112,盘货信息!$A:$A&amp;盘货信息!$B:$B&amp;盘货信息!$C:$C,盘货信息!$X:$X)="","","【"&amp;盘货信息!$X$1&amp;"】"&amp;_xlfn.XLOOKUP($A112&amp;$B112&amp;$C112,盘货信息!$A:$A&amp;盘货信息!$B:$B&amp;盘货信息!$C:$C,盘货信息!$X:$X))</f>
        <v/>
      </c>
      <c r="R112" s="27" t="str" cm="1">
        <f t="array" ref="R112">IF(_xlfn.XLOOKUP($A112&amp;$B112&amp;$C112,盘货信息!$A:$A&amp;盘货信息!$B:$B&amp;盘货信息!$C:$C,盘货信息!$Z:$Z)="","","【"&amp;盘货信息!$Z$1&amp;"】"&amp;_xlfn.XLOOKUP($A112&amp;$B112&amp;$C112,盘货信息!$A:$A&amp;盘货信息!$B:$B&amp;盘货信息!$C:$C,盘货信息!$Z:$Z))</f>
        <v/>
      </c>
      <c r="S112" s="27" t="str" cm="1">
        <f t="array" ref="S112">IF(_xlfn.XLOOKUP($A112&amp;$B112&amp;$C112,盘货信息!$A:$A&amp;盘货信息!$B:$B&amp;盘货信息!$C:$C,盘货信息!$Q:$Q)="","","【种草】站外带指定话题种草后返"&amp;_xlfn.XLOOKUP($A112&amp;$B112&amp;$C112,盘货信息!$A:$A&amp;盘货信息!$B:$B&amp;盘货信息!$C:$C,盘货信息!$Q:$Q)&amp;"元红包（每个淘宝账号仅限对应一个站外种草账号，同一个种草账号不可对应多个淘宝账号）")</f>
        <v/>
      </c>
      <c r="T112" s="27" t="str" cm="1">
        <f t="array" ref="T112">IF(_xlfn.XLOOKUP($A112&amp;$B112&amp;$C112,盘货信息!$A:$A&amp;盘货信息!$B:$B&amp;盘货信息!$C:$C,盘货信息!$R:$R)&lt;1,"","【以旧换新】"&amp;"享补贴"&amp;ROUND(_xlfn.XLOOKUP($A112&amp;$B112&amp;$C112,盘货信息!$A:$A&amp;盘货信息!$B:$B&amp;盘货信息!$C:$C,盘货信息!$R:$R),0)&amp;"元（可无旧机换新）")</f>
        <v/>
      </c>
      <c r="U112" s="27" t="str">
        <f>IF(AND($N112="",$O112="",$P112="",$Q112="",$R112="",$S112="",$T112=""),"",固定信息!$B$1)</f>
        <v/>
      </c>
      <c r="V112" s="27" t="str" cm="1">
        <f t="array" ref="V112">IF(_xlfn.XLOOKUP($A112&amp;$B112&amp;$C112,盘货信息!$A:$A&amp;盘货信息!$B:$B&amp;盘货信息!$C:$C,盘货信息!$Y:$Y)="","","【卡萨帝送赠】活动指定时间"&amp;_xlfn.TEXTBEFORE(_xlfn.TEXTAFTER(_xlfn.XLOOKUP($A112&amp;$B112&amp;$C112,盘货信息!$A:$A&amp;盘货信息!$B:$B&amp;盘货信息!$C:$C,盘货信息!$Y:$Y),"点"),"（"))</f>
        <v/>
      </c>
      <c r="W112" s="27" t="str" cm="1">
        <f t="array" ref="W112">IF(COUNTIF(_xlfn.XLOOKUP($A112&amp;$B112&amp;$C112,盘货信息!$A:$A&amp;盘货信息!$B:$B&amp;盘货信息!$C:$C,盘货信息!$O:$O),"*是*"),"【折扣】指定型号满2类享96折，满3类享94折","")</f>
        <v/>
      </c>
      <c r="X112" s="27" t="str" cm="1">
        <f t="array" ref="X112">IF(固定信息!$B$7="","",IF(_xlfn.XLOOKUP($A112&amp;$B112&amp;$C112,盘货信息!$A:$A&amp;盘货信息!$B:$B&amp;盘货信息!$C:$C,盘货信息!$N:$N)="是","【瓜分】"&amp;固定信息!$B$7,""))</f>
        <v/>
      </c>
      <c r="Y112" s="27" t="str">
        <f>IF(AND($V112="",$W112="",$X112=""),"",固定信息!$B$1)</f>
        <v/>
      </c>
      <c r="Z112" s="27" t="str" cm="1">
        <f t="array" ref="Z112">IF($C112="","",_xlfn.XLOOKUP($A112&amp;$B112&amp;$C112,服务!$A:$A&amp;服务!$B:$B&amp;服务!$C:$C,服务!$D:$D))</f>
        <v/>
      </c>
    </row>
    <row r="113" customHeight="1" spans="1:26">
      <c r="A113" s="26" t="str">
        <f>IF(盘货信息!A113="","",盘货信息!A113)</f>
        <v/>
      </c>
      <c r="B113" s="26" t="str">
        <f>IF(盘货信息!B113="","",盘货信息!B113)</f>
        <v/>
      </c>
      <c r="C113" s="23" t="str">
        <f>IF(盘货信息!C113="","",盘货信息!C113)</f>
        <v/>
      </c>
      <c r="D113" s="27" t="str">
        <f ca="1" t="shared" si="1"/>
        <v/>
      </c>
      <c r="E113" s="27" t="str">
        <f>IF(C113="","",固定信息!$B$2)</f>
        <v/>
      </c>
      <c r="F113" s="27" t="str">
        <f>IF(C113="","","【"&amp;C113&amp;"】"&amp;固定信息!$B$4)</f>
        <v/>
      </c>
      <c r="G113" s="27" t="str">
        <f>IF(C113="","","【"&amp;"活动时间："&amp;固定信息!$B$3&amp;"】")</f>
        <v/>
      </c>
      <c r="H113" s="27" t="str">
        <f>IF($C113="","",固定信息!$B$1)</f>
        <v/>
      </c>
      <c r="I113" s="27" t="str">
        <f>IF(OR(C113="",固定信息!$B$5=""),"","【1元预约锁好礼】"&amp;固定信息!$B$5)</f>
        <v/>
      </c>
      <c r="J113" s="27" t="str" cm="1">
        <f t="array" ref="J113">_xlfn.XLOOKUP($A113&amp;$B113&amp;$C113,价格信息!$A:$A&amp;价格信息!$B:$B&amp;价格信息!$C:$C,价格信息!$D:$D)</f>
        <v/>
      </c>
      <c r="K113" s="27" t="str">
        <f>IF($C113="","",固定信息!$B$1)</f>
        <v/>
      </c>
      <c r="L113" s="27" t="str" cm="1">
        <f t="array" ref="L113">IF(_xlfn.XLOOKUP($A113&amp;$B113&amp;$C113,盘货信息!$A:$A&amp;盘货信息!$B:$B&amp;盘货信息!$C:$C,盘货信息!$T:$T)="","","【优惠券】领"&amp;_xlfn.XLOOKUP($A113&amp;$B113&amp;$C113,盘货信息!$A:$A&amp;盘货信息!$B:$B&amp;盘货信息!$C:$C,盘货信息!$T:$T)&amp;"元优惠卷下单更优惠，领券链接："&amp;_xlfn.XLOOKUP($A113&amp;$B113&amp;$C113,盘货信息!$A:$A&amp;盘货信息!$B:$B&amp;盘货信息!$C:$C,盘货信息!$U:$U))</f>
        <v/>
      </c>
      <c r="M113" s="27" t="str" cm="1">
        <f t="array" ref="M113">IF(_xlfn.XLOOKUP($A113&amp;$B113&amp;$C113,盘货信息!$A:$A&amp;盘货信息!$B:$B&amp;盘货信息!$C:$C,盘货信息!$P:$P)="","","【限时】"&amp;_xlfn.XLOOKUP($A113&amp;$B113&amp;$C113,盘货信息!$A:$A&amp;盘货信息!$B:$B&amp;盘货信息!$C:$C,盘货信息!$P:$P))</f>
        <v/>
      </c>
      <c r="N113" s="27" t="str" cm="1">
        <f t="array" ref="N113">IF(_xlfn.XLOOKUP($A113&amp;$B113&amp;$C113,盘货信息!$A:$A&amp;盘货信息!$B:$B&amp;盘货信息!$C:$C,盘货信息!$V:$V)="","","【"&amp;盘货信息!$V$1&amp;"】"&amp;_xlfn.XLOOKUP($A113&amp;$B113&amp;$C113,盘货信息!$A:$A&amp;盘货信息!$B:$B&amp;盘货信息!$C:$C,盘货信息!$V:$V))</f>
        <v/>
      </c>
      <c r="O113" s="27" t="str" cm="1">
        <f t="array" ref="O113">IF(_xlfn.XLOOKUP($A113&amp;$B113&amp;$C113,盘货信息!$A:$A&amp;盘货信息!$B:$B&amp;盘货信息!$C:$C,盘货信息!$W:$W)="","","【"&amp;盘货信息!$W$1&amp;"】"&amp;_xlfn.XLOOKUP($A113&amp;$B113&amp;$C113,盘货信息!$A:$A&amp;盘货信息!$B:$B&amp;盘货信息!$C:$C,盘货信息!$W:$W))</f>
        <v/>
      </c>
      <c r="P113" s="27" t="str" cm="1">
        <f t="array" ref="P113">IF(_xlfn.XLOOKUP($A113&amp;$B113&amp;$C113,盘货信息!$A:$A&amp;盘货信息!$B:$B&amp;盘货信息!$C:$C,盘货信息!$S:$S)&lt;1,"","【"&amp;盘货信息!$S$1&amp;"】"&amp;"后返"&amp;_xlfn.XLOOKUP($A113&amp;$B113&amp;$C113,盘货信息!$A:$A&amp;盘货信息!$B:$B&amp;盘货信息!$C:$C,盘货信息!$S:$S)&amp;"元")</f>
        <v/>
      </c>
      <c r="Q113" s="27" t="str" cm="1">
        <f t="array" ref="Q113">IF(_xlfn.XLOOKUP($A113&amp;$B113&amp;$C113,盘货信息!$A:$A&amp;盘货信息!$B:$B&amp;盘货信息!$C:$C,盘货信息!$X:$X)="","","【"&amp;盘货信息!$X$1&amp;"】"&amp;_xlfn.XLOOKUP($A113&amp;$B113&amp;$C113,盘货信息!$A:$A&amp;盘货信息!$B:$B&amp;盘货信息!$C:$C,盘货信息!$X:$X))</f>
        <v/>
      </c>
      <c r="R113" s="27" t="str" cm="1">
        <f t="array" ref="R113">IF(_xlfn.XLOOKUP($A113&amp;$B113&amp;$C113,盘货信息!$A:$A&amp;盘货信息!$B:$B&amp;盘货信息!$C:$C,盘货信息!$Z:$Z)="","","【"&amp;盘货信息!$Z$1&amp;"】"&amp;_xlfn.XLOOKUP($A113&amp;$B113&amp;$C113,盘货信息!$A:$A&amp;盘货信息!$B:$B&amp;盘货信息!$C:$C,盘货信息!$Z:$Z))</f>
        <v/>
      </c>
      <c r="S113" s="27" t="str" cm="1">
        <f t="array" ref="S113">IF(_xlfn.XLOOKUP($A113&amp;$B113&amp;$C113,盘货信息!$A:$A&amp;盘货信息!$B:$B&amp;盘货信息!$C:$C,盘货信息!$Q:$Q)="","","【种草】站外带指定话题种草后返"&amp;_xlfn.XLOOKUP($A113&amp;$B113&amp;$C113,盘货信息!$A:$A&amp;盘货信息!$B:$B&amp;盘货信息!$C:$C,盘货信息!$Q:$Q)&amp;"元红包（每个淘宝账号仅限对应一个站外种草账号，同一个种草账号不可对应多个淘宝账号）")</f>
        <v/>
      </c>
      <c r="T113" s="27" t="str" cm="1">
        <f t="array" ref="T113">IF(_xlfn.XLOOKUP($A113&amp;$B113&amp;$C113,盘货信息!$A:$A&amp;盘货信息!$B:$B&amp;盘货信息!$C:$C,盘货信息!$R:$R)&lt;1,"","【以旧换新】"&amp;"享补贴"&amp;ROUND(_xlfn.XLOOKUP($A113&amp;$B113&amp;$C113,盘货信息!$A:$A&amp;盘货信息!$B:$B&amp;盘货信息!$C:$C,盘货信息!$R:$R),0)&amp;"元（可无旧机换新）")</f>
        <v/>
      </c>
      <c r="U113" s="27" t="str">
        <f>IF(AND($N113="",$O113="",$P113="",$Q113="",$R113="",$S113="",$T113=""),"",固定信息!$B$1)</f>
        <v/>
      </c>
      <c r="V113" s="27" t="str" cm="1">
        <f t="array" ref="V113">IF(_xlfn.XLOOKUP($A113&amp;$B113&amp;$C113,盘货信息!$A:$A&amp;盘货信息!$B:$B&amp;盘货信息!$C:$C,盘货信息!$Y:$Y)="","","【卡萨帝送赠】活动指定时间"&amp;_xlfn.TEXTBEFORE(_xlfn.TEXTAFTER(_xlfn.XLOOKUP($A113&amp;$B113&amp;$C113,盘货信息!$A:$A&amp;盘货信息!$B:$B&amp;盘货信息!$C:$C,盘货信息!$Y:$Y),"点"),"（"))</f>
        <v/>
      </c>
      <c r="W113" s="27" t="str" cm="1">
        <f t="array" ref="W113">IF(COUNTIF(_xlfn.XLOOKUP($A113&amp;$B113&amp;$C113,盘货信息!$A:$A&amp;盘货信息!$B:$B&amp;盘货信息!$C:$C,盘货信息!$O:$O),"*是*"),"【折扣】指定型号满2类享96折，满3类享94折","")</f>
        <v/>
      </c>
      <c r="X113" s="27" t="str" cm="1">
        <f t="array" ref="X113">IF(固定信息!$B$7="","",IF(_xlfn.XLOOKUP($A113&amp;$B113&amp;$C113,盘货信息!$A:$A&amp;盘货信息!$B:$B&amp;盘货信息!$C:$C,盘货信息!$N:$N)="是","【瓜分】"&amp;固定信息!$B$7,""))</f>
        <v/>
      </c>
      <c r="Y113" s="27" t="str">
        <f>IF(AND($V113="",$W113="",$X113=""),"",固定信息!$B$1)</f>
        <v/>
      </c>
      <c r="Z113" s="27" t="str" cm="1">
        <f t="array" ref="Z113">IF($C113="","",_xlfn.XLOOKUP($A113&amp;$B113&amp;$C113,服务!$A:$A&amp;服务!$B:$B&amp;服务!$C:$C,服务!$D:$D))</f>
        <v/>
      </c>
    </row>
    <row r="114" customHeight="1" spans="1:26">
      <c r="A114" s="26" t="str">
        <f>IF(盘货信息!A114="","",盘货信息!A114)</f>
        <v/>
      </c>
      <c r="B114" s="26" t="str">
        <f>IF(盘货信息!B114="","",盘货信息!B114)</f>
        <v/>
      </c>
      <c r="C114" s="26" t="str">
        <f>IF(盘货信息!C114="","",盘货信息!C114)</f>
        <v/>
      </c>
      <c r="D114" s="27" t="str">
        <f ca="1" t="shared" si="1"/>
        <v/>
      </c>
      <c r="E114" s="27" t="str">
        <f>IF(C114="","",固定信息!$B$2)</f>
        <v/>
      </c>
      <c r="F114" s="27" t="str">
        <f>IF(C114="","","【"&amp;C114&amp;"】"&amp;固定信息!$B$4)</f>
        <v/>
      </c>
      <c r="G114" s="27" t="str">
        <f>IF(C114="","","【"&amp;"活动时间："&amp;固定信息!$B$3&amp;"】")</f>
        <v/>
      </c>
      <c r="H114" s="27" t="str">
        <f>IF($C114="","",固定信息!$B$1)</f>
        <v/>
      </c>
      <c r="I114" s="27" t="str">
        <f>IF(OR(C114="",固定信息!$B$5=""),"","【1元预约锁好礼】"&amp;固定信息!$B$5)</f>
        <v/>
      </c>
      <c r="J114" s="27" t="str" cm="1">
        <f t="array" ref="J114">_xlfn.XLOOKUP($A114&amp;$B114&amp;$C114,价格信息!$A:$A&amp;价格信息!$B:$B&amp;价格信息!$C:$C,价格信息!$D:$D)</f>
        <v/>
      </c>
      <c r="K114" s="27" t="str">
        <f>IF($C114="","",固定信息!$B$1)</f>
        <v/>
      </c>
      <c r="L114" s="27" t="str" cm="1">
        <f t="array" ref="L114">IF(_xlfn.XLOOKUP($A114&amp;$B114&amp;$C114,盘货信息!$A:$A&amp;盘货信息!$B:$B&amp;盘货信息!$C:$C,盘货信息!$T:$T)="","","【优惠券】领"&amp;_xlfn.XLOOKUP($A114&amp;$B114&amp;$C114,盘货信息!$A:$A&amp;盘货信息!$B:$B&amp;盘货信息!$C:$C,盘货信息!$T:$T)&amp;"元优惠卷下单更优惠，领券链接："&amp;_xlfn.XLOOKUP($A114&amp;$B114&amp;$C114,盘货信息!$A:$A&amp;盘货信息!$B:$B&amp;盘货信息!$C:$C,盘货信息!$U:$U))</f>
        <v/>
      </c>
      <c r="M114" s="27" t="str" cm="1">
        <f t="array" ref="M114">IF(_xlfn.XLOOKUP($A114&amp;$B114&amp;$C114,盘货信息!$A:$A&amp;盘货信息!$B:$B&amp;盘货信息!$C:$C,盘货信息!$P:$P)="","","【限时】"&amp;_xlfn.XLOOKUP($A114&amp;$B114&amp;$C114,盘货信息!$A:$A&amp;盘货信息!$B:$B&amp;盘货信息!$C:$C,盘货信息!$P:$P))</f>
        <v/>
      </c>
      <c r="N114" s="27" t="str" cm="1">
        <f t="array" ref="N114">IF(_xlfn.XLOOKUP($A114&amp;$B114&amp;$C114,盘货信息!$A:$A&amp;盘货信息!$B:$B&amp;盘货信息!$C:$C,盘货信息!$V:$V)="","","【"&amp;盘货信息!$V$1&amp;"】"&amp;_xlfn.XLOOKUP($A114&amp;$B114&amp;$C114,盘货信息!$A:$A&amp;盘货信息!$B:$B&amp;盘货信息!$C:$C,盘货信息!$V:$V))</f>
        <v/>
      </c>
      <c r="O114" s="27" t="str" cm="1">
        <f t="array" ref="O114">IF(_xlfn.XLOOKUP($A114&amp;$B114&amp;$C114,盘货信息!$A:$A&amp;盘货信息!$B:$B&amp;盘货信息!$C:$C,盘货信息!$W:$W)="","","【"&amp;盘货信息!$W$1&amp;"】"&amp;_xlfn.XLOOKUP($A114&amp;$B114&amp;$C114,盘货信息!$A:$A&amp;盘货信息!$B:$B&amp;盘货信息!$C:$C,盘货信息!$W:$W))</f>
        <v/>
      </c>
      <c r="P114" s="27" t="str" cm="1">
        <f t="array" ref="P114">IF(_xlfn.XLOOKUP($A114&amp;$B114&amp;$C114,盘货信息!$A:$A&amp;盘货信息!$B:$B&amp;盘货信息!$C:$C,盘货信息!$S:$S)&lt;1,"","【"&amp;盘货信息!$S$1&amp;"】"&amp;"后返"&amp;_xlfn.XLOOKUP($A114&amp;$B114&amp;$C114,盘货信息!$A:$A&amp;盘货信息!$B:$B&amp;盘货信息!$C:$C,盘货信息!$S:$S)&amp;"元")</f>
        <v/>
      </c>
      <c r="Q114" s="27" t="str" cm="1">
        <f t="array" ref="Q114">IF(_xlfn.XLOOKUP($A114&amp;$B114&amp;$C114,盘货信息!$A:$A&amp;盘货信息!$B:$B&amp;盘货信息!$C:$C,盘货信息!$X:$X)="","","【"&amp;盘货信息!$X$1&amp;"】"&amp;_xlfn.XLOOKUP($A114&amp;$B114&amp;$C114,盘货信息!$A:$A&amp;盘货信息!$B:$B&amp;盘货信息!$C:$C,盘货信息!$X:$X))</f>
        <v/>
      </c>
      <c r="R114" s="27" t="str" cm="1">
        <f t="array" ref="R114">IF(_xlfn.XLOOKUP($A114&amp;$B114&amp;$C114,盘货信息!$A:$A&amp;盘货信息!$B:$B&amp;盘货信息!$C:$C,盘货信息!$Z:$Z)="","","【"&amp;盘货信息!$Z$1&amp;"】"&amp;_xlfn.XLOOKUP($A114&amp;$B114&amp;$C114,盘货信息!$A:$A&amp;盘货信息!$B:$B&amp;盘货信息!$C:$C,盘货信息!$Z:$Z))</f>
        <v/>
      </c>
      <c r="S114" s="27" t="str" cm="1">
        <f t="array" ref="S114">IF(_xlfn.XLOOKUP($A114&amp;$B114&amp;$C114,盘货信息!$A:$A&amp;盘货信息!$B:$B&amp;盘货信息!$C:$C,盘货信息!$Q:$Q)="","","【种草】站外带指定话题种草后返"&amp;_xlfn.XLOOKUP($A114&amp;$B114&amp;$C114,盘货信息!$A:$A&amp;盘货信息!$B:$B&amp;盘货信息!$C:$C,盘货信息!$Q:$Q)&amp;"元红包（每个淘宝账号仅限对应一个站外种草账号，同一个种草账号不可对应多个淘宝账号）")</f>
        <v/>
      </c>
      <c r="T114" s="27" t="str" cm="1">
        <f t="array" ref="T114">IF(_xlfn.XLOOKUP($A114&amp;$B114&amp;$C114,盘货信息!$A:$A&amp;盘货信息!$B:$B&amp;盘货信息!$C:$C,盘货信息!$R:$R)&lt;1,"","【以旧换新】"&amp;"享补贴"&amp;ROUND(_xlfn.XLOOKUP($A114&amp;$B114&amp;$C114,盘货信息!$A:$A&amp;盘货信息!$B:$B&amp;盘货信息!$C:$C,盘货信息!$R:$R),0)&amp;"元（可无旧机换新）")</f>
        <v/>
      </c>
      <c r="U114" s="27" t="str">
        <f>IF(AND($N114="",$O114="",$P114="",$Q114="",$R114="",$S114="",$T114=""),"",固定信息!$B$1)</f>
        <v/>
      </c>
      <c r="V114" s="27" t="str" cm="1">
        <f t="array" ref="V114">IF(_xlfn.XLOOKUP($A114&amp;$B114&amp;$C114,盘货信息!$A:$A&amp;盘货信息!$B:$B&amp;盘货信息!$C:$C,盘货信息!$Y:$Y)="","","【卡萨帝送赠】活动指定时间"&amp;_xlfn.TEXTBEFORE(_xlfn.TEXTAFTER(_xlfn.XLOOKUP($A114&amp;$B114&amp;$C114,盘货信息!$A:$A&amp;盘货信息!$B:$B&amp;盘货信息!$C:$C,盘货信息!$Y:$Y),"点"),"（"))</f>
        <v/>
      </c>
      <c r="W114" s="27" t="str" cm="1">
        <f t="array" ref="W114">IF(COUNTIF(_xlfn.XLOOKUP($A114&amp;$B114&amp;$C114,盘货信息!$A:$A&amp;盘货信息!$B:$B&amp;盘货信息!$C:$C,盘货信息!$O:$O),"*是*"),"【折扣】指定型号满2类享96折，满3类享94折","")</f>
        <v/>
      </c>
      <c r="X114" s="27" t="str" cm="1">
        <f t="array" ref="X114">IF(固定信息!$B$7="","",IF(_xlfn.XLOOKUP($A114&amp;$B114&amp;$C114,盘货信息!$A:$A&amp;盘货信息!$B:$B&amp;盘货信息!$C:$C,盘货信息!$N:$N)="是","【瓜分】"&amp;固定信息!$B$7,""))</f>
        <v/>
      </c>
      <c r="Y114" s="27" t="str">
        <f>IF(AND($V114="",$W114="",$X114=""),"",固定信息!$B$1)</f>
        <v/>
      </c>
      <c r="Z114" s="27" t="str" cm="1">
        <f t="array" ref="Z114">IF($C114="","",_xlfn.XLOOKUP($A114&amp;$B114&amp;$C114,服务!$A:$A&amp;服务!$B:$B&amp;服务!$C:$C,服务!$D:$D))</f>
        <v/>
      </c>
    </row>
    <row r="115" customHeight="1" spans="1:26">
      <c r="A115" s="26" t="str">
        <f>IF(盘货信息!A115="","",盘货信息!A115)</f>
        <v/>
      </c>
      <c r="B115" s="26" t="str">
        <f>IF(盘货信息!B115="","",盘货信息!B115)</f>
        <v/>
      </c>
      <c r="C115" s="26" t="str">
        <f>IF(盘货信息!C115="","",盘货信息!C115)</f>
        <v/>
      </c>
      <c r="D115" s="27" t="str">
        <f ca="1" t="shared" si="1"/>
        <v/>
      </c>
      <c r="E115" s="27" t="str">
        <f>IF(C115="","",固定信息!$B$2)</f>
        <v/>
      </c>
      <c r="F115" s="27" t="str">
        <f>IF(C115="","","【"&amp;C115&amp;"】"&amp;固定信息!$B$4)</f>
        <v/>
      </c>
      <c r="G115" s="27" t="str">
        <f>IF(C115="","","【"&amp;"活动时间："&amp;固定信息!$B$3&amp;"】")</f>
        <v/>
      </c>
      <c r="H115" s="27" t="str">
        <f>IF($C115="","",固定信息!$B$1)</f>
        <v/>
      </c>
      <c r="I115" s="27" t="str">
        <f>IF(OR(C115="",固定信息!$B$5=""),"","【1元预约锁好礼】"&amp;固定信息!$B$5)</f>
        <v/>
      </c>
      <c r="J115" s="27" t="str" cm="1">
        <f t="array" ref="J115">_xlfn.XLOOKUP($A115&amp;$B115&amp;$C115,价格信息!$A:$A&amp;价格信息!$B:$B&amp;价格信息!$C:$C,价格信息!$D:$D)</f>
        <v/>
      </c>
      <c r="K115" s="27" t="str">
        <f>IF($C115="","",固定信息!$B$1)</f>
        <v/>
      </c>
      <c r="L115" s="27" t="str" cm="1">
        <f t="array" ref="L115">IF(_xlfn.XLOOKUP($A115&amp;$B115&amp;$C115,盘货信息!$A:$A&amp;盘货信息!$B:$B&amp;盘货信息!$C:$C,盘货信息!$T:$T)="","","【优惠券】领"&amp;_xlfn.XLOOKUP($A115&amp;$B115&amp;$C115,盘货信息!$A:$A&amp;盘货信息!$B:$B&amp;盘货信息!$C:$C,盘货信息!$T:$T)&amp;"元优惠卷下单更优惠，领券链接："&amp;_xlfn.XLOOKUP($A115&amp;$B115&amp;$C115,盘货信息!$A:$A&amp;盘货信息!$B:$B&amp;盘货信息!$C:$C,盘货信息!$U:$U))</f>
        <v/>
      </c>
      <c r="M115" s="27" t="str" cm="1">
        <f t="array" ref="M115">IF(_xlfn.XLOOKUP($A115&amp;$B115&amp;$C115,盘货信息!$A:$A&amp;盘货信息!$B:$B&amp;盘货信息!$C:$C,盘货信息!$P:$P)="","","【限时】"&amp;_xlfn.XLOOKUP($A115&amp;$B115&amp;$C115,盘货信息!$A:$A&amp;盘货信息!$B:$B&amp;盘货信息!$C:$C,盘货信息!$P:$P))</f>
        <v/>
      </c>
      <c r="N115" s="27" t="str" cm="1">
        <f t="array" ref="N115">IF(_xlfn.XLOOKUP($A115&amp;$B115&amp;$C115,盘货信息!$A:$A&amp;盘货信息!$B:$B&amp;盘货信息!$C:$C,盘货信息!$V:$V)="","","【"&amp;盘货信息!$V$1&amp;"】"&amp;_xlfn.XLOOKUP($A115&amp;$B115&amp;$C115,盘货信息!$A:$A&amp;盘货信息!$B:$B&amp;盘货信息!$C:$C,盘货信息!$V:$V))</f>
        <v/>
      </c>
      <c r="O115" s="27" t="str" cm="1">
        <f t="array" ref="O115">IF(_xlfn.XLOOKUP($A115&amp;$B115&amp;$C115,盘货信息!$A:$A&amp;盘货信息!$B:$B&amp;盘货信息!$C:$C,盘货信息!$W:$W)="","","【"&amp;盘货信息!$W$1&amp;"】"&amp;_xlfn.XLOOKUP($A115&amp;$B115&amp;$C115,盘货信息!$A:$A&amp;盘货信息!$B:$B&amp;盘货信息!$C:$C,盘货信息!$W:$W))</f>
        <v/>
      </c>
      <c r="P115" s="27" t="str" cm="1">
        <f t="array" ref="P115">IF(_xlfn.XLOOKUP($A115&amp;$B115&amp;$C115,盘货信息!$A:$A&amp;盘货信息!$B:$B&amp;盘货信息!$C:$C,盘货信息!$S:$S)&lt;1,"","【"&amp;盘货信息!$S$1&amp;"】"&amp;"后返"&amp;_xlfn.XLOOKUP($A115&amp;$B115&amp;$C115,盘货信息!$A:$A&amp;盘货信息!$B:$B&amp;盘货信息!$C:$C,盘货信息!$S:$S)&amp;"元")</f>
        <v/>
      </c>
      <c r="Q115" s="27" t="str" cm="1">
        <f t="array" ref="Q115">IF(_xlfn.XLOOKUP($A115&amp;$B115&amp;$C115,盘货信息!$A:$A&amp;盘货信息!$B:$B&amp;盘货信息!$C:$C,盘货信息!$X:$X)="","","【"&amp;盘货信息!$X$1&amp;"】"&amp;_xlfn.XLOOKUP($A115&amp;$B115&amp;$C115,盘货信息!$A:$A&amp;盘货信息!$B:$B&amp;盘货信息!$C:$C,盘货信息!$X:$X))</f>
        <v/>
      </c>
      <c r="R115" s="27" t="str" cm="1">
        <f t="array" ref="R115">IF(_xlfn.XLOOKUP($A115&amp;$B115&amp;$C115,盘货信息!$A:$A&amp;盘货信息!$B:$B&amp;盘货信息!$C:$C,盘货信息!$Z:$Z)="","","【"&amp;盘货信息!$Z$1&amp;"】"&amp;_xlfn.XLOOKUP($A115&amp;$B115&amp;$C115,盘货信息!$A:$A&amp;盘货信息!$B:$B&amp;盘货信息!$C:$C,盘货信息!$Z:$Z))</f>
        <v/>
      </c>
      <c r="S115" s="27" t="str" cm="1">
        <f t="array" ref="S115">IF(_xlfn.XLOOKUP($A115&amp;$B115&amp;$C115,盘货信息!$A:$A&amp;盘货信息!$B:$B&amp;盘货信息!$C:$C,盘货信息!$Q:$Q)="","","【种草】站外带指定话题种草后返"&amp;_xlfn.XLOOKUP($A115&amp;$B115&amp;$C115,盘货信息!$A:$A&amp;盘货信息!$B:$B&amp;盘货信息!$C:$C,盘货信息!$Q:$Q)&amp;"元红包（每个淘宝账号仅限对应一个站外种草账号，同一个种草账号不可对应多个淘宝账号）")</f>
        <v/>
      </c>
      <c r="T115" s="27" t="str" cm="1">
        <f t="array" ref="T115">IF(_xlfn.XLOOKUP($A115&amp;$B115&amp;$C115,盘货信息!$A:$A&amp;盘货信息!$B:$B&amp;盘货信息!$C:$C,盘货信息!$R:$R)&lt;1,"","【以旧换新】"&amp;"享补贴"&amp;ROUND(_xlfn.XLOOKUP($A115&amp;$B115&amp;$C115,盘货信息!$A:$A&amp;盘货信息!$B:$B&amp;盘货信息!$C:$C,盘货信息!$R:$R),0)&amp;"元（可无旧机换新）")</f>
        <v/>
      </c>
      <c r="U115" s="27" t="str">
        <f>IF(AND($N115="",$O115="",$P115="",$Q115="",$R115="",$S115="",$T115=""),"",固定信息!$B$1)</f>
        <v/>
      </c>
      <c r="V115" s="27" t="str" cm="1">
        <f t="array" ref="V115">IF(_xlfn.XLOOKUP($A115&amp;$B115&amp;$C115,盘货信息!$A:$A&amp;盘货信息!$B:$B&amp;盘货信息!$C:$C,盘货信息!$Y:$Y)="","","【卡萨帝送赠】活动指定时间"&amp;_xlfn.TEXTBEFORE(_xlfn.TEXTAFTER(_xlfn.XLOOKUP($A115&amp;$B115&amp;$C115,盘货信息!$A:$A&amp;盘货信息!$B:$B&amp;盘货信息!$C:$C,盘货信息!$Y:$Y),"点"),"（"))</f>
        <v/>
      </c>
      <c r="W115" s="27" t="str" cm="1">
        <f t="array" ref="W115">IF(COUNTIF(_xlfn.XLOOKUP($A115&amp;$B115&amp;$C115,盘货信息!$A:$A&amp;盘货信息!$B:$B&amp;盘货信息!$C:$C,盘货信息!$O:$O),"*是*"),"【折扣】指定型号满2类享96折，满3类享94折","")</f>
        <v/>
      </c>
      <c r="X115" s="27" t="str" cm="1">
        <f t="array" ref="X115">IF(固定信息!$B$7="","",IF(_xlfn.XLOOKUP($A115&amp;$B115&amp;$C115,盘货信息!$A:$A&amp;盘货信息!$B:$B&amp;盘货信息!$C:$C,盘货信息!$N:$N)="是","【瓜分】"&amp;固定信息!$B$7,""))</f>
        <v/>
      </c>
      <c r="Y115" s="27" t="str">
        <f>IF(AND($V115="",$W115="",$X115=""),"",固定信息!$B$1)</f>
        <v/>
      </c>
      <c r="Z115" s="27" t="str" cm="1">
        <f t="array" ref="Z115">IF($C115="","",_xlfn.XLOOKUP($A115&amp;$B115&amp;$C115,服务!$A:$A&amp;服务!$B:$B&amp;服务!$C:$C,服务!$D:$D))</f>
        <v/>
      </c>
    </row>
    <row r="116" customHeight="1" spans="1:26">
      <c r="A116" s="26" t="str">
        <f>IF(盘货信息!A116="","",盘货信息!A116)</f>
        <v/>
      </c>
      <c r="B116" s="26" t="str">
        <f>IF(盘货信息!B116="","",盘货信息!B116)</f>
        <v/>
      </c>
      <c r="C116" s="26" t="str">
        <f>IF(盘货信息!C116="","",盘货信息!C116)</f>
        <v/>
      </c>
      <c r="D116" s="27" t="str">
        <f ca="1" t="shared" si="1"/>
        <v/>
      </c>
      <c r="E116" s="27" t="str">
        <f>IF(C116="","",固定信息!$B$2)</f>
        <v/>
      </c>
      <c r="F116" s="27" t="str">
        <f>IF(C116="","","【"&amp;C116&amp;"】"&amp;固定信息!$B$4)</f>
        <v/>
      </c>
      <c r="G116" s="27" t="str">
        <f>IF(C116="","","【"&amp;"活动时间："&amp;固定信息!$B$3&amp;"】")</f>
        <v/>
      </c>
      <c r="H116" s="27" t="str">
        <f>IF($C116="","",固定信息!$B$1)</f>
        <v/>
      </c>
      <c r="I116" s="27" t="str">
        <f>IF(OR(C116="",固定信息!$B$5=""),"","【1元预约锁好礼】"&amp;固定信息!$B$5)</f>
        <v/>
      </c>
      <c r="J116" s="27" t="str" cm="1">
        <f t="array" ref="J116">_xlfn.XLOOKUP($A116&amp;$B116&amp;$C116,价格信息!$A:$A&amp;价格信息!$B:$B&amp;价格信息!$C:$C,价格信息!$D:$D)</f>
        <v/>
      </c>
      <c r="K116" s="27" t="str">
        <f>IF($C116="","",固定信息!$B$1)</f>
        <v/>
      </c>
      <c r="L116" s="27" t="str" cm="1">
        <f t="array" ref="L116">IF(_xlfn.XLOOKUP($A116&amp;$B116&amp;$C116,盘货信息!$A:$A&amp;盘货信息!$B:$B&amp;盘货信息!$C:$C,盘货信息!$T:$T)="","","【优惠券】领"&amp;_xlfn.XLOOKUP($A116&amp;$B116&amp;$C116,盘货信息!$A:$A&amp;盘货信息!$B:$B&amp;盘货信息!$C:$C,盘货信息!$T:$T)&amp;"元优惠卷下单更优惠，领券链接："&amp;_xlfn.XLOOKUP($A116&amp;$B116&amp;$C116,盘货信息!$A:$A&amp;盘货信息!$B:$B&amp;盘货信息!$C:$C,盘货信息!$U:$U))</f>
        <v/>
      </c>
      <c r="M116" s="27" t="str" cm="1">
        <f t="array" ref="M116">IF(_xlfn.XLOOKUP($A116&amp;$B116&amp;$C116,盘货信息!$A:$A&amp;盘货信息!$B:$B&amp;盘货信息!$C:$C,盘货信息!$P:$P)="","","【限时】"&amp;_xlfn.XLOOKUP($A116&amp;$B116&amp;$C116,盘货信息!$A:$A&amp;盘货信息!$B:$B&amp;盘货信息!$C:$C,盘货信息!$P:$P))</f>
        <v/>
      </c>
      <c r="N116" s="27" t="str" cm="1">
        <f t="array" ref="N116">IF(_xlfn.XLOOKUP($A116&amp;$B116&amp;$C116,盘货信息!$A:$A&amp;盘货信息!$B:$B&amp;盘货信息!$C:$C,盘货信息!$V:$V)="","","【"&amp;盘货信息!$V$1&amp;"】"&amp;_xlfn.XLOOKUP($A116&amp;$B116&amp;$C116,盘货信息!$A:$A&amp;盘货信息!$B:$B&amp;盘货信息!$C:$C,盘货信息!$V:$V))</f>
        <v/>
      </c>
      <c r="O116" s="27" t="str" cm="1">
        <f t="array" ref="O116">IF(_xlfn.XLOOKUP($A116&amp;$B116&amp;$C116,盘货信息!$A:$A&amp;盘货信息!$B:$B&amp;盘货信息!$C:$C,盘货信息!$W:$W)="","","【"&amp;盘货信息!$W$1&amp;"】"&amp;_xlfn.XLOOKUP($A116&amp;$B116&amp;$C116,盘货信息!$A:$A&amp;盘货信息!$B:$B&amp;盘货信息!$C:$C,盘货信息!$W:$W))</f>
        <v/>
      </c>
      <c r="P116" s="27" t="str" cm="1">
        <f t="array" ref="P116">IF(_xlfn.XLOOKUP($A116&amp;$B116&amp;$C116,盘货信息!$A:$A&amp;盘货信息!$B:$B&amp;盘货信息!$C:$C,盘货信息!$S:$S)&lt;1,"","【"&amp;盘货信息!$S$1&amp;"】"&amp;"后返"&amp;_xlfn.XLOOKUP($A116&amp;$B116&amp;$C116,盘货信息!$A:$A&amp;盘货信息!$B:$B&amp;盘货信息!$C:$C,盘货信息!$S:$S)&amp;"元")</f>
        <v/>
      </c>
      <c r="Q116" s="27" t="str" cm="1">
        <f t="array" ref="Q116">IF(_xlfn.XLOOKUP($A116&amp;$B116&amp;$C116,盘货信息!$A:$A&amp;盘货信息!$B:$B&amp;盘货信息!$C:$C,盘货信息!$X:$X)="","","【"&amp;盘货信息!$X$1&amp;"】"&amp;_xlfn.XLOOKUP($A116&amp;$B116&amp;$C116,盘货信息!$A:$A&amp;盘货信息!$B:$B&amp;盘货信息!$C:$C,盘货信息!$X:$X))</f>
        <v/>
      </c>
      <c r="R116" s="27" t="str" cm="1">
        <f t="array" ref="R116">IF(_xlfn.XLOOKUP($A116&amp;$B116&amp;$C116,盘货信息!$A:$A&amp;盘货信息!$B:$B&amp;盘货信息!$C:$C,盘货信息!$Z:$Z)="","","【"&amp;盘货信息!$Z$1&amp;"】"&amp;_xlfn.XLOOKUP($A116&amp;$B116&amp;$C116,盘货信息!$A:$A&amp;盘货信息!$B:$B&amp;盘货信息!$C:$C,盘货信息!$Z:$Z))</f>
        <v/>
      </c>
      <c r="S116" s="27" t="str" cm="1">
        <f t="array" ref="S116">IF(_xlfn.XLOOKUP($A116&amp;$B116&amp;$C116,盘货信息!$A:$A&amp;盘货信息!$B:$B&amp;盘货信息!$C:$C,盘货信息!$Q:$Q)="","","【种草】站外带指定话题种草后返"&amp;_xlfn.XLOOKUP($A116&amp;$B116&amp;$C116,盘货信息!$A:$A&amp;盘货信息!$B:$B&amp;盘货信息!$C:$C,盘货信息!$Q:$Q)&amp;"元红包（每个淘宝账号仅限对应一个站外种草账号，同一个种草账号不可对应多个淘宝账号）")</f>
        <v/>
      </c>
      <c r="T116" s="27" t="str" cm="1">
        <f t="array" ref="T116">IF(_xlfn.XLOOKUP($A116&amp;$B116&amp;$C116,盘货信息!$A:$A&amp;盘货信息!$B:$B&amp;盘货信息!$C:$C,盘货信息!$R:$R)&lt;1,"","【以旧换新】"&amp;"享补贴"&amp;ROUND(_xlfn.XLOOKUP($A116&amp;$B116&amp;$C116,盘货信息!$A:$A&amp;盘货信息!$B:$B&amp;盘货信息!$C:$C,盘货信息!$R:$R),0)&amp;"元（可无旧机换新）")</f>
        <v/>
      </c>
      <c r="U116" s="27" t="str">
        <f>IF(AND($N116="",$O116="",$P116="",$Q116="",$R116="",$S116="",$T116=""),"",固定信息!$B$1)</f>
        <v/>
      </c>
      <c r="V116" s="27" t="str" cm="1">
        <f t="array" ref="V116">IF(_xlfn.XLOOKUP($A116&amp;$B116&amp;$C116,盘货信息!$A:$A&amp;盘货信息!$B:$B&amp;盘货信息!$C:$C,盘货信息!$Y:$Y)="","","【卡萨帝送赠】活动指定时间"&amp;_xlfn.TEXTBEFORE(_xlfn.TEXTAFTER(_xlfn.XLOOKUP($A116&amp;$B116&amp;$C116,盘货信息!$A:$A&amp;盘货信息!$B:$B&amp;盘货信息!$C:$C,盘货信息!$Y:$Y),"点"),"（"))</f>
        <v/>
      </c>
      <c r="W116" s="27" t="str" cm="1">
        <f t="array" ref="W116">IF(COUNTIF(_xlfn.XLOOKUP($A116&amp;$B116&amp;$C116,盘货信息!$A:$A&amp;盘货信息!$B:$B&amp;盘货信息!$C:$C,盘货信息!$O:$O),"*是*"),"【折扣】指定型号满2类享96折，满3类享94折","")</f>
        <v/>
      </c>
      <c r="X116" s="27" t="str" cm="1">
        <f t="array" ref="X116">IF(固定信息!$B$7="","",IF(_xlfn.XLOOKUP($A116&amp;$B116&amp;$C116,盘货信息!$A:$A&amp;盘货信息!$B:$B&amp;盘货信息!$C:$C,盘货信息!$N:$N)="是","【瓜分】"&amp;固定信息!$B$7,""))</f>
        <v/>
      </c>
      <c r="Y116" s="27" t="str">
        <f>IF(AND($V116="",$W116="",$X116=""),"",固定信息!$B$1)</f>
        <v/>
      </c>
      <c r="Z116" s="27" t="str" cm="1">
        <f t="array" ref="Z116">IF($C116="","",_xlfn.XLOOKUP($A116&amp;$B116&amp;$C116,服务!$A:$A&amp;服务!$B:$B&amp;服务!$C:$C,服务!$D:$D))</f>
        <v/>
      </c>
    </row>
    <row r="117" customHeight="1" spans="1:26">
      <c r="A117" s="26" t="str">
        <f>IF(盘货信息!A117="","",盘货信息!A117)</f>
        <v/>
      </c>
      <c r="B117" s="26" t="str">
        <f>IF(盘货信息!B117="","",盘货信息!B117)</f>
        <v/>
      </c>
      <c r="C117" s="20" t="str">
        <f>IF(盘货信息!C117="","",盘货信息!C117)</f>
        <v/>
      </c>
      <c r="D117" s="27" t="str">
        <f ca="1" t="shared" si="1"/>
        <v/>
      </c>
      <c r="E117" s="27" t="str">
        <f>IF(C117="","",固定信息!$B$2)</f>
        <v/>
      </c>
      <c r="F117" s="27" t="str">
        <f>IF(C117="","","【"&amp;C117&amp;"】"&amp;固定信息!$B$4)</f>
        <v/>
      </c>
      <c r="G117" s="27" t="str">
        <f>IF(C117="","","【"&amp;"活动时间："&amp;固定信息!$B$3&amp;"】")</f>
        <v/>
      </c>
      <c r="H117" s="27" t="str">
        <f>IF($C117="","",固定信息!$B$1)</f>
        <v/>
      </c>
      <c r="I117" s="27" t="str">
        <f>IF(OR(C117="",固定信息!$B$5=""),"","【1元预约锁好礼】"&amp;固定信息!$B$5)</f>
        <v/>
      </c>
      <c r="J117" s="27" t="str" cm="1">
        <f t="array" ref="J117">_xlfn.XLOOKUP($A117&amp;$B117&amp;$C117,价格信息!$A:$A&amp;价格信息!$B:$B&amp;价格信息!$C:$C,价格信息!$D:$D)</f>
        <v/>
      </c>
      <c r="K117" s="27" t="str">
        <f>IF($C117="","",固定信息!$B$1)</f>
        <v/>
      </c>
      <c r="L117" s="27" t="str" cm="1">
        <f t="array" ref="L117">IF(_xlfn.XLOOKUP($A117&amp;$B117&amp;$C117,盘货信息!$A:$A&amp;盘货信息!$B:$B&amp;盘货信息!$C:$C,盘货信息!$T:$T)="","","【优惠券】领"&amp;_xlfn.XLOOKUP($A117&amp;$B117&amp;$C117,盘货信息!$A:$A&amp;盘货信息!$B:$B&amp;盘货信息!$C:$C,盘货信息!$T:$T)&amp;"元优惠卷下单更优惠，领券链接："&amp;_xlfn.XLOOKUP($A117&amp;$B117&amp;$C117,盘货信息!$A:$A&amp;盘货信息!$B:$B&amp;盘货信息!$C:$C,盘货信息!$U:$U))</f>
        <v/>
      </c>
      <c r="M117" s="27" t="str" cm="1">
        <f t="array" ref="M117">IF(_xlfn.XLOOKUP($A117&amp;$B117&amp;$C117,盘货信息!$A:$A&amp;盘货信息!$B:$B&amp;盘货信息!$C:$C,盘货信息!$P:$P)="","","【限时】"&amp;_xlfn.XLOOKUP($A117&amp;$B117&amp;$C117,盘货信息!$A:$A&amp;盘货信息!$B:$B&amp;盘货信息!$C:$C,盘货信息!$P:$P))</f>
        <v/>
      </c>
      <c r="N117" s="27" t="str" cm="1">
        <f t="array" ref="N117">IF(_xlfn.XLOOKUP($A117&amp;$B117&amp;$C117,盘货信息!$A:$A&amp;盘货信息!$B:$B&amp;盘货信息!$C:$C,盘货信息!$V:$V)="","","【"&amp;盘货信息!$V$1&amp;"】"&amp;_xlfn.XLOOKUP($A117&amp;$B117&amp;$C117,盘货信息!$A:$A&amp;盘货信息!$B:$B&amp;盘货信息!$C:$C,盘货信息!$V:$V))</f>
        <v/>
      </c>
      <c r="O117" s="27" t="str" cm="1">
        <f t="array" ref="O117">IF(_xlfn.XLOOKUP($A117&amp;$B117&amp;$C117,盘货信息!$A:$A&amp;盘货信息!$B:$B&amp;盘货信息!$C:$C,盘货信息!$W:$W)="","","【"&amp;盘货信息!$W$1&amp;"】"&amp;_xlfn.XLOOKUP($A117&amp;$B117&amp;$C117,盘货信息!$A:$A&amp;盘货信息!$B:$B&amp;盘货信息!$C:$C,盘货信息!$W:$W))</f>
        <v/>
      </c>
      <c r="P117" s="27" t="str" cm="1">
        <f t="array" ref="P117">IF(_xlfn.XLOOKUP($A117&amp;$B117&amp;$C117,盘货信息!$A:$A&amp;盘货信息!$B:$B&amp;盘货信息!$C:$C,盘货信息!$S:$S)&lt;1,"","【"&amp;盘货信息!$S$1&amp;"】"&amp;"后返"&amp;_xlfn.XLOOKUP($A117&amp;$B117&amp;$C117,盘货信息!$A:$A&amp;盘货信息!$B:$B&amp;盘货信息!$C:$C,盘货信息!$S:$S)&amp;"元")</f>
        <v/>
      </c>
      <c r="Q117" s="27" t="str" cm="1">
        <f t="array" ref="Q117">IF(_xlfn.XLOOKUP($A117&amp;$B117&amp;$C117,盘货信息!$A:$A&amp;盘货信息!$B:$B&amp;盘货信息!$C:$C,盘货信息!$X:$X)="","","【"&amp;盘货信息!$X$1&amp;"】"&amp;_xlfn.XLOOKUP($A117&amp;$B117&amp;$C117,盘货信息!$A:$A&amp;盘货信息!$B:$B&amp;盘货信息!$C:$C,盘货信息!$X:$X))</f>
        <v/>
      </c>
      <c r="R117" s="27" t="str" cm="1">
        <f t="array" ref="R117">IF(_xlfn.XLOOKUP($A117&amp;$B117&amp;$C117,盘货信息!$A:$A&amp;盘货信息!$B:$B&amp;盘货信息!$C:$C,盘货信息!$Z:$Z)="","","【"&amp;盘货信息!$Z$1&amp;"】"&amp;_xlfn.XLOOKUP($A117&amp;$B117&amp;$C117,盘货信息!$A:$A&amp;盘货信息!$B:$B&amp;盘货信息!$C:$C,盘货信息!$Z:$Z))</f>
        <v/>
      </c>
      <c r="S117" s="27" t="str" cm="1">
        <f t="array" ref="S117">IF(_xlfn.XLOOKUP($A117&amp;$B117&amp;$C117,盘货信息!$A:$A&amp;盘货信息!$B:$B&amp;盘货信息!$C:$C,盘货信息!$Q:$Q)="","","【种草】站外带指定话题种草后返"&amp;_xlfn.XLOOKUP($A117&amp;$B117&amp;$C117,盘货信息!$A:$A&amp;盘货信息!$B:$B&amp;盘货信息!$C:$C,盘货信息!$Q:$Q)&amp;"元红包（每个淘宝账号仅限对应一个站外种草账号，同一个种草账号不可对应多个淘宝账号）")</f>
        <v/>
      </c>
      <c r="T117" s="27" t="str" cm="1">
        <f t="array" ref="T117">IF(_xlfn.XLOOKUP($A117&amp;$B117&amp;$C117,盘货信息!$A:$A&amp;盘货信息!$B:$B&amp;盘货信息!$C:$C,盘货信息!$R:$R)&lt;1,"","【以旧换新】"&amp;"享补贴"&amp;ROUND(_xlfn.XLOOKUP($A117&amp;$B117&amp;$C117,盘货信息!$A:$A&amp;盘货信息!$B:$B&amp;盘货信息!$C:$C,盘货信息!$R:$R),0)&amp;"元（可无旧机换新）")</f>
        <v/>
      </c>
      <c r="U117" s="27" t="str">
        <f>IF(AND($N117="",$O117="",$P117="",$Q117="",$R117="",$S117="",$T117=""),"",固定信息!$B$1)</f>
        <v/>
      </c>
      <c r="V117" s="27" t="str" cm="1">
        <f t="array" ref="V117">IF(_xlfn.XLOOKUP($A117&amp;$B117&amp;$C117,盘货信息!$A:$A&amp;盘货信息!$B:$B&amp;盘货信息!$C:$C,盘货信息!$Y:$Y)="","","【卡萨帝送赠】活动指定时间"&amp;_xlfn.TEXTBEFORE(_xlfn.TEXTAFTER(_xlfn.XLOOKUP($A117&amp;$B117&amp;$C117,盘货信息!$A:$A&amp;盘货信息!$B:$B&amp;盘货信息!$C:$C,盘货信息!$Y:$Y),"点"),"（"))</f>
        <v/>
      </c>
      <c r="W117" s="27" t="str" cm="1">
        <f t="array" ref="W117">IF(COUNTIF(_xlfn.XLOOKUP($A117&amp;$B117&amp;$C117,盘货信息!$A:$A&amp;盘货信息!$B:$B&amp;盘货信息!$C:$C,盘货信息!$O:$O),"*是*"),"【折扣】指定型号满2类享96折，满3类享94折","")</f>
        <v/>
      </c>
      <c r="X117" s="27" t="str" cm="1">
        <f t="array" ref="X117">IF(固定信息!$B$7="","",IF(_xlfn.XLOOKUP($A117&amp;$B117&amp;$C117,盘货信息!$A:$A&amp;盘货信息!$B:$B&amp;盘货信息!$C:$C,盘货信息!$N:$N)="是","【瓜分】"&amp;固定信息!$B$7,""))</f>
        <v/>
      </c>
      <c r="Y117" s="27" t="str">
        <f>IF(AND($V117="",$W117="",$X117=""),"",固定信息!$B$1)</f>
        <v/>
      </c>
      <c r="Z117" s="27" t="str" cm="1">
        <f t="array" ref="Z117">IF($C117="","",_xlfn.XLOOKUP($A117&amp;$B117&amp;$C117,服务!$A:$A&amp;服务!$B:$B&amp;服务!$C:$C,服务!$D:$D))</f>
        <v/>
      </c>
    </row>
    <row r="118" customHeight="1" spans="1:26">
      <c r="A118" s="26" t="str">
        <f>IF(盘货信息!A118="","",盘货信息!A118)</f>
        <v/>
      </c>
      <c r="B118" s="26" t="str">
        <f>IF(盘货信息!B118="","",盘货信息!B118)</f>
        <v/>
      </c>
      <c r="C118" s="26" t="str">
        <f>IF(盘货信息!C118="","",盘货信息!C118)</f>
        <v/>
      </c>
      <c r="D118" s="27" t="str">
        <f ca="1" t="shared" si="1"/>
        <v/>
      </c>
      <c r="E118" s="27" t="str">
        <f>IF(C118="","",固定信息!$B$2)</f>
        <v/>
      </c>
      <c r="F118" s="27" t="str">
        <f>IF(C118="","","【"&amp;C118&amp;"】"&amp;固定信息!$B$4)</f>
        <v/>
      </c>
      <c r="G118" s="27" t="str">
        <f>IF(C118="","","【"&amp;"活动时间："&amp;固定信息!$B$3&amp;"】")</f>
        <v/>
      </c>
      <c r="H118" s="27" t="str">
        <f>IF($C118="","",固定信息!$B$1)</f>
        <v/>
      </c>
      <c r="I118" s="27" t="str">
        <f>IF(OR(C118="",固定信息!$B$5=""),"","【1元预约锁好礼】"&amp;固定信息!$B$5)</f>
        <v/>
      </c>
      <c r="J118" s="27" t="str" cm="1">
        <f t="array" ref="J118">_xlfn.XLOOKUP($A118&amp;$B118&amp;$C118,价格信息!$A:$A&amp;价格信息!$B:$B&amp;价格信息!$C:$C,价格信息!$D:$D)</f>
        <v/>
      </c>
      <c r="K118" s="27" t="str">
        <f>IF($C118="","",固定信息!$B$1)</f>
        <v/>
      </c>
      <c r="L118" s="27" t="str" cm="1">
        <f t="array" ref="L118">IF(_xlfn.XLOOKUP($A118&amp;$B118&amp;$C118,盘货信息!$A:$A&amp;盘货信息!$B:$B&amp;盘货信息!$C:$C,盘货信息!$T:$T)="","","【优惠券】领"&amp;_xlfn.XLOOKUP($A118&amp;$B118&amp;$C118,盘货信息!$A:$A&amp;盘货信息!$B:$B&amp;盘货信息!$C:$C,盘货信息!$T:$T)&amp;"元优惠卷下单更优惠，领券链接："&amp;_xlfn.XLOOKUP($A118&amp;$B118&amp;$C118,盘货信息!$A:$A&amp;盘货信息!$B:$B&amp;盘货信息!$C:$C,盘货信息!$U:$U))</f>
        <v/>
      </c>
      <c r="M118" s="27" t="str" cm="1">
        <f t="array" ref="M118">IF(_xlfn.XLOOKUP($A118&amp;$B118&amp;$C118,盘货信息!$A:$A&amp;盘货信息!$B:$B&amp;盘货信息!$C:$C,盘货信息!$P:$P)="","","【限时】"&amp;_xlfn.XLOOKUP($A118&amp;$B118&amp;$C118,盘货信息!$A:$A&amp;盘货信息!$B:$B&amp;盘货信息!$C:$C,盘货信息!$P:$P))</f>
        <v/>
      </c>
      <c r="N118" s="27" t="str" cm="1">
        <f t="array" ref="N118">IF(_xlfn.XLOOKUP($A118&amp;$B118&amp;$C118,盘货信息!$A:$A&amp;盘货信息!$B:$B&amp;盘货信息!$C:$C,盘货信息!$V:$V)="","","【"&amp;盘货信息!$V$1&amp;"】"&amp;_xlfn.XLOOKUP($A118&amp;$B118&amp;$C118,盘货信息!$A:$A&amp;盘货信息!$B:$B&amp;盘货信息!$C:$C,盘货信息!$V:$V))</f>
        <v/>
      </c>
      <c r="O118" s="27" t="str" cm="1">
        <f t="array" ref="O118">IF(_xlfn.XLOOKUP($A118&amp;$B118&amp;$C118,盘货信息!$A:$A&amp;盘货信息!$B:$B&amp;盘货信息!$C:$C,盘货信息!$W:$W)="","","【"&amp;盘货信息!$W$1&amp;"】"&amp;_xlfn.XLOOKUP($A118&amp;$B118&amp;$C118,盘货信息!$A:$A&amp;盘货信息!$B:$B&amp;盘货信息!$C:$C,盘货信息!$W:$W))</f>
        <v/>
      </c>
      <c r="P118" s="27" t="str" cm="1">
        <f t="array" ref="P118">IF(_xlfn.XLOOKUP($A118&amp;$B118&amp;$C118,盘货信息!$A:$A&amp;盘货信息!$B:$B&amp;盘货信息!$C:$C,盘货信息!$S:$S)&lt;1,"","【"&amp;盘货信息!$S$1&amp;"】"&amp;"后返"&amp;_xlfn.XLOOKUP($A118&amp;$B118&amp;$C118,盘货信息!$A:$A&amp;盘货信息!$B:$B&amp;盘货信息!$C:$C,盘货信息!$S:$S)&amp;"元")</f>
        <v/>
      </c>
      <c r="Q118" s="27" t="str" cm="1">
        <f t="array" ref="Q118">IF(_xlfn.XLOOKUP($A118&amp;$B118&amp;$C118,盘货信息!$A:$A&amp;盘货信息!$B:$B&amp;盘货信息!$C:$C,盘货信息!$X:$X)="","","【"&amp;盘货信息!$X$1&amp;"】"&amp;_xlfn.XLOOKUP($A118&amp;$B118&amp;$C118,盘货信息!$A:$A&amp;盘货信息!$B:$B&amp;盘货信息!$C:$C,盘货信息!$X:$X))</f>
        <v/>
      </c>
      <c r="R118" s="27" t="str" cm="1">
        <f t="array" ref="R118">IF(_xlfn.XLOOKUP($A118&amp;$B118&amp;$C118,盘货信息!$A:$A&amp;盘货信息!$B:$B&amp;盘货信息!$C:$C,盘货信息!$Z:$Z)="","","【"&amp;盘货信息!$Z$1&amp;"】"&amp;_xlfn.XLOOKUP($A118&amp;$B118&amp;$C118,盘货信息!$A:$A&amp;盘货信息!$B:$B&amp;盘货信息!$C:$C,盘货信息!$Z:$Z))</f>
        <v/>
      </c>
      <c r="S118" s="27" t="str" cm="1">
        <f t="array" ref="S118">IF(_xlfn.XLOOKUP($A118&amp;$B118&amp;$C118,盘货信息!$A:$A&amp;盘货信息!$B:$B&amp;盘货信息!$C:$C,盘货信息!$Q:$Q)="","","【种草】站外带指定话题种草后返"&amp;_xlfn.XLOOKUP($A118&amp;$B118&amp;$C118,盘货信息!$A:$A&amp;盘货信息!$B:$B&amp;盘货信息!$C:$C,盘货信息!$Q:$Q)&amp;"元红包（每个淘宝账号仅限对应一个站外种草账号，同一个种草账号不可对应多个淘宝账号）")</f>
        <v/>
      </c>
      <c r="T118" s="27" t="str" cm="1">
        <f t="array" ref="T118">IF(_xlfn.XLOOKUP($A118&amp;$B118&amp;$C118,盘货信息!$A:$A&amp;盘货信息!$B:$B&amp;盘货信息!$C:$C,盘货信息!$R:$R)&lt;1,"","【以旧换新】"&amp;"享补贴"&amp;ROUND(_xlfn.XLOOKUP($A118&amp;$B118&amp;$C118,盘货信息!$A:$A&amp;盘货信息!$B:$B&amp;盘货信息!$C:$C,盘货信息!$R:$R),0)&amp;"元（可无旧机换新）")</f>
        <v/>
      </c>
      <c r="U118" s="27" t="str">
        <f>IF(AND($N118="",$O118="",$P118="",$Q118="",$R118="",$S118="",$T118=""),"",固定信息!$B$1)</f>
        <v/>
      </c>
      <c r="V118" s="27" t="str" cm="1">
        <f t="array" ref="V118">IF(_xlfn.XLOOKUP($A118&amp;$B118&amp;$C118,盘货信息!$A:$A&amp;盘货信息!$B:$B&amp;盘货信息!$C:$C,盘货信息!$Y:$Y)="","","【卡萨帝送赠】活动指定时间"&amp;_xlfn.TEXTBEFORE(_xlfn.TEXTAFTER(_xlfn.XLOOKUP($A118&amp;$B118&amp;$C118,盘货信息!$A:$A&amp;盘货信息!$B:$B&amp;盘货信息!$C:$C,盘货信息!$Y:$Y),"点"),"（"))</f>
        <v/>
      </c>
      <c r="W118" s="27" t="str" cm="1">
        <f t="array" ref="W118">IF(COUNTIF(_xlfn.XLOOKUP($A118&amp;$B118&amp;$C118,盘货信息!$A:$A&amp;盘货信息!$B:$B&amp;盘货信息!$C:$C,盘货信息!$O:$O),"*是*"),"【折扣】指定型号满2类享96折，满3类享94折","")</f>
        <v/>
      </c>
      <c r="X118" s="27" t="str" cm="1">
        <f t="array" ref="X118">IF(固定信息!$B$7="","",IF(_xlfn.XLOOKUP($A118&amp;$B118&amp;$C118,盘货信息!$A:$A&amp;盘货信息!$B:$B&amp;盘货信息!$C:$C,盘货信息!$N:$N)="是","【瓜分】"&amp;固定信息!$B$7,""))</f>
        <v/>
      </c>
      <c r="Y118" s="27" t="str">
        <f>IF(AND($V118="",$W118="",$X118=""),"",固定信息!$B$1)</f>
        <v/>
      </c>
      <c r="Z118" s="27" t="str" cm="1">
        <f t="array" ref="Z118">IF($C118="","",_xlfn.XLOOKUP($A118&amp;$B118&amp;$C118,服务!$A:$A&amp;服务!$B:$B&amp;服务!$C:$C,服务!$D:$D))</f>
        <v/>
      </c>
    </row>
    <row r="119" customHeight="1" spans="1:26">
      <c r="A119" s="26" t="str">
        <f>IF(盘货信息!A119="","",盘货信息!A119)</f>
        <v/>
      </c>
      <c r="B119" s="26" t="str">
        <f>IF(盘货信息!B119="","",盘货信息!B119)</f>
        <v/>
      </c>
      <c r="C119" s="26" t="str">
        <f>IF(盘货信息!C119="","",盘货信息!C119)</f>
        <v/>
      </c>
      <c r="D119" s="27" t="str">
        <f ca="1" t="shared" si="1"/>
        <v/>
      </c>
      <c r="E119" s="27" t="str">
        <f>IF(C119="","",固定信息!$B$2)</f>
        <v/>
      </c>
      <c r="F119" s="27" t="str">
        <f>IF(C119="","","【"&amp;C119&amp;"】"&amp;固定信息!$B$4)</f>
        <v/>
      </c>
      <c r="G119" s="27" t="str">
        <f>IF(C119="","","【"&amp;"活动时间："&amp;固定信息!$B$3&amp;"】")</f>
        <v/>
      </c>
      <c r="H119" s="27" t="str">
        <f>IF($C119="","",固定信息!$B$1)</f>
        <v/>
      </c>
      <c r="I119" s="27" t="str">
        <f>IF(OR(C119="",固定信息!$B$5=""),"","【1元预约锁好礼】"&amp;固定信息!$B$5)</f>
        <v/>
      </c>
      <c r="J119" s="27" t="str" cm="1">
        <f t="array" ref="J119">_xlfn.XLOOKUP($A119&amp;$B119&amp;$C119,价格信息!$A:$A&amp;价格信息!$B:$B&amp;价格信息!$C:$C,价格信息!$D:$D)</f>
        <v/>
      </c>
      <c r="K119" s="27" t="str">
        <f>IF($C119="","",固定信息!$B$1)</f>
        <v/>
      </c>
      <c r="L119" s="27" t="str" cm="1">
        <f t="array" ref="L119">IF(_xlfn.XLOOKUP($A119&amp;$B119&amp;$C119,盘货信息!$A:$A&amp;盘货信息!$B:$B&amp;盘货信息!$C:$C,盘货信息!$T:$T)="","","【优惠券】领"&amp;_xlfn.XLOOKUP($A119&amp;$B119&amp;$C119,盘货信息!$A:$A&amp;盘货信息!$B:$B&amp;盘货信息!$C:$C,盘货信息!$T:$T)&amp;"元优惠卷下单更优惠，领券链接："&amp;_xlfn.XLOOKUP($A119&amp;$B119&amp;$C119,盘货信息!$A:$A&amp;盘货信息!$B:$B&amp;盘货信息!$C:$C,盘货信息!$U:$U))</f>
        <v/>
      </c>
      <c r="M119" s="27" t="str" cm="1">
        <f t="array" ref="M119">IF(_xlfn.XLOOKUP($A119&amp;$B119&amp;$C119,盘货信息!$A:$A&amp;盘货信息!$B:$B&amp;盘货信息!$C:$C,盘货信息!$P:$P)="","","【限时】"&amp;_xlfn.XLOOKUP($A119&amp;$B119&amp;$C119,盘货信息!$A:$A&amp;盘货信息!$B:$B&amp;盘货信息!$C:$C,盘货信息!$P:$P))</f>
        <v/>
      </c>
      <c r="N119" s="27" t="str" cm="1">
        <f t="array" ref="N119">IF(_xlfn.XLOOKUP($A119&amp;$B119&amp;$C119,盘货信息!$A:$A&amp;盘货信息!$B:$B&amp;盘货信息!$C:$C,盘货信息!$V:$V)="","","【"&amp;盘货信息!$V$1&amp;"】"&amp;_xlfn.XLOOKUP($A119&amp;$B119&amp;$C119,盘货信息!$A:$A&amp;盘货信息!$B:$B&amp;盘货信息!$C:$C,盘货信息!$V:$V))</f>
        <v/>
      </c>
      <c r="O119" s="27" t="str" cm="1">
        <f t="array" ref="O119">IF(_xlfn.XLOOKUP($A119&amp;$B119&amp;$C119,盘货信息!$A:$A&amp;盘货信息!$B:$B&amp;盘货信息!$C:$C,盘货信息!$W:$W)="","","【"&amp;盘货信息!$W$1&amp;"】"&amp;_xlfn.XLOOKUP($A119&amp;$B119&amp;$C119,盘货信息!$A:$A&amp;盘货信息!$B:$B&amp;盘货信息!$C:$C,盘货信息!$W:$W))</f>
        <v/>
      </c>
      <c r="P119" s="27" t="str" cm="1">
        <f t="array" ref="P119">IF(_xlfn.XLOOKUP($A119&amp;$B119&amp;$C119,盘货信息!$A:$A&amp;盘货信息!$B:$B&amp;盘货信息!$C:$C,盘货信息!$S:$S)&lt;1,"","【"&amp;盘货信息!$S$1&amp;"】"&amp;"后返"&amp;_xlfn.XLOOKUP($A119&amp;$B119&amp;$C119,盘货信息!$A:$A&amp;盘货信息!$B:$B&amp;盘货信息!$C:$C,盘货信息!$S:$S)&amp;"元")</f>
        <v/>
      </c>
      <c r="Q119" s="27" t="str" cm="1">
        <f t="array" ref="Q119">IF(_xlfn.XLOOKUP($A119&amp;$B119&amp;$C119,盘货信息!$A:$A&amp;盘货信息!$B:$B&amp;盘货信息!$C:$C,盘货信息!$X:$X)="","","【"&amp;盘货信息!$X$1&amp;"】"&amp;_xlfn.XLOOKUP($A119&amp;$B119&amp;$C119,盘货信息!$A:$A&amp;盘货信息!$B:$B&amp;盘货信息!$C:$C,盘货信息!$X:$X))</f>
        <v/>
      </c>
      <c r="R119" s="27" t="str" cm="1">
        <f t="array" ref="R119">IF(_xlfn.XLOOKUP($A119&amp;$B119&amp;$C119,盘货信息!$A:$A&amp;盘货信息!$B:$B&amp;盘货信息!$C:$C,盘货信息!$Z:$Z)="","","【"&amp;盘货信息!$Z$1&amp;"】"&amp;_xlfn.XLOOKUP($A119&amp;$B119&amp;$C119,盘货信息!$A:$A&amp;盘货信息!$B:$B&amp;盘货信息!$C:$C,盘货信息!$Z:$Z))</f>
        <v/>
      </c>
      <c r="S119" s="27" t="str" cm="1">
        <f t="array" ref="S119">IF(_xlfn.XLOOKUP($A119&amp;$B119&amp;$C119,盘货信息!$A:$A&amp;盘货信息!$B:$B&amp;盘货信息!$C:$C,盘货信息!$Q:$Q)="","","【种草】站外带指定话题种草后返"&amp;_xlfn.XLOOKUP($A119&amp;$B119&amp;$C119,盘货信息!$A:$A&amp;盘货信息!$B:$B&amp;盘货信息!$C:$C,盘货信息!$Q:$Q)&amp;"元红包（每个淘宝账号仅限对应一个站外种草账号，同一个种草账号不可对应多个淘宝账号）")</f>
        <v/>
      </c>
      <c r="T119" s="27" t="str" cm="1">
        <f t="array" ref="T119">IF(_xlfn.XLOOKUP($A119&amp;$B119&amp;$C119,盘货信息!$A:$A&amp;盘货信息!$B:$B&amp;盘货信息!$C:$C,盘货信息!$R:$R)&lt;1,"","【以旧换新】"&amp;"享补贴"&amp;ROUND(_xlfn.XLOOKUP($A119&amp;$B119&amp;$C119,盘货信息!$A:$A&amp;盘货信息!$B:$B&amp;盘货信息!$C:$C,盘货信息!$R:$R),0)&amp;"元（可无旧机换新）")</f>
        <v/>
      </c>
      <c r="U119" s="27" t="str">
        <f>IF(AND($N119="",$O119="",$P119="",$Q119="",$R119="",$S119="",$T119=""),"",固定信息!$B$1)</f>
        <v/>
      </c>
      <c r="V119" s="27" t="str" cm="1">
        <f t="array" ref="V119">IF(_xlfn.XLOOKUP($A119&amp;$B119&amp;$C119,盘货信息!$A:$A&amp;盘货信息!$B:$B&amp;盘货信息!$C:$C,盘货信息!$Y:$Y)="","","【卡萨帝送赠】活动指定时间"&amp;_xlfn.TEXTBEFORE(_xlfn.TEXTAFTER(_xlfn.XLOOKUP($A119&amp;$B119&amp;$C119,盘货信息!$A:$A&amp;盘货信息!$B:$B&amp;盘货信息!$C:$C,盘货信息!$Y:$Y),"点"),"（"))</f>
        <v/>
      </c>
      <c r="W119" s="27" t="str" cm="1">
        <f t="array" ref="W119">IF(COUNTIF(_xlfn.XLOOKUP($A119&amp;$B119&amp;$C119,盘货信息!$A:$A&amp;盘货信息!$B:$B&amp;盘货信息!$C:$C,盘货信息!$O:$O),"*是*"),"【折扣】指定型号满2类享96折，满3类享94折","")</f>
        <v/>
      </c>
      <c r="X119" s="27" t="str" cm="1">
        <f t="array" ref="X119">IF(固定信息!$B$7="","",IF(_xlfn.XLOOKUP($A119&amp;$B119&amp;$C119,盘货信息!$A:$A&amp;盘货信息!$B:$B&amp;盘货信息!$C:$C,盘货信息!$N:$N)="是","【瓜分】"&amp;固定信息!$B$7,""))</f>
        <v/>
      </c>
      <c r="Y119" s="27" t="str">
        <f>IF(AND($V119="",$W119="",$X119=""),"",固定信息!$B$1)</f>
        <v/>
      </c>
      <c r="Z119" s="27" t="str" cm="1">
        <f t="array" ref="Z119">IF($C119="","",_xlfn.XLOOKUP($A119&amp;$B119&amp;$C119,服务!$A:$A&amp;服务!$B:$B&amp;服务!$C:$C,服务!$D:$D))</f>
        <v/>
      </c>
    </row>
    <row r="120" customHeight="1" spans="1:26">
      <c r="A120" s="26" t="str">
        <f>IF(盘货信息!A120="","",盘货信息!A120)</f>
        <v/>
      </c>
      <c r="B120" s="26" t="str">
        <f>IF(盘货信息!B120="","",盘货信息!B120)</f>
        <v/>
      </c>
      <c r="C120" s="23" t="str">
        <f>IF(盘货信息!C120="","",盘货信息!C120)</f>
        <v/>
      </c>
      <c r="D120" s="27" t="str">
        <f ca="1" t="shared" si="1"/>
        <v/>
      </c>
      <c r="E120" s="27" t="str">
        <f>IF(C120="","",固定信息!$B$2)</f>
        <v/>
      </c>
      <c r="F120" s="27" t="str">
        <f>IF(C120="","","【"&amp;C120&amp;"】"&amp;固定信息!$B$4)</f>
        <v/>
      </c>
      <c r="G120" s="27" t="str">
        <f>IF(C120="","","【"&amp;"活动时间："&amp;固定信息!$B$3&amp;"】")</f>
        <v/>
      </c>
      <c r="H120" s="27" t="str">
        <f>IF($C120="","",固定信息!$B$1)</f>
        <v/>
      </c>
      <c r="I120" s="27" t="str">
        <f>IF(OR(C120="",固定信息!$B$5=""),"","【1元预约锁好礼】"&amp;固定信息!$B$5)</f>
        <v/>
      </c>
      <c r="J120" s="27" t="str" cm="1">
        <f t="array" ref="J120">_xlfn.XLOOKUP($A120&amp;$B120&amp;$C120,价格信息!$A:$A&amp;价格信息!$B:$B&amp;价格信息!$C:$C,价格信息!$D:$D)</f>
        <v/>
      </c>
      <c r="K120" s="27" t="str">
        <f>IF($C120="","",固定信息!$B$1)</f>
        <v/>
      </c>
      <c r="L120" s="27" t="str" cm="1">
        <f t="array" ref="L120">IF(_xlfn.XLOOKUP($A120&amp;$B120&amp;$C120,盘货信息!$A:$A&amp;盘货信息!$B:$B&amp;盘货信息!$C:$C,盘货信息!$T:$T)="","","【优惠券】领"&amp;_xlfn.XLOOKUP($A120&amp;$B120&amp;$C120,盘货信息!$A:$A&amp;盘货信息!$B:$B&amp;盘货信息!$C:$C,盘货信息!$T:$T)&amp;"元优惠卷下单更优惠，领券链接："&amp;_xlfn.XLOOKUP($A120&amp;$B120&amp;$C120,盘货信息!$A:$A&amp;盘货信息!$B:$B&amp;盘货信息!$C:$C,盘货信息!$U:$U))</f>
        <v/>
      </c>
      <c r="M120" s="27" t="str" cm="1">
        <f t="array" ref="M120">IF(_xlfn.XLOOKUP($A120&amp;$B120&amp;$C120,盘货信息!$A:$A&amp;盘货信息!$B:$B&amp;盘货信息!$C:$C,盘货信息!$P:$P)="","","【限时】"&amp;_xlfn.XLOOKUP($A120&amp;$B120&amp;$C120,盘货信息!$A:$A&amp;盘货信息!$B:$B&amp;盘货信息!$C:$C,盘货信息!$P:$P))</f>
        <v/>
      </c>
      <c r="N120" s="27" t="str" cm="1">
        <f t="array" ref="N120">IF(_xlfn.XLOOKUP($A120&amp;$B120&amp;$C120,盘货信息!$A:$A&amp;盘货信息!$B:$B&amp;盘货信息!$C:$C,盘货信息!$V:$V)="","","【"&amp;盘货信息!$V$1&amp;"】"&amp;_xlfn.XLOOKUP($A120&amp;$B120&amp;$C120,盘货信息!$A:$A&amp;盘货信息!$B:$B&amp;盘货信息!$C:$C,盘货信息!$V:$V))</f>
        <v/>
      </c>
      <c r="O120" s="27" t="str" cm="1">
        <f t="array" ref="O120">IF(_xlfn.XLOOKUP($A120&amp;$B120&amp;$C120,盘货信息!$A:$A&amp;盘货信息!$B:$B&amp;盘货信息!$C:$C,盘货信息!$W:$W)="","","【"&amp;盘货信息!$W$1&amp;"】"&amp;_xlfn.XLOOKUP($A120&amp;$B120&amp;$C120,盘货信息!$A:$A&amp;盘货信息!$B:$B&amp;盘货信息!$C:$C,盘货信息!$W:$W))</f>
        <v/>
      </c>
      <c r="P120" s="27" t="str" cm="1">
        <f t="array" ref="P120">IF(_xlfn.XLOOKUP($A120&amp;$B120&amp;$C120,盘货信息!$A:$A&amp;盘货信息!$B:$B&amp;盘货信息!$C:$C,盘货信息!$S:$S)&lt;1,"","【"&amp;盘货信息!$S$1&amp;"】"&amp;"后返"&amp;_xlfn.XLOOKUP($A120&amp;$B120&amp;$C120,盘货信息!$A:$A&amp;盘货信息!$B:$B&amp;盘货信息!$C:$C,盘货信息!$S:$S)&amp;"元")</f>
        <v/>
      </c>
      <c r="Q120" s="27" t="str" cm="1">
        <f t="array" ref="Q120">IF(_xlfn.XLOOKUP($A120&amp;$B120&amp;$C120,盘货信息!$A:$A&amp;盘货信息!$B:$B&amp;盘货信息!$C:$C,盘货信息!$X:$X)="","","【"&amp;盘货信息!$X$1&amp;"】"&amp;_xlfn.XLOOKUP($A120&amp;$B120&amp;$C120,盘货信息!$A:$A&amp;盘货信息!$B:$B&amp;盘货信息!$C:$C,盘货信息!$X:$X))</f>
        <v/>
      </c>
      <c r="R120" s="27" t="str" cm="1">
        <f t="array" ref="R120">IF(_xlfn.XLOOKUP($A120&amp;$B120&amp;$C120,盘货信息!$A:$A&amp;盘货信息!$B:$B&amp;盘货信息!$C:$C,盘货信息!$Z:$Z)="","","【"&amp;盘货信息!$Z$1&amp;"】"&amp;_xlfn.XLOOKUP($A120&amp;$B120&amp;$C120,盘货信息!$A:$A&amp;盘货信息!$B:$B&amp;盘货信息!$C:$C,盘货信息!$Z:$Z))</f>
        <v/>
      </c>
      <c r="S120" s="27" t="str" cm="1">
        <f t="array" ref="S120">IF(_xlfn.XLOOKUP($A120&amp;$B120&amp;$C120,盘货信息!$A:$A&amp;盘货信息!$B:$B&amp;盘货信息!$C:$C,盘货信息!$Q:$Q)="","","【种草】站外带指定话题种草后返"&amp;_xlfn.XLOOKUP($A120&amp;$B120&amp;$C120,盘货信息!$A:$A&amp;盘货信息!$B:$B&amp;盘货信息!$C:$C,盘货信息!$Q:$Q)&amp;"元红包（每个淘宝账号仅限对应一个站外种草账号，同一个种草账号不可对应多个淘宝账号）")</f>
        <v/>
      </c>
      <c r="T120" s="27" t="str" cm="1">
        <f t="array" ref="T120">IF(_xlfn.XLOOKUP($A120&amp;$B120&amp;$C120,盘货信息!$A:$A&amp;盘货信息!$B:$B&amp;盘货信息!$C:$C,盘货信息!$R:$R)&lt;1,"","【以旧换新】"&amp;"享补贴"&amp;ROUND(_xlfn.XLOOKUP($A120&amp;$B120&amp;$C120,盘货信息!$A:$A&amp;盘货信息!$B:$B&amp;盘货信息!$C:$C,盘货信息!$R:$R),0)&amp;"元（可无旧机换新）")</f>
        <v/>
      </c>
      <c r="U120" s="27" t="str">
        <f>IF(AND($N120="",$O120="",$P120="",$Q120="",$R120="",$S120="",$T120=""),"",固定信息!$B$1)</f>
        <v/>
      </c>
      <c r="V120" s="27" t="str" cm="1">
        <f t="array" ref="V120">IF(_xlfn.XLOOKUP($A120&amp;$B120&amp;$C120,盘货信息!$A:$A&amp;盘货信息!$B:$B&amp;盘货信息!$C:$C,盘货信息!$Y:$Y)="","","【卡萨帝送赠】活动指定时间"&amp;_xlfn.TEXTBEFORE(_xlfn.TEXTAFTER(_xlfn.XLOOKUP($A120&amp;$B120&amp;$C120,盘货信息!$A:$A&amp;盘货信息!$B:$B&amp;盘货信息!$C:$C,盘货信息!$Y:$Y),"点"),"（"))</f>
        <v/>
      </c>
      <c r="W120" s="27" t="str" cm="1">
        <f t="array" ref="W120">IF(COUNTIF(_xlfn.XLOOKUP($A120&amp;$B120&amp;$C120,盘货信息!$A:$A&amp;盘货信息!$B:$B&amp;盘货信息!$C:$C,盘货信息!$O:$O),"*是*"),"【折扣】指定型号满2类享96折，满3类享94折","")</f>
        <v/>
      </c>
      <c r="X120" s="27" t="str" cm="1">
        <f t="array" ref="X120">IF(固定信息!$B$7="","",IF(_xlfn.XLOOKUP($A120&amp;$B120&amp;$C120,盘货信息!$A:$A&amp;盘货信息!$B:$B&amp;盘货信息!$C:$C,盘货信息!$N:$N)="是","【瓜分】"&amp;固定信息!$B$7,""))</f>
        <v/>
      </c>
      <c r="Y120" s="27" t="str">
        <f>IF(AND($V120="",$W120="",$X120=""),"",固定信息!$B$1)</f>
        <v/>
      </c>
      <c r="Z120" s="27" t="str" cm="1">
        <f t="array" ref="Z120">IF($C120="","",_xlfn.XLOOKUP($A120&amp;$B120&amp;$C120,服务!$A:$A&amp;服务!$B:$B&amp;服务!$C:$C,服务!$D:$D))</f>
        <v/>
      </c>
    </row>
    <row r="121" customHeight="1" spans="1:26">
      <c r="A121" s="26" t="str">
        <f>IF(盘货信息!A121="","",盘货信息!A121)</f>
        <v/>
      </c>
      <c r="B121" s="26" t="str">
        <f>IF(盘货信息!B121="","",盘货信息!B121)</f>
        <v/>
      </c>
      <c r="C121" s="23" t="str">
        <f>IF(盘货信息!C121="","",盘货信息!C121)</f>
        <v/>
      </c>
      <c r="D121" s="27" t="str">
        <f ca="1" t="shared" si="1"/>
        <v/>
      </c>
      <c r="E121" s="27" t="str">
        <f>IF(C121="","",固定信息!$B$2)</f>
        <v/>
      </c>
      <c r="F121" s="27" t="str">
        <f>IF(C121="","","【"&amp;C121&amp;"】"&amp;固定信息!$B$4)</f>
        <v/>
      </c>
      <c r="G121" s="27" t="str">
        <f>IF(C121="","","【"&amp;"活动时间："&amp;固定信息!$B$3&amp;"】")</f>
        <v/>
      </c>
      <c r="H121" s="27" t="str">
        <f>IF($C121="","",固定信息!$B$1)</f>
        <v/>
      </c>
      <c r="I121" s="27" t="str">
        <f>IF(OR(C121="",固定信息!$B$5=""),"","【1元预约锁好礼】"&amp;固定信息!$B$5)</f>
        <v/>
      </c>
      <c r="J121" s="27" t="str" cm="1">
        <f t="array" ref="J121">_xlfn.XLOOKUP($A121&amp;$B121&amp;$C121,价格信息!$A:$A&amp;价格信息!$B:$B&amp;价格信息!$C:$C,价格信息!$D:$D)</f>
        <v/>
      </c>
      <c r="K121" s="27" t="str">
        <f>IF($C121="","",固定信息!$B$1)</f>
        <v/>
      </c>
      <c r="L121" s="27" t="str" cm="1">
        <f t="array" ref="L121">IF(_xlfn.XLOOKUP($A121&amp;$B121&amp;$C121,盘货信息!$A:$A&amp;盘货信息!$B:$B&amp;盘货信息!$C:$C,盘货信息!$T:$T)="","","【优惠券】领"&amp;_xlfn.XLOOKUP($A121&amp;$B121&amp;$C121,盘货信息!$A:$A&amp;盘货信息!$B:$B&amp;盘货信息!$C:$C,盘货信息!$T:$T)&amp;"元优惠卷下单更优惠，领券链接："&amp;_xlfn.XLOOKUP($A121&amp;$B121&amp;$C121,盘货信息!$A:$A&amp;盘货信息!$B:$B&amp;盘货信息!$C:$C,盘货信息!$U:$U))</f>
        <v/>
      </c>
      <c r="M121" s="27" t="str" cm="1">
        <f t="array" ref="M121">IF(_xlfn.XLOOKUP($A121&amp;$B121&amp;$C121,盘货信息!$A:$A&amp;盘货信息!$B:$B&amp;盘货信息!$C:$C,盘货信息!$P:$P)="","","【限时】"&amp;_xlfn.XLOOKUP($A121&amp;$B121&amp;$C121,盘货信息!$A:$A&amp;盘货信息!$B:$B&amp;盘货信息!$C:$C,盘货信息!$P:$P))</f>
        <v/>
      </c>
      <c r="N121" s="27" t="str" cm="1">
        <f t="array" ref="N121">IF(_xlfn.XLOOKUP($A121&amp;$B121&amp;$C121,盘货信息!$A:$A&amp;盘货信息!$B:$B&amp;盘货信息!$C:$C,盘货信息!$V:$V)="","","【"&amp;盘货信息!$V$1&amp;"】"&amp;_xlfn.XLOOKUP($A121&amp;$B121&amp;$C121,盘货信息!$A:$A&amp;盘货信息!$B:$B&amp;盘货信息!$C:$C,盘货信息!$V:$V))</f>
        <v/>
      </c>
      <c r="O121" s="27" t="str" cm="1">
        <f t="array" ref="O121">IF(_xlfn.XLOOKUP($A121&amp;$B121&amp;$C121,盘货信息!$A:$A&amp;盘货信息!$B:$B&amp;盘货信息!$C:$C,盘货信息!$W:$W)="","","【"&amp;盘货信息!$W$1&amp;"】"&amp;_xlfn.XLOOKUP($A121&amp;$B121&amp;$C121,盘货信息!$A:$A&amp;盘货信息!$B:$B&amp;盘货信息!$C:$C,盘货信息!$W:$W))</f>
        <v/>
      </c>
      <c r="P121" s="27" t="str" cm="1">
        <f t="array" ref="P121">IF(_xlfn.XLOOKUP($A121&amp;$B121&amp;$C121,盘货信息!$A:$A&amp;盘货信息!$B:$B&amp;盘货信息!$C:$C,盘货信息!$S:$S)&lt;1,"","【"&amp;盘货信息!$S$1&amp;"】"&amp;"后返"&amp;_xlfn.XLOOKUP($A121&amp;$B121&amp;$C121,盘货信息!$A:$A&amp;盘货信息!$B:$B&amp;盘货信息!$C:$C,盘货信息!$S:$S)&amp;"元")</f>
        <v/>
      </c>
      <c r="Q121" s="27" t="str" cm="1">
        <f t="array" ref="Q121">IF(_xlfn.XLOOKUP($A121&amp;$B121&amp;$C121,盘货信息!$A:$A&amp;盘货信息!$B:$B&amp;盘货信息!$C:$C,盘货信息!$X:$X)="","","【"&amp;盘货信息!$X$1&amp;"】"&amp;_xlfn.XLOOKUP($A121&amp;$B121&amp;$C121,盘货信息!$A:$A&amp;盘货信息!$B:$B&amp;盘货信息!$C:$C,盘货信息!$X:$X))</f>
        <v/>
      </c>
      <c r="R121" s="27" t="str" cm="1">
        <f t="array" ref="R121">IF(_xlfn.XLOOKUP($A121&amp;$B121&amp;$C121,盘货信息!$A:$A&amp;盘货信息!$B:$B&amp;盘货信息!$C:$C,盘货信息!$Z:$Z)="","","【"&amp;盘货信息!$Z$1&amp;"】"&amp;_xlfn.XLOOKUP($A121&amp;$B121&amp;$C121,盘货信息!$A:$A&amp;盘货信息!$B:$B&amp;盘货信息!$C:$C,盘货信息!$Z:$Z))</f>
        <v/>
      </c>
      <c r="S121" s="27" t="str" cm="1">
        <f t="array" ref="S121">IF(_xlfn.XLOOKUP($A121&amp;$B121&amp;$C121,盘货信息!$A:$A&amp;盘货信息!$B:$B&amp;盘货信息!$C:$C,盘货信息!$Q:$Q)="","","【种草】站外带指定话题种草后返"&amp;_xlfn.XLOOKUP($A121&amp;$B121&amp;$C121,盘货信息!$A:$A&amp;盘货信息!$B:$B&amp;盘货信息!$C:$C,盘货信息!$Q:$Q)&amp;"元红包（每个淘宝账号仅限对应一个站外种草账号，同一个种草账号不可对应多个淘宝账号）")</f>
        <v/>
      </c>
      <c r="T121" s="27" t="str" cm="1">
        <f t="array" ref="T121">IF(_xlfn.XLOOKUP($A121&amp;$B121&amp;$C121,盘货信息!$A:$A&amp;盘货信息!$B:$B&amp;盘货信息!$C:$C,盘货信息!$R:$R)&lt;1,"","【以旧换新】"&amp;"享补贴"&amp;ROUND(_xlfn.XLOOKUP($A121&amp;$B121&amp;$C121,盘货信息!$A:$A&amp;盘货信息!$B:$B&amp;盘货信息!$C:$C,盘货信息!$R:$R),0)&amp;"元（可无旧机换新）")</f>
        <v/>
      </c>
      <c r="U121" s="27" t="str">
        <f>IF(AND($N121="",$O121="",$P121="",$Q121="",$R121="",$S121="",$T121=""),"",固定信息!$B$1)</f>
        <v/>
      </c>
      <c r="V121" s="27" t="str" cm="1">
        <f t="array" ref="V121">IF(_xlfn.XLOOKUP($A121&amp;$B121&amp;$C121,盘货信息!$A:$A&amp;盘货信息!$B:$B&amp;盘货信息!$C:$C,盘货信息!$Y:$Y)="","","【卡萨帝送赠】活动指定时间"&amp;_xlfn.TEXTBEFORE(_xlfn.TEXTAFTER(_xlfn.XLOOKUP($A121&amp;$B121&amp;$C121,盘货信息!$A:$A&amp;盘货信息!$B:$B&amp;盘货信息!$C:$C,盘货信息!$Y:$Y),"点"),"（"))</f>
        <v/>
      </c>
      <c r="W121" s="27" t="str" cm="1">
        <f t="array" ref="W121">IF(COUNTIF(_xlfn.XLOOKUP($A121&amp;$B121&amp;$C121,盘货信息!$A:$A&amp;盘货信息!$B:$B&amp;盘货信息!$C:$C,盘货信息!$O:$O),"*是*"),"【折扣】指定型号满2类享96折，满3类享94折","")</f>
        <v/>
      </c>
      <c r="X121" s="27" t="str" cm="1">
        <f t="array" ref="X121">IF(固定信息!$B$7="","",IF(_xlfn.XLOOKUP($A121&amp;$B121&amp;$C121,盘货信息!$A:$A&amp;盘货信息!$B:$B&amp;盘货信息!$C:$C,盘货信息!$N:$N)="是","【瓜分】"&amp;固定信息!$B$7,""))</f>
        <v/>
      </c>
      <c r="Y121" s="27" t="str">
        <f>IF(AND($V121="",$W121="",$X121=""),"",固定信息!$B$1)</f>
        <v/>
      </c>
      <c r="Z121" s="27" t="str" cm="1">
        <f t="array" ref="Z121">IF($C121="","",_xlfn.XLOOKUP($A121&amp;$B121&amp;$C121,服务!$A:$A&amp;服务!$B:$B&amp;服务!$C:$C,服务!$D:$D))</f>
        <v/>
      </c>
    </row>
    <row r="122" customHeight="1" spans="1:26">
      <c r="A122" s="26" t="str">
        <f>IF(盘货信息!A122="","",盘货信息!A122)</f>
        <v/>
      </c>
      <c r="B122" s="26" t="str">
        <f>IF(盘货信息!B122="","",盘货信息!B122)</f>
        <v/>
      </c>
      <c r="C122" s="23" t="str">
        <f>IF(盘货信息!C122="","",盘货信息!C122)</f>
        <v/>
      </c>
      <c r="D122" s="27" t="str">
        <f ca="1" t="shared" si="1"/>
        <v/>
      </c>
      <c r="E122" s="27" t="str">
        <f>IF(C122="","",固定信息!$B$2)</f>
        <v/>
      </c>
      <c r="F122" s="27" t="str">
        <f>IF(C122="","","【"&amp;C122&amp;"】"&amp;固定信息!$B$4)</f>
        <v/>
      </c>
      <c r="G122" s="27" t="str">
        <f>IF(C122="","","【"&amp;"活动时间："&amp;固定信息!$B$3&amp;"】")</f>
        <v/>
      </c>
      <c r="H122" s="27" t="str">
        <f>IF($C122="","",固定信息!$B$1)</f>
        <v/>
      </c>
      <c r="I122" s="27" t="str">
        <f>IF(OR(C122="",固定信息!$B$5=""),"","【1元预约锁好礼】"&amp;固定信息!$B$5)</f>
        <v/>
      </c>
      <c r="J122" s="27" t="str" cm="1">
        <f t="array" ref="J122">_xlfn.XLOOKUP($A122&amp;$B122&amp;$C122,价格信息!$A:$A&amp;价格信息!$B:$B&amp;价格信息!$C:$C,价格信息!$D:$D)</f>
        <v/>
      </c>
      <c r="K122" s="27" t="str">
        <f>IF($C122="","",固定信息!$B$1)</f>
        <v/>
      </c>
      <c r="L122" s="27" t="str" cm="1">
        <f t="array" ref="L122">IF(_xlfn.XLOOKUP($A122&amp;$B122&amp;$C122,盘货信息!$A:$A&amp;盘货信息!$B:$B&amp;盘货信息!$C:$C,盘货信息!$T:$T)="","","【优惠券】领"&amp;_xlfn.XLOOKUP($A122&amp;$B122&amp;$C122,盘货信息!$A:$A&amp;盘货信息!$B:$B&amp;盘货信息!$C:$C,盘货信息!$T:$T)&amp;"元优惠卷下单更优惠，领券链接："&amp;_xlfn.XLOOKUP($A122&amp;$B122&amp;$C122,盘货信息!$A:$A&amp;盘货信息!$B:$B&amp;盘货信息!$C:$C,盘货信息!$U:$U))</f>
        <v/>
      </c>
      <c r="M122" s="27" t="str" cm="1">
        <f t="array" ref="M122">IF(_xlfn.XLOOKUP($A122&amp;$B122&amp;$C122,盘货信息!$A:$A&amp;盘货信息!$B:$B&amp;盘货信息!$C:$C,盘货信息!$P:$P)="","","【限时】"&amp;_xlfn.XLOOKUP($A122&amp;$B122&amp;$C122,盘货信息!$A:$A&amp;盘货信息!$B:$B&amp;盘货信息!$C:$C,盘货信息!$P:$P))</f>
        <v/>
      </c>
      <c r="N122" s="27" t="str" cm="1">
        <f t="array" ref="N122">IF(_xlfn.XLOOKUP($A122&amp;$B122&amp;$C122,盘货信息!$A:$A&amp;盘货信息!$B:$B&amp;盘货信息!$C:$C,盘货信息!$V:$V)="","","【"&amp;盘货信息!$V$1&amp;"】"&amp;_xlfn.XLOOKUP($A122&amp;$B122&amp;$C122,盘货信息!$A:$A&amp;盘货信息!$B:$B&amp;盘货信息!$C:$C,盘货信息!$V:$V))</f>
        <v/>
      </c>
      <c r="O122" s="27" t="str" cm="1">
        <f t="array" ref="O122">IF(_xlfn.XLOOKUP($A122&amp;$B122&amp;$C122,盘货信息!$A:$A&amp;盘货信息!$B:$B&amp;盘货信息!$C:$C,盘货信息!$W:$W)="","","【"&amp;盘货信息!$W$1&amp;"】"&amp;_xlfn.XLOOKUP($A122&amp;$B122&amp;$C122,盘货信息!$A:$A&amp;盘货信息!$B:$B&amp;盘货信息!$C:$C,盘货信息!$W:$W))</f>
        <v/>
      </c>
      <c r="P122" s="27" t="str" cm="1">
        <f t="array" ref="P122">IF(_xlfn.XLOOKUP($A122&amp;$B122&amp;$C122,盘货信息!$A:$A&amp;盘货信息!$B:$B&amp;盘货信息!$C:$C,盘货信息!$S:$S)&lt;1,"","【"&amp;盘货信息!$S$1&amp;"】"&amp;"后返"&amp;_xlfn.XLOOKUP($A122&amp;$B122&amp;$C122,盘货信息!$A:$A&amp;盘货信息!$B:$B&amp;盘货信息!$C:$C,盘货信息!$S:$S)&amp;"元")</f>
        <v/>
      </c>
      <c r="Q122" s="27" t="str" cm="1">
        <f t="array" ref="Q122">IF(_xlfn.XLOOKUP($A122&amp;$B122&amp;$C122,盘货信息!$A:$A&amp;盘货信息!$B:$B&amp;盘货信息!$C:$C,盘货信息!$X:$X)="","","【"&amp;盘货信息!$X$1&amp;"】"&amp;_xlfn.XLOOKUP($A122&amp;$B122&amp;$C122,盘货信息!$A:$A&amp;盘货信息!$B:$B&amp;盘货信息!$C:$C,盘货信息!$X:$X))</f>
        <v/>
      </c>
      <c r="R122" s="27" t="str" cm="1">
        <f t="array" ref="R122">IF(_xlfn.XLOOKUP($A122&amp;$B122&amp;$C122,盘货信息!$A:$A&amp;盘货信息!$B:$B&amp;盘货信息!$C:$C,盘货信息!$Z:$Z)="","","【"&amp;盘货信息!$Z$1&amp;"】"&amp;_xlfn.XLOOKUP($A122&amp;$B122&amp;$C122,盘货信息!$A:$A&amp;盘货信息!$B:$B&amp;盘货信息!$C:$C,盘货信息!$Z:$Z))</f>
        <v/>
      </c>
      <c r="S122" s="27" t="str" cm="1">
        <f t="array" ref="S122">IF(_xlfn.XLOOKUP($A122&amp;$B122&amp;$C122,盘货信息!$A:$A&amp;盘货信息!$B:$B&amp;盘货信息!$C:$C,盘货信息!$Q:$Q)="","","【种草】站外带指定话题种草后返"&amp;_xlfn.XLOOKUP($A122&amp;$B122&amp;$C122,盘货信息!$A:$A&amp;盘货信息!$B:$B&amp;盘货信息!$C:$C,盘货信息!$Q:$Q)&amp;"元红包（每个淘宝账号仅限对应一个站外种草账号，同一个种草账号不可对应多个淘宝账号）")</f>
        <v/>
      </c>
      <c r="T122" s="27" t="str" cm="1">
        <f t="array" ref="T122">IF(_xlfn.XLOOKUP($A122&amp;$B122&amp;$C122,盘货信息!$A:$A&amp;盘货信息!$B:$B&amp;盘货信息!$C:$C,盘货信息!$R:$R)&lt;1,"","【以旧换新】"&amp;"享补贴"&amp;ROUND(_xlfn.XLOOKUP($A122&amp;$B122&amp;$C122,盘货信息!$A:$A&amp;盘货信息!$B:$B&amp;盘货信息!$C:$C,盘货信息!$R:$R),0)&amp;"元（可无旧机换新）")</f>
        <v/>
      </c>
      <c r="U122" s="27" t="str">
        <f>IF(AND($N122="",$O122="",$P122="",$Q122="",$R122="",$S122="",$T122=""),"",固定信息!$B$1)</f>
        <v/>
      </c>
      <c r="V122" s="27" t="str" cm="1">
        <f t="array" ref="V122">IF(_xlfn.XLOOKUP($A122&amp;$B122&amp;$C122,盘货信息!$A:$A&amp;盘货信息!$B:$B&amp;盘货信息!$C:$C,盘货信息!$Y:$Y)="","","【卡萨帝送赠】活动指定时间"&amp;_xlfn.TEXTBEFORE(_xlfn.TEXTAFTER(_xlfn.XLOOKUP($A122&amp;$B122&amp;$C122,盘货信息!$A:$A&amp;盘货信息!$B:$B&amp;盘货信息!$C:$C,盘货信息!$Y:$Y),"点"),"（"))</f>
        <v/>
      </c>
      <c r="W122" s="27" t="str" cm="1">
        <f t="array" ref="W122">IF(COUNTIF(_xlfn.XLOOKUP($A122&amp;$B122&amp;$C122,盘货信息!$A:$A&amp;盘货信息!$B:$B&amp;盘货信息!$C:$C,盘货信息!$O:$O),"*是*"),"【折扣】指定型号满2类享96折，满3类享94折","")</f>
        <v/>
      </c>
      <c r="X122" s="27" t="str" cm="1">
        <f t="array" ref="X122">IF(固定信息!$B$7="","",IF(_xlfn.XLOOKUP($A122&amp;$B122&amp;$C122,盘货信息!$A:$A&amp;盘货信息!$B:$B&amp;盘货信息!$C:$C,盘货信息!$N:$N)="是","【瓜分】"&amp;固定信息!$B$7,""))</f>
        <v/>
      </c>
      <c r="Y122" s="27" t="str">
        <f>IF(AND($V122="",$W122="",$X122=""),"",固定信息!$B$1)</f>
        <v/>
      </c>
      <c r="Z122" s="27" t="str" cm="1">
        <f t="array" ref="Z122">IF($C122="","",_xlfn.XLOOKUP($A122&amp;$B122&amp;$C122,服务!$A:$A&amp;服务!$B:$B&amp;服务!$C:$C,服务!$D:$D))</f>
        <v/>
      </c>
    </row>
    <row r="123" customHeight="1" spans="1:26">
      <c r="A123" s="26" t="str">
        <f>IF(盘货信息!A123="","",盘货信息!A123)</f>
        <v/>
      </c>
      <c r="B123" s="26" t="str">
        <f>IF(盘货信息!B123="","",盘货信息!B123)</f>
        <v/>
      </c>
      <c r="C123" s="23" t="str">
        <f>IF(盘货信息!C123="","",盘货信息!C123)</f>
        <v/>
      </c>
      <c r="D123" s="27" t="str">
        <f ca="1" t="shared" si="1"/>
        <v/>
      </c>
      <c r="E123" s="27" t="str">
        <f>IF(C123="","",固定信息!$B$2)</f>
        <v/>
      </c>
      <c r="F123" s="27" t="str">
        <f>IF(C123="","","【"&amp;C123&amp;"】"&amp;固定信息!$B$4)</f>
        <v/>
      </c>
      <c r="G123" s="27" t="str">
        <f>IF(C123="","","【"&amp;"活动时间："&amp;固定信息!$B$3&amp;"】")</f>
        <v/>
      </c>
      <c r="H123" s="27" t="str">
        <f>IF($C123="","",固定信息!$B$1)</f>
        <v/>
      </c>
      <c r="I123" s="27" t="str">
        <f>IF(OR(C123="",固定信息!$B$5=""),"","【1元预约锁好礼】"&amp;固定信息!$B$5)</f>
        <v/>
      </c>
      <c r="J123" s="27" t="str" cm="1">
        <f t="array" ref="J123">_xlfn.XLOOKUP($A123&amp;$B123&amp;$C123,价格信息!$A:$A&amp;价格信息!$B:$B&amp;价格信息!$C:$C,价格信息!$D:$D)</f>
        <v/>
      </c>
      <c r="K123" s="27" t="str">
        <f>IF($C123="","",固定信息!$B$1)</f>
        <v/>
      </c>
      <c r="L123" s="27" t="str" cm="1">
        <f t="array" ref="L123">IF(_xlfn.XLOOKUP($A123&amp;$B123&amp;$C123,盘货信息!$A:$A&amp;盘货信息!$B:$B&amp;盘货信息!$C:$C,盘货信息!$T:$T)="","","【优惠券】领"&amp;_xlfn.XLOOKUP($A123&amp;$B123&amp;$C123,盘货信息!$A:$A&amp;盘货信息!$B:$B&amp;盘货信息!$C:$C,盘货信息!$T:$T)&amp;"元优惠卷下单更优惠，领券链接："&amp;_xlfn.XLOOKUP($A123&amp;$B123&amp;$C123,盘货信息!$A:$A&amp;盘货信息!$B:$B&amp;盘货信息!$C:$C,盘货信息!$U:$U))</f>
        <v/>
      </c>
      <c r="M123" s="27" t="str" cm="1">
        <f t="array" ref="M123">IF(_xlfn.XLOOKUP($A123&amp;$B123&amp;$C123,盘货信息!$A:$A&amp;盘货信息!$B:$B&amp;盘货信息!$C:$C,盘货信息!$P:$P)="","","【限时】"&amp;_xlfn.XLOOKUP($A123&amp;$B123&amp;$C123,盘货信息!$A:$A&amp;盘货信息!$B:$B&amp;盘货信息!$C:$C,盘货信息!$P:$P))</f>
        <v/>
      </c>
      <c r="N123" s="27" t="str" cm="1">
        <f t="array" ref="N123">IF(_xlfn.XLOOKUP($A123&amp;$B123&amp;$C123,盘货信息!$A:$A&amp;盘货信息!$B:$B&amp;盘货信息!$C:$C,盘货信息!$V:$V)="","","【"&amp;盘货信息!$V$1&amp;"】"&amp;_xlfn.XLOOKUP($A123&amp;$B123&amp;$C123,盘货信息!$A:$A&amp;盘货信息!$B:$B&amp;盘货信息!$C:$C,盘货信息!$V:$V))</f>
        <v/>
      </c>
      <c r="O123" s="27" t="str" cm="1">
        <f t="array" ref="O123">IF(_xlfn.XLOOKUP($A123&amp;$B123&amp;$C123,盘货信息!$A:$A&amp;盘货信息!$B:$B&amp;盘货信息!$C:$C,盘货信息!$W:$W)="","","【"&amp;盘货信息!$W$1&amp;"】"&amp;_xlfn.XLOOKUP($A123&amp;$B123&amp;$C123,盘货信息!$A:$A&amp;盘货信息!$B:$B&amp;盘货信息!$C:$C,盘货信息!$W:$W))</f>
        <v/>
      </c>
      <c r="P123" s="27" t="str" cm="1">
        <f t="array" ref="P123">IF(_xlfn.XLOOKUP($A123&amp;$B123&amp;$C123,盘货信息!$A:$A&amp;盘货信息!$B:$B&amp;盘货信息!$C:$C,盘货信息!$S:$S)&lt;1,"","【"&amp;盘货信息!$S$1&amp;"】"&amp;"后返"&amp;_xlfn.XLOOKUP($A123&amp;$B123&amp;$C123,盘货信息!$A:$A&amp;盘货信息!$B:$B&amp;盘货信息!$C:$C,盘货信息!$S:$S)&amp;"元")</f>
        <v/>
      </c>
      <c r="Q123" s="27" t="str" cm="1">
        <f t="array" ref="Q123">IF(_xlfn.XLOOKUP($A123&amp;$B123&amp;$C123,盘货信息!$A:$A&amp;盘货信息!$B:$B&amp;盘货信息!$C:$C,盘货信息!$X:$X)="","","【"&amp;盘货信息!$X$1&amp;"】"&amp;_xlfn.XLOOKUP($A123&amp;$B123&amp;$C123,盘货信息!$A:$A&amp;盘货信息!$B:$B&amp;盘货信息!$C:$C,盘货信息!$X:$X))</f>
        <v/>
      </c>
      <c r="R123" s="27" t="str" cm="1">
        <f t="array" ref="R123">IF(_xlfn.XLOOKUP($A123&amp;$B123&amp;$C123,盘货信息!$A:$A&amp;盘货信息!$B:$B&amp;盘货信息!$C:$C,盘货信息!$Z:$Z)="","","【"&amp;盘货信息!$Z$1&amp;"】"&amp;_xlfn.XLOOKUP($A123&amp;$B123&amp;$C123,盘货信息!$A:$A&amp;盘货信息!$B:$B&amp;盘货信息!$C:$C,盘货信息!$Z:$Z))</f>
        <v/>
      </c>
      <c r="S123" s="27" t="str" cm="1">
        <f t="array" ref="S123">IF(_xlfn.XLOOKUP($A123&amp;$B123&amp;$C123,盘货信息!$A:$A&amp;盘货信息!$B:$B&amp;盘货信息!$C:$C,盘货信息!$Q:$Q)="","","【种草】站外带指定话题种草后返"&amp;_xlfn.XLOOKUP($A123&amp;$B123&amp;$C123,盘货信息!$A:$A&amp;盘货信息!$B:$B&amp;盘货信息!$C:$C,盘货信息!$Q:$Q)&amp;"元红包（每个淘宝账号仅限对应一个站外种草账号，同一个种草账号不可对应多个淘宝账号）")</f>
        <v/>
      </c>
      <c r="T123" s="27" t="str" cm="1">
        <f t="array" ref="T123">IF(_xlfn.XLOOKUP($A123&amp;$B123&amp;$C123,盘货信息!$A:$A&amp;盘货信息!$B:$B&amp;盘货信息!$C:$C,盘货信息!$R:$R)&lt;1,"","【以旧换新】"&amp;"享补贴"&amp;ROUND(_xlfn.XLOOKUP($A123&amp;$B123&amp;$C123,盘货信息!$A:$A&amp;盘货信息!$B:$B&amp;盘货信息!$C:$C,盘货信息!$R:$R),0)&amp;"元（可无旧机换新）")</f>
        <v/>
      </c>
      <c r="U123" s="27" t="str">
        <f>IF(AND($N123="",$O123="",$P123="",$Q123="",$R123="",$S123="",$T123=""),"",固定信息!$B$1)</f>
        <v/>
      </c>
      <c r="V123" s="27" t="str" cm="1">
        <f t="array" ref="V123">IF(_xlfn.XLOOKUP($A123&amp;$B123&amp;$C123,盘货信息!$A:$A&amp;盘货信息!$B:$B&amp;盘货信息!$C:$C,盘货信息!$Y:$Y)="","","【卡萨帝送赠】活动指定时间"&amp;_xlfn.TEXTBEFORE(_xlfn.TEXTAFTER(_xlfn.XLOOKUP($A123&amp;$B123&amp;$C123,盘货信息!$A:$A&amp;盘货信息!$B:$B&amp;盘货信息!$C:$C,盘货信息!$Y:$Y),"点"),"（"))</f>
        <v/>
      </c>
      <c r="W123" s="27" t="str" cm="1">
        <f t="array" ref="W123">IF(COUNTIF(_xlfn.XLOOKUP($A123&amp;$B123&amp;$C123,盘货信息!$A:$A&amp;盘货信息!$B:$B&amp;盘货信息!$C:$C,盘货信息!$O:$O),"*是*"),"【折扣】指定型号满2类享96折，满3类享94折","")</f>
        <v/>
      </c>
      <c r="X123" s="27" t="str" cm="1">
        <f t="array" ref="X123">IF(固定信息!$B$7="","",IF(_xlfn.XLOOKUP($A123&amp;$B123&amp;$C123,盘货信息!$A:$A&amp;盘货信息!$B:$B&amp;盘货信息!$C:$C,盘货信息!$N:$N)="是","【瓜分】"&amp;固定信息!$B$7,""))</f>
        <v/>
      </c>
      <c r="Y123" s="27" t="str">
        <f>IF(AND($V123="",$W123="",$X123=""),"",固定信息!$B$1)</f>
        <v/>
      </c>
      <c r="Z123" s="27" t="str" cm="1">
        <f t="array" ref="Z123">IF($C123="","",_xlfn.XLOOKUP($A123&amp;$B123&amp;$C123,服务!$A:$A&amp;服务!$B:$B&amp;服务!$C:$C,服务!$D:$D))</f>
        <v/>
      </c>
    </row>
    <row r="124" customHeight="1" spans="1:26">
      <c r="A124" s="26" t="str">
        <f>IF(盘货信息!A124="","",盘货信息!A124)</f>
        <v/>
      </c>
      <c r="B124" s="26" t="str">
        <f>IF(盘货信息!B124="","",盘货信息!B124)</f>
        <v/>
      </c>
      <c r="C124" s="26" t="str">
        <f>IF(盘货信息!C124="","",盘货信息!C124)</f>
        <v/>
      </c>
      <c r="D124" s="27" t="str">
        <f ca="1" t="shared" si="1"/>
        <v/>
      </c>
      <c r="E124" s="27" t="str">
        <f>IF(C124="","",固定信息!$B$2)</f>
        <v/>
      </c>
      <c r="F124" s="27" t="str">
        <f>IF(C124="","","【"&amp;C124&amp;"】"&amp;固定信息!$B$4)</f>
        <v/>
      </c>
      <c r="G124" s="27" t="str">
        <f>IF(C124="","","【"&amp;"活动时间："&amp;固定信息!$B$3&amp;"】")</f>
        <v/>
      </c>
      <c r="H124" s="27" t="str">
        <f>IF($C124="","",固定信息!$B$1)</f>
        <v/>
      </c>
      <c r="I124" s="27" t="str">
        <f>IF(OR(C124="",固定信息!$B$5=""),"","【1元预约锁好礼】"&amp;固定信息!$B$5)</f>
        <v/>
      </c>
      <c r="J124" s="27" t="str" cm="1">
        <f t="array" ref="J124">_xlfn.XLOOKUP($A124&amp;$B124&amp;$C124,价格信息!$A:$A&amp;价格信息!$B:$B&amp;价格信息!$C:$C,价格信息!$D:$D)</f>
        <v/>
      </c>
      <c r="K124" s="27" t="str">
        <f>IF($C124="","",固定信息!$B$1)</f>
        <v/>
      </c>
      <c r="L124" s="27" t="str" cm="1">
        <f t="array" ref="L124">IF(_xlfn.XLOOKUP($A124&amp;$B124&amp;$C124,盘货信息!$A:$A&amp;盘货信息!$B:$B&amp;盘货信息!$C:$C,盘货信息!$T:$T)="","","【优惠券】领"&amp;_xlfn.XLOOKUP($A124&amp;$B124&amp;$C124,盘货信息!$A:$A&amp;盘货信息!$B:$B&amp;盘货信息!$C:$C,盘货信息!$T:$T)&amp;"元优惠卷下单更优惠，领券链接："&amp;_xlfn.XLOOKUP($A124&amp;$B124&amp;$C124,盘货信息!$A:$A&amp;盘货信息!$B:$B&amp;盘货信息!$C:$C,盘货信息!$U:$U))</f>
        <v/>
      </c>
      <c r="M124" s="27" t="str" cm="1">
        <f t="array" ref="M124">IF(_xlfn.XLOOKUP($A124&amp;$B124&amp;$C124,盘货信息!$A:$A&amp;盘货信息!$B:$B&amp;盘货信息!$C:$C,盘货信息!$P:$P)="","","【限时】"&amp;_xlfn.XLOOKUP($A124&amp;$B124&amp;$C124,盘货信息!$A:$A&amp;盘货信息!$B:$B&amp;盘货信息!$C:$C,盘货信息!$P:$P))</f>
        <v/>
      </c>
      <c r="N124" s="27" t="str" cm="1">
        <f t="array" ref="N124">IF(_xlfn.XLOOKUP($A124&amp;$B124&amp;$C124,盘货信息!$A:$A&amp;盘货信息!$B:$B&amp;盘货信息!$C:$C,盘货信息!$V:$V)="","","【"&amp;盘货信息!$V$1&amp;"】"&amp;_xlfn.XLOOKUP($A124&amp;$B124&amp;$C124,盘货信息!$A:$A&amp;盘货信息!$B:$B&amp;盘货信息!$C:$C,盘货信息!$V:$V))</f>
        <v/>
      </c>
      <c r="O124" s="27" t="str" cm="1">
        <f t="array" ref="O124">IF(_xlfn.XLOOKUP($A124&amp;$B124&amp;$C124,盘货信息!$A:$A&amp;盘货信息!$B:$B&amp;盘货信息!$C:$C,盘货信息!$W:$W)="","","【"&amp;盘货信息!$W$1&amp;"】"&amp;_xlfn.XLOOKUP($A124&amp;$B124&amp;$C124,盘货信息!$A:$A&amp;盘货信息!$B:$B&amp;盘货信息!$C:$C,盘货信息!$W:$W))</f>
        <v/>
      </c>
      <c r="P124" s="27" t="str" cm="1">
        <f t="array" ref="P124">IF(_xlfn.XLOOKUP($A124&amp;$B124&amp;$C124,盘货信息!$A:$A&amp;盘货信息!$B:$B&amp;盘货信息!$C:$C,盘货信息!$S:$S)&lt;1,"","【"&amp;盘货信息!$S$1&amp;"】"&amp;"后返"&amp;_xlfn.XLOOKUP($A124&amp;$B124&amp;$C124,盘货信息!$A:$A&amp;盘货信息!$B:$B&amp;盘货信息!$C:$C,盘货信息!$S:$S)&amp;"元")</f>
        <v/>
      </c>
      <c r="Q124" s="27" t="str" cm="1">
        <f t="array" ref="Q124">IF(_xlfn.XLOOKUP($A124&amp;$B124&amp;$C124,盘货信息!$A:$A&amp;盘货信息!$B:$B&amp;盘货信息!$C:$C,盘货信息!$X:$X)="","","【"&amp;盘货信息!$X$1&amp;"】"&amp;_xlfn.XLOOKUP($A124&amp;$B124&amp;$C124,盘货信息!$A:$A&amp;盘货信息!$B:$B&amp;盘货信息!$C:$C,盘货信息!$X:$X))</f>
        <v/>
      </c>
      <c r="R124" s="27" t="str" cm="1">
        <f t="array" ref="R124">IF(_xlfn.XLOOKUP($A124&amp;$B124&amp;$C124,盘货信息!$A:$A&amp;盘货信息!$B:$B&amp;盘货信息!$C:$C,盘货信息!$Z:$Z)="","","【"&amp;盘货信息!$Z$1&amp;"】"&amp;_xlfn.XLOOKUP($A124&amp;$B124&amp;$C124,盘货信息!$A:$A&amp;盘货信息!$B:$B&amp;盘货信息!$C:$C,盘货信息!$Z:$Z))</f>
        <v/>
      </c>
      <c r="S124" s="27" t="str" cm="1">
        <f t="array" ref="S124">IF(_xlfn.XLOOKUP($A124&amp;$B124&amp;$C124,盘货信息!$A:$A&amp;盘货信息!$B:$B&amp;盘货信息!$C:$C,盘货信息!$Q:$Q)="","","【种草】站外带指定话题种草后返"&amp;_xlfn.XLOOKUP($A124&amp;$B124&amp;$C124,盘货信息!$A:$A&amp;盘货信息!$B:$B&amp;盘货信息!$C:$C,盘货信息!$Q:$Q)&amp;"元红包（每个淘宝账号仅限对应一个站外种草账号，同一个种草账号不可对应多个淘宝账号）")</f>
        <v/>
      </c>
      <c r="T124" s="27" t="str" cm="1">
        <f t="array" ref="T124">IF(_xlfn.XLOOKUP($A124&amp;$B124&amp;$C124,盘货信息!$A:$A&amp;盘货信息!$B:$B&amp;盘货信息!$C:$C,盘货信息!$R:$R)&lt;1,"","【以旧换新】"&amp;"享补贴"&amp;ROUND(_xlfn.XLOOKUP($A124&amp;$B124&amp;$C124,盘货信息!$A:$A&amp;盘货信息!$B:$B&amp;盘货信息!$C:$C,盘货信息!$R:$R),0)&amp;"元（可无旧机换新）")</f>
        <v/>
      </c>
      <c r="U124" s="27" t="str">
        <f>IF(AND($N124="",$O124="",$P124="",$Q124="",$R124="",$S124="",$T124=""),"",固定信息!$B$1)</f>
        <v/>
      </c>
      <c r="V124" s="27" t="str" cm="1">
        <f t="array" ref="V124">IF(_xlfn.XLOOKUP($A124&amp;$B124&amp;$C124,盘货信息!$A:$A&amp;盘货信息!$B:$B&amp;盘货信息!$C:$C,盘货信息!$Y:$Y)="","","【卡萨帝送赠】活动指定时间"&amp;_xlfn.TEXTBEFORE(_xlfn.TEXTAFTER(_xlfn.XLOOKUP($A124&amp;$B124&amp;$C124,盘货信息!$A:$A&amp;盘货信息!$B:$B&amp;盘货信息!$C:$C,盘货信息!$Y:$Y),"点"),"（"))</f>
        <v/>
      </c>
      <c r="W124" s="27" t="str" cm="1">
        <f t="array" ref="W124">IF(COUNTIF(_xlfn.XLOOKUP($A124&amp;$B124&amp;$C124,盘货信息!$A:$A&amp;盘货信息!$B:$B&amp;盘货信息!$C:$C,盘货信息!$O:$O),"*是*"),"【折扣】指定型号满2类享96折，满3类享94折","")</f>
        <v/>
      </c>
      <c r="X124" s="27" t="str" cm="1">
        <f t="array" ref="X124">IF(固定信息!$B$7="","",IF(_xlfn.XLOOKUP($A124&amp;$B124&amp;$C124,盘货信息!$A:$A&amp;盘货信息!$B:$B&amp;盘货信息!$C:$C,盘货信息!$N:$N)="是","【瓜分】"&amp;固定信息!$B$7,""))</f>
        <v/>
      </c>
      <c r="Y124" s="27" t="str">
        <f>IF(AND($V124="",$W124="",$X124=""),"",固定信息!$B$1)</f>
        <v/>
      </c>
      <c r="Z124" s="27" t="str" cm="1">
        <f t="array" ref="Z124">IF($C124="","",_xlfn.XLOOKUP($A124&amp;$B124&amp;$C124,服务!$A:$A&amp;服务!$B:$B&amp;服务!$C:$C,服务!$D:$D))</f>
        <v/>
      </c>
    </row>
    <row r="125" customHeight="1" spans="1:26">
      <c r="A125" s="26" t="str">
        <f>IF(盘货信息!A125="","",盘货信息!A125)</f>
        <v/>
      </c>
      <c r="B125" s="26" t="str">
        <f>IF(盘货信息!B125="","",盘货信息!B125)</f>
        <v/>
      </c>
      <c r="C125" s="26" t="str">
        <f>IF(盘货信息!C125="","",盘货信息!C125)</f>
        <v/>
      </c>
      <c r="D125" s="27" t="str">
        <f ca="1" t="shared" si="1"/>
        <v/>
      </c>
      <c r="E125" s="27" t="str">
        <f>IF(C125="","",固定信息!$B$2)</f>
        <v/>
      </c>
      <c r="F125" s="27" t="str">
        <f>IF(C125="","","【"&amp;C125&amp;"】"&amp;固定信息!$B$4)</f>
        <v/>
      </c>
      <c r="G125" s="27" t="str">
        <f>IF(C125="","","【"&amp;"活动时间："&amp;固定信息!$B$3&amp;"】")</f>
        <v/>
      </c>
      <c r="H125" s="27" t="str">
        <f>IF($C125="","",固定信息!$B$1)</f>
        <v/>
      </c>
      <c r="I125" s="27" t="str">
        <f>IF(OR(C125="",固定信息!$B$5=""),"","【1元预约锁好礼】"&amp;固定信息!$B$5)</f>
        <v/>
      </c>
      <c r="J125" s="27" t="str" cm="1">
        <f t="array" ref="J125">_xlfn.XLOOKUP($A125&amp;$B125&amp;$C125,价格信息!$A:$A&amp;价格信息!$B:$B&amp;价格信息!$C:$C,价格信息!$D:$D)</f>
        <v/>
      </c>
      <c r="K125" s="27" t="str">
        <f>IF($C125="","",固定信息!$B$1)</f>
        <v/>
      </c>
      <c r="L125" s="27" t="str" cm="1">
        <f t="array" ref="L125">IF(_xlfn.XLOOKUP($A125&amp;$B125&amp;$C125,盘货信息!$A:$A&amp;盘货信息!$B:$B&amp;盘货信息!$C:$C,盘货信息!$T:$T)="","","【优惠券】领"&amp;_xlfn.XLOOKUP($A125&amp;$B125&amp;$C125,盘货信息!$A:$A&amp;盘货信息!$B:$B&amp;盘货信息!$C:$C,盘货信息!$T:$T)&amp;"元优惠卷下单更优惠，领券链接："&amp;_xlfn.XLOOKUP($A125&amp;$B125&amp;$C125,盘货信息!$A:$A&amp;盘货信息!$B:$B&amp;盘货信息!$C:$C,盘货信息!$U:$U))</f>
        <v/>
      </c>
      <c r="M125" s="27" t="str" cm="1">
        <f t="array" ref="M125">IF(_xlfn.XLOOKUP($A125&amp;$B125&amp;$C125,盘货信息!$A:$A&amp;盘货信息!$B:$B&amp;盘货信息!$C:$C,盘货信息!$P:$P)="","","【限时】"&amp;_xlfn.XLOOKUP($A125&amp;$B125&amp;$C125,盘货信息!$A:$A&amp;盘货信息!$B:$B&amp;盘货信息!$C:$C,盘货信息!$P:$P))</f>
        <v/>
      </c>
      <c r="N125" s="27" t="str" cm="1">
        <f t="array" ref="N125">IF(_xlfn.XLOOKUP($A125&amp;$B125&amp;$C125,盘货信息!$A:$A&amp;盘货信息!$B:$B&amp;盘货信息!$C:$C,盘货信息!$V:$V)="","","【"&amp;盘货信息!$V$1&amp;"】"&amp;_xlfn.XLOOKUP($A125&amp;$B125&amp;$C125,盘货信息!$A:$A&amp;盘货信息!$B:$B&amp;盘货信息!$C:$C,盘货信息!$V:$V))</f>
        <v/>
      </c>
      <c r="O125" s="27" t="str" cm="1">
        <f t="array" ref="O125">IF(_xlfn.XLOOKUP($A125&amp;$B125&amp;$C125,盘货信息!$A:$A&amp;盘货信息!$B:$B&amp;盘货信息!$C:$C,盘货信息!$W:$W)="","","【"&amp;盘货信息!$W$1&amp;"】"&amp;_xlfn.XLOOKUP($A125&amp;$B125&amp;$C125,盘货信息!$A:$A&amp;盘货信息!$B:$B&amp;盘货信息!$C:$C,盘货信息!$W:$W))</f>
        <v/>
      </c>
      <c r="P125" s="27" t="str" cm="1">
        <f t="array" ref="P125">IF(_xlfn.XLOOKUP($A125&amp;$B125&amp;$C125,盘货信息!$A:$A&amp;盘货信息!$B:$B&amp;盘货信息!$C:$C,盘货信息!$S:$S)&lt;1,"","【"&amp;盘货信息!$S$1&amp;"】"&amp;"后返"&amp;_xlfn.XLOOKUP($A125&amp;$B125&amp;$C125,盘货信息!$A:$A&amp;盘货信息!$B:$B&amp;盘货信息!$C:$C,盘货信息!$S:$S)&amp;"元")</f>
        <v/>
      </c>
      <c r="Q125" s="27" t="str" cm="1">
        <f t="array" ref="Q125">IF(_xlfn.XLOOKUP($A125&amp;$B125&amp;$C125,盘货信息!$A:$A&amp;盘货信息!$B:$B&amp;盘货信息!$C:$C,盘货信息!$X:$X)="","","【"&amp;盘货信息!$X$1&amp;"】"&amp;_xlfn.XLOOKUP($A125&amp;$B125&amp;$C125,盘货信息!$A:$A&amp;盘货信息!$B:$B&amp;盘货信息!$C:$C,盘货信息!$X:$X))</f>
        <v/>
      </c>
      <c r="R125" s="27" t="str" cm="1">
        <f t="array" ref="R125">IF(_xlfn.XLOOKUP($A125&amp;$B125&amp;$C125,盘货信息!$A:$A&amp;盘货信息!$B:$B&amp;盘货信息!$C:$C,盘货信息!$Z:$Z)="","","【"&amp;盘货信息!$Z$1&amp;"】"&amp;_xlfn.XLOOKUP($A125&amp;$B125&amp;$C125,盘货信息!$A:$A&amp;盘货信息!$B:$B&amp;盘货信息!$C:$C,盘货信息!$Z:$Z))</f>
        <v/>
      </c>
      <c r="S125" s="27" t="str" cm="1">
        <f t="array" ref="S125">IF(_xlfn.XLOOKUP($A125&amp;$B125&amp;$C125,盘货信息!$A:$A&amp;盘货信息!$B:$B&amp;盘货信息!$C:$C,盘货信息!$Q:$Q)="","","【种草】站外带指定话题种草后返"&amp;_xlfn.XLOOKUP($A125&amp;$B125&amp;$C125,盘货信息!$A:$A&amp;盘货信息!$B:$B&amp;盘货信息!$C:$C,盘货信息!$Q:$Q)&amp;"元红包（每个淘宝账号仅限对应一个站外种草账号，同一个种草账号不可对应多个淘宝账号）")</f>
        <v/>
      </c>
      <c r="T125" s="27" t="str" cm="1">
        <f t="array" ref="T125">IF(_xlfn.XLOOKUP($A125&amp;$B125&amp;$C125,盘货信息!$A:$A&amp;盘货信息!$B:$B&amp;盘货信息!$C:$C,盘货信息!$R:$R)&lt;1,"","【以旧换新】"&amp;"享补贴"&amp;ROUND(_xlfn.XLOOKUP($A125&amp;$B125&amp;$C125,盘货信息!$A:$A&amp;盘货信息!$B:$B&amp;盘货信息!$C:$C,盘货信息!$R:$R),0)&amp;"元（可无旧机换新）")</f>
        <v/>
      </c>
      <c r="U125" s="27" t="str">
        <f>IF(AND($N125="",$O125="",$P125="",$Q125="",$R125="",$S125="",$T125=""),"",固定信息!$B$1)</f>
        <v/>
      </c>
      <c r="V125" s="27" t="str" cm="1">
        <f t="array" ref="V125">IF(_xlfn.XLOOKUP($A125&amp;$B125&amp;$C125,盘货信息!$A:$A&amp;盘货信息!$B:$B&amp;盘货信息!$C:$C,盘货信息!$Y:$Y)="","","【卡萨帝送赠】活动指定时间"&amp;_xlfn.TEXTBEFORE(_xlfn.TEXTAFTER(_xlfn.XLOOKUP($A125&amp;$B125&amp;$C125,盘货信息!$A:$A&amp;盘货信息!$B:$B&amp;盘货信息!$C:$C,盘货信息!$Y:$Y),"点"),"（"))</f>
        <v/>
      </c>
      <c r="W125" s="27" t="str" cm="1">
        <f t="array" ref="W125">IF(COUNTIF(_xlfn.XLOOKUP($A125&amp;$B125&amp;$C125,盘货信息!$A:$A&amp;盘货信息!$B:$B&amp;盘货信息!$C:$C,盘货信息!$O:$O),"*是*"),"【折扣】指定型号满2类享96折，满3类享94折","")</f>
        <v/>
      </c>
      <c r="X125" s="27" t="str" cm="1">
        <f t="array" ref="X125">IF(固定信息!$B$7="","",IF(_xlfn.XLOOKUP($A125&amp;$B125&amp;$C125,盘货信息!$A:$A&amp;盘货信息!$B:$B&amp;盘货信息!$C:$C,盘货信息!$N:$N)="是","【瓜分】"&amp;固定信息!$B$7,""))</f>
        <v/>
      </c>
      <c r="Y125" s="27" t="str">
        <f>IF(AND($V125="",$W125="",$X125=""),"",固定信息!$B$1)</f>
        <v/>
      </c>
      <c r="Z125" s="27" t="str" cm="1">
        <f t="array" ref="Z125">IF($C125="","",_xlfn.XLOOKUP($A125&amp;$B125&amp;$C125,服务!$A:$A&amp;服务!$B:$B&amp;服务!$C:$C,服务!$D:$D))</f>
        <v/>
      </c>
    </row>
    <row r="126" customHeight="1" spans="1:26">
      <c r="A126" s="26" t="str">
        <f>IF(盘货信息!A126="","",盘货信息!A126)</f>
        <v/>
      </c>
      <c r="B126" s="26" t="str">
        <f>IF(盘货信息!B126="","",盘货信息!B126)</f>
        <v/>
      </c>
      <c r="C126" s="26" t="str">
        <f>IF(盘货信息!C126="","",盘货信息!C126)</f>
        <v/>
      </c>
      <c r="D126" s="27" t="str">
        <f ca="1" t="shared" si="1"/>
        <v/>
      </c>
      <c r="E126" s="27" t="str">
        <f>IF(C126="","",固定信息!$B$2)</f>
        <v/>
      </c>
      <c r="F126" s="27" t="str">
        <f>IF(C126="","","【"&amp;C126&amp;"】"&amp;固定信息!$B$4)</f>
        <v/>
      </c>
      <c r="G126" s="27" t="str">
        <f>IF(C126="","","【"&amp;"活动时间："&amp;固定信息!$B$3&amp;"】")</f>
        <v/>
      </c>
      <c r="H126" s="27" t="str">
        <f>IF($C126="","",固定信息!$B$1)</f>
        <v/>
      </c>
      <c r="I126" s="27" t="str">
        <f>IF(OR(C126="",固定信息!$B$5=""),"","【1元预约锁好礼】"&amp;固定信息!$B$5)</f>
        <v/>
      </c>
      <c r="J126" s="27" t="str" cm="1">
        <f t="array" ref="J126">_xlfn.XLOOKUP($A126&amp;$B126&amp;$C126,价格信息!$A:$A&amp;价格信息!$B:$B&amp;价格信息!$C:$C,价格信息!$D:$D)</f>
        <v/>
      </c>
      <c r="K126" s="27" t="str">
        <f>IF($C126="","",固定信息!$B$1)</f>
        <v/>
      </c>
      <c r="L126" s="27" t="str" cm="1">
        <f t="array" ref="L126">IF(_xlfn.XLOOKUP($A126&amp;$B126&amp;$C126,盘货信息!$A:$A&amp;盘货信息!$B:$B&amp;盘货信息!$C:$C,盘货信息!$T:$T)="","","【优惠券】领"&amp;_xlfn.XLOOKUP($A126&amp;$B126&amp;$C126,盘货信息!$A:$A&amp;盘货信息!$B:$B&amp;盘货信息!$C:$C,盘货信息!$T:$T)&amp;"元优惠卷下单更优惠，领券链接："&amp;_xlfn.XLOOKUP($A126&amp;$B126&amp;$C126,盘货信息!$A:$A&amp;盘货信息!$B:$B&amp;盘货信息!$C:$C,盘货信息!$U:$U))</f>
        <v/>
      </c>
      <c r="M126" s="27" t="str" cm="1">
        <f t="array" ref="M126">IF(_xlfn.XLOOKUP($A126&amp;$B126&amp;$C126,盘货信息!$A:$A&amp;盘货信息!$B:$B&amp;盘货信息!$C:$C,盘货信息!$P:$P)="","","【限时】"&amp;_xlfn.XLOOKUP($A126&amp;$B126&amp;$C126,盘货信息!$A:$A&amp;盘货信息!$B:$B&amp;盘货信息!$C:$C,盘货信息!$P:$P))</f>
        <v/>
      </c>
      <c r="N126" s="27" t="str" cm="1">
        <f t="array" ref="N126">IF(_xlfn.XLOOKUP($A126&amp;$B126&amp;$C126,盘货信息!$A:$A&amp;盘货信息!$B:$B&amp;盘货信息!$C:$C,盘货信息!$V:$V)="","","【"&amp;盘货信息!$V$1&amp;"】"&amp;_xlfn.XLOOKUP($A126&amp;$B126&amp;$C126,盘货信息!$A:$A&amp;盘货信息!$B:$B&amp;盘货信息!$C:$C,盘货信息!$V:$V))</f>
        <v/>
      </c>
      <c r="O126" s="27" t="str" cm="1">
        <f t="array" ref="O126">IF(_xlfn.XLOOKUP($A126&amp;$B126&amp;$C126,盘货信息!$A:$A&amp;盘货信息!$B:$B&amp;盘货信息!$C:$C,盘货信息!$W:$W)="","","【"&amp;盘货信息!$W$1&amp;"】"&amp;_xlfn.XLOOKUP($A126&amp;$B126&amp;$C126,盘货信息!$A:$A&amp;盘货信息!$B:$B&amp;盘货信息!$C:$C,盘货信息!$W:$W))</f>
        <v/>
      </c>
      <c r="P126" s="27" t="str" cm="1">
        <f t="array" ref="P126">IF(_xlfn.XLOOKUP($A126&amp;$B126&amp;$C126,盘货信息!$A:$A&amp;盘货信息!$B:$B&amp;盘货信息!$C:$C,盘货信息!$S:$S)&lt;1,"","【"&amp;盘货信息!$S$1&amp;"】"&amp;"后返"&amp;_xlfn.XLOOKUP($A126&amp;$B126&amp;$C126,盘货信息!$A:$A&amp;盘货信息!$B:$B&amp;盘货信息!$C:$C,盘货信息!$S:$S)&amp;"元")</f>
        <v/>
      </c>
      <c r="Q126" s="27" t="str" cm="1">
        <f t="array" ref="Q126">IF(_xlfn.XLOOKUP($A126&amp;$B126&amp;$C126,盘货信息!$A:$A&amp;盘货信息!$B:$B&amp;盘货信息!$C:$C,盘货信息!$X:$X)="","","【"&amp;盘货信息!$X$1&amp;"】"&amp;_xlfn.XLOOKUP($A126&amp;$B126&amp;$C126,盘货信息!$A:$A&amp;盘货信息!$B:$B&amp;盘货信息!$C:$C,盘货信息!$X:$X))</f>
        <v/>
      </c>
      <c r="R126" s="27" t="str" cm="1">
        <f t="array" ref="R126">IF(_xlfn.XLOOKUP($A126&amp;$B126&amp;$C126,盘货信息!$A:$A&amp;盘货信息!$B:$B&amp;盘货信息!$C:$C,盘货信息!$Z:$Z)="","","【"&amp;盘货信息!$Z$1&amp;"】"&amp;_xlfn.XLOOKUP($A126&amp;$B126&amp;$C126,盘货信息!$A:$A&amp;盘货信息!$B:$B&amp;盘货信息!$C:$C,盘货信息!$Z:$Z))</f>
        <v/>
      </c>
      <c r="S126" s="27" t="str" cm="1">
        <f t="array" ref="S126">IF(_xlfn.XLOOKUP($A126&amp;$B126&amp;$C126,盘货信息!$A:$A&amp;盘货信息!$B:$B&amp;盘货信息!$C:$C,盘货信息!$Q:$Q)="","","【种草】站外带指定话题种草后返"&amp;_xlfn.XLOOKUP($A126&amp;$B126&amp;$C126,盘货信息!$A:$A&amp;盘货信息!$B:$B&amp;盘货信息!$C:$C,盘货信息!$Q:$Q)&amp;"元红包（每个淘宝账号仅限对应一个站外种草账号，同一个种草账号不可对应多个淘宝账号）")</f>
        <v/>
      </c>
      <c r="T126" s="27" t="str" cm="1">
        <f t="array" ref="T126">IF(_xlfn.XLOOKUP($A126&amp;$B126&amp;$C126,盘货信息!$A:$A&amp;盘货信息!$B:$B&amp;盘货信息!$C:$C,盘货信息!$R:$R)&lt;1,"","【以旧换新】"&amp;"享补贴"&amp;ROUND(_xlfn.XLOOKUP($A126&amp;$B126&amp;$C126,盘货信息!$A:$A&amp;盘货信息!$B:$B&amp;盘货信息!$C:$C,盘货信息!$R:$R),0)&amp;"元（可无旧机换新）")</f>
        <v/>
      </c>
      <c r="U126" s="27" t="str">
        <f>IF(AND($N126="",$O126="",$P126="",$Q126="",$R126="",$S126="",$T126=""),"",固定信息!$B$1)</f>
        <v/>
      </c>
      <c r="V126" s="27" t="str" cm="1">
        <f t="array" ref="V126">IF(_xlfn.XLOOKUP($A126&amp;$B126&amp;$C126,盘货信息!$A:$A&amp;盘货信息!$B:$B&amp;盘货信息!$C:$C,盘货信息!$Y:$Y)="","","【卡萨帝送赠】活动指定时间"&amp;_xlfn.TEXTBEFORE(_xlfn.TEXTAFTER(_xlfn.XLOOKUP($A126&amp;$B126&amp;$C126,盘货信息!$A:$A&amp;盘货信息!$B:$B&amp;盘货信息!$C:$C,盘货信息!$Y:$Y),"点"),"（"))</f>
        <v/>
      </c>
      <c r="W126" s="27" t="str" cm="1">
        <f t="array" ref="W126">IF(COUNTIF(_xlfn.XLOOKUP($A126&amp;$B126&amp;$C126,盘货信息!$A:$A&amp;盘货信息!$B:$B&amp;盘货信息!$C:$C,盘货信息!$O:$O),"*是*"),"【折扣】指定型号满2类享96折，满3类享94折","")</f>
        <v/>
      </c>
      <c r="X126" s="27" t="str" cm="1">
        <f t="array" ref="X126">IF(固定信息!$B$7="","",IF(_xlfn.XLOOKUP($A126&amp;$B126&amp;$C126,盘货信息!$A:$A&amp;盘货信息!$B:$B&amp;盘货信息!$C:$C,盘货信息!$N:$N)="是","【瓜分】"&amp;固定信息!$B$7,""))</f>
        <v/>
      </c>
      <c r="Y126" s="27" t="str">
        <f>IF(AND($V126="",$W126="",$X126=""),"",固定信息!$B$1)</f>
        <v/>
      </c>
      <c r="Z126" s="27" t="str" cm="1">
        <f t="array" ref="Z126">IF($C126="","",_xlfn.XLOOKUP($A126&amp;$B126&amp;$C126,服务!$A:$A&amp;服务!$B:$B&amp;服务!$C:$C,服务!$D:$D))</f>
        <v/>
      </c>
    </row>
    <row r="127" customHeight="1" spans="1:26">
      <c r="A127" s="26" t="str">
        <f>IF(盘货信息!A127="","",盘货信息!A127)</f>
        <v/>
      </c>
      <c r="B127" s="26" t="str">
        <f>IF(盘货信息!B127="","",盘货信息!B127)</f>
        <v/>
      </c>
      <c r="C127" s="26" t="str">
        <f>IF(盘货信息!C127="","",盘货信息!C127)</f>
        <v/>
      </c>
      <c r="D127" s="27" t="str">
        <f ca="1" t="shared" si="1"/>
        <v/>
      </c>
      <c r="E127" s="27" t="str">
        <f>IF(C127="","",固定信息!$B$2)</f>
        <v/>
      </c>
      <c r="F127" s="27" t="str">
        <f>IF(C127="","","【"&amp;C127&amp;"】"&amp;固定信息!$B$4)</f>
        <v/>
      </c>
      <c r="G127" s="27" t="str">
        <f>IF(C127="","","【"&amp;"活动时间："&amp;固定信息!$B$3&amp;"】")</f>
        <v/>
      </c>
      <c r="H127" s="27" t="str">
        <f>IF($C127="","",固定信息!$B$1)</f>
        <v/>
      </c>
      <c r="I127" s="27" t="str">
        <f>IF(OR(C127="",固定信息!$B$5=""),"","【1元预约锁好礼】"&amp;固定信息!$B$5)</f>
        <v/>
      </c>
      <c r="J127" s="27" t="str" cm="1">
        <f t="array" ref="J127">_xlfn.XLOOKUP($A127&amp;$B127&amp;$C127,价格信息!$A:$A&amp;价格信息!$B:$B&amp;价格信息!$C:$C,价格信息!$D:$D)</f>
        <v/>
      </c>
      <c r="K127" s="27" t="str">
        <f>IF($C127="","",固定信息!$B$1)</f>
        <v/>
      </c>
      <c r="L127" s="27" t="str" cm="1">
        <f t="array" ref="L127">IF(_xlfn.XLOOKUP($A127&amp;$B127&amp;$C127,盘货信息!$A:$A&amp;盘货信息!$B:$B&amp;盘货信息!$C:$C,盘货信息!$T:$T)="","","【优惠券】领"&amp;_xlfn.XLOOKUP($A127&amp;$B127&amp;$C127,盘货信息!$A:$A&amp;盘货信息!$B:$B&amp;盘货信息!$C:$C,盘货信息!$T:$T)&amp;"元优惠卷下单更优惠，领券链接："&amp;_xlfn.XLOOKUP($A127&amp;$B127&amp;$C127,盘货信息!$A:$A&amp;盘货信息!$B:$B&amp;盘货信息!$C:$C,盘货信息!$U:$U))</f>
        <v/>
      </c>
      <c r="M127" s="27" t="str" cm="1">
        <f t="array" ref="M127">IF(_xlfn.XLOOKUP($A127&amp;$B127&amp;$C127,盘货信息!$A:$A&amp;盘货信息!$B:$B&amp;盘货信息!$C:$C,盘货信息!$P:$P)="","","【限时】"&amp;_xlfn.XLOOKUP($A127&amp;$B127&amp;$C127,盘货信息!$A:$A&amp;盘货信息!$B:$B&amp;盘货信息!$C:$C,盘货信息!$P:$P))</f>
        <v/>
      </c>
      <c r="N127" s="27" t="str" cm="1">
        <f t="array" ref="N127">IF(_xlfn.XLOOKUP($A127&amp;$B127&amp;$C127,盘货信息!$A:$A&amp;盘货信息!$B:$B&amp;盘货信息!$C:$C,盘货信息!$V:$V)="","","【"&amp;盘货信息!$V$1&amp;"】"&amp;_xlfn.XLOOKUP($A127&amp;$B127&amp;$C127,盘货信息!$A:$A&amp;盘货信息!$B:$B&amp;盘货信息!$C:$C,盘货信息!$V:$V))</f>
        <v/>
      </c>
      <c r="O127" s="27" t="str" cm="1">
        <f t="array" ref="O127">IF(_xlfn.XLOOKUP($A127&amp;$B127&amp;$C127,盘货信息!$A:$A&amp;盘货信息!$B:$B&amp;盘货信息!$C:$C,盘货信息!$W:$W)="","","【"&amp;盘货信息!$W$1&amp;"】"&amp;_xlfn.XLOOKUP($A127&amp;$B127&amp;$C127,盘货信息!$A:$A&amp;盘货信息!$B:$B&amp;盘货信息!$C:$C,盘货信息!$W:$W))</f>
        <v/>
      </c>
      <c r="P127" s="27" t="str" cm="1">
        <f t="array" ref="P127">IF(_xlfn.XLOOKUP($A127&amp;$B127&amp;$C127,盘货信息!$A:$A&amp;盘货信息!$B:$B&amp;盘货信息!$C:$C,盘货信息!$S:$S)&lt;1,"","【"&amp;盘货信息!$S$1&amp;"】"&amp;"后返"&amp;_xlfn.XLOOKUP($A127&amp;$B127&amp;$C127,盘货信息!$A:$A&amp;盘货信息!$B:$B&amp;盘货信息!$C:$C,盘货信息!$S:$S)&amp;"元")</f>
        <v/>
      </c>
      <c r="Q127" s="27" t="str" cm="1">
        <f t="array" ref="Q127">IF(_xlfn.XLOOKUP($A127&amp;$B127&amp;$C127,盘货信息!$A:$A&amp;盘货信息!$B:$B&amp;盘货信息!$C:$C,盘货信息!$X:$X)="","","【"&amp;盘货信息!$X$1&amp;"】"&amp;_xlfn.XLOOKUP($A127&amp;$B127&amp;$C127,盘货信息!$A:$A&amp;盘货信息!$B:$B&amp;盘货信息!$C:$C,盘货信息!$X:$X))</f>
        <v/>
      </c>
      <c r="R127" s="27" t="str" cm="1">
        <f t="array" ref="R127">IF(_xlfn.XLOOKUP($A127&amp;$B127&amp;$C127,盘货信息!$A:$A&amp;盘货信息!$B:$B&amp;盘货信息!$C:$C,盘货信息!$Z:$Z)="","","【"&amp;盘货信息!$Z$1&amp;"】"&amp;_xlfn.XLOOKUP($A127&amp;$B127&amp;$C127,盘货信息!$A:$A&amp;盘货信息!$B:$B&amp;盘货信息!$C:$C,盘货信息!$Z:$Z))</f>
        <v/>
      </c>
      <c r="S127" s="27" t="str" cm="1">
        <f t="array" ref="S127">IF(_xlfn.XLOOKUP($A127&amp;$B127&amp;$C127,盘货信息!$A:$A&amp;盘货信息!$B:$B&amp;盘货信息!$C:$C,盘货信息!$Q:$Q)="","","【种草】站外带指定话题种草后返"&amp;_xlfn.XLOOKUP($A127&amp;$B127&amp;$C127,盘货信息!$A:$A&amp;盘货信息!$B:$B&amp;盘货信息!$C:$C,盘货信息!$Q:$Q)&amp;"元红包（每个淘宝账号仅限对应一个站外种草账号，同一个种草账号不可对应多个淘宝账号）")</f>
        <v/>
      </c>
      <c r="T127" s="27" t="str" cm="1">
        <f t="array" ref="T127">IF(_xlfn.XLOOKUP($A127&amp;$B127&amp;$C127,盘货信息!$A:$A&amp;盘货信息!$B:$B&amp;盘货信息!$C:$C,盘货信息!$R:$R)&lt;1,"","【以旧换新】"&amp;"享补贴"&amp;ROUND(_xlfn.XLOOKUP($A127&amp;$B127&amp;$C127,盘货信息!$A:$A&amp;盘货信息!$B:$B&amp;盘货信息!$C:$C,盘货信息!$R:$R),0)&amp;"元（可无旧机换新）")</f>
        <v/>
      </c>
      <c r="U127" s="27" t="str">
        <f>IF(AND($N127="",$O127="",$P127="",$Q127="",$R127="",$S127="",$T127=""),"",固定信息!$B$1)</f>
        <v/>
      </c>
      <c r="V127" s="27" t="str" cm="1">
        <f t="array" ref="V127">IF(_xlfn.XLOOKUP($A127&amp;$B127&amp;$C127,盘货信息!$A:$A&amp;盘货信息!$B:$B&amp;盘货信息!$C:$C,盘货信息!$Y:$Y)="","","【卡萨帝送赠】活动指定时间"&amp;_xlfn.TEXTBEFORE(_xlfn.TEXTAFTER(_xlfn.XLOOKUP($A127&amp;$B127&amp;$C127,盘货信息!$A:$A&amp;盘货信息!$B:$B&amp;盘货信息!$C:$C,盘货信息!$Y:$Y),"点"),"（"))</f>
        <v/>
      </c>
      <c r="W127" s="27" t="str" cm="1">
        <f t="array" ref="W127">IF(COUNTIF(_xlfn.XLOOKUP($A127&amp;$B127&amp;$C127,盘货信息!$A:$A&amp;盘货信息!$B:$B&amp;盘货信息!$C:$C,盘货信息!$O:$O),"*是*"),"【折扣】指定型号满2类享96折，满3类享94折","")</f>
        <v/>
      </c>
      <c r="X127" s="27" t="str" cm="1">
        <f t="array" ref="X127">IF(固定信息!$B$7="","",IF(_xlfn.XLOOKUP($A127&amp;$B127&amp;$C127,盘货信息!$A:$A&amp;盘货信息!$B:$B&amp;盘货信息!$C:$C,盘货信息!$N:$N)="是","【瓜分】"&amp;固定信息!$B$7,""))</f>
        <v/>
      </c>
      <c r="Y127" s="27" t="str">
        <f>IF(AND($V127="",$W127="",$X127=""),"",固定信息!$B$1)</f>
        <v/>
      </c>
      <c r="Z127" s="27" t="str" cm="1">
        <f t="array" ref="Z127">IF($C127="","",_xlfn.XLOOKUP($A127&amp;$B127&amp;$C127,服务!$A:$A&amp;服务!$B:$B&amp;服务!$C:$C,服务!$D:$D))</f>
        <v/>
      </c>
    </row>
    <row r="128" customHeight="1" spans="1:26">
      <c r="A128" s="26" t="str">
        <f>IF(盘货信息!A128="","",盘货信息!A128)</f>
        <v/>
      </c>
      <c r="B128" s="26" t="str">
        <f>IF(盘货信息!B128="","",盘货信息!B128)</f>
        <v/>
      </c>
      <c r="C128" s="26" t="str">
        <f>IF(盘货信息!C128="","",盘货信息!C128)</f>
        <v/>
      </c>
      <c r="D128" s="27" t="str">
        <f ca="1" t="shared" si="1"/>
        <v/>
      </c>
      <c r="E128" s="27" t="str">
        <f>IF(C128="","",固定信息!$B$2)</f>
        <v/>
      </c>
      <c r="F128" s="27" t="str">
        <f>IF(C128="","","【"&amp;C128&amp;"】"&amp;固定信息!$B$4)</f>
        <v/>
      </c>
      <c r="G128" s="27" t="str">
        <f>IF(C128="","","【"&amp;"活动时间："&amp;固定信息!$B$3&amp;"】")</f>
        <v/>
      </c>
      <c r="H128" s="27" t="str">
        <f>IF($C128="","",固定信息!$B$1)</f>
        <v/>
      </c>
      <c r="I128" s="27" t="str">
        <f>IF(OR(C128="",固定信息!$B$5=""),"","【1元预约锁好礼】"&amp;固定信息!$B$5)</f>
        <v/>
      </c>
      <c r="J128" s="27" t="str" cm="1">
        <f t="array" ref="J128">_xlfn.XLOOKUP($A128&amp;$B128&amp;$C128,价格信息!$A:$A&amp;价格信息!$B:$B&amp;价格信息!$C:$C,价格信息!$D:$D)</f>
        <v/>
      </c>
      <c r="K128" s="27" t="str">
        <f>IF($C128="","",固定信息!$B$1)</f>
        <v/>
      </c>
      <c r="L128" s="27" t="str" cm="1">
        <f t="array" ref="L128">IF(_xlfn.XLOOKUP($A128&amp;$B128&amp;$C128,盘货信息!$A:$A&amp;盘货信息!$B:$B&amp;盘货信息!$C:$C,盘货信息!$T:$T)="","","【优惠券】领"&amp;_xlfn.XLOOKUP($A128&amp;$B128&amp;$C128,盘货信息!$A:$A&amp;盘货信息!$B:$B&amp;盘货信息!$C:$C,盘货信息!$T:$T)&amp;"元优惠卷下单更优惠，领券链接："&amp;_xlfn.XLOOKUP($A128&amp;$B128&amp;$C128,盘货信息!$A:$A&amp;盘货信息!$B:$B&amp;盘货信息!$C:$C,盘货信息!$U:$U))</f>
        <v/>
      </c>
      <c r="M128" s="27" t="str" cm="1">
        <f t="array" ref="M128">IF(_xlfn.XLOOKUP($A128&amp;$B128&amp;$C128,盘货信息!$A:$A&amp;盘货信息!$B:$B&amp;盘货信息!$C:$C,盘货信息!$P:$P)="","","【限时】"&amp;_xlfn.XLOOKUP($A128&amp;$B128&amp;$C128,盘货信息!$A:$A&amp;盘货信息!$B:$B&amp;盘货信息!$C:$C,盘货信息!$P:$P))</f>
        <v/>
      </c>
      <c r="N128" s="27" t="str" cm="1">
        <f t="array" ref="N128">IF(_xlfn.XLOOKUP($A128&amp;$B128&amp;$C128,盘货信息!$A:$A&amp;盘货信息!$B:$B&amp;盘货信息!$C:$C,盘货信息!$V:$V)="","","【"&amp;盘货信息!$V$1&amp;"】"&amp;_xlfn.XLOOKUP($A128&amp;$B128&amp;$C128,盘货信息!$A:$A&amp;盘货信息!$B:$B&amp;盘货信息!$C:$C,盘货信息!$V:$V))</f>
        <v/>
      </c>
      <c r="O128" s="27" t="str" cm="1">
        <f t="array" ref="O128">IF(_xlfn.XLOOKUP($A128&amp;$B128&amp;$C128,盘货信息!$A:$A&amp;盘货信息!$B:$B&amp;盘货信息!$C:$C,盘货信息!$W:$W)="","","【"&amp;盘货信息!$W$1&amp;"】"&amp;_xlfn.XLOOKUP($A128&amp;$B128&amp;$C128,盘货信息!$A:$A&amp;盘货信息!$B:$B&amp;盘货信息!$C:$C,盘货信息!$W:$W))</f>
        <v/>
      </c>
      <c r="P128" s="27" t="str" cm="1">
        <f t="array" ref="P128">IF(_xlfn.XLOOKUP($A128&amp;$B128&amp;$C128,盘货信息!$A:$A&amp;盘货信息!$B:$B&amp;盘货信息!$C:$C,盘货信息!$S:$S)&lt;1,"","【"&amp;盘货信息!$S$1&amp;"】"&amp;"后返"&amp;_xlfn.XLOOKUP($A128&amp;$B128&amp;$C128,盘货信息!$A:$A&amp;盘货信息!$B:$B&amp;盘货信息!$C:$C,盘货信息!$S:$S)&amp;"元")</f>
        <v/>
      </c>
      <c r="Q128" s="27" t="str" cm="1">
        <f t="array" ref="Q128">IF(_xlfn.XLOOKUP($A128&amp;$B128&amp;$C128,盘货信息!$A:$A&amp;盘货信息!$B:$B&amp;盘货信息!$C:$C,盘货信息!$X:$X)="","","【"&amp;盘货信息!$X$1&amp;"】"&amp;_xlfn.XLOOKUP($A128&amp;$B128&amp;$C128,盘货信息!$A:$A&amp;盘货信息!$B:$B&amp;盘货信息!$C:$C,盘货信息!$X:$X))</f>
        <v/>
      </c>
      <c r="R128" s="27" t="str" cm="1">
        <f t="array" ref="R128">IF(_xlfn.XLOOKUP($A128&amp;$B128&amp;$C128,盘货信息!$A:$A&amp;盘货信息!$B:$B&amp;盘货信息!$C:$C,盘货信息!$Z:$Z)="","","【"&amp;盘货信息!$Z$1&amp;"】"&amp;_xlfn.XLOOKUP($A128&amp;$B128&amp;$C128,盘货信息!$A:$A&amp;盘货信息!$B:$B&amp;盘货信息!$C:$C,盘货信息!$Z:$Z))</f>
        <v/>
      </c>
      <c r="S128" s="27" t="str" cm="1">
        <f t="array" ref="S128">IF(_xlfn.XLOOKUP($A128&amp;$B128&amp;$C128,盘货信息!$A:$A&amp;盘货信息!$B:$B&amp;盘货信息!$C:$C,盘货信息!$Q:$Q)="","","【种草】站外带指定话题种草后返"&amp;_xlfn.XLOOKUP($A128&amp;$B128&amp;$C128,盘货信息!$A:$A&amp;盘货信息!$B:$B&amp;盘货信息!$C:$C,盘货信息!$Q:$Q)&amp;"元红包（每个淘宝账号仅限对应一个站外种草账号，同一个种草账号不可对应多个淘宝账号）")</f>
        <v/>
      </c>
      <c r="T128" s="27" t="str" cm="1">
        <f t="array" ref="T128">IF(_xlfn.XLOOKUP($A128&amp;$B128&amp;$C128,盘货信息!$A:$A&amp;盘货信息!$B:$B&amp;盘货信息!$C:$C,盘货信息!$R:$R)&lt;1,"","【以旧换新】"&amp;"享补贴"&amp;ROUND(_xlfn.XLOOKUP($A128&amp;$B128&amp;$C128,盘货信息!$A:$A&amp;盘货信息!$B:$B&amp;盘货信息!$C:$C,盘货信息!$R:$R),0)&amp;"元（可无旧机换新）")</f>
        <v/>
      </c>
      <c r="U128" s="27" t="str">
        <f>IF(AND($N128="",$O128="",$P128="",$Q128="",$R128="",$S128="",$T128=""),"",固定信息!$B$1)</f>
        <v/>
      </c>
      <c r="V128" s="27" t="str" cm="1">
        <f t="array" ref="V128">IF(_xlfn.XLOOKUP($A128&amp;$B128&amp;$C128,盘货信息!$A:$A&amp;盘货信息!$B:$B&amp;盘货信息!$C:$C,盘货信息!$Y:$Y)="","","【卡萨帝送赠】活动指定时间"&amp;_xlfn.TEXTBEFORE(_xlfn.TEXTAFTER(_xlfn.XLOOKUP($A128&amp;$B128&amp;$C128,盘货信息!$A:$A&amp;盘货信息!$B:$B&amp;盘货信息!$C:$C,盘货信息!$Y:$Y),"点"),"（"))</f>
        <v/>
      </c>
      <c r="W128" s="27" t="str" cm="1">
        <f t="array" ref="W128">IF(COUNTIF(_xlfn.XLOOKUP($A128&amp;$B128&amp;$C128,盘货信息!$A:$A&amp;盘货信息!$B:$B&amp;盘货信息!$C:$C,盘货信息!$O:$O),"*是*"),"【折扣】指定型号满2类享96折，满3类享94折","")</f>
        <v/>
      </c>
      <c r="X128" s="27" t="str" cm="1">
        <f t="array" ref="X128">IF(固定信息!$B$7="","",IF(_xlfn.XLOOKUP($A128&amp;$B128&amp;$C128,盘货信息!$A:$A&amp;盘货信息!$B:$B&amp;盘货信息!$C:$C,盘货信息!$N:$N)="是","【瓜分】"&amp;固定信息!$B$7,""))</f>
        <v/>
      </c>
      <c r="Y128" s="27" t="str">
        <f>IF(AND($V128="",$W128="",$X128=""),"",固定信息!$B$1)</f>
        <v/>
      </c>
      <c r="Z128" s="27" t="str" cm="1">
        <f t="array" ref="Z128">IF($C128="","",_xlfn.XLOOKUP($A128&amp;$B128&amp;$C128,服务!$A:$A&amp;服务!$B:$B&amp;服务!$C:$C,服务!$D:$D))</f>
        <v/>
      </c>
    </row>
    <row r="129" customHeight="1" spans="1:26">
      <c r="A129" s="26" t="str">
        <f>IF(盘货信息!A129="","",盘货信息!A129)</f>
        <v/>
      </c>
      <c r="B129" s="26" t="str">
        <f>IF(盘货信息!B129="","",盘货信息!B129)</f>
        <v/>
      </c>
      <c r="C129" s="26" t="str">
        <f>IF(盘货信息!C129="","",盘货信息!C129)</f>
        <v/>
      </c>
      <c r="D129" s="27" t="str">
        <f ca="1" t="shared" si="1"/>
        <v/>
      </c>
      <c r="E129" s="27" t="str">
        <f>IF(C129="","",固定信息!$B$2)</f>
        <v/>
      </c>
      <c r="F129" s="27" t="str">
        <f>IF(C129="","","【"&amp;C129&amp;"】"&amp;固定信息!$B$4)</f>
        <v/>
      </c>
      <c r="G129" s="27" t="str">
        <f>IF(C129="","","【"&amp;"活动时间："&amp;固定信息!$B$3&amp;"】")</f>
        <v/>
      </c>
      <c r="H129" s="27" t="str">
        <f>IF($C129="","",固定信息!$B$1)</f>
        <v/>
      </c>
      <c r="I129" s="27" t="str">
        <f>IF(OR(C129="",固定信息!$B$5=""),"","【1元预约锁好礼】"&amp;固定信息!$B$5)</f>
        <v/>
      </c>
      <c r="J129" s="27" t="str" cm="1">
        <f t="array" ref="J129">_xlfn.XLOOKUP($A129&amp;$B129&amp;$C129,价格信息!$A:$A&amp;价格信息!$B:$B&amp;价格信息!$C:$C,价格信息!$D:$D)</f>
        <v/>
      </c>
      <c r="K129" s="27" t="str">
        <f>IF($C129="","",固定信息!$B$1)</f>
        <v/>
      </c>
      <c r="L129" s="27" t="str" cm="1">
        <f t="array" ref="L129">IF(_xlfn.XLOOKUP($A129&amp;$B129&amp;$C129,盘货信息!$A:$A&amp;盘货信息!$B:$B&amp;盘货信息!$C:$C,盘货信息!$T:$T)="","","【优惠券】领"&amp;_xlfn.XLOOKUP($A129&amp;$B129&amp;$C129,盘货信息!$A:$A&amp;盘货信息!$B:$B&amp;盘货信息!$C:$C,盘货信息!$T:$T)&amp;"元优惠卷下单更优惠，领券链接："&amp;_xlfn.XLOOKUP($A129&amp;$B129&amp;$C129,盘货信息!$A:$A&amp;盘货信息!$B:$B&amp;盘货信息!$C:$C,盘货信息!$U:$U))</f>
        <v/>
      </c>
      <c r="M129" s="27" t="str" cm="1">
        <f t="array" ref="M129">IF(_xlfn.XLOOKUP($A129&amp;$B129&amp;$C129,盘货信息!$A:$A&amp;盘货信息!$B:$B&amp;盘货信息!$C:$C,盘货信息!$P:$P)="","","【限时】"&amp;_xlfn.XLOOKUP($A129&amp;$B129&amp;$C129,盘货信息!$A:$A&amp;盘货信息!$B:$B&amp;盘货信息!$C:$C,盘货信息!$P:$P))</f>
        <v/>
      </c>
      <c r="N129" s="27" t="str" cm="1">
        <f t="array" ref="N129">IF(_xlfn.XLOOKUP($A129&amp;$B129&amp;$C129,盘货信息!$A:$A&amp;盘货信息!$B:$B&amp;盘货信息!$C:$C,盘货信息!$V:$V)="","","【"&amp;盘货信息!$V$1&amp;"】"&amp;_xlfn.XLOOKUP($A129&amp;$B129&amp;$C129,盘货信息!$A:$A&amp;盘货信息!$B:$B&amp;盘货信息!$C:$C,盘货信息!$V:$V))</f>
        <v/>
      </c>
      <c r="O129" s="27" t="str" cm="1">
        <f t="array" ref="O129">IF(_xlfn.XLOOKUP($A129&amp;$B129&amp;$C129,盘货信息!$A:$A&amp;盘货信息!$B:$B&amp;盘货信息!$C:$C,盘货信息!$W:$W)="","","【"&amp;盘货信息!$W$1&amp;"】"&amp;_xlfn.XLOOKUP($A129&amp;$B129&amp;$C129,盘货信息!$A:$A&amp;盘货信息!$B:$B&amp;盘货信息!$C:$C,盘货信息!$W:$W))</f>
        <v/>
      </c>
      <c r="P129" s="27" t="str" cm="1">
        <f t="array" ref="P129">IF(_xlfn.XLOOKUP($A129&amp;$B129&amp;$C129,盘货信息!$A:$A&amp;盘货信息!$B:$B&amp;盘货信息!$C:$C,盘货信息!$S:$S)&lt;1,"","【"&amp;盘货信息!$S$1&amp;"】"&amp;"后返"&amp;_xlfn.XLOOKUP($A129&amp;$B129&amp;$C129,盘货信息!$A:$A&amp;盘货信息!$B:$B&amp;盘货信息!$C:$C,盘货信息!$S:$S)&amp;"元")</f>
        <v/>
      </c>
      <c r="Q129" s="27" t="str" cm="1">
        <f t="array" ref="Q129">IF(_xlfn.XLOOKUP($A129&amp;$B129&amp;$C129,盘货信息!$A:$A&amp;盘货信息!$B:$B&amp;盘货信息!$C:$C,盘货信息!$X:$X)="","","【"&amp;盘货信息!$X$1&amp;"】"&amp;_xlfn.XLOOKUP($A129&amp;$B129&amp;$C129,盘货信息!$A:$A&amp;盘货信息!$B:$B&amp;盘货信息!$C:$C,盘货信息!$X:$X))</f>
        <v/>
      </c>
      <c r="R129" s="27" t="str" cm="1">
        <f t="array" ref="R129">IF(_xlfn.XLOOKUP($A129&amp;$B129&amp;$C129,盘货信息!$A:$A&amp;盘货信息!$B:$B&amp;盘货信息!$C:$C,盘货信息!$Z:$Z)="","","【"&amp;盘货信息!$Z$1&amp;"】"&amp;_xlfn.XLOOKUP($A129&amp;$B129&amp;$C129,盘货信息!$A:$A&amp;盘货信息!$B:$B&amp;盘货信息!$C:$C,盘货信息!$Z:$Z))</f>
        <v/>
      </c>
      <c r="S129" s="27" t="str" cm="1">
        <f t="array" ref="S129">IF(_xlfn.XLOOKUP($A129&amp;$B129&amp;$C129,盘货信息!$A:$A&amp;盘货信息!$B:$B&amp;盘货信息!$C:$C,盘货信息!$Q:$Q)="","","【种草】站外带指定话题种草后返"&amp;_xlfn.XLOOKUP($A129&amp;$B129&amp;$C129,盘货信息!$A:$A&amp;盘货信息!$B:$B&amp;盘货信息!$C:$C,盘货信息!$Q:$Q)&amp;"元红包（每个淘宝账号仅限对应一个站外种草账号，同一个种草账号不可对应多个淘宝账号）")</f>
        <v/>
      </c>
      <c r="T129" s="27" t="str" cm="1">
        <f t="array" ref="T129">IF(_xlfn.XLOOKUP($A129&amp;$B129&amp;$C129,盘货信息!$A:$A&amp;盘货信息!$B:$B&amp;盘货信息!$C:$C,盘货信息!$R:$R)&lt;1,"","【以旧换新】"&amp;"享补贴"&amp;ROUND(_xlfn.XLOOKUP($A129&amp;$B129&amp;$C129,盘货信息!$A:$A&amp;盘货信息!$B:$B&amp;盘货信息!$C:$C,盘货信息!$R:$R),0)&amp;"元（可无旧机换新）")</f>
        <v/>
      </c>
      <c r="U129" s="27" t="str">
        <f>IF(AND($N129="",$O129="",$P129="",$Q129="",$R129="",$S129="",$T129=""),"",固定信息!$B$1)</f>
        <v/>
      </c>
      <c r="V129" s="27" t="str" cm="1">
        <f t="array" ref="V129">IF(_xlfn.XLOOKUP($A129&amp;$B129&amp;$C129,盘货信息!$A:$A&amp;盘货信息!$B:$B&amp;盘货信息!$C:$C,盘货信息!$Y:$Y)="","","【卡萨帝送赠】活动指定时间"&amp;_xlfn.TEXTBEFORE(_xlfn.TEXTAFTER(_xlfn.XLOOKUP($A129&amp;$B129&amp;$C129,盘货信息!$A:$A&amp;盘货信息!$B:$B&amp;盘货信息!$C:$C,盘货信息!$Y:$Y),"点"),"（"))</f>
        <v/>
      </c>
      <c r="W129" s="27" t="str" cm="1">
        <f t="array" ref="W129">IF(COUNTIF(_xlfn.XLOOKUP($A129&amp;$B129&amp;$C129,盘货信息!$A:$A&amp;盘货信息!$B:$B&amp;盘货信息!$C:$C,盘货信息!$O:$O),"*是*"),"【折扣】指定型号满2类享96折，满3类享94折","")</f>
        <v/>
      </c>
      <c r="X129" s="27" t="str" cm="1">
        <f t="array" ref="X129">IF(固定信息!$B$7="","",IF(_xlfn.XLOOKUP($A129&amp;$B129&amp;$C129,盘货信息!$A:$A&amp;盘货信息!$B:$B&amp;盘货信息!$C:$C,盘货信息!$N:$N)="是","【瓜分】"&amp;固定信息!$B$7,""))</f>
        <v/>
      </c>
      <c r="Y129" s="27" t="str">
        <f>IF(AND($V129="",$W129="",$X129=""),"",固定信息!$B$1)</f>
        <v/>
      </c>
      <c r="Z129" s="27" t="str" cm="1">
        <f t="array" ref="Z129">IF($C129="","",_xlfn.XLOOKUP($A129&amp;$B129&amp;$C129,服务!$A:$A&amp;服务!$B:$B&amp;服务!$C:$C,服务!$D:$D))</f>
        <v/>
      </c>
    </row>
    <row r="130" customHeight="1" spans="1:26">
      <c r="A130" s="26" t="str">
        <f>IF(盘货信息!A130="","",盘货信息!A130)</f>
        <v/>
      </c>
      <c r="B130" s="26" t="str">
        <f>IF(盘货信息!B130="","",盘货信息!B130)</f>
        <v/>
      </c>
      <c r="C130" s="26" t="str">
        <f>IF(盘货信息!C130="","",盘货信息!C130)</f>
        <v/>
      </c>
      <c r="D130" s="27" t="str">
        <f ca="1" t="shared" si="1"/>
        <v/>
      </c>
      <c r="E130" s="27" t="str">
        <f>IF(C130="","",固定信息!$B$2)</f>
        <v/>
      </c>
      <c r="F130" s="27" t="str">
        <f>IF(C130="","","【"&amp;C130&amp;"】"&amp;固定信息!$B$4)</f>
        <v/>
      </c>
      <c r="G130" s="27" t="str">
        <f>IF(C130="","","【"&amp;"活动时间："&amp;固定信息!$B$3&amp;"】")</f>
        <v/>
      </c>
      <c r="H130" s="27" t="str">
        <f>IF($C130="","",固定信息!$B$1)</f>
        <v/>
      </c>
      <c r="I130" s="27" t="str">
        <f>IF(OR(C130="",固定信息!$B$5=""),"","【1元预约锁好礼】"&amp;固定信息!$B$5)</f>
        <v/>
      </c>
      <c r="J130" s="27" t="str" cm="1">
        <f t="array" ref="J130">_xlfn.XLOOKUP($A130&amp;$B130&amp;$C130,价格信息!$A:$A&amp;价格信息!$B:$B&amp;价格信息!$C:$C,价格信息!$D:$D)</f>
        <v/>
      </c>
      <c r="K130" s="27" t="str">
        <f>IF($C130="","",固定信息!$B$1)</f>
        <v/>
      </c>
      <c r="L130" s="27" t="str" cm="1">
        <f t="array" ref="L130">IF(_xlfn.XLOOKUP($A130&amp;$B130&amp;$C130,盘货信息!$A:$A&amp;盘货信息!$B:$B&amp;盘货信息!$C:$C,盘货信息!$T:$T)="","","【优惠券】领"&amp;_xlfn.XLOOKUP($A130&amp;$B130&amp;$C130,盘货信息!$A:$A&amp;盘货信息!$B:$B&amp;盘货信息!$C:$C,盘货信息!$T:$T)&amp;"元优惠卷下单更优惠，领券链接："&amp;_xlfn.XLOOKUP($A130&amp;$B130&amp;$C130,盘货信息!$A:$A&amp;盘货信息!$B:$B&amp;盘货信息!$C:$C,盘货信息!$U:$U))</f>
        <v/>
      </c>
      <c r="M130" s="27" t="str" cm="1">
        <f t="array" ref="M130">IF(_xlfn.XLOOKUP($A130&amp;$B130&amp;$C130,盘货信息!$A:$A&amp;盘货信息!$B:$B&amp;盘货信息!$C:$C,盘货信息!$P:$P)="","","【限时】"&amp;_xlfn.XLOOKUP($A130&amp;$B130&amp;$C130,盘货信息!$A:$A&amp;盘货信息!$B:$B&amp;盘货信息!$C:$C,盘货信息!$P:$P))</f>
        <v/>
      </c>
      <c r="N130" s="27" t="str" cm="1">
        <f t="array" ref="N130">IF(_xlfn.XLOOKUP($A130&amp;$B130&amp;$C130,盘货信息!$A:$A&amp;盘货信息!$B:$B&amp;盘货信息!$C:$C,盘货信息!$V:$V)="","","【"&amp;盘货信息!$V$1&amp;"】"&amp;_xlfn.XLOOKUP($A130&amp;$B130&amp;$C130,盘货信息!$A:$A&amp;盘货信息!$B:$B&amp;盘货信息!$C:$C,盘货信息!$V:$V))</f>
        <v/>
      </c>
      <c r="O130" s="27" t="str" cm="1">
        <f t="array" ref="O130">IF(_xlfn.XLOOKUP($A130&amp;$B130&amp;$C130,盘货信息!$A:$A&amp;盘货信息!$B:$B&amp;盘货信息!$C:$C,盘货信息!$W:$W)="","","【"&amp;盘货信息!$W$1&amp;"】"&amp;_xlfn.XLOOKUP($A130&amp;$B130&amp;$C130,盘货信息!$A:$A&amp;盘货信息!$B:$B&amp;盘货信息!$C:$C,盘货信息!$W:$W))</f>
        <v/>
      </c>
      <c r="P130" s="27" t="str" cm="1">
        <f t="array" ref="P130">IF(_xlfn.XLOOKUP($A130&amp;$B130&amp;$C130,盘货信息!$A:$A&amp;盘货信息!$B:$B&amp;盘货信息!$C:$C,盘货信息!$S:$S)&lt;1,"","【"&amp;盘货信息!$S$1&amp;"】"&amp;"后返"&amp;_xlfn.XLOOKUP($A130&amp;$B130&amp;$C130,盘货信息!$A:$A&amp;盘货信息!$B:$B&amp;盘货信息!$C:$C,盘货信息!$S:$S)&amp;"元")</f>
        <v/>
      </c>
      <c r="Q130" s="27" t="str" cm="1">
        <f t="array" ref="Q130">IF(_xlfn.XLOOKUP($A130&amp;$B130&amp;$C130,盘货信息!$A:$A&amp;盘货信息!$B:$B&amp;盘货信息!$C:$C,盘货信息!$X:$X)="","","【"&amp;盘货信息!$X$1&amp;"】"&amp;_xlfn.XLOOKUP($A130&amp;$B130&amp;$C130,盘货信息!$A:$A&amp;盘货信息!$B:$B&amp;盘货信息!$C:$C,盘货信息!$X:$X))</f>
        <v/>
      </c>
      <c r="R130" s="27" t="str" cm="1">
        <f t="array" ref="R130">IF(_xlfn.XLOOKUP($A130&amp;$B130&amp;$C130,盘货信息!$A:$A&amp;盘货信息!$B:$B&amp;盘货信息!$C:$C,盘货信息!$Z:$Z)="","","【"&amp;盘货信息!$Z$1&amp;"】"&amp;_xlfn.XLOOKUP($A130&amp;$B130&amp;$C130,盘货信息!$A:$A&amp;盘货信息!$B:$B&amp;盘货信息!$C:$C,盘货信息!$Z:$Z))</f>
        <v/>
      </c>
      <c r="S130" s="27" t="str" cm="1">
        <f t="array" ref="S130">IF(_xlfn.XLOOKUP($A130&amp;$B130&amp;$C130,盘货信息!$A:$A&amp;盘货信息!$B:$B&amp;盘货信息!$C:$C,盘货信息!$Q:$Q)="","","【种草】站外带指定话题种草后返"&amp;_xlfn.XLOOKUP($A130&amp;$B130&amp;$C130,盘货信息!$A:$A&amp;盘货信息!$B:$B&amp;盘货信息!$C:$C,盘货信息!$Q:$Q)&amp;"元红包（每个淘宝账号仅限对应一个站外种草账号，同一个种草账号不可对应多个淘宝账号）")</f>
        <v/>
      </c>
      <c r="T130" s="27" t="str" cm="1">
        <f t="array" ref="T130">IF(_xlfn.XLOOKUP($A130&amp;$B130&amp;$C130,盘货信息!$A:$A&amp;盘货信息!$B:$B&amp;盘货信息!$C:$C,盘货信息!$R:$R)&lt;1,"","【以旧换新】"&amp;"享补贴"&amp;ROUND(_xlfn.XLOOKUP($A130&amp;$B130&amp;$C130,盘货信息!$A:$A&amp;盘货信息!$B:$B&amp;盘货信息!$C:$C,盘货信息!$R:$R),0)&amp;"元（可无旧机换新）")</f>
        <v/>
      </c>
      <c r="U130" s="27" t="str">
        <f>IF(AND($N130="",$O130="",$P130="",$Q130="",$R130="",$S130="",$T130=""),"",固定信息!$B$1)</f>
        <v/>
      </c>
      <c r="V130" s="27" t="str" cm="1">
        <f t="array" ref="V130">IF(_xlfn.XLOOKUP($A130&amp;$B130&amp;$C130,盘货信息!$A:$A&amp;盘货信息!$B:$B&amp;盘货信息!$C:$C,盘货信息!$Y:$Y)="","","【卡萨帝送赠】活动指定时间"&amp;_xlfn.TEXTBEFORE(_xlfn.TEXTAFTER(_xlfn.XLOOKUP($A130&amp;$B130&amp;$C130,盘货信息!$A:$A&amp;盘货信息!$B:$B&amp;盘货信息!$C:$C,盘货信息!$Y:$Y),"点"),"（"))</f>
        <v/>
      </c>
      <c r="W130" s="27" t="str" cm="1">
        <f t="array" ref="W130">IF(COUNTIF(_xlfn.XLOOKUP($A130&amp;$B130&amp;$C130,盘货信息!$A:$A&amp;盘货信息!$B:$B&amp;盘货信息!$C:$C,盘货信息!$O:$O),"*是*"),"【折扣】指定型号满2类享96折，满3类享94折","")</f>
        <v/>
      </c>
      <c r="X130" s="27" t="str" cm="1">
        <f t="array" ref="X130">IF(固定信息!$B$7="","",IF(_xlfn.XLOOKUP($A130&amp;$B130&amp;$C130,盘货信息!$A:$A&amp;盘货信息!$B:$B&amp;盘货信息!$C:$C,盘货信息!$N:$N)="是","【瓜分】"&amp;固定信息!$B$7,""))</f>
        <v/>
      </c>
      <c r="Y130" s="27" t="str">
        <f>IF(AND($V130="",$W130="",$X130=""),"",固定信息!$B$1)</f>
        <v/>
      </c>
      <c r="Z130" s="27" t="str" cm="1">
        <f t="array" ref="Z130">IF($C130="","",_xlfn.XLOOKUP($A130&amp;$B130&amp;$C130,服务!$A:$A&amp;服务!$B:$B&amp;服务!$C:$C,服务!$D:$D))</f>
        <v/>
      </c>
    </row>
    <row r="131" customHeight="1" spans="1:26">
      <c r="A131" s="26" t="str">
        <f>IF(盘货信息!A131="","",盘货信息!A131)</f>
        <v/>
      </c>
      <c r="B131" s="26" t="str">
        <f>IF(盘货信息!B131="","",盘货信息!B131)</f>
        <v/>
      </c>
      <c r="C131" s="26" t="str">
        <f>IF(盘货信息!C131="","",盘货信息!C131)</f>
        <v/>
      </c>
      <c r="D131" s="27" t="str">
        <f ca="1" t="shared" ref="D131:D194" si="2">_xlfn.TEXTJOIN(CHAR(10),TRUE,OFFSET(INDIRECT("RC",FALSE),0,1,1,30))</f>
        <v/>
      </c>
      <c r="E131" s="27" t="str">
        <f>IF(C131="","",固定信息!$B$2)</f>
        <v/>
      </c>
      <c r="F131" s="27" t="str">
        <f>IF(C131="","","【"&amp;C131&amp;"】"&amp;固定信息!$B$4)</f>
        <v/>
      </c>
      <c r="G131" s="27" t="str">
        <f>IF(C131="","","【"&amp;"活动时间："&amp;固定信息!$B$3&amp;"】")</f>
        <v/>
      </c>
      <c r="H131" s="27" t="str">
        <f>IF($C131="","",固定信息!$B$1)</f>
        <v/>
      </c>
      <c r="I131" s="27" t="str">
        <f>IF(OR(C131="",固定信息!$B$5=""),"","【1元预约锁好礼】"&amp;固定信息!$B$5)</f>
        <v/>
      </c>
      <c r="J131" s="27" t="str" cm="1">
        <f t="array" ref="J131">_xlfn.XLOOKUP($A131&amp;$B131&amp;$C131,价格信息!$A:$A&amp;价格信息!$B:$B&amp;价格信息!$C:$C,价格信息!$D:$D)</f>
        <v/>
      </c>
      <c r="K131" s="27" t="str">
        <f>IF($C131="","",固定信息!$B$1)</f>
        <v/>
      </c>
      <c r="L131" s="27" t="str" cm="1">
        <f t="array" ref="L131">IF(_xlfn.XLOOKUP($A131&amp;$B131&amp;$C131,盘货信息!$A:$A&amp;盘货信息!$B:$B&amp;盘货信息!$C:$C,盘货信息!$T:$T)="","","【优惠券】领"&amp;_xlfn.XLOOKUP($A131&amp;$B131&amp;$C131,盘货信息!$A:$A&amp;盘货信息!$B:$B&amp;盘货信息!$C:$C,盘货信息!$T:$T)&amp;"元优惠卷下单更优惠，领券链接："&amp;_xlfn.XLOOKUP($A131&amp;$B131&amp;$C131,盘货信息!$A:$A&amp;盘货信息!$B:$B&amp;盘货信息!$C:$C,盘货信息!$U:$U))</f>
        <v/>
      </c>
      <c r="M131" s="27" t="str" cm="1">
        <f t="array" ref="M131">IF(_xlfn.XLOOKUP($A131&amp;$B131&amp;$C131,盘货信息!$A:$A&amp;盘货信息!$B:$B&amp;盘货信息!$C:$C,盘货信息!$P:$P)="","","【限时】"&amp;_xlfn.XLOOKUP($A131&amp;$B131&amp;$C131,盘货信息!$A:$A&amp;盘货信息!$B:$B&amp;盘货信息!$C:$C,盘货信息!$P:$P))</f>
        <v/>
      </c>
      <c r="N131" s="27" t="str" cm="1">
        <f t="array" ref="N131">IF(_xlfn.XLOOKUP($A131&amp;$B131&amp;$C131,盘货信息!$A:$A&amp;盘货信息!$B:$B&amp;盘货信息!$C:$C,盘货信息!$V:$V)="","","【"&amp;盘货信息!$V$1&amp;"】"&amp;_xlfn.XLOOKUP($A131&amp;$B131&amp;$C131,盘货信息!$A:$A&amp;盘货信息!$B:$B&amp;盘货信息!$C:$C,盘货信息!$V:$V))</f>
        <v/>
      </c>
      <c r="O131" s="27" t="str" cm="1">
        <f t="array" ref="O131">IF(_xlfn.XLOOKUP($A131&amp;$B131&amp;$C131,盘货信息!$A:$A&amp;盘货信息!$B:$B&amp;盘货信息!$C:$C,盘货信息!$W:$W)="","","【"&amp;盘货信息!$W$1&amp;"】"&amp;_xlfn.XLOOKUP($A131&amp;$B131&amp;$C131,盘货信息!$A:$A&amp;盘货信息!$B:$B&amp;盘货信息!$C:$C,盘货信息!$W:$W))</f>
        <v/>
      </c>
      <c r="P131" s="27" t="str" cm="1">
        <f t="array" ref="P131">IF(_xlfn.XLOOKUP($A131&amp;$B131&amp;$C131,盘货信息!$A:$A&amp;盘货信息!$B:$B&amp;盘货信息!$C:$C,盘货信息!$S:$S)&lt;1,"","【"&amp;盘货信息!$S$1&amp;"】"&amp;"后返"&amp;_xlfn.XLOOKUP($A131&amp;$B131&amp;$C131,盘货信息!$A:$A&amp;盘货信息!$B:$B&amp;盘货信息!$C:$C,盘货信息!$S:$S)&amp;"元")</f>
        <v/>
      </c>
      <c r="Q131" s="27" t="str" cm="1">
        <f t="array" ref="Q131">IF(_xlfn.XLOOKUP($A131&amp;$B131&amp;$C131,盘货信息!$A:$A&amp;盘货信息!$B:$B&amp;盘货信息!$C:$C,盘货信息!$X:$X)="","","【"&amp;盘货信息!$X$1&amp;"】"&amp;_xlfn.XLOOKUP($A131&amp;$B131&amp;$C131,盘货信息!$A:$A&amp;盘货信息!$B:$B&amp;盘货信息!$C:$C,盘货信息!$X:$X))</f>
        <v/>
      </c>
      <c r="R131" s="27" t="str" cm="1">
        <f t="array" ref="R131">IF(_xlfn.XLOOKUP($A131&amp;$B131&amp;$C131,盘货信息!$A:$A&amp;盘货信息!$B:$B&amp;盘货信息!$C:$C,盘货信息!$Z:$Z)="","","【"&amp;盘货信息!$Z$1&amp;"】"&amp;_xlfn.XLOOKUP($A131&amp;$B131&amp;$C131,盘货信息!$A:$A&amp;盘货信息!$B:$B&amp;盘货信息!$C:$C,盘货信息!$Z:$Z))</f>
        <v/>
      </c>
      <c r="S131" s="27" t="str" cm="1">
        <f t="array" ref="S131">IF(_xlfn.XLOOKUP($A131&amp;$B131&amp;$C131,盘货信息!$A:$A&amp;盘货信息!$B:$B&amp;盘货信息!$C:$C,盘货信息!$Q:$Q)="","","【种草】站外带指定话题种草后返"&amp;_xlfn.XLOOKUP($A131&amp;$B131&amp;$C131,盘货信息!$A:$A&amp;盘货信息!$B:$B&amp;盘货信息!$C:$C,盘货信息!$Q:$Q)&amp;"元红包（每个淘宝账号仅限对应一个站外种草账号，同一个种草账号不可对应多个淘宝账号）")</f>
        <v/>
      </c>
      <c r="T131" s="27" t="str" cm="1">
        <f t="array" ref="T131">IF(_xlfn.XLOOKUP($A131&amp;$B131&amp;$C131,盘货信息!$A:$A&amp;盘货信息!$B:$B&amp;盘货信息!$C:$C,盘货信息!$R:$R)&lt;1,"","【以旧换新】"&amp;"享补贴"&amp;ROUND(_xlfn.XLOOKUP($A131&amp;$B131&amp;$C131,盘货信息!$A:$A&amp;盘货信息!$B:$B&amp;盘货信息!$C:$C,盘货信息!$R:$R),0)&amp;"元（可无旧机换新）")</f>
        <v/>
      </c>
      <c r="U131" s="27" t="str">
        <f>IF(AND($N131="",$O131="",$P131="",$Q131="",$R131="",$S131="",$T131=""),"",固定信息!$B$1)</f>
        <v/>
      </c>
      <c r="V131" s="27" t="str" cm="1">
        <f t="array" ref="V131">IF(_xlfn.XLOOKUP($A131&amp;$B131&amp;$C131,盘货信息!$A:$A&amp;盘货信息!$B:$B&amp;盘货信息!$C:$C,盘货信息!$Y:$Y)="","","【卡萨帝送赠】活动指定时间"&amp;_xlfn.TEXTBEFORE(_xlfn.TEXTAFTER(_xlfn.XLOOKUP($A131&amp;$B131&amp;$C131,盘货信息!$A:$A&amp;盘货信息!$B:$B&amp;盘货信息!$C:$C,盘货信息!$Y:$Y),"点"),"（"))</f>
        <v/>
      </c>
      <c r="W131" s="27" t="str" cm="1">
        <f t="array" ref="W131">IF(COUNTIF(_xlfn.XLOOKUP($A131&amp;$B131&amp;$C131,盘货信息!$A:$A&amp;盘货信息!$B:$B&amp;盘货信息!$C:$C,盘货信息!$O:$O),"*是*"),"【折扣】指定型号满2类享96折，满3类享94折","")</f>
        <v/>
      </c>
      <c r="X131" s="27" t="str" cm="1">
        <f t="array" ref="X131">IF(固定信息!$B$7="","",IF(_xlfn.XLOOKUP($A131&amp;$B131&amp;$C131,盘货信息!$A:$A&amp;盘货信息!$B:$B&amp;盘货信息!$C:$C,盘货信息!$N:$N)="是","【瓜分】"&amp;固定信息!$B$7,""))</f>
        <v/>
      </c>
      <c r="Y131" s="27" t="str">
        <f>IF(AND($V131="",$W131="",$X131=""),"",固定信息!$B$1)</f>
        <v/>
      </c>
      <c r="Z131" s="27" t="str" cm="1">
        <f t="array" ref="Z131">IF($C131="","",_xlfn.XLOOKUP($A131&amp;$B131&amp;$C131,服务!$A:$A&amp;服务!$B:$B&amp;服务!$C:$C,服务!$D:$D))</f>
        <v/>
      </c>
    </row>
    <row r="132" customHeight="1" spans="1:26">
      <c r="A132" s="26" t="str">
        <f>IF(盘货信息!A132="","",盘货信息!A132)</f>
        <v/>
      </c>
      <c r="B132" s="26" t="str">
        <f>IF(盘货信息!B132="","",盘货信息!B132)</f>
        <v/>
      </c>
      <c r="C132" s="26" t="str">
        <f>IF(盘货信息!C132="","",盘货信息!C132)</f>
        <v/>
      </c>
      <c r="D132" s="27" t="str">
        <f ca="1" t="shared" si="2"/>
        <v/>
      </c>
      <c r="E132" s="27" t="str">
        <f>IF(C132="","",固定信息!$B$2)</f>
        <v/>
      </c>
      <c r="F132" s="27" t="str">
        <f>IF(C132="","","【"&amp;C132&amp;"】"&amp;固定信息!$B$4)</f>
        <v/>
      </c>
      <c r="G132" s="27" t="str">
        <f>IF(C132="","","【"&amp;"活动时间："&amp;固定信息!$B$3&amp;"】")</f>
        <v/>
      </c>
      <c r="H132" s="27" t="str">
        <f>IF($C132="","",固定信息!$B$1)</f>
        <v/>
      </c>
      <c r="I132" s="27" t="str">
        <f>IF(OR(C132="",固定信息!$B$5=""),"","【1元预约锁好礼】"&amp;固定信息!$B$5)</f>
        <v/>
      </c>
      <c r="J132" s="27" t="str" cm="1">
        <f t="array" ref="J132">_xlfn.XLOOKUP($A132&amp;$B132&amp;$C132,价格信息!$A:$A&amp;价格信息!$B:$B&amp;价格信息!$C:$C,价格信息!$D:$D)</f>
        <v/>
      </c>
      <c r="K132" s="27" t="str">
        <f>IF($C132="","",固定信息!$B$1)</f>
        <v/>
      </c>
      <c r="L132" s="27" t="str" cm="1">
        <f t="array" ref="L132">IF(_xlfn.XLOOKUP($A132&amp;$B132&amp;$C132,盘货信息!$A:$A&amp;盘货信息!$B:$B&amp;盘货信息!$C:$C,盘货信息!$T:$T)="","","【优惠券】领"&amp;_xlfn.XLOOKUP($A132&amp;$B132&amp;$C132,盘货信息!$A:$A&amp;盘货信息!$B:$B&amp;盘货信息!$C:$C,盘货信息!$T:$T)&amp;"元优惠卷下单更优惠，领券链接："&amp;_xlfn.XLOOKUP($A132&amp;$B132&amp;$C132,盘货信息!$A:$A&amp;盘货信息!$B:$B&amp;盘货信息!$C:$C,盘货信息!$U:$U))</f>
        <v/>
      </c>
      <c r="M132" s="27" t="str" cm="1">
        <f t="array" ref="M132">IF(_xlfn.XLOOKUP($A132&amp;$B132&amp;$C132,盘货信息!$A:$A&amp;盘货信息!$B:$B&amp;盘货信息!$C:$C,盘货信息!$P:$P)="","","【限时】"&amp;_xlfn.XLOOKUP($A132&amp;$B132&amp;$C132,盘货信息!$A:$A&amp;盘货信息!$B:$B&amp;盘货信息!$C:$C,盘货信息!$P:$P))</f>
        <v/>
      </c>
      <c r="N132" s="27" t="str" cm="1">
        <f t="array" ref="N132">IF(_xlfn.XLOOKUP($A132&amp;$B132&amp;$C132,盘货信息!$A:$A&amp;盘货信息!$B:$B&amp;盘货信息!$C:$C,盘货信息!$V:$V)="","","【"&amp;盘货信息!$V$1&amp;"】"&amp;_xlfn.XLOOKUP($A132&amp;$B132&amp;$C132,盘货信息!$A:$A&amp;盘货信息!$B:$B&amp;盘货信息!$C:$C,盘货信息!$V:$V))</f>
        <v/>
      </c>
      <c r="O132" s="27" t="str" cm="1">
        <f t="array" ref="O132">IF(_xlfn.XLOOKUP($A132&amp;$B132&amp;$C132,盘货信息!$A:$A&amp;盘货信息!$B:$B&amp;盘货信息!$C:$C,盘货信息!$W:$W)="","","【"&amp;盘货信息!$W$1&amp;"】"&amp;_xlfn.XLOOKUP($A132&amp;$B132&amp;$C132,盘货信息!$A:$A&amp;盘货信息!$B:$B&amp;盘货信息!$C:$C,盘货信息!$W:$W))</f>
        <v/>
      </c>
      <c r="P132" s="27" t="str" cm="1">
        <f t="array" ref="P132">IF(_xlfn.XLOOKUP($A132&amp;$B132&amp;$C132,盘货信息!$A:$A&amp;盘货信息!$B:$B&amp;盘货信息!$C:$C,盘货信息!$S:$S)&lt;1,"","【"&amp;盘货信息!$S$1&amp;"】"&amp;"后返"&amp;_xlfn.XLOOKUP($A132&amp;$B132&amp;$C132,盘货信息!$A:$A&amp;盘货信息!$B:$B&amp;盘货信息!$C:$C,盘货信息!$S:$S)&amp;"元")</f>
        <v/>
      </c>
      <c r="Q132" s="27" t="str" cm="1">
        <f t="array" ref="Q132">IF(_xlfn.XLOOKUP($A132&amp;$B132&amp;$C132,盘货信息!$A:$A&amp;盘货信息!$B:$B&amp;盘货信息!$C:$C,盘货信息!$X:$X)="","","【"&amp;盘货信息!$X$1&amp;"】"&amp;_xlfn.XLOOKUP($A132&amp;$B132&amp;$C132,盘货信息!$A:$A&amp;盘货信息!$B:$B&amp;盘货信息!$C:$C,盘货信息!$X:$X))</f>
        <v/>
      </c>
      <c r="R132" s="27" t="str" cm="1">
        <f t="array" ref="R132">IF(_xlfn.XLOOKUP($A132&amp;$B132&amp;$C132,盘货信息!$A:$A&amp;盘货信息!$B:$B&amp;盘货信息!$C:$C,盘货信息!$Z:$Z)="","","【"&amp;盘货信息!$Z$1&amp;"】"&amp;_xlfn.XLOOKUP($A132&amp;$B132&amp;$C132,盘货信息!$A:$A&amp;盘货信息!$B:$B&amp;盘货信息!$C:$C,盘货信息!$Z:$Z))</f>
        <v/>
      </c>
      <c r="S132" s="27" t="str" cm="1">
        <f t="array" ref="S132">IF(_xlfn.XLOOKUP($A132&amp;$B132&amp;$C132,盘货信息!$A:$A&amp;盘货信息!$B:$B&amp;盘货信息!$C:$C,盘货信息!$Q:$Q)="","","【种草】站外带指定话题种草后返"&amp;_xlfn.XLOOKUP($A132&amp;$B132&amp;$C132,盘货信息!$A:$A&amp;盘货信息!$B:$B&amp;盘货信息!$C:$C,盘货信息!$Q:$Q)&amp;"元红包（每个淘宝账号仅限对应一个站外种草账号，同一个种草账号不可对应多个淘宝账号）")</f>
        <v/>
      </c>
      <c r="T132" s="27" t="str" cm="1">
        <f t="array" ref="T132">IF(_xlfn.XLOOKUP($A132&amp;$B132&amp;$C132,盘货信息!$A:$A&amp;盘货信息!$B:$B&amp;盘货信息!$C:$C,盘货信息!$R:$R)&lt;1,"","【以旧换新】"&amp;"享补贴"&amp;ROUND(_xlfn.XLOOKUP($A132&amp;$B132&amp;$C132,盘货信息!$A:$A&amp;盘货信息!$B:$B&amp;盘货信息!$C:$C,盘货信息!$R:$R),0)&amp;"元（可无旧机换新）")</f>
        <v/>
      </c>
      <c r="U132" s="27" t="str">
        <f>IF(AND($N132="",$O132="",$P132="",$Q132="",$R132="",$S132="",$T132=""),"",固定信息!$B$1)</f>
        <v/>
      </c>
      <c r="V132" s="27" t="str" cm="1">
        <f t="array" ref="V132">IF(_xlfn.XLOOKUP($A132&amp;$B132&amp;$C132,盘货信息!$A:$A&amp;盘货信息!$B:$B&amp;盘货信息!$C:$C,盘货信息!$Y:$Y)="","","【卡萨帝送赠】活动指定时间"&amp;_xlfn.TEXTBEFORE(_xlfn.TEXTAFTER(_xlfn.XLOOKUP($A132&amp;$B132&amp;$C132,盘货信息!$A:$A&amp;盘货信息!$B:$B&amp;盘货信息!$C:$C,盘货信息!$Y:$Y),"点"),"（"))</f>
        <v/>
      </c>
      <c r="W132" s="27" t="str" cm="1">
        <f t="array" ref="W132">IF(COUNTIF(_xlfn.XLOOKUP($A132&amp;$B132&amp;$C132,盘货信息!$A:$A&amp;盘货信息!$B:$B&amp;盘货信息!$C:$C,盘货信息!$O:$O),"*是*"),"【折扣】指定型号满2类享96折，满3类享94折","")</f>
        <v/>
      </c>
      <c r="X132" s="27" t="str" cm="1">
        <f t="array" ref="X132">IF(固定信息!$B$7="","",IF(_xlfn.XLOOKUP($A132&amp;$B132&amp;$C132,盘货信息!$A:$A&amp;盘货信息!$B:$B&amp;盘货信息!$C:$C,盘货信息!$N:$N)="是","【瓜分】"&amp;固定信息!$B$7,""))</f>
        <v/>
      </c>
      <c r="Y132" s="27" t="str">
        <f>IF(AND($V132="",$W132="",$X132=""),"",固定信息!$B$1)</f>
        <v/>
      </c>
      <c r="Z132" s="27" t="str" cm="1">
        <f t="array" ref="Z132">IF($C132="","",_xlfn.XLOOKUP($A132&amp;$B132&amp;$C132,服务!$A:$A&amp;服务!$B:$B&amp;服务!$C:$C,服务!$D:$D))</f>
        <v/>
      </c>
    </row>
    <row r="133" customHeight="1" spans="1:26">
      <c r="A133" s="26" t="str">
        <f>IF(盘货信息!A133="","",盘货信息!A133)</f>
        <v/>
      </c>
      <c r="B133" s="26" t="str">
        <f>IF(盘货信息!B133="","",盘货信息!B133)</f>
        <v/>
      </c>
      <c r="C133" s="26" t="str">
        <f>IF(盘货信息!C133="","",盘货信息!C133)</f>
        <v/>
      </c>
      <c r="D133" s="27" t="str">
        <f ca="1" t="shared" si="2"/>
        <v/>
      </c>
      <c r="E133" s="27" t="str">
        <f>IF(C133="","",固定信息!$B$2)</f>
        <v/>
      </c>
      <c r="F133" s="27" t="str">
        <f>IF(C133="","","【"&amp;C133&amp;"】"&amp;固定信息!$B$4)</f>
        <v/>
      </c>
      <c r="G133" s="27" t="str">
        <f>IF(C133="","","【"&amp;"活动时间："&amp;固定信息!$B$3&amp;"】")</f>
        <v/>
      </c>
      <c r="H133" s="27" t="str">
        <f>IF($C133="","",固定信息!$B$1)</f>
        <v/>
      </c>
      <c r="I133" s="27" t="str">
        <f>IF(OR(C133="",固定信息!$B$5=""),"","【1元预约锁好礼】"&amp;固定信息!$B$5)</f>
        <v/>
      </c>
      <c r="J133" s="27" t="str" cm="1">
        <f t="array" ref="J133">_xlfn.XLOOKUP($A133&amp;$B133&amp;$C133,价格信息!$A:$A&amp;价格信息!$B:$B&amp;价格信息!$C:$C,价格信息!$D:$D)</f>
        <v/>
      </c>
      <c r="K133" s="27" t="str">
        <f>IF($C133="","",固定信息!$B$1)</f>
        <v/>
      </c>
      <c r="L133" s="27" t="str" cm="1">
        <f t="array" ref="L133">IF(_xlfn.XLOOKUP($A133&amp;$B133&amp;$C133,盘货信息!$A:$A&amp;盘货信息!$B:$B&amp;盘货信息!$C:$C,盘货信息!$T:$T)="","","【优惠券】领"&amp;_xlfn.XLOOKUP($A133&amp;$B133&amp;$C133,盘货信息!$A:$A&amp;盘货信息!$B:$B&amp;盘货信息!$C:$C,盘货信息!$T:$T)&amp;"元优惠卷下单更优惠，领券链接："&amp;_xlfn.XLOOKUP($A133&amp;$B133&amp;$C133,盘货信息!$A:$A&amp;盘货信息!$B:$B&amp;盘货信息!$C:$C,盘货信息!$U:$U))</f>
        <v/>
      </c>
      <c r="M133" s="27" t="str" cm="1">
        <f t="array" ref="M133">IF(_xlfn.XLOOKUP($A133&amp;$B133&amp;$C133,盘货信息!$A:$A&amp;盘货信息!$B:$B&amp;盘货信息!$C:$C,盘货信息!$P:$P)="","","【限时】"&amp;_xlfn.XLOOKUP($A133&amp;$B133&amp;$C133,盘货信息!$A:$A&amp;盘货信息!$B:$B&amp;盘货信息!$C:$C,盘货信息!$P:$P))</f>
        <v/>
      </c>
      <c r="N133" s="27" t="str" cm="1">
        <f t="array" ref="N133">IF(_xlfn.XLOOKUP($A133&amp;$B133&amp;$C133,盘货信息!$A:$A&amp;盘货信息!$B:$B&amp;盘货信息!$C:$C,盘货信息!$V:$V)="","","【"&amp;盘货信息!$V$1&amp;"】"&amp;_xlfn.XLOOKUP($A133&amp;$B133&amp;$C133,盘货信息!$A:$A&amp;盘货信息!$B:$B&amp;盘货信息!$C:$C,盘货信息!$V:$V))</f>
        <v/>
      </c>
      <c r="O133" s="27" t="str" cm="1">
        <f t="array" ref="O133">IF(_xlfn.XLOOKUP($A133&amp;$B133&amp;$C133,盘货信息!$A:$A&amp;盘货信息!$B:$B&amp;盘货信息!$C:$C,盘货信息!$W:$W)="","","【"&amp;盘货信息!$W$1&amp;"】"&amp;_xlfn.XLOOKUP($A133&amp;$B133&amp;$C133,盘货信息!$A:$A&amp;盘货信息!$B:$B&amp;盘货信息!$C:$C,盘货信息!$W:$W))</f>
        <v/>
      </c>
      <c r="P133" s="27" t="str" cm="1">
        <f t="array" ref="P133">IF(_xlfn.XLOOKUP($A133&amp;$B133&amp;$C133,盘货信息!$A:$A&amp;盘货信息!$B:$B&amp;盘货信息!$C:$C,盘货信息!$S:$S)&lt;1,"","【"&amp;盘货信息!$S$1&amp;"】"&amp;"后返"&amp;_xlfn.XLOOKUP($A133&amp;$B133&amp;$C133,盘货信息!$A:$A&amp;盘货信息!$B:$B&amp;盘货信息!$C:$C,盘货信息!$S:$S)&amp;"元")</f>
        <v/>
      </c>
      <c r="Q133" s="27" t="str" cm="1">
        <f t="array" ref="Q133">IF(_xlfn.XLOOKUP($A133&amp;$B133&amp;$C133,盘货信息!$A:$A&amp;盘货信息!$B:$B&amp;盘货信息!$C:$C,盘货信息!$X:$X)="","","【"&amp;盘货信息!$X$1&amp;"】"&amp;_xlfn.XLOOKUP($A133&amp;$B133&amp;$C133,盘货信息!$A:$A&amp;盘货信息!$B:$B&amp;盘货信息!$C:$C,盘货信息!$X:$X))</f>
        <v/>
      </c>
      <c r="R133" s="27" t="str" cm="1">
        <f t="array" ref="R133">IF(_xlfn.XLOOKUP($A133&amp;$B133&amp;$C133,盘货信息!$A:$A&amp;盘货信息!$B:$B&amp;盘货信息!$C:$C,盘货信息!$Z:$Z)="","","【"&amp;盘货信息!$Z$1&amp;"】"&amp;_xlfn.XLOOKUP($A133&amp;$B133&amp;$C133,盘货信息!$A:$A&amp;盘货信息!$B:$B&amp;盘货信息!$C:$C,盘货信息!$Z:$Z))</f>
        <v/>
      </c>
      <c r="S133" s="27" t="str" cm="1">
        <f t="array" ref="S133">IF(_xlfn.XLOOKUP($A133&amp;$B133&amp;$C133,盘货信息!$A:$A&amp;盘货信息!$B:$B&amp;盘货信息!$C:$C,盘货信息!$Q:$Q)="","","【种草】站外带指定话题种草后返"&amp;_xlfn.XLOOKUP($A133&amp;$B133&amp;$C133,盘货信息!$A:$A&amp;盘货信息!$B:$B&amp;盘货信息!$C:$C,盘货信息!$Q:$Q)&amp;"元红包（每个淘宝账号仅限对应一个站外种草账号，同一个种草账号不可对应多个淘宝账号）")</f>
        <v/>
      </c>
      <c r="T133" s="27" t="str" cm="1">
        <f t="array" ref="T133">IF(_xlfn.XLOOKUP($A133&amp;$B133&amp;$C133,盘货信息!$A:$A&amp;盘货信息!$B:$B&amp;盘货信息!$C:$C,盘货信息!$R:$R)&lt;1,"","【以旧换新】"&amp;"享补贴"&amp;ROUND(_xlfn.XLOOKUP($A133&amp;$B133&amp;$C133,盘货信息!$A:$A&amp;盘货信息!$B:$B&amp;盘货信息!$C:$C,盘货信息!$R:$R),0)&amp;"元（可无旧机换新）")</f>
        <v/>
      </c>
      <c r="U133" s="27" t="str">
        <f>IF(AND($N133="",$O133="",$P133="",$Q133="",$R133="",$S133="",$T133=""),"",固定信息!$B$1)</f>
        <v/>
      </c>
      <c r="V133" s="27" t="str" cm="1">
        <f t="array" ref="V133">IF(_xlfn.XLOOKUP($A133&amp;$B133&amp;$C133,盘货信息!$A:$A&amp;盘货信息!$B:$B&amp;盘货信息!$C:$C,盘货信息!$Y:$Y)="","","【卡萨帝送赠】活动指定时间"&amp;_xlfn.TEXTBEFORE(_xlfn.TEXTAFTER(_xlfn.XLOOKUP($A133&amp;$B133&amp;$C133,盘货信息!$A:$A&amp;盘货信息!$B:$B&amp;盘货信息!$C:$C,盘货信息!$Y:$Y),"点"),"（"))</f>
        <v/>
      </c>
      <c r="W133" s="27" t="str" cm="1">
        <f t="array" ref="W133">IF(COUNTIF(_xlfn.XLOOKUP($A133&amp;$B133&amp;$C133,盘货信息!$A:$A&amp;盘货信息!$B:$B&amp;盘货信息!$C:$C,盘货信息!$O:$O),"*是*"),"【折扣】指定型号满2类享96折，满3类享94折","")</f>
        <v/>
      </c>
      <c r="X133" s="27" t="str" cm="1">
        <f t="array" ref="X133">IF(固定信息!$B$7="","",IF(_xlfn.XLOOKUP($A133&amp;$B133&amp;$C133,盘货信息!$A:$A&amp;盘货信息!$B:$B&amp;盘货信息!$C:$C,盘货信息!$N:$N)="是","【瓜分】"&amp;固定信息!$B$7,""))</f>
        <v/>
      </c>
      <c r="Y133" s="27" t="str">
        <f>IF(AND($V133="",$W133="",$X133=""),"",固定信息!$B$1)</f>
        <v/>
      </c>
      <c r="Z133" s="27" t="str" cm="1">
        <f t="array" ref="Z133">IF($C133="","",_xlfn.XLOOKUP($A133&amp;$B133&amp;$C133,服务!$A:$A&amp;服务!$B:$B&amp;服务!$C:$C,服务!$D:$D))</f>
        <v/>
      </c>
    </row>
    <row r="134" customHeight="1" spans="1:26">
      <c r="A134" s="26" t="str">
        <f>IF(盘货信息!A134="","",盘货信息!A134)</f>
        <v/>
      </c>
      <c r="B134" s="26" t="str">
        <f>IF(盘货信息!B134="","",盘货信息!B134)</f>
        <v/>
      </c>
      <c r="C134" s="26" t="str">
        <f>IF(盘货信息!C134="","",盘货信息!C134)</f>
        <v/>
      </c>
      <c r="D134" s="27" t="str">
        <f ca="1" t="shared" si="2"/>
        <v/>
      </c>
      <c r="E134" s="27" t="str">
        <f>IF(C134="","",固定信息!$B$2)</f>
        <v/>
      </c>
      <c r="F134" s="27" t="str">
        <f>IF(C134="","","【"&amp;C134&amp;"】"&amp;固定信息!$B$4)</f>
        <v/>
      </c>
      <c r="G134" s="27" t="str">
        <f>IF(C134="","","【"&amp;"活动时间："&amp;固定信息!$B$3&amp;"】")</f>
        <v/>
      </c>
      <c r="H134" s="27" t="str">
        <f>IF($C134="","",固定信息!$B$1)</f>
        <v/>
      </c>
      <c r="I134" s="27" t="str">
        <f>IF(OR(C134="",固定信息!$B$5=""),"","【1元预约锁好礼】"&amp;固定信息!$B$5)</f>
        <v/>
      </c>
      <c r="J134" s="27" t="str" cm="1">
        <f t="array" ref="J134">_xlfn.XLOOKUP($A134&amp;$B134&amp;$C134,价格信息!$A:$A&amp;价格信息!$B:$B&amp;价格信息!$C:$C,价格信息!$D:$D)</f>
        <v/>
      </c>
      <c r="K134" s="27" t="str">
        <f>IF($C134="","",固定信息!$B$1)</f>
        <v/>
      </c>
      <c r="L134" s="27" t="str" cm="1">
        <f t="array" ref="L134">IF(_xlfn.XLOOKUP($A134&amp;$B134&amp;$C134,盘货信息!$A:$A&amp;盘货信息!$B:$B&amp;盘货信息!$C:$C,盘货信息!$T:$T)="","","【优惠券】领"&amp;_xlfn.XLOOKUP($A134&amp;$B134&amp;$C134,盘货信息!$A:$A&amp;盘货信息!$B:$B&amp;盘货信息!$C:$C,盘货信息!$T:$T)&amp;"元优惠卷下单更优惠，领券链接："&amp;_xlfn.XLOOKUP($A134&amp;$B134&amp;$C134,盘货信息!$A:$A&amp;盘货信息!$B:$B&amp;盘货信息!$C:$C,盘货信息!$U:$U))</f>
        <v/>
      </c>
      <c r="M134" s="27" t="str" cm="1">
        <f t="array" ref="M134">IF(_xlfn.XLOOKUP($A134&amp;$B134&amp;$C134,盘货信息!$A:$A&amp;盘货信息!$B:$B&amp;盘货信息!$C:$C,盘货信息!$P:$P)="","","【限时】"&amp;_xlfn.XLOOKUP($A134&amp;$B134&amp;$C134,盘货信息!$A:$A&amp;盘货信息!$B:$B&amp;盘货信息!$C:$C,盘货信息!$P:$P))</f>
        <v/>
      </c>
      <c r="N134" s="27" t="str" cm="1">
        <f t="array" ref="N134">IF(_xlfn.XLOOKUP($A134&amp;$B134&amp;$C134,盘货信息!$A:$A&amp;盘货信息!$B:$B&amp;盘货信息!$C:$C,盘货信息!$V:$V)="","","【"&amp;盘货信息!$V$1&amp;"】"&amp;_xlfn.XLOOKUP($A134&amp;$B134&amp;$C134,盘货信息!$A:$A&amp;盘货信息!$B:$B&amp;盘货信息!$C:$C,盘货信息!$V:$V))</f>
        <v/>
      </c>
      <c r="O134" s="27" t="str" cm="1">
        <f t="array" ref="O134">IF(_xlfn.XLOOKUP($A134&amp;$B134&amp;$C134,盘货信息!$A:$A&amp;盘货信息!$B:$B&amp;盘货信息!$C:$C,盘货信息!$W:$W)="","","【"&amp;盘货信息!$W$1&amp;"】"&amp;_xlfn.XLOOKUP($A134&amp;$B134&amp;$C134,盘货信息!$A:$A&amp;盘货信息!$B:$B&amp;盘货信息!$C:$C,盘货信息!$W:$W))</f>
        <v/>
      </c>
      <c r="P134" s="27" t="str" cm="1">
        <f t="array" ref="P134">IF(_xlfn.XLOOKUP($A134&amp;$B134&amp;$C134,盘货信息!$A:$A&amp;盘货信息!$B:$B&amp;盘货信息!$C:$C,盘货信息!$S:$S)&lt;1,"","【"&amp;盘货信息!$S$1&amp;"】"&amp;"后返"&amp;_xlfn.XLOOKUP($A134&amp;$B134&amp;$C134,盘货信息!$A:$A&amp;盘货信息!$B:$B&amp;盘货信息!$C:$C,盘货信息!$S:$S)&amp;"元")</f>
        <v/>
      </c>
      <c r="Q134" s="27" t="str" cm="1">
        <f t="array" ref="Q134">IF(_xlfn.XLOOKUP($A134&amp;$B134&amp;$C134,盘货信息!$A:$A&amp;盘货信息!$B:$B&amp;盘货信息!$C:$C,盘货信息!$X:$X)="","","【"&amp;盘货信息!$X$1&amp;"】"&amp;_xlfn.XLOOKUP($A134&amp;$B134&amp;$C134,盘货信息!$A:$A&amp;盘货信息!$B:$B&amp;盘货信息!$C:$C,盘货信息!$X:$X))</f>
        <v/>
      </c>
      <c r="R134" s="27" t="str" cm="1">
        <f t="array" ref="R134">IF(_xlfn.XLOOKUP($A134&amp;$B134&amp;$C134,盘货信息!$A:$A&amp;盘货信息!$B:$B&amp;盘货信息!$C:$C,盘货信息!$Z:$Z)="","","【"&amp;盘货信息!$Z$1&amp;"】"&amp;_xlfn.XLOOKUP($A134&amp;$B134&amp;$C134,盘货信息!$A:$A&amp;盘货信息!$B:$B&amp;盘货信息!$C:$C,盘货信息!$Z:$Z))</f>
        <v/>
      </c>
      <c r="S134" s="27" t="str" cm="1">
        <f t="array" ref="S134">IF(_xlfn.XLOOKUP($A134&amp;$B134&amp;$C134,盘货信息!$A:$A&amp;盘货信息!$B:$B&amp;盘货信息!$C:$C,盘货信息!$Q:$Q)="","","【种草】站外带指定话题种草后返"&amp;_xlfn.XLOOKUP($A134&amp;$B134&amp;$C134,盘货信息!$A:$A&amp;盘货信息!$B:$B&amp;盘货信息!$C:$C,盘货信息!$Q:$Q)&amp;"元红包（每个淘宝账号仅限对应一个站外种草账号，同一个种草账号不可对应多个淘宝账号）")</f>
        <v/>
      </c>
      <c r="T134" s="27" t="str" cm="1">
        <f t="array" ref="T134">IF(_xlfn.XLOOKUP($A134&amp;$B134&amp;$C134,盘货信息!$A:$A&amp;盘货信息!$B:$B&amp;盘货信息!$C:$C,盘货信息!$R:$R)&lt;1,"","【以旧换新】"&amp;"享补贴"&amp;ROUND(_xlfn.XLOOKUP($A134&amp;$B134&amp;$C134,盘货信息!$A:$A&amp;盘货信息!$B:$B&amp;盘货信息!$C:$C,盘货信息!$R:$R),0)&amp;"元（可无旧机换新）")</f>
        <v/>
      </c>
      <c r="U134" s="27" t="str">
        <f>IF(AND($N134="",$O134="",$P134="",$Q134="",$R134="",$S134="",$T134=""),"",固定信息!$B$1)</f>
        <v/>
      </c>
      <c r="V134" s="27" t="str" cm="1">
        <f t="array" ref="V134">IF(_xlfn.XLOOKUP($A134&amp;$B134&amp;$C134,盘货信息!$A:$A&amp;盘货信息!$B:$B&amp;盘货信息!$C:$C,盘货信息!$Y:$Y)="","","【卡萨帝送赠】活动指定时间"&amp;_xlfn.TEXTBEFORE(_xlfn.TEXTAFTER(_xlfn.XLOOKUP($A134&amp;$B134&amp;$C134,盘货信息!$A:$A&amp;盘货信息!$B:$B&amp;盘货信息!$C:$C,盘货信息!$Y:$Y),"点"),"（"))</f>
        <v/>
      </c>
      <c r="W134" s="27" t="str" cm="1">
        <f t="array" ref="W134">IF(COUNTIF(_xlfn.XLOOKUP($A134&amp;$B134&amp;$C134,盘货信息!$A:$A&amp;盘货信息!$B:$B&amp;盘货信息!$C:$C,盘货信息!$O:$O),"*是*"),"【折扣】指定型号满2类享96折，满3类享94折","")</f>
        <v/>
      </c>
      <c r="X134" s="27" t="str" cm="1">
        <f t="array" ref="X134">IF(固定信息!$B$7="","",IF(_xlfn.XLOOKUP($A134&amp;$B134&amp;$C134,盘货信息!$A:$A&amp;盘货信息!$B:$B&amp;盘货信息!$C:$C,盘货信息!$N:$N)="是","【瓜分】"&amp;固定信息!$B$7,""))</f>
        <v/>
      </c>
      <c r="Y134" s="27" t="str">
        <f>IF(AND($V134="",$W134="",$X134=""),"",固定信息!$B$1)</f>
        <v/>
      </c>
      <c r="Z134" s="27" t="str" cm="1">
        <f t="array" ref="Z134">IF($C134="","",_xlfn.XLOOKUP($A134&amp;$B134&amp;$C134,服务!$A:$A&amp;服务!$B:$B&amp;服务!$C:$C,服务!$D:$D))</f>
        <v/>
      </c>
    </row>
    <row r="135" customHeight="1" spans="1:26">
      <c r="A135" s="26" t="str">
        <f>IF(盘货信息!A135="","",盘货信息!A135)</f>
        <v/>
      </c>
      <c r="B135" s="26" t="str">
        <f>IF(盘货信息!B135="","",盘货信息!B135)</f>
        <v/>
      </c>
      <c r="C135" s="26" t="str">
        <f>IF(盘货信息!C135="","",盘货信息!C135)</f>
        <v/>
      </c>
      <c r="D135" s="27" t="str">
        <f ca="1" t="shared" si="2"/>
        <v/>
      </c>
      <c r="E135" s="27" t="str">
        <f>IF(C135="","",固定信息!$B$2)</f>
        <v/>
      </c>
      <c r="F135" s="27" t="str">
        <f>IF(C135="","","【"&amp;C135&amp;"】"&amp;固定信息!$B$4)</f>
        <v/>
      </c>
      <c r="G135" s="27" t="str">
        <f>IF(C135="","","【"&amp;"活动时间："&amp;固定信息!$B$3&amp;"】")</f>
        <v/>
      </c>
      <c r="H135" s="27" t="str">
        <f>IF($C135="","",固定信息!$B$1)</f>
        <v/>
      </c>
      <c r="I135" s="27" t="str">
        <f>IF(OR(C135="",固定信息!$B$5=""),"","【1元预约锁好礼】"&amp;固定信息!$B$5)</f>
        <v/>
      </c>
      <c r="J135" s="27" t="str" cm="1">
        <f t="array" ref="J135">_xlfn.XLOOKUP($A135&amp;$B135&amp;$C135,价格信息!$A:$A&amp;价格信息!$B:$B&amp;价格信息!$C:$C,价格信息!$D:$D)</f>
        <v/>
      </c>
      <c r="K135" s="27" t="str">
        <f>IF($C135="","",固定信息!$B$1)</f>
        <v/>
      </c>
      <c r="L135" s="27" t="str" cm="1">
        <f t="array" ref="L135">IF(_xlfn.XLOOKUP($A135&amp;$B135&amp;$C135,盘货信息!$A:$A&amp;盘货信息!$B:$B&amp;盘货信息!$C:$C,盘货信息!$T:$T)="","","【优惠券】领"&amp;_xlfn.XLOOKUP($A135&amp;$B135&amp;$C135,盘货信息!$A:$A&amp;盘货信息!$B:$B&amp;盘货信息!$C:$C,盘货信息!$T:$T)&amp;"元优惠卷下单更优惠，领券链接："&amp;_xlfn.XLOOKUP($A135&amp;$B135&amp;$C135,盘货信息!$A:$A&amp;盘货信息!$B:$B&amp;盘货信息!$C:$C,盘货信息!$U:$U))</f>
        <v/>
      </c>
      <c r="M135" s="27" t="str" cm="1">
        <f t="array" ref="M135">IF(_xlfn.XLOOKUP($A135&amp;$B135&amp;$C135,盘货信息!$A:$A&amp;盘货信息!$B:$B&amp;盘货信息!$C:$C,盘货信息!$P:$P)="","","【限时】"&amp;_xlfn.XLOOKUP($A135&amp;$B135&amp;$C135,盘货信息!$A:$A&amp;盘货信息!$B:$B&amp;盘货信息!$C:$C,盘货信息!$P:$P))</f>
        <v/>
      </c>
      <c r="N135" s="27" t="str" cm="1">
        <f t="array" ref="N135">IF(_xlfn.XLOOKUP($A135&amp;$B135&amp;$C135,盘货信息!$A:$A&amp;盘货信息!$B:$B&amp;盘货信息!$C:$C,盘货信息!$V:$V)="","","【"&amp;盘货信息!$V$1&amp;"】"&amp;_xlfn.XLOOKUP($A135&amp;$B135&amp;$C135,盘货信息!$A:$A&amp;盘货信息!$B:$B&amp;盘货信息!$C:$C,盘货信息!$V:$V))</f>
        <v/>
      </c>
      <c r="O135" s="27" t="str" cm="1">
        <f t="array" ref="O135">IF(_xlfn.XLOOKUP($A135&amp;$B135&amp;$C135,盘货信息!$A:$A&amp;盘货信息!$B:$B&amp;盘货信息!$C:$C,盘货信息!$W:$W)="","","【"&amp;盘货信息!$W$1&amp;"】"&amp;_xlfn.XLOOKUP($A135&amp;$B135&amp;$C135,盘货信息!$A:$A&amp;盘货信息!$B:$B&amp;盘货信息!$C:$C,盘货信息!$W:$W))</f>
        <v/>
      </c>
      <c r="P135" s="27" t="str" cm="1">
        <f t="array" ref="P135">IF(_xlfn.XLOOKUP($A135&amp;$B135&amp;$C135,盘货信息!$A:$A&amp;盘货信息!$B:$B&amp;盘货信息!$C:$C,盘货信息!$S:$S)&lt;1,"","【"&amp;盘货信息!$S$1&amp;"】"&amp;"后返"&amp;_xlfn.XLOOKUP($A135&amp;$B135&amp;$C135,盘货信息!$A:$A&amp;盘货信息!$B:$B&amp;盘货信息!$C:$C,盘货信息!$S:$S)&amp;"元")</f>
        <v/>
      </c>
      <c r="Q135" s="27" t="str" cm="1">
        <f t="array" ref="Q135">IF(_xlfn.XLOOKUP($A135&amp;$B135&amp;$C135,盘货信息!$A:$A&amp;盘货信息!$B:$B&amp;盘货信息!$C:$C,盘货信息!$X:$X)="","","【"&amp;盘货信息!$X$1&amp;"】"&amp;_xlfn.XLOOKUP($A135&amp;$B135&amp;$C135,盘货信息!$A:$A&amp;盘货信息!$B:$B&amp;盘货信息!$C:$C,盘货信息!$X:$X))</f>
        <v/>
      </c>
      <c r="R135" s="27" t="str" cm="1">
        <f t="array" ref="R135">IF(_xlfn.XLOOKUP($A135&amp;$B135&amp;$C135,盘货信息!$A:$A&amp;盘货信息!$B:$B&amp;盘货信息!$C:$C,盘货信息!$Z:$Z)="","","【"&amp;盘货信息!$Z$1&amp;"】"&amp;_xlfn.XLOOKUP($A135&amp;$B135&amp;$C135,盘货信息!$A:$A&amp;盘货信息!$B:$B&amp;盘货信息!$C:$C,盘货信息!$Z:$Z))</f>
        <v/>
      </c>
      <c r="S135" s="27" t="str" cm="1">
        <f t="array" ref="S135">IF(_xlfn.XLOOKUP($A135&amp;$B135&amp;$C135,盘货信息!$A:$A&amp;盘货信息!$B:$B&amp;盘货信息!$C:$C,盘货信息!$Q:$Q)="","","【种草】站外带指定话题种草后返"&amp;_xlfn.XLOOKUP($A135&amp;$B135&amp;$C135,盘货信息!$A:$A&amp;盘货信息!$B:$B&amp;盘货信息!$C:$C,盘货信息!$Q:$Q)&amp;"元红包（每个淘宝账号仅限对应一个站外种草账号，同一个种草账号不可对应多个淘宝账号）")</f>
        <v/>
      </c>
      <c r="T135" s="27" t="str" cm="1">
        <f t="array" ref="T135">IF(_xlfn.XLOOKUP($A135&amp;$B135&amp;$C135,盘货信息!$A:$A&amp;盘货信息!$B:$B&amp;盘货信息!$C:$C,盘货信息!$R:$R)&lt;1,"","【以旧换新】"&amp;"享补贴"&amp;ROUND(_xlfn.XLOOKUP($A135&amp;$B135&amp;$C135,盘货信息!$A:$A&amp;盘货信息!$B:$B&amp;盘货信息!$C:$C,盘货信息!$R:$R),0)&amp;"元（可无旧机换新）")</f>
        <v/>
      </c>
      <c r="U135" s="27" t="str">
        <f>IF(AND($N135="",$O135="",$P135="",$Q135="",$R135="",$S135="",$T135=""),"",固定信息!$B$1)</f>
        <v/>
      </c>
      <c r="V135" s="27" t="str" cm="1">
        <f t="array" ref="V135">IF(_xlfn.XLOOKUP($A135&amp;$B135&amp;$C135,盘货信息!$A:$A&amp;盘货信息!$B:$B&amp;盘货信息!$C:$C,盘货信息!$Y:$Y)="","","【卡萨帝送赠】活动指定时间"&amp;_xlfn.TEXTBEFORE(_xlfn.TEXTAFTER(_xlfn.XLOOKUP($A135&amp;$B135&amp;$C135,盘货信息!$A:$A&amp;盘货信息!$B:$B&amp;盘货信息!$C:$C,盘货信息!$Y:$Y),"点"),"（"))</f>
        <v/>
      </c>
      <c r="W135" s="27" t="str" cm="1">
        <f t="array" ref="W135">IF(COUNTIF(_xlfn.XLOOKUP($A135&amp;$B135&amp;$C135,盘货信息!$A:$A&amp;盘货信息!$B:$B&amp;盘货信息!$C:$C,盘货信息!$O:$O),"*是*"),"【折扣】指定型号满2类享96折，满3类享94折","")</f>
        <v/>
      </c>
      <c r="X135" s="27" t="str" cm="1">
        <f t="array" ref="X135">IF(固定信息!$B$7="","",IF(_xlfn.XLOOKUP($A135&amp;$B135&amp;$C135,盘货信息!$A:$A&amp;盘货信息!$B:$B&amp;盘货信息!$C:$C,盘货信息!$N:$N)="是","【瓜分】"&amp;固定信息!$B$7,""))</f>
        <v/>
      </c>
      <c r="Y135" s="27" t="str">
        <f>IF(AND($V135="",$W135="",$X135=""),"",固定信息!$B$1)</f>
        <v/>
      </c>
      <c r="Z135" s="27" t="str" cm="1">
        <f t="array" ref="Z135">IF($C135="","",_xlfn.XLOOKUP($A135&amp;$B135&amp;$C135,服务!$A:$A&amp;服务!$B:$B&amp;服务!$C:$C,服务!$D:$D))</f>
        <v/>
      </c>
    </row>
    <row r="136" customHeight="1" spans="1:26">
      <c r="A136" s="26" t="str">
        <f>IF(盘货信息!A136="","",盘货信息!A136)</f>
        <v/>
      </c>
      <c r="B136" s="26" t="str">
        <f>IF(盘货信息!B136="","",盘货信息!B136)</f>
        <v/>
      </c>
      <c r="C136" s="26" t="str">
        <f>IF(盘货信息!C136="","",盘货信息!C136)</f>
        <v/>
      </c>
      <c r="D136" s="27" t="str">
        <f ca="1" t="shared" si="2"/>
        <v/>
      </c>
      <c r="E136" s="27" t="str">
        <f>IF(C136="","",固定信息!$B$2)</f>
        <v/>
      </c>
      <c r="F136" s="27" t="str">
        <f>IF(C136="","","【"&amp;C136&amp;"】"&amp;固定信息!$B$4)</f>
        <v/>
      </c>
      <c r="G136" s="27" t="str">
        <f>IF(C136="","","【"&amp;"活动时间："&amp;固定信息!$B$3&amp;"】")</f>
        <v/>
      </c>
      <c r="H136" s="27" t="str">
        <f>IF($C136="","",固定信息!$B$1)</f>
        <v/>
      </c>
      <c r="I136" s="27" t="str">
        <f>IF(OR(C136="",固定信息!$B$5=""),"","【1元预约锁好礼】"&amp;固定信息!$B$5)</f>
        <v/>
      </c>
      <c r="J136" s="27" t="str" cm="1">
        <f t="array" ref="J136">_xlfn.XLOOKUP($A136&amp;$B136&amp;$C136,价格信息!$A:$A&amp;价格信息!$B:$B&amp;价格信息!$C:$C,价格信息!$D:$D)</f>
        <v/>
      </c>
      <c r="K136" s="27" t="str">
        <f>IF($C136="","",固定信息!$B$1)</f>
        <v/>
      </c>
      <c r="L136" s="27" t="str" cm="1">
        <f t="array" ref="L136">IF(_xlfn.XLOOKUP($A136&amp;$B136&amp;$C136,盘货信息!$A:$A&amp;盘货信息!$B:$B&amp;盘货信息!$C:$C,盘货信息!$T:$T)="","","【优惠券】领"&amp;_xlfn.XLOOKUP($A136&amp;$B136&amp;$C136,盘货信息!$A:$A&amp;盘货信息!$B:$B&amp;盘货信息!$C:$C,盘货信息!$T:$T)&amp;"元优惠卷下单更优惠，领券链接："&amp;_xlfn.XLOOKUP($A136&amp;$B136&amp;$C136,盘货信息!$A:$A&amp;盘货信息!$B:$B&amp;盘货信息!$C:$C,盘货信息!$U:$U))</f>
        <v/>
      </c>
      <c r="M136" s="27" t="str" cm="1">
        <f t="array" ref="M136">IF(_xlfn.XLOOKUP($A136&amp;$B136&amp;$C136,盘货信息!$A:$A&amp;盘货信息!$B:$B&amp;盘货信息!$C:$C,盘货信息!$P:$P)="","","【限时】"&amp;_xlfn.XLOOKUP($A136&amp;$B136&amp;$C136,盘货信息!$A:$A&amp;盘货信息!$B:$B&amp;盘货信息!$C:$C,盘货信息!$P:$P))</f>
        <v/>
      </c>
      <c r="N136" s="27" t="str" cm="1">
        <f t="array" ref="N136">IF(_xlfn.XLOOKUP($A136&amp;$B136&amp;$C136,盘货信息!$A:$A&amp;盘货信息!$B:$B&amp;盘货信息!$C:$C,盘货信息!$V:$V)="","","【"&amp;盘货信息!$V$1&amp;"】"&amp;_xlfn.XLOOKUP($A136&amp;$B136&amp;$C136,盘货信息!$A:$A&amp;盘货信息!$B:$B&amp;盘货信息!$C:$C,盘货信息!$V:$V))</f>
        <v/>
      </c>
      <c r="O136" s="27" t="str" cm="1">
        <f t="array" ref="O136">IF(_xlfn.XLOOKUP($A136&amp;$B136&amp;$C136,盘货信息!$A:$A&amp;盘货信息!$B:$B&amp;盘货信息!$C:$C,盘货信息!$W:$W)="","","【"&amp;盘货信息!$W$1&amp;"】"&amp;_xlfn.XLOOKUP($A136&amp;$B136&amp;$C136,盘货信息!$A:$A&amp;盘货信息!$B:$B&amp;盘货信息!$C:$C,盘货信息!$W:$W))</f>
        <v/>
      </c>
      <c r="P136" s="27" t="str" cm="1">
        <f t="array" ref="P136">IF(_xlfn.XLOOKUP($A136&amp;$B136&amp;$C136,盘货信息!$A:$A&amp;盘货信息!$B:$B&amp;盘货信息!$C:$C,盘货信息!$S:$S)&lt;1,"","【"&amp;盘货信息!$S$1&amp;"】"&amp;"后返"&amp;_xlfn.XLOOKUP($A136&amp;$B136&amp;$C136,盘货信息!$A:$A&amp;盘货信息!$B:$B&amp;盘货信息!$C:$C,盘货信息!$S:$S)&amp;"元")</f>
        <v/>
      </c>
      <c r="Q136" s="27" t="str" cm="1">
        <f t="array" ref="Q136">IF(_xlfn.XLOOKUP($A136&amp;$B136&amp;$C136,盘货信息!$A:$A&amp;盘货信息!$B:$B&amp;盘货信息!$C:$C,盘货信息!$X:$X)="","","【"&amp;盘货信息!$X$1&amp;"】"&amp;_xlfn.XLOOKUP($A136&amp;$B136&amp;$C136,盘货信息!$A:$A&amp;盘货信息!$B:$B&amp;盘货信息!$C:$C,盘货信息!$X:$X))</f>
        <v/>
      </c>
      <c r="R136" s="27" t="str" cm="1">
        <f t="array" ref="R136">IF(_xlfn.XLOOKUP($A136&amp;$B136&amp;$C136,盘货信息!$A:$A&amp;盘货信息!$B:$B&amp;盘货信息!$C:$C,盘货信息!$Z:$Z)="","","【"&amp;盘货信息!$Z$1&amp;"】"&amp;_xlfn.XLOOKUP($A136&amp;$B136&amp;$C136,盘货信息!$A:$A&amp;盘货信息!$B:$B&amp;盘货信息!$C:$C,盘货信息!$Z:$Z))</f>
        <v/>
      </c>
      <c r="S136" s="27" t="str" cm="1">
        <f t="array" ref="S136">IF(_xlfn.XLOOKUP($A136&amp;$B136&amp;$C136,盘货信息!$A:$A&amp;盘货信息!$B:$B&amp;盘货信息!$C:$C,盘货信息!$Q:$Q)="","","【种草】站外带指定话题种草后返"&amp;_xlfn.XLOOKUP($A136&amp;$B136&amp;$C136,盘货信息!$A:$A&amp;盘货信息!$B:$B&amp;盘货信息!$C:$C,盘货信息!$Q:$Q)&amp;"元红包（每个淘宝账号仅限对应一个站外种草账号，同一个种草账号不可对应多个淘宝账号）")</f>
        <v/>
      </c>
      <c r="T136" s="27" t="str" cm="1">
        <f t="array" ref="T136">IF(_xlfn.XLOOKUP($A136&amp;$B136&amp;$C136,盘货信息!$A:$A&amp;盘货信息!$B:$B&amp;盘货信息!$C:$C,盘货信息!$R:$R)&lt;1,"","【以旧换新】"&amp;"享补贴"&amp;ROUND(_xlfn.XLOOKUP($A136&amp;$B136&amp;$C136,盘货信息!$A:$A&amp;盘货信息!$B:$B&amp;盘货信息!$C:$C,盘货信息!$R:$R),0)&amp;"元（可无旧机换新）")</f>
        <v/>
      </c>
      <c r="U136" s="27" t="str">
        <f>IF(AND($N136="",$O136="",$P136="",$Q136="",$R136="",$S136="",$T136=""),"",固定信息!$B$1)</f>
        <v/>
      </c>
      <c r="V136" s="27" t="str" cm="1">
        <f t="array" ref="V136">IF(_xlfn.XLOOKUP($A136&amp;$B136&amp;$C136,盘货信息!$A:$A&amp;盘货信息!$B:$B&amp;盘货信息!$C:$C,盘货信息!$Y:$Y)="","","【卡萨帝送赠】活动指定时间"&amp;_xlfn.TEXTBEFORE(_xlfn.TEXTAFTER(_xlfn.XLOOKUP($A136&amp;$B136&amp;$C136,盘货信息!$A:$A&amp;盘货信息!$B:$B&amp;盘货信息!$C:$C,盘货信息!$Y:$Y),"点"),"（"))</f>
        <v/>
      </c>
      <c r="W136" s="27" t="str" cm="1">
        <f t="array" ref="W136">IF(COUNTIF(_xlfn.XLOOKUP($A136&amp;$B136&amp;$C136,盘货信息!$A:$A&amp;盘货信息!$B:$B&amp;盘货信息!$C:$C,盘货信息!$O:$O),"*是*"),"【折扣】指定型号满2类享96折，满3类享94折","")</f>
        <v/>
      </c>
      <c r="X136" s="27" t="str" cm="1">
        <f t="array" ref="X136">IF(固定信息!$B$7="","",IF(_xlfn.XLOOKUP($A136&amp;$B136&amp;$C136,盘货信息!$A:$A&amp;盘货信息!$B:$B&amp;盘货信息!$C:$C,盘货信息!$N:$N)="是","【瓜分】"&amp;固定信息!$B$7,""))</f>
        <v/>
      </c>
      <c r="Y136" s="27" t="str">
        <f>IF(AND($V136="",$W136="",$X136=""),"",固定信息!$B$1)</f>
        <v/>
      </c>
      <c r="Z136" s="27" t="str" cm="1">
        <f t="array" ref="Z136">IF($C136="","",_xlfn.XLOOKUP($A136&amp;$B136&amp;$C136,服务!$A:$A&amp;服务!$B:$B&amp;服务!$C:$C,服务!$D:$D))</f>
        <v/>
      </c>
    </row>
    <row r="137" customHeight="1" spans="1:26">
      <c r="A137" s="26" t="str">
        <f>IF(盘货信息!A137="","",盘货信息!A137)</f>
        <v/>
      </c>
      <c r="B137" s="26" t="str">
        <f>IF(盘货信息!B137="","",盘货信息!B137)</f>
        <v/>
      </c>
      <c r="C137" s="23" t="str">
        <f>IF(盘货信息!C137="","",盘货信息!C137)</f>
        <v/>
      </c>
      <c r="D137" s="27" t="str">
        <f ca="1" t="shared" si="2"/>
        <v/>
      </c>
      <c r="E137" s="27" t="str">
        <f>IF(C137="","",固定信息!$B$2)</f>
        <v/>
      </c>
      <c r="F137" s="27" t="str">
        <f>IF(C137="","","【"&amp;C137&amp;"】"&amp;固定信息!$B$4)</f>
        <v/>
      </c>
      <c r="G137" s="27" t="str">
        <f>IF(C137="","","【"&amp;"活动时间："&amp;固定信息!$B$3&amp;"】")</f>
        <v/>
      </c>
      <c r="H137" s="27" t="str">
        <f>IF($C137="","",固定信息!$B$1)</f>
        <v/>
      </c>
      <c r="I137" s="27" t="str">
        <f>IF(OR(C137="",固定信息!$B$5=""),"","【1元预约锁好礼】"&amp;固定信息!$B$5)</f>
        <v/>
      </c>
      <c r="J137" s="27" t="str" cm="1">
        <f t="array" ref="J137">_xlfn.XLOOKUP($A137&amp;$B137&amp;$C137,价格信息!$A:$A&amp;价格信息!$B:$B&amp;价格信息!$C:$C,价格信息!$D:$D)</f>
        <v/>
      </c>
      <c r="K137" s="27" t="str">
        <f>IF($C137="","",固定信息!$B$1)</f>
        <v/>
      </c>
      <c r="L137" s="27" t="str" cm="1">
        <f t="array" ref="L137">IF(_xlfn.XLOOKUP($A137&amp;$B137&amp;$C137,盘货信息!$A:$A&amp;盘货信息!$B:$B&amp;盘货信息!$C:$C,盘货信息!$T:$T)="","","【优惠券】领"&amp;_xlfn.XLOOKUP($A137&amp;$B137&amp;$C137,盘货信息!$A:$A&amp;盘货信息!$B:$B&amp;盘货信息!$C:$C,盘货信息!$T:$T)&amp;"元优惠卷下单更优惠，领券链接："&amp;_xlfn.XLOOKUP($A137&amp;$B137&amp;$C137,盘货信息!$A:$A&amp;盘货信息!$B:$B&amp;盘货信息!$C:$C,盘货信息!$U:$U))</f>
        <v/>
      </c>
      <c r="M137" s="27" t="str" cm="1">
        <f t="array" ref="M137">IF(_xlfn.XLOOKUP($A137&amp;$B137&amp;$C137,盘货信息!$A:$A&amp;盘货信息!$B:$B&amp;盘货信息!$C:$C,盘货信息!$P:$P)="","","【限时】"&amp;_xlfn.XLOOKUP($A137&amp;$B137&amp;$C137,盘货信息!$A:$A&amp;盘货信息!$B:$B&amp;盘货信息!$C:$C,盘货信息!$P:$P))</f>
        <v/>
      </c>
      <c r="N137" s="27" t="str" cm="1">
        <f t="array" ref="N137">IF(_xlfn.XLOOKUP($A137&amp;$B137&amp;$C137,盘货信息!$A:$A&amp;盘货信息!$B:$B&amp;盘货信息!$C:$C,盘货信息!$V:$V)="","","【"&amp;盘货信息!$V$1&amp;"】"&amp;_xlfn.XLOOKUP($A137&amp;$B137&amp;$C137,盘货信息!$A:$A&amp;盘货信息!$B:$B&amp;盘货信息!$C:$C,盘货信息!$V:$V))</f>
        <v/>
      </c>
      <c r="O137" s="27" t="str" cm="1">
        <f t="array" ref="O137">IF(_xlfn.XLOOKUP($A137&amp;$B137&amp;$C137,盘货信息!$A:$A&amp;盘货信息!$B:$B&amp;盘货信息!$C:$C,盘货信息!$W:$W)="","","【"&amp;盘货信息!$W$1&amp;"】"&amp;_xlfn.XLOOKUP($A137&amp;$B137&amp;$C137,盘货信息!$A:$A&amp;盘货信息!$B:$B&amp;盘货信息!$C:$C,盘货信息!$W:$W))</f>
        <v/>
      </c>
      <c r="P137" s="27" t="str" cm="1">
        <f t="array" ref="P137">IF(_xlfn.XLOOKUP($A137&amp;$B137&amp;$C137,盘货信息!$A:$A&amp;盘货信息!$B:$B&amp;盘货信息!$C:$C,盘货信息!$S:$S)&lt;1,"","【"&amp;盘货信息!$S$1&amp;"】"&amp;"后返"&amp;_xlfn.XLOOKUP($A137&amp;$B137&amp;$C137,盘货信息!$A:$A&amp;盘货信息!$B:$B&amp;盘货信息!$C:$C,盘货信息!$S:$S)&amp;"元")</f>
        <v/>
      </c>
      <c r="Q137" s="27" t="str" cm="1">
        <f t="array" ref="Q137">IF(_xlfn.XLOOKUP($A137&amp;$B137&amp;$C137,盘货信息!$A:$A&amp;盘货信息!$B:$B&amp;盘货信息!$C:$C,盘货信息!$X:$X)="","","【"&amp;盘货信息!$X$1&amp;"】"&amp;_xlfn.XLOOKUP($A137&amp;$B137&amp;$C137,盘货信息!$A:$A&amp;盘货信息!$B:$B&amp;盘货信息!$C:$C,盘货信息!$X:$X))</f>
        <v/>
      </c>
      <c r="R137" s="27" t="str" cm="1">
        <f t="array" ref="R137">IF(_xlfn.XLOOKUP($A137&amp;$B137&amp;$C137,盘货信息!$A:$A&amp;盘货信息!$B:$B&amp;盘货信息!$C:$C,盘货信息!$Z:$Z)="","","【"&amp;盘货信息!$Z$1&amp;"】"&amp;_xlfn.XLOOKUP($A137&amp;$B137&amp;$C137,盘货信息!$A:$A&amp;盘货信息!$B:$B&amp;盘货信息!$C:$C,盘货信息!$Z:$Z))</f>
        <v/>
      </c>
      <c r="S137" s="27" t="str" cm="1">
        <f t="array" ref="S137">IF(_xlfn.XLOOKUP($A137&amp;$B137&amp;$C137,盘货信息!$A:$A&amp;盘货信息!$B:$B&amp;盘货信息!$C:$C,盘货信息!$Q:$Q)="","","【种草】站外带指定话题种草后返"&amp;_xlfn.XLOOKUP($A137&amp;$B137&amp;$C137,盘货信息!$A:$A&amp;盘货信息!$B:$B&amp;盘货信息!$C:$C,盘货信息!$Q:$Q)&amp;"元红包（每个淘宝账号仅限对应一个站外种草账号，同一个种草账号不可对应多个淘宝账号）")</f>
        <v/>
      </c>
      <c r="T137" s="27" t="str" cm="1">
        <f t="array" ref="T137">IF(_xlfn.XLOOKUP($A137&amp;$B137&amp;$C137,盘货信息!$A:$A&amp;盘货信息!$B:$B&amp;盘货信息!$C:$C,盘货信息!$R:$R)&lt;1,"","【以旧换新】"&amp;"享补贴"&amp;ROUND(_xlfn.XLOOKUP($A137&amp;$B137&amp;$C137,盘货信息!$A:$A&amp;盘货信息!$B:$B&amp;盘货信息!$C:$C,盘货信息!$R:$R),0)&amp;"元（可无旧机换新）")</f>
        <v/>
      </c>
      <c r="U137" s="27" t="str">
        <f>IF(AND($N137="",$O137="",$P137="",$Q137="",$R137="",$S137="",$T137=""),"",固定信息!$B$1)</f>
        <v/>
      </c>
      <c r="V137" s="27" t="str" cm="1">
        <f t="array" ref="V137">IF(_xlfn.XLOOKUP($A137&amp;$B137&amp;$C137,盘货信息!$A:$A&amp;盘货信息!$B:$B&amp;盘货信息!$C:$C,盘货信息!$Y:$Y)="","","【卡萨帝送赠】活动指定时间"&amp;_xlfn.TEXTBEFORE(_xlfn.TEXTAFTER(_xlfn.XLOOKUP($A137&amp;$B137&amp;$C137,盘货信息!$A:$A&amp;盘货信息!$B:$B&amp;盘货信息!$C:$C,盘货信息!$Y:$Y),"点"),"（"))</f>
        <v/>
      </c>
      <c r="W137" s="27" t="str" cm="1">
        <f t="array" ref="W137">IF(COUNTIF(_xlfn.XLOOKUP($A137&amp;$B137&amp;$C137,盘货信息!$A:$A&amp;盘货信息!$B:$B&amp;盘货信息!$C:$C,盘货信息!$O:$O),"*是*"),"【折扣】指定型号满2类享96折，满3类享94折","")</f>
        <v/>
      </c>
      <c r="X137" s="27" t="str" cm="1">
        <f t="array" ref="X137">IF(固定信息!$B$7="","",IF(_xlfn.XLOOKUP($A137&amp;$B137&amp;$C137,盘货信息!$A:$A&amp;盘货信息!$B:$B&amp;盘货信息!$C:$C,盘货信息!$N:$N)="是","【瓜分】"&amp;固定信息!$B$7,""))</f>
        <v/>
      </c>
      <c r="Y137" s="27" t="str">
        <f>IF(AND($V137="",$W137="",$X137=""),"",固定信息!$B$1)</f>
        <v/>
      </c>
      <c r="Z137" s="27" t="str" cm="1">
        <f t="array" ref="Z137">IF($C137="","",_xlfn.XLOOKUP($A137&amp;$B137&amp;$C137,服务!$A:$A&amp;服务!$B:$B&amp;服务!$C:$C,服务!$D:$D))</f>
        <v/>
      </c>
    </row>
    <row r="138" customHeight="1" spans="1:26">
      <c r="A138" s="26" t="str">
        <f>IF(盘货信息!A138="","",盘货信息!A138)</f>
        <v/>
      </c>
      <c r="B138" s="26" t="str">
        <f>IF(盘货信息!B138="","",盘货信息!B138)</f>
        <v/>
      </c>
      <c r="C138" s="26" t="str">
        <f>IF(盘货信息!C138="","",盘货信息!C138)</f>
        <v/>
      </c>
      <c r="D138" s="27" t="str">
        <f ca="1" t="shared" si="2"/>
        <v/>
      </c>
      <c r="E138" s="27" t="str">
        <f>IF(C138="","",固定信息!$B$2)</f>
        <v/>
      </c>
      <c r="F138" s="27" t="str">
        <f>IF(C138="","","【"&amp;C138&amp;"】"&amp;固定信息!$B$4)</f>
        <v/>
      </c>
      <c r="G138" s="27" t="str">
        <f>IF(C138="","","【"&amp;"活动时间："&amp;固定信息!$B$3&amp;"】")</f>
        <v/>
      </c>
      <c r="H138" s="27" t="str">
        <f>IF($C138="","",固定信息!$B$1)</f>
        <v/>
      </c>
      <c r="I138" s="27" t="str">
        <f>IF(OR(C138="",固定信息!$B$5=""),"","【1元预约锁好礼】"&amp;固定信息!$B$5)</f>
        <v/>
      </c>
      <c r="J138" s="27" t="str" cm="1">
        <f t="array" ref="J138">_xlfn.XLOOKUP($A138&amp;$B138&amp;$C138,价格信息!$A:$A&amp;价格信息!$B:$B&amp;价格信息!$C:$C,价格信息!$D:$D)</f>
        <v/>
      </c>
      <c r="K138" s="27" t="str">
        <f>IF($C138="","",固定信息!$B$1)</f>
        <v/>
      </c>
      <c r="L138" s="27" t="str" cm="1">
        <f t="array" ref="L138">IF(_xlfn.XLOOKUP($A138&amp;$B138&amp;$C138,盘货信息!$A:$A&amp;盘货信息!$B:$B&amp;盘货信息!$C:$C,盘货信息!$T:$T)="","","【优惠券】领"&amp;_xlfn.XLOOKUP($A138&amp;$B138&amp;$C138,盘货信息!$A:$A&amp;盘货信息!$B:$B&amp;盘货信息!$C:$C,盘货信息!$T:$T)&amp;"元优惠卷下单更优惠，领券链接："&amp;_xlfn.XLOOKUP($A138&amp;$B138&amp;$C138,盘货信息!$A:$A&amp;盘货信息!$B:$B&amp;盘货信息!$C:$C,盘货信息!$U:$U))</f>
        <v/>
      </c>
      <c r="M138" s="27" t="str" cm="1">
        <f t="array" ref="M138">IF(_xlfn.XLOOKUP($A138&amp;$B138&amp;$C138,盘货信息!$A:$A&amp;盘货信息!$B:$B&amp;盘货信息!$C:$C,盘货信息!$P:$P)="","","【限时】"&amp;_xlfn.XLOOKUP($A138&amp;$B138&amp;$C138,盘货信息!$A:$A&amp;盘货信息!$B:$B&amp;盘货信息!$C:$C,盘货信息!$P:$P))</f>
        <v/>
      </c>
      <c r="N138" s="27" t="str" cm="1">
        <f t="array" ref="N138">IF(_xlfn.XLOOKUP($A138&amp;$B138&amp;$C138,盘货信息!$A:$A&amp;盘货信息!$B:$B&amp;盘货信息!$C:$C,盘货信息!$V:$V)="","","【"&amp;盘货信息!$V$1&amp;"】"&amp;_xlfn.XLOOKUP($A138&amp;$B138&amp;$C138,盘货信息!$A:$A&amp;盘货信息!$B:$B&amp;盘货信息!$C:$C,盘货信息!$V:$V))</f>
        <v/>
      </c>
      <c r="O138" s="27" t="str" cm="1">
        <f t="array" ref="O138">IF(_xlfn.XLOOKUP($A138&amp;$B138&amp;$C138,盘货信息!$A:$A&amp;盘货信息!$B:$B&amp;盘货信息!$C:$C,盘货信息!$W:$W)="","","【"&amp;盘货信息!$W$1&amp;"】"&amp;_xlfn.XLOOKUP($A138&amp;$B138&amp;$C138,盘货信息!$A:$A&amp;盘货信息!$B:$B&amp;盘货信息!$C:$C,盘货信息!$W:$W))</f>
        <v/>
      </c>
      <c r="P138" s="27" t="str" cm="1">
        <f t="array" ref="P138">IF(_xlfn.XLOOKUP($A138&amp;$B138&amp;$C138,盘货信息!$A:$A&amp;盘货信息!$B:$B&amp;盘货信息!$C:$C,盘货信息!$S:$S)&lt;1,"","【"&amp;盘货信息!$S$1&amp;"】"&amp;"后返"&amp;_xlfn.XLOOKUP($A138&amp;$B138&amp;$C138,盘货信息!$A:$A&amp;盘货信息!$B:$B&amp;盘货信息!$C:$C,盘货信息!$S:$S)&amp;"元")</f>
        <v/>
      </c>
      <c r="Q138" s="27" t="str" cm="1">
        <f t="array" ref="Q138">IF(_xlfn.XLOOKUP($A138&amp;$B138&amp;$C138,盘货信息!$A:$A&amp;盘货信息!$B:$B&amp;盘货信息!$C:$C,盘货信息!$X:$X)="","","【"&amp;盘货信息!$X$1&amp;"】"&amp;_xlfn.XLOOKUP($A138&amp;$B138&amp;$C138,盘货信息!$A:$A&amp;盘货信息!$B:$B&amp;盘货信息!$C:$C,盘货信息!$X:$X))</f>
        <v/>
      </c>
      <c r="R138" s="27" t="str" cm="1">
        <f t="array" ref="R138">IF(_xlfn.XLOOKUP($A138&amp;$B138&amp;$C138,盘货信息!$A:$A&amp;盘货信息!$B:$B&amp;盘货信息!$C:$C,盘货信息!$Z:$Z)="","","【"&amp;盘货信息!$Z$1&amp;"】"&amp;_xlfn.XLOOKUP($A138&amp;$B138&amp;$C138,盘货信息!$A:$A&amp;盘货信息!$B:$B&amp;盘货信息!$C:$C,盘货信息!$Z:$Z))</f>
        <v/>
      </c>
      <c r="S138" s="27" t="str" cm="1">
        <f t="array" ref="S138">IF(_xlfn.XLOOKUP($A138&amp;$B138&amp;$C138,盘货信息!$A:$A&amp;盘货信息!$B:$B&amp;盘货信息!$C:$C,盘货信息!$Q:$Q)="","","【种草】站外带指定话题种草后返"&amp;_xlfn.XLOOKUP($A138&amp;$B138&amp;$C138,盘货信息!$A:$A&amp;盘货信息!$B:$B&amp;盘货信息!$C:$C,盘货信息!$Q:$Q)&amp;"元红包（每个淘宝账号仅限对应一个站外种草账号，同一个种草账号不可对应多个淘宝账号）")</f>
        <v/>
      </c>
      <c r="T138" s="27" t="str" cm="1">
        <f t="array" ref="T138">IF(_xlfn.XLOOKUP($A138&amp;$B138&amp;$C138,盘货信息!$A:$A&amp;盘货信息!$B:$B&amp;盘货信息!$C:$C,盘货信息!$R:$R)&lt;1,"","【以旧换新】"&amp;"享补贴"&amp;ROUND(_xlfn.XLOOKUP($A138&amp;$B138&amp;$C138,盘货信息!$A:$A&amp;盘货信息!$B:$B&amp;盘货信息!$C:$C,盘货信息!$R:$R),0)&amp;"元（可无旧机换新）")</f>
        <v/>
      </c>
      <c r="U138" s="27" t="str">
        <f>IF(AND($N138="",$O138="",$P138="",$Q138="",$R138="",$S138="",$T138=""),"",固定信息!$B$1)</f>
        <v/>
      </c>
      <c r="V138" s="27" t="str" cm="1">
        <f t="array" ref="V138">IF(_xlfn.XLOOKUP($A138&amp;$B138&amp;$C138,盘货信息!$A:$A&amp;盘货信息!$B:$B&amp;盘货信息!$C:$C,盘货信息!$Y:$Y)="","","【卡萨帝送赠】活动指定时间"&amp;_xlfn.TEXTBEFORE(_xlfn.TEXTAFTER(_xlfn.XLOOKUP($A138&amp;$B138&amp;$C138,盘货信息!$A:$A&amp;盘货信息!$B:$B&amp;盘货信息!$C:$C,盘货信息!$Y:$Y),"点"),"（"))</f>
        <v/>
      </c>
      <c r="W138" s="27" t="str" cm="1">
        <f t="array" ref="W138">IF(COUNTIF(_xlfn.XLOOKUP($A138&amp;$B138&amp;$C138,盘货信息!$A:$A&amp;盘货信息!$B:$B&amp;盘货信息!$C:$C,盘货信息!$O:$O),"*是*"),"【折扣】指定型号满2类享96折，满3类享94折","")</f>
        <v/>
      </c>
      <c r="X138" s="27" t="str" cm="1">
        <f t="array" ref="X138">IF(固定信息!$B$7="","",IF(_xlfn.XLOOKUP($A138&amp;$B138&amp;$C138,盘货信息!$A:$A&amp;盘货信息!$B:$B&amp;盘货信息!$C:$C,盘货信息!$N:$N)="是","【瓜分】"&amp;固定信息!$B$7,""))</f>
        <v/>
      </c>
      <c r="Y138" s="27" t="str">
        <f>IF(AND($V138="",$W138="",$X138=""),"",固定信息!$B$1)</f>
        <v/>
      </c>
      <c r="Z138" s="27" t="str" cm="1">
        <f t="array" ref="Z138">IF($C138="","",_xlfn.XLOOKUP($A138&amp;$B138&amp;$C138,服务!$A:$A&amp;服务!$B:$B&amp;服务!$C:$C,服务!$D:$D))</f>
        <v/>
      </c>
    </row>
    <row r="139" customHeight="1" spans="1:26">
      <c r="A139" s="26" t="str">
        <f>IF(盘货信息!A139="","",盘货信息!A139)</f>
        <v/>
      </c>
      <c r="B139" s="26" t="str">
        <f>IF(盘货信息!B139="","",盘货信息!B139)</f>
        <v/>
      </c>
      <c r="C139" s="23" t="str">
        <f>IF(盘货信息!C139="","",盘货信息!C139)</f>
        <v/>
      </c>
      <c r="D139" s="27" t="str">
        <f ca="1" t="shared" si="2"/>
        <v/>
      </c>
      <c r="E139" s="27" t="str">
        <f>IF(C139="","",固定信息!$B$2)</f>
        <v/>
      </c>
      <c r="F139" s="27" t="str">
        <f>IF(C139="","","【"&amp;C139&amp;"】"&amp;固定信息!$B$4)</f>
        <v/>
      </c>
      <c r="G139" s="27" t="str">
        <f>IF(C139="","","【"&amp;"活动时间："&amp;固定信息!$B$3&amp;"】")</f>
        <v/>
      </c>
      <c r="H139" s="27" t="str">
        <f>IF($C139="","",固定信息!$B$1)</f>
        <v/>
      </c>
      <c r="I139" s="27" t="str">
        <f>IF(OR(C139="",固定信息!$B$5=""),"","【1元预约锁好礼】"&amp;固定信息!$B$5)</f>
        <v/>
      </c>
      <c r="J139" s="27" t="str" cm="1">
        <f t="array" ref="J139">_xlfn.XLOOKUP($A139&amp;$B139&amp;$C139,价格信息!$A:$A&amp;价格信息!$B:$B&amp;价格信息!$C:$C,价格信息!$D:$D)</f>
        <v/>
      </c>
      <c r="K139" s="27" t="str">
        <f>IF($C139="","",固定信息!$B$1)</f>
        <v/>
      </c>
      <c r="L139" s="27" t="str" cm="1">
        <f t="array" ref="L139">IF(_xlfn.XLOOKUP($A139&amp;$B139&amp;$C139,盘货信息!$A:$A&amp;盘货信息!$B:$B&amp;盘货信息!$C:$C,盘货信息!$T:$T)="","","【优惠券】领"&amp;_xlfn.XLOOKUP($A139&amp;$B139&amp;$C139,盘货信息!$A:$A&amp;盘货信息!$B:$B&amp;盘货信息!$C:$C,盘货信息!$T:$T)&amp;"元优惠卷下单更优惠，领券链接："&amp;_xlfn.XLOOKUP($A139&amp;$B139&amp;$C139,盘货信息!$A:$A&amp;盘货信息!$B:$B&amp;盘货信息!$C:$C,盘货信息!$U:$U))</f>
        <v/>
      </c>
      <c r="M139" s="27" t="str" cm="1">
        <f t="array" ref="M139">IF(_xlfn.XLOOKUP($A139&amp;$B139&amp;$C139,盘货信息!$A:$A&amp;盘货信息!$B:$B&amp;盘货信息!$C:$C,盘货信息!$P:$P)="","","【限时】"&amp;_xlfn.XLOOKUP($A139&amp;$B139&amp;$C139,盘货信息!$A:$A&amp;盘货信息!$B:$B&amp;盘货信息!$C:$C,盘货信息!$P:$P))</f>
        <v/>
      </c>
      <c r="N139" s="27" t="str" cm="1">
        <f t="array" ref="N139">IF(_xlfn.XLOOKUP($A139&amp;$B139&amp;$C139,盘货信息!$A:$A&amp;盘货信息!$B:$B&amp;盘货信息!$C:$C,盘货信息!$V:$V)="","","【"&amp;盘货信息!$V$1&amp;"】"&amp;_xlfn.XLOOKUP($A139&amp;$B139&amp;$C139,盘货信息!$A:$A&amp;盘货信息!$B:$B&amp;盘货信息!$C:$C,盘货信息!$V:$V))</f>
        <v/>
      </c>
      <c r="O139" s="27" t="str" cm="1">
        <f t="array" ref="O139">IF(_xlfn.XLOOKUP($A139&amp;$B139&amp;$C139,盘货信息!$A:$A&amp;盘货信息!$B:$B&amp;盘货信息!$C:$C,盘货信息!$W:$W)="","","【"&amp;盘货信息!$W$1&amp;"】"&amp;_xlfn.XLOOKUP($A139&amp;$B139&amp;$C139,盘货信息!$A:$A&amp;盘货信息!$B:$B&amp;盘货信息!$C:$C,盘货信息!$W:$W))</f>
        <v/>
      </c>
      <c r="P139" s="27" t="str" cm="1">
        <f t="array" ref="P139">IF(_xlfn.XLOOKUP($A139&amp;$B139&amp;$C139,盘货信息!$A:$A&amp;盘货信息!$B:$B&amp;盘货信息!$C:$C,盘货信息!$S:$S)&lt;1,"","【"&amp;盘货信息!$S$1&amp;"】"&amp;"后返"&amp;_xlfn.XLOOKUP($A139&amp;$B139&amp;$C139,盘货信息!$A:$A&amp;盘货信息!$B:$B&amp;盘货信息!$C:$C,盘货信息!$S:$S)&amp;"元")</f>
        <v/>
      </c>
      <c r="Q139" s="27" t="str" cm="1">
        <f t="array" ref="Q139">IF(_xlfn.XLOOKUP($A139&amp;$B139&amp;$C139,盘货信息!$A:$A&amp;盘货信息!$B:$B&amp;盘货信息!$C:$C,盘货信息!$X:$X)="","","【"&amp;盘货信息!$X$1&amp;"】"&amp;_xlfn.XLOOKUP($A139&amp;$B139&amp;$C139,盘货信息!$A:$A&amp;盘货信息!$B:$B&amp;盘货信息!$C:$C,盘货信息!$X:$X))</f>
        <v/>
      </c>
      <c r="R139" s="27" t="str" cm="1">
        <f t="array" ref="R139">IF(_xlfn.XLOOKUP($A139&amp;$B139&amp;$C139,盘货信息!$A:$A&amp;盘货信息!$B:$B&amp;盘货信息!$C:$C,盘货信息!$Z:$Z)="","","【"&amp;盘货信息!$Z$1&amp;"】"&amp;_xlfn.XLOOKUP($A139&amp;$B139&amp;$C139,盘货信息!$A:$A&amp;盘货信息!$B:$B&amp;盘货信息!$C:$C,盘货信息!$Z:$Z))</f>
        <v/>
      </c>
      <c r="S139" s="27" t="str" cm="1">
        <f t="array" ref="S139">IF(_xlfn.XLOOKUP($A139&amp;$B139&amp;$C139,盘货信息!$A:$A&amp;盘货信息!$B:$B&amp;盘货信息!$C:$C,盘货信息!$Q:$Q)="","","【种草】站外带指定话题种草后返"&amp;_xlfn.XLOOKUP($A139&amp;$B139&amp;$C139,盘货信息!$A:$A&amp;盘货信息!$B:$B&amp;盘货信息!$C:$C,盘货信息!$Q:$Q)&amp;"元红包（每个淘宝账号仅限对应一个站外种草账号，同一个种草账号不可对应多个淘宝账号）")</f>
        <v/>
      </c>
      <c r="T139" s="27" t="str" cm="1">
        <f t="array" ref="T139">IF(_xlfn.XLOOKUP($A139&amp;$B139&amp;$C139,盘货信息!$A:$A&amp;盘货信息!$B:$B&amp;盘货信息!$C:$C,盘货信息!$R:$R)&lt;1,"","【以旧换新】"&amp;"享补贴"&amp;ROUND(_xlfn.XLOOKUP($A139&amp;$B139&amp;$C139,盘货信息!$A:$A&amp;盘货信息!$B:$B&amp;盘货信息!$C:$C,盘货信息!$R:$R),0)&amp;"元（可无旧机换新）")</f>
        <v/>
      </c>
      <c r="U139" s="27" t="str">
        <f>IF(AND($N139="",$O139="",$P139="",$Q139="",$R139="",$S139="",$T139=""),"",固定信息!$B$1)</f>
        <v/>
      </c>
      <c r="V139" s="27" t="str" cm="1">
        <f t="array" ref="V139">IF(_xlfn.XLOOKUP($A139&amp;$B139&amp;$C139,盘货信息!$A:$A&amp;盘货信息!$B:$B&amp;盘货信息!$C:$C,盘货信息!$Y:$Y)="","","【卡萨帝送赠】活动指定时间"&amp;_xlfn.TEXTBEFORE(_xlfn.TEXTAFTER(_xlfn.XLOOKUP($A139&amp;$B139&amp;$C139,盘货信息!$A:$A&amp;盘货信息!$B:$B&amp;盘货信息!$C:$C,盘货信息!$Y:$Y),"点"),"（"))</f>
        <v/>
      </c>
      <c r="W139" s="27" t="str" cm="1">
        <f t="array" ref="W139">IF(COUNTIF(_xlfn.XLOOKUP($A139&amp;$B139&amp;$C139,盘货信息!$A:$A&amp;盘货信息!$B:$B&amp;盘货信息!$C:$C,盘货信息!$O:$O),"*是*"),"【折扣】指定型号满2类享96折，满3类享94折","")</f>
        <v/>
      </c>
      <c r="X139" s="27" t="str" cm="1">
        <f t="array" ref="X139">IF(固定信息!$B$7="","",IF(_xlfn.XLOOKUP($A139&amp;$B139&amp;$C139,盘货信息!$A:$A&amp;盘货信息!$B:$B&amp;盘货信息!$C:$C,盘货信息!$N:$N)="是","【瓜分】"&amp;固定信息!$B$7,""))</f>
        <v/>
      </c>
      <c r="Y139" s="27" t="str">
        <f>IF(AND($V139="",$W139="",$X139=""),"",固定信息!$B$1)</f>
        <v/>
      </c>
      <c r="Z139" s="27" t="str" cm="1">
        <f t="array" ref="Z139">IF($C139="","",_xlfn.XLOOKUP($A139&amp;$B139&amp;$C139,服务!$A:$A&amp;服务!$B:$B&amp;服务!$C:$C,服务!$D:$D))</f>
        <v/>
      </c>
    </row>
    <row r="140" customHeight="1" spans="1:26">
      <c r="A140" s="26" t="str">
        <f>IF(盘货信息!A140="","",盘货信息!A140)</f>
        <v/>
      </c>
      <c r="B140" s="26" t="str">
        <f>IF(盘货信息!B140="","",盘货信息!B140)</f>
        <v/>
      </c>
      <c r="C140" s="23" t="str">
        <f>IF(盘货信息!C140="","",盘货信息!C140)</f>
        <v/>
      </c>
      <c r="D140" s="27" t="str">
        <f ca="1" t="shared" si="2"/>
        <v/>
      </c>
      <c r="E140" s="27" t="str">
        <f>IF(C140="","",固定信息!$B$2)</f>
        <v/>
      </c>
      <c r="F140" s="27" t="str">
        <f>IF(C140="","","【"&amp;C140&amp;"】"&amp;固定信息!$B$4)</f>
        <v/>
      </c>
      <c r="G140" s="27" t="str">
        <f>IF(C140="","","【"&amp;"活动时间："&amp;固定信息!$B$3&amp;"】")</f>
        <v/>
      </c>
      <c r="H140" s="27" t="str">
        <f>IF($C140="","",固定信息!$B$1)</f>
        <v/>
      </c>
      <c r="I140" s="27" t="str">
        <f>IF(OR(C140="",固定信息!$B$5=""),"","【1元预约锁好礼】"&amp;固定信息!$B$5)</f>
        <v/>
      </c>
      <c r="J140" s="27" t="str" cm="1">
        <f t="array" ref="J140">_xlfn.XLOOKUP($A140&amp;$B140&amp;$C140,价格信息!$A:$A&amp;价格信息!$B:$B&amp;价格信息!$C:$C,价格信息!$D:$D)</f>
        <v/>
      </c>
      <c r="K140" s="27" t="str">
        <f>IF($C140="","",固定信息!$B$1)</f>
        <v/>
      </c>
      <c r="L140" s="27" t="str" cm="1">
        <f t="array" ref="L140">IF(_xlfn.XLOOKUP($A140&amp;$B140&amp;$C140,盘货信息!$A:$A&amp;盘货信息!$B:$B&amp;盘货信息!$C:$C,盘货信息!$T:$T)="","","【优惠券】领"&amp;_xlfn.XLOOKUP($A140&amp;$B140&amp;$C140,盘货信息!$A:$A&amp;盘货信息!$B:$B&amp;盘货信息!$C:$C,盘货信息!$T:$T)&amp;"元优惠卷下单更优惠，领券链接："&amp;_xlfn.XLOOKUP($A140&amp;$B140&amp;$C140,盘货信息!$A:$A&amp;盘货信息!$B:$B&amp;盘货信息!$C:$C,盘货信息!$U:$U))</f>
        <v/>
      </c>
      <c r="M140" s="27" t="str" cm="1">
        <f t="array" ref="M140">IF(_xlfn.XLOOKUP($A140&amp;$B140&amp;$C140,盘货信息!$A:$A&amp;盘货信息!$B:$B&amp;盘货信息!$C:$C,盘货信息!$P:$P)="","","【限时】"&amp;_xlfn.XLOOKUP($A140&amp;$B140&amp;$C140,盘货信息!$A:$A&amp;盘货信息!$B:$B&amp;盘货信息!$C:$C,盘货信息!$P:$P))</f>
        <v/>
      </c>
      <c r="N140" s="27" t="str" cm="1">
        <f t="array" ref="N140">IF(_xlfn.XLOOKUP($A140&amp;$B140&amp;$C140,盘货信息!$A:$A&amp;盘货信息!$B:$B&amp;盘货信息!$C:$C,盘货信息!$V:$V)="","","【"&amp;盘货信息!$V$1&amp;"】"&amp;_xlfn.XLOOKUP($A140&amp;$B140&amp;$C140,盘货信息!$A:$A&amp;盘货信息!$B:$B&amp;盘货信息!$C:$C,盘货信息!$V:$V))</f>
        <v/>
      </c>
      <c r="O140" s="27" t="str" cm="1">
        <f t="array" ref="O140">IF(_xlfn.XLOOKUP($A140&amp;$B140&amp;$C140,盘货信息!$A:$A&amp;盘货信息!$B:$B&amp;盘货信息!$C:$C,盘货信息!$W:$W)="","","【"&amp;盘货信息!$W$1&amp;"】"&amp;_xlfn.XLOOKUP($A140&amp;$B140&amp;$C140,盘货信息!$A:$A&amp;盘货信息!$B:$B&amp;盘货信息!$C:$C,盘货信息!$W:$W))</f>
        <v/>
      </c>
      <c r="P140" s="27" t="str" cm="1">
        <f t="array" ref="P140">IF(_xlfn.XLOOKUP($A140&amp;$B140&amp;$C140,盘货信息!$A:$A&amp;盘货信息!$B:$B&amp;盘货信息!$C:$C,盘货信息!$S:$S)&lt;1,"","【"&amp;盘货信息!$S$1&amp;"】"&amp;"后返"&amp;_xlfn.XLOOKUP($A140&amp;$B140&amp;$C140,盘货信息!$A:$A&amp;盘货信息!$B:$B&amp;盘货信息!$C:$C,盘货信息!$S:$S)&amp;"元")</f>
        <v/>
      </c>
      <c r="Q140" s="27" t="str" cm="1">
        <f t="array" ref="Q140">IF(_xlfn.XLOOKUP($A140&amp;$B140&amp;$C140,盘货信息!$A:$A&amp;盘货信息!$B:$B&amp;盘货信息!$C:$C,盘货信息!$X:$X)="","","【"&amp;盘货信息!$X$1&amp;"】"&amp;_xlfn.XLOOKUP($A140&amp;$B140&amp;$C140,盘货信息!$A:$A&amp;盘货信息!$B:$B&amp;盘货信息!$C:$C,盘货信息!$X:$X))</f>
        <v/>
      </c>
      <c r="R140" s="27" t="str" cm="1">
        <f t="array" ref="R140">IF(_xlfn.XLOOKUP($A140&amp;$B140&amp;$C140,盘货信息!$A:$A&amp;盘货信息!$B:$B&amp;盘货信息!$C:$C,盘货信息!$Z:$Z)="","","【"&amp;盘货信息!$Z$1&amp;"】"&amp;_xlfn.XLOOKUP($A140&amp;$B140&amp;$C140,盘货信息!$A:$A&amp;盘货信息!$B:$B&amp;盘货信息!$C:$C,盘货信息!$Z:$Z))</f>
        <v/>
      </c>
      <c r="S140" s="27" t="str" cm="1">
        <f t="array" ref="S140">IF(_xlfn.XLOOKUP($A140&amp;$B140&amp;$C140,盘货信息!$A:$A&amp;盘货信息!$B:$B&amp;盘货信息!$C:$C,盘货信息!$Q:$Q)="","","【种草】站外带指定话题种草后返"&amp;_xlfn.XLOOKUP($A140&amp;$B140&amp;$C140,盘货信息!$A:$A&amp;盘货信息!$B:$B&amp;盘货信息!$C:$C,盘货信息!$Q:$Q)&amp;"元红包（每个淘宝账号仅限对应一个站外种草账号，同一个种草账号不可对应多个淘宝账号）")</f>
        <v/>
      </c>
      <c r="T140" s="27" t="str" cm="1">
        <f t="array" ref="T140">IF(_xlfn.XLOOKUP($A140&amp;$B140&amp;$C140,盘货信息!$A:$A&amp;盘货信息!$B:$B&amp;盘货信息!$C:$C,盘货信息!$R:$R)&lt;1,"","【以旧换新】"&amp;"享补贴"&amp;ROUND(_xlfn.XLOOKUP($A140&amp;$B140&amp;$C140,盘货信息!$A:$A&amp;盘货信息!$B:$B&amp;盘货信息!$C:$C,盘货信息!$R:$R),0)&amp;"元（可无旧机换新）")</f>
        <v/>
      </c>
      <c r="U140" s="27" t="str">
        <f>IF(AND($N140="",$O140="",$P140="",$Q140="",$R140="",$S140="",$T140=""),"",固定信息!$B$1)</f>
        <v/>
      </c>
      <c r="V140" s="27" t="str" cm="1">
        <f t="array" ref="V140">IF(_xlfn.XLOOKUP($A140&amp;$B140&amp;$C140,盘货信息!$A:$A&amp;盘货信息!$B:$B&amp;盘货信息!$C:$C,盘货信息!$Y:$Y)="","","【卡萨帝送赠】活动指定时间"&amp;_xlfn.TEXTBEFORE(_xlfn.TEXTAFTER(_xlfn.XLOOKUP($A140&amp;$B140&amp;$C140,盘货信息!$A:$A&amp;盘货信息!$B:$B&amp;盘货信息!$C:$C,盘货信息!$Y:$Y),"点"),"（"))</f>
        <v/>
      </c>
      <c r="W140" s="27" t="str" cm="1">
        <f t="array" ref="W140">IF(COUNTIF(_xlfn.XLOOKUP($A140&amp;$B140&amp;$C140,盘货信息!$A:$A&amp;盘货信息!$B:$B&amp;盘货信息!$C:$C,盘货信息!$O:$O),"*是*"),"【折扣】指定型号满2类享96折，满3类享94折","")</f>
        <v/>
      </c>
      <c r="X140" s="27" t="str" cm="1">
        <f t="array" ref="X140">IF(固定信息!$B$7="","",IF(_xlfn.XLOOKUP($A140&amp;$B140&amp;$C140,盘货信息!$A:$A&amp;盘货信息!$B:$B&amp;盘货信息!$C:$C,盘货信息!$N:$N)="是","【瓜分】"&amp;固定信息!$B$7,""))</f>
        <v/>
      </c>
      <c r="Y140" s="27" t="str">
        <f>IF(AND($V140="",$W140="",$X140=""),"",固定信息!$B$1)</f>
        <v/>
      </c>
      <c r="Z140" s="27" t="str" cm="1">
        <f t="array" ref="Z140">IF($C140="","",_xlfn.XLOOKUP($A140&amp;$B140&amp;$C140,服务!$A:$A&amp;服务!$B:$B&amp;服务!$C:$C,服务!$D:$D))</f>
        <v/>
      </c>
    </row>
    <row r="141" customHeight="1" spans="1:26">
      <c r="A141" s="26" t="str">
        <f>IF(盘货信息!A141="","",盘货信息!A141)</f>
        <v/>
      </c>
      <c r="B141" s="26" t="str">
        <f>IF(盘货信息!B141="","",盘货信息!B141)</f>
        <v/>
      </c>
      <c r="C141" s="23" t="str">
        <f>IF(盘货信息!C141="","",盘货信息!C141)</f>
        <v/>
      </c>
      <c r="D141" s="27" t="str">
        <f ca="1" t="shared" si="2"/>
        <v/>
      </c>
      <c r="E141" s="27" t="str">
        <f>IF(C141="","",固定信息!$B$2)</f>
        <v/>
      </c>
      <c r="F141" s="27" t="str">
        <f>IF(C141="","","【"&amp;C141&amp;"】"&amp;固定信息!$B$4)</f>
        <v/>
      </c>
      <c r="G141" s="27" t="str">
        <f>IF(C141="","","【"&amp;"活动时间："&amp;固定信息!$B$3&amp;"】")</f>
        <v/>
      </c>
      <c r="H141" s="27" t="str">
        <f>IF($C141="","",固定信息!$B$1)</f>
        <v/>
      </c>
      <c r="I141" s="27" t="str">
        <f>IF(OR(C141="",固定信息!$B$5=""),"","【1元预约锁好礼】"&amp;固定信息!$B$5)</f>
        <v/>
      </c>
      <c r="J141" s="27" t="str" cm="1">
        <f t="array" ref="J141">_xlfn.XLOOKUP($A141&amp;$B141&amp;$C141,价格信息!$A:$A&amp;价格信息!$B:$B&amp;价格信息!$C:$C,价格信息!$D:$D)</f>
        <v/>
      </c>
      <c r="K141" s="27" t="str">
        <f>IF($C141="","",固定信息!$B$1)</f>
        <v/>
      </c>
      <c r="L141" s="27" t="str" cm="1">
        <f t="array" ref="L141">IF(_xlfn.XLOOKUP($A141&amp;$B141&amp;$C141,盘货信息!$A:$A&amp;盘货信息!$B:$B&amp;盘货信息!$C:$C,盘货信息!$T:$T)="","","【优惠券】领"&amp;_xlfn.XLOOKUP($A141&amp;$B141&amp;$C141,盘货信息!$A:$A&amp;盘货信息!$B:$B&amp;盘货信息!$C:$C,盘货信息!$T:$T)&amp;"元优惠卷下单更优惠，领券链接："&amp;_xlfn.XLOOKUP($A141&amp;$B141&amp;$C141,盘货信息!$A:$A&amp;盘货信息!$B:$B&amp;盘货信息!$C:$C,盘货信息!$U:$U))</f>
        <v/>
      </c>
      <c r="M141" s="27" t="str" cm="1">
        <f t="array" ref="M141">IF(_xlfn.XLOOKUP($A141&amp;$B141&amp;$C141,盘货信息!$A:$A&amp;盘货信息!$B:$B&amp;盘货信息!$C:$C,盘货信息!$P:$P)="","","【限时】"&amp;_xlfn.XLOOKUP($A141&amp;$B141&amp;$C141,盘货信息!$A:$A&amp;盘货信息!$B:$B&amp;盘货信息!$C:$C,盘货信息!$P:$P))</f>
        <v/>
      </c>
      <c r="N141" s="27" t="str" cm="1">
        <f t="array" ref="N141">IF(_xlfn.XLOOKUP($A141&amp;$B141&amp;$C141,盘货信息!$A:$A&amp;盘货信息!$B:$B&amp;盘货信息!$C:$C,盘货信息!$V:$V)="","","【"&amp;盘货信息!$V$1&amp;"】"&amp;_xlfn.XLOOKUP($A141&amp;$B141&amp;$C141,盘货信息!$A:$A&amp;盘货信息!$B:$B&amp;盘货信息!$C:$C,盘货信息!$V:$V))</f>
        <v/>
      </c>
      <c r="O141" s="27" t="str" cm="1">
        <f t="array" ref="O141">IF(_xlfn.XLOOKUP($A141&amp;$B141&amp;$C141,盘货信息!$A:$A&amp;盘货信息!$B:$B&amp;盘货信息!$C:$C,盘货信息!$W:$W)="","","【"&amp;盘货信息!$W$1&amp;"】"&amp;_xlfn.XLOOKUP($A141&amp;$B141&amp;$C141,盘货信息!$A:$A&amp;盘货信息!$B:$B&amp;盘货信息!$C:$C,盘货信息!$W:$W))</f>
        <v/>
      </c>
      <c r="P141" s="27" t="str" cm="1">
        <f t="array" ref="P141">IF(_xlfn.XLOOKUP($A141&amp;$B141&amp;$C141,盘货信息!$A:$A&amp;盘货信息!$B:$B&amp;盘货信息!$C:$C,盘货信息!$S:$S)&lt;1,"","【"&amp;盘货信息!$S$1&amp;"】"&amp;"后返"&amp;_xlfn.XLOOKUP($A141&amp;$B141&amp;$C141,盘货信息!$A:$A&amp;盘货信息!$B:$B&amp;盘货信息!$C:$C,盘货信息!$S:$S)&amp;"元")</f>
        <v/>
      </c>
      <c r="Q141" s="27" t="str" cm="1">
        <f t="array" ref="Q141">IF(_xlfn.XLOOKUP($A141&amp;$B141&amp;$C141,盘货信息!$A:$A&amp;盘货信息!$B:$B&amp;盘货信息!$C:$C,盘货信息!$X:$X)="","","【"&amp;盘货信息!$X$1&amp;"】"&amp;_xlfn.XLOOKUP($A141&amp;$B141&amp;$C141,盘货信息!$A:$A&amp;盘货信息!$B:$B&amp;盘货信息!$C:$C,盘货信息!$X:$X))</f>
        <v/>
      </c>
      <c r="R141" s="27" t="str" cm="1">
        <f t="array" ref="R141">IF(_xlfn.XLOOKUP($A141&amp;$B141&amp;$C141,盘货信息!$A:$A&amp;盘货信息!$B:$B&amp;盘货信息!$C:$C,盘货信息!$Z:$Z)="","","【"&amp;盘货信息!$Z$1&amp;"】"&amp;_xlfn.XLOOKUP($A141&amp;$B141&amp;$C141,盘货信息!$A:$A&amp;盘货信息!$B:$B&amp;盘货信息!$C:$C,盘货信息!$Z:$Z))</f>
        <v/>
      </c>
      <c r="S141" s="27" t="str" cm="1">
        <f t="array" ref="S141">IF(_xlfn.XLOOKUP($A141&amp;$B141&amp;$C141,盘货信息!$A:$A&amp;盘货信息!$B:$B&amp;盘货信息!$C:$C,盘货信息!$Q:$Q)="","","【种草】站外带指定话题种草后返"&amp;_xlfn.XLOOKUP($A141&amp;$B141&amp;$C141,盘货信息!$A:$A&amp;盘货信息!$B:$B&amp;盘货信息!$C:$C,盘货信息!$Q:$Q)&amp;"元红包（每个淘宝账号仅限对应一个站外种草账号，同一个种草账号不可对应多个淘宝账号）")</f>
        <v/>
      </c>
      <c r="T141" s="27" t="str" cm="1">
        <f t="array" ref="T141">IF(_xlfn.XLOOKUP($A141&amp;$B141&amp;$C141,盘货信息!$A:$A&amp;盘货信息!$B:$B&amp;盘货信息!$C:$C,盘货信息!$R:$R)&lt;1,"","【以旧换新】"&amp;"享补贴"&amp;ROUND(_xlfn.XLOOKUP($A141&amp;$B141&amp;$C141,盘货信息!$A:$A&amp;盘货信息!$B:$B&amp;盘货信息!$C:$C,盘货信息!$R:$R),0)&amp;"元（可无旧机换新）")</f>
        <v/>
      </c>
      <c r="U141" s="27" t="str">
        <f>IF(AND($N141="",$O141="",$P141="",$Q141="",$R141="",$S141="",$T141=""),"",固定信息!$B$1)</f>
        <v/>
      </c>
      <c r="V141" s="27" t="str" cm="1">
        <f t="array" ref="V141">IF(_xlfn.XLOOKUP($A141&amp;$B141&amp;$C141,盘货信息!$A:$A&amp;盘货信息!$B:$B&amp;盘货信息!$C:$C,盘货信息!$Y:$Y)="","","【卡萨帝送赠】活动指定时间"&amp;_xlfn.TEXTBEFORE(_xlfn.TEXTAFTER(_xlfn.XLOOKUP($A141&amp;$B141&amp;$C141,盘货信息!$A:$A&amp;盘货信息!$B:$B&amp;盘货信息!$C:$C,盘货信息!$Y:$Y),"点"),"（"))</f>
        <v/>
      </c>
      <c r="W141" s="27" t="str" cm="1">
        <f t="array" ref="W141">IF(COUNTIF(_xlfn.XLOOKUP($A141&amp;$B141&amp;$C141,盘货信息!$A:$A&amp;盘货信息!$B:$B&amp;盘货信息!$C:$C,盘货信息!$O:$O),"*是*"),"【折扣】指定型号满2类享96折，满3类享94折","")</f>
        <v/>
      </c>
      <c r="X141" s="27" t="str" cm="1">
        <f t="array" ref="X141">IF(固定信息!$B$7="","",IF(_xlfn.XLOOKUP($A141&amp;$B141&amp;$C141,盘货信息!$A:$A&amp;盘货信息!$B:$B&amp;盘货信息!$C:$C,盘货信息!$N:$N)="是","【瓜分】"&amp;固定信息!$B$7,""))</f>
        <v/>
      </c>
      <c r="Y141" s="27" t="str">
        <f>IF(AND($V141="",$W141="",$X141=""),"",固定信息!$B$1)</f>
        <v/>
      </c>
      <c r="Z141" s="27" t="str" cm="1">
        <f t="array" ref="Z141">IF($C141="","",_xlfn.XLOOKUP($A141&amp;$B141&amp;$C141,服务!$A:$A&amp;服务!$B:$B&amp;服务!$C:$C,服务!$D:$D))</f>
        <v/>
      </c>
    </row>
    <row r="142" customHeight="1" spans="1:26">
      <c r="A142" s="26" t="str">
        <f>IF(盘货信息!A142="","",盘货信息!A142)</f>
        <v/>
      </c>
      <c r="B142" s="26" t="str">
        <f>IF(盘货信息!B142="","",盘货信息!B142)</f>
        <v/>
      </c>
      <c r="C142" s="23" t="str">
        <f>IF(盘货信息!C142="","",盘货信息!C142)</f>
        <v/>
      </c>
      <c r="D142" s="27" t="str">
        <f ca="1" t="shared" si="2"/>
        <v/>
      </c>
      <c r="E142" s="27" t="str">
        <f>IF(C142="","",固定信息!$B$2)</f>
        <v/>
      </c>
      <c r="F142" s="27" t="str">
        <f>IF(C142="","","【"&amp;C142&amp;"】"&amp;固定信息!$B$4)</f>
        <v/>
      </c>
      <c r="G142" s="27" t="str">
        <f>IF(C142="","","【"&amp;"活动时间："&amp;固定信息!$B$3&amp;"】")</f>
        <v/>
      </c>
      <c r="H142" s="27" t="str">
        <f>IF($C142="","",固定信息!$B$1)</f>
        <v/>
      </c>
      <c r="I142" s="27" t="str">
        <f>IF(OR(C142="",固定信息!$B$5=""),"","【1元预约锁好礼】"&amp;固定信息!$B$5)</f>
        <v/>
      </c>
      <c r="J142" s="27" t="str" cm="1">
        <f t="array" ref="J142">_xlfn.XLOOKUP($A142&amp;$B142&amp;$C142,价格信息!$A:$A&amp;价格信息!$B:$B&amp;价格信息!$C:$C,价格信息!$D:$D)</f>
        <v/>
      </c>
      <c r="K142" s="27" t="str">
        <f>IF($C142="","",固定信息!$B$1)</f>
        <v/>
      </c>
      <c r="L142" s="27" t="str" cm="1">
        <f t="array" ref="L142">IF(_xlfn.XLOOKUP($A142&amp;$B142&amp;$C142,盘货信息!$A:$A&amp;盘货信息!$B:$B&amp;盘货信息!$C:$C,盘货信息!$T:$T)="","","【优惠券】领"&amp;_xlfn.XLOOKUP($A142&amp;$B142&amp;$C142,盘货信息!$A:$A&amp;盘货信息!$B:$B&amp;盘货信息!$C:$C,盘货信息!$T:$T)&amp;"元优惠卷下单更优惠，领券链接："&amp;_xlfn.XLOOKUP($A142&amp;$B142&amp;$C142,盘货信息!$A:$A&amp;盘货信息!$B:$B&amp;盘货信息!$C:$C,盘货信息!$U:$U))</f>
        <v/>
      </c>
      <c r="M142" s="27" t="str" cm="1">
        <f t="array" ref="M142">IF(_xlfn.XLOOKUP($A142&amp;$B142&amp;$C142,盘货信息!$A:$A&amp;盘货信息!$B:$B&amp;盘货信息!$C:$C,盘货信息!$P:$P)="","","【限时】"&amp;_xlfn.XLOOKUP($A142&amp;$B142&amp;$C142,盘货信息!$A:$A&amp;盘货信息!$B:$B&amp;盘货信息!$C:$C,盘货信息!$P:$P))</f>
        <v/>
      </c>
      <c r="N142" s="27" t="str" cm="1">
        <f t="array" ref="N142">IF(_xlfn.XLOOKUP($A142&amp;$B142&amp;$C142,盘货信息!$A:$A&amp;盘货信息!$B:$B&amp;盘货信息!$C:$C,盘货信息!$V:$V)="","","【"&amp;盘货信息!$V$1&amp;"】"&amp;_xlfn.XLOOKUP($A142&amp;$B142&amp;$C142,盘货信息!$A:$A&amp;盘货信息!$B:$B&amp;盘货信息!$C:$C,盘货信息!$V:$V))</f>
        <v/>
      </c>
      <c r="O142" s="27" t="str" cm="1">
        <f t="array" ref="O142">IF(_xlfn.XLOOKUP($A142&amp;$B142&amp;$C142,盘货信息!$A:$A&amp;盘货信息!$B:$B&amp;盘货信息!$C:$C,盘货信息!$W:$W)="","","【"&amp;盘货信息!$W$1&amp;"】"&amp;_xlfn.XLOOKUP($A142&amp;$B142&amp;$C142,盘货信息!$A:$A&amp;盘货信息!$B:$B&amp;盘货信息!$C:$C,盘货信息!$W:$W))</f>
        <v/>
      </c>
      <c r="P142" s="27" t="str" cm="1">
        <f t="array" ref="P142">IF(_xlfn.XLOOKUP($A142&amp;$B142&amp;$C142,盘货信息!$A:$A&amp;盘货信息!$B:$B&amp;盘货信息!$C:$C,盘货信息!$S:$S)&lt;1,"","【"&amp;盘货信息!$S$1&amp;"】"&amp;"后返"&amp;_xlfn.XLOOKUP($A142&amp;$B142&amp;$C142,盘货信息!$A:$A&amp;盘货信息!$B:$B&amp;盘货信息!$C:$C,盘货信息!$S:$S)&amp;"元")</f>
        <v/>
      </c>
      <c r="Q142" s="27" t="str" cm="1">
        <f t="array" ref="Q142">IF(_xlfn.XLOOKUP($A142&amp;$B142&amp;$C142,盘货信息!$A:$A&amp;盘货信息!$B:$B&amp;盘货信息!$C:$C,盘货信息!$X:$X)="","","【"&amp;盘货信息!$X$1&amp;"】"&amp;_xlfn.XLOOKUP($A142&amp;$B142&amp;$C142,盘货信息!$A:$A&amp;盘货信息!$B:$B&amp;盘货信息!$C:$C,盘货信息!$X:$X))</f>
        <v/>
      </c>
      <c r="R142" s="27" t="str" cm="1">
        <f t="array" ref="R142">IF(_xlfn.XLOOKUP($A142&amp;$B142&amp;$C142,盘货信息!$A:$A&amp;盘货信息!$B:$B&amp;盘货信息!$C:$C,盘货信息!$Z:$Z)="","","【"&amp;盘货信息!$Z$1&amp;"】"&amp;_xlfn.XLOOKUP($A142&amp;$B142&amp;$C142,盘货信息!$A:$A&amp;盘货信息!$B:$B&amp;盘货信息!$C:$C,盘货信息!$Z:$Z))</f>
        <v/>
      </c>
      <c r="S142" s="27" t="str" cm="1">
        <f t="array" ref="S142">IF(_xlfn.XLOOKUP($A142&amp;$B142&amp;$C142,盘货信息!$A:$A&amp;盘货信息!$B:$B&amp;盘货信息!$C:$C,盘货信息!$Q:$Q)="","","【种草】站外带指定话题种草后返"&amp;_xlfn.XLOOKUP($A142&amp;$B142&amp;$C142,盘货信息!$A:$A&amp;盘货信息!$B:$B&amp;盘货信息!$C:$C,盘货信息!$Q:$Q)&amp;"元红包（每个淘宝账号仅限对应一个站外种草账号，同一个种草账号不可对应多个淘宝账号）")</f>
        <v/>
      </c>
      <c r="T142" s="27" t="str" cm="1">
        <f t="array" ref="T142">IF(_xlfn.XLOOKUP($A142&amp;$B142&amp;$C142,盘货信息!$A:$A&amp;盘货信息!$B:$B&amp;盘货信息!$C:$C,盘货信息!$R:$R)&lt;1,"","【以旧换新】"&amp;"享补贴"&amp;ROUND(_xlfn.XLOOKUP($A142&amp;$B142&amp;$C142,盘货信息!$A:$A&amp;盘货信息!$B:$B&amp;盘货信息!$C:$C,盘货信息!$R:$R),0)&amp;"元（可无旧机换新）")</f>
        <v/>
      </c>
      <c r="U142" s="27" t="str">
        <f>IF(AND($N142="",$O142="",$P142="",$Q142="",$R142="",$S142="",$T142=""),"",固定信息!$B$1)</f>
        <v/>
      </c>
      <c r="V142" s="27" t="str" cm="1">
        <f t="array" ref="V142">IF(_xlfn.XLOOKUP($A142&amp;$B142&amp;$C142,盘货信息!$A:$A&amp;盘货信息!$B:$B&amp;盘货信息!$C:$C,盘货信息!$Y:$Y)="","","【卡萨帝送赠】活动指定时间"&amp;_xlfn.TEXTBEFORE(_xlfn.TEXTAFTER(_xlfn.XLOOKUP($A142&amp;$B142&amp;$C142,盘货信息!$A:$A&amp;盘货信息!$B:$B&amp;盘货信息!$C:$C,盘货信息!$Y:$Y),"点"),"（"))</f>
        <v/>
      </c>
      <c r="W142" s="27" t="str" cm="1">
        <f t="array" ref="W142">IF(COUNTIF(_xlfn.XLOOKUP($A142&amp;$B142&amp;$C142,盘货信息!$A:$A&amp;盘货信息!$B:$B&amp;盘货信息!$C:$C,盘货信息!$O:$O),"*是*"),"【折扣】指定型号满2类享96折，满3类享94折","")</f>
        <v/>
      </c>
      <c r="X142" s="27" t="str" cm="1">
        <f t="array" ref="X142">IF(固定信息!$B$7="","",IF(_xlfn.XLOOKUP($A142&amp;$B142&amp;$C142,盘货信息!$A:$A&amp;盘货信息!$B:$B&amp;盘货信息!$C:$C,盘货信息!$N:$N)="是","【瓜分】"&amp;固定信息!$B$7,""))</f>
        <v/>
      </c>
      <c r="Y142" s="27" t="str">
        <f>IF(AND($V142="",$W142="",$X142=""),"",固定信息!$B$1)</f>
        <v/>
      </c>
      <c r="Z142" s="27" t="str" cm="1">
        <f t="array" ref="Z142">IF($C142="","",_xlfn.XLOOKUP($A142&amp;$B142&amp;$C142,服务!$A:$A&amp;服务!$B:$B&amp;服务!$C:$C,服务!$D:$D))</f>
        <v/>
      </c>
    </row>
    <row r="143" customHeight="1" spans="1:26">
      <c r="A143" s="26" t="str">
        <f>IF(盘货信息!A143="","",盘货信息!A143)</f>
        <v/>
      </c>
      <c r="B143" s="26" t="str">
        <f>IF(盘货信息!B143="","",盘货信息!B143)</f>
        <v/>
      </c>
      <c r="C143" s="20" t="str">
        <f>IF(盘货信息!C143="","",盘货信息!C143)</f>
        <v/>
      </c>
      <c r="D143" s="27" t="str">
        <f ca="1" t="shared" si="2"/>
        <v/>
      </c>
      <c r="E143" s="27" t="str">
        <f>IF(C143="","",固定信息!$B$2)</f>
        <v/>
      </c>
      <c r="F143" s="27" t="str">
        <f>IF(C143="","","【"&amp;C143&amp;"】"&amp;固定信息!$B$4)</f>
        <v/>
      </c>
      <c r="G143" s="27" t="str">
        <f>IF(C143="","","【"&amp;"活动时间："&amp;固定信息!$B$3&amp;"】")</f>
        <v/>
      </c>
      <c r="H143" s="27" t="str">
        <f>IF($C143="","",固定信息!$B$1)</f>
        <v/>
      </c>
      <c r="I143" s="27" t="str">
        <f>IF(OR(C143="",固定信息!$B$5=""),"","【1元预约锁好礼】"&amp;固定信息!$B$5)</f>
        <v/>
      </c>
      <c r="J143" s="27" t="str" cm="1">
        <f t="array" ref="J143">_xlfn.XLOOKUP($A143&amp;$B143&amp;$C143,价格信息!$A:$A&amp;价格信息!$B:$B&amp;价格信息!$C:$C,价格信息!$D:$D)</f>
        <v/>
      </c>
      <c r="K143" s="27" t="str">
        <f>IF($C143="","",固定信息!$B$1)</f>
        <v/>
      </c>
      <c r="L143" s="27" t="str" cm="1">
        <f t="array" ref="L143">IF(_xlfn.XLOOKUP($A143&amp;$B143&amp;$C143,盘货信息!$A:$A&amp;盘货信息!$B:$B&amp;盘货信息!$C:$C,盘货信息!$T:$T)="","","【优惠券】领"&amp;_xlfn.XLOOKUP($A143&amp;$B143&amp;$C143,盘货信息!$A:$A&amp;盘货信息!$B:$B&amp;盘货信息!$C:$C,盘货信息!$T:$T)&amp;"元优惠卷下单更优惠，领券链接："&amp;_xlfn.XLOOKUP($A143&amp;$B143&amp;$C143,盘货信息!$A:$A&amp;盘货信息!$B:$B&amp;盘货信息!$C:$C,盘货信息!$U:$U))</f>
        <v/>
      </c>
      <c r="M143" s="27" t="str" cm="1">
        <f t="array" ref="M143">IF(_xlfn.XLOOKUP($A143&amp;$B143&amp;$C143,盘货信息!$A:$A&amp;盘货信息!$B:$B&amp;盘货信息!$C:$C,盘货信息!$P:$P)="","","【限时】"&amp;_xlfn.XLOOKUP($A143&amp;$B143&amp;$C143,盘货信息!$A:$A&amp;盘货信息!$B:$B&amp;盘货信息!$C:$C,盘货信息!$P:$P))</f>
        <v/>
      </c>
      <c r="N143" s="27" t="str" cm="1">
        <f t="array" ref="N143">IF(_xlfn.XLOOKUP($A143&amp;$B143&amp;$C143,盘货信息!$A:$A&amp;盘货信息!$B:$B&amp;盘货信息!$C:$C,盘货信息!$V:$V)="","","【"&amp;盘货信息!$V$1&amp;"】"&amp;_xlfn.XLOOKUP($A143&amp;$B143&amp;$C143,盘货信息!$A:$A&amp;盘货信息!$B:$B&amp;盘货信息!$C:$C,盘货信息!$V:$V))</f>
        <v/>
      </c>
      <c r="O143" s="27" t="str" cm="1">
        <f t="array" ref="O143">IF(_xlfn.XLOOKUP($A143&amp;$B143&amp;$C143,盘货信息!$A:$A&amp;盘货信息!$B:$B&amp;盘货信息!$C:$C,盘货信息!$W:$W)="","","【"&amp;盘货信息!$W$1&amp;"】"&amp;_xlfn.XLOOKUP($A143&amp;$B143&amp;$C143,盘货信息!$A:$A&amp;盘货信息!$B:$B&amp;盘货信息!$C:$C,盘货信息!$W:$W))</f>
        <v/>
      </c>
      <c r="P143" s="27" t="str" cm="1">
        <f t="array" ref="P143">IF(_xlfn.XLOOKUP($A143&amp;$B143&amp;$C143,盘货信息!$A:$A&amp;盘货信息!$B:$B&amp;盘货信息!$C:$C,盘货信息!$S:$S)&lt;1,"","【"&amp;盘货信息!$S$1&amp;"】"&amp;"后返"&amp;_xlfn.XLOOKUP($A143&amp;$B143&amp;$C143,盘货信息!$A:$A&amp;盘货信息!$B:$B&amp;盘货信息!$C:$C,盘货信息!$S:$S)&amp;"元")</f>
        <v/>
      </c>
      <c r="Q143" s="27" t="str" cm="1">
        <f t="array" ref="Q143">IF(_xlfn.XLOOKUP($A143&amp;$B143&amp;$C143,盘货信息!$A:$A&amp;盘货信息!$B:$B&amp;盘货信息!$C:$C,盘货信息!$X:$X)="","","【"&amp;盘货信息!$X$1&amp;"】"&amp;_xlfn.XLOOKUP($A143&amp;$B143&amp;$C143,盘货信息!$A:$A&amp;盘货信息!$B:$B&amp;盘货信息!$C:$C,盘货信息!$X:$X))</f>
        <v/>
      </c>
      <c r="R143" s="27" t="str" cm="1">
        <f t="array" ref="R143">IF(_xlfn.XLOOKUP($A143&amp;$B143&amp;$C143,盘货信息!$A:$A&amp;盘货信息!$B:$B&amp;盘货信息!$C:$C,盘货信息!$Z:$Z)="","","【"&amp;盘货信息!$Z$1&amp;"】"&amp;_xlfn.XLOOKUP($A143&amp;$B143&amp;$C143,盘货信息!$A:$A&amp;盘货信息!$B:$B&amp;盘货信息!$C:$C,盘货信息!$Z:$Z))</f>
        <v/>
      </c>
      <c r="S143" s="27" t="str" cm="1">
        <f t="array" ref="S143">IF(_xlfn.XLOOKUP($A143&amp;$B143&amp;$C143,盘货信息!$A:$A&amp;盘货信息!$B:$B&amp;盘货信息!$C:$C,盘货信息!$Q:$Q)="","","【种草】站外带指定话题种草后返"&amp;_xlfn.XLOOKUP($A143&amp;$B143&amp;$C143,盘货信息!$A:$A&amp;盘货信息!$B:$B&amp;盘货信息!$C:$C,盘货信息!$Q:$Q)&amp;"元红包（每个淘宝账号仅限对应一个站外种草账号，同一个种草账号不可对应多个淘宝账号）")</f>
        <v/>
      </c>
      <c r="T143" s="27" t="str" cm="1">
        <f t="array" ref="T143">IF(_xlfn.XLOOKUP($A143&amp;$B143&amp;$C143,盘货信息!$A:$A&amp;盘货信息!$B:$B&amp;盘货信息!$C:$C,盘货信息!$R:$R)&lt;1,"","【以旧换新】"&amp;"享补贴"&amp;ROUND(_xlfn.XLOOKUP($A143&amp;$B143&amp;$C143,盘货信息!$A:$A&amp;盘货信息!$B:$B&amp;盘货信息!$C:$C,盘货信息!$R:$R),0)&amp;"元（可无旧机换新）")</f>
        <v/>
      </c>
      <c r="U143" s="27" t="str">
        <f>IF(AND($N143="",$O143="",$P143="",$Q143="",$R143="",$S143="",$T143=""),"",固定信息!$B$1)</f>
        <v/>
      </c>
      <c r="V143" s="27" t="str" cm="1">
        <f t="array" ref="V143">IF(_xlfn.XLOOKUP($A143&amp;$B143&amp;$C143,盘货信息!$A:$A&amp;盘货信息!$B:$B&amp;盘货信息!$C:$C,盘货信息!$Y:$Y)="","","【卡萨帝送赠】活动指定时间"&amp;_xlfn.TEXTBEFORE(_xlfn.TEXTAFTER(_xlfn.XLOOKUP($A143&amp;$B143&amp;$C143,盘货信息!$A:$A&amp;盘货信息!$B:$B&amp;盘货信息!$C:$C,盘货信息!$Y:$Y),"点"),"（"))</f>
        <v/>
      </c>
      <c r="W143" s="27" t="str" cm="1">
        <f t="array" ref="W143">IF(COUNTIF(_xlfn.XLOOKUP($A143&amp;$B143&amp;$C143,盘货信息!$A:$A&amp;盘货信息!$B:$B&amp;盘货信息!$C:$C,盘货信息!$O:$O),"*是*"),"【折扣】指定型号满2类享96折，满3类享94折","")</f>
        <v/>
      </c>
      <c r="X143" s="27" t="str" cm="1">
        <f t="array" ref="X143">IF(固定信息!$B$7="","",IF(_xlfn.XLOOKUP($A143&amp;$B143&amp;$C143,盘货信息!$A:$A&amp;盘货信息!$B:$B&amp;盘货信息!$C:$C,盘货信息!$N:$N)="是","【瓜分】"&amp;固定信息!$B$7,""))</f>
        <v/>
      </c>
      <c r="Y143" s="27" t="str">
        <f>IF(AND($V143="",$W143="",$X143=""),"",固定信息!$B$1)</f>
        <v/>
      </c>
      <c r="Z143" s="27" t="str" cm="1">
        <f t="array" ref="Z143">IF($C143="","",_xlfn.XLOOKUP($A143&amp;$B143&amp;$C143,服务!$A:$A&amp;服务!$B:$B&amp;服务!$C:$C,服务!$D:$D))</f>
        <v/>
      </c>
    </row>
    <row r="144" customHeight="1" spans="1:26">
      <c r="A144" s="26" t="str">
        <f>IF(盘货信息!A144="","",盘货信息!A144)</f>
        <v/>
      </c>
      <c r="B144" s="26" t="str">
        <f>IF(盘货信息!B144="","",盘货信息!B144)</f>
        <v/>
      </c>
      <c r="C144" s="23" t="str">
        <f>IF(盘货信息!C144="","",盘货信息!C144)</f>
        <v/>
      </c>
      <c r="D144" s="27" t="str">
        <f ca="1" t="shared" si="2"/>
        <v/>
      </c>
      <c r="E144" s="27" t="str">
        <f>IF(C144="","",固定信息!$B$2)</f>
        <v/>
      </c>
      <c r="F144" s="27" t="str">
        <f>IF(C144="","","【"&amp;C144&amp;"】"&amp;固定信息!$B$4)</f>
        <v/>
      </c>
      <c r="G144" s="27" t="str">
        <f>IF(C144="","","【"&amp;"活动时间："&amp;固定信息!$B$3&amp;"】")</f>
        <v/>
      </c>
      <c r="H144" s="27" t="str">
        <f>IF($C144="","",固定信息!$B$1)</f>
        <v/>
      </c>
      <c r="I144" s="27" t="str">
        <f>IF(OR(C144="",固定信息!$B$5=""),"","【1元预约锁好礼】"&amp;固定信息!$B$5)</f>
        <v/>
      </c>
      <c r="J144" s="27" t="str" cm="1">
        <f t="array" ref="J144">_xlfn.XLOOKUP($A144&amp;$B144&amp;$C144,价格信息!$A:$A&amp;价格信息!$B:$B&amp;价格信息!$C:$C,价格信息!$D:$D)</f>
        <v/>
      </c>
      <c r="K144" s="27" t="str">
        <f>IF($C144="","",固定信息!$B$1)</f>
        <v/>
      </c>
      <c r="L144" s="27" t="str" cm="1">
        <f t="array" ref="L144">IF(_xlfn.XLOOKUP($A144&amp;$B144&amp;$C144,盘货信息!$A:$A&amp;盘货信息!$B:$B&amp;盘货信息!$C:$C,盘货信息!$T:$T)="","","【优惠券】领"&amp;_xlfn.XLOOKUP($A144&amp;$B144&amp;$C144,盘货信息!$A:$A&amp;盘货信息!$B:$B&amp;盘货信息!$C:$C,盘货信息!$T:$T)&amp;"元优惠卷下单更优惠，领券链接："&amp;_xlfn.XLOOKUP($A144&amp;$B144&amp;$C144,盘货信息!$A:$A&amp;盘货信息!$B:$B&amp;盘货信息!$C:$C,盘货信息!$U:$U))</f>
        <v/>
      </c>
      <c r="M144" s="27" t="str" cm="1">
        <f t="array" ref="M144">IF(_xlfn.XLOOKUP($A144&amp;$B144&amp;$C144,盘货信息!$A:$A&amp;盘货信息!$B:$B&amp;盘货信息!$C:$C,盘货信息!$P:$P)="","","【限时】"&amp;_xlfn.XLOOKUP($A144&amp;$B144&amp;$C144,盘货信息!$A:$A&amp;盘货信息!$B:$B&amp;盘货信息!$C:$C,盘货信息!$P:$P))</f>
        <v/>
      </c>
      <c r="N144" s="27" t="str" cm="1">
        <f t="array" ref="N144">IF(_xlfn.XLOOKUP($A144&amp;$B144&amp;$C144,盘货信息!$A:$A&amp;盘货信息!$B:$B&amp;盘货信息!$C:$C,盘货信息!$V:$V)="","","【"&amp;盘货信息!$V$1&amp;"】"&amp;_xlfn.XLOOKUP($A144&amp;$B144&amp;$C144,盘货信息!$A:$A&amp;盘货信息!$B:$B&amp;盘货信息!$C:$C,盘货信息!$V:$V))</f>
        <v/>
      </c>
      <c r="O144" s="27" t="str" cm="1">
        <f t="array" ref="O144">IF(_xlfn.XLOOKUP($A144&amp;$B144&amp;$C144,盘货信息!$A:$A&amp;盘货信息!$B:$B&amp;盘货信息!$C:$C,盘货信息!$W:$W)="","","【"&amp;盘货信息!$W$1&amp;"】"&amp;_xlfn.XLOOKUP($A144&amp;$B144&amp;$C144,盘货信息!$A:$A&amp;盘货信息!$B:$B&amp;盘货信息!$C:$C,盘货信息!$W:$W))</f>
        <v/>
      </c>
      <c r="P144" s="27" t="str" cm="1">
        <f t="array" ref="P144">IF(_xlfn.XLOOKUP($A144&amp;$B144&amp;$C144,盘货信息!$A:$A&amp;盘货信息!$B:$B&amp;盘货信息!$C:$C,盘货信息!$S:$S)&lt;1,"","【"&amp;盘货信息!$S$1&amp;"】"&amp;"后返"&amp;_xlfn.XLOOKUP($A144&amp;$B144&amp;$C144,盘货信息!$A:$A&amp;盘货信息!$B:$B&amp;盘货信息!$C:$C,盘货信息!$S:$S)&amp;"元")</f>
        <v/>
      </c>
      <c r="Q144" s="27" t="str" cm="1">
        <f t="array" ref="Q144">IF(_xlfn.XLOOKUP($A144&amp;$B144&amp;$C144,盘货信息!$A:$A&amp;盘货信息!$B:$B&amp;盘货信息!$C:$C,盘货信息!$X:$X)="","","【"&amp;盘货信息!$X$1&amp;"】"&amp;_xlfn.XLOOKUP($A144&amp;$B144&amp;$C144,盘货信息!$A:$A&amp;盘货信息!$B:$B&amp;盘货信息!$C:$C,盘货信息!$X:$X))</f>
        <v/>
      </c>
      <c r="R144" s="27" t="str" cm="1">
        <f t="array" ref="R144">IF(_xlfn.XLOOKUP($A144&amp;$B144&amp;$C144,盘货信息!$A:$A&amp;盘货信息!$B:$B&amp;盘货信息!$C:$C,盘货信息!$Z:$Z)="","","【"&amp;盘货信息!$Z$1&amp;"】"&amp;_xlfn.XLOOKUP($A144&amp;$B144&amp;$C144,盘货信息!$A:$A&amp;盘货信息!$B:$B&amp;盘货信息!$C:$C,盘货信息!$Z:$Z))</f>
        <v/>
      </c>
      <c r="S144" s="27" t="str" cm="1">
        <f t="array" ref="S144">IF(_xlfn.XLOOKUP($A144&amp;$B144&amp;$C144,盘货信息!$A:$A&amp;盘货信息!$B:$B&amp;盘货信息!$C:$C,盘货信息!$Q:$Q)="","","【种草】站外带指定话题种草后返"&amp;_xlfn.XLOOKUP($A144&amp;$B144&amp;$C144,盘货信息!$A:$A&amp;盘货信息!$B:$B&amp;盘货信息!$C:$C,盘货信息!$Q:$Q)&amp;"元红包（每个淘宝账号仅限对应一个站外种草账号，同一个种草账号不可对应多个淘宝账号）")</f>
        <v/>
      </c>
      <c r="T144" s="27" t="str" cm="1">
        <f t="array" ref="T144">IF(_xlfn.XLOOKUP($A144&amp;$B144&amp;$C144,盘货信息!$A:$A&amp;盘货信息!$B:$B&amp;盘货信息!$C:$C,盘货信息!$R:$R)&lt;1,"","【以旧换新】"&amp;"享补贴"&amp;ROUND(_xlfn.XLOOKUP($A144&amp;$B144&amp;$C144,盘货信息!$A:$A&amp;盘货信息!$B:$B&amp;盘货信息!$C:$C,盘货信息!$R:$R),0)&amp;"元（可无旧机换新）")</f>
        <v/>
      </c>
      <c r="U144" s="27" t="str">
        <f>IF(AND($N144="",$O144="",$P144="",$Q144="",$R144="",$S144="",$T144=""),"",固定信息!$B$1)</f>
        <v/>
      </c>
      <c r="V144" s="27" t="str" cm="1">
        <f t="array" ref="V144">IF(_xlfn.XLOOKUP($A144&amp;$B144&amp;$C144,盘货信息!$A:$A&amp;盘货信息!$B:$B&amp;盘货信息!$C:$C,盘货信息!$Y:$Y)="","","【卡萨帝送赠】活动指定时间"&amp;_xlfn.TEXTBEFORE(_xlfn.TEXTAFTER(_xlfn.XLOOKUP($A144&amp;$B144&amp;$C144,盘货信息!$A:$A&amp;盘货信息!$B:$B&amp;盘货信息!$C:$C,盘货信息!$Y:$Y),"点"),"（"))</f>
        <v/>
      </c>
      <c r="W144" s="27" t="str" cm="1">
        <f t="array" ref="W144">IF(COUNTIF(_xlfn.XLOOKUP($A144&amp;$B144&amp;$C144,盘货信息!$A:$A&amp;盘货信息!$B:$B&amp;盘货信息!$C:$C,盘货信息!$O:$O),"*是*"),"【折扣】指定型号满2类享96折，满3类享94折","")</f>
        <v/>
      </c>
      <c r="X144" s="27" t="str" cm="1">
        <f t="array" ref="X144">IF(固定信息!$B$7="","",IF(_xlfn.XLOOKUP($A144&amp;$B144&amp;$C144,盘货信息!$A:$A&amp;盘货信息!$B:$B&amp;盘货信息!$C:$C,盘货信息!$N:$N)="是","【瓜分】"&amp;固定信息!$B$7,""))</f>
        <v/>
      </c>
      <c r="Y144" s="27" t="str">
        <f>IF(AND($V144="",$W144="",$X144=""),"",固定信息!$B$1)</f>
        <v/>
      </c>
      <c r="Z144" s="27" t="str" cm="1">
        <f t="array" ref="Z144">IF($C144="","",_xlfn.XLOOKUP($A144&amp;$B144&amp;$C144,服务!$A:$A&amp;服务!$B:$B&amp;服务!$C:$C,服务!$D:$D))</f>
        <v/>
      </c>
    </row>
    <row r="145" customHeight="1" spans="1:26">
      <c r="A145" s="26" t="str">
        <f>IF(盘货信息!A145="","",盘货信息!A145)</f>
        <v/>
      </c>
      <c r="B145" s="26" t="str">
        <f>IF(盘货信息!B145="","",盘货信息!B145)</f>
        <v/>
      </c>
      <c r="C145" s="23" t="str">
        <f>IF(盘货信息!C145="","",盘货信息!C145)</f>
        <v/>
      </c>
      <c r="D145" s="27" t="str">
        <f ca="1" t="shared" si="2"/>
        <v/>
      </c>
      <c r="E145" s="27" t="str">
        <f>IF(C145="","",固定信息!$B$2)</f>
        <v/>
      </c>
      <c r="F145" s="27" t="str">
        <f>IF(C145="","","【"&amp;C145&amp;"】"&amp;固定信息!$B$4)</f>
        <v/>
      </c>
      <c r="G145" s="27" t="str">
        <f>IF(C145="","","【"&amp;"活动时间："&amp;固定信息!$B$3&amp;"】")</f>
        <v/>
      </c>
      <c r="H145" s="27" t="str">
        <f>IF($C145="","",固定信息!$B$1)</f>
        <v/>
      </c>
      <c r="I145" s="27" t="str">
        <f>IF(OR(C145="",固定信息!$B$5=""),"","【1元预约锁好礼】"&amp;固定信息!$B$5)</f>
        <v/>
      </c>
      <c r="J145" s="27" t="str" cm="1">
        <f t="array" ref="J145">_xlfn.XLOOKUP($A145&amp;$B145&amp;$C145,价格信息!$A:$A&amp;价格信息!$B:$B&amp;价格信息!$C:$C,价格信息!$D:$D)</f>
        <v/>
      </c>
      <c r="K145" s="27" t="str">
        <f>IF($C145="","",固定信息!$B$1)</f>
        <v/>
      </c>
      <c r="L145" s="27" t="str" cm="1">
        <f t="array" ref="L145">IF(_xlfn.XLOOKUP($A145&amp;$B145&amp;$C145,盘货信息!$A:$A&amp;盘货信息!$B:$B&amp;盘货信息!$C:$C,盘货信息!$T:$T)="","","【优惠券】领"&amp;_xlfn.XLOOKUP($A145&amp;$B145&amp;$C145,盘货信息!$A:$A&amp;盘货信息!$B:$B&amp;盘货信息!$C:$C,盘货信息!$T:$T)&amp;"元优惠卷下单更优惠，领券链接："&amp;_xlfn.XLOOKUP($A145&amp;$B145&amp;$C145,盘货信息!$A:$A&amp;盘货信息!$B:$B&amp;盘货信息!$C:$C,盘货信息!$U:$U))</f>
        <v/>
      </c>
      <c r="M145" s="27" t="str" cm="1">
        <f t="array" ref="M145">IF(_xlfn.XLOOKUP($A145&amp;$B145&amp;$C145,盘货信息!$A:$A&amp;盘货信息!$B:$B&amp;盘货信息!$C:$C,盘货信息!$P:$P)="","","【限时】"&amp;_xlfn.XLOOKUP($A145&amp;$B145&amp;$C145,盘货信息!$A:$A&amp;盘货信息!$B:$B&amp;盘货信息!$C:$C,盘货信息!$P:$P))</f>
        <v/>
      </c>
      <c r="N145" s="27" t="str" cm="1">
        <f t="array" ref="N145">IF(_xlfn.XLOOKUP($A145&amp;$B145&amp;$C145,盘货信息!$A:$A&amp;盘货信息!$B:$B&amp;盘货信息!$C:$C,盘货信息!$V:$V)="","","【"&amp;盘货信息!$V$1&amp;"】"&amp;_xlfn.XLOOKUP($A145&amp;$B145&amp;$C145,盘货信息!$A:$A&amp;盘货信息!$B:$B&amp;盘货信息!$C:$C,盘货信息!$V:$V))</f>
        <v/>
      </c>
      <c r="O145" s="27" t="str" cm="1">
        <f t="array" ref="O145">IF(_xlfn.XLOOKUP($A145&amp;$B145&amp;$C145,盘货信息!$A:$A&amp;盘货信息!$B:$B&amp;盘货信息!$C:$C,盘货信息!$W:$W)="","","【"&amp;盘货信息!$W$1&amp;"】"&amp;_xlfn.XLOOKUP($A145&amp;$B145&amp;$C145,盘货信息!$A:$A&amp;盘货信息!$B:$B&amp;盘货信息!$C:$C,盘货信息!$W:$W))</f>
        <v/>
      </c>
      <c r="P145" s="27" t="str" cm="1">
        <f t="array" ref="P145">IF(_xlfn.XLOOKUP($A145&amp;$B145&amp;$C145,盘货信息!$A:$A&amp;盘货信息!$B:$B&amp;盘货信息!$C:$C,盘货信息!$S:$S)&lt;1,"","【"&amp;盘货信息!$S$1&amp;"】"&amp;"后返"&amp;_xlfn.XLOOKUP($A145&amp;$B145&amp;$C145,盘货信息!$A:$A&amp;盘货信息!$B:$B&amp;盘货信息!$C:$C,盘货信息!$S:$S)&amp;"元")</f>
        <v/>
      </c>
      <c r="Q145" s="27" t="str" cm="1">
        <f t="array" ref="Q145">IF(_xlfn.XLOOKUP($A145&amp;$B145&amp;$C145,盘货信息!$A:$A&amp;盘货信息!$B:$B&amp;盘货信息!$C:$C,盘货信息!$X:$X)="","","【"&amp;盘货信息!$X$1&amp;"】"&amp;_xlfn.XLOOKUP($A145&amp;$B145&amp;$C145,盘货信息!$A:$A&amp;盘货信息!$B:$B&amp;盘货信息!$C:$C,盘货信息!$X:$X))</f>
        <v/>
      </c>
      <c r="R145" s="27" t="str" cm="1">
        <f t="array" ref="R145">IF(_xlfn.XLOOKUP($A145&amp;$B145&amp;$C145,盘货信息!$A:$A&amp;盘货信息!$B:$B&amp;盘货信息!$C:$C,盘货信息!$Z:$Z)="","","【"&amp;盘货信息!$Z$1&amp;"】"&amp;_xlfn.XLOOKUP($A145&amp;$B145&amp;$C145,盘货信息!$A:$A&amp;盘货信息!$B:$B&amp;盘货信息!$C:$C,盘货信息!$Z:$Z))</f>
        <v/>
      </c>
      <c r="S145" s="27" t="str" cm="1">
        <f t="array" ref="S145">IF(_xlfn.XLOOKUP($A145&amp;$B145&amp;$C145,盘货信息!$A:$A&amp;盘货信息!$B:$B&amp;盘货信息!$C:$C,盘货信息!$Q:$Q)="","","【种草】站外带指定话题种草后返"&amp;_xlfn.XLOOKUP($A145&amp;$B145&amp;$C145,盘货信息!$A:$A&amp;盘货信息!$B:$B&amp;盘货信息!$C:$C,盘货信息!$Q:$Q)&amp;"元红包（每个淘宝账号仅限对应一个站外种草账号，同一个种草账号不可对应多个淘宝账号）")</f>
        <v/>
      </c>
      <c r="T145" s="27" t="str" cm="1">
        <f t="array" ref="T145">IF(_xlfn.XLOOKUP($A145&amp;$B145&amp;$C145,盘货信息!$A:$A&amp;盘货信息!$B:$B&amp;盘货信息!$C:$C,盘货信息!$R:$R)&lt;1,"","【以旧换新】"&amp;"享补贴"&amp;ROUND(_xlfn.XLOOKUP($A145&amp;$B145&amp;$C145,盘货信息!$A:$A&amp;盘货信息!$B:$B&amp;盘货信息!$C:$C,盘货信息!$R:$R),0)&amp;"元（可无旧机换新）")</f>
        <v/>
      </c>
      <c r="U145" s="27" t="str">
        <f>IF(AND($N145="",$O145="",$P145="",$Q145="",$R145="",$S145="",$T145=""),"",固定信息!$B$1)</f>
        <v/>
      </c>
      <c r="V145" s="27" t="str" cm="1">
        <f t="array" ref="V145">IF(_xlfn.XLOOKUP($A145&amp;$B145&amp;$C145,盘货信息!$A:$A&amp;盘货信息!$B:$B&amp;盘货信息!$C:$C,盘货信息!$Y:$Y)="","","【卡萨帝送赠】活动指定时间"&amp;_xlfn.TEXTBEFORE(_xlfn.TEXTAFTER(_xlfn.XLOOKUP($A145&amp;$B145&amp;$C145,盘货信息!$A:$A&amp;盘货信息!$B:$B&amp;盘货信息!$C:$C,盘货信息!$Y:$Y),"点"),"（"))</f>
        <v/>
      </c>
      <c r="W145" s="27" t="str" cm="1">
        <f t="array" ref="W145">IF(COUNTIF(_xlfn.XLOOKUP($A145&amp;$B145&amp;$C145,盘货信息!$A:$A&amp;盘货信息!$B:$B&amp;盘货信息!$C:$C,盘货信息!$O:$O),"*是*"),"【折扣】指定型号满2类享96折，满3类享94折","")</f>
        <v/>
      </c>
      <c r="X145" s="27" t="str" cm="1">
        <f t="array" ref="X145">IF(固定信息!$B$7="","",IF(_xlfn.XLOOKUP($A145&amp;$B145&amp;$C145,盘货信息!$A:$A&amp;盘货信息!$B:$B&amp;盘货信息!$C:$C,盘货信息!$N:$N)="是","【瓜分】"&amp;固定信息!$B$7,""))</f>
        <v/>
      </c>
      <c r="Y145" s="27" t="str">
        <f>IF(AND($V145="",$W145="",$X145=""),"",固定信息!$B$1)</f>
        <v/>
      </c>
      <c r="Z145" s="27" t="str" cm="1">
        <f t="array" ref="Z145">IF($C145="","",_xlfn.XLOOKUP($A145&amp;$B145&amp;$C145,服务!$A:$A&amp;服务!$B:$B&amp;服务!$C:$C,服务!$D:$D))</f>
        <v/>
      </c>
    </row>
    <row r="146" customHeight="1" spans="1:26">
      <c r="A146" s="26" t="str">
        <f>IF(盘货信息!A146="","",盘货信息!A146)</f>
        <v/>
      </c>
      <c r="B146" s="26" t="str">
        <f>IF(盘货信息!B146="","",盘货信息!B146)</f>
        <v/>
      </c>
      <c r="C146" s="23" t="str">
        <f>IF(盘货信息!C146="","",盘货信息!C146)</f>
        <v/>
      </c>
      <c r="D146" s="27" t="str">
        <f ca="1" t="shared" si="2"/>
        <v/>
      </c>
      <c r="E146" s="27" t="str">
        <f>IF(C146="","",固定信息!$B$2)</f>
        <v/>
      </c>
      <c r="F146" s="27" t="str">
        <f>IF(C146="","","【"&amp;C146&amp;"】"&amp;固定信息!$B$4)</f>
        <v/>
      </c>
      <c r="G146" s="27" t="str">
        <f>IF(C146="","","【"&amp;"活动时间："&amp;固定信息!$B$3&amp;"】")</f>
        <v/>
      </c>
      <c r="H146" s="27" t="str">
        <f>IF($C146="","",固定信息!$B$1)</f>
        <v/>
      </c>
      <c r="I146" s="27" t="str">
        <f>IF(OR(C146="",固定信息!$B$5=""),"","【1元预约锁好礼】"&amp;固定信息!$B$5)</f>
        <v/>
      </c>
      <c r="J146" s="27" t="str" cm="1">
        <f t="array" ref="J146">_xlfn.XLOOKUP($A146&amp;$B146&amp;$C146,价格信息!$A:$A&amp;价格信息!$B:$B&amp;价格信息!$C:$C,价格信息!$D:$D)</f>
        <v/>
      </c>
      <c r="K146" s="27" t="str">
        <f>IF($C146="","",固定信息!$B$1)</f>
        <v/>
      </c>
      <c r="L146" s="27" t="str" cm="1">
        <f t="array" ref="L146">IF(_xlfn.XLOOKUP($A146&amp;$B146&amp;$C146,盘货信息!$A:$A&amp;盘货信息!$B:$B&amp;盘货信息!$C:$C,盘货信息!$T:$T)="","","【优惠券】领"&amp;_xlfn.XLOOKUP($A146&amp;$B146&amp;$C146,盘货信息!$A:$A&amp;盘货信息!$B:$B&amp;盘货信息!$C:$C,盘货信息!$T:$T)&amp;"元优惠卷下单更优惠，领券链接："&amp;_xlfn.XLOOKUP($A146&amp;$B146&amp;$C146,盘货信息!$A:$A&amp;盘货信息!$B:$B&amp;盘货信息!$C:$C,盘货信息!$U:$U))</f>
        <v/>
      </c>
      <c r="M146" s="27" t="str" cm="1">
        <f t="array" ref="M146">IF(_xlfn.XLOOKUP($A146&amp;$B146&amp;$C146,盘货信息!$A:$A&amp;盘货信息!$B:$B&amp;盘货信息!$C:$C,盘货信息!$P:$P)="","","【限时】"&amp;_xlfn.XLOOKUP($A146&amp;$B146&amp;$C146,盘货信息!$A:$A&amp;盘货信息!$B:$B&amp;盘货信息!$C:$C,盘货信息!$P:$P))</f>
        <v/>
      </c>
      <c r="N146" s="27" t="str" cm="1">
        <f t="array" ref="N146">IF(_xlfn.XLOOKUP($A146&amp;$B146&amp;$C146,盘货信息!$A:$A&amp;盘货信息!$B:$B&amp;盘货信息!$C:$C,盘货信息!$V:$V)="","","【"&amp;盘货信息!$V$1&amp;"】"&amp;_xlfn.XLOOKUP($A146&amp;$B146&amp;$C146,盘货信息!$A:$A&amp;盘货信息!$B:$B&amp;盘货信息!$C:$C,盘货信息!$V:$V))</f>
        <v/>
      </c>
      <c r="O146" s="27" t="str" cm="1">
        <f t="array" ref="O146">IF(_xlfn.XLOOKUP($A146&amp;$B146&amp;$C146,盘货信息!$A:$A&amp;盘货信息!$B:$B&amp;盘货信息!$C:$C,盘货信息!$W:$W)="","","【"&amp;盘货信息!$W$1&amp;"】"&amp;_xlfn.XLOOKUP($A146&amp;$B146&amp;$C146,盘货信息!$A:$A&amp;盘货信息!$B:$B&amp;盘货信息!$C:$C,盘货信息!$W:$W))</f>
        <v/>
      </c>
      <c r="P146" s="27" t="str" cm="1">
        <f t="array" ref="P146">IF(_xlfn.XLOOKUP($A146&amp;$B146&amp;$C146,盘货信息!$A:$A&amp;盘货信息!$B:$B&amp;盘货信息!$C:$C,盘货信息!$S:$S)&lt;1,"","【"&amp;盘货信息!$S$1&amp;"】"&amp;"后返"&amp;_xlfn.XLOOKUP($A146&amp;$B146&amp;$C146,盘货信息!$A:$A&amp;盘货信息!$B:$B&amp;盘货信息!$C:$C,盘货信息!$S:$S)&amp;"元")</f>
        <v/>
      </c>
      <c r="Q146" s="27" t="str" cm="1">
        <f t="array" ref="Q146">IF(_xlfn.XLOOKUP($A146&amp;$B146&amp;$C146,盘货信息!$A:$A&amp;盘货信息!$B:$B&amp;盘货信息!$C:$C,盘货信息!$X:$X)="","","【"&amp;盘货信息!$X$1&amp;"】"&amp;_xlfn.XLOOKUP($A146&amp;$B146&amp;$C146,盘货信息!$A:$A&amp;盘货信息!$B:$B&amp;盘货信息!$C:$C,盘货信息!$X:$X))</f>
        <v/>
      </c>
      <c r="R146" s="27" t="str" cm="1">
        <f t="array" ref="R146">IF(_xlfn.XLOOKUP($A146&amp;$B146&amp;$C146,盘货信息!$A:$A&amp;盘货信息!$B:$B&amp;盘货信息!$C:$C,盘货信息!$Z:$Z)="","","【"&amp;盘货信息!$Z$1&amp;"】"&amp;_xlfn.XLOOKUP($A146&amp;$B146&amp;$C146,盘货信息!$A:$A&amp;盘货信息!$B:$B&amp;盘货信息!$C:$C,盘货信息!$Z:$Z))</f>
        <v/>
      </c>
      <c r="S146" s="27" t="str" cm="1">
        <f t="array" ref="S146">IF(_xlfn.XLOOKUP($A146&amp;$B146&amp;$C146,盘货信息!$A:$A&amp;盘货信息!$B:$B&amp;盘货信息!$C:$C,盘货信息!$Q:$Q)="","","【种草】站外带指定话题种草后返"&amp;_xlfn.XLOOKUP($A146&amp;$B146&amp;$C146,盘货信息!$A:$A&amp;盘货信息!$B:$B&amp;盘货信息!$C:$C,盘货信息!$Q:$Q)&amp;"元红包（每个淘宝账号仅限对应一个站外种草账号，同一个种草账号不可对应多个淘宝账号）")</f>
        <v/>
      </c>
      <c r="T146" s="27" t="str" cm="1">
        <f t="array" ref="T146">IF(_xlfn.XLOOKUP($A146&amp;$B146&amp;$C146,盘货信息!$A:$A&amp;盘货信息!$B:$B&amp;盘货信息!$C:$C,盘货信息!$R:$R)&lt;1,"","【以旧换新】"&amp;"享补贴"&amp;ROUND(_xlfn.XLOOKUP($A146&amp;$B146&amp;$C146,盘货信息!$A:$A&amp;盘货信息!$B:$B&amp;盘货信息!$C:$C,盘货信息!$R:$R),0)&amp;"元（可无旧机换新）")</f>
        <v/>
      </c>
      <c r="U146" s="27" t="str">
        <f>IF(AND($N146="",$O146="",$P146="",$Q146="",$R146="",$S146="",$T146=""),"",固定信息!$B$1)</f>
        <v/>
      </c>
      <c r="V146" s="27" t="str" cm="1">
        <f t="array" ref="V146">IF(_xlfn.XLOOKUP($A146&amp;$B146&amp;$C146,盘货信息!$A:$A&amp;盘货信息!$B:$B&amp;盘货信息!$C:$C,盘货信息!$Y:$Y)="","","【卡萨帝送赠】活动指定时间"&amp;_xlfn.TEXTBEFORE(_xlfn.TEXTAFTER(_xlfn.XLOOKUP($A146&amp;$B146&amp;$C146,盘货信息!$A:$A&amp;盘货信息!$B:$B&amp;盘货信息!$C:$C,盘货信息!$Y:$Y),"点"),"（"))</f>
        <v/>
      </c>
      <c r="W146" s="27" t="str" cm="1">
        <f t="array" ref="W146">IF(COUNTIF(_xlfn.XLOOKUP($A146&amp;$B146&amp;$C146,盘货信息!$A:$A&amp;盘货信息!$B:$B&amp;盘货信息!$C:$C,盘货信息!$O:$O),"*是*"),"【折扣】指定型号满2类享96折，满3类享94折","")</f>
        <v/>
      </c>
      <c r="X146" s="27" t="str" cm="1">
        <f t="array" ref="X146">IF(固定信息!$B$7="","",IF(_xlfn.XLOOKUP($A146&amp;$B146&amp;$C146,盘货信息!$A:$A&amp;盘货信息!$B:$B&amp;盘货信息!$C:$C,盘货信息!$N:$N)="是","【瓜分】"&amp;固定信息!$B$7,""))</f>
        <v/>
      </c>
      <c r="Y146" s="27" t="str">
        <f>IF(AND($V146="",$W146="",$X146=""),"",固定信息!$B$1)</f>
        <v/>
      </c>
      <c r="Z146" s="27" t="str" cm="1">
        <f t="array" ref="Z146">IF($C146="","",_xlfn.XLOOKUP($A146&amp;$B146&amp;$C146,服务!$A:$A&amp;服务!$B:$B&amp;服务!$C:$C,服务!$D:$D))</f>
        <v/>
      </c>
    </row>
    <row r="147" customHeight="1" spans="1:26">
      <c r="A147" s="26" t="str">
        <f>IF(盘货信息!A147="","",盘货信息!A147)</f>
        <v/>
      </c>
      <c r="B147" s="26" t="str">
        <f>IF(盘货信息!B147="","",盘货信息!B147)</f>
        <v/>
      </c>
      <c r="C147" s="23" t="str">
        <f>IF(盘货信息!C147="","",盘货信息!C147)</f>
        <v/>
      </c>
      <c r="D147" s="27" t="str">
        <f ca="1" t="shared" si="2"/>
        <v/>
      </c>
      <c r="E147" s="27" t="str">
        <f>IF(C147="","",固定信息!$B$2)</f>
        <v/>
      </c>
      <c r="F147" s="27" t="str">
        <f>IF(C147="","","【"&amp;C147&amp;"】"&amp;固定信息!$B$4)</f>
        <v/>
      </c>
      <c r="G147" s="27" t="str">
        <f>IF(C147="","","【"&amp;"活动时间："&amp;固定信息!$B$3&amp;"】")</f>
        <v/>
      </c>
      <c r="H147" s="27" t="str">
        <f>IF($C147="","",固定信息!$B$1)</f>
        <v/>
      </c>
      <c r="I147" s="27" t="str">
        <f>IF(OR(C147="",固定信息!$B$5=""),"","【1元预约锁好礼】"&amp;固定信息!$B$5)</f>
        <v/>
      </c>
      <c r="J147" s="27" t="str" cm="1">
        <f t="array" ref="J147">_xlfn.XLOOKUP($A147&amp;$B147&amp;$C147,价格信息!$A:$A&amp;价格信息!$B:$B&amp;价格信息!$C:$C,价格信息!$D:$D)</f>
        <v/>
      </c>
      <c r="K147" s="27" t="str">
        <f>IF($C147="","",固定信息!$B$1)</f>
        <v/>
      </c>
      <c r="L147" s="27" t="str" cm="1">
        <f t="array" ref="L147">IF(_xlfn.XLOOKUP($A147&amp;$B147&amp;$C147,盘货信息!$A:$A&amp;盘货信息!$B:$B&amp;盘货信息!$C:$C,盘货信息!$T:$T)="","","【优惠券】领"&amp;_xlfn.XLOOKUP($A147&amp;$B147&amp;$C147,盘货信息!$A:$A&amp;盘货信息!$B:$B&amp;盘货信息!$C:$C,盘货信息!$T:$T)&amp;"元优惠卷下单更优惠，领券链接："&amp;_xlfn.XLOOKUP($A147&amp;$B147&amp;$C147,盘货信息!$A:$A&amp;盘货信息!$B:$B&amp;盘货信息!$C:$C,盘货信息!$U:$U))</f>
        <v/>
      </c>
      <c r="M147" s="27" t="str" cm="1">
        <f t="array" ref="M147">IF(_xlfn.XLOOKUP($A147&amp;$B147&amp;$C147,盘货信息!$A:$A&amp;盘货信息!$B:$B&amp;盘货信息!$C:$C,盘货信息!$P:$P)="","","【限时】"&amp;_xlfn.XLOOKUP($A147&amp;$B147&amp;$C147,盘货信息!$A:$A&amp;盘货信息!$B:$B&amp;盘货信息!$C:$C,盘货信息!$P:$P))</f>
        <v/>
      </c>
      <c r="N147" s="27" t="str" cm="1">
        <f t="array" ref="N147">IF(_xlfn.XLOOKUP($A147&amp;$B147&amp;$C147,盘货信息!$A:$A&amp;盘货信息!$B:$B&amp;盘货信息!$C:$C,盘货信息!$V:$V)="","","【"&amp;盘货信息!$V$1&amp;"】"&amp;_xlfn.XLOOKUP($A147&amp;$B147&amp;$C147,盘货信息!$A:$A&amp;盘货信息!$B:$B&amp;盘货信息!$C:$C,盘货信息!$V:$V))</f>
        <v/>
      </c>
      <c r="O147" s="27" t="str" cm="1">
        <f t="array" ref="O147">IF(_xlfn.XLOOKUP($A147&amp;$B147&amp;$C147,盘货信息!$A:$A&amp;盘货信息!$B:$B&amp;盘货信息!$C:$C,盘货信息!$W:$W)="","","【"&amp;盘货信息!$W$1&amp;"】"&amp;_xlfn.XLOOKUP($A147&amp;$B147&amp;$C147,盘货信息!$A:$A&amp;盘货信息!$B:$B&amp;盘货信息!$C:$C,盘货信息!$W:$W))</f>
        <v/>
      </c>
      <c r="P147" s="27" t="str" cm="1">
        <f t="array" ref="P147">IF(_xlfn.XLOOKUP($A147&amp;$B147&amp;$C147,盘货信息!$A:$A&amp;盘货信息!$B:$B&amp;盘货信息!$C:$C,盘货信息!$S:$S)&lt;1,"","【"&amp;盘货信息!$S$1&amp;"】"&amp;"后返"&amp;_xlfn.XLOOKUP($A147&amp;$B147&amp;$C147,盘货信息!$A:$A&amp;盘货信息!$B:$B&amp;盘货信息!$C:$C,盘货信息!$S:$S)&amp;"元")</f>
        <v/>
      </c>
      <c r="Q147" s="27" t="str" cm="1">
        <f t="array" ref="Q147">IF(_xlfn.XLOOKUP($A147&amp;$B147&amp;$C147,盘货信息!$A:$A&amp;盘货信息!$B:$B&amp;盘货信息!$C:$C,盘货信息!$X:$X)="","","【"&amp;盘货信息!$X$1&amp;"】"&amp;_xlfn.XLOOKUP($A147&amp;$B147&amp;$C147,盘货信息!$A:$A&amp;盘货信息!$B:$B&amp;盘货信息!$C:$C,盘货信息!$X:$X))</f>
        <v/>
      </c>
      <c r="R147" s="27" t="str" cm="1">
        <f t="array" ref="R147">IF(_xlfn.XLOOKUP($A147&amp;$B147&amp;$C147,盘货信息!$A:$A&amp;盘货信息!$B:$B&amp;盘货信息!$C:$C,盘货信息!$Z:$Z)="","","【"&amp;盘货信息!$Z$1&amp;"】"&amp;_xlfn.XLOOKUP($A147&amp;$B147&amp;$C147,盘货信息!$A:$A&amp;盘货信息!$B:$B&amp;盘货信息!$C:$C,盘货信息!$Z:$Z))</f>
        <v/>
      </c>
      <c r="S147" s="27" t="str" cm="1">
        <f t="array" ref="S147">IF(_xlfn.XLOOKUP($A147&amp;$B147&amp;$C147,盘货信息!$A:$A&amp;盘货信息!$B:$B&amp;盘货信息!$C:$C,盘货信息!$Q:$Q)="","","【种草】站外带指定话题种草后返"&amp;_xlfn.XLOOKUP($A147&amp;$B147&amp;$C147,盘货信息!$A:$A&amp;盘货信息!$B:$B&amp;盘货信息!$C:$C,盘货信息!$Q:$Q)&amp;"元红包（每个淘宝账号仅限对应一个站外种草账号，同一个种草账号不可对应多个淘宝账号）")</f>
        <v/>
      </c>
      <c r="T147" s="27" t="str" cm="1">
        <f t="array" ref="T147">IF(_xlfn.XLOOKUP($A147&amp;$B147&amp;$C147,盘货信息!$A:$A&amp;盘货信息!$B:$B&amp;盘货信息!$C:$C,盘货信息!$R:$R)&lt;1,"","【以旧换新】"&amp;"享补贴"&amp;ROUND(_xlfn.XLOOKUP($A147&amp;$B147&amp;$C147,盘货信息!$A:$A&amp;盘货信息!$B:$B&amp;盘货信息!$C:$C,盘货信息!$R:$R),0)&amp;"元（可无旧机换新）")</f>
        <v/>
      </c>
      <c r="U147" s="27" t="str">
        <f>IF(AND($N147="",$O147="",$P147="",$Q147="",$R147="",$S147="",$T147=""),"",固定信息!$B$1)</f>
        <v/>
      </c>
      <c r="V147" s="27" t="str" cm="1">
        <f t="array" ref="V147">IF(_xlfn.XLOOKUP($A147&amp;$B147&amp;$C147,盘货信息!$A:$A&amp;盘货信息!$B:$B&amp;盘货信息!$C:$C,盘货信息!$Y:$Y)="","","【卡萨帝送赠】活动指定时间"&amp;_xlfn.TEXTBEFORE(_xlfn.TEXTAFTER(_xlfn.XLOOKUP($A147&amp;$B147&amp;$C147,盘货信息!$A:$A&amp;盘货信息!$B:$B&amp;盘货信息!$C:$C,盘货信息!$Y:$Y),"点"),"（"))</f>
        <v/>
      </c>
      <c r="W147" s="27" t="str" cm="1">
        <f t="array" ref="W147">IF(COUNTIF(_xlfn.XLOOKUP($A147&amp;$B147&amp;$C147,盘货信息!$A:$A&amp;盘货信息!$B:$B&amp;盘货信息!$C:$C,盘货信息!$O:$O),"*是*"),"【折扣】指定型号满2类享96折，满3类享94折","")</f>
        <v/>
      </c>
      <c r="X147" s="27" t="str" cm="1">
        <f t="array" ref="X147">IF(固定信息!$B$7="","",IF(_xlfn.XLOOKUP($A147&amp;$B147&amp;$C147,盘货信息!$A:$A&amp;盘货信息!$B:$B&amp;盘货信息!$C:$C,盘货信息!$N:$N)="是","【瓜分】"&amp;固定信息!$B$7,""))</f>
        <v/>
      </c>
      <c r="Y147" s="27" t="str">
        <f>IF(AND($V147="",$W147="",$X147=""),"",固定信息!$B$1)</f>
        <v/>
      </c>
      <c r="Z147" s="27" t="str" cm="1">
        <f t="array" ref="Z147">IF($C147="","",_xlfn.XLOOKUP($A147&amp;$B147&amp;$C147,服务!$A:$A&amp;服务!$B:$B&amp;服务!$C:$C,服务!$D:$D))</f>
        <v/>
      </c>
    </row>
    <row r="148" customHeight="1" spans="1:26">
      <c r="A148" s="26" t="str">
        <f>IF(盘货信息!A148="","",盘货信息!A148)</f>
        <v/>
      </c>
      <c r="B148" s="26" t="str">
        <f>IF(盘货信息!B148="","",盘货信息!B148)</f>
        <v/>
      </c>
      <c r="C148" s="23" t="str">
        <f>IF(盘货信息!C148="","",盘货信息!C148)</f>
        <v/>
      </c>
      <c r="D148" s="27" t="str">
        <f ca="1" t="shared" si="2"/>
        <v/>
      </c>
      <c r="E148" s="27" t="str">
        <f>IF(C148="","",固定信息!$B$2)</f>
        <v/>
      </c>
      <c r="F148" s="27" t="str">
        <f>IF(C148="","","【"&amp;C148&amp;"】"&amp;固定信息!$B$4)</f>
        <v/>
      </c>
      <c r="G148" s="27" t="str">
        <f>IF(C148="","","【"&amp;"活动时间："&amp;固定信息!$B$3&amp;"】")</f>
        <v/>
      </c>
      <c r="H148" s="27" t="str">
        <f>IF($C148="","",固定信息!$B$1)</f>
        <v/>
      </c>
      <c r="I148" s="27" t="str">
        <f>IF(OR(C148="",固定信息!$B$5=""),"","【1元预约锁好礼】"&amp;固定信息!$B$5)</f>
        <v/>
      </c>
      <c r="J148" s="27" t="str" cm="1">
        <f t="array" ref="J148">_xlfn.XLOOKUP($A148&amp;$B148&amp;$C148,价格信息!$A:$A&amp;价格信息!$B:$B&amp;价格信息!$C:$C,价格信息!$D:$D)</f>
        <v/>
      </c>
      <c r="K148" s="27" t="str">
        <f>IF($C148="","",固定信息!$B$1)</f>
        <v/>
      </c>
      <c r="L148" s="27" t="str" cm="1">
        <f t="array" ref="L148">IF(_xlfn.XLOOKUP($A148&amp;$B148&amp;$C148,盘货信息!$A:$A&amp;盘货信息!$B:$B&amp;盘货信息!$C:$C,盘货信息!$T:$T)="","","【优惠券】领"&amp;_xlfn.XLOOKUP($A148&amp;$B148&amp;$C148,盘货信息!$A:$A&amp;盘货信息!$B:$B&amp;盘货信息!$C:$C,盘货信息!$T:$T)&amp;"元优惠卷下单更优惠，领券链接："&amp;_xlfn.XLOOKUP($A148&amp;$B148&amp;$C148,盘货信息!$A:$A&amp;盘货信息!$B:$B&amp;盘货信息!$C:$C,盘货信息!$U:$U))</f>
        <v/>
      </c>
      <c r="M148" s="27" t="str" cm="1">
        <f t="array" ref="M148">IF(_xlfn.XLOOKUP($A148&amp;$B148&amp;$C148,盘货信息!$A:$A&amp;盘货信息!$B:$B&amp;盘货信息!$C:$C,盘货信息!$P:$P)="","","【限时】"&amp;_xlfn.XLOOKUP($A148&amp;$B148&amp;$C148,盘货信息!$A:$A&amp;盘货信息!$B:$B&amp;盘货信息!$C:$C,盘货信息!$P:$P))</f>
        <v/>
      </c>
      <c r="N148" s="27" t="str" cm="1">
        <f t="array" ref="N148">IF(_xlfn.XLOOKUP($A148&amp;$B148&amp;$C148,盘货信息!$A:$A&amp;盘货信息!$B:$B&amp;盘货信息!$C:$C,盘货信息!$V:$V)="","","【"&amp;盘货信息!$V$1&amp;"】"&amp;_xlfn.XLOOKUP($A148&amp;$B148&amp;$C148,盘货信息!$A:$A&amp;盘货信息!$B:$B&amp;盘货信息!$C:$C,盘货信息!$V:$V))</f>
        <v/>
      </c>
      <c r="O148" s="27" t="str" cm="1">
        <f t="array" ref="O148">IF(_xlfn.XLOOKUP($A148&amp;$B148&amp;$C148,盘货信息!$A:$A&amp;盘货信息!$B:$B&amp;盘货信息!$C:$C,盘货信息!$W:$W)="","","【"&amp;盘货信息!$W$1&amp;"】"&amp;_xlfn.XLOOKUP($A148&amp;$B148&amp;$C148,盘货信息!$A:$A&amp;盘货信息!$B:$B&amp;盘货信息!$C:$C,盘货信息!$W:$W))</f>
        <v/>
      </c>
      <c r="P148" s="27" t="str" cm="1">
        <f t="array" ref="P148">IF(_xlfn.XLOOKUP($A148&amp;$B148&amp;$C148,盘货信息!$A:$A&amp;盘货信息!$B:$B&amp;盘货信息!$C:$C,盘货信息!$S:$S)&lt;1,"","【"&amp;盘货信息!$S$1&amp;"】"&amp;"后返"&amp;_xlfn.XLOOKUP($A148&amp;$B148&amp;$C148,盘货信息!$A:$A&amp;盘货信息!$B:$B&amp;盘货信息!$C:$C,盘货信息!$S:$S)&amp;"元")</f>
        <v/>
      </c>
      <c r="Q148" s="27" t="str" cm="1">
        <f t="array" ref="Q148">IF(_xlfn.XLOOKUP($A148&amp;$B148&amp;$C148,盘货信息!$A:$A&amp;盘货信息!$B:$B&amp;盘货信息!$C:$C,盘货信息!$X:$X)="","","【"&amp;盘货信息!$X$1&amp;"】"&amp;_xlfn.XLOOKUP($A148&amp;$B148&amp;$C148,盘货信息!$A:$A&amp;盘货信息!$B:$B&amp;盘货信息!$C:$C,盘货信息!$X:$X))</f>
        <v/>
      </c>
      <c r="R148" s="27" t="str" cm="1">
        <f t="array" ref="R148">IF(_xlfn.XLOOKUP($A148&amp;$B148&amp;$C148,盘货信息!$A:$A&amp;盘货信息!$B:$B&amp;盘货信息!$C:$C,盘货信息!$Z:$Z)="","","【"&amp;盘货信息!$Z$1&amp;"】"&amp;_xlfn.XLOOKUP($A148&amp;$B148&amp;$C148,盘货信息!$A:$A&amp;盘货信息!$B:$B&amp;盘货信息!$C:$C,盘货信息!$Z:$Z))</f>
        <v/>
      </c>
      <c r="S148" s="27" t="str" cm="1">
        <f t="array" ref="S148">IF(_xlfn.XLOOKUP($A148&amp;$B148&amp;$C148,盘货信息!$A:$A&amp;盘货信息!$B:$B&amp;盘货信息!$C:$C,盘货信息!$Q:$Q)="","","【种草】站外带指定话题种草后返"&amp;_xlfn.XLOOKUP($A148&amp;$B148&amp;$C148,盘货信息!$A:$A&amp;盘货信息!$B:$B&amp;盘货信息!$C:$C,盘货信息!$Q:$Q)&amp;"元红包（每个淘宝账号仅限对应一个站外种草账号，同一个种草账号不可对应多个淘宝账号）")</f>
        <v/>
      </c>
      <c r="T148" s="27" t="str" cm="1">
        <f t="array" ref="T148">IF(_xlfn.XLOOKUP($A148&amp;$B148&amp;$C148,盘货信息!$A:$A&amp;盘货信息!$B:$B&amp;盘货信息!$C:$C,盘货信息!$R:$R)&lt;1,"","【以旧换新】"&amp;"享补贴"&amp;ROUND(_xlfn.XLOOKUP($A148&amp;$B148&amp;$C148,盘货信息!$A:$A&amp;盘货信息!$B:$B&amp;盘货信息!$C:$C,盘货信息!$R:$R),0)&amp;"元（可无旧机换新）")</f>
        <v/>
      </c>
      <c r="U148" s="27" t="str">
        <f>IF(AND($N148="",$O148="",$P148="",$Q148="",$R148="",$S148="",$T148=""),"",固定信息!$B$1)</f>
        <v/>
      </c>
      <c r="V148" s="27" t="str" cm="1">
        <f t="array" ref="V148">IF(_xlfn.XLOOKUP($A148&amp;$B148&amp;$C148,盘货信息!$A:$A&amp;盘货信息!$B:$B&amp;盘货信息!$C:$C,盘货信息!$Y:$Y)="","","【卡萨帝送赠】活动指定时间"&amp;_xlfn.TEXTBEFORE(_xlfn.TEXTAFTER(_xlfn.XLOOKUP($A148&amp;$B148&amp;$C148,盘货信息!$A:$A&amp;盘货信息!$B:$B&amp;盘货信息!$C:$C,盘货信息!$Y:$Y),"点"),"（"))</f>
        <v/>
      </c>
      <c r="W148" s="27" t="str" cm="1">
        <f t="array" ref="W148">IF(COUNTIF(_xlfn.XLOOKUP($A148&amp;$B148&amp;$C148,盘货信息!$A:$A&amp;盘货信息!$B:$B&amp;盘货信息!$C:$C,盘货信息!$O:$O),"*是*"),"【折扣】指定型号满2类享96折，满3类享94折","")</f>
        <v/>
      </c>
      <c r="X148" s="27" t="str" cm="1">
        <f t="array" ref="X148">IF(固定信息!$B$7="","",IF(_xlfn.XLOOKUP($A148&amp;$B148&amp;$C148,盘货信息!$A:$A&amp;盘货信息!$B:$B&amp;盘货信息!$C:$C,盘货信息!$N:$N)="是","【瓜分】"&amp;固定信息!$B$7,""))</f>
        <v/>
      </c>
      <c r="Y148" s="27" t="str">
        <f>IF(AND($V148="",$W148="",$X148=""),"",固定信息!$B$1)</f>
        <v/>
      </c>
      <c r="Z148" s="27" t="str" cm="1">
        <f t="array" ref="Z148">IF($C148="","",_xlfn.XLOOKUP($A148&amp;$B148&amp;$C148,服务!$A:$A&amp;服务!$B:$B&amp;服务!$C:$C,服务!$D:$D))</f>
        <v/>
      </c>
    </row>
    <row r="149" customHeight="1" spans="1:26">
      <c r="A149" s="26" t="str">
        <f>IF(盘货信息!A149="","",盘货信息!A149)</f>
        <v/>
      </c>
      <c r="B149" s="26" t="str">
        <f>IF(盘货信息!B149="","",盘货信息!B149)</f>
        <v/>
      </c>
      <c r="C149" s="23" t="str">
        <f>IF(盘货信息!C149="","",盘货信息!C149)</f>
        <v/>
      </c>
      <c r="D149" s="27" t="str">
        <f ca="1" t="shared" si="2"/>
        <v/>
      </c>
      <c r="E149" s="27" t="str">
        <f>IF(C149="","",固定信息!$B$2)</f>
        <v/>
      </c>
      <c r="F149" s="27" t="str">
        <f>IF(C149="","","【"&amp;C149&amp;"】"&amp;固定信息!$B$4)</f>
        <v/>
      </c>
      <c r="G149" s="27" t="str">
        <f>IF(C149="","","【"&amp;"活动时间："&amp;固定信息!$B$3&amp;"】")</f>
        <v/>
      </c>
      <c r="H149" s="27" t="str">
        <f>IF($C149="","",固定信息!$B$1)</f>
        <v/>
      </c>
      <c r="I149" s="27" t="str">
        <f>IF(OR(C149="",固定信息!$B$5=""),"","【1元预约锁好礼】"&amp;固定信息!$B$5)</f>
        <v/>
      </c>
      <c r="J149" s="27" t="str" cm="1">
        <f t="array" ref="J149">_xlfn.XLOOKUP($A149&amp;$B149&amp;$C149,价格信息!$A:$A&amp;价格信息!$B:$B&amp;价格信息!$C:$C,价格信息!$D:$D)</f>
        <v/>
      </c>
      <c r="K149" s="27" t="str">
        <f>IF($C149="","",固定信息!$B$1)</f>
        <v/>
      </c>
      <c r="L149" s="27" t="str" cm="1">
        <f t="array" ref="L149">IF(_xlfn.XLOOKUP($A149&amp;$B149&amp;$C149,盘货信息!$A:$A&amp;盘货信息!$B:$B&amp;盘货信息!$C:$C,盘货信息!$T:$T)="","","【优惠券】领"&amp;_xlfn.XLOOKUP($A149&amp;$B149&amp;$C149,盘货信息!$A:$A&amp;盘货信息!$B:$B&amp;盘货信息!$C:$C,盘货信息!$T:$T)&amp;"元优惠卷下单更优惠，领券链接："&amp;_xlfn.XLOOKUP($A149&amp;$B149&amp;$C149,盘货信息!$A:$A&amp;盘货信息!$B:$B&amp;盘货信息!$C:$C,盘货信息!$U:$U))</f>
        <v/>
      </c>
      <c r="M149" s="27" t="str" cm="1">
        <f t="array" ref="M149">IF(_xlfn.XLOOKUP($A149&amp;$B149&amp;$C149,盘货信息!$A:$A&amp;盘货信息!$B:$B&amp;盘货信息!$C:$C,盘货信息!$P:$P)="","","【限时】"&amp;_xlfn.XLOOKUP($A149&amp;$B149&amp;$C149,盘货信息!$A:$A&amp;盘货信息!$B:$B&amp;盘货信息!$C:$C,盘货信息!$P:$P))</f>
        <v/>
      </c>
      <c r="N149" s="27" t="str" cm="1">
        <f t="array" ref="N149">IF(_xlfn.XLOOKUP($A149&amp;$B149&amp;$C149,盘货信息!$A:$A&amp;盘货信息!$B:$B&amp;盘货信息!$C:$C,盘货信息!$V:$V)="","","【"&amp;盘货信息!$V$1&amp;"】"&amp;_xlfn.XLOOKUP($A149&amp;$B149&amp;$C149,盘货信息!$A:$A&amp;盘货信息!$B:$B&amp;盘货信息!$C:$C,盘货信息!$V:$V))</f>
        <v/>
      </c>
      <c r="O149" s="27" t="str" cm="1">
        <f t="array" ref="O149">IF(_xlfn.XLOOKUP($A149&amp;$B149&amp;$C149,盘货信息!$A:$A&amp;盘货信息!$B:$B&amp;盘货信息!$C:$C,盘货信息!$W:$W)="","","【"&amp;盘货信息!$W$1&amp;"】"&amp;_xlfn.XLOOKUP($A149&amp;$B149&amp;$C149,盘货信息!$A:$A&amp;盘货信息!$B:$B&amp;盘货信息!$C:$C,盘货信息!$W:$W))</f>
        <v/>
      </c>
      <c r="P149" s="27" t="str" cm="1">
        <f t="array" ref="P149">IF(_xlfn.XLOOKUP($A149&amp;$B149&amp;$C149,盘货信息!$A:$A&amp;盘货信息!$B:$B&amp;盘货信息!$C:$C,盘货信息!$S:$S)&lt;1,"","【"&amp;盘货信息!$S$1&amp;"】"&amp;"后返"&amp;_xlfn.XLOOKUP($A149&amp;$B149&amp;$C149,盘货信息!$A:$A&amp;盘货信息!$B:$B&amp;盘货信息!$C:$C,盘货信息!$S:$S)&amp;"元")</f>
        <v/>
      </c>
      <c r="Q149" s="27" t="str" cm="1">
        <f t="array" ref="Q149">IF(_xlfn.XLOOKUP($A149&amp;$B149&amp;$C149,盘货信息!$A:$A&amp;盘货信息!$B:$B&amp;盘货信息!$C:$C,盘货信息!$X:$X)="","","【"&amp;盘货信息!$X$1&amp;"】"&amp;_xlfn.XLOOKUP($A149&amp;$B149&amp;$C149,盘货信息!$A:$A&amp;盘货信息!$B:$B&amp;盘货信息!$C:$C,盘货信息!$X:$X))</f>
        <v/>
      </c>
      <c r="R149" s="27" t="str" cm="1">
        <f t="array" ref="R149">IF(_xlfn.XLOOKUP($A149&amp;$B149&amp;$C149,盘货信息!$A:$A&amp;盘货信息!$B:$B&amp;盘货信息!$C:$C,盘货信息!$Z:$Z)="","","【"&amp;盘货信息!$Z$1&amp;"】"&amp;_xlfn.XLOOKUP($A149&amp;$B149&amp;$C149,盘货信息!$A:$A&amp;盘货信息!$B:$B&amp;盘货信息!$C:$C,盘货信息!$Z:$Z))</f>
        <v/>
      </c>
      <c r="S149" s="27" t="str" cm="1">
        <f t="array" ref="S149">IF(_xlfn.XLOOKUP($A149&amp;$B149&amp;$C149,盘货信息!$A:$A&amp;盘货信息!$B:$B&amp;盘货信息!$C:$C,盘货信息!$Q:$Q)="","","【种草】站外带指定话题种草后返"&amp;_xlfn.XLOOKUP($A149&amp;$B149&amp;$C149,盘货信息!$A:$A&amp;盘货信息!$B:$B&amp;盘货信息!$C:$C,盘货信息!$Q:$Q)&amp;"元红包（每个淘宝账号仅限对应一个站外种草账号，同一个种草账号不可对应多个淘宝账号）")</f>
        <v/>
      </c>
      <c r="T149" s="27" t="str" cm="1">
        <f t="array" ref="T149">IF(_xlfn.XLOOKUP($A149&amp;$B149&amp;$C149,盘货信息!$A:$A&amp;盘货信息!$B:$B&amp;盘货信息!$C:$C,盘货信息!$R:$R)&lt;1,"","【以旧换新】"&amp;"享补贴"&amp;ROUND(_xlfn.XLOOKUP($A149&amp;$B149&amp;$C149,盘货信息!$A:$A&amp;盘货信息!$B:$B&amp;盘货信息!$C:$C,盘货信息!$R:$R),0)&amp;"元（可无旧机换新）")</f>
        <v/>
      </c>
      <c r="U149" s="27" t="str">
        <f>IF(AND($N149="",$O149="",$P149="",$Q149="",$R149="",$S149="",$T149=""),"",固定信息!$B$1)</f>
        <v/>
      </c>
      <c r="V149" s="27" t="str" cm="1">
        <f t="array" ref="V149">IF(_xlfn.XLOOKUP($A149&amp;$B149&amp;$C149,盘货信息!$A:$A&amp;盘货信息!$B:$B&amp;盘货信息!$C:$C,盘货信息!$Y:$Y)="","","【卡萨帝送赠】活动指定时间"&amp;_xlfn.TEXTBEFORE(_xlfn.TEXTAFTER(_xlfn.XLOOKUP($A149&amp;$B149&amp;$C149,盘货信息!$A:$A&amp;盘货信息!$B:$B&amp;盘货信息!$C:$C,盘货信息!$Y:$Y),"点"),"（"))</f>
        <v/>
      </c>
      <c r="W149" s="27" t="str" cm="1">
        <f t="array" ref="W149">IF(COUNTIF(_xlfn.XLOOKUP($A149&amp;$B149&amp;$C149,盘货信息!$A:$A&amp;盘货信息!$B:$B&amp;盘货信息!$C:$C,盘货信息!$O:$O),"*是*"),"【折扣】指定型号满2类享96折，满3类享94折","")</f>
        <v/>
      </c>
      <c r="X149" s="27" t="str" cm="1">
        <f t="array" ref="X149">IF(固定信息!$B$7="","",IF(_xlfn.XLOOKUP($A149&amp;$B149&amp;$C149,盘货信息!$A:$A&amp;盘货信息!$B:$B&amp;盘货信息!$C:$C,盘货信息!$N:$N)="是","【瓜分】"&amp;固定信息!$B$7,""))</f>
        <v/>
      </c>
      <c r="Y149" s="27" t="str">
        <f>IF(AND($V149="",$W149="",$X149=""),"",固定信息!$B$1)</f>
        <v/>
      </c>
      <c r="Z149" s="27" t="str" cm="1">
        <f t="array" ref="Z149">IF($C149="","",_xlfn.XLOOKUP($A149&amp;$B149&amp;$C149,服务!$A:$A&amp;服务!$B:$B&amp;服务!$C:$C,服务!$D:$D))</f>
        <v/>
      </c>
    </row>
    <row r="150" customHeight="1" spans="1:26">
      <c r="A150" s="26" t="str">
        <f>IF(盘货信息!A150="","",盘货信息!A150)</f>
        <v/>
      </c>
      <c r="B150" s="26" t="str">
        <f>IF(盘货信息!B150="","",盘货信息!B150)</f>
        <v/>
      </c>
      <c r="C150" s="23" t="str">
        <f>IF(盘货信息!C150="","",盘货信息!C150)</f>
        <v/>
      </c>
      <c r="D150" s="27" t="str">
        <f ca="1" t="shared" si="2"/>
        <v/>
      </c>
      <c r="E150" s="27" t="str">
        <f>IF(C150="","",固定信息!$B$2)</f>
        <v/>
      </c>
      <c r="F150" s="27" t="str">
        <f>IF(C150="","","【"&amp;C150&amp;"】"&amp;固定信息!$B$4)</f>
        <v/>
      </c>
      <c r="G150" s="27" t="str">
        <f>IF(C150="","","【"&amp;"活动时间："&amp;固定信息!$B$3&amp;"】")</f>
        <v/>
      </c>
      <c r="H150" s="27" t="str">
        <f>IF($C150="","",固定信息!$B$1)</f>
        <v/>
      </c>
      <c r="I150" s="27" t="str">
        <f>IF(OR(C150="",固定信息!$B$5=""),"","【1元预约锁好礼】"&amp;固定信息!$B$5)</f>
        <v/>
      </c>
      <c r="J150" s="27" t="str" cm="1">
        <f t="array" ref="J150">_xlfn.XLOOKUP($A150&amp;$B150&amp;$C150,价格信息!$A:$A&amp;价格信息!$B:$B&amp;价格信息!$C:$C,价格信息!$D:$D)</f>
        <v/>
      </c>
      <c r="K150" s="27" t="str">
        <f>IF($C150="","",固定信息!$B$1)</f>
        <v/>
      </c>
      <c r="L150" s="27" t="str" cm="1">
        <f t="array" ref="L150">IF(_xlfn.XLOOKUP($A150&amp;$B150&amp;$C150,盘货信息!$A:$A&amp;盘货信息!$B:$B&amp;盘货信息!$C:$C,盘货信息!$T:$T)="","","【优惠券】领"&amp;_xlfn.XLOOKUP($A150&amp;$B150&amp;$C150,盘货信息!$A:$A&amp;盘货信息!$B:$B&amp;盘货信息!$C:$C,盘货信息!$T:$T)&amp;"元优惠卷下单更优惠，领券链接："&amp;_xlfn.XLOOKUP($A150&amp;$B150&amp;$C150,盘货信息!$A:$A&amp;盘货信息!$B:$B&amp;盘货信息!$C:$C,盘货信息!$U:$U))</f>
        <v/>
      </c>
      <c r="M150" s="27" t="str" cm="1">
        <f t="array" ref="M150">IF(_xlfn.XLOOKUP($A150&amp;$B150&amp;$C150,盘货信息!$A:$A&amp;盘货信息!$B:$B&amp;盘货信息!$C:$C,盘货信息!$P:$P)="","","【限时】"&amp;_xlfn.XLOOKUP($A150&amp;$B150&amp;$C150,盘货信息!$A:$A&amp;盘货信息!$B:$B&amp;盘货信息!$C:$C,盘货信息!$P:$P))</f>
        <v/>
      </c>
      <c r="N150" s="27" t="str" cm="1">
        <f t="array" ref="N150">IF(_xlfn.XLOOKUP($A150&amp;$B150&amp;$C150,盘货信息!$A:$A&amp;盘货信息!$B:$B&amp;盘货信息!$C:$C,盘货信息!$V:$V)="","","【"&amp;盘货信息!$V$1&amp;"】"&amp;_xlfn.XLOOKUP($A150&amp;$B150&amp;$C150,盘货信息!$A:$A&amp;盘货信息!$B:$B&amp;盘货信息!$C:$C,盘货信息!$V:$V))</f>
        <v/>
      </c>
      <c r="O150" s="27" t="str" cm="1">
        <f t="array" ref="O150">IF(_xlfn.XLOOKUP($A150&amp;$B150&amp;$C150,盘货信息!$A:$A&amp;盘货信息!$B:$B&amp;盘货信息!$C:$C,盘货信息!$W:$W)="","","【"&amp;盘货信息!$W$1&amp;"】"&amp;_xlfn.XLOOKUP($A150&amp;$B150&amp;$C150,盘货信息!$A:$A&amp;盘货信息!$B:$B&amp;盘货信息!$C:$C,盘货信息!$W:$W))</f>
        <v/>
      </c>
      <c r="P150" s="27" t="str" cm="1">
        <f t="array" ref="P150">IF(_xlfn.XLOOKUP($A150&amp;$B150&amp;$C150,盘货信息!$A:$A&amp;盘货信息!$B:$B&amp;盘货信息!$C:$C,盘货信息!$S:$S)&lt;1,"","【"&amp;盘货信息!$S$1&amp;"】"&amp;"后返"&amp;_xlfn.XLOOKUP($A150&amp;$B150&amp;$C150,盘货信息!$A:$A&amp;盘货信息!$B:$B&amp;盘货信息!$C:$C,盘货信息!$S:$S)&amp;"元")</f>
        <v/>
      </c>
      <c r="Q150" s="27" t="str" cm="1">
        <f t="array" ref="Q150">IF(_xlfn.XLOOKUP($A150&amp;$B150&amp;$C150,盘货信息!$A:$A&amp;盘货信息!$B:$B&amp;盘货信息!$C:$C,盘货信息!$X:$X)="","","【"&amp;盘货信息!$X$1&amp;"】"&amp;_xlfn.XLOOKUP($A150&amp;$B150&amp;$C150,盘货信息!$A:$A&amp;盘货信息!$B:$B&amp;盘货信息!$C:$C,盘货信息!$X:$X))</f>
        <v/>
      </c>
      <c r="R150" s="27" t="str" cm="1">
        <f t="array" ref="R150">IF(_xlfn.XLOOKUP($A150&amp;$B150&amp;$C150,盘货信息!$A:$A&amp;盘货信息!$B:$B&amp;盘货信息!$C:$C,盘货信息!$Z:$Z)="","","【"&amp;盘货信息!$Z$1&amp;"】"&amp;_xlfn.XLOOKUP($A150&amp;$B150&amp;$C150,盘货信息!$A:$A&amp;盘货信息!$B:$B&amp;盘货信息!$C:$C,盘货信息!$Z:$Z))</f>
        <v/>
      </c>
      <c r="S150" s="27" t="str" cm="1">
        <f t="array" ref="S150">IF(_xlfn.XLOOKUP($A150&amp;$B150&amp;$C150,盘货信息!$A:$A&amp;盘货信息!$B:$B&amp;盘货信息!$C:$C,盘货信息!$Q:$Q)="","","【种草】站外带指定话题种草后返"&amp;_xlfn.XLOOKUP($A150&amp;$B150&amp;$C150,盘货信息!$A:$A&amp;盘货信息!$B:$B&amp;盘货信息!$C:$C,盘货信息!$Q:$Q)&amp;"元红包（每个淘宝账号仅限对应一个站外种草账号，同一个种草账号不可对应多个淘宝账号）")</f>
        <v/>
      </c>
      <c r="T150" s="27" t="str" cm="1">
        <f t="array" ref="T150">IF(_xlfn.XLOOKUP($A150&amp;$B150&amp;$C150,盘货信息!$A:$A&amp;盘货信息!$B:$B&amp;盘货信息!$C:$C,盘货信息!$R:$R)&lt;1,"","【以旧换新】"&amp;"享补贴"&amp;ROUND(_xlfn.XLOOKUP($A150&amp;$B150&amp;$C150,盘货信息!$A:$A&amp;盘货信息!$B:$B&amp;盘货信息!$C:$C,盘货信息!$R:$R),0)&amp;"元（可无旧机换新）")</f>
        <v/>
      </c>
      <c r="U150" s="27" t="str">
        <f>IF(AND($N150="",$O150="",$P150="",$Q150="",$R150="",$S150="",$T150=""),"",固定信息!$B$1)</f>
        <v/>
      </c>
      <c r="V150" s="27" t="str" cm="1">
        <f t="array" ref="V150">IF(_xlfn.XLOOKUP($A150&amp;$B150&amp;$C150,盘货信息!$A:$A&amp;盘货信息!$B:$B&amp;盘货信息!$C:$C,盘货信息!$Y:$Y)="","","【卡萨帝送赠】活动指定时间"&amp;_xlfn.TEXTBEFORE(_xlfn.TEXTAFTER(_xlfn.XLOOKUP($A150&amp;$B150&amp;$C150,盘货信息!$A:$A&amp;盘货信息!$B:$B&amp;盘货信息!$C:$C,盘货信息!$Y:$Y),"点"),"（"))</f>
        <v/>
      </c>
      <c r="W150" s="27" t="str" cm="1">
        <f t="array" ref="W150">IF(COUNTIF(_xlfn.XLOOKUP($A150&amp;$B150&amp;$C150,盘货信息!$A:$A&amp;盘货信息!$B:$B&amp;盘货信息!$C:$C,盘货信息!$O:$O),"*是*"),"【折扣】指定型号满2类享96折，满3类享94折","")</f>
        <v/>
      </c>
      <c r="X150" s="27" t="str" cm="1">
        <f t="array" ref="X150">IF(固定信息!$B$7="","",IF(_xlfn.XLOOKUP($A150&amp;$B150&amp;$C150,盘货信息!$A:$A&amp;盘货信息!$B:$B&amp;盘货信息!$C:$C,盘货信息!$N:$N)="是","【瓜分】"&amp;固定信息!$B$7,""))</f>
        <v/>
      </c>
      <c r="Y150" s="27" t="str">
        <f>IF(AND($V150="",$W150="",$X150=""),"",固定信息!$B$1)</f>
        <v/>
      </c>
      <c r="Z150" s="27" t="str" cm="1">
        <f t="array" ref="Z150">IF($C150="","",_xlfn.XLOOKUP($A150&amp;$B150&amp;$C150,服务!$A:$A&amp;服务!$B:$B&amp;服务!$C:$C,服务!$D:$D))</f>
        <v/>
      </c>
    </row>
    <row r="151" customHeight="1" spans="1:26">
      <c r="A151" s="26" t="str">
        <f>IF(盘货信息!A151="","",盘货信息!A151)</f>
        <v/>
      </c>
      <c r="B151" s="26" t="str">
        <f>IF(盘货信息!B151="","",盘货信息!B151)</f>
        <v/>
      </c>
      <c r="C151" s="23" t="str">
        <f>IF(盘货信息!C151="","",盘货信息!C151)</f>
        <v/>
      </c>
      <c r="D151" s="27" t="str">
        <f ca="1" t="shared" si="2"/>
        <v/>
      </c>
      <c r="E151" s="27" t="str">
        <f>IF(C151="","",固定信息!$B$2)</f>
        <v/>
      </c>
      <c r="F151" s="27" t="str">
        <f>IF(C151="","","【"&amp;C151&amp;"】"&amp;固定信息!$B$4)</f>
        <v/>
      </c>
      <c r="G151" s="27" t="str">
        <f>IF(C151="","","【"&amp;"活动时间："&amp;固定信息!$B$3&amp;"】")</f>
        <v/>
      </c>
      <c r="H151" s="27" t="str">
        <f>IF($C151="","",固定信息!$B$1)</f>
        <v/>
      </c>
      <c r="I151" s="27" t="str">
        <f>IF(OR(C151="",固定信息!$B$5=""),"","【1元预约锁好礼】"&amp;固定信息!$B$5)</f>
        <v/>
      </c>
      <c r="J151" s="27" t="str" cm="1">
        <f t="array" ref="J151">_xlfn.XLOOKUP($A151&amp;$B151&amp;$C151,价格信息!$A:$A&amp;价格信息!$B:$B&amp;价格信息!$C:$C,价格信息!$D:$D)</f>
        <v/>
      </c>
      <c r="K151" s="27" t="str">
        <f>IF($C151="","",固定信息!$B$1)</f>
        <v/>
      </c>
      <c r="L151" s="27" t="str" cm="1">
        <f t="array" ref="L151">IF(_xlfn.XLOOKUP($A151&amp;$B151&amp;$C151,盘货信息!$A:$A&amp;盘货信息!$B:$B&amp;盘货信息!$C:$C,盘货信息!$T:$T)="","","【优惠券】领"&amp;_xlfn.XLOOKUP($A151&amp;$B151&amp;$C151,盘货信息!$A:$A&amp;盘货信息!$B:$B&amp;盘货信息!$C:$C,盘货信息!$T:$T)&amp;"元优惠卷下单更优惠，领券链接："&amp;_xlfn.XLOOKUP($A151&amp;$B151&amp;$C151,盘货信息!$A:$A&amp;盘货信息!$B:$B&amp;盘货信息!$C:$C,盘货信息!$U:$U))</f>
        <v/>
      </c>
      <c r="M151" s="27" t="str" cm="1">
        <f t="array" ref="M151">IF(_xlfn.XLOOKUP($A151&amp;$B151&amp;$C151,盘货信息!$A:$A&amp;盘货信息!$B:$B&amp;盘货信息!$C:$C,盘货信息!$P:$P)="","","【限时】"&amp;_xlfn.XLOOKUP($A151&amp;$B151&amp;$C151,盘货信息!$A:$A&amp;盘货信息!$B:$B&amp;盘货信息!$C:$C,盘货信息!$P:$P))</f>
        <v/>
      </c>
      <c r="N151" s="27" t="str" cm="1">
        <f t="array" ref="N151">IF(_xlfn.XLOOKUP($A151&amp;$B151&amp;$C151,盘货信息!$A:$A&amp;盘货信息!$B:$B&amp;盘货信息!$C:$C,盘货信息!$V:$V)="","","【"&amp;盘货信息!$V$1&amp;"】"&amp;_xlfn.XLOOKUP($A151&amp;$B151&amp;$C151,盘货信息!$A:$A&amp;盘货信息!$B:$B&amp;盘货信息!$C:$C,盘货信息!$V:$V))</f>
        <v/>
      </c>
      <c r="O151" s="27" t="str" cm="1">
        <f t="array" ref="O151">IF(_xlfn.XLOOKUP($A151&amp;$B151&amp;$C151,盘货信息!$A:$A&amp;盘货信息!$B:$B&amp;盘货信息!$C:$C,盘货信息!$W:$W)="","","【"&amp;盘货信息!$W$1&amp;"】"&amp;_xlfn.XLOOKUP($A151&amp;$B151&amp;$C151,盘货信息!$A:$A&amp;盘货信息!$B:$B&amp;盘货信息!$C:$C,盘货信息!$W:$W))</f>
        <v/>
      </c>
      <c r="P151" s="27" t="str" cm="1">
        <f t="array" ref="P151">IF(_xlfn.XLOOKUP($A151&amp;$B151&amp;$C151,盘货信息!$A:$A&amp;盘货信息!$B:$B&amp;盘货信息!$C:$C,盘货信息!$S:$S)&lt;1,"","【"&amp;盘货信息!$S$1&amp;"】"&amp;"后返"&amp;_xlfn.XLOOKUP($A151&amp;$B151&amp;$C151,盘货信息!$A:$A&amp;盘货信息!$B:$B&amp;盘货信息!$C:$C,盘货信息!$S:$S)&amp;"元")</f>
        <v/>
      </c>
      <c r="Q151" s="27" t="str" cm="1">
        <f t="array" ref="Q151">IF(_xlfn.XLOOKUP($A151&amp;$B151&amp;$C151,盘货信息!$A:$A&amp;盘货信息!$B:$B&amp;盘货信息!$C:$C,盘货信息!$X:$X)="","","【"&amp;盘货信息!$X$1&amp;"】"&amp;_xlfn.XLOOKUP($A151&amp;$B151&amp;$C151,盘货信息!$A:$A&amp;盘货信息!$B:$B&amp;盘货信息!$C:$C,盘货信息!$X:$X))</f>
        <v/>
      </c>
      <c r="R151" s="27" t="str" cm="1">
        <f t="array" ref="R151">IF(_xlfn.XLOOKUP($A151&amp;$B151&amp;$C151,盘货信息!$A:$A&amp;盘货信息!$B:$B&amp;盘货信息!$C:$C,盘货信息!$Z:$Z)="","","【"&amp;盘货信息!$Z$1&amp;"】"&amp;_xlfn.XLOOKUP($A151&amp;$B151&amp;$C151,盘货信息!$A:$A&amp;盘货信息!$B:$B&amp;盘货信息!$C:$C,盘货信息!$Z:$Z))</f>
        <v/>
      </c>
      <c r="S151" s="27" t="str" cm="1">
        <f t="array" ref="S151">IF(_xlfn.XLOOKUP($A151&amp;$B151&amp;$C151,盘货信息!$A:$A&amp;盘货信息!$B:$B&amp;盘货信息!$C:$C,盘货信息!$Q:$Q)="","","【种草】站外带指定话题种草后返"&amp;_xlfn.XLOOKUP($A151&amp;$B151&amp;$C151,盘货信息!$A:$A&amp;盘货信息!$B:$B&amp;盘货信息!$C:$C,盘货信息!$Q:$Q)&amp;"元红包（每个淘宝账号仅限对应一个站外种草账号，同一个种草账号不可对应多个淘宝账号）")</f>
        <v/>
      </c>
      <c r="T151" s="27" t="str" cm="1">
        <f t="array" ref="T151">IF(_xlfn.XLOOKUP($A151&amp;$B151&amp;$C151,盘货信息!$A:$A&amp;盘货信息!$B:$B&amp;盘货信息!$C:$C,盘货信息!$R:$R)&lt;1,"","【以旧换新】"&amp;"享补贴"&amp;ROUND(_xlfn.XLOOKUP($A151&amp;$B151&amp;$C151,盘货信息!$A:$A&amp;盘货信息!$B:$B&amp;盘货信息!$C:$C,盘货信息!$R:$R),0)&amp;"元（可无旧机换新）")</f>
        <v/>
      </c>
      <c r="U151" s="27" t="str">
        <f>IF(AND($N151="",$O151="",$P151="",$Q151="",$R151="",$S151="",$T151=""),"",固定信息!$B$1)</f>
        <v/>
      </c>
      <c r="V151" s="27" t="str" cm="1">
        <f t="array" ref="V151">IF(_xlfn.XLOOKUP($A151&amp;$B151&amp;$C151,盘货信息!$A:$A&amp;盘货信息!$B:$B&amp;盘货信息!$C:$C,盘货信息!$Y:$Y)="","","【卡萨帝送赠】活动指定时间"&amp;_xlfn.TEXTBEFORE(_xlfn.TEXTAFTER(_xlfn.XLOOKUP($A151&amp;$B151&amp;$C151,盘货信息!$A:$A&amp;盘货信息!$B:$B&amp;盘货信息!$C:$C,盘货信息!$Y:$Y),"点"),"（"))</f>
        <v/>
      </c>
      <c r="W151" s="27" t="str" cm="1">
        <f t="array" ref="W151">IF(COUNTIF(_xlfn.XLOOKUP($A151&amp;$B151&amp;$C151,盘货信息!$A:$A&amp;盘货信息!$B:$B&amp;盘货信息!$C:$C,盘货信息!$O:$O),"*是*"),"【折扣】指定型号满2类享96折，满3类享94折","")</f>
        <v/>
      </c>
      <c r="X151" s="27" t="str" cm="1">
        <f t="array" ref="X151">IF(固定信息!$B$7="","",IF(_xlfn.XLOOKUP($A151&amp;$B151&amp;$C151,盘货信息!$A:$A&amp;盘货信息!$B:$B&amp;盘货信息!$C:$C,盘货信息!$N:$N)="是","【瓜分】"&amp;固定信息!$B$7,""))</f>
        <v/>
      </c>
      <c r="Y151" s="27" t="str">
        <f>IF(AND($V151="",$W151="",$X151=""),"",固定信息!$B$1)</f>
        <v/>
      </c>
      <c r="Z151" s="27" t="str" cm="1">
        <f t="array" ref="Z151">IF($C151="","",_xlfn.XLOOKUP($A151&amp;$B151&amp;$C151,服务!$A:$A&amp;服务!$B:$B&amp;服务!$C:$C,服务!$D:$D))</f>
        <v/>
      </c>
    </row>
    <row r="152" customHeight="1" spans="1:26">
      <c r="A152" s="23" t="str">
        <f>IF(盘货信息!A152="","",盘货信息!A152)</f>
        <v/>
      </c>
      <c r="B152" s="26" t="str">
        <f>IF(盘货信息!B152="","",盘货信息!B152)</f>
        <v/>
      </c>
      <c r="C152" s="23" t="str">
        <f>IF(盘货信息!C152="","",盘货信息!C152)</f>
        <v/>
      </c>
      <c r="D152" s="27" t="str">
        <f ca="1" t="shared" si="2"/>
        <v/>
      </c>
      <c r="E152" s="27" t="str">
        <f>IF(C152="","",固定信息!$B$2)</f>
        <v/>
      </c>
      <c r="F152" s="27" t="str">
        <f>IF(C152="","","【"&amp;C152&amp;"】"&amp;固定信息!$B$4)</f>
        <v/>
      </c>
      <c r="G152" s="27" t="str">
        <f>IF(C152="","","【"&amp;"活动时间："&amp;固定信息!$B$3&amp;"】")</f>
        <v/>
      </c>
      <c r="H152" s="27" t="str">
        <f>IF($C152="","",固定信息!$B$1)</f>
        <v/>
      </c>
      <c r="I152" s="27" t="str">
        <f>IF(OR(C152="",固定信息!$B$5=""),"","【1元预约锁好礼】"&amp;固定信息!$B$5)</f>
        <v/>
      </c>
      <c r="J152" s="27" t="str" cm="1">
        <f t="array" ref="J152">_xlfn.XLOOKUP($A152&amp;$B152&amp;$C152,价格信息!$A:$A&amp;价格信息!$B:$B&amp;价格信息!$C:$C,价格信息!$D:$D)</f>
        <v/>
      </c>
      <c r="K152" s="27" t="str">
        <f>IF($C152="","",固定信息!$B$1)</f>
        <v/>
      </c>
      <c r="L152" s="27" t="str" cm="1">
        <f t="array" ref="L152">IF(_xlfn.XLOOKUP($A152&amp;$B152&amp;$C152,盘货信息!$A:$A&amp;盘货信息!$B:$B&amp;盘货信息!$C:$C,盘货信息!$T:$T)="","","【优惠券】领"&amp;_xlfn.XLOOKUP($A152&amp;$B152&amp;$C152,盘货信息!$A:$A&amp;盘货信息!$B:$B&amp;盘货信息!$C:$C,盘货信息!$T:$T)&amp;"元优惠卷下单更优惠，领券链接："&amp;_xlfn.XLOOKUP($A152&amp;$B152&amp;$C152,盘货信息!$A:$A&amp;盘货信息!$B:$B&amp;盘货信息!$C:$C,盘货信息!$U:$U))</f>
        <v/>
      </c>
      <c r="M152" s="27" t="str" cm="1">
        <f t="array" ref="M152">IF(_xlfn.XLOOKUP($A152&amp;$B152&amp;$C152,盘货信息!$A:$A&amp;盘货信息!$B:$B&amp;盘货信息!$C:$C,盘货信息!$P:$P)="","","【限时】"&amp;_xlfn.XLOOKUP($A152&amp;$B152&amp;$C152,盘货信息!$A:$A&amp;盘货信息!$B:$B&amp;盘货信息!$C:$C,盘货信息!$P:$P))</f>
        <v/>
      </c>
      <c r="N152" s="27" t="str" cm="1">
        <f t="array" ref="N152">IF(_xlfn.XLOOKUP($A152&amp;$B152&amp;$C152,盘货信息!$A:$A&amp;盘货信息!$B:$B&amp;盘货信息!$C:$C,盘货信息!$V:$V)="","","【"&amp;盘货信息!$V$1&amp;"】"&amp;_xlfn.XLOOKUP($A152&amp;$B152&amp;$C152,盘货信息!$A:$A&amp;盘货信息!$B:$B&amp;盘货信息!$C:$C,盘货信息!$V:$V))</f>
        <v/>
      </c>
      <c r="O152" s="27" t="str" cm="1">
        <f t="array" ref="O152">IF(_xlfn.XLOOKUP($A152&amp;$B152&amp;$C152,盘货信息!$A:$A&amp;盘货信息!$B:$B&amp;盘货信息!$C:$C,盘货信息!$W:$W)="","","【"&amp;盘货信息!$W$1&amp;"】"&amp;_xlfn.XLOOKUP($A152&amp;$B152&amp;$C152,盘货信息!$A:$A&amp;盘货信息!$B:$B&amp;盘货信息!$C:$C,盘货信息!$W:$W))</f>
        <v/>
      </c>
      <c r="P152" s="27" t="str" cm="1">
        <f t="array" ref="P152">IF(_xlfn.XLOOKUP($A152&amp;$B152&amp;$C152,盘货信息!$A:$A&amp;盘货信息!$B:$B&amp;盘货信息!$C:$C,盘货信息!$S:$S)&lt;1,"","【"&amp;盘货信息!$S$1&amp;"】"&amp;"后返"&amp;_xlfn.XLOOKUP($A152&amp;$B152&amp;$C152,盘货信息!$A:$A&amp;盘货信息!$B:$B&amp;盘货信息!$C:$C,盘货信息!$S:$S)&amp;"元")</f>
        <v/>
      </c>
      <c r="Q152" s="27" t="str" cm="1">
        <f t="array" ref="Q152">IF(_xlfn.XLOOKUP($A152&amp;$B152&amp;$C152,盘货信息!$A:$A&amp;盘货信息!$B:$B&amp;盘货信息!$C:$C,盘货信息!$X:$X)="","","【"&amp;盘货信息!$X$1&amp;"】"&amp;_xlfn.XLOOKUP($A152&amp;$B152&amp;$C152,盘货信息!$A:$A&amp;盘货信息!$B:$B&amp;盘货信息!$C:$C,盘货信息!$X:$X))</f>
        <v/>
      </c>
      <c r="R152" s="27" t="str" cm="1">
        <f t="array" ref="R152">IF(_xlfn.XLOOKUP($A152&amp;$B152&amp;$C152,盘货信息!$A:$A&amp;盘货信息!$B:$B&amp;盘货信息!$C:$C,盘货信息!$Z:$Z)="","","【"&amp;盘货信息!$Z$1&amp;"】"&amp;_xlfn.XLOOKUP($A152&amp;$B152&amp;$C152,盘货信息!$A:$A&amp;盘货信息!$B:$B&amp;盘货信息!$C:$C,盘货信息!$Z:$Z))</f>
        <v/>
      </c>
      <c r="S152" s="27" t="str" cm="1">
        <f t="array" ref="S152">IF(_xlfn.XLOOKUP($A152&amp;$B152&amp;$C152,盘货信息!$A:$A&amp;盘货信息!$B:$B&amp;盘货信息!$C:$C,盘货信息!$Q:$Q)="","","【种草】站外带指定话题种草后返"&amp;_xlfn.XLOOKUP($A152&amp;$B152&amp;$C152,盘货信息!$A:$A&amp;盘货信息!$B:$B&amp;盘货信息!$C:$C,盘货信息!$Q:$Q)&amp;"元红包（每个淘宝账号仅限对应一个站外种草账号，同一个种草账号不可对应多个淘宝账号）")</f>
        <v/>
      </c>
      <c r="T152" s="27" t="str" cm="1">
        <f t="array" ref="T152">IF(_xlfn.XLOOKUP($A152&amp;$B152&amp;$C152,盘货信息!$A:$A&amp;盘货信息!$B:$B&amp;盘货信息!$C:$C,盘货信息!$R:$R)&lt;1,"","【以旧换新】"&amp;"享补贴"&amp;ROUND(_xlfn.XLOOKUP($A152&amp;$B152&amp;$C152,盘货信息!$A:$A&amp;盘货信息!$B:$B&amp;盘货信息!$C:$C,盘货信息!$R:$R),0)&amp;"元（可无旧机换新）")</f>
        <v/>
      </c>
      <c r="U152" s="27" t="str">
        <f>IF(AND($N152="",$O152="",$P152="",$Q152="",$R152="",$S152="",$T152=""),"",固定信息!$B$1)</f>
        <v/>
      </c>
      <c r="V152" s="27" t="str" cm="1">
        <f t="array" ref="V152">IF(_xlfn.XLOOKUP($A152&amp;$B152&amp;$C152,盘货信息!$A:$A&amp;盘货信息!$B:$B&amp;盘货信息!$C:$C,盘货信息!$Y:$Y)="","","【卡萨帝送赠】活动指定时间"&amp;_xlfn.TEXTBEFORE(_xlfn.TEXTAFTER(_xlfn.XLOOKUP($A152&amp;$B152&amp;$C152,盘货信息!$A:$A&amp;盘货信息!$B:$B&amp;盘货信息!$C:$C,盘货信息!$Y:$Y),"点"),"（"))</f>
        <v/>
      </c>
      <c r="W152" s="27" t="str" cm="1">
        <f t="array" ref="W152">IF(COUNTIF(_xlfn.XLOOKUP($A152&amp;$B152&amp;$C152,盘货信息!$A:$A&amp;盘货信息!$B:$B&amp;盘货信息!$C:$C,盘货信息!$O:$O),"*是*"),"【折扣】指定型号满2类享96折，满3类享94折","")</f>
        <v/>
      </c>
      <c r="X152" s="27" t="str" cm="1">
        <f t="array" ref="X152">IF(固定信息!$B$7="","",IF(_xlfn.XLOOKUP($A152&amp;$B152&amp;$C152,盘货信息!$A:$A&amp;盘货信息!$B:$B&amp;盘货信息!$C:$C,盘货信息!$N:$N)="是","【瓜分】"&amp;固定信息!$B$7,""))</f>
        <v/>
      </c>
      <c r="Y152" s="27" t="str">
        <f>IF(AND($V152="",$W152="",$X152=""),"",固定信息!$B$1)</f>
        <v/>
      </c>
      <c r="Z152" s="27" t="str" cm="1">
        <f t="array" ref="Z152">IF($C152="","",_xlfn.XLOOKUP($A152&amp;$B152&amp;$C152,服务!$A:$A&amp;服务!$B:$B&amp;服务!$C:$C,服务!$D:$D))</f>
        <v/>
      </c>
    </row>
    <row r="153" customHeight="1" spans="1:26">
      <c r="A153" s="23" t="str">
        <f>IF(盘货信息!A153="","",盘货信息!A153)</f>
        <v/>
      </c>
      <c r="B153" s="26" t="str">
        <f>IF(盘货信息!B153="","",盘货信息!B153)</f>
        <v/>
      </c>
      <c r="C153" s="23" t="str">
        <f>IF(盘货信息!C153="","",盘货信息!C153)</f>
        <v/>
      </c>
      <c r="D153" s="27" t="str">
        <f ca="1" t="shared" si="2"/>
        <v/>
      </c>
      <c r="E153" s="27" t="str">
        <f>IF(C153="","",固定信息!$B$2)</f>
        <v/>
      </c>
      <c r="F153" s="27" t="str">
        <f>IF(C153="","","【"&amp;C153&amp;"】"&amp;固定信息!$B$4)</f>
        <v/>
      </c>
      <c r="G153" s="27" t="str">
        <f>IF(C153="","","【"&amp;"活动时间："&amp;固定信息!$B$3&amp;"】")</f>
        <v/>
      </c>
      <c r="H153" s="27" t="str">
        <f>IF($C153="","",固定信息!$B$1)</f>
        <v/>
      </c>
      <c r="I153" s="27" t="str">
        <f>IF(OR(C153="",固定信息!$B$5=""),"","【1元预约锁好礼】"&amp;固定信息!$B$5)</f>
        <v/>
      </c>
      <c r="J153" s="27" t="str" cm="1">
        <f t="array" ref="J153">_xlfn.XLOOKUP($A153&amp;$B153&amp;$C153,价格信息!$A:$A&amp;价格信息!$B:$B&amp;价格信息!$C:$C,价格信息!$D:$D)</f>
        <v/>
      </c>
      <c r="K153" s="27" t="str">
        <f>IF($C153="","",固定信息!$B$1)</f>
        <v/>
      </c>
      <c r="L153" s="27" t="str" cm="1">
        <f t="array" ref="L153">IF(_xlfn.XLOOKUP($A153&amp;$B153&amp;$C153,盘货信息!$A:$A&amp;盘货信息!$B:$B&amp;盘货信息!$C:$C,盘货信息!$T:$T)="","","【优惠券】领"&amp;_xlfn.XLOOKUP($A153&amp;$B153&amp;$C153,盘货信息!$A:$A&amp;盘货信息!$B:$B&amp;盘货信息!$C:$C,盘货信息!$T:$T)&amp;"元优惠卷下单更优惠，领券链接："&amp;_xlfn.XLOOKUP($A153&amp;$B153&amp;$C153,盘货信息!$A:$A&amp;盘货信息!$B:$B&amp;盘货信息!$C:$C,盘货信息!$U:$U))</f>
        <v/>
      </c>
      <c r="M153" s="27" t="str" cm="1">
        <f t="array" ref="M153">IF(_xlfn.XLOOKUP($A153&amp;$B153&amp;$C153,盘货信息!$A:$A&amp;盘货信息!$B:$B&amp;盘货信息!$C:$C,盘货信息!$P:$P)="","","【限时】"&amp;_xlfn.XLOOKUP($A153&amp;$B153&amp;$C153,盘货信息!$A:$A&amp;盘货信息!$B:$B&amp;盘货信息!$C:$C,盘货信息!$P:$P))</f>
        <v/>
      </c>
      <c r="N153" s="27" t="str" cm="1">
        <f t="array" ref="N153">IF(_xlfn.XLOOKUP($A153&amp;$B153&amp;$C153,盘货信息!$A:$A&amp;盘货信息!$B:$B&amp;盘货信息!$C:$C,盘货信息!$V:$V)="","","【"&amp;盘货信息!$V$1&amp;"】"&amp;_xlfn.XLOOKUP($A153&amp;$B153&amp;$C153,盘货信息!$A:$A&amp;盘货信息!$B:$B&amp;盘货信息!$C:$C,盘货信息!$V:$V))</f>
        <v/>
      </c>
      <c r="O153" s="27" t="str" cm="1">
        <f t="array" ref="O153">IF(_xlfn.XLOOKUP($A153&amp;$B153&amp;$C153,盘货信息!$A:$A&amp;盘货信息!$B:$B&amp;盘货信息!$C:$C,盘货信息!$W:$W)="","","【"&amp;盘货信息!$W$1&amp;"】"&amp;_xlfn.XLOOKUP($A153&amp;$B153&amp;$C153,盘货信息!$A:$A&amp;盘货信息!$B:$B&amp;盘货信息!$C:$C,盘货信息!$W:$W))</f>
        <v/>
      </c>
      <c r="P153" s="27" t="str" cm="1">
        <f t="array" ref="P153">IF(_xlfn.XLOOKUP($A153&amp;$B153&amp;$C153,盘货信息!$A:$A&amp;盘货信息!$B:$B&amp;盘货信息!$C:$C,盘货信息!$S:$S)&lt;1,"","【"&amp;盘货信息!$S$1&amp;"】"&amp;"后返"&amp;_xlfn.XLOOKUP($A153&amp;$B153&amp;$C153,盘货信息!$A:$A&amp;盘货信息!$B:$B&amp;盘货信息!$C:$C,盘货信息!$S:$S)&amp;"元")</f>
        <v/>
      </c>
      <c r="Q153" s="27" t="str" cm="1">
        <f t="array" ref="Q153">IF(_xlfn.XLOOKUP($A153&amp;$B153&amp;$C153,盘货信息!$A:$A&amp;盘货信息!$B:$B&amp;盘货信息!$C:$C,盘货信息!$X:$X)="","","【"&amp;盘货信息!$X$1&amp;"】"&amp;_xlfn.XLOOKUP($A153&amp;$B153&amp;$C153,盘货信息!$A:$A&amp;盘货信息!$B:$B&amp;盘货信息!$C:$C,盘货信息!$X:$X))</f>
        <v/>
      </c>
      <c r="R153" s="27" t="str" cm="1">
        <f t="array" ref="R153">IF(_xlfn.XLOOKUP($A153&amp;$B153&amp;$C153,盘货信息!$A:$A&amp;盘货信息!$B:$B&amp;盘货信息!$C:$C,盘货信息!$Z:$Z)="","","【"&amp;盘货信息!$Z$1&amp;"】"&amp;_xlfn.XLOOKUP($A153&amp;$B153&amp;$C153,盘货信息!$A:$A&amp;盘货信息!$B:$B&amp;盘货信息!$C:$C,盘货信息!$Z:$Z))</f>
        <v/>
      </c>
      <c r="S153" s="27" t="str" cm="1">
        <f t="array" ref="S153">IF(_xlfn.XLOOKUP($A153&amp;$B153&amp;$C153,盘货信息!$A:$A&amp;盘货信息!$B:$B&amp;盘货信息!$C:$C,盘货信息!$Q:$Q)="","","【种草】站外带指定话题种草后返"&amp;_xlfn.XLOOKUP($A153&amp;$B153&amp;$C153,盘货信息!$A:$A&amp;盘货信息!$B:$B&amp;盘货信息!$C:$C,盘货信息!$Q:$Q)&amp;"元红包（每个淘宝账号仅限对应一个站外种草账号，同一个种草账号不可对应多个淘宝账号）")</f>
        <v/>
      </c>
      <c r="T153" s="27" t="str" cm="1">
        <f t="array" ref="T153">IF(_xlfn.XLOOKUP($A153&amp;$B153&amp;$C153,盘货信息!$A:$A&amp;盘货信息!$B:$B&amp;盘货信息!$C:$C,盘货信息!$R:$R)&lt;1,"","【以旧换新】"&amp;"享补贴"&amp;ROUND(_xlfn.XLOOKUP($A153&amp;$B153&amp;$C153,盘货信息!$A:$A&amp;盘货信息!$B:$B&amp;盘货信息!$C:$C,盘货信息!$R:$R),0)&amp;"元（可无旧机换新）")</f>
        <v/>
      </c>
      <c r="U153" s="27" t="str">
        <f>IF(AND($N153="",$O153="",$P153="",$Q153="",$R153="",$S153="",$T153=""),"",固定信息!$B$1)</f>
        <v/>
      </c>
      <c r="V153" s="27" t="str" cm="1">
        <f t="array" ref="V153">IF(_xlfn.XLOOKUP($A153&amp;$B153&amp;$C153,盘货信息!$A:$A&amp;盘货信息!$B:$B&amp;盘货信息!$C:$C,盘货信息!$Y:$Y)="","","【卡萨帝送赠】活动指定时间"&amp;_xlfn.TEXTBEFORE(_xlfn.TEXTAFTER(_xlfn.XLOOKUP($A153&amp;$B153&amp;$C153,盘货信息!$A:$A&amp;盘货信息!$B:$B&amp;盘货信息!$C:$C,盘货信息!$Y:$Y),"点"),"（"))</f>
        <v/>
      </c>
      <c r="W153" s="27" t="str" cm="1">
        <f t="array" ref="W153">IF(COUNTIF(_xlfn.XLOOKUP($A153&amp;$B153&amp;$C153,盘货信息!$A:$A&amp;盘货信息!$B:$B&amp;盘货信息!$C:$C,盘货信息!$O:$O),"*是*"),"【折扣】指定型号满2类享96折，满3类享94折","")</f>
        <v/>
      </c>
      <c r="X153" s="27" t="str" cm="1">
        <f t="array" ref="X153">IF(固定信息!$B$7="","",IF(_xlfn.XLOOKUP($A153&amp;$B153&amp;$C153,盘货信息!$A:$A&amp;盘货信息!$B:$B&amp;盘货信息!$C:$C,盘货信息!$N:$N)="是","【瓜分】"&amp;固定信息!$B$7,""))</f>
        <v/>
      </c>
      <c r="Y153" s="27" t="str">
        <f>IF(AND($V153="",$W153="",$X153=""),"",固定信息!$B$1)</f>
        <v/>
      </c>
      <c r="Z153" s="27" t="str" cm="1">
        <f t="array" ref="Z153">IF($C153="","",_xlfn.XLOOKUP($A153&amp;$B153&amp;$C153,服务!$A:$A&amp;服务!$B:$B&amp;服务!$C:$C,服务!$D:$D))</f>
        <v/>
      </c>
    </row>
    <row r="154" customHeight="1" spans="1:26">
      <c r="A154" s="23" t="str">
        <f>IF(盘货信息!A154="","",盘货信息!A154)</f>
        <v/>
      </c>
      <c r="B154" s="26" t="str">
        <f>IF(盘货信息!B154="","",盘货信息!B154)</f>
        <v/>
      </c>
      <c r="C154" s="23" t="str">
        <f>IF(盘货信息!C154="","",盘货信息!C154)</f>
        <v/>
      </c>
      <c r="D154" s="27" t="str">
        <f ca="1" t="shared" si="2"/>
        <v/>
      </c>
      <c r="E154" s="27" t="str">
        <f>IF(C154="","",固定信息!$B$2)</f>
        <v/>
      </c>
      <c r="F154" s="27" t="str">
        <f>IF(C154="","","【"&amp;C154&amp;"】"&amp;固定信息!$B$4)</f>
        <v/>
      </c>
      <c r="G154" s="27" t="str">
        <f>IF(C154="","","【"&amp;"活动时间："&amp;固定信息!$B$3&amp;"】")</f>
        <v/>
      </c>
      <c r="H154" s="27" t="str">
        <f>IF($C154="","",固定信息!$B$1)</f>
        <v/>
      </c>
      <c r="I154" s="27" t="str">
        <f>IF(OR(C154="",固定信息!$B$5=""),"","【1元预约锁好礼】"&amp;固定信息!$B$5)</f>
        <v/>
      </c>
      <c r="J154" s="27" t="str" cm="1">
        <f t="array" ref="J154">_xlfn.XLOOKUP($A154&amp;$B154&amp;$C154,价格信息!$A:$A&amp;价格信息!$B:$B&amp;价格信息!$C:$C,价格信息!$D:$D)</f>
        <v/>
      </c>
      <c r="K154" s="27" t="str">
        <f>IF($C154="","",固定信息!$B$1)</f>
        <v/>
      </c>
      <c r="L154" s="27" t="str" cm="1">
        <f t="array" ref="L154">IF(_xlfn.XLOOKUP($A154&amp;$B154&amp;$C154,盘货信息!$A:$A&amp;盘货信息!$B:$B&amp;盘货信息!$C:$C,盘货信息!$T:$T)="","","【优惠券】领"&amp;_xlfn.XLOOKUP($A154&amp;$B154&amp;$C154,盘货信息!$A:$A&amp;盘货信息!$B:$B&amp;盘货信息!$C:$C,盘货信息!$T:$T)&amp;"元优惠卷下单更优惠，领券链接："&amp;_xlfn.XLOOKUP($A154&amp;$B154&amp;$C154,盘货信息!$A:$A&amp;盘货信息!$B:$B&amp;盘货信息!$C:$C,盘货信息!$U:$U))</f>
        <v/>
      </c>
      <c r="M154" s="27" t="str" cm="1">
        <f t="array" ref="M154">IF(_xlfn.XLOOKUP($A154&amp;$B154&amp;$C154,盘货信息!$A:$A&amp;盘货信息!$B:$B&amp;盘货信息!$C:$C,盘货信息!$P:$P)="","","【限时】"&amp;_xlfn.XLOOKUP($A154&amp;$B154&amp;$C154,盘货信息!$A:$A&amp;盘货信息!$B:$B&amp;盘货信息!$C:$C,盘货信息!$P:$P))</f>
        <v/>
      </c>
      <c r="N154" s="27" t="str" cm="1">
        <f t="array" ref="N154">IF(_xlfn.XLOOKUP($A154&amp;$B154&amp;$C154,盘货信息!$A:$A&amp;盘货信息!$B:$B&amp;盘货信息!$C:$C,盘货信息!$V:$V)="","","【"&amp;盘货信息!$V$1&amp;"】"&amp;_xlfn.XLOOKUP($A154&amp;$B154&amp;$C154,盘货信息!$A:$A&amp;盘货信息!$B:$B&amp;盘货信息!$C:$C,盘货信息!$V:$V))</f>
        <v/>
      </c>
      <c r="O154" s="27" t="str" cm="1">
        <f t="array" ref="O154">IF(_xlfn.XLOOKUP($A154&amp;$B154&amp;$C154,盘货信息!$A:$A&amp;盘货信息!$B:$B&amp;盘货信息!$C:$C,盘货信息!$W:$W)="","","【"&amp;盘货信息!$W$1&amp;"】"&amp;_xlfn.XLOOKUP($A154&amp;$B154&amp;$C154,盘货信息!$A:$A&amp;盘货信息!$B:$B&amp;盘货信息!$C:$C,盘货信息!$W:$W))</f>
        <v/>
      </c>
      <c r="P154" s="27" t="str" cm="1">
        <f t="array" ref="P154">IF(_xlfn.XLOOKUP($A154&amp;$B154&amp;$C154,盘货信息!$A:$A&amp;盘货信息!$B:$B&amp;盘货信息!$C:$C,盘货信息!$S:$S)&lt;1,"","【"&amp;盘货信息!$S$1&amp;"】"&amp;"后返"&amp;_xlfn.XLOOKUP($A154&amp;$B154&amp;$C154,盘货信息!$A:$A&amp;盘货信息!$B:$B&amp;盘货信息!$C:$C,盘货信息!$S:$S)&amp;"元")</f>
        <v/>
      </c>
      <c r="Q154" s="27" t="str" cm="1">
        <f t="array" ref="Q154">IF(_xlfn.XLOOKUP($A154&amp;$B154&amp;$C154,盘货信息!$A:$A&amp;盘货信息!$B:$B&amp;盘货信息!$C:$C,盘货信息!$X:$X)="","","【"&amp;盘货信息!$X$1&amp;"】"&amp;_xlfn.XLOOKUP($A154&amp;$B154&amp;$C154,盘货信息!$A:$A&amp;盘货信息!$B:$B&amp;盘货信息!$C:$C,盘货信息!$X:$X))</f>
        <v/>
      </c>
      <c r="R154" s="27" t="str" cm="1">
        <f t="array" ref="R154">IF(_xlfn.XLOOKUP($A154&amp;$B154&amp;$C154,盘货信息!$A:$A&amp;盘货信息!$B:$B&amp;盘货信息!$C:$C,盘货信息!$Z:$Z)="","","【"&amp;盘货信息!$Z$1&amp;"】"&amp;_xlfn.XLOOKUP($A154&amp;$B154&amp;$C154,盘货信息!$A:$A&amp;盘货信息!$B:$B&amp;盘货信息!$C:$C,盘货信息!$Z:$Z))</f>
        <v/>
      </c>
      <c r="S154" s="27" t="str" cm="1">
        <f t="array" ref="S154">IF(_xlfn.XLOOKUP($A154&amp;$B154&amp;$C154,盘货信息!$A:$A&amp;盘货信息!$B:$B&amp;盘货信息!$C:$C,盘货信息!$Q:$Q)="","","【种草】站外带指定话题种草后返"&amp;_xlfn.XLOOKUP($A154&amp;$B154&amp;$C154,盘货信息!$A:$A&amp;盘货信息!$B:$B&amp;盘货信息!$C:$C,盘货信息!$Q:$Q)&amp;"元红包（每个淘宝账号仅限对应一个站外种草账号，同一个种草账号不可对应多个淘宝账号）")</f>
        <v/>
      </c>
      <c r="T154" s="27" t="str" cm="1">
        <f t="array" ref="T154">IF(_xlfn.XLOOKUP($A154&amp;$B154&amp;$C154,盘货信息!$A:$A&amp;盘货信息!$B:$B&amp;盘货信息!$C:$C,盘货信息!$R:$R)&lt;1,"","【以旧换新】"&amp;"享补贴"&amp;ROUND(_xlfn.XLOOKUP($A154&amp;$B154&amp;$C154,盘货信息!$A:$A&amp;盘货信息!$B:$B&amp;盘货信息!$C:$C,盘货信息!$R:$R),0)&amp;"元（可无旧机换新）")</f>
        <v/>
      </c>
      <c r="U154" s="27" t="str">
        <f>IF(AND($N154="",$O154="",$P154="",$Q154="",$R154="",$S154="",$T154=""),"",固定信息!$B$1)</f>
        <v/>
      </c>
      <c r="V154" s="27" t="str" cm="1">
        <f t="array" ref="V154">IF(_xlfn.XLOOKUP($A154&amp;$B154&amp;$C154,盘货信息!$A:$A&amp;盘货信息!$B:$B&amp;盘货信息!$C:$C,盘货信息!$Y:$Y)="","","【卡萨帝送赠】活动指定时间"&amp;_xlfn.TEXTBEFORE(_xlfn.TEXTAFTER(_xlfn.XLOOKUP($A154&amp;$B154&amp;$C154,盘货信息!$A:$A&amp;盘货信息!$B:$B&amp;盘货信息!$C:$C,盘货信息!$Y:$Y),"点"),"（"))</f>
        <v/>
      </c>
      <c r="W154" s="27" t="str" cm="1">
        <f t="array" ref="W154">IF(COUNTIF(_xlfn.XLOOKUP($A154&amp;$B154&amp;$C154,盘货信息!$A:$A&amp;盘货信息!$B:$B&amp;盘货信息!$C:$C,盘货信息!$O:$O),"*是*"),"【折扣】指定型号满2类享96折，满3类享94折","")</f>
        <v/>
      </c>
      <c r="X154" s="27" t="str" cm="1">
        <f t="array" ref="X154">IF(固定信息!$B$7="","",IF(_xlfn.XLOOKUP($A154&amp;$B154&amp;$C154,盘货信息!$A:$A&amp;盘货信息!$B:$B&amp;盘货信息!$C:$C,盘货信息!$N:$N)="是","【瓜分】"&amp;固定信息!$B$7,""))</f>
        <v/>
      </c>
      <c r="Y154" s="27" t="str">
        <f>IF(AND($V154="",$W154="",$X154=""),"",固定信息!$B$1)</f>
        <v/>
      </c>
      <c r="Z154" s="27" t="str" cm="1">
        <f t="array" ref="Z154">IF($C154="","",_xlfn.XLOOKUP($A154&amp;$B154&amp;$C154,服务!$A:$A&amp;服务!$B:$B&amp;服务!$C:$C,服务!$D:$D))</f>
        <v/>
      </c>
    </row>
    <row r="155" customHeight="1" spans="1:26">
      <c r="A155" s="23" t="str">
        <f>IF(盘货信息!A155="","",盘货信息!A155)</f>
        <v/>
      </c>
      <c r="B155" s="26" t="str">
        <f>IF(盘货信息!B155="","",盘货信息!B155)</f>
        <v/>
      </c>
      <c r="C155" s="23" t="str">
        <f>IF(盘货信息!C155="","",盘货信息!C155)</f>
        <v/>
      </c>
      <c r="D155" s="27" t="str">
        <f ca="1" t="shared" si="2"/>
        <v/>
      </c>
      <c r="E155" s="27" t="str">
        <f>IF(C155="","",固定信息!$B$2)</f>
        <v/>
      </c>
      <c r="F155" s="27" t="str">
        <f>IF(C155="","","【"&amp;C155&amp;"】"&amp;固定信息!$B$4)</f>
        <v/>
      </c>
      <c r="G155" s="27" t="str">
        <f>IF(C155="","","【"&amp;"活动时间："&amp;固定信息!$B$3&amp;"】")</f>
        <v/>
      </c>
      <c r="H155" s="27" t="str">
        <f>IF($C155="","",固定信息!$B$1)</f>
        <v/>
      </c>
      <c r="I155" s="27" t="str">
        <f>IF(OR(C155="",固定信息!$B$5=""),"","【1元预约锁好礼】"&amp;固定信息!$B$5)</f>
        <v/>
      </c>
      <c r="J155" s="27" t="str" cm="1">
        <f t="array" ref="J155">_xlfn.XLOOKUP($A155&amp;$B155&amp;$C155,价格信息!$A:$A&amp;价格信息!$B:$B&amp;价格信息!$C:$C,价格信息!$D:$D)</f>
        <v/>
      </c>
      <c r="K155" s="27" t="str">
        <f>IF($C155="","",固定信息!$B$1)</f>
        <v/>
      </c>
      <c r="L155" s="27" t="str" cm="1">
        <f t="array" ref="L155">IF(_xlfn.XLOOKUP($A155&amp;$B155&amp;$C155,盘货信息!$A:$A&amp;盘货信息!$B:$B&amp;盘货信息!$C:$C,盘货信息!$T:$T)="","","【优惠券】领"&amp;_xlfn.XLOOKUP($A155&amp;$B155&amp;$C155,盘货信息!$A:$A&amp;盘货信息!$B:$B&amp;盘货信息!$C:$C,盘货信息!$T:$T)&amp;"元优惠卷下单更优惠，领券链接："&amp;_xlfn.XLOOKUP($A155&amp;$B155&amp;$C155,盘货信息!$A:$A&amp;盘货信息!$B:$B&amp;盘货信息!$C:$C,盘货信息!$U:$U))</f>
        <v/>
      </c>
      <c r="M155" s="27" t="str" cm="1">
        <f t="array" ref="M155">IF(_xlfn.XLOOKUP($A155&amp;$B155&amp;$C155,盘货信息!$A:$A&amp;盘货信息!$B:$B&amp;盘货信息!$C:$C,盘货信息!$P:$P)="","","【限时】"&amp;_xlfn.XLOOKUP($A155&amp;$B155&amp;$C155,盘货信息!$A:$A&amp;盘货信息!$B:$B&amp;盘货信息!$C:$C,盘货信息!$P:$P))</f>
        <v/>
      </c>
      <c r="N155" s="27" t="str" cm="1">
        <f t="array" ref="N155">IF(_xlfn.XLOOKUP($A155&amp;$B155&amp;$C155,盘货信息!$A:$A&amp;盘货信息!$B:$B&amp;盘货信息!$C:$C,盘货信息!$V:$V)="","","【"&amp;盘货信息!$V$1&amp;"】"&amp;_xlfn.XLOOKUP($A155&amp;$B155&amp;$C155,盘货信息!$A:$A&amp;盘货信息!$B:$B&amp;盘货信息!$C:$C,盘货信息!$V:$V))</f>
        <v/>
      </c>
      <c r="O155" s="27" t="str" cm="1">
        <f t="array" ref="O155">IF(_xlfn.XLOOKUP($A155&amp;$B155&amp;$C155,盘货信息!$A:$A&amp;盘货信息!$B:$B&amp;盘货信息!$C:$C,盘货信息!$W:$W)="","","【"&amp;盘货信息!$W$1&amp;"】"&amp;_xlfn.XLOOKUP($A155&amp;$B155&amp;$C155,盘货信息!$A:$A&amp;盘货信息!$B:$B&amp;盘货信息!$C:$C,盘货信息!$W:$W))</f>
        <v/>
      </c>
      <c r="P155" s="27" t="str" cm="1">
        <f t="array" ref="P155">IF(_xlfn.XLOOKUP($A155&amp;$B155&amp;$C155,盘货信息!$A:$A&amp;盘货信息!$B:$B&amp;盘货信息!$C:$C,盘货信息!$S:$S)&lt;1,"","【"&amp;盘货信息!$S$1&amp;"】"&amp;"后返"&amp;_xlfn.XLOOKUP($A155&amp;$B155&amp;$C155,盘货信息!$A:$A&amp;盘货信息!$B:$B&amp;盘货信息!$C:$C,盘货信息!$S:$S)&amp;"元")</f>
        <v/>
      </c>
      <c r="Q155" s="27" t="str" cm="1">
        <f t="array" ref="Q155">IF(_xlfn.XLOOKUP($A155&amp;$B155&amp;$C155,盘货信息!$A:$A&amp;盘货信息!$B:$B&amp;盘货信息!$C:$C,盘货信息!$X:$X)="","","【"&amp;盘货信息!$X$1&amp;"】"&amp;_xlfn.XLOOKUP($A155&amp;$B155&amp;$C155,盘货信息!$A:$A&amp;盘货信息!$B:$B&amp;盘货信息!$C:$C,盘货信息!$X:$X))</f>
        <v/>
      </c>
      <c r="R155" s="27" t="str" cm="1">
        <f t="array" ref="R155">IF(_xlfn.XLOOKUP($A155&amp;$B155&amp;$C155,盘货信息!$A:$A&amp;盘货信息!$B:$B&amp;盘货信息!$C:$C,盘货信息!$Z:$Z)="","","【"&amp;盘货信息!$Z$1&amp;"】"&amp;_xlfn.XLOOKUP($A155&amp;$B155&amp;$C155,盘货信息!$A:$A&amp;盘货信息!$B:$B&amp;盘货信息!$C:$C,盘货信息!$Z:$Z))</f>
        <v/>
      </c>
      <c r="S155" s="27" t="str" cm="1">
        <f t="array" ref="S155">IF(_xlfn.XLOOKUP($A155&amp;$B155&amp;$C155,盘货信息!$A:$A&amp;盘货信息!$B:$B&amp;盘货信息!$C:$C,盘货信息!$Q:$Q)="","","【种草】站外带指定话题种草后返"&amp;_xlfn.XLOOKUP($A155&amp;$B155&amp;$C155,盘货信息!$A:$A&amp;盘货信息!$B:$B&amp;盘货信息!$C:$C,盘货信息!$Q:$Q)&amp;"元红包（每个淘宝账号仅限对应一个站外种草账号，同一个种草账号不可对应多个淘宝账号）")</f>
        <v/>
      </c>
      <c r="T155" s="27" t="str" cm="1">
        <f t="array" ref="T155">IF(_xlfn.XLOOKUP($A155&amp;$B155&amp;$C155,盘货信息!$A:$A&amp;盘货信息!$B:$B&amp;盘货信息!$C:$C,盘货信息!$R:$R)&lt;1,"","【以旧换新】"&amp;"享补贴"&amp;ROUND(_xlfn.XLOOKUP($A155&amp;$B155&amp;$C155,盘货信息!$A:$A&amp;盘货信息!$B:$B&amp;盘货信息!$C:$C,盘货信息!$R:$R),0)&amp;"元（可无旧机换新）")</f>
        <v/>
      </c>
      <c r="U155" s="27" t="str">
        <f>IF(AND($N155="",$O155="",$P155="",$Q155="",$R155="",$S155="",$T155=""),"",固定信息!$B$1)</f>
        <v/>
      </c>
      <c r="V155" s="27" t="str" cm="1">
        <f t="array" ref="V155">IF(_xlfn.XLOOKUP($A155&amp;$B155&amp;$C155,盘货信息!$A:$A&amp;盘货信息!$B:$B&amp;盘货信息!$C:$C,盘货信息!$Y:$Y)="","","【卡萨帝送赠】活动指定时间"&amp;_xlfn.TEXTBEFORE(_xlfn.TEXTAFTER(_xlfn.XLOOKUP($A155&amp;$B155&amp;$C155,盘货信息!$A:$A&amp;盘货信息!$B:$B&amp;盘货信息!$C:$C,盘货信息!$Y:$Y),"点"),"（"))</f>
        <v/>
      </c>
      <c r="W155" s="27" t="str" cm="1">
        <f t="array" ref="W155">IF(COUNTIF(_xlfn.XLOOKUP($A155&amp;$B155&amp;$C155,盘货信息!$A:$A&amp;盘货信息!$B:$B&amp;盘货信息!$C:$C,盘货信息!$O:$O),"*是*"),"【折扣】指定型号满2类享96折，满3类享94折","")</f>
        <v/>
      </c>
      <c r="X155" s="27" t="str" cm="1">
        <f t="array" ref="X155">IF(固定信息!$B$7="","",IF(_xlfn.XLOOKUP($A155&amp;$B155&amp;$C155,盘货信息!$A:$A&amp;盘货信息!$B:$B&amp;盘货信息!$C:$C,盘货信息!$N:$N)="是","【瓜分】"&amp;固定信息!$B$7,""))</f>
        <v/>
      </c>
      <c r="Y155" s="27" t="str">
        <f>IF(AND($V155="",$W155="",$X155=""),"",固定信息!$B$1)</f>
        <v/>
      </c>
      <c r="Z155" s="27" t="str" cm="1">
        <f t="array" ref="Z155">IF($C155="","",_xlfn.XLOOKUP($A155&amp;$B155&amp;$C155,服务!$A:$A&amp;服务!$B:$B&amp;服务!$C:$C,服务!$D:$D))</f>
        <v/>
      </c>
    </row>
    <row r="156" customHeight="1" spans="1:26">
      <c r="A156" s="23" t="str">
        <f>IF(盘货信息!A156="","",盘货信息!A156)</f>
        <v/>
      </c>
      <c r="B156" s="26" t="str">
        <f>IF(盘货信息!B156="","",盘货信息!B156)</f>
        <v/>
      </c>
      <c r="C156" s="23" t="str">
        <f>IF(盘货信息!C156="","",盘货信息!C156)</f>
        <v/>
      </c>
      <c r="D156" s="27" t="str">
        <f ca="1" t="shared" si="2"/>
        <v/>
      </c>
      <c r="E156" s="27" t="str">
        <f>IF(C156="","",固定信息!$B$2)</f>
        <v/>
      </c>
      <c r="F156" s="27" t="str">
        <f>IF(C156="","","【"&amp;C156&amp;"】"&amp;固定信息!$B$4)</f>
        <v/>
      </c>
      <c r="G156" s="27" t="str">
        <f>IF(C156="","","【"&amp;"活动时间："&amp;固定信息!$B$3&amp;"】")</f>
        <v/>
      </c>
      <c r="H156" s="27" t="str">
        <f>IF($C156="","",固定信息!$B$1)</f>
        <v/>
      </c>
      <c r="I156" s="27" t="str">
        <f>IF(OR(C156="",固定信息!$B$5=""),"","【1元预约锁好礼】"&amp;固定信息!$B$5)</f>
        <v/>
      </c>
      <c r="J156" s="27" t="str" cm="1">
        <f t="array" ref="J156">_xlfn.XLOOKUP($A156&amp;$B156&amp;$C156,价格信息!$A:$A&amp;价格信息!$B:$B&amp;价格信息!$C:$C,价格信息!$D:$D)</f>
        <v/>
      </c>
      <c r="K156" s="27" t="str">
        <f>IF($C156="","",固定信息!$B$1)</f>
        <v/>
      </c>
      <c r="L156" s="27" t="str" cm="1">
        <f t="array" ref="L156">IF(_xlfn.XLOOKUP($A156&amp;$B156&amp;$C156,盘货信息!$A:$A&amp;盘货信息!$B:$B&amp;盘货信息!$C:$C,盘货信息!$T:$T)="","","【优惠券】领"&amp;_xlfn.XLOOKUP($A156&amp;$B156&amp;$C156,盘货信息!$A:$A&amp;盘货信息!$B:$B&amp;盘货信息!$C:$C,盘货信息!$T:$T)&amp;"元优惠卷下单更优惠，领券链接："&amp;_xlfn.XLOOKUP($A156&amp;$B156&amp;$C156,盘货信息!$A:$A&amp;盘货信息!$B:$B&amp;盘货信息!$C:$C,盘货信息!$U:$U))</f>
        <v/>
      </c>
      <c r="M156" s="27" t="str" cm="1">
        <f t="array" ref="M156">IF(_xlfn.XLOOKUP($A156&amp;$B156&amp;$C156,盘货信息!$A:$A&amp;盘货信息!$B:$B&amp;盘货信息!$C:$C,盘货信息!$P:$P)="","","【限时】"&amp;_xlfn.XLOOKUP($A156&amp;$B156&amp;$C156,盘货信息!$A:$A&amp;盘货信息!$B:$B&amp;盘货信息!$C:$C,盘货信息!$P:$P))</f>
        <v/>
      </c>
      <c r="N156" s="27" t="str" cm="1">
        <f t="array" ref="N156">IF(_xlfn.XLOOKUP($A156&amp;$B156&amp;$C156,盘货信息!$A:$A&amp;盘货信息!$B:$B&amp;盘货信息!$C:$C,盘货信息!$V:$V)="","","【"&amp;盘货信息!$V$1&amp;"】"&amp;_xlfn.XLOOKUP($A156&amp;$B156&amp;$C156,盘货信息!$A:$A&amp;盘货信息!$B:$B&amp;盘货信息!$C:$C,盘货信息!$V:$V))</f>
        <v/>
      </c>
      <c r="O156" s="27" t="str" cm="1">
        <f t="array" ref="O156">IF(_xlfn.XLOOKUP($A156&amp;$B156&amp;$C156,盘货信息!$A:$A&amp;盘货信息!$B:$B&amp;盘货信息!$C:$C,盘货信息!$W:$W)="","","【"&amp;盘货信息!$W$1&amp;"】"&amp;_xlfn.XLOOKUP($A156&amp;$B156&amp;$C156,盘货信息!$A:$A&amp;盘货信息!$B:$B&amp;盘货信息!$C:$C,盘货信息!$W:$W))</f>
        <v/>
      </c>
      <c r="P156" s="27" t="str" cm="1">
        <f t="array" ref="P156">IF(_xlfn.XLOOKUP($A156&amp;$B156&amp;$C156,盘货信息!$A:$A&amp;盘货信息!$B:$B&amp;盘货信息!$C:$C,盘货信息!$S:$S)&lt;1,"","【"&amp;盘货信息!$S$1&amp;"】"&amp;"后返"&amp;_xlfn.XLOOKUP($A156&amp;$B156&amp;$C156,盘货信息!$A:$A&amp;盘货信息!$B:$B&amp;盘货信息!$C:$C,盘货信息!$S:$S)&amp;"元")</f>
        <v/>
      </c>
      <c r="Q156" s="27" t="str" cm="1">
        <f t="array" ref="Q156">IF(_xlfn.XLOOKUP($A156&amp;$B156&amp;$C156,盘货信息!$A:$A&amp;盘货信息!$B:$B&amp;盘货信息!$C:$C,盘货信息!$X:$X)="","","【"&amp;盘货信息!$X$1&amp;"】"&amp;_xlfn.XLOOKUP($A156&amp;$B156&amp;$C156,盘货信息!$A:$A&amp;盘货信息!$B:$B&amp;盘货信息!$C:$C,盘货信息!$X:$X))</f>
        <v/>
      </c>
      <c r="R156" s="27" t="str" cm="1">
        <f t="array" ref="R156">IF(_xlfn.XLOOKUP($A156&amp;$B156&amp;$C156,盘货信息!$A:$A&amp;盘货信息!$B:$B&amp;盘货信息!$C:$C,盘货信息!$Z:$Z)="","","【"&amp;盘货信息!$Z$1&amp;"】"&amp;_xlfn.XLOOKUP($A156&amp;$B156&amp;$C156,盘货信息!$A:$A&amp;盘货信息!$B:$B&amp;盘货信息!$C:$C,盘货信息!$Z:$Z))</f>
        <v/>
      </c>
      <c r="S156" s="27" t="str" cm="1">
        <f t="array" ref="S156">IF(_xlfn.XLOOKUP($A156&amp;$B156&amp;$C156,盘货信息!$A:$A&amp;盘货信息!$B:$B&amp;盘货信息!$C:$C,盘货信息!$Q:$Q)="","","【种草】站外带指定话题种草后返"&amp;_xlfn.XLOOKUP($A156&amp;$B156&amp;$C156,盘货信息!$A:$A&amp;盘货信息!$B:$B&amp;盘货信息!$C:$C,盘货信息!$Q:$Q)&amp;"元红包（每个淘宝账号仅限对应一个站外种草账号，同一个种草账号不可对应多个淘宝账号）")</f>
        <v/>
      </c>
      <c r="T156" s="27" t="str" cm="1">
        <f t="array" ref="T156">IF(_xlfn.XLOOKUP($A156&amp;$B156&amp;$C156,盘货信息!$A:$A&amp;盘货信息!$B:$B&amp;盘货信息!$C:$C,盘货信息!$R:$R)&lt;1,"","【以旧换新】"&amp;"享补贴"&amp;ROUND(_xlfn.XLOOKUP($A156&amp;$B156&amp;$C156,盘货信息!$A:$A&amp;盘货信息!$B:$B&amp;盘货信息!$C:$C,盘货信息!$R:$R),0)&amp;"元（可无旧机换新）")</f>
        <v/>
      </c>
      <c r="U156" s="27" t="str">
        <f>IF(AND($N156="",$O156="",$P156="",$Q156="",$R156="",$S156="",$T156=""),"",固定信息!$B$1)</f>
        <v/>
      </c>
      <c r="V156" s="27" t="str" cm="1">
        <f t="array" ref="V156">IF(_xlfn.XLOOKUP($A156&amp;$B156&amp;$C156,盘货信息!$A:$A&amp;盘货信息!$B:$B&amp;盘货信息!$C:$C,盘货信息!$Y:$Y)="","","【卡萨帝送赠】活动指定时间"&amp;_xlfn.TEXTBEFORE(_xlfn.TEXTAFTER(_xlfn.XLOOKUP($A156&amp;$B156&amp;$C156,盘货信息!$A:$A&amp;盘货信息!$B:$B&amp;盘货信息!$C:$C,盘货信息!$Y:$Y),"点"),"（"))</f>
        <v/>
      </c>
      <c r="W156" s="27" t="str" cm="1">
        <f t="array" ref="W156">IF(COUNTIF(_xlfn.XLOOKUP($A156&amp;$B156&amp;$C156,盘货信息!$A:$A&amp;盘货信息!$B:$B&amp;盘货信息!$C:$C,盘货信息!$O:$O),"*是*"),"【折扣】指定型号满2类享96折，满3类享94折","")</f>
        <v/>
      </c>
      <c r="X156" s="27" t="str" cm="1">
        <f t="array" ref="X156">IF(固定信息!$B$7="","",IF(_xlfn.XLOOKUP($A156&amp;$B156&amp;$C156,盘货信息!$A:$A&amp;盘货信息!$B:$B&amp;盘货信息!$C:$C,盘货信息!$N:$N)="是","【瓜分】"&amp;固定信息!$B$7,""))</f>
        <v/>
      </c>
      <c r="Y156" s="27" t="str">
        <f>IF(AND($V156="",$W156="",$X156=""),"",固定信息!$B$1)</f>
        <v/>
      </c>
      <c r="Z156" s="27" t="str" cm="1">
        <f t="array" ref="Z156">IF($C156="","",_xlfn.XLOOKUP($A156&amp;$B156&amp;$C156,服务!$A:$A&amp;服务!$B:$B&amp;服务!$C:$C,服务!$D:$D))</f>
        <v/>
      </c>
    </row>
    <row r="157" customHeight="1" spans="1:26">
      <c r="A157" s="23" t="str">
        <f>IF(盘货信息!A157="","",盘货信息!A157)</f>
        <v/>
      </c>
      <c r="B157" s="26" t="str">
        <f>IF(盘货信息!B157="","",盘货信息!B157)</f>
        <v/>
      </c>
      <c r="C157" s="23" t="str">
        <f>IF(盘货信息!C157="","",盘货信息!C157)</f>
        <v/>
      </c>
      <c r="D157" s="27" t="str">
        <f ca="1" t="shared" si="2"/>
        <v/>
      </c>
      <c r="E157" s="27" t="str">
        <f>IF(C157="","",固定信息!$B$2)</f>
        <v/>
      </c>
      <c r="F157" s="27" t="str">
        <f>IF(C157="","","【"&amp;C157&amp;"】"&amp;固定信息!$B$4)</f>
        <v/>
      </c>
      <c r="G157" s="27" t="str">
        <f>IF(C157="","","【"&amp;"活动时间："&amp;固定信息!$B$3&amp;"】")</f>
        <v/>
      </c>
      <c r="H157" s="27" t="str">
        <f>IF($C157="","",固定信息!$B$1)</f>
        <v/>
      </c>
      <c r="I157" s="27" t="str">
        <f>IF(OR(C157="",固定信息!$B$5=""),"","【1元预约锁好礼】"&amp;固定信息!$B$5)</f>
        <v/>
      </c>
      <c r="J157" s="27" t="str" cm="1">
        <f t="array" ref="J157">_xlfn.XLOOKUP($A157&amp;$B157&amp;$C157,价格信息!$A:$A&amp;价格信息!$B:$B&amp;价格信息!$C:$C,价格信息!$D:$D)</f>
        <v/>
      </c>
      <c r="K157" s="27" t="str">
        <f>IF($C157="","",固定信息!$B$1)</f>
        <v/>
      </c>
      <c r="L157" s="27" t="str" cm="1">
        <f t="array" ref="L157">IF(_xlfn.XLOOKUP($A157&amp;$B157&amp;$C157,盘货信息!$A:$A&amp;盘货信息!$B:$B&amp;盘货信息!$C:$C,盘货信息!$T:$T)="","","【优惠券】领"&amp;_xlfn.XLOOKUP($A157&amp;$B157&amp;$C157,盘货信息!$A:$A&amp;盘货信息!$B:$B&amp;盘货信息!$C:$C,盘货信息!$T:$T)&amp;"元优惠卷下单更优惠，领券链接："&amp;_xlfn.XLOOKUP($A157&amp;$B157&amp;$C157,盘货信息!$A:$A&amp;盘货信息!$B:$B&amp;盘货信息!$C:$C,盘货信息!$U:$U))</f>
        <v/>
      </c>
      <c r="M157" s="27" t="str" cm="1">
        <f t="array" ref="M157">IF(_xlfn.XLOOKUP($A157&amp;$B157&amp;$C157,盘货信息!$A:$A&amp;盘货信息!$B:$B&amp;盘货信息!$C:$C,盘货信息!$P:$P)="","","【限时】"&amp;_xlfn.XLOOKUP($A157&amp;$B157&amp;$C157,盘货信息!$A:$A&amp;盘货信息!$B:$B&amp;盘货信息!$C:$C,盘货信息!$P:$P))</f>
        <v/>
      </c>
      <c r="N157" s="27" t="str" cm="1">
        <f t="array" ref="N157">IF(_xlfn.XLOOKUP($A157&amp;$B157&amp;$C157,盘货信息!$A:$A&amp;盘货信息!$B:$B&amp;盘货信息!$C:$C,盘货信息!$V:$V)="","","【"&amp;盘货信息!$V$1&amp;"】"&amp;_xlfn.XLOOKUP($A157&amp;$B157&amp;$C157,盘货信息!$A:$A&amp;盘货信息!$B:$B&amp;盘货信息!$C:$C,盘货信息!$V:$V))</f>
        <v/>
      </c>
      <c r="O157" s="27" t="str" cm="1">
        <f t="array" ref="O157">IF(_xlfn.XLOOKUP($A157&amp;$B157&amp;$C157,盘货信息!$A:$A&amp;盘货信息!$B:$B&amp;盘货信息!$C:$C,盘货信息!$W:$W)="","","【"&amp;盘货信息!$W$1&amp;"】"&amp;_xlfn.XLOOKUP($A157&amp;$B157&amp;$C157,盘货信息!$A:$A&amp;盘货信息!$B:$B&amp;盘货信息!$C:$C,盘货信息!$W:$W))</f>
        <v/>
      </c>
      <c r="P157" s="27" t="str" cm="1">
        <f t="array" ref="P157">IF(_xlfn.XLOOKUP($A157&amp;$B157&amp;$C157,盘货信息!$A:$A&amp;盘货信息!$B:$B&amp;盘货信息!$C:$C,盘货信息!$S:$S)&lt;1,"","【"&amp;盘货信息!$S$1&amp;"】"&amp;"后返"&amp;_xlfn.XLOOKUP($A157&amp;$B157&amp;$C157,盘货信息!$A:$A&amp;盘货信息!$B:$B&amp;盘货信息!$C:$C,盘货信息!$S:$S)&amp;"元")</f>
        <v/>
      </c>
      <c r="Q157" s="27" t="str" cm="1">
        <f t="array" ref="Q157">IF(_xlfn.XLOOKUP($A157&amp;$B157&amp;$C157,盘货信息!$A:$A&amp;盘货信息!$B:$B&amp;盘货信息!$C:$C,盘货信息!$X:$X)="","","【"&amp;盘货信息!$X$1&amp;"】"&amp;_xlfn.XLOOKUP($A157&amp;$B157&amp;$C157,盘货信息!$A:$A&amp;盘货信息!$B:$B&amp;盘货信息!$C:$C,盘货信息!$X:$X))</f>
        <v/>
      </c>
      <c r="R157" s="27" t="str" cm="1">
        <f t="array" ref="R157">IF(_xlfn.XLOOKUP($A157&amp;$B157&amp;$C157,盘货信息!$A:$A&amp;盘货信息!$B:$B&amp;盘货信息!$C:$C,盘货信息!$Z:$Z)="","","【"&amp;盘货信息!$Z$1&amp;"】"&amp;_xlfn.XLOOKUP($A157&amp;$B157&amp;$C157,盘货信息!$A:$A&amp;盘货信息!$B:$B&amp;盘货信息!$C:$C,盘货信息!$Z:$Z))</f>
        <v/>
      </c>
      <c r="S157" s="27" t="str" cm="1">
        <f t="array" ref="S157">IF(_xlfn.XLOOKUP($A157&amp;$B157&amp;$C157,盘货信息!$A:$A&amp;盘货信息!$B:$B&amp;盘货信息!$C:$C,盘货信息!$Q:$Q)="","","【种草】站外带指定话题种草后返"&amp;_xlfn.XLOOKUP($A157&amp;$B157&amp;$C157,盘货信息!$A:$A&amp;盘货信息!$B:$B&amp;盘货信息!$C:$C,盘货信息!$Q:$Q)&amp;"元红包（每个淘宝账号仅限对应一个站外种草账号，同一个种草账号不可对应多个淘宝账号）")</f>
        <v/>
      </c>
      <c r="T157" s="27" t="str" cm="1">
        <f t="array" ref="T157">IF(_xlfn.XLOOKUP($A157&amp;$B157&amp;$C157,盘货信息!$A:$A&amp;盘货信息!$B:$B&amp;盘货信息!$C:$C,盘货信息!$R:$R)&lt;1,"","【以旧换新】"&amp;"享补贴"&amp;ROUND(_xlfn.XLOOKUP($A157&amp;$B157&amp;$C157,盘货信息!$A:$A&amp;盘货信息!$B:$B&amp;盘货信息!$C:$C,盘货信息!$R:$R),0)&amp;"元（可无旧机换新）")</f>
        <v/>
      </c>
      <c r="U157" s="27" t="str">
        <f>IF(AND($N157="",$O157="",$P157="",$Q157="",$R157="",$S157="",$T157=""),"",固定信息!$B$1)</f>
        <v/>
      </c>
      <c r="V157" s="27" t="str" cm="1">
        <f t="array" ref="V157">IF(_xlfn.XLOOKUP($A157&amp;$B157&amp;$C157,盘货信息!$A:$A&amp;盘货信息!$B:$B&amp;盘货信息!$C:$C,盘货信息!$Y:$Y)="","","【卡萨帝送赠】活动指定时间"&amp;_xlfn.TEXTBEFORE(_xlfn.TEXTAFTER(_xlfn.XLOOKUP($A157&amp;$B157&amp;$C157,盘货信息!$A:$A&amp;盘货信息!$B:$B&amp;盘货信息!$C:$C,盘货信息!$Y:$Y),"点"),"（"))</f>
        <v/>
      </c>
      <c r="W157" s="27" t="str" cm="1">
        <f t="array" ref="W157">IF(COUNTIF(_xlfn.XLOOKUP($A157&amp;$B157&amp;$C157,盘货信息!$A:$A&amp;盘货信息!$B:$B&amp;盘货信息!$C:$C,盘货信息!$O:$O),"*是*"),"【折扣】指定型号满2类享96折，满3类享94折","")</f>
        <v/>
      </c>
      <c r="X157" s="27" t="str" cm="1">
        <f t="array" ref="X157">IF(固定信息!$B$7="","",IF(_xlfn.XLOOKUP($A157&amp;$B157&amp;$C157,盘货信息!$A:$A&amp;盘货信息!$B:$B&amp;盘货信息!$C:$C,盘货信息!$N:$N)="是","【瓜分】"&amp;固定信息!$B$7,""))</f>
        <v/>
      </c>
      <c r="Y157" s="27" t="str">
        <f>IF(AND($V157="",$W157="",$X157=""),"",固定信息!$B$1)</f>
        <v/>
      </c>
      <c r="Z157" s="27" t="str" cm="1">
        <f t="array" ref="Z157">IF($C157="","",_xlfn.XLOOKUP($A157&amp;$B157&amp;$C157,服务!$A:$A&amp;服务!$B:$B&amp;服务!$C:$C,服务!$D:$D))</f>
        <v/>
      </c>
    </row>
    <row r="158" customHeight="1" spans="1:26">
      <c r="A158" s="23" t="str">
        <f>IF(盘货信息!A158="","",盘货信息!A158)</f>
        <v/>
      </c>
      <c r="B158" s="26" t="str">
        <f>IF(盘货信息!B158="","",盘货信息!B158)</f>
        <v/>
      </c>
      <c r="C158" s="23" t="str">
        <f>IF(盘货信息!C158="","",盘货信息!C158)</f>
        <v/>
      </c>
      <c r="D158" s="27" t="str">
        <f ca="1" t="shared" si="2"/>
        <v/>
      </c>
      <c r="E158" s="27" t="str">
        <f>IF(C158="","",固定信息!$B$2)</f>
        <v/>
      </c>
      <c r="F158" s="27" t="str">
        <f>IF(C158="","","【"&amp;C158&amp;"】"&amp;固定信息!$B$4)</f>
        <v/>
      </c>
      <c r="G158" s="27" t="str">
        <f>IF(C158="","","【"&amp;"活动时间："&amp;固定信息!$B$3&amp;"】")</f>
        <v/>
      </c>
      <c r="H158" s="27" t="str">
        <f>IF($C158="","",固定信息!$B$1)</f>
        <v/>
      </c>
      <c r="I158" s="27" t="str">
        <f>IF(OR(C158="",固定信息!$B$5=""),"","【1元预约锁好礼】"&amp;固定信息!$B$5)</f>
        <v/>
      </c>
      <c r="J158" s="27" t="str" cm="1">
        <f t="array" ref="J158">_xlfn.XLOOKUP($A158&amp;$B158&amp;$C158,价格信息!$A:$A&amp;价格信息!$B:$B&amp;价格信息!$C:$C,价格信息!$D:$D)</f>
        <v/>
      </c>
      <c r="K158" s="27" t="str">
        <f>IF($C158="","",固定信息!$B$1)</f>
        <v/>
      </c>
      <c r="L158" s="27" t="str" cm="1">
        <f t="array" ref="L158">IF(_xlfn.XLOOKUP($A158&amp;$B158&amp;$C158,盘货信息!$A:$A&amp;盘货信息!$B:$B&amp;盘货信息!$C:$C,盘货信息!$T:$T)="","","【优惠券】领"&amp;_xlfn.XLOOKUP($A158&amp;$B158&amp;$C158,盘货信息!$A:$A&amp;盘货信息!$B:$B&amp;盘货信息!$C:$C,盘货信息!$T:$T)&amp;"元优惠卷下单更优惠，领券链接："&amp;_xlfn.XLOOKUP($A158&amp;$B158&amp;$C158,盘货信息!$A:$A&amp;盘货信息!$B:$B&amp;盘货信息!$C:$C,盘货信息!$U:$U))</f>
        <v/>
      </c>
      <c r="M158" s="27" t="str" cm="1">
        <f t="array" ref="M158">IF(_xlfn.XLOOKUP($A158&amp;$B158&amp;$C158,盘货信息!$A:$A&amp;盘货信息!$B:$B&amp;盘货信息!$C:$C,盘货信息!$P:$P)="","","【限时】"&amp;_xlfn.XLOOKUP($A158&amp;$B158&amp;$C158,盘货信息!$A:$A&amp;盘货信息!$B:$B&amp;盘货信息!$C:$C,盘货信息!$P:$P))</f>
        <v/>
      </c>
      <c r="N158" s="27" t="str" cm="1">
        <f t="array" ref="N158">IF(_xlfn.XLOOKUP($A158&amp;$B158&amp;$C158,盘货信息!$A:$A&amp;盘货信息!$B:$B&amp;盘货信息!$C:$C,盘货信息!$V:$V)="","","【"&amp;盘货信息!$V$1&amp;"】"&amp;_xlfn.XLOOKUP($A158&amp;$B158&amp;$C158,盘货信息!$A:$A&amp;盘货信息!$B:$B&amp;盘货信息!$C:$C,盘货信息!$V:$V))</f>
        <v/>
      </c>
      <c r="O158" s="27" t="str" cm="1">
        <f t="array" ref="O158">IF(_xlfn.XLOOKUP($A158&amp;$B158&amp;$C158,盘货信息!$A:$A&amp;盘货信息!$B:$B&amp;盘货信息!$C:$C,盘货信息!$W:$W)="","","【"&amp;盘货信息!$W$1&amp;"】"&amp;_xlfn.XLOOKUP($A158&amp;$B158&amp;$C158,盘货信息!$A:$A&amp;盘货信息!$B:$B&amp;盘货信息!$C:$C,盘货信息!$W:$W))</f>
        <v/>
      </c>
      <c r="P158" s="27" t="str" cm="1">
        <f t="array" ref="P158">IF(_xlfn.XLOOKUP($A158&amp;$B158&amp;$C158,盘货信息!$A:$A&amp;盘货信息!$B:$B&amp;盘货信息!$C:$C,盘货信息!$S:$S)&lt;1,"","【"&amp;盘货信息!$S$1&amp;"】"&amp;"后返"&amp;_xlfn.XLOOKUP($A158&amp;$B158&amp;$C158,盘货信息!$A:$A&amp;盘货信息!$B:$B&amp;盘货信息!$C:$C,盘货信息!$S:$S)&amp;"元")</f>
        <v/>
      </c>
      <c r="Q158" s="27" t="str" cm="1">
        <f t="array" ref="Q158">IF(_xlfn.XLOOKUP($A158&amp;$B158&amp;$C158,盘货信息!$A:$A&amp;盘货信息!$B:$B&amp;盘货信息!$C:$C,盘货信息!$X:$X)="","","【"&amp;盘货信息!$X$1&amp;"】"&amp;_xlfn.XLOOKUP($A158&amp;$B158&amp;$C158,盘货信息!$A:$A&amp;盘货信息!$B:$B&amp;盘货信息!$C:$C,盘货信息!$X:$X))</f>
        <v/>
      </c>
      <c r="R158" s="27" t="str" cm="1">
        <f t="array" ref="R158">IF(_xlfn.XLOOKUP($A158&amp;$B158&amp;$C158,盘货信息!$A:$A&amp;盘货信息!$B:$B&amp;盘货信息!$C:$C,盘货信息!$Z:$Z)="","","【"&amp;盘货信息!$Z$1&amp;"】"&amp;_xlfn.XLOOKUP($A158&amp;$B158&amp;$C158,盘货信息!$A:$A&amp;盘货信息!$B:$B&amp;盘货信息!$C:$C,盘货信息!$Z:$Z))</f>
        <v/>
      </c>
      <c r="S158" s="27" t="str" cm="1">
        <f t="array" ref="S158">IF(_xlfn.XLOOKUP($A158&amp;$B158&amp;$C158,盘货信息!$A:$A&amp;盘货信息!$B:$B&amp;盘货信息!$C:$C,盘货信息!$Q:$Q)="","","【种草】站外带指定话题种草后返"&amp;_xlfn.XLOOKUP($A158&amp;$B158&amp;$C158,盘货信息!$A:$A&amp;盘货信息!$B:$B&amp;盘货信息!$C:$C,盘货信息!$Q:$Q)&amp;"元红包（每个淘宝账号仅限对应一个站外种草账号，同一个种草账号不可对应多个淘宝账号）")</f>
        <v/>
      </c>
      <c r="T158" s="27" t="str" cm="1">
        <f t="array" ref="T158">IF(_xlfn.XLOOKUP($A158&amp;$B158&amp;$C158,盘货信息!$A:$A&amp;盘货信息!$B:$B&amp;盘货信息!$C:$C,盘货信息!$R:$R)&lt;1,"","【以旧换新】"&amp;"享补贴"&amp;ROUND(_xlfn.XLOOKUP($A158&amp;$B158&amp;$C158,盘货信息!$A:$A&amp;盘货信息!$B:$B&amp;盘货信息!$C:$C,盘货信息!$R:$R),0)&amp;"元（可无旧机换新）")</f>
        <v/>
      </c>
      <c r="U158" s="27" t="str">
        <f>IF(AND($N158="",$O158="",$P158="",$Q158="",$R158="",$S158="",$T158=""),"",固定信息!$B$1)</f>
        <v/>
      </c>
      <c r="V158" s="27" t="str" cm="1">
        <f t="array" ref="V158">IF(_xlfn.XLOOKUP($A158&amp;$B158&amp;$C158,盘货信息!$A:$A&amp;盘货信息!$B:$B&amp;盘货信息!$C:$C,盘货信息!$Y:$Y)="","","【卡萨帝送赠】活动指定时间"&amp;_xlfn.TEXTBEFORE(_xlfn.TEXTAFTER(_xlfn.XLOOKUP($A158&amp;$B158&amp;$C158,盘货信息!$A:$A&amp;盘货信息!$B:$B&amp;盘货信息!$C:$C,盘货信息!$Y:$Y),"点"),"（"))</f>
        <v/>
      </c>
      <c r="W158" s="27" t="str" cm="1">
        <f t="array" ref="W158">IF(COUNTIF(_xlfn.XLOOKUP($A158&amp;$B158&amp;$C158,盘货信息!$A:$A&amp;盘货信息!$B:$B&amp;盘货信息!$C:$C,盘货信息!$O:$O),"*是*"),"【折扣】指定型号满2类享96折，满3类享94折","")</f>
        <v/>
      </c>
      <c r="X158" s="27" t="str" cm="1">
        <f t="array" ref="X158">IF(固定信息!$B$7="","",IF(_xlfn.XLOOKUP($A158&amp;$B158&amp;$C158,盘货信息!$A:$A&amp;盘货信息!$B:$B&amp;盘货信息!$C:$C,盘货信息!$N:$N)="是","【瓜分】"&amp;固定信息!$B$7,""))</f>
        <v/>
      </c>
      <c r="Y158" s="27" t="str">
        <f>IF(AND($V158="",$W158="",$X158=""),"",固定信息!$B$1)</f>
        <v/>
      </c>
      <c r="Z158" s="27" t="str" cm="1">
        <f t="array" ref="Z158">IF($C158="","",_xlfn.XLOOKUP($A158&amp;$B158&amp;$C158,服务!$A:$A&amp;服务!$B:$B&amp;服务!$C:$C,服务!$D:$D))</f>
        <v/>
      </c>
    </row>
    <row r="159" customHeight="1" spans="1:26">
      <c r="A159" s="23" t="str">
        <f>IF(盘货信息!A159="","",盘货信息!A159)</f>
        <v/>
      </c>
      <c r="B159" s="26" t="str">
        <f>IF(盘货信息!B159="","",盘货信息!B159)</f>
        <v/>
      </c>
      <c r="C159" s="23" t="str">
        <f>IF(盘货信息!C159="","",盘货信息!C159)</f>
        <v/>
      </c>
      <c r="D159" s="27" t="str">
        <f ca="1" t="shared" si="2"/>
        <v/>
      </c>
      <c r="E159" s="27" t="str">
        <f>IF(C159="","",固定信息!$B$2)</f>
        <v/>
      </c>
      <c r="F159" s="27" t="str">
        <f>IF(C159="","","【"&amp;C159&amp;"】"&amp;固定信息!$B$4)</f>
        <v/>
      </c>
      <c r="G159" s="27" t="str">
        <f>IF(C159="","","【"&amp;"活动时间："&amp;固定信息!$B$3&amp;"】")</f>
        <v/>
      </c>
      <c r="H159" s="27" t="str">
        <f>IF($C159="","",固定信息!$B$1)</f>
        <v/>
      </c>
      <c r="I159" s="27" t="str">
        <f>IF(OR(C159="",固定信息!$B$5=""),"","【1元预约锁好礼】"&amp;固定信息!$B$5)</f>
        <v/>
      </c>
      <c r="J159" s="27" t="str" cm="1">
        <f t="array" ref="J159">_xlfn.XLOOKUP($A159&amp;$B159&amp;$C159,价格信息!$A:$A&amp;价格信息!$B:$B&amp;价格信息!$C:$C,价格信息!$D:$D)</f>
        <v/>
      </c>
      <c r="K159" s="27" t="str">
        <f>IF($C159="","",固定信息!$B$1)</f>
        <v/>
      </c>
      <c r="L159" s="27" t="str" cm="1">
        <f t="array" ref="L159">IF(_xlfn.XLOOKUP($A159&amp;$B159&amp;$C159,盘货信息!$A:$A&amp;盘货信息!$B:$B&amp;盘货信息!$C:$C,盘货信息!$T:$T)="","","【优惠券】领"&amp;_xlfn.XLOOKUP($A159&amp;$B159&amp;$C159,盘货信息!$A:$A&amp;盘货信息!$B:$B&amp;盘货信息!$C:$C,盘货信息!$T:$T)&amp;"元优惠卷下单更优惠，领券链接："&amp;_xlfn.XLOOKUP($A159&amp;$B159&amp;$C159,盘货信息!$A:$A&amp;盘货信息!$B:$B&amp;盘货信息!$C:$C,盘货信息!$U:$U))</f>
        <v/>
      </c>
      <c r="M159" s="27" t="str" cm="1">
        <f t="array" ref="M159">IF(_xlfn.XLOOKUP($A159&amp;$B159&amp;$C159,盘货信息!$A:$A&amp;盘货信息!$B:$B&amp;盘货信息!$C:$C,盘货信息!$P:$P)="","","【限时】"&amp;_xlfn.XLOOKUP($A159&amp;$B159&amp;$C159,盘货信息!$A:$A&amp;盘货信息!$B:$B&amp;盘货信息!$C:$C,盘货信息!$P:$P))</f>
        <v/>
      </c>
      <c r="N159" s="27" t="str" cm="1">
        <f t="array" ref="N159">IF(_xlfn.XLOOKUP($A159&amp;$B159&amp;$C159,盘货信息!$A:$A&amp;盘货信息!$B:$B&amp;盘货信息!$C:$C,盘货信息!$V:$V)="","","【"&amp;盘货信息!$V$1&amp;"】"&amp;_xlfn.XLOOKUP($A159&amp;$B159&amp;$C159,盘货信息!$A:$A&amp;盘货信息!$B:$B&amp;盘货信息!$C:$C,盘货信息!$V:$V))</f>
        <v/>
      </c>
      <c r="O159" s="27" t="str" cm="1">
        <f t="array" ref="O159">IF(_xlfn.XLOOKUP($A159&amp;$B159&amp;$C159,盘货信息!$A:$A&amp;盘货信息!$B:$B&amp;盘货信息!$C:$C,盘货信息!$W:$W)="","","【"&amp;盘货信息!$W$1&amp;"】"&amp;_xlfn.XLOOKUP($A159&amp;$B159&amp;$C159,盘货信息!$A:$A&amp;盘货信息!$B:$B&amp;盘货信息!$C:$C,盘货信息!$W:$W))</f>
        <v/>
      </c>
      <c r="P159" s="27" t="str" cm="1">
        <f t="array" ref="P159">IF(_xlfn.XLOOKUP($A159&amp;$B159&amp;$C159,盘货信息!$A:$A&amp;盘货信息!$B:$B&amp;盘货信息!$C:$C,盘货信息!$S:$S)&lt;1,"","【"&amp;盘货信息!$S$1&amp;"】"&amp;"后返"&amp;_xlfn.XLOOKUP($A159&amp;$B159&amp;$C159,盘货信息!$A:$A&amp;盘货信息!$B:$B&amp;盘货信息!$C:$C,盘货信息!$S:$S)&amp;"元")</f>
        <v/>
      </c>
      <c r="Q159" s="27" t="str" cm="1">
        <f t="array" ref="Q159">IF(_xlfn.XLOOKUP($A159&amp;$B159&amp;$C159,盘货信息!$A:$A&amp;盘货信息!$B:$B&amp;盘货信息!$C:$C,盘货信息!$X:$X)="","","【"&amp;盘货信息!$X$1&amp;"】"&amp;_xlfn.XLOOKUP($A159&amp;$B159&amp;$C159,盘货信息!$A:$A&amp;盘货信息!$B:$B&amp;盘货信息!$C:$C,盘货信息!$X:$X))</f>
        <v/>
      </c>
      <c r="R159" s="27" t="str" cm="1">
        <f t="array" ref="R159">IF(_xlfn.XLOOKUP($A159&amp;$B159&amp;$C159,盘货信息!$A:$A&amp;盘货信息!$B:$B&amp;盘货信息!$C:$C,盘货信息!$Z:$Z)="","","【"&amp;盘货信息!$Z$1&amp;"】"&amp;_xlfn.XLOOKUP($A159&amp;$B159&amp;$C159,盘货信息!$A:$A&amp;盘货信息!$B:$B&amp;盘货信息!$C:$C,盘货信息!$Z:$Z))</f>
        <v/>
      </c>
      <c r="S159" s="27" t="str" cm="1">
        <f t="array" ref="S159">IF(_xlfn.XLOOKUP($A159&amp;$B159&amp;$C159,盘货信息!$A:$A&amp;盘货信息!$B:$B&amp;盘货信息!$C:$C,盘货信息!$Q:$Q)="","","【种草】站外带指定话题种草后返"&amp;_xlfn.XLOOKUP($A159&amp;$B159&amp;$C159,盘货信息!$A:$A&amp;盘货信息!$B:$B&amp;盘货信息!$C:$C,盘货信息!$Q:$Q)&amp;"元红包（每个淘宝账号仅限对应一个站外种草账号，同一个种草账号不可对应多个淘宝账号）")</f>
        <v/>
      </c>
      <c r="T159" s="27" t="str" cm="1">
        <f t="array" ref="T159">IF(_xlfn.XLOOKUP($A159&amp;$B159&amp;$C159,盘货信息!$A:$A&amp;盘货信息!$B:$B&amp;盘货信息!$C:$C,盘货信息!$R:$R)&lt;1,"","【以旧换新】"&amp;"享补贴"&amp;ROUND(_xlfn.XLOOKUP($A159&amp;$B159&amp;$C159,盘货信息!$A:$A&amp;盘货信息!$B:$B&amp;盘货信息!$C:$C,盘货信息!$R:$R),0)&amp;"元（可无旧机换新）")</f>
        <v/>
      </c>
      <c r="U159" s="27" t="str">
        <f>IF(AND($N159="",$O159="",$P159="",$Q159="",$R159="",$S159="",$T159=""),"",固定信息!$B$1)</f>
        <v/>
      </c>
      <c r="V159" s="27" t="str" cm="1">
        <f t="array" ref="V159">IF(_xlfn.XLOOKUP($A159&amp;$B159&amp;$C159,盘货信息!$A:$A&amp;盘货信息!$B:$B&amp;盘货信息!$C:$C,盘货信息!$Y:$Y)="","","【卡萨帝送赠】活动指定时间"&amp;_xlfn.TEXTBEFORE(_xlfn.TEXTAFTER(_xlfn.XLOOKUP($A159&amp;$B159&amp;$C159,盘货信息!$A:$A&amp;盘货信息!$B:$B&amp;盘货信息!$C:$C,盘货信息!$Y:$Y),"点"),"（"))</f>
        <v/>
      </c>
      <c r="W159" s="27" t="str" cm="1">
        <f t="array" ref="W159">IF(COUNTIF(_xlfn.XLOOKUP($A159&amp;$B159&amp;$C159,盘货信息!$A:$A&amp;盘货信息!$B:$B&amp;盘货信息!$C:$C,盘货信息!$O:$O),"*是*"),"【折扣】指定型号满2类享96折，满3类享94折","")</f>
        <v/>
      </c>
      <c r="X159" s="27" t="str" cm="1">
        <f t="array" ref="X159">IF(固定信息!$B$7="","",IF(_xlfn.XLOOKUP($A159&amp;$B159&amp;$C159,盘货信息!$A:$A&amp;盘货信息!$B:$B&amp;盘货信息!$C:$C,盘货信息!$N:$N)="是","【瓜分】"&amp;固定信息!$B$7,""))</f>
        <v/>
      </c>
      <c r="Y159" s="27" t="str">
        <f>IF(AND($V159="",$W159="",$X159=""),"",固定信息!$B$1)</f>
        <v/>
      </c>
      <c r="Z159" s="27" t="str" cm="1">
        <f t="array" ref="Z159">IF($C159="","",_xlfn.XLOOKUP($A159&amp;$B159&amp;$C159,服务!$A:$A&amp;服务!$B:$B&amp;服务!$C:$C,服务!$D:$D))</f>
        <v/>
      </c>
    </row>
    <row r="160" customHeight="1" spans="1:26">
      <c r="A160" s="23" t="str">
        <f>IF(盘货信息!A160="","",盘货信息!A160)</f>
        <v/>
      </c>
      <c r="B160" s="26" t="str">
        <f>IF(盘货信息!B160="","",盘货信息!B160)</f>
        <v/>
      </c>
      <c r="C160" s="23" t="str">
        <f>IF(盘货信息!C160="","",盘货信息!C160)</f>
        <v/>
      </c>
      <c r="D160" s="27" t="str">
        <f ca="1" t="shared" si="2"/>
        <v/>
      </c>
      <c r="E160" s="27" t="str">
        <f>IF(C160="","",固定信息!$B$2)</f>
        <v/>
      </c>
      <c r="F160" s="27" t="str">
        <f>IF(C160="","","【"&amp;C160&amp;"】"&amp;固定信息!$B$4)</f>
        <v/>
      </c>
      <c r="G160" s="27" t="str">
        <f>IF(C160="","","【"&amp;"活动时间："&amp;固定信息!$B$3&amp;"】")</f>
        <v/>
      </c>
      <c r="H160" s="27" t="str">
        <f>IF($C160="","",固定信息!$B$1)</f>
        <v/>
      </c>
      <c r="I160" s="27" t="str">
        <f>IF(OR(C160="",固定信息!$B$5=""),"","【1元预约锁好礼】"&amp;固定信息!$B$5)</f>
        <v/>
      </c>
      <c r="J160" s="27" t="str" cm="1">
        <f t="array" ref="J160">_xlfn.XLOOKUP($A160&amp;$B160&amp;$C160,价格信息!$A:$A&amp;价格信息!$B:$B&amp;价格信息!$C:$C,价格信息!$D:$D)</f>
        <v/>
      </c>
      <c r="K160" s="27" t="str">
        <f>IF($C160="","",固定信息!$B$1)</f>
        <v/>
      </c>
      <c r="L160" s="27" t="str" cm="1">
        <f t="array" ref="L160">IF(_xlfn.XLOOKUP($A160&amp;$B160&amp;$C160,盘货信息!$A:$A&amp;盘货信息!$B:$B&amp;盘货信息!$C:$C,盘货信息!$T:$T)="","","【优惠券】领"&amp;_xlfn.XLOOKUP($A160&amp;$B160&amp;$C160,盘货信息!$A:$A&amp;盘货信息!$B:$B&amp;盘货信息!$C:$C,盘货信息!$T:$T)&amp;"元优惠卷下单更优惠，领券链接："&amp;_xlfn.XLOOKUP($A160&amp;$B160&amp;$C160,盘货信息!$A:$A&amp;盘货信息!$B:$B&amp;盘货信息!$C:$C,盘货信息!$U:$U))</f>
        <v/>
      </c>
      <c r="M160" s="27" t="str" cm="1">
        <f t="array" ref="M160">IF(_xlfn.XLOOKUP($A160&amp;$B160&amp;$C160,盘货信息!$A:$A&amp;盘货信息!$B:$B&amp;盘货信息!$C:$C,盘货信息!$P:$P)="","","【限时】"&amp;_xlfn.XLOOKUP($A160&amp;$B160&amp;$C160,盘货信息!$A:$A&amp;盘货信息!$B:$B&amp;盘货信息!$C:$C,盘货信息!$P:$P))</f>
        <v/>
      </c>
      <c r="N160" s="27" t="str" cm="1">
        <f t="array" ref="N160">IF(_xlfn.XLOOKUP($A160&amp;$B160&amp;$C160,盘货信息!$A:$A&amp;盘货信息!$B:$B&amp;盘货信息!$C:$C,盘货信息!$V:$V)="","","【"&amp;盘货信息!$V$1&amp;"】"&amp;_xlfn.XLOOKUP($A160&amp;$B160&amp;$C160,盘货信息!$A:$A&amp;盘货信息!$B:$B&amp;盘货信息!$C:$C,盘货信息!$V:$V))</f>
        <v/>
      </c>
      <c r="O160" s="27" t="str" cm="1">
        <f t="array" ref="O160">IF(_xlfn.XLOOKUP($A160&amp;$B160&amp;$C160,盘货信息!$A:$A&amp;盘货信息!$B:$B&amp;盘货信息!$C:$C,盘货信息!$W:$W)="","","【"&amp;盘货信息!$W$1&amp;"】"&amp;_xlfn.XLOOKUP($A160&amp;$B160&amp;$C160,盘货信息!$A:$A&amp;盘货信息!$B:$B&amp;盘货信息!$C:$C,盘货信息!$W:$W))</f>
        <v/>
      </c>
      <c r="P160" s="27" t="str" cm="1">
        <f t="array" ref="P160">IF(_xlfn.XLOOKUP($A160&amp;$B160&amp;$C160,盘货信息!$A:$A&amp;盘货信息!$B:$B&amp;盘货信息!$C:$C,盘货信息!$S:$S)&lt;1,"","【"&amp;盘货信息!$S$1&amp;"】"&amp;"后返"&amp;_xlfn.XLOOKUP($A160&amp;$B160&amp;$C160,盘货信息!$A:$A&amp;盘货信息!$B:$B&amp;盘货信息!$C:$C,盘货信息!$S:$S)&amp;"元")</f>
        <v/>
      </c>
      <c r="Q160" s="27" t="str" cm="1">
        <f t="array" ref="Q160">IF(_xlfn.XLOOKUP($A160&amp;$B160&amp;$C160,盘货信息!$A:$A&amp;盘货信息!$B:$B&amp;盘货信息!$C:$C,盘货信息!$X:$X)="","","【"&amp;盘货信息!$X$1&amp;"】"&amp;_xlfn.XLOOKUP($A160&amp;$B160&amp;$C160,盘货信息!$A:$A&amp;盘货信息!$B:$B&amp;盘货信息!$C:$C,盘货信息!$X:$X))</f>
        <v/>
      </c>
      <c r="R160" s="27" t="str" cm="1">
        <f t="array" ref="R160">IF(_xlfn.XLOOKUP($A160&amp;$B160&amp;$C160,盘货信息!$A:$A&amp;盘货信息!$B:$B&amp;盘货信息!$C:$C,盘货信息!$Z:$Z)="","","【"&amp;盘货信息!$Z$1&amp;"】"&amp;_xlfn.XLOOKUP($A160&amp;$B160&amp;$C160,盘货信息!$A:$A&amp;盘货信息!$B:$B&amp;盘货信息!$C:$C,盘货信息!$Z:$Z))</f>
        <v/>
      </c>
      <c r="S160" s="27" t="str" cm="1">
        <f t="array" ref="S160">IF(_xlfn.XLOOKUP($A160&amp;$B160&amp;$C160,盘货信息!$A:$A&amp;盘货信息!$B:$B&amp;盘货信息!$C:$C,盘货信息!$Q:$Q)="","","【种草】站外带指定话题种草后返"&amp;_xlfn.XLOOKUP($A160&amp;$B160&amp;$C160,盘货信息!$A:$A&amp;盘货信息!$B:$B&amp;盘货信息!$C:$C,盘货信息!$Q:$Q)&amp;"元红包（每个淘宝账号仅限对应一个站外种草账号，同一个种草账号不可对应多个淘宝账号）")</f>
        <v/>
      </c>
      <c r="T160" s="27" t="str" cm="1">
        <f t="array" ref="T160">IF(_xlfn.XLOOKUP($A160&amp;$B160&amp;$C160,盘货信息!$A:$A&amp;盘货信息!$B:$B&amp;盘货信息!$C:$C,盘货信息!$R:$R)&lt;1,"","【以旧换新】"&amp;"享补贴"&amp;ROUND(_xlfn.XLOOKUP($A160&amp;$B160&amp;$C160,盘货信息!$A:$A&amp;盘货信息!$B:$B&amp;盘货信息!$C:$C,盘货信息!$R:$R),0)&amp;"元（可无旧机换新）")</f>
        <v/>
      </c>
      <c r="U160" s="27" t="str">
        <f>IF(AND($N160="",$O160="",$P160="",$Q160="",$R160="",$S160="",$T160=""),"",固定信息!$B$1)</f>
        <v/>
      </c>
      <c r="V160" s="27" t="str" cm="1">
        <f t="array" ref="V160">IF(_xlfn.XLOOKUP($A160&amp;$B160&amp;$C160,盘货信息!$A:$A&amp;盘货信息!$B:$B&amp;盘货信息!$C:$C,盘货信息!$Y:$Y)="","","【卡萨帝送赠】活动指定时间"&amp;_xlfn.TEXTBEFORE(_xlfn.TEXTAFTER(_xlfn.XLOOKUP($A160&amp;$B160&amp;$C160,盘货信息!$A:$A&amp;盘货信息!$B:$B&amp;盘货信息!$C:$C,盘货信息!$Y:$Y),"点"),"（"))</f>
        <v/>
      </c>
      <c r="W160" s="27" t="str" cm="1">
        <f t="array" ref="W160">IF(COUNTIF(_xlfn.XLOOKUP($A160&amp;$B160&amp;$C160,盘货信息!$A:$A&amp;盘货信息!$B:$B&amp;盘货信息!$C:$C,盘货信息!$O:$O),"*是*"),"【折扣】指定型号满2类享96折，满3类享94折","")</f>
        <v/>
      </c>
      <c r="X160" s="27" t="str" cm="1">
        <f t="array" ref="X160">IF(固定信息!$B$7="","",IF(_xlfn.XLOOKUP($A160&amp;$B160&amp;$C160,盘货信息!$A:$A&amp;盘货信息!$B:$B&amp;盘货信息!$C:$C,盘货信息!$N:$N)="是","【瓜分】"&amp;固定信息!$B$7,""))</f>
        <v/>
      </c>
      <c r="Y160" s="27" t="str">
        <f>IF(AND($V160="",$W160="",$X160=""),"",固定信息!$B$1)</f>
        <v/>
      </c>
      <c r="Z160" s="27" t="str" cm="1">
        <f t="array" ref="Z160">IF($C160="","",_xlfn.XLOOKUP($A160&amp;$B160&amp;$C160,服务!$A:$A&amp;服务!$B:$B&amp;服务!$C:$C,服务!$D:$D))</f>
        <v/>
      </c>
    </row>
    <row r="161" customHeight="1" spans="1:26">
      <c r="A161" s="23" t="str">
        <f>IF(盘货信息!A161="","",盘货信息!A161)</f>
        <v/>
      </c>
      <c r="B161" s="26" t="str">
        <f>IF(盘货信息!B161="","",盘货信息!B161)</f>
        <v/>
      </c>
      <c r="C161" s="23" t="str">
        <f>IF(盘货信息!C161="","",盘货信息!C161)</f>
        <v/>
      </c>
      <c r="D161" s="27" t="str">
        <f ca="1" t="shared" si="2"/>
        <v/>
      </c>
      <c r="E161" s="27" t="str">
        <f>IF(C161="","",固定信息!$B$2)</f>
        <v/>
      </c>
      <c r="F161" s="27" t="str">
        <f>IF(C161="","","【"&amp;C161&amp;"】"&amp;固定信息!$B$4)</f>
        <v/>
      </c>
      <c r="G161" s="27" t="str">
        <f>IF(C161="","","【"&amp;"活动时间："&amp;固定信息!$B$3&amp;"】")</f>
        <v/>
      </c>
      <c r="H161" s="27" t="str">
        <f>IF($C161="","",固定信息!$B$1)</f>
        <v/>
      </c>
      <c r="I161" s="27" t="str">
        <f>IF(OR(C161="",固定信息!$B$5=""),"","【1元预约锁好礼】"&amp;固定信息!$B$5)</f>
        <v/>
      </c>
      <c r="J161" s="27" t="str" cm="1">
        <f t="array" ref="J161">_xlfn.XLOOKUP($A161&amp;$B161&amp;$C161,价格信息!$A:$A&amp;价格信息!$B:$B&amp;价格信息!$C:$C,价格信息!$D:$D)</f>
        <v/>
      </c>
      <c r="K161" s="27" t="str">
        <f>IF($C161="","",固定信息!$B$1)</f>
        <v/>
      </c>
      <c r="L161" s="27" t="str" cm="1">
        <f t="array" ref="L161">IF(_xlfn.XLOOKUP($A161&amp;$B161&amp;$C161,盘货信息!$A:$A&amp;盘货信息!$B:$B&amp;盘货信息!$C:$C,盘货信息!$T:$T)="","","【优惠券】领"&amp;_xlfn.XLOOKUP($A161&amp;$B161&amp;$C161,盘货信息!$A:$A&amp;盘货信息!$B:$B&amp;盘货信息!$C:$C,盘货信息!$T:$T)&amp;"元优惠卷下单更优惠，领券链接："&amp;_xlfn.XLOOKUP($A161&amp;$B161&amp;$C161,盘货信息!$A:$A&amp;盘货信息!$B:$B&amp;盘货信息!$C:$C,盘货信息!$U:$U))</f>
        <v/>
      </c>
      <c r="M161" s="27" t="str" cm="1">
        <f t="array" ref="M161">IF(_xlfn.XLOOKUP($A161&amp;$B161&amp;$C161,盘货信息!$A:$A&amp;盘货信息!$B:$B&amp;盘货信息!$C:$C,盘货信息!$P:$P)="","","【限时】"&amp;_xlfn.XLOOKUP($A161&amp;$B161&amp;$C161,盘货信息!$A:$A&amp;盘货信息!$B:$B&amp;盘货信息!$C:$C,盘货信息!$P:$P))</f>
        <v/>
      </c>
      <c r="N161" s="27" t="str" cm="1">
        <f t="array" ref="N161">IF(_xlfn.XLOOKUP($A161&amp;$B161&amp;$C161,盘货信息!$A:$A&amp;盘货信息!$B:$B&amp;盘货信息!$C:$C,盘货信息!$V:$V)="","","【"&amp;盘货信息!$V$1&amp;"】"&amp;_xlfn.XLOOKUP($A161&amp;$B161&amp;$C161,盘货信息!$A:$A&amp;盘货信息!$B:$B&amp;盘货信息!$C:$C,盘货信息!$V:$V))</f>
        <v/>
      </c>
      <c r="O161" s="27" t="str" cm="1">
        <f t="array" ref="O161">IF(_xlfn.XLOOKUP($A161&amp;$B161&amp;$C161,盘货信息!$A:$A&amp;盘货信息!$B:$B&amp;盘货信息!$C:$C,盘货信息!$W:$W)="","","【"&amp;盘货信息!$W$1&amp;"】"&amp;_xlfn.XLOOKUP($A161&amp;$B161&amp;$C161,盘货信息!$A:$A&amp;盘货信息!$B:$B&amp;盘货信息!$C:$C,盘货信息!$W:$W))</f>
        <v/>
      </c>
      <c r="P161" s="27" t="str" cm="1">
        <f t="array" ref="P161">IF(_xlfn.XLOOKUP($A161&amp;$B161&amp;$C161,盘货信息!$A:$A&amp;盘货信息!$B:$B&amp;盘货信息!$C:$C,盘货信息!$S:$S)&lt;1,"","【"&amp;盘货信息!$S$1&amp;"】"&amp;"后返"&amp;_xlfn.XLOOKUP($A161&amp;$B161&amp;$C161,盘货信息!$A:$A&amp;盘货信息!$B:$B&amp;盘货信息!$C:$C,盘货信息!$S:$S)&amp;"元")</f>
        <v/>
      </c>
      <c r="Q161" s="27" t="str" cm="1">
        <f t="array" ref="Q161">IF(_xlfn.XLOOKUP($A161&amp;$B161&amp;$C161,盘货信息!$A:$A&amp;盘货信息!$B:$B&amp;盘货信息!$C:$C,盘货信息!$X:$X)="","","【"&amp;盘货信息!$X$1&amp;"】"&amp;_xlfn.XLOOKUP($A161&amp;$B161&amp;$C161,盘货信息!$A:$A&amp;盘货信息!$B:$B&amp;盘货信息!$C:$C,盘货信息!$X:$X))</f>
        <v/>
      </c>
      <c r="R161" s="27" t="str" cm="1">
        <f t="array" ref="R161">IF(_xlfn.XLOOKUP($A161&amp;$B161&amp;$C161,盘货信息!$A:$A&amp;盘货信息!$B:$B&amp;盘货信息!$C:$C,盘货信息!$Z:$Z)="","","【"&amp;盘货信息!$Z$1&amp;"】"&amp;_xlfn.XLOOKUP($A161&amp;$B161&amp;$C161,盘货信息!$A:$A&amp;盘货信息!$B:$B&amp;盘货信息!$C:$C,盘货信息!$Z:$Z))</f>
        <v/>
      </c>
      <c r="S161" s="27" t="str" cm="1">
        <f t="array" ref="S161">IF(_xlfn.XLOOKUP($A161&amp;$B161&amp;$C161,盘货信息!$A:$A&amp;盘货信息!$B:$B&amp;盘货信息!$C:$C,盘货信息!$Q:$Q)="","","【种草】站外带指定话题种草后返"&amp;_xlfn.XLOOKUP($A161&amp;$B161&amp;$C161,盘货信息!$A:$A&amp;盘货信息!$B:$B&amp;盘货信息!$C:$C,盘货信息!$Q:$Q)&amp;"元红包（每个淘宝账号仅限对应一个站外种草账号，同一个种草账号不可对应多个淘宝账号）")</f>
        <v/>
      </c>
      <c r="T161" s="27" t="str" cm="1">
        <f t="array" ref="T161">IF(_xlfn.XLOOKUP($A161&amp;$B161&amp;$C161,盘货信息!$A:$A&amp;盘货信息!$B:$B&amp;盘货信息!$C:$C,盘货信息!$R:$R)&lt;1,"","【以旧换新】"&amp;"享补贴"&amp;ROUND(_xlfn.XLOOKUP($A161&amp;$B161&amp;$C161,盘货信息!$A:$A&amp;盘货信息!$B:$B&amp;盘货信息!$C:$C,盘货信息!$R:$R),0)&amp;"元（可无旧机换新）")</f>
        <v/>
      </c>
      <c r="U161" s="27" t="str">
        <f>IF(AND($N161="",$O161="",$P161="",$Q161="",$R161="",$S161="",$T161=""),"",固定信息!$B$1)</f>
        <v/>
      </c>
      <c r="V161" s="27" t="str" cm="1">
        <f t="array" ref="V161">IF(_xlfn.XLOOKUP($A161&amp;$B161&amp;$C161,盘货信息!$A:$A&amp;盘货信息!$B:$B&amp;盘货信息!$C:$C,盘货信息!$Y:$Y)="","","【卡萨帝送赠】活动指定时间"&amp;_xlfn.TEXTBEFORE(_xlfn.TEXTAFTER(_xlfn.XLOOKUP($A161&amp;$B161&amp;$C161,盘货信息!$A:$A&amp;盘货信息!$B:$B&amp;盘货信息!$C:$C,盘货信息!$Y:$Y),"点"),"（"))</f>
        <v/>
      </c>
      <c r="W161" s="27" t="str" cm="1">
        <f t="array" ref="W161">IF(COUNTIF(_xlfn.XLOOKUP($A161&amp;$B161&amp;$C161,盘货信息!$A:$A&amp;盘货信息!$B:$B&amp;盘货信息!$C:$C,盘货信息!$O:$O),"*是*"),"【折扣】指定型号满2类享96折，满3类享94折","")</f>
        <v/>
      </c>
      <c r="X161" s="27" t="str" cm="1">
        <f t="array" ref="X161">IF(固定信息!$B$7="","",IF(_xlfn.XLOOKUP($A161&amp;$B161&amp;$C161,盘货信息!$A:$A&amp;盘货信息!$B:$B&amp;盘货信息!$C:$C,盘货信息!$N:$N)="是","【瓜分】"&amp;固定信息!$B$7,""))</f>
        <v/>
      </c>
      <c r="Y161" s="27" t="str">
        <f>IF(AND($V161="",$W161="",$X161=""),"",固定信息!$B$1)</f>
        <v/>
      </c>
      <c r="Z161" s="27" t="str" cm="1">
        <f t="array" ref="Z161">IF($C161="","",_xlfn.XLOOKUP($A161&amp;$B161&amp;$C161,服务!$A:$A&amp;服务!$B:$B&amp;服务!$C:$C,服务!$D:$D))</f>
        <v/>
      </c>
    </row>
    <row r="162" customHeight="1" spans="1:26">
      <c r="A162" s="23" t="str">
        <f>IF(盘货信息!A162="","",盘货信息!A162)</f>
        <v/>
      </c>
      <c r="B162" s="26" t="str">
        <f>IF(盘货信息!B162="","",盘货信息!B162)</f>
        <v/>
      </c>
      <c r="C162" s="23" t="str">
        <f>IF(盘货信息!C162="","",盘货信息!C162)</f>
        <v/>
      </c>
      <c r="D162" s="27" t="str">
        <f ca="1" t="shared" si="2"/>
        <v/>
      </c>
      <c r="E162" s="27" t="str">
        <f>IF(C162="","",固定信息!$B$2)</f>
        <v/>
      </c>
      <c r="F162" s="27" t="str">
        <f>IF(C162="","","【"&amp;C162&amp;"】"&amp;固定信息!$B$4)</f>
        <v/>
      </c>
      <c r="G162" s="27" t="str">
        <f>IF(C162="","","【"&amp;"活动时间："&amp;固定信息!$B$3&amp;"】")</f>
        <v/>
      </c>
      <c r="H162" s="27" t="str">
        <f>IF($C162="","",固定信息!$B$1)</f>
        <v/>
      </c>
      <c r="I162" s="27" t="str">
        <f>IF(OR(C162="",固定信息!$B$5=""),"","【1元预约锁好礼】"&amp;固定信息!$B$5)</f>
        <v/>
      </c>
      <c r="J162" s="27" t="str" cm="1">
        <f t="array" ref="J162">_xlfn.XLOOKUP($A162&amp;$B162&amp;$C162,价格信息!$A:$A&amp;价格信息!$B:$B&amp;价格信息!$C:$C,价格信息!$D:$D)</f>
        <v/>
      </c>
      <c r="K162" s="27" t="str">
        <f>IF($C162="","",固定信息!$B$1)</f>
        <v/>
      </c>
      <c r="L162" s="27" t="str" cm="1">
        <f t="array" ref="L162">IF(_xlfn.XLOOKUP($A162&amp;$B162&amp;$C162,盘货信息!$A:$A&amp;盘货信息!$B:$B&amp;盘货信息!$C:$C,盘货信息!$T:$T)="","","【优惠券】领"&amp;_xlfn.XLOOKUP($A162&amp;$B162&amp;$C162,盘货信息!$A:$A&amp;盘货信息!$B:$B&amp;盘货信息!$C:$C,盘货信息!$T:$T)&amp;"元优惠卷下单更优惠，领券链接："&amp;_xlfn.XLOOKUP($A162&amp;$B162&amp;$C162,盘货信息!$A:$A&amp;盘货信息!$B:$B&amp;盘货信息!$C:$C,盘货信息!$U:$U))</f>
        <v/>
      </c>
      <c r="M162" s="27" t="str" cm="1">
        <f t="array" ref="M162">IF(_xlfn.XLOOKUP($A162&amp;$B162&amp;$C162,盘货信息!$A:$A&amp;盘货信息!$B:$B&amp;盘货信息!$C:$C,盘货信息!$P:$P)="","","【限时】"&amp;_xlfn.XLOOKUP($A162&amp;$B162&amp;$C162,盘货信息!$A:$A&amp;盘货信息!$B:$B&amp;盘货信息!$C:$C,盘货信息!$P:$P))</f>
        <v/>
      </c>
      <c r="N162" s="27" t="str" cm="1">
        <f t="array" ref="N162">IF(_xlfn.XLOOKUP($A162&amp;$B162&amp;$C162,盘货信息!$A:$A&amp;盘货信息!$B:$B&amp;盘货信息!$C:$C,盘货信息!$V:$V)="","","【"&amp;盘货信息!$V$1&amp;"】"&amp;_xlfn.XLOOKUP($A162&amp;$B162&amp;$C162,盘货信息!$A:$A&amp;盘货信息!$B:$B&amp;盘货信息!$C:$C,盘货信息!$V:$V))</f>
        <v/>
      </c>
      <c r="O162" s="27" t="str" cm="1">
        <f t="array" ref="O162">IF(_xlfn.XLOOKUP($A162&amp;$B162&amp;$C162,盘货信息!$A:$A&amp;盘货信息!$B:$B&amp;盘货信息!$C:$C,盘货信息!$W:$W)="","","【"&amp;盘货信息!$W$1&amp;"】"&amp;_xlfn.XLOOKUP($A162&amp;$B162&amp;$C162,盘货信息!$A:$A&amp;盘货信息!$B:$B&amp;盘货信息!$C:$C,盘货信息!$W:$W))</f>
        <v/>
      </c>
      <c r="P162" s="27" t="str" cm="1">
        <f t="array" ref="P162">IF(_xlfn.XLOOKUP($A162&amp;$B162&amp;$C162,盘货信息!$A:$A&amp;盘货信息!$B:$B&amp;盘货信息!$C:$C,盘货信息!$S:$S)&lt;1,"","【"&amp;盘货信息!$S$1&amp;"】"&amp;"后返"&amp;_xlfn.XLOOKUP($A162&amp;$B162&amp;$C162,盘货信息!$A:$A&amp;盘货信息!$B:$B&amp;盘货信息!$C:$C,盘货信息!$S:$S)&amp;"元")</f>
        <v/>
      </c>
      <c r="Q162" s="27" t="str" cm="1">
        <f t="array" ref="Q162">IF(_xlfn.XLOOKUP($A162&amp;$B162&amp;$C162,盘货信息!$A:$A&amp;盘货信息!$B:$B&amp;盘货信息!$C:$C,盘货信息!$X:$X)="","","【"&amp;盘货信息!$X$1&amp;"】"&amp;_xlfn.XLOOKUP($A162&amp;$B162&amp;$C162,盘货信息!$A:$A&amp;盘货信息!$B:$B&amp;盘货信息!$C:$C,盘货信息!$X:$X))</f>
        <v/>
      </c>
      <c r="R162" s="27" t="str" cm="1">
        <f t="array" ref="R162">IF(_xlfn.XLOOKUP($A162&amp;$B162&amp;$C162,盘货信息!$A:$A&amp;盘货信息!$B:$B&amp;盘货信息!$C:$C,盘货信息!$Z:$Z)="","","【"&amp;盘货信息!$Z$1&amp;"】"&amp;_xlfn.XLOOKUP($A162&amp;$B162&amp;$C162,盘货信息!$A:$A&amp;盘货信息!$B:$B&amp;盘货信息!$C:$C,盘货信息!$Z:$Z))</f>
        <v/>
      </c>
      <c r="S162" s="27" t="str" cm="1">
        <f t="array" ref="S162">IF(_xlfn.XLOOKUP($A162&amp;$B162&amp;$C162,盘货信息!$A:$A&amp;盘货信息!$B:$B&amp;盘货信息!$C:$C,盘货信息!$Q:$Q)="","","【种草】站外带指定话题种草后返"&amp;_xlfn.XLOOKUP($A162&amp;$B162&amp;$C162,盘货信息!$A:$A&amp;盘货信息!$B:$B&amp;盘货信息!$C:$C,盘货信息!$Q:$Q)&amp;"元红包（每个淘宝账号仅限对应一个站外种草账号，同一个种草账号不可对应多个淘宝账号）")</f>
        <v/>
      </c>
      <c r="T162" s="27" t="str" cm="1">
        <f t="array" ref="T162">IF(_xlfn.XLOOKUP($A162&amp;$B162&amp;$C162,盘货信息!$A:$A&amp;盘货信息!$B:$B&amp;盘货信息!$C:$C,盘货信息!$R:$R)&lt;1,"","【以旧换新】"&amp;"享补贴"&amp;ROUND(_xlfn.XLOOKUP($A162&amp;$B162&amp;$C162,盘货信息!$A:$A&amp;盘货信息!$B:$B&amp;盘货信息!$C:$C,盘货信息!$R:$R),0)&amp;"元（可无旧机换新）")</f>
        <v/>
      </c>
      <c r="U162" s="27" t="str">
        <f>IF(AND($N162="",$O162="",$P162="",$Q162="",$R162="",$S162="",$T162=""),"",固定信息!$B$1)</f>
        <v/>
      </c>
      <c r="V162" s="27" t="str" cm="1">
        <f t="array" ref="V162">IF(_xlfn.XLOOKUP($A162&amp;$B162&amp;$C162,盘货信息!$A:$A&amp;盘货信息!$B:$B&amp;盘货信息!$C:$C,盘货信息!$Y:$Y)="","","【卡萨帝送赠】活动指定时间"&amp;_xlfn.TEXTBEFORE(_xlfn.TEXTAFTER(_xlfn.XLOOKUP($A162&amp;$B162&amp;$C162,盘货信息!$A:$A&amp;盘货信息!$B:$B&amp;盘货信息!$C:$C,盘货信息!$Y:$Y),"点"),"（"))</f>
        <v/>
      </c>
      <c r="W162" s="27" t="str" cm="1">
        <f t="array" ref="W162">IF(COUNTIF(_xlfn.XLOOKUP($A162&amp;$B162&amp;$C162,盘货信息!$A:$A&amp;盘货信息!$B:$B&amp;盘货信息!$C:$C,盘货信息!$O:$O),"*是*"),"【折扣】指定型号满2类享96折，满3类享94折","")</f>
        <v/>
      </c>
      <c r="X162" s="27" t="str" cm="1">
        <f t="array" ref="X162">IF(固定信息!$B$7="","",IF(_xlfn.XLOOKUP($A162&amp;$B162&amp;$C162,盘货信息!$A:$A&amp;盘货信息!$B:$B&amp;盘货信息!$C:$C,盘货信息!$N:$N)="是","【瓜分】"&amp;固定信息!$B$7,""))</f>
        <v/>
      </c>
      <c r="Y162" s="27" t="str">
        <f>IF(AND($V162="",$W162="",$X162=""),"",固定信息!$B$1)</f>
        <v/>
      </c>
      <c r="Z162" s="27" t="str" cm="1">
        <f t="array" ref="Z162">IF($C162="","",_xlfn.XLOOKUP($A162&amp;$B162&amp;$C162,服务!$A:$A&amp;服务!$B:$B&amp;服务!$C:$C,服务!$D:$D))</f>
        <v/>
      </c>
    </row>
    <row r="163" customHeight="1" spans="1:26">
      <c r="A163" s="23" t="str">
        <f>IF(盘货信息!A163="","",盘货信息!A163)</f>
        <v/>
      </c>
      <c r="B163" s="26" t="str">
        <f>IF(盘货信息!B163="","",盘货信息!B163)</f>
        <v/>
      </c>
      <c r="C163" s="23" t="str">
        <f>IF(盘货信息!C163="","",盘货信息!C163)</f>
        <v/>
      </c>
      <c r="D163" s="27" t="str">
        <f ca="1" t="shared" si="2"/>
        <v/>
      </c>
      <c r="E163" s="27" t="str">
        <f>IF(C163="","",固定信息!$B$2)</f>
        <v/>
      </c>
      <c r="F163" s="27" t="str">
        <f>IF(C163="","","【"&amp;C163&amp;"】"&amp;固定信息!$B$4)</f>
        <v/>
      </c>
      <c r="G163" s="27" t="str">
        <f>IF(C163="","","【"&amp;"活动时间："&amp;固定信息!$B$3&amp;"】")</f>
        <v/>
      </c>
      <c r="H163" s="27" t="str">
        <f>IF($C163="","",固定信息!$B$1)</f>
        <v/>
      </c>
      <c r="I163" s="27" t="str">
        <f>IF(OR(C163="",固定信息!$B$5=""),"","【1元预约锁好礼】"&amp;固定信息!$B$5)</f>
        <v/>
      </c>
      <c r="J163" s="27" t="str" cm="1">
        <f t="array" ref="J163">_xlfn.XLOOKUP($A163&amp;$B163&amp;$C163,价格信息!$A:$A&amp;价格信息!$B:$B&amp;价格信息!$C:$C,价格信息!$D:$D)</f>
        <v/>
      </c>
      <c r="K163" s="27" t="str">
        <f>IF($C163="","",固定信息!$B$1)</f>
        <v/>
      </c>
      <c r="L163" s="27" t="str" cm="1">
        <f t="array" ref="L163">IF(_xlfn.XLOOKUP($A163&amp;$B163&amp;$C163,盘货信息!$A:$A&amp;盘货信息!$B:$B&amp;盘货信息!$C:$C,盘货信息!$T:$T)="","","【优惠券】领"&amp;_xlfn.XLOOKUP($A163&amp;$B163&amp;$C163,盘货信息!$A:$A&amp;盘货信息!$B:$B&amp;盘货信息!$C:$C,盘货信息!$T:$T)&amp;"元优惠卷下单更优惠，领券链接："&amp;_xlfn.XLOOKUP($A163&amp;$B163&amp;$C163,盘货信息!$A:$A&amp;盘货信息!$B:$B&amp;盘货信息!$C:$C,盘货信息!$U:$U))</f>
        <v/>
      </c>
      <c r="M163" s="27" t="str" cm="1">
        <f t="array" ref="M163">IF(_xlfn.XLOOKUP($A163&amp;$B163&amp;$C163,盘货信息!$A:$A&amp;盘货信息!$B:$B&amp;盘货信息!$C:$C,盘货信息!$P:$P)="","","【限时】"&amp;_xlfn.XLOOKUP($A163&amp;$B163&amp;$C163,盘货信息!$A:$A&amp;盘货信息!$B:$B&amp;盘货信息!$C:$C,盘货信息!$P:$P))</f>
        <v/>
      </c>
      <c r="N163" s="27" t="str" cm="1">
        <f t="array" ref="N163">IF(_xlfn.XLOOKUP($A163&amp;$B163&amp;$C163,盘货信息!$A:$A&amp;盘货信息!$B:$B&amp;盘货信息!$C:$C,盘货信息!$V:$V)="","","【"&amp;盘货信息!$V$1&amp;"】"&amp;_xlfn.XLOOKUP($A163&amp;$B163&amp;$C163,盘货信息!$A:$A&amp;盘货信息!$B:$B&amp;盘货信息!$C:$C,盘货信息!$V:$V))</f>
        <v/>
      </c>
      <c r="O163" s="27" t="str" cm="1">
        <f t="array" ref="O163">IF(_xlfn.XLOOKUP($A163&amp;$B163&amp;$C163,盘货信息!$A:$A&amp;盘货信息!$B:$B&amp;盘货信息!$C:$C,盘货信息!$W:$W)="","","【"&amp;盘货信息!$W$1&amp;"】"&amp;_xlfn.XLOOKUP($A163&amp;$B163&amp;$C163,盘货信息!$A:$A&amp;盘货信息!$B:$B&amp;盘货信息!$C:$C,盘货信息!$W:$W))</f>
        <v/>
      </c>
      <c r="P163" s="27" t="str" cm="1">
        <f t="array" ref="P163">IF(_xlfn.XLOOKUP($A163&amp;$B163&amp;$C163,盘货信息!$A:$A&amp;盘货信息!$B:$B&amp;盘货信息!$C:$C,盘货信息!$S:$S)&lt;1,"","【"&amp;盘货信息!$S$1&amp;"】"&amp;"后返"&amp;_xlfn.XLOOKUP($A163&amp;$B163&amp;$C163,盘货信息!$A:$A&amp;盘货信息!$B:$B&amp;盘货信息!$C:$C,盘货信息!$S:$S)&amp;"元")</f>
        <v/>
      </c>
      <c r="Q163" s="27" t="str" cm="1">
        <f t="array" ref="Q163">IF(_xlfn.XLOOKUP($A163&amp;$B163&amp;$C163,盘货信息!$A:$A&amp;盘货信息!$B:$B&amp;盘货信息!$C:$C,盘货信息!$X:$X)="","","【"&amp;盘货信息!$X$1&amp;"】"&amp;_xlfn.XLOOKUP($A163&amp;$B163&amp;$C163,盘货信息!$A:$A&amp;盘货信息!$B:$B&amp;盘货信息!$C:$C,盘货信息!$X:$X))</f>
        <v/>
      </c>
      <c r="R163" s="27" t="str" cm="1">
        <f t="array" ref="R163">IF(_xlfn.XLOOKUP($A163&amp;$B163&amp;$C163,盘货信息!$A:$A&amp;盘货信息!$B:$B&amp;盘货信息!$C:$C,盘货信息!$Z:$Z)="","","【"&amp;盘货信息!$Z$1&amp;"】"&amp;_xlfn.XLOOKUP($A163&amp;$B163&amp;$C163,盘货信息!$A:$A&amp;盘货信息!$B:$B&amp;盘货信息!$C:$C,盘货信息!$Z:$Z))</f>
        <v/>
      </c>
      <c r="S163" s="27" t="str" cm="1">
        <f t="array" ref="S163">IF(_xlfn.XLOOKUP($A163&amp;$B163&amp;$C163,盘货信息!$A:$A&amp;盘货信息!$B:$B&amp;盘货信息!$C:$C,盘货信息!$Q:$Q)="","","【种草】站外带指定话题种草后返"&amp;_xlfn.XLOOKUP($A163&amp;$B163&amp;$C163,盘货信息!$A:$A&amp;盘货信息!$B:$B&amp;盘货信息!$C:$C,盘货信息!$Q:$Q)&amp;"元红包（每个淘宝账号仅限对应一个站外种草账号，同一个种草账号不可对应多个淘宝账号）")</f>
        <v/>
      </c>
      <c r="T163" s="27" t="str" cm="1">
        <f t="array" ref="T163">IF(_xlfn.XLOOKUP($A163&amp;$B163&amp;$C163,盘货信息!$A:$A&amp;盘货信息!$B:$B&amp;盘货信息!$C:$C,盘货信息!$R:$R)&lt;1,"","【以旧换新】"&amp;"享补贴"&amp;ROUND(_xlfn.XLOOKUP($A163&amp;$B163&amp;$C163,盘货信息!$A:$A&amp;盘货信息!$B:$B&amp;盘货信息!$C:$C,盘货信息!$R:$R),0)&amp;"元（可无旧机换新）")</f>
        <v/>
      </c>
      <c r="U163" s="27" t="str">
        <f>IF(AND($N163="",$O163="",$P163="",$Q163="",$R163="",$S163="",$T163=""),"",固定信息!$B$1)</f>
        <v/>
      </c>
      <c r="V163" s="27" t="str" cm="1">
        <f t="array" ref="V163">IF(_xlfn.XLOOKUP($A163&amp;$B163&amp;$C163,盘货信息!$A:$A&amp;盘货信息!$B:$B&amp;盘货信息!$C:$C,盘货信息!$Y:$Y)="","","【卡萨帝送赠】活动指定时间"&amp;_xlfn.TEXTBEFORE(_xlfn.TEXTAFTER(_xlfn.XLOOKUP($A163&amp;$B163&amp;$C163,盘货信息!$A:$A&amp;盘货信息!$B:$B&amp;盘货信息!$C:$C,盘货信息!$Y:$Y),"点"),"（"))</f>
        <v/>
      </c>
      <c r="W163" s="27" t="str" cm="1">
        <f t="array" ref="W163">IF(COUNTIF(_xlfn.XLOOKUP($A163&amp;$B163&amp;$C163,盘货信息!$A:$A&amp;盘货信息!$B:$B&amp;盘货信息!$C:$C,盘货信息!$O:$O),"*是*"),"【折扣】指定型号满2类享96折，满3类享94折","")</f>
        <v/>
      </c>
      <c r="X163" s="27" t="str" cm="1">
        <f t="array" ref="X163">IF(固定信息!$B$7="","",IF(_xlfn.XLOOKUP($A163&amp;$B163&amp;$C163,盘货信息!$A:$A&amp;盘货信息!$B:$B&amp;盘货信息!$C:$C,盘货信息!$N:$N)="是","【瓜分】"&amp;固定信息!$B$7,""))</f>
        <v/>
      </c>
      <c r="Y163" s="27" t="str">
        <f>IF(AND($V163="",$W163="",$X163=""),"",固定信息!$B$1)</f>
        <v/>
      </c>
      <c r="Z163" s="27" t="str" cm="1">
        <f t="array" ref="Z163">IF($C163="","",_xlfn.XLOOKUP($A163&amp;$B163&amp;$C163,服务!$A:$A&amp;服务!$B:$B&amp;服务!$C:$C,服务!$D:$D))</f>
        <v/>
      </c>
    </row>
    <row r="164" customHeight="1" spans="1:26">
      <c r="A164" s="23" t="str">
        <f>IF(盘货信息!A164="","",盘货信息!A164)</f>
        <v/>
      </c>
      <c r="B164" s="26" t="str">
        <f>IF(盘货信息!B164="","",盘货信息!B164)</f>
        <v/>
      </c>
      <c r="C164" s="23" t="str">
        <f>IF(盘货信息!C164="","",盘货信息!C164)</f>
        <v/>
      </c>
      <c r="D164" s="27" t="str">
        <f ca="1" t="shared" si="2"/>
        <v/>
      </c>
      <c r="E164" s="27" t="str">
        <f>IF(C164="","",固定信息!$B$2)</f>
        <v/>
      </c>
      <c r="F164" s="27" t="str">
        <f>IF(C164="","","【"&amp;C164&amp;"】"&amp;固定信息!$B$4)</f>
        <v/>
      </c>
      <c r="G164" s="27" t="str">
        <f>IF(C164="","","【"&amp;"活动时间："&amp;固定信息!$B$3&amp;"】")</f>
        <v/>
      </c>
      <c r="H164" s="27" t="str">
        <f>IF($C164="","",固定信息!$B$1)</f>
        <v/>
      </c>
      <c r="I164" s="27" t="str">
        <f>IF(OR(C164="",固定信息!$B$5=""),"","【1元预约锁好礼】"&amp;固定信息!$B$5)</f>
        <v/>
      </c>
      <c r="J164" s="27" t="str" cm="1">
        <f t="array" ref="J164">_xlfn.XLOOKUP($A164&amp;$B164&amp;$C164,价格信息!$A:$A&amp;价格信息!$B:$B&amp;价格信息!$C:$C,价格信息!$D:$D)</f>
        <v/>
      </c>
      <c r="K164" s="27" t="str">
        <f>IF($C164="","",固定信息!$B$1)</f>
        <v/>
      </c>
      <c r="L164" s="27" t="str" cm="1">
        <f t="array" ref="L164">IF(_xlfn.XLOOKUP($A164&amp;$B164&amp;$C164,盘货信息!$A:$A&amp;盘货信息!$B:$B&amp;盘货信息!$C:$C,盘货信息!$T:$T)="","","【优惠券】领"&amp;_xlfn.XLOOKUP($A164&amp;$B164&amp;$C164,盘货信息!$A:$A&amp;盘货信息!$B:$B&amp;盘货信息!$C:$C,盘货信息!$T:$T)&amp;"元优惠卷下单更优惠，领券链接："&amp;_xlfn.XLOOKUP($A164&amp;$B164&amp;$C164,盘货信息!$A:$A&amp;盘货信息!$B:$B&amp;盘货信息!$C:$C,盘货信息!$U:$U))</f>
        <v/>
      </c>
      <c r="M164" s="27" t="str" cm="1">
        <f t="array" ref="M164">IF(_xlfn.XLOOKUP($A164&amp;$B164&amp;$C164,盘货信息!$A:$A&amp;盘货信息!$B:$B&amp;盘货信息!$C:$C,盘货信息!$P:$P)="","","【限时】"&amp;_xlfn.XLOOKUP($A164&amp;$B164&amp;$C164,盘货信息!$A:$A&amp;盘货信息!$B:$B&amp;盘货信息!$C:$C,盘货信息!$P:$P))</f>
        <v/>
      </c>
      <c r="N164" s="27" t="str" cm="1">
        <f t="array" ref="N164">IF(_xlfn.XLOOKUP($A164&amp;$B164&amp;$C164,盘货信息!$A:$A&amp;盘货信息!$B:$B&amp;盘货信息!$C:$C,盘货信息!$V:$V)="","","【"&amp;盘货信息!$V$1&amp;"】"&amp;_xlfn.XLOOKUP($A164&amp;$B164&amp;$C164,盘货信息!$A:$A&amp;盘货信息!$B:$B&amp;盘货信息!$C:$C,盘货信息!$V:$V))</f>
        <v/>
      </c>
      <c r="O164" s="27" t="str" cm="1">
        <f t="array" ref="O164">IF(_xlfn.XLOOKUP($A164&amp;$B164&amp;$C164,盘货信息!$A:$A&amp;盘货信息!$B:$B&amp;盘货信息!$C:$C,盘货信息!$W:$W)="","","【"&amp;盘货信息!$W$1&amp;"】"&amp;_xlfn.XLOOKUP($A164&amp;$B164&amp;$C164,盘货信息!$A:$A&amp;盘货信息!$B:$B&amp;盘货信息!$C:$C,盘货信息!$W:$W))</f>
        <v/>
      </c>
      <c r="P164" s="27" t="str" cm="1">
        <f t="array" ref="P164">IF(_xlfn.XLOOKUP($A164&amp;$B164&amp;$C164,盘货信息!$A:$A&amp;盘货信息!$B:$B&amp;盘货信息!$C:$C,盘货信息!$S:$S)&lt;1,"","【"&amp;盘货信息!$S$1&amp;"】"&amp;"后返"&amp;_xlfn.XLOOKUP($A164&amp;$B164&amp;$C164,盘货信息!$A:$A&amp;盘货信息!$B:$B&amp;盘货信息!$C:$C,盘货信息!$S:$S)&amp;"元")</f>
        <v/>
      </c>
      <c r="Q164" s="27" t="str" cm="1">
        <f t="array" ref="Q164">IF(_xlfn.XLOOKUP($A164&amp;$B164&amp;$C164,盘货信息!$A:$A&amp;盘货信息!$B:$B&amp;盘货信息!$C:$C,盘货信息!$X:$X)="","","【"&amp;盘货信息!$X$1&amp;"】"&amp;_xlfn.XLOOKUP($A164&amp;$B164&amp;$C164,盘货信息!$A:$A&amp;盘货信息!$B:$B&amp;盘货信息!$C:$C,盘货信息!$X:$X))</f>
        <v/>
      </c>
      <c r="R164" s="27" t="str" cm="1">
        <f t="array" ref="R164">IF(_xlfn.XLOOKUP($A164&amp;$B164&amp;$C164,盘货信息!$A:$A&amp;盘货信息!$B:$B&amp;盘货信息!$C:$C,盘货信息!$Z:$Z)="","","【"&amp;盘货信息!$Z$1&amp;"】"&amp;_xlfn.XLOOKUP($A164&amp;$B164&amp;$C164,盘货信息!$A:$A&amp;盘货信息!$B:$B&amp;盘货信息!$C:$C,盘货信息!$Z:$Z))</f>
        <v/>
      </c>
      <c r="S164" s="27" t="str" cm="1">
        <f t="array" ref="S164">IF(_xlfn.XLOOKUP($A164&amp;$B164&amp;$C164,盘货信息!$A:$A&amp;盘货信息!$B:$B&amp;盘货信息!$C:$C,盘货信息!$Q:$Q)="","","【种草】站外带指定话题种草后返"&amp;_xlfn.XLOOKUP($A164&amp;$B164&amp;$C164,盘货信息!$A:$A&amp;盘货信息!$B:$B&amp;盘货信息!$C:$C,盘货信息!$Q:$Q)&amp;"元红包（每个淘宝账号仅限对应一个站外种草账号，同一个种草账号不可对应多个淘宝账号）")</f>
        <v/>
      </c>
      <c r="T164" s="27" t="str" cm="1">
        <f t="array" ref="T164">IF(_xlfn.XLOOKUP($A164&amp;$B164&amp;$C164,盘货信息!$A:$A&amp;盘货信息!$B:$B&amp;盘货信息!$C:$C,盘货信息!$R:$R)&lt;1,"","【以旧换新】"&amp;"享补贴"&amp;ROUND(_xlfn.XLOOKUP($A164&amp;$B164&amp;$C164,盘货信息!$A:$A&amp;盘货信息!$B:$B&amp;盘货信息!$C:$C,盘货信息!$R:$R),0)&amp;"元（可无旧机换新）")</f>
        <v/>
      </c>
      <c r="U164" s="27" t="str">
        <f>IF(AND($N164="",$O164="",$P164="",$Q164="",$R164="",$S164="",$T164=""),"",固定信息!$B$1)</f>
        <v/>
      </c>
      <c r="V164" s="27" t="str" cm="1">
        <f t="array" ref="V164">IF(_xlfn.XLOOKUP($A164&amp;$B164&amp;$C164,盘货信息!$A:$A&amp;盘货信息!$B:$B&amp;盘货信息!$C:$C,盘货信息!$Y:$Y)="","","【卡萨帝送赠】活动指定时间"&amp;_xlfn.TEXTBEFORE(_xlfn.TEXTAFTER(_xlfn.XLOOKUP($A164&amp;$B164&amp;$C164,盘货信息!$A:$A&amp;盘货信息!$B:$B&amp;盘货信息!$C:$C,盘货信息!$Y:$Y),"点"),"（"))</f>
        <v/>
      </c>
      <c r="W164" s="27" t="str" cm="1">
        <f t="array" ref="W164">IF(COUNTIF(_xlfn.XLOOKUP($A164&amp;$B164&amp;$C164,盘货信息!$A:$A&amp;盘货信息!$B:$B&amp;盘货信息!$C:$C,盘货信息!$O:$O),"*是*"),"【折扣】指定型号满2类享96折，满3类享94折","")</f>
        <v/>
      </c>
      <c r="X164" s="27" t="str" cm="1">
        <f t="array" ref="X164">IF(固定信息!$B$7="","",IF(_xlfn.XLOOKUP($A164&amp;$B164&amp;$C164,盘货信息!$A:$A&amp;盘货信息!$B:$B&amp;盘货信息!$C:$C,盘货信息!$N:$N)="是","【瓜分】"&amp;固定信息!$B$7,""))</f>
        <v/>
      </c>
      <c r="Y164" s="27" t="str">
        <f>IF(AND($V164="",$W164="",$X164=""),"",固定信息!$B$1)</f>
        <v/>
      </c>
      <c r="Z164" s="27" t="str" cm="1">
        <f t="array" ref="Z164">IF($C164="","",_xlfn.XLOOKUP($A164&amp;$B164&amp;$C164,服务!$A:$A&amp;服务!$B:$B&amp;服务!$C:$C,服务!$D:$D))</f>
        <v/>
      </c>
    </row>
    <row r="165" customHeight="1" spans="1:26">
      <c r="A165" s="23" t="str">
        <f>IF(盘货信息!A165="","",盘货信息!A165)</f>
        <v/>
      </c>
      <c r="B165" s="26" t="str">
        <f>IF(盘货信息!B165="","",盘货信息!B165)</f>
        <v/>
      </c>
      <c r="C165" s="23" t="str">
        <f>IF(盘货信息!C165="","",盘货信息!C165)</f>
        <v/>
      </c>
      <c r="D165" s="27" t="str">
        <f ca="1" t="shared" si="2"/>
        <v/>
      </c>
      <c r="E165" s="27" t="str">
        <f>IF(C165="","",固定信息!$B$2)</f>
        <v/>
      </c>
      <c r="F165" s="27" t="str">
        <f>IF(C165="","","【"&amp;C165&amp;"】"&amp;固定信息!$B$4)</f>
        <v/>
      </c>
      <c r="G165" s="27" t="str">
        <f>IF(C165="","","【"&amp;"活动时间："&amp;固定信息!$B$3&amp;"】")</f>
        <v/>
      </c>
      <c r="H165" s="27" t="str">
        <f>IF($C165="","",固定信息!$B$1)</f>
        <v/>
      </c>
      <c r="I165" s="27" t="str">
        <f>IF(OR(C165="",固定信息!$B$5=""),"","【1元预约锁好礼】"&amp;固定信息!$B$5)</f>
        <v/>
      </c>
      <c r="J165" s="27" t="str" cm="1">
        <f t="array" ref="J165">_xlfn.XLOOKUP($A165&amp;$B165&amp;$C165,价格信息!$A:$A&amp;价格信息!$B:$B&amp;价格信息!$C:$C,价格信息!$D:$D)</f>
        <v/>
      </c>
      <c r="K165" s="27" t="str">
        <f>IF($C165="","",固定信息!$B$1)</f>
        <v/>
      </c>
      <c r="L165" s="27" t="str" cm="1">
        <f t="array" ref="L165">IF(_xlfn.XLOOKUP($A165&amp;$B165&amp;$C165,盘货信息!$A:$A&amp;盘货信息!$B:$B&amp;盘货信息!$C:$C,盘货信息!$T:$T)="","","【优惠券】领"&amp;_xlfn.XLOOKUP($A165&amp;$B165&amp;$C165,盘货信息!$A:$A&amp;盘货信息!$B:$B&amp;盘货信息!$C:$C,盘货信息!$T:$T)&amp;"元优惠卷下单更优惠，领券链接："&amp;_xlfn.XLOOKUP($A165&amp;$B165&amp;$C165,盘货信息!$A:$A&amp;盘货信息!$B:$B&amp;盘货信息!$C:$C,盘货信息!$U:$U))</f>
        <v/>
      </c>
      <c r="M165" s="27" t="str" cm="1">
        <f t="array" ref="M165">IF(_xlfn.XLOOKUP($A165&amp;$B165&amp;$C165,盘货信息!$A:$A&amp;盘货信息!$B:$B&amp;盘货信息!$C:$C,盘货信息!$P:$P)="","","【限时】"&amp;_xlfn.XLOOKUP($A165&amp;$B165&amp;$C165,盘货信息!$A:$A&amp;盘货信息!$B:$B&amp;盘货信息!$C:$C,盘货信息!$P:$P))</f>
        <v/>
      </c>
      <c r="N165" s="27" t="str" cm="1">
        <f t="array" ref="N165">IF(_xlfn.XLOOKUP($A165&amp;$B165&amp;$C165,盘货信息!$A:$A&amp;盘货信息!$B:$B&amp;盘货信息!$C:$C,盘货信息!$V:$V)="","","【"&amp;盘货信息!$V$1&amp;"】"&amp;_xlfn.XLOOKUP($A165&amp;$B165&amp;$C165,盘货信息!$A:$A&amp;盘货信息!$B:$B&amp;盘货信息!$C:$C,盘货信息!$V:$V))</f>
        <v/>
      </c>
      <c r="O165" s="27" t="str" cm="1">
        <f t="array" ref="O165">IF(_xlfn.XLOOKUP($A165&amp;$B165&amp;$C165,盘货信息!$A:$A&amp;盘货信息!$B:$B&amp;盘货信息!$C:$C,盘货信息!$W:$W)="","","【"&amp;盘货信息!$W$1&amp;"】"&amp;_xlfn.XLOOKUP($A165&amp;$B165&amp;$C165,盘货信息!$A:$A&amp;盘货信息!$B:$B&amp;盘货信息!$C:$C,盘货信息!$W:$W))</f>
        <v/>
      </c>
      <c r="P165" s="27" t="str" cm="1">
        <f t="array" ref="P165">IF(_xlfn.XLOOKUP($A165&amp;$B165&amp;$C165,盘货信息!$A:$A&amp;盘货信息!$B:$B&amp;盘货信息!$C:$C,盘货信息!$S:$S)&lt;1,"","【"&amp;盘货信息!$S$1&amp;"】"&amp;"后返"&amp;_xlfn.XLOOKUP($A165&amp;$B165&amp;$C165,盘货信息!$A:$A&amp;盘货信息!$B:$B&amp;盘货信息!$C:$C,盘货信息!$S:$S)&amp;"元")</f>
        <v/>
      </c>
      <c r="Q165" s="27" t="str" cm="1">
        <f t="array" ref="Q165">IF(_xlfn.XLOOKUP($A165&amp;$B165&amp;$C165,盘货信息!$A:$A&amp;盘货信息!$B:$B&amp;盘货信息!$C:$C,盘货信息!$X:$X)="","","【"&amp;盘货信息!$X$1&amp;"】"&amp;_xlfn.XLOOKUP($A165&amp;$B165&amp;$C165,盘货信息!$A:$A&amp;盘货信息!$B:$B&amp;盘货信息!$C:$C,盘货信息!$X:$X))</f>
        <v/>
      </c>
      <c r="R165" s="27" t="str" cm="1">
        <f t="array" ref="R165">IF(_xlfn.XLOOKUP($A165&amp;$B165&amp;$C165,盘货信息!$A:$A&amp;盘货信息!$B:$B&amp;盘货信息!$C:$C,盘货信息!$Z:$Z)="","","【"&amp;盘货信息!$Z$1&amp;"】"&amp;_xlfn.XLOOKUP($A165&amp;$B165&amp;$C165,盘货信息!$A:$A&amp;盘货信息!$B:$B&amp;盘货信息!$C:$C,盘货信息!$Z:$Z))</f>
        <v/>
      </c>
      <c r="S165" s="27" t="str" cm="1">
        <f t="array" ref="S165">IF(_xlfn.XLOOKUP($A165&amp;$B165&amp;$C165,盘货信息!$A:$A&amp;盘货信息!$B:$B&amp;盘货信息!$C:$C,盘货信息!$Q:$Q)="","","【种草】站外带指定话题种草后返"&amp;_xlfn.XLOOKUP($A165&amp;$B165&amp;$C165,盘货信息!$A:$A&amp;盘货信息!$B:$B&amp;盘货信息!$C:$C,盘货信息!$Q:$Q)&amp;"元红包（每个淘宝账号仅限对应一个站外种草账号，同一个种草账号不可对应多个淘宝账号）")</f>
        <v/>
      </c>
      <c r="T165" s="27" t="str" cm="1">
        <f t="array" ref="T165">IF(_xlfn.XLOOKUP($A165&amp;$B165&amp;$C165,盘货信息!$A:$A&amp;盘货信息!$B:$B&amp;盘货信息!$C:$C,盘货信息!$R:$R)&lt;1,"","【以旧换新】"&amp;"享补贴"&amp;ROUND(_xlfn.XLOOKUP($A165&amp;$B165&amp;$C165,盘货信息!$A:$A&amp;盘货信息!$B:$B&amp;盘货信息!$C:$C,盘货信息!$R:$R),0)&amp;"元（可无旧机换新）")</f>
        <v/>
      </c>
      <c r="U165" s="27" t="str">
        <f>IF(AND($N165="",$O165="",$P165="",$Q165="",$R165="",$S165="",$T165=""),"",固定信息!$B$1)</f>
        <v/>
      </c>
      <c r="V165" s="27" t="str" cm="1">
        <f t="array" ref="V165">IF(_xlfn.XLOOKUP($A165&amp;$B165&amp;$C165,盘货信息!$A:$A&amp;盘货信息!$B:$B&amp;盘货信息!$C:$C,盘货信息!$Y:$Y)="","","【卡萨帝送赠】活动指定时间"&amp;_xlfn.TEXTBEFORE(_xlfn.TEXTAFTER(_xlfn.XLOOKUP($A165&amp;$B165&amp;$C165,盘货信息!$A:$A&amp;盘货信息!$B:$B&amp;盘货信息!$C:$C,盘货信息!$Y:$Y),"点"),"（"))</f>
        <v/>
      </c>
      <c r="W165" s="27" t="str" cm="1">
        <f t="array" ref="W165">IF(COUNTIF(_xlfn.XLOOKUP($A165&amp;$B165&amp;$C165,盘货信息!$A:$A&amp;盘货信息!$B:$B&amp;盘货信息!$C:$C,盘货信息!$O:$O),"*是*"),"【折扣】指定型号满2类享96折，满3类享94折","")</f>
        <v/>
      </c>
      <c r="X165" s="27" t="str" cm="1">
        <f t="array" ref="X165">IF(固定信息!$B$7="","",IF(_xlfn.XLOOKUP($A165&amp;$B165&amp;$C165,盘货信息!$A:$A&amp;盘货信息!$B:$B&amp;盘货信息!$C:$C,盘货信息!$N:$N)="是","【瓜分】"&amp;固定信息!$B$7,""))</f>
        <v/>
      </c>
      <c r="Y165" s="27" t="str">
        <f>IF(AND($V165="",$W165="",$X165=""),"",固定信息!$B$1)</f>
        <v/>
      </c>
      <c r="Z165" s="27" t="str" cm="1">
        <f t="array" ref="Z165">IF($C165="","",_xlfn.XLOOKUP($A165&amp;$B165&amp;$C165,服务!$A:$A&amp;服务!$B:$B&amp;服务!$C:$C,服务!$D:$D))</f>
        <v/>
      </c>
    </row>
    <row r="166" customHeight="1" spans="1:26">
      <c r="A166" s="23" t="str">
        <f>IF(盘货信息!A166="","",盘货信息!A166)</f>
        <v/>
      </c>
      <c r="B166" s="26" t="str">
        <f>IF(盘货信息!B166="","",盘货信息!B166)</f>
        <v/>
      </c>
      <c r="C166" s="23" t="str">
        <f>IF(盘货信息!C166="","",盘货信息!C166)</f>
        <v/>
      </c>
      <c r="D166" s="27" t="str">
        <f ca="1" t="shared" si="2"/>
        <v/>
      </c>
      <c r="E166" s="27" t="str">
        <f>IF(C166="","",固定信息!$B$2)</f>
        <v/>
      </c>
      <c r="F166" s="27" t="str">
        <f>IF(C166="","","【"&amp;C166&amp;"】"&amp;固定信息!$B$4)</f>
        <v/>
      </c>
      <c r="G166" s="27" t="str">
        <f>IF(C166="","","【"&amp;"活动时间："&amp;固定信息!$B$3&amp;"】")</f>
        <v/>
      </c>
      <c r="H166" s="27" t="str">
        <f>IF($C166="","",固定信息!$B$1)</f>
        <v/>
      </c>
      <c r="I166" s="27" t="str">
        <f>IF(OR(C166="",固定信息!$B$5=""),"","【1元预约锁好礼】"&amp;固定信息!$B$5)</f>
        <v/>
      </c>
      <c r="J166" s="27" t="str" cm="1">
        <f t="array" ref="J166">_xlfn.XLOOKUP($A166&amp;$B166&amp;$C166,价格信息!$A:$A&amp;价格信息!$B:$B&amp;价格信息!$C:$C,价格信息!$D:$D)</f>
        <v/>
      </c>
      <c r="K166" s="27" t="str">
        <f>IF($C166="","",固定信息!$B$1)</f>
        <v/>
      </c>
      <c r="L166" s="27" t="str" cm="1">
        <f t="array" ref="L166">IF(_xlfn.XLOOKUP($A166&amp;$B166&amp;$C166,盘货信息!$A:$A&amp;盘货信息!$B:$B&amp;盘货信息!$C:$C,盘货信息!$T:$T)="","","【优惠券】领"&amp;_xlfn.XLOOKUP($A166&amp;$B166&amp;$C166,盘货信息!$A:$A&amp;盘货信息!$B:$B&amp;盘货信息!$C:$C,盘货信息!$T:$T)&amp;"元优惠卷下单更优惠，领券链接："&amp;_xlfn.XLOOKUP($A166&amp;$B166&amp;$C166,盘货信息!$A:$A&amp;盘货信息!$B:$B&amp;盘货信息!$C:$C,盘货信息!$U:$U))</f>
        <v/>
      </c>
      <c r="M166" s="27" t="str" cm="1">
        <f t="array" ref="M166">IF(_xlfn.XLOOKUP($A166&amp;$B166&amp;$C166,盘货信息!$A:$A&amp;盘货信息!$B:$B&amp;盘货信息!$C:$C,盘货信息!$P:$P)="","","【限时】"&amp;_xlfn.XLOOKUP($A166&amp;$B166&amp;$C166,盘货信息!$A:$A&amp;盘货信息!$B:$B&amp;盘货信息!$C:$C,盘货信息!$P:$P))</f>
        <v/>
      </c>
      <c r="N166" s="27" t="str" cm="1">
        <f t="array" ref="N166">IF(_xlfn.XLOOKUP($A166&amp;$B166&amp;$C166,盘货信息!$A:$A&amp;盘货信息!$B:$B&amp;盘货信息!$C:$C,盘货信息!$V:$V)="","","【"&amp;盘货信息!$V$1&amp;"】"&amp;_xlfn.XLOOKUP($A166&amp;$B166&amp;$C166,盘货信息!$A:$A&amp;盘货信息!$B:$B&amp;盘货信息!$C:$C,盘货信息!$V:$V))</f>
        <v/>
      </c>
      <c r="O166" s="27" t="str" cm="1">
        <f t="array" ref="O166">IF(_xlfn.XLOOKUP($A166&amp;$B166&amp;$C166,盘货信息!$A:$A&amp;盘货信息!$B:$B&amp;盘货信息!$C:$C,盘货信息!$W:$W)="","","【"&amp;盘货信息!$W$1&amp;"】"&amp;_xlfn.XLOOKUP($A166&amp;$B166&amp;$C166,盘货信息!$A:$A&amp;盘货信息!$B:$B&amp;盘货信息!$C:$C,盘货信息!$W:$W))</f>
        <v/>
      </c>
      <c r="P166" s="27" t="str" cm="1">
        <f t="array" ref="P166">IF(_xlfn.XLOOKUP($A166&amp;$B166&amp;$C166,盘货信息!$A:$A&amp;盘货信息!$B:$B&amp;盘货信息!$C:$C,盘货信息!$S:$S)&lt;1,"","【"&amp;盘货信息!$S$1&amp;"】"&amp;"后返"&amp;_xlfn.XLOOKUP($A166&amp;$B166&amp;$C166,盘货信息!$A:$A&amp;盘货信息!$B:$B&amp;盘货信息!$C:$C,盘货信息!$S:$S)&amp;"元")</f>
        <v/>
      </c>
      <c r="Q166" s="27" t="str" cm="1">
        <f t="array" ref="Q166">IF(_xlfn.XLOOKUP($A166&amp;$B166&amp;$C166,盘货信息!$A:$A&amp;盘货信息!$B:$B&amp;盘货信息!$C:$C,盘货信息!$X:$X)="","","【"&amp;盘货信息!$X$1&amp;"】"&amp;_xlfn.XLOOKUP($A166&amp;$B166&amp;$C166,盘货信息!$A:$A&amp;盘货信息!$B:$B&amp;盘货信息!$C:$C,盘货信息!$X:$X))</f>
        <v/>
      </c>
      <c r="R166" s="27" t="str" cm="1">
        <f t="array" ref="R166">IF(_xlfn.XLOOKUP($A166&amp;$B166&amp;$C166,盘货信息!$A:$A&amp;盘货信息!$B:$B&amp;盘货信息!$C:$C,盘货信息!$Z:$Z)="","","【"&amp;盘货信息!$Z$1&amp;"】"&amp;_xlfn.XLOOKUP($A166&amp;$B166&amp;$C166,盘货信息!$A:$A&amp;盘货信息!$B:$B&amp;盘货信息!$C:$C,盘货信息!$Z:$Z))</f>
        <v/>
      </c>
      <c r="S166" s="27" t="str" cm="1">
        <f t="array" ref="S166">IF(_xlfn.XLOOKUP($A166&amp;$B166&amp;$C166,盘货信息!$A:$A&amp;盘货信息!$B:$B&amp;盘货信息!$C:$C,盘货信息!$Q:$Q)="","","【种草】站外带指定话题种草后返"&amp;_xlfn.XLOOKUP($A166&amp;$B166&amp;$C166,盘货信息!$A:$A&amp;盘货信息!$B:$B&amp;盘货信息!$C:$C,盘货信息!$Q:$Q)&amp;"元红包（每个淘宝账号仅限对应一个站外种草账号，同一个种草账号不可对应多个淘宝账号）")</f>
        <v/>
      </c>
      <c r="T166" s="27" t="str" cm="1">
        <f t="array" ref="T166">IF(_xlfn.XLOOKUP($A166&amp;$B166&amp;$C166,盘货信息!$A:$A&amp;盘货信息!$B:$B&amp;盘货信息!$C:$C,盘货信息!$R:$R)&lt;1,"","【以旧换新】"&amp;"享补贴"&amp;ROUND(_xlfn.XLOOKUP($A166&amp;$B166&amp;$C166,盘货信息!$A:$A&amp;盘货信息!$B:$B&amp;盘货信息!$C:$C,盘货信息!$R:$R),0)&amp;"元（可无旧机换新）")</f>
        <v/>
      </c>
      <c r="U166" s="27" t="str">
        <f>IF(AND($N166="",$O166="",$P166="",$Q166="",$R166="",$S166="",$T166=""),"",固定信息!$B$1)</f>
        <v/>
      </c>
      <c r="V166" s="27" t="str" cm="1">
        <f t="array" ref="V166">IF(_xlfn.XLOOKUP($A166&amp;$B166&amp;$C166,盘货信息!$A:$A&amp;盘货信息!$B:$B&amp;盘货信息!$C:$C,盘货信息!$Y:$Y)="","","【卡萨帝送赠】活动指定时间"&amp;_xlfn.TEXTBEFORE(_xlfn.TEXTAFTER(_xlfn.XLOOKUP($A166&amp;$B166&amp;$C166,盘货信息!$A:$A&amp;盘货信息!$B:$B&amp;盘货信息!$C:$C,盘货信息!$Y:$Y),"点"),"（"))</f>
        <v/>
      </c>
      <c r="W166" s="27" t="str" cm="1">
        <f t="array" ref="W166">IF(COUNTIF(_xlfn.XLOOKUP($A166&amp;$B166&amp;$C166,盘货信息!$A:$A&amp;盘货信息!$B:$B&amp;盘货信息!$C:$C,盘货信息!$O:$O),"*是*"),"【折扣】指定型号满2类享96折，满3类享94折","")</f>
        <v/>
      </c>
      <c r="X166" s="27" t="str" cm="1">
        <f t="array" ref="X166">IF(固定信息!$B$7="","",IF(_xlfn.XLOOKUP($A166&amp;$B166&amp;$C166,盘货信息!$A:$A&amp;盘货信息!$B:$B&amp;盘货信息!$C:$C,盘货信息!$N:$N)="是","【瓜分】"&amp;固定信息!$B$7,""))</f>
        <v/>
      </c>
      <c r="Y166" s="27" t="str">
        <f>IF(AND($V166="",$W166="",$X166=""),"",固定信息!$B$1)</f>
        <v/>
      </c>
      <c r="Z166" s="27" t="str" cm="1">
        <f t="array" ref="Z166">IF($C166="","",_xlfn.XLOOKUP($A166&amp;$B166&amp;$C166,服务!$A:$A&amp;服务!$B:$B&amp;服务!$C:$C,服务!$D:$D))</f>
        <v/>
      </c>
    </row>
    <row r="167" customHeight="1" spans="1:26">
      <c r="A167" s="23" t="str">
        <f>IF(盘货信息!A167="","",盘货信息!A167)</f>
        <v/>
      </c>
      <c r="B167" s="26" t="str">
        <f>IF(盘货信息!B167="","",盘货信息!B167)</f>
        <v/>
      </c>
      <c r="C167" s="23" t="str">
        <f>IF(盘货信息!C167="","",盘货信息!C167)</f>
        <v/>
      </c>
      <c r="D167" s="27" t="str">
        <f ca="1" t="shared" si="2"/>
        <v/>
      </c>
      <c r="E167" s="27" t="str">
        <f>IF(C167="","",固定信息!$B$2)</f>
        <v/>
      </c>
      <c r="F167" s="27" t="str">
        <f>IF(C167="","","【"&amp;C167&amp;"】"&amp;固定信息!$B$4)</f>
        <v/>
      </c>
      <c r="G167" s="27" t="str">
        <f>IF(C167="","","【"&amp;"活动时间："&amp;固定信息!$B$3&amp;"】")</f>
        <v/>
      </c>
      <c r="H167" s="27" t="str">
        <f>IF($C167="","",固定信息!$B$1)</f>
        <v/>
      </c>
      <c r="I167" s="27" t="str">
        <f>IF(OR(C167="",固定信息!$B$5=""),"","【1元预约锁好礼】"&amp;固定信息!$B$5)</f>
        <v/>
      </c>
      <c r="J167" s="27" t="str" cm="1">
        <f t="array" ref="J167">_xlfn.XLOOKUP($A167&amp;$B167&amp;$C167,价格信息!$A:$A&amp;价格信息!$B:$B&amp;价格信息!$C:$C,价格信息!$D:$D)</f>
        <v/>
      </c>
      <c r="K167" s="27" t="str">
        <f>IF($C167="","",固定信息!$B$1)</f>
        <v/>
      </c>
      <c r="L167" s="27" t="str" cm="1">
        <f t="array" ref="L167">IF(_xlfn.XLOOKUP($A167&amp;$B167&amp;$C167,盘货信息!$A:$A&amp;盘货信息!$B:$B&amp;盘货信息!$C:$C,盘货信息!$T:$T)="","","【优惠券】领"&amp;_xlfn.XLOOKUP($A167&amp;$B167&amp;$C167,盘货信息!$A:$A&amp;盘货信息!$B:$B&amp;盘货信息!$C:$C,盘货信息!$T:$T)&amp;"元优惠卷下单更优惠，领券链接："&amp;_xlfn.XLOOKUP($A167&amp;$B167&amp;$C167,盘货信息!$A:$A&amp;盘货信息!$B:$B&amp;盘货信息!$C:$C,盘货信息!$U:$U))</f>
        <v/>
      </c>
      <c r="M167" s="27" t="str" cm="1">
        <f t="array" ref="M167">IF(_xlfn.XLOOKUP($A167&amp;$B167&amp;$C167,盘货信息!$A:$A&amp;盘货信息!$B:$B&amp;盘货信息!$C:$C,盘货信息!$P:$P)="","","【限时】"&amp;_xlfn.XLOOKUP($A167&amp;$B167&amp;$C167,盘货信息!$A:$A&amp;盘货信息!$B:$B&amp;盘货信息!$C:$C,盘货信息!$P:$P))</f>
        <v/>
      </c>
      <c r="N167" s="27" t="str" cm="1">
        <f t="array" ref="N167">IF(_xlfn.XLOOKUP($A167&amp;$B167&amp;$C167,盘货信息!$A:$A&amp;盘货信息!$B:$B&amp;盘货信息!$C:$C,盘货信息!$V:$V)="","","【"&amp;盘货信息!$V$1&amp;"】"&amp;_xlfn.XLOOKUP($A167&amp;$B167&amp;$C167,盘货信息!$A:$A&amp;盘货信息!$B:$B&amp;盘货信息!$C:$C,盘货信息!$V:$V))</f>
        <v/>
      </c>
      <c r="O167" s="27" t="str" cm="1">
        <f t="array" ref="O167">IF(_xlfn.XLOOKUP($A167&amp;$B167&amp;$C167,盘货信息!$A:$A&amp;盘货信息!$B:$B&amp;盘货信息!$C:$C,盘货信息!$W:$W)="","","【"&amp;盘货信息!$W$1&amp;"】"&amp;_xlfn.XLOOKUP($A167&amp;$B167&amp;$C167,盘货信息!$A:$A&amp;盘货信息!$B:$B&amp;盘货信息!$C:$C,盘货信息!$W:$W))</f>
        <v/>
      </c>
      <c r="P167" s="27" t="str" cm="1">
        <f t="array" ref="P167">IF(_xlfn.XLOOKUP($A167&amp;$B167&amp;$C167,盘货信息!$A:$A&amp;盘货信息!$B:$B&amp;盘货信息!$C:$C,盘货信息!$S:$S)&lt;1,"","【"&amp;盘货信息!$S$1&amp;"】"&amp;"后返"&amp;_xlfn.XLOOKUP($A167&amp;$B167&amp;$C167,盘货信息!$A:$A&amp;盘货信息!$B:$B&amp;盘货信息!$C:$C,盘货信息!$S:$S)&amp;"元")</f>
        <v/>
      </c>
      <c r="Q167" s="27" t="str" cm="1">
        <f t="array" ref="Q167">IF(_xlfn.XLOOKUP($A167&amp;$B167&amp;$C167,盘货信息!$A:$A&amp;盘货信息!$B:$B&amp;盘货信息!$C:$C,盘货信息!$X:$X)="","","【"&amp;盘货信息!$X$1&amp;"】"&amp;_xlfn.XLOOKUP($A167&amp;$B167&amp;$C167,盘货信息!$A:$A&amp;盘货信息!$B:$B&amp;盘货信息!$C:$C,盘货信息!$X:$X))</f>
        <v/>
      </c>
      <c r="R167" s="27" t="str" cm="1">
        <f t="array" ref="R167">IF(_xlfn.XLOOKUP($A167&amp;$B167&amp;$C167,盘货信息!$A:$A&amp;盘货信息!$B:$B&amp;盘货信息!$C:$C,盘货信息!$Z:$Z)="","","【"&amp;盘货信息!$Z$1&amp;"】"&amp;_xlfn.XLOOKUP($A167&amp;$B167&amp;$C167,盘货信息!$A:$A&amp;盘货信息!$B:$B&amp;盘货信息!$C:$C,盘货信息!$Z:$Z))</f>
        <v/>
      </c>
      <c r="S167" s="27" t="str" cm="1">
        <f t="array" ref="S167">IF(_xlfn.XLOOKUP($A167&amp;$B167&amp;$C167,盘货信息!$A:$A&amp;盘货信息!$B:$B&amp;盘货信息!$C:$C,盘货信息!$Q:$Q)="","","【种草】站外带指定话题种草后返"&amp;_xlfn.XLOOKUP($A167&amp;$B167&amp;$C167,盘货信息!$A:$A&amp;盘货信息!$B:$B&amp;盘货信息!$C:$C,盘货信息!$Q:$Q)&amp;"元红包（每个淘宝账号仅限对应一个站外种草账号，同一个种草账号不可对应多个淘宝账号）")</f>
        <v/>
      </c>
      <c r="T167" s="27" t="str" cm="1">
        <f t="array" ref="T167">IF(_xlfn.XLOOKUP($A167&amp;$B167&amp;$C167,盘货信息!$A:$A&amp;盘货信息!$B:$B&amp;盘货信息!$C:$C,盘货信息!$R:$R)&lt;1,"","【以旧换新】"&amp;"享补贴"&amp;ROUND(_xlfn.XLOOKUP($A167&amp;$B167&amp;$C167,盘货信息!$A:$A&amp;盘货信息!$B:$B&amp;盘货信息!$C:$C,盘货信息!$R:$R),0)&amp;"元（可无旧机换新）")</f>
        <v/>
      </c>
      <c r="U167" s="27" t="str">
        <f>IF(AND($N167="",$O167="",$P167="",$Q167="",$R167="",$S167="",$T167=""),"",固定信息!$B$1)</f>
        <v/>
      </c>
      <c r="V167" s="27" t="str" cm="1">
        <f t="array" ref="V167">IF(_xlfn.XLOOKUP($A167&amp;$B167&amp;$C167,盘货信息!$A:$A&amp;盘货信息!$B:$B&amp;盘货信息!$C:$C,盘货信息!$Y:$Y)="","","【卡萨帝送赠】活动指定时间"&amp;_xlfn.TEXTBEFORE(_xlfn.TEXTAFTER(_xlfn.XLOOKUP($A167&amp;$B167&amp;$C167,盘货信息!$A:$A&amp;盘货信息!$B:$B&amp;盘货信息!$C:$C,盘货信息!$Y:$Y),"点"),"（"))</f>
        <v/>
      </c>
      <c r="W167" s="27" t="str" cm="1">
        <f t="array" ref="W167">IF(COUNTIF(_xlfn.XLOOKUP($A167&amp;$B167&amp;$C167,盘货信息!$A:$A&amp;盘货信息!$B:$B&amp;盘货信息!$C:$C,盘货信息!$O:$O),"*是*"),"【折扣】指定型号满2类享96折，满3类享94折","")</f>
        <v/>
      </c>
      <c r="X167" s="27" t="str" cm="1">
        <f t="array" ref="X167">IF(固定信息!$B$7="","",IF(_xlfn.XLOOKUP($A167&amp;$B167&amp;$C167,盘货信息!$A:$A&amp;盘货信息!$B:$B&amp;盘货信息!$C:$C,盘货信息!$N:$N)="是","【瓜分】"&amp;固定信息!$B$7,""))</f>
        <v/>
      </c>
      <c r="Y167" s="27" t="str">
        <f>IF(AND($V167="",$W167="",$X167=""),"",固定信息!$B$1)</f>
        <v/>
      </c>
      <c r="Z167" s="27" t="str" cm="1">
        <f t="array" ref="Z167">IF($C167="","",_xlfn.XLOOKUP($A167&amp;$B167&amp;$C167,服务!$A:$A&amp;服务!$B:$B&amp;服务!$C:$C,服务!$D:$D))</f>
        <v/>
      </c>
    </row>
    <row r="168" customHeight="1" spans="1:26">
      <c r="A168" s="23" t="str">
        <f>IF(盘货信息!A168="","",盘货信息!A168)</f>
        <v/>
      </c>
      <c r="B168" s="26" t="str">
        <f>IF(盘货信息!B168="","",盘货信息!B168)</f>
        <v/>
      </c>
      <c r="C168" s="23" t="str">
        <f>IF(盘货信息!C168="","",盘货信息!C168)</f>
        <v/>
      </c>
      <c r="D168" s="27" t="str">
        <f ca="1" t="shared" si="2"/>
        <v/>
      </c>
      <c r="E168" s="27" t="str">
        <f>IF(C168="","",固定信息!$B$2)</f>
        <v/>
      </c>
      <c r="F168" s="27" t="str">
        <f>IF(C168="","","【"&amp;C168&amp;"】"&amp;固定信息!$B$4)</f>
        <v/>
      </c>
      <c r="G168" s="27" t="str">
        <f>IF(C168="","","【"&amp;"活动时间："&amp;固定信息!$B$3&amp;"】")</f>
        <v/>
      </c>
      <c r="H168" s="27" t="str">
        <f>IF($C168="","",固定信息!$B$1)</f>
        <v/>
      </c>
      <c r="I168" s="27" t="str">
        <f>IF(OR(C168="",固定信息!$B$5=""),"","【1元预约锁好礼】"&amp;固定信息!$B$5)</f>
        <v/>
      </c>
      <c r="J168" s="27" t="str" cm="1">
        <f t="array" ref="J168">_xlfn.XLOOKUP($A168&amp;$B168&amp;$C168,价格信息!$A:$A&amp;价格信息!$B:$B&amp;价格信息!$C:$C,价格信息!$D:$D)</f>
        <v/>
      </c>
      <c r="K168" s="27" t="str">
        <f>IF($C168="","",固定信息!$B$1)</f>
        <v/>
      </c>
      <c r="L168" s="27" t="str" cm="1">
        <f t="array" ref="L168">IF(_xlfn.XLOOKUP($A168&amp;$B168&amp;$C168,盘货信息!$A:$A&amp;盘货信息!$B:$B&amp;盘货信息!$C:$C,盘货信息!$T:$T)="","","【优惠券】领"&amp;_xlfn.XLOOKUP($A168&amp;$B168&amp;$C168,盘货信息!$A:$A&amp;盘货信息!$B:$B&amp;盘货信息!$C:$C,盘货信息!$T:$T)&amp;"元优惠卷下单更优惠，领券链接："&amp;_xlfn.XLOOKUP($A168&amp;$B168&amp;$C168,盘货信息!$A:$A&amp;盘货信息!$B:$B&amp;盘货信息!$C:$C,盘货信息!$U:$U))</f>
        <v/>
      </c>
      <c r="M168" s="27" t="str" cm="1">
        <f t="array" ref="M168">IF(_xlfn.XLOOKUP($A168&amp;$B168&amp;$C168,盘货信息!$A:$A&amp;盘货信息!$B:$B&amp;盘货信息!$C:$C,盘货信息!$P:$P)="","","【限时】"&amp;_xlfn.XLOOKUP($A168&amp;$B168&amp;$C168,盘货信息!$A:$A&amp;盘货信息!$B:$B&amp;盘货信息!$C:$C,盘货信息!$P:$P))</f>
        <v/>
      </c>
      <c r="N168" s="27" t="str" cm="1">
        <f t="array" ref="N168">IF(_xlfn.XLOOKUP($A168&amp;$B168&amp;$C168,盘货信息!$A:$A&amp;盘货信息!$B:$B&amp;盘货信息!$C:$C,盘货信息!$V:$V)="","","【"&amp;盘货信息!$V$1&amp;"】"&amp;_xlfn.XLOOKUP($A168&amp;$B168&amp;$C168,盘货信息!$A:$A&amp;盘货信息!$B:$B&amp;盘货信息!$C:$C,盘货信息!$V:$V))</f>
        <v/>
      </c>
      <c r="O168" s="27" t="str" cm="1">
        <f t="array" ref="O168">IF(_xlfn.XLOOKUP($A168&amp;$B168&amp;$C168,盘货信息!$A:$A&amp;盘货信息!$B:$B&amp;盘货信息!$C:$C,盘货信息!$W:$W)="","","【"&amp;盘货信息!$W$1&amp;"】"&amp;_xlfn.XLOOKUP($A168&amp;$B168&amp;$C168,盘货信息!$A:$A&amp;盘货信息!$B:$B&amp;盘货信息!$C:$C,盘货信息!$W:$W))</f>
        <v/>
      </c>
      <c r="P168" s="27" t="str" cm="1">
        <f t="array" ref="P168">IF(_xlfn.XLOOKUP($A168&amp;$B168&amp;$C168,盘货信息!$A:$A&amp;盘货信息!$B:$B&amp;盘货信息!$C:$C,盘货信息!$S:$S)&lt;1,"","【"&amp;盘货信息!$S$1&amp;"】"&amp;"后返"&amp;_xlfn.XLOOKUP($A168&amp;$B168&amp;$C168,盘货信息!$A:$A&amp;盘货信息!$B:$B&amp;盘货信息!$C:$C,盘货信息!$S:$S)&amp;"元")</f>
        <v/>
      </c>
      <c r="Q168" s="27" t="str" cm="1">
        <f t="array" ref="Q168">IF(_xlfn.XLOOKUP($A168&amp;$B168&amp;$C168,盘货信息!$A:$A&amp;盘货信息!$B:$B&amp;盘货信息!$C:$C,盘货信息!$X:$X)="","","【"&amp;盘货信息!$X$1&amp;"】"&amp;_xlfn.XLOOKUP($A168&amp;$B168&amp;$C168,盘货信息!$A:$A&amp;盘货信息!$B:$B&amp;盘货信息!$C:$C,盘货信息!$X:$X))</f>
        <v/>
      </c>
      <c r="R168" s="27" t="str" cm="1">
        <f t="array" ref="R168">IF(_xlfn.XLOOKUP($A168&amp;$B168&amp;$C168,盘货信息!$A:$A&amp;盘货信息!$B:$B&amp;盘货信息!$C:$C,盘货信息!$Z:$Z)="","","【"&amp;盘货信息!$Z$1&amp;"】"&amp;_xlfn.XLOOKUP($A168&amp;$B168&amp;$C168,盘货信息!$A:$A&amp;盘货信息!$B:$B&amp;盘货信息!$C:$C,盘货信息!$Z:$Z))</f>
        <v/>
      </c>
      <c r="S168" s="27" t="str" cm="1">
        <f t="array" ref="S168">IF(_xlfn.XLOOKUP($A168&amp;$B168&amp;$C168,盘货信息!$A:$A&amp;盘货信息!$B:$B&amp;盘货信息!$C:$C,盘货信息!$Q:$Q)="","","【种草】站外带指定话题种草后返"&amp;_xlfn.XLOOKUP($A168&amp;$B168&amp;$C168,盘货信息!$A:$A&amp;盘货信息!$B:$B&amp;盘货信息!$C:$C,盘货信息!$Q:$Q)&amp;"元红包（每个淘宝账号仅限对应一个站外种草账号，同一个种草账号不可对应多个淘宝账号）")</f>
        <v/>
      </c>
      <c r="T168" s="27" t="str" cm="1">
        <f t="array" ref="T168">IF(_xlfn.XLOOKUP($A168&amp;$B168&amp;$C168,盘货信息!$A:$A&amp;盘货信息!$B:$B&amp;盘货信息!$C:$C,盘货信息!$R:$R)&lt;1,"","【以旧换新】"&amp;"享补贴"&amp;ROUND(_xlfn.XLOOKUP($A168&amp;$B168&amp;$C168,盘货信息!$A:$A&amp;盘货信息!$B:$B&amp;盘货信息!$C:$C,盘货信息!$R:$R),0)&amp;"元（可无旧机换新）")</f>
        <v/>
      </c>
      <c r="U168" s="27" t="str">
        <f>IF(AND($N168="",$O168="",$P168="",$Q168="",$R168="",$S168="",$T168=""),"",固定信息!$B$1)</f>
        <v/>
      </c>
      <c r="V168" s="27" t="str" cm="1">
        <f t="array" ref="V168">IF(_xlfn.XLOOKUP($A168&amp;$B168&amp;$C168,盘货信息!$A:$A&amp;盘货信息!$B:$B&amp;盘货信息!$C:$C,盘货信息!$Y:$Y)="","","【卡萨帝送赠】活动指定时间"&amp;_xlfn.TEXTBEFORE(_xlfn.TEXTAFTER(_xlfn.XLOOKUP($A168&amp;$B168&amp;$C168,盘货信息!$A:$A&amp;盘货信息!$B:$B&amp;盘货信息!$C:$C,盘货信息!$Y:$Y),"点"),"（"))</f>
        <v/>
      </c>
      <c r="W168" s="27" t="str" cm="1">
        <f t="array" ref="W168">IF(COUNTIF(_xlfn.XLOOKUP($A168&amp;$B168&amp;$C168,盘货信息!$A:$A&amp;盘货信息!$B:$B&amp;盘货信息!$C:$C,盘货信息!$O:$O),"*是*"),"【折扣】指定型号满2类享96折，满3类享94折","")</f>
        <v/>
      </c>
      <c r="X168" s="27" t="str" cm="1">
        <f t="array" ref="X168">IF(固定信息!$B$7="","",IF(_xlfn.XLOOKUP($A168&amp;$B168&amp;$C168,盘货信息!$A:$A&amp;盘货信息!$B:$B&amp;盘货信息!$C:$C,盘货信息!$N:$N)="是","【瓜分】"&amp;固定信息!$B$7,""))</f>
        <v/>
      </c>
      <c r="Y168" s="27" t="str">
        <f>IF(AND($V168="",$W168="",$X168=""),"",固定信息!$B$1)</f>
        <v/>
      </c>
      <c r="Z168" s="27" t="str" cm="1">
        <f t="array" ref="Z168">IF($C168="","",_xlfn.XLOOKUP($A168&amp;$B168&amp;$C168,服务!$A:$A&amp;服务!$B:$B&amp;服务!$C:$C,服务!$D:$D))</f>
        <v/>
      </c>
    </row>
    <row r="169" customHeight="1" spans="1:26">
      <c r="A169" s="23" t="str">
        <f>IF(盘货信息!A169="","",盘货信息!A169)</f>
        <v/>
      </c>
      <c r="B169" s="26" t="str">
        <f>IF(盘货信息!B169="","",盘货信息!B169)</f>
        <v/>
      </c>
      <c r="C169" s="23" t="str">
        <f>IF(盘货信息!C169="","",盘货信息!C169)</f>
        <v/>
      </c>
      <c r="D169" s="27" t="str">
        <f ca="1" t="shared" si="2"/>
        <v/>
      </c>
      <c r="E169" s="27" t="str">
        <f>IF(C169="","",固定信息!$B$2)</f>
        <v/>
      </c>
      <c r="F169" s="27" t="str">
        <f>IF(C169="","","【"&amp;C169&amp;"】"&amp;固定信息!$B$4)</f>
        <v/>
      </c>
      <c r="G169" s="27" t="str">
        <f>IF(C169="","","【"&amp;"活动时间："&amp;固定信息!$B$3&amp;"】")</f>
        <v/>
      </c>
      <c r="H169" s="27" t="str">
        <f>IF($C169="","",固定信息!$B$1)</f>
        <v/>
      </c>
      <c r="I169" s="27" t="str">
        <f>IF(OR(C169="",固定信息!$B$5=""),"","【1元预约锁好礼】"&amp;固定信息!$B$5)</f>
        <v/>
      </c>
      <c r="J169" s="27" t="str" cm="1">
        <f t="array" ref="J169">_xlfn.XLOOKUP($A169&amp;$B169&amp;$C169,价格信息!$A:$A&amp;价格信息!$B:$B&amp;价格信息!$C:$C,价格信息!$D:$D)</f>
        <v/>
      </c>
      <c r="K169" s="27" t="str">
        <f>IF($C169="","",固定信息!$B$1)</f>
        <v/>
      </c>
      <c r="L169" s="27" t="str" cm="1">
        <f t="array" ref="L169">IF(_xlfn.XLOOKUP($A169&amp;$B169&amp;$C169,盘货信息!$A:$A&amp;盘货信息!$B:$B&amp;盘货信息!$C:$C,盘货信息!$T:$T)="","","【优惠券】领"&amp;_xlfn.XLOOKUP($A169&amp;$B169&amp;$C169,盘货信息!$A:$A&amp;盘货信息!$B:$B&amp;盘货信息!$C:$C,盘货信息!$T:$T)&amp;"元优惠卷下单更优惠，领券链接："&amp;_xlfn.XLOOKUP($A169&amp;$B169&amp;$C169,盘货信息!$A:$A&amp;盘货信息!$B:$B&amp;盘货信息!$C:$C,盘货信息!$U:$U))</f>
        <v/>
      </c>
      <c r="M169" s="27" t="str" cm="1">
        <f t="array" ref="M169">IF(_xlfn.XLOOKUP($A169&amp;$B169&amp;$C169,盘货信息!$A:$A&amp;盘货信息!$B:$B&amp;盘货信息!$C:$C,盘货信息!$P:$P)="","","【限时】"&amp;_xlfn.XLOOKUP($A169&amp;$B169&amp;$C169,盘货信息!$A:$A&amp;盘货信息!$B:$B&amp;盘货信息!$C:$C,盘货信息!$P:$P))</f>
        <v/>
      </c>
      <c r="N169" s="27" t="str" cm="1">
        <f t="array" ref="N169">IF(_xlfn.XLOOKUP($A169&amp;$B169&amp;$C169,盘货信息!$A:$A&amp;盘货信息!$B:$B&amp;盘货信息!$C:$C,盘货信息!$V:$V)="","","【"&amp;盘货信息!$V$1&amp;"】"&amp;_xlfn.XLOOKUP($A169&amp;$B169&amp;$C169,盘货信息!$A:$A&amp;盘货信息!$B:$B&amp;盘货信息!$C:$C,盘货信息!$V:$V))</f>
        <v/>
      </c>
      <c r="O169" s="27" t="str" cm="1">
        <f t="array" ref="O169">IF(_xlfn.XLOOKUP($A169&amp;$B169&amp;$C169,盘货信息!$A:$A&amp;盘货信息!$B:$B&amp;盘货信息!$C:$C,盘货信息!$W:$W)="","","【"&amp;盘货信息!$W$1&amp;"】"&amp;_xlfn.XLOOKUP($A169&amp;$B169&amp;$C169,盘货信息!$A:$A&amp;盘货信息!$B:$B&amp;盘货信息!$C:$C,盘货信息!$W:$W))</f>
        <v/>
      </c>
      <c r="P169" s="27" t="str" cm="1">
        <f t="array" ref="P169">IF(_xlfn.XLOOKUP($A169&amp;$B169&amp;$C169,盘货信息!$A:$A&amp;盘货信息!$B:$B&amp;盘货信息!$C:$C,盘货信息!$S:$S)&lt;1,"","【"&amp;盘货信息!$S$1&amp;"】"&amp;"后返"&amp;_xlfn.XLOOKUP($A169&amp;$B169&amp;$C169,盘货信息!$A:$A&amp;盘货信息!$B:$B&amp;盘货信息!$C:$C,盘货信息!$S:$S)&amp;"元")</f>
        <v/>
      </c>
      <c r="Q169" s="27" t="str" cm="1">
        <f t="array" ref="Q169">IF(_xlfn.XLOOKUP($A169&amp;$B169&amp;$C169,盘货信息!$A:$A&amp;盘货信息!$B:$B&amp;盘货信息!$C:$C,盘货信息!$X:$X)="","","【"&amp;盘货信息!$X$1&amp;"】"&amp;_xlfn.XLOOKUP($A169&amp;$B169&amp;$C169,盘货信息!$A:$A&amp;盘货信息!$B:$B&amp;盘货信息!$C:$C,盘货信息!$X:$X))</f>
        <v/>
      </c>
      <c r="R169" s="27" t="str" cm="1">
        <f t="array" ref="R169">IF(_xlfn.XLOOKUP($A169&amp;$B169&amp;$C169,盘货信息!$A:$A&amp;盘货信息!$B:$B&amp;盘货信息!$C:$C,盘货信息!$Z:$Z)="","","【"&amp;盘货信息!$Z$1&amp;"】"&amp;_xlfn.XLOOKUP($A169&amp;$B169&amp;$C169,盘货信息!$A:$A&amp;盘货信息!$B:$B&amp;盘货信息!$C:$C,盘货信息!$Z:$Z))</f>
        <v/>
      </c>
      <c r="S169" s="27" t="str" cm="1">
        <f t="array" ref="S169">IF(_xlfn.XLOOKUP($A169&amp;$B169&amp;$C169,盘货信息!$A:$A&amp;盘货信息!$B:$B&amp;盘货信息!$C:$C,盘货信息!$Q:$Q)="","","【种草】站外带指定话题种草后返"&amp;_xlfn.XLOOKUP($A169&amp;$B169&amp;$C169,盘货信息!$A:$A&amp;盘货信息!$B:$B&amp;盘货信息!$C:$C,盘货信息!$Q:$Q)&amp;"元红包（每个淘宝账号仅限对应一个站外种草账号，同一个种草账号不可对应多个淘宝账号）")</f>
        <v/>
      </c>
      <c r="T169" s="27" t="str" cm="1">
        <f t="array" ref="T169">IF(_xlfn.XLOOKUP($A169&amp;$B169&amp;$C169,盘货信息!$A:$A&amp;盘货信息!$B:$B&amp;盘货信息!$C:$C,盘货信息!$R:$R)&lt;1,"","【以旧换新】"&amp;"享补贴"&amp;ROUND(_xlfn.XLOOKUP($A169&amp;$B169&amp;$C169,盘货信息!$A:$A&amp;盘货信息!$B:$B&amp;盘货信息!$C:$C,盘货信息!$R:$R),0)&amp;"元（可无旧机换新）")</f>
        <v/>
      </c>
      <c r="U169" s="27" t="str">
        <f>IF(AND($N169="",$O169="",$P169="",$Q169="",$R169="",$S169="",$T169=""),"",固定信息!$B$1)</f>
        <v/>
      </c>
      <c r="V169" s="27" t="str" cm="1">
        <f t="array" ref="V169">IF(_xlfn.XLOOKUP($A169&amp;$B169&amp;$C169,盘货信息!$A:$A&amp;盘货信息!$B:$B&amp;盘货信息!$C:$C,盘货信息!$Y:$Y)="","","【卡萨帝送赠】活动指定时间"&amp;_xlfn.TEXTBEFORE(_xlfn.TEXTAFTER(_xlfn.XLOOKUP($A169&amp;$B169&amp;$C169,盘货信息!$A:$A&amp;盘货信息!$B:$B&amp;盘货信息!$C:$C,盘货信息!$Y:$Y),"点"),"（"))</f>
        <v/>
      </c>
      <c r="W169" s="27" t="str" cm="1">
        <f t="array" ref="W169">IF(COUNTIF(_xlfn.XLOOKUP($A169&amp;$B169&amp;$C169,盘货信息!$A:$A&amp;盘货信息!$B:$B&amp;盘货信息!$C:$C,盘货信息!$O:$O),"*是*"),"【折扣】指定型号满2类享96折，满3类享94折","")</f>
        <v/>
      </c>
      <c r="X169" s="27" t="str" cm="1">
        <f t="array" ref="X169">IF(固定信息!$B$7="","",IF(_xlfn.XLOOKUP($A169&amp;$B169&amp;$C169,盘货信息!$A:$A&amp;盘货信息!$B:$B&amp;盘货信息!$C:$C,盘货信息!$N:$N)="是","【瓜分】"&amp;固定信息!$B$7,""))</f>
        <v/>
      </c>
      <c r="Y169" s="27" t="str">
        <f>IF(AND($V169="",$W169="",$X169=""),"",固定信息!$B$1)</f>
        <v/>
      </c>
      <c r="Z169" s="27" t="str" cm="1">
        <f t="array" ref="Z169">IF($C169="","",_xlfn.XLOOKUP($A169&amp;$B169&amp;$C169,服务!$A:$A&amp;服务!$B:$B&amp;服务!$C:$C,服务!$D:$D))</f>
        <v/>
      </c>
    </row>
    <row r="170" customHeight="1" spans="1:26">
      <c r="A170" s="23" t="str">
        <f>IF(盘货信息!A170="","",盘货信息!A170)</f>
        <v/>
      </c>
      <c r="B170" s="26" t="str">
        <f>IF(盘货信息!B170="","",盘货信息!B170)</f>
        <v/>
      </c>
      <c r="C170" s="23" t="str">
        <f>IF(盘货信息!C170="","",盘货信息!C170)</f>
        <v/>
      </c>
      <c r="D170" s="27" t="str">
        <f ca="1" t="shared" si="2"/>
        <v/>
      </c>
      <c r="E170" s="27" t="str">
        <f>IF(C170="","",固定信息!$B$2)</f>
        <v/>
      </c>
      <c r="F170" s="27" t="str">
        <f>IF(C170="","","【"&amp;C170&amp;"】"&amp;固定信息!$B$4)</f>
        <v/>
      </c>
      <c r="G170" s="27" t="str">
        <f>IF(C170="","","【"&amp;"活动时间："&amp;固定信息!$B$3&amp;"】")</f>
        <v/>
      </c>
      <c r="H170" s="27" t="str">
        <f>IF($C170="","",固定信息!$B$1)</f>
        <v/>
      </c>
      <c r="I170" s="27" t="str">
        <f>IF(OR(C170="",固定信息!$B$5=""),"","【1元预约锁好礼】"&amp;固定信息!$B$5)</f>
        <v/>
      </c>
      <c r="J170" s="27" t="str" cm="1">
        <f t="array" ref="J170">_xlfn.XLOOKUP($A170&amp;$B170&amp;$C170,价格信息!$A:$A&amp;价格信息!$B:$B&amp;价格信息!$C:$C,价格信息!$D:$D)</f>
        <v/>
      </c>
      <c r="K170" s="27" t="str">
        <f>IF($C170="","",固定信息!$B$1)</f>
        <v/>
      </c>
      <c r="L170" s="27" t="str" cm="1">
        <f t="array" ref="L170">IF(_xlfn.XLOOKUP($A170&amp;$B170&amp;$C170,盘货信息!$A:$A&amp;盘货信息!$B:$B&amp;盘货信息!$C:$C,盘货信息!$T:$T)="","","【优惠券】领"&amp;_xlfn.XLOOKUP($A170&amp;$B170&amp;$C170,盘货信息!$A:$A&amp;盘货信息!$B:$B&amp;盘货信息!$C:$C,盘货信息!$T:$T)&amp;"元优惠卷下单更优惠，领券链接："&amp;_xlfn.XLOOKUP($A170&amp;$B170&amp;$C170,盘货信息!$A:$A&amp;盘货信息!$B:$B&amp;盘货信息!$C:$C,盘货信息!$U:$U))</f>
        <v/>
      </c>
      <c r="M170" s="27" t="str" cm="1">
        <f t="array" ref="M170">IF(_xlfn.XLOOKUP($A170&amp;$B170&amp;$C170,盘货信息!$A:$A&amp;盘货信息!$B:$B&amp;盘货信息!$C:$C,盘货信息!$P:$P)="","","【限时】"&amp;_xlfn.XLOOKUP($A170&amp;$B170&amp;$C170,盘货信息!$A:$A&amp;盘货信息!$B:$B&amp;盘货信息!$C:$C,盘货信息!$P:$P))</f>
        <v/>
      </c>
      <c r="N170" s="27" t="str" cm="1">
        <f t="array" ref="N170">IF(_xlfn.XLOOKUP($A170&amp;$B170&amp;$C170,盘货信息!$A:$A&amp;盘货信息!$B:$B&amp;盘货信息!$C:$C,盘货信息!$V:$V)="","","【"&amp;盘货信息!$V$1&amp;"】"&amp;_xlfn.XLOOKUP($A170&amp;$B170&amp;$C170,盘货信息!$A:$A&amp;盘货信息!$B:$B&amp;盘货信息!$C:$C,盘货信息!$V:$V))</f>
        <v/>
      </c>
      <c r="O170" s="27" t="str" cm="1">
        <f t="array" ref="O170">IF(_xlfn.XLOOKUP($A170&amp;$B170&amp;$C170,盘货信息!$A:$A&amp;盘货信息!$B:$B&amp;盘货信息!$C:$C,盘货信息!$W:$W)="","","【"&amp;盘货信息!$W$1&amp;"】"&amp;_xlfn.XLOOKUP($A170&amp;$B170&amp;$C170,盘货信息!$A:$A&amp;盘货信息!$B:$B&amp;盘货信息!$C:$C,盘货信息!$W:$W))</f>
        <v/>
      </c>
      <c r="P170" s="27" t="str" cm="1">
        <f t="array" ref="P170">IF(_xlfn.XLOOKUP($A170&amp;$B170&amp;$C170,盘货信息!$A:$A&amp;盘货信息!$B:$B&amp;盘货信息!$C:$C,盘货信息!$S:$S)&lt;1,"","【"&amp;盘货信息!$S$1&amp;"】"&amp;"后返"&amp;_xlfn.XLOOKUP($A170&amp;$B170&amp;$C170,盘货信息!$A:$A&amp;盘货信息!$B:$B&amp;盘货信息!$C:$C,盘货信息!$S:$S)&amp;"元")</f>
        <v/>
      </c>
      <c r="Q170" s="27" t="str" cm="1">
        <f t="array" ref="Q170">IF(_xlfn.XLOOKUP($A170&amp;$B170&amp;$C170,盘货信息!$A:$A&amp;盘货信息!$B:$B&amp;盘货信息!$C:$C,盘货信息!$X:$X)="","","【"&amp;盘货信息!$X$1&amp;"】"&amp;_xlfn.XLOOKUP($A170&amp;$B170&amp;$C170,盘货信息!$A:$A&amp;盘货信息!$B:$B&amp;盘货信息!$C:$C,盘货信息!$X:$X))</f>
        <v/>
      </c>
      <c r="R170" s="27" t="str" cm="1">
        <f t="array" ref="R170">IF(_xlfn.XLOOKUP($A170&amp;$B170&amp;$C170,盘货信息!$A:$A&amp;盘货信息!$B:$B&amp;盘货信息!$C:$C,盘货信息!$Z:$Z)="","","【"&amp;盘货信息!$Z$1&amp;"】"&amp;_xlfn.XLOOKUP($A170&amp;$B170&amp;$C170,盘货信息!$A:$A&amp;盘货信息!$B:$B&amp;盘货信息!$C:$C,盘货信息!$Z:$Z))</f>
        <v/>
      </c>
      <c r="S170" s="27" t="str" cm="1">
        <f t="array" ref="S170">IF(_xlfn.XLOOKUP($A170&amp;$B170&amp;$C170,盘货信息!$A:$A&amp;盘货信息!$B:$B&amp;盘货信息!$C:$C,盘货信息!$Q:$Q)="","","【种草】站外带指定话题种草后返"&amp;_xlfn.XLOOKUP($A170&amp;$B170&amp;$C170,盘货信息!$A:$A&amp;盘货信息!$B:$B&amp;盘货信息!$C:$C,盘货信息!$Q:$Q)&amp;"元红包（每个淘宝账号仅限对应一个站外种草账号，同一个种草账号不可对应多个淘宝账号）")</f>
        <v/>
      </c>
      <c r="T170" s="27" t="str" cm="1">
        <f t="array" ref="T170">IF(_xlfn.XLOOKUP($A170&amp;$B170&amp;$C170,盘货信息!$A:$A&amp;盘货信息!$B:$B&amp;盘货信息!$C:$C,盘货信息!$R:$R)&lt;1,"","【以旧换新】"&amp;"享补贴"&amp;ROUND(_xlfn.XLOOKUP($A170&amp;$B170&amp;$C170,盘货信息!$A:$A&amp;盘货信息!$B:$B&amp;盘货信息!$C:$C,盘货信息!$R:$R),0)&amp;"元（可无旧机换新）")</f>
        <v/>
      </c>
      <c r="U170" s="27" t="str">
        <f>IF(AND($N170="",$O170="",$P170="",$Q170="",$R170="",$S170="",$T170=""),"",固定信息!$B$1)</f>
        <v/>
      </c>
      <c r="V170" s="27" t="str" cm="1">
        <f t="array" ref="V170">IF(_xlfn.XLOOKUP($A170&amp;$B170&amp;$C170,盘货信息!$A:$A&amp;盘货信息!$B:$B&amp;盘货信息!$C:$C,盘货信息!$Y:$Y)="","","【卡萨帝送赠】活动指定时间"&amp;_xlfn.TEXTBEFORE(_xlfn.TEXTAFTER(_xlfn.XLOOKUP($A170&amp;$B170&amp;$C170,盘货信息!$A:$A&amp;盘货信息!$B:$B&amp;盘货信息!$C:$C,盘货信息!$Y:$Y),"点"),"（"))</f>
        <v/>
      </c>
      <c r="W170" s="27" t="str" cm="1">
        <f t="array" ref="W170">IF(COUNTIF(_xlfn.XLOOKUP($A170&amp;$B170&amp;$C170,盘货信息!$A:$A&amp;盘货信息!$B:$B&amp;盘货信息!$C:$C,盘货信息!$O:$O),"*是*"),"【折扣】指定型号满2类享96折，满3类享94折","")</f>
        <v/>
      </c>
      <c r="X170" s="27" t="str" cm="1">
        <f t="array" ref="X170">IF(固定信息!$B$7="","",IF(_xlfn.XLOOKUP($A170&amp;$B170&amp;$C170,盘货信息!$A:$A&amp;盘货信息!$B:$B&amp;盘货信息!$C:$C,盘货信息!$N:$N)="是","【瓜分】"&amp;固定信息!$B$7,""))</f>
        <v/>
      </c>
      <c r="Y170" s="27" t="str">
        <f>IF(AND($V170="",$W170="",$X170=""),"",固定信息!$B$1)</f>
        <v/>
      </c>
      <c r="Z170" s="27" t="str" cm="1">
        <f t="array" ref="Z170">IF($C170="","",_xlfn.XLOOKUP($A170&amp;$B170&amp;$C170,服务!$A:$A&amp;服务!$B:$B&amp;服务!$C:$C,服务!$D:$D))</f>
        <v/>
      </c>
    </row>
    <row r="171" customHeight="1" spans="1:26">
      <c r="A171" s="23" t="str">
        <f>IF(盘货信息!A171="","",盘货信息!A171)</f>
        <v/>
      </c>
      <c r="B171" s="26" t="str">
        <f>IF(盘货信息!B171="","",盘货信息!B171)</f>
        <v/>
      </c>
      <c r="C171" s="23" t="str">
        <f>IF(盘货信息!C171="","",盘货信息!C171)</f>
        <v/>
      </c>
      <c r="D171" s="27" t="str">
        <f ca="1" t="shared" si="2"/>
        <v/>
      </c>
      <c r="E171" s="27" t="str">
        <f>IF(C171="","",固定信息!$B$2)</f>
        <v/>
      </c>
      <c r="F171" s="27" t="str">
        <f>IF(C171="","","【"&amp;C171&amp;"】"&amp;固定信息!$B$4)</f>
        <v/>
      </c>
      <c r="G171" s="27" t="str">
        <f>IF(C171="","","【"&amp;"活动时间："&amp;固定信息!$B$3&amp;"】")</f>
        <v/>
      </c>
      <c r="H171" s="27" t="str">
        <f>IF($C171="","",固定信息!$B$1)</f>
        <v/>
      </c>
      <c r="I171" s="27" t="str">
        <f>IF(OR(C171="",固定信息!$B$5=""),"","【1元预约锁好礼】"&amp;固定信息!$B$5)</f>
        <v/>
      </c>
      <c r="J171" s="27" t="str" cm="1">
        <f t="array" ref="J171">_xlfn.XLOOKUP($A171&amp;$B171&amp;$C171,价格信息!$A:$A&amp;价格信息!$B:$B&amp;价格信息!$C:$C,价格信息!$D:$D)</f>
        <v/>
      </c>
      <c r="K171" s="27" t="str">
        <f>IF($C171="","",固定信息!$B$1)</f>
        <v/>
      </c>
      <c r="L171" s="27" t="str" cm="1">
        <f t="array" ref="L171">IF(_xlfn.XLOOKUP($A171&amp;$B171&amp;$C171,盘货信息!$A:$A&amp;盘货信息!$B:$B&amp;盘货信息!$C:$C,盘货信息!$T:$T)="","","【优惠券】领"&amp;_xlfn.XLOOKUP($A171&amp;$B171&amp;$C171,盘货信息!$A:$A&amp;盘货信息!$B:$B&amp;盘货信息!$C:$C,盘货信息!$T:$T)&amp;"元优惠卷下单更优惠，领券链接："&amp;_xlfn.XLOOKUP($A171&amp;$B171&amp;$C171,盘货信息!$A:$A&amp;盘货信息!$B:$B&amp;盘货信息!$C:$C,盘货信息!$U:$U))</f>
        <v/>
      </c>
      <c r="M171" s="27" t="str" cm="1">
        <f t="array" ref="M171">IF(_xlfn.XLOOKUP($A171&amp;$B171&amp;$C171,盘货信息!$A:$A&amp;盘货信息!$B:$B&amp;盘货信息!$C:$C,盘货信息!$P:$P)="","","【限时】"&amp;_xlfn.XLOOKUP($A171&amp;$B171&amp;$C171,盘货信息!$A:$A&amp;盘货信息!$B:$B&amp;盘货信息!$C:$C,盘货信息!$P:$P))</f>
        <v/>
      </c>
      <c r="N171" s="27" t="str" cm="1">
        <f t="array" ref="N171">IF(_xlfn.XLOOKUP($A171&amp;$B171&amp;$C171,盘货信息!$A:$A&amp;盘货信息!$B:$B&amp;盘货信息!$C:$C,盘货信息!$V:$V)="","","【"&amp;盘货信息!$V$1&amp;"】"&amp;_xlfn.XLOOKUP($A171&amp;$B171&amp;$C171,盘货信息!$A:$A&amp;盘货信息!$B:$B&amp;盘货信息!$C:$C,盘货信息!$V:$V))</f>
        <v/>
      </c>
      <c r="O171" s="27" t="str" cm="1">
        <f t="array" ref="O171">IF(_xlfn.XLOOKUP($A171&amp;$B171&amp;$C171,盘货信息!$A:$A&amp;盘货信息!$B:$B&amp;盘货信息!$C:$C,盘货信息!$W:$W)="","","【"&amp;盘货信息!$W$1&amp;"】"&amp;_xlfn.XLOOKUP($A171&amp;$B171&amp;$C171,盘货信息!$A:$A&amp;盘货信息!$B:$B&amp;盘货信息!$C:$C,盘货信息!$W:$W))</f>
        <v/>
      </c>
      <c r="P171" s="27" t="str" cm="1">
        <f t="array" ref="P171">IF(_xlfn.XLOOKUP($A171&amp;$B171&amp;$C171,盘货信息!$A:$A&amp;盘货信息!$B:$B&amp;盘货信息!$C:$C,盘货信息!$S:$S)&lt;1,"","【"&amp;盘货信息!$S$1&amp;"】"&amp;"后返"&amp;_xlfn.XLOOKUP($A171&amp;$B171&amp;$C171,盘货信息!$A:$A&amp;盘货信息!$B:$B&amp;盘货信息!$C:$C,盘货信息!$S:$S)&amp;"元")</f>
        <v/>
      </c>
      <c r="Q171" s="27" t="str" cm="1">
        <f t="array" ref="Q171">IF(_xlfn.XLOOKUP($A171&amp;$B171&amp;$C171,盘货信息!$A:$A&amp;盘货信息!$B:$B&amp;盘货信息!$C:$C,盘货信息!$X:$X)="","","【"&amp;盘货信息!$X$1&amp;"】"&amp;_xlfn.XLOOKUP($A171&amp;$B171&amp;$C171,盘货信息!$A:$A&amp;盘货信息!$B:$B&amp;盘货信息!$C:$C,盘货信息!$X:$X))</f>
        <v/>
      </c>
      <c r="R171" s="27" t="str" cm="1">
        <f t="array" ref="R171">IF(_xlfn.XLOOKUP($A171&amp;$B171&amp;$C171,盘货信息!$A:$A&amp;盘货信息!$B:$B&amp;盘货信息!$C:$C,盘货信息!$Z:$Z)="","","【"&amp;盘货信息!$Z$1&amp;"】"&amp;_xlfn.XLOOKUP($A171&amp;$B171&amp;$C171,盘货信息!$A:$A&amp;盘货信息!$B:$B&amp;盘货信息!$C:$C,盘货信息!$Z:$Z))</f>
        <v/>
      </c>
      <c r="S171" s="27" t="str" cm="1">
        <f t="array" ref="S171">IF(_xlfn.XLOOKUP($A171&amp;$B171&amp;$C171,盘货信息!$A:$A&amp;盘货信息!$B:$B&amp;盘货信息!$C:$C,盘货信息!$Q:$Q)="","","【种草】站外带指定话题种草后返"&amp;_xlfn.XLOOKUP($A171&amp;$B171&amp;$C171,盘货信息!$A:$A&amp;盘货信息!$B:$B&amp;盘货信息!$C:$C,盘货信息!$Q:$Q)&amp;"元红包（每个淘宝账号仅限对应一个站外种草账号，同一个种草账号不可对应多个淘宝账号）")</f>
        <v/>
      </c>
      <c r="T171" s="27" t="str" cm="1">
        <f t="array" ref="T171">IF(_xlfn.XLOOKUP($A171&amp;$B171&amp;$C171,盘货信息!$A:$A&amp;盘货信息!$B:$B&amp;盘货信息!$C:$C,盘货信息!$R:$R)&lt;1,"","【以旧换新】"&amp;"享补贴"&amp;ROUND(_xlfn.XLOOKUP($A171&amp;$B171&amp;$C171,盘货信息!$A:$A&amp;盘货信息!$B:$B&amp;盘货信息!$C:$C,盘货信息!$R:$R),0)&amp;"元（可无旧机换新）")</f>
        <v/>
      </c>
      <c r="U171" s="27" t="str">
        <f>IF(AND($N171="",$O171="",$P171="",$Q171="",$R171="",$S171="",$T171=""),"",固定信息!$B$1)</f>
        <v/>
      </c>
      <c r="V171" s="27" t="str" cm="1">
        <f t="array" ref="V171">IF(_xlfn.XLOOKUP($A171&amp;$B171&amp;$C171,盘货信息!$A:$A&amp;盘货信息!$B:$B&amp;盘货信息!$C:$C,盘货信息!$Y:$Y)="","","【卡萨帝送赠】活动指定时间"&amp;_xlfn.TEXTBEFORE(_xlfn.TEXTAFTER(_xlfn.XLOOKUP($A171&amp;$B171&amp;$C171,盘货信息!$A:$A&amp;盘货信息!$B:$B&amp;盘货信息!$C:$C,盘货信息!$Y:$Y),"点"),"（"))</f>
        <v/>
      </c>
      <c r="W171" s="27" t="str" cm="1">
        <f t="array" ref="W171">IF(COUNTIF(_xlfn.XLOOKUP($A171&amp;$B171&amp;$C171,盘货信息!$A:$A&amp;盘货信息!$B:$B&amp;盘货信息!$C:$C,盘货信息!$O:$O),"*是*"),"【折扣】指定型号满2类享96折，满3类享94折","")</f>
        <v/>
      </c>
      <c r="X171" s="27" t="str" cm="1">
        <f t="array" ref="X171">IF(固定信息!$B$7="","",IF(_xlfn.XLOOKUP($A171&amp;$B171&amp;$C171,盘货信息!$A:$A&amp;盘货信息!$B:$B&amp;盘货信息!$C:$C,盘货信息!$N:$N)="是","【瓜分】"&amp;固定信息!$B$7,""))</f>
        <v/>
      </c>
      <c r="Y171" s="27" t="str">
        <f>IF(AND($V171="",$W171="",$X171=""),"",固定信息!$B$1)</f>
        <v/>
      </c>
      <c r="Z171" s="27" t="str" cm="1">
        <f t="array" ref="Z171">IF($C171="","",_xlfn.XLOOKUP($A171&amp;$B171&amp;$C171,服务!$A:$A&amp;服务!$B:$B&amp;服务!$C:$C,服务!$D:$D))</f>
        <v/>
      </c>
    </row>
    <row r="172" customHeight="1" spans="1:26">
      <c r="A172" s="23" t="str">
        <f>IF(盘货信息!A172="","",盘货信息!A172)</f>
        <v/>
      </c>
      <c r="B172" s="26" t="str">
        <f>IF(盘货信息!B172="","",盘货信息!B172)</f>
        <v/>
      </c>
      <c r="C172" s="23" t="str">
        <f>IF(盘货信息!C172="","",盘货信息!C172)</f>
        <v/>
      </c>
      <c r="D172" s="27" t="str">
        <f ca="1" t="shared" si="2"/>
        <v/>
      </c>
      <c r="E172" s="27" t="str">
        <f>IF(C172="","",固定信息!$B$2)</f>
        <v/>
      </c>
      <c r="F172" s="27" t="str">
        <f>IF(C172="","","【"&amp;C172&amp;"】"&amp;固定信息!$B$4)</f>
        <v/>
      </c>
      <c r="G172" s="27" t="str">
        <f>IF(C172="","","【"&amp;"活动时间："&amp;固定信息!$B$3&amp;"】")</f>
        <v/>
      </c>
      <c r="H172" s="27" t="str">
        <f>IF($C172="","",固定信息!$B$1)</f>
        <v/>
      </c>
      <c r="I172" s="27" t="str">
        <f>IF(OR(C172="",固定信息!$B$5=""),"","【1元预约锁好礼】"&amp;固定信息!$B$5)</f>
        <v/>
      </c>
      <c r="J172" s="27" t="str" cm="1">
        <f t="array" ref="J172">_xlfn.XLOOKUP($A172&amp;$B172&amp;$C172,价格信息!$A:$A&amp;价格信息!$B:$B&amp;价格信息!$C:$C,价格信息!$D:$D)</f>
        <v/>
      </c>
      <c r="K172" s="27" t="str">
        <f>IF($C172="","",固定信息!$B$1)</f>
        <v/>
      </c>
      <c r="L172" s="27" t="str" cm="1">
        <f t="array" ref="L172">IF(_xlfn.XLOOKUP($A172&amp;$B172&amp;$C172,盘货信息!$A:$A&amp;盘货信息!$B:$B&amp;盘货信息!$C:$C,盘货信息!$T:$T)="","","【优惠券】领"&amp;_xlfn.XLOOKUP($A172&amp;$B172&amp;$C172,盘货信息!$A:$A&amp;盘货信息!$B:$B&amp;盘货信息!$C:$C,盘货信息!$T:$T)&amp;"元优惠卷下单更优惠，领券链接："&amp;_xlfn.XLOOKUP($A172&amp;$B172&amp;$C172,盘货信息!$A:$A&amp;盘货信息!$B:$B&amp;盘货信息!$C:$C,盘货信息!$U:$U))</f>
        <v/>
      </c>
      <c r="M172" s="27" t="str" cm="1">
        <f t="array" ref="M172">IF(_xlfn.XLOOKUP($A172&amp;$B172&amp;$C172,盘货信息!$A:$A&amp;盘货信息!$B:$B&amp;盘货信息!$C:$C,盘货信息!$P:$P)="","","【限时】"&amp;_xlfn.XLOOKUP($A172&amp;$B172&amp;$C172,盘货信息!$A:$A&amp;盘货信息!$B:$B&amp;盘货信息!$C:$C,盘货信息!$P:$P))</f>
        <v/>
      </c>
      <c r="N172" s="27" t="str" cm="1">
        <f t="array" ref="N172">IF(_xlfn.XLOOKUP($A172&amp;$B172&amp;$C172,盘货信息!$A:$A&amp;盘货信息!$B:$B&amp;盘货信息!$C:$C,盘货信息!$V:$V)="","","【"&amp;盘货信息!$V$1&amp;"】"&amp;_xlfn.XLOOKUP($A172&amp;$B172&amp;$C172,盘货信息!$A:$A&amp;盘货信息!$B:$B&amp;盘货信息!$C:$C,盘货信息!$V:$V))</f>
        <v/>
      </c>
      <c r="O172" s="27" t="str" cm="1">
        <f t="array" ref="O172">IF(_xlfn.XLOOKUP($A172&amp;$B172&amp;$C172,盘货信息!$A:$A&amp;盘货信息!$B:$B&amp;盘货信息!$C:$C,盘货信息!$W:$W)="","","【"&amp;盘货信息!$W$1&amp;"】"&amp;_xlfn.XLOOKUP($A172&amp;$B172&amp;$C172,盘货信息!$A:$A&amp;盘货信息!$B:$B&amp;盘货信息!$C:$C,盘货信息!$W:$W))</f>
        <v/>
      </c>
      <c r="P172" s="27" t="str" cm="1">
        <f t="array" ref="P172">IF(_xlfn.XLOOKUP($A172&amp;$B172&amp;$C172,盘货信息!$A:$A&amp;盘货信息!$B:$B&amp;盘货信息!$C:$C,盘货信息!$S:$S)&lt;1,"","【"&amp;盘货信息!$S$1&amp;"】"&amp;"后返"&amp;_xlfn.XLOOKUP($A172&amp;$B172&amp;$C172,盘货信息!$A:$A&amp;盘货信息!$B:$B&amp;盘货信息!$C:$C,盘货信息!$S:$S)&amp;"元")</f>
        <v/>
      </c>
      <c r="Q172" s="27" t="str" cm="1">
        <f t="array" ref="Q172">IF(_xlfn.XLOOKUP($A172&amp;$B172&amp;$C172,盘货信息!$A:$A&amp;盘货信息!$B:$B&amp;盘货信息!$C:$C,盘货信息!$X:$X)="","","【"&amp;盘货信息!$X$1&amp;"】"&amp;_xlfn.XLOOKUP($A172&amp;$B172&amp;$C172,盘货信息!$A:$A&amp;盘货信息!$B:$B&amp;盘货信息!$C:$C,盘货信息!$X:$X))</f>
        <v/>
      </c>
      <c r="R172" s="27" t="str" cm="1">
        <f t="array" ref="R172">IF(_xlfn.XLOOKUP($A172&amp;$B172&amp;$C172,盘货信息!$A:$A&amp;盘货信息!$B:$B&amp;盘货信息!$C:$C,盘货信息!$Z:$Z)="","","【"&amp;盘货信息!$Z$1&amp;"】"&amp;_xlfn.XLOOKUP($A172&amp;$B172&amp;$C172,盘货信息!$A:$A&amp;盘货信息!$B:$B&amp;盘货信息!$C:$C,盘货信息!$Z:$Z))</f>
        <v/>
      </c>
      <c r="S172" s="27" t="str" cm="1">
        <f t="array" ref="S172">IF(_xlfn.XLOOKUP($A172&amp;$B172&amp;$C172,盘货信息!$A:$A&amp;盘货信息!$B:$B&amp;盘货信息!$C:$C,盘货信息!$Q:$Q)="","","【种草】站外带指定话题种草后返"&amp;_xlfn.XLOOKUP($A172&amp;$B172&amp;$C172,盘货信息!$A:$A&amp;盘货信息!$B:$B&amp;盘货信息!$C:$C,盘货信息!$Q:$Q)&amp;"元红包（每个淘宝账号仅限对应一个站外种草账号，同一个种草账号不可对应多个淘宝账号）")</f>
        <v/>
      </c>
      <c r="T172" s="27" t="str" cm="1">
        <f t="array" ref="T172">IF(_xlfn.XLOOKUP($A172&amp;$B172&amp;$C172,盘货信息!$A:$A&amp;盘货信息!$B:$B&amp;盘货信息!$C:$C,盘货信息!$R:$R)&lt;1,"","【以旧换新】"&amp;"享补贴"&amp;ROUND(_xlfn.XLOOKUP($A172&amp;$B172&amp;$C172,盘货信息!$A:$A&amp;盘货信息!$B:$B&amp;盘货信息!$C:$C,盘货信息!$R:$R),0)&amp;"元（可无旧机换新）")</f>
        <v/>
      </c>
      <c r="U172" s="27" t="str">
        <f>IF(AND($N172="",$O172="",$P172="",$Q172="",$R172="",$S172="",$T172=""),"",固定信息!$B$1)</f>
        <v/>
      </c>
      <c r="V172" s="27" t="str" cm="1">
        <f t="array" ref="V172">IF(_xlfn.XLOOKUP($A172&amp;$B172&amp;$C172,盘货信息!$A:$A&amp;盘货信息!$B:$B&amp;盘货信息!$C:$C,盘货信息!$Y:$Y)="","","【卡萨帝送赠】活动指定时间"&amp;_xlfn.TEXTBEFORE(_xlfn.TEXTAFTER(_xlfn.XLOOKUP($A172&amp;$B172&amp;$C172,盘货信息!$A:$A&amp;盘货信息!$B:$B&amp;盘货信息!$C:$C,盘货信息!$Y:$Y),"点"),"（"))</f>
        <v/>
      </c>
      <c r="W172" s="27" t="str" cm="1">
        <f t="array" ref="W172">IF(COUNTIF(_xlfn.XLOOKUP($A172&amp;$B172&amp;$C172,盘货信息!$A:$A&amp;盘货信息!$B:$B&amp;盘货信息!$C:$C,盘货信息!$O:$O),"*是*"),"【折扣】指定型号满2类享96折，满3类享94折","")</f>
        <v/>
      </c>
      <c r="X172" s="27" t="str" cm="1">
        <f t="array" ref="X172">IF(固定信息!$B$7="","",IF(_xlfn.XLOOKUP($A172&amp;$B172&amp;$C172,盘货信息!$A:$A&amp;盘货信息!$B:$B&amp;盘货信息!$C:$C,盘货信息!$N:$N)="是","【瓜分】"&amp;固定信息!$B$7,""))</f>
        <v/>
      </c>
      <c r="Y172" s="27" t="str">
        <f>IF(AND($V172="",$W172="",$X172=""),"",固定信息!$B$1)</f>
        <v/>
      </c>
      <c r="Z172" s="27" t="str" cm="1">
        <f t="array" ref="Z172">IF($C172="","",_xlfn.XLOOKUP($A172&amp;$B172&amp;$C172,服务!$A:$A&amp;服务!$B:$B&amp;服务!$C:$C,服务!$D:$D))</f>
        <v/>
      </c>
    </row>
    <row r="173" customHeight="1" spans="1:26">
      <c r="A173" s="23" t="str">
        <f>IF(盘货信息!A173="","",盘货信息!A173)</f>
        <v/>
      </c>
      <c r="B173" s="26" t="str">
        <f>IF(盘货信息!B173="","",盘货信息!B173)</f>
        <v/>
      </c>
      <c r="C173" s="23" t="str">
        <f>IF(盘货信息!C173="","",盘货信息!C173)</f>
        <v/>
      </c>
      <c r="D173" s="27" t="str">
        <f ca="1" t="shared" si="2"/>
        <v/>
      </c>
      <c r="E173" s="27" t="str">
        <f>IF(C173="","",固定信息!$B$2)</f>
        <v/>
      </c>
      <c r="F173" s="27" t="str">
        <f>IF(C173="","","【"&amp;C173&amp;"】"&amp;固定信息!$B$4)</f>
        <v/>
      </c>
      <c r="G173" s="27" t="str">
        <f>IF(C173="","","【"&amp;"活动时间："&amp;固定信息!$B$3&amp;"】")</f>
        <v/>
      </c>
      <c r="H173" s="27" t="str">
        <f>IF($C173="","",固定信息!$B$1)</f>
        <v/>
      </c>
      <c r="I173" s="27" t="str">
        <f>IF(OR(C173="",固定信息!$B$5=""),"","【1元预约锁好礼】"&amp;固定信息!$B$5)</f>
        <v/>
      </c>
      <c r="J173" s="27" t="str" cm="1">
        <f t="array" ref="J173">_xlfn.XLOOKUP($A173&amp;$B173&amp;$C173,价格信息!$A:$A&amp;价格信息!$B:$B&amp;价格信息!$C:$C,价格信息!$D:$D)</f>
        <v/>
      </c>
      <c r="K173" s="27" t="str">
        <f>IF($C173="","",固定信息!$B$1)</f>
        <v/>
      </c>
      <c r="L173" s="27" t="str" cm="1">
        <f t="array" ref="L173">IF(_xlfn.XLOOKUP($A173&amp;$B173&amp;$C173,盘货信息!$A:$A&amp;盘货信息!$B:$B&amp;盘货信息!$C:$C,盘货信息!$T:$T)="","","【优惠券】领"&amp;_xlfn.XLOOKUP($A173&amp;$B173&amp;$C173,盘货信息!$A:$A&amp;盘货信息!$B:$B&amp;盘货信息!$C:$C,盘货信息!$T:$T)&amp;"元优惠卷下单更优惠，领券链接："&amp;_xlfn.XLOOKUP($A173&amp;$B173&amp;$C173,盘货信息!$A:$A&amp;盘货信息!$B:$B&amp;盘货信息!$C:$C,盘货信息!$U:$U))</f>
        <v/>
      </c>
      <c r="M173" s="27" t="str" cm="1">
        <f t="array" ref="M173">IF(_xlfn.XLOOKUP($A173&amp;$B173&amp;$C173,盘货信息!$A:$A&amp;盘货信息!$B:$B&amp;盘货信息!$C:$C,盘货信息!$P:$P)="","","【限时】"&amp;_xlfn.XLOOKUP($A173&amp;$B173&amp;$C173,盘货信息!$A:$A&amp;盘货信息!$B:$B&amp;盘货信息!$C:$C,盘货信息!$P:$P))</f>
        <v/>
      </c>
      <c r="N173" s="27" t="str" cm="1">
        <f t="array" ref="N173">IF(_xlfn.XLOOKUP($A173&amp;$B173&amp;$C173,盘货信息!$A:$A&amp;盘货信息!$B:$B&amp;盘货信息!$C:$C,盘货信息!$V:$V)="","","【"&amp;盘货信息!$V$1&amp;"】"&amp;_xlfn.XLOOKUP($A173&amp;$B173&amp;$C173,盘货信息!$A:$A&amp;盘货信息!$B:$B&amp;盘货信息!$C:$C,盘货信息!$V:$V))</f>
        <v/>
      </c>
      <c r="O173" s="27" t="str" cm="1">
        <f t="array" ref="O173">IF(_xlfn.XLOOKUP($A173&amp;$B173&amp;$C173,盘货信息!$A:$A&amp;盘货信息!$B:$B&amp;盘货信息!$C:$C,盘货信息!$W:$W)="","","【"&amp;盘货信息!$W$1&amp;"】"&amp;_xlfn.XLOOKUP($A173&amp;$B173&amp;$C173,盘货信息!$A:$A&amp;盘货信息!$B:$B&amp;盘货信息!$C:$C,盘货信息!$W:$W))</f>
        <v/>
      </c>
      <c r="P173" s="27" t="str" cm="1">
        <f t="array" ref="P173">IF(_xlfn.XLOOKUP($A173&amp;$B173&amp;$C173,盘货信息!$A:$A&amp;盘货信息!$B:$B&amp;盘货信息!$C:$C,盘货信息!$S:$S)&lt;1,"","【"&amp;盘货信息!$S$1&amp;"】"&amp;"后返"&amp;_xlfn.XLOOKUP($A173&amp;$B173&amp;$C173,盘货信息!$A:$A&amp;盘货信息!$B:$B&amp;盘货信息!$C:$C,盘货信息!$S:$S)&amp;"元")</f>
        <v/>
      </c>
      <c r="Q173" s="27" t="str" cm="1">
        <f t="array" ref="Q173">IF(_xlfn.XLOOKUP($A173&amp;$B173&amp;$C173,盘货信息!$A:$A&amp;盘货信息!$B:$B&amp;盘货信息!$C:$C,盘货信息!$X:$X)="","","【"&amp;盘货信息!$X$1&amp;"】"&amp;_xlfn.XLOOKUP($A173&amp;$B173&amp;$C173,盘货信息!$A:$A&amp;盘货信息!$B:$B&amp;盘货信息!$C:$C,盘货信息!$X:$X))</f>
        <v/>
      </c>
      <c r="R173" s="27" t="str" cm="1">
        <f t="array" ref="R173">IF(_xlfn.XLOOKUP($A173&amp;$B173&amp;$C173,盘货信息!$A:$A&amp;盘货信息!$B:$B&amp;盘货信息!$C:$C,盘货信息!$Z:$Z)="","","【"&amp;盘货信息!$Z$1&amp;"】"&amp;_xlfn.XLOOKUP($A173&amp;$B173&amp;$C173,盘货信息!$A:$A&amp;盘货信息!$B:$B&amp;盘货信息!$C:$C,盘货信息!$Z:$Z))</f>
        <v/>
      </c>
      <c r="S173" s="27" t="str" cm="1">
        <f t="array" ref="S173">IF(_xlfn.XLOOKUP($A173&amp;$B173&amp;$C173,盘货信息!$A:$A&amp;盘货信息!$B:$B&amp;盘货信息!$C:$C,盘货信息!$Q:$Q)="","","【种草】站外带指定话题种草后返"&amp;_xlfn.XLOOKUP($A173&amp;$B173&amp;$C173,盘货信息!$A:$A&amp;盘货信息!$B:$B&amp;盘货信息!$C:$C,盘货信息!$Q:$Q)&amp;"元红包（每个淘宝账号仅限对应一个站外种草账号，同一个种草账号不可对应多个淘宝账号）")</f>
        <v/>
      </c>
      <c r="T173" s="27" t="str" cm="1">
        <f t="array" ref="T173">IF(_xlfn.XLOOKUP($A173&amp;$B173&amp;$C173,盘货信息!$A:$A&amp;盘货信息!$B:$B&amp;盘货信息!$C:$C,盘货信息!$R:$R)&lt;1,"","【以旧换新】"&amp;"享补贴"&amp;ROUND(_xlfn.XLOOKUP($A173&amp;$B173&amp;$C173,盘货信息!$A:$A&amp;盘货信息!$B:$B&amp;盘货信息!$C:$C,盘货信息!$R:$R),0)&amp;"元（可无旧机换新）")</f>
        <v/>
      </c>
      <c r="U173" s="27" t="str">
        <f>IF(AND($N173="",$O173="",$P173="",$Q173="",$R173="",$S173="",$T173=""),"",固定信息!$B$1)</f>
        <v/>
      </c>
      <c r="V173" s="27" t="str" cm="1">
        <f t="array" ref="V173">IF(_xlfn.XLOOKUP($A173&amp;$B173&amp;$C173,盘货信息!$A:$A&amp;盘货信息!$B:$B&amp;盘货信息!$C:$C,盘货信息!$Y:$Y)="","","【卡萨帝送赠】活动指定时间"&amp;_xlfn.TEXTBEFORE(_xlfn.TEXTAFTER(_xlfn.XLOOKUP($A173&amp;$B173&amp;$C173,盘货信息!$A:$A&amp;盘货信息!$B:$B&amp;盘货信息!$C:$C,盘货信息!$Y:$Y),"点"),"（"))</f>
        <v/>
      </c>
      <c r="W173" s="27" t="str" cm="1">
        <f t="array" ref="W173">IF(COUNTIF(_xlfn.XLOOKUP($A173&amp;$B173&amp;$C173,盘货信息!$A:$A&amp;盘货信息!$B:$B&amp;盘货信息!$C:$C,盘货信息!$O:$O),"*是*"),"【折扣】指定型号满2类享96折，满3类享94折","")</f>
        <v/>
      </c>
      <c r="X173" s="27" t="str" cm="1">
        <f t="array" ref="X173">IF(固定信息!$B$7="","",IF(_xlfn.XLOOKUP($A173&amp;$B173&amp;$C173,盘货信息!$A:$A&amp;盘货信息!$B:$B&amp;盘货信息!$C:$C,盘货信息!$N:$N)="是","【瓜分】"&amp;固定信息!$B$7,""))</f>
        <v/>
      </c>
      <c r="Y173" s="27" t="str">
        <f>IF(AND($V173="",$W173="",$X173=""),"",固定信息!$B$1)</f>
        <v/>
      </c>
      <c r="Z173" s="27" t="str" cm="1">
        <f t="array" ref="Z173">IF($C173="","",_xlfn.XLOOKUP($A173&amp;$B173&amp;$C173,服务!$A:$A&amp;服务!$B:$B&amp;服务!$C:$C,服务!$D:$D))</f>
        <v/>
      </c>
    </row>
    <row r="174" customHeight="1" spans="1:26">
      <c r="A174" s="23" t="str">
        <f>IF(盘货信息!A174="","",盘货信息!A174)</f>
        <v/>
      </c>
      <c r="B174" s="26" t="str">
        <f>IF(盘货信息!B174="","",盘货信息!B174)</f>
        <v/>
      </c>
      <c r="C174" s="23" t="str">
        <f>IF(盘货信息!C174="","",盘货信息!C174)</f>
        <v/>
      </c>
      <c r="D174" s="27" t="str">
        <f ca="1" t="shared" si="2"/>
        <v/>
      </c>
      <c r="E174" s="27" t="str">
        <f>IF(C174="","",固定信息!$B$2)</f>
        <v/>
      </c>
      <c r="F174" s="27" t="str">
        <f>IF(C174="","","【"&amp;C174&amp;"】"&amp;固定信息!$B$4)</f>
        <v/>
      </c>
      <c r="G174" s="27" t="str">
        <f>IF(C174="","","【"&amp;"活动时间："&amp;固定信息!$B$3&amp;"】")</f>
        <v/>
      </c>
      <c r="H174" s="27" t="str">
        <f>IF($C174="","",固定信息!$B$1)</f>
        <v/>
      </c>
      <c r="I174" s="27" t="str">
        <f>IF(OR(C174="",固定信息!$B$5=""),"","【1元预约锁好礼】"&amp;固定信息!$B$5)</f>
        <v/>
      </c>
      <c r="J174" s="27" t="str" cm="1">
        <f t="array" ref="J174">_xlfn.XLOOKUP($A174&amp;$B174&amp;$C174,价格信息!$A:$A&amp;价格信息!$B:$B&amp;价格信息!$C:$C,价格信息!$D:$D)</f>
        <v/>
      </c>
      <c r="K174" s="27" t="str">
        <f>IF($C174="","",固定信息!$B$1)</f>
        <v/>
      </c>
      <c r="L174" s="27" t="str" cm="1">
        <f t="array" ref="L174">IF(_xlfn.XLOOKUP($A174&amp;$B174&amp;$C174,盘货信息!$A:$A&amp;盘货信息!$B:$B&amp;盘货信息!$C:$C,盘货信息!$T:$T)="","","【优惠券】领"&amp;_xlfn.XLOOKUP($A174&amp;$B174&amp;$C174,盘货信息!$A:$A&amp;盘货信息!$B:$B&amp;盘货信息!$C:$C,盘货信息!$T:$T)&amp;"元优惠卷下单更优惠，领券链接："&amp;_xlfn.XLOOKUP($A174&amp;$B174&amp;$C174,盘货信息!$A:$A&amp;盘货信息!$B:$B&amp;盘货信息!$C:$C,盘货信息!$U:$U))</f>
        <v/>
      </c>
      <c r="M174" s="27" t="str" cm="1">
        <f t="array" ref="M174">IF(_xlfn.XLOOKUP($A174&amp;$B174&amp;$C174,盘货信息!$A:$A&amp;盘货信息!$B:$B&amp;盘货信息!$C:$C,盘货信息!$P:$P)="","","【限时】"&amp;_xlfn.XLOOKUP($A174&amp;$B174&amp;$C174,盘货信息!$A:$A&amp;盘货信息!$B:$B&amp;盘货信息!$C:$C,盘货信息!$P:$P))</f>
        <v/>
      </c>
      <c r="N174" s="27" t="str" cm="1">
        <f t="array" ref="N174">IF(_xlfn.XLOOKUP($A174&amp;$B174&amp;$C174,盘货信息!$A:$A&amp;盘货信息!$B:$B&amp;盘货信息!$C:$C,盘货信息!$V:$V)="","","【"&amp;盘货信息!$V$1&amp;"】"&amp;_xlfn.XLOOKUP($A174&amp;$B174&amp;$C174,盘货信息!$A:$A&amp;盘货信息!$B:$B&amp;盘货信息!$C:$C,盘货信息!$V:$V))</f>
        <v/>
      </c>
      <c r="O174" s="27" t="str" cm="1">
        <f t="array" ref="O174">IF(_xlfn.XLOOKUP($A174&amp;$B174&amp;$C174,盘货信息!$A:$A&amp;盘货信息!$B:$B&amp;盘货信息!$C:$C,盘货信息!$W:$W)="","","【"&amp;盘货信息!$W$1&amp;"】"&amp;_xlfn.XLOOKUP($A174&amp;$B174&amp;$C174,盘货信息!$A:$A&amp;盘货信息!$B:$B&amp;盘货信息!$C:$C,盘货信息!$W:$W))</f>
        <v/>
      </c>
      <c r="P174" s="27" t="str" cm="1">
        <f t="array" ref="P174">IF(_xlfn.XLOOKUP($A174&amp;$B174&amp;$C174,盘货信息!$A:$A&amp;盘货信息!$B:$B&amp;盘货信息!$C:$C,盘货信息!$S:$S)&lt;1,"","【"&amp;盘货信息!$S$1&amp;"】"&amp;"后返"&amp;_xlfn.XLOOKUP($A174&amp;$B174&amp;$C174,盘货信息!$A:$A&amp;盘货信息!$B:$B&amp;盘货信息!$C:$C,盘货信息!$S:$S)&amp;"元")</f>
        <v/>
      </c>
      <c r="Q174" s="27" t="str" cm="1">
        <f t="array" ref="Q174">IF(_xlfn.XLOOKUP($A174&amp;$B174&amp;$C174,盘货信息!$A:$A&amp;盘货信息!$B:$B&amp;盘货信息!$C:$C,盘货信息!$X:$X)="","","【"&amp;盘货信息!$X$1&amp;"】"&amp;_xlfn.XLOOKUP($A174&amp;$B174&amp;$C174,盘货信息!$A:$A&amp;盘货信息!$B:$B&amp;盘货信息!$C:$C,盘货信息!$X:$X))</f>
        <v/>
      </c>
      <c r="R174" s="27" t="str" cm="1">
        <f t="array" ref="R174">IF(_xlfn.XLOOKUP($A174&amp;$B174&amp;$C174,盘货信息!$A:$A&amp;盘货信息!$B:$B&amp;盘货信息!$C:$C,盘货信息!$Z:$Z)="","","【"&amp;盘货信息!$Z$1&amp;"】"&amp;_xlfn.XLOOKUP($A174&amp;$B174&amp;$C174,盘货信息!$A:$A&amp;盘货信息!$B:$B&amp;盘货信息!$C:$C,盘货信息!$Z:$Z))</f>
        <v/>
      </c>
      <c r="S174" s="27" t="str" cm="1">
        <f t="array" ref="S174">IF(_xlfn.XLOOKUP($A174&amp;$B174&amp;$C174,盘货信息!$A:$A&amp;盘货信息!$B:$B&amp;盘货信息!$C:$C,盘货信息!$Q:$Q)="","","【种草】站外带指定话题种草后返"&amp;_xlfn.XLOOKUP($A174&amp;$B174&amp;$C174,盘货信息!$A:$A&amp;盘货信息!$B:$B&amp;盘货信息!$C:$C,盘货信息!$Q:$Q)&amp;"元红包（每个淘宝账号仅限对应一个站外种草账号，同一个种草账号不可对应多个淘宝账号）")</f>
        <v/>
      </c>
      <c r="T174" s="27" t="str" cm="1">
        <f t="array" ref="T174">IF(_xlfn.XLOOKUP($A174&amp;$B174&amp;$C174,盘货信息!$A:$A&amp;盘货信息!$B:$B&amp;盘货信息!$C:$C,盘货信息!$R:$R)&lt;1,"","【以旧换新】"&amp;"享补贴"&amp;ROUND(_xlfn.XLOOKUP($A174&amp;$B174&amp;$C174,盘货信息!$A:$A&amp;盘货信息!$B:$B&amp;盘货信息!$C:$C,盘货信息!$R:$R),0)&amp;"元（可无旧机换新）")</f>
        <v/>
      </c>
      <c r="U174" s="27" t="str">
        <f>IF(AND($N174="",$O174="",$P174="",$Q174="",$R174="",$S174="",$T174=""),"",固定信息!$B$1)</f>
        <v/>
      </c>
      <c r="V174" s="27" t="str" cm="1">
        <f t="array" ref="V174">IF(_xlfn.XLOOKUP($A174&amp;$B174&amp;$C174,盘货信息!$A:$A&amp;盘货信息!$B:$B&amp;盘货信息!$C:$C,盘货信息!$Y:$Y)="","","【卡萨帝送赠】活动指定时间"&amp;_xlfn.TEXTBEFORE(_xlfn.TEXTAFTER(_xlfn.XLOOKUP($A174&amp;$B174&amp;$C174,盘货信息!$A:$A&amp;盘货信息!$B:$B&amp;盘货信息!$C:$C,盘货信息!$Y:$Y),"点"),"（"))</f>
        <v/>
      </c>
      <c r="W174" s="27" t="str" cm="1">
        <f t="array" ref="W174">IF(COUNTIF(_xlfn.XLOOKUP($A174&amp;$B174&amp;$C174,盘货信息!$A:$A&amp;盘货信息!$B:$B&amp;盘货信息!$C:$C,盘货信息!$O:$O),"*是*"),"【折扣】指定型号满2类享96折，满3类享94折","")</f>
        <v/>
      </c>
      <c r="X174" s="27" t="str" cm="1">
        <f t="array" ref="X174">IF(固定信息!$B$7="","",IF(_xlfn.XLOOKUP($A174&amp;$B174&amp;$C174,盘货信息!$A:$A&amp;盘货信息!$B:$B&amp;盘货信息!$C:$C,盘货信息!$N:$N)="是","【瓜分】"&amp;固定信息!$B$7,""))</f>
        <v/>
      </c>
      <c r="Y174" s="27" t="str">
        <f>IF(AND($V174="",$W174="",$X174=""),"",固定信息!$B$1)</f>
        <v/>
      </c>
      <c r="Z174" s="27" t="str" cm="1">
        <f t="array" ref="Z174">IF($C174="","",_xlfn.XLOOKUP($A174&amp;$B174&amp;$C174,服务!$A:$A&amp;服务!$B:$B&amp;服务!$C:$C,服务!$D:$D))</f>
        <v/>
      </c>
    </row>
    <row r="175" customHeight="1" spans="1:26">
      <c r="A175" s="23" t="str">
        <f>IF(盘货信息!A175="","",盘货信息!A175)</f>
        <v/>
      </c>
      <c r="B175" s="26" t="str">
        <f>IF(盘货信息!B175="","",盘货信息!B175)</f>
        <v/>
      </c>
      <c r="C175" s="23" t="str">
        <f>IF(盘货信息!C175="","",盘货信息!C175)</f>
        <v/>
      </c>
      <c r="D175" s="27" t="str">
        <f ca="1" t="shared" si="2"/>
        <v/>
      </c>
      <c r="E175" s="27" t="str">
        <f>IF(C175="","",固定信息!$B$2)</f>
        <v/>
      </c>
      <c r="F175" s="27" t="str">
        <f>IF(C175="","","【"&amp;C175&amp;"】"&amp;固定信息!$B$4)</f>
        <v/>
      </c>
      <c r="G175" s="27" t="str">
        <f>IF(C175="","","【"&amp;"活动时间："&amp;固定信息!$B$3&amp;"】")</f>
        <v/>
      </c>
      <c r="H175" s="27" t="str">
        <f>IF($C175="","",固定信息!$B$1)</f>
        <v/>
      </c>
      <c r="I175" s="27" t="str">
        <f>IF(OR(C175="",固定信息!$B$5=""),"","【1元预约锁好礼】"&amp;固定信息!$B$5)</f>
        <v/>
      </c>
      <c r="J175" s="27" t="str" cm="1">
        <f t="array" ref="J175">_xlfn.XLOOKUP($A175&amp;$B175&amp;$C175,价格信息!$A:$A&amp;价格信息!$B:$B&amp;价格信息!$C:$C,价格信息!$D:$D)</f>
        <v/>
      </c>
      <c r="K175" s="27" t="str">
        <f>IF($C175="","",固定信息!$B$1)</f>
        <v/>
      </c>
      <c r="L175" s="27" t="str" cm="1">
        <f t="array" ref="L175">IF(_xlfn.XLOOKUP($A175&amp;$B175&amp;$C175,盘货信息!$A:$A&amp;盘货信息!$B:$B&amp;盘货信息!$C:$C,盘货信息!$T:$T)="","","【优惠券】领"&amp;_xlfn.XLOOKUP($A175&amp;$B175&amp;$C175,盘货信息!$A:$A&amp;盘货信息!$B:$B&amp;盘货信息!$C:$C,盘货信息!$T:$T)&amp;"元优惠卷下单更优惠，领券链接："&amp;_xlfn.XLOOKUP($A175&amp;$B175&amp;$C175,盘货信息!$A:$A&amp;盘货信息!$B:$B&amp;盘货信息!$C:$C,盘货信息!$U:$U))</f>
        <v/>
      </c>
      <c r="M175" s="27" t="str" cm="1">
        <f t="array" ref="M175">IF(_xlfn.XLOOKUP($A175&amp;$B175&amp;$C175,盘货信息!$A:$A&amp;盘货信息!$B:$B&amp;盘货信息!$C:$C,盘货信息!$P:$P)="","","【限时】"&amp;_xlfn.XLOOKUP($A175&amp;$B175&amp;$C175,盘货信息!$A:$A&amp;盘货信息!$B:$B&amp;盘货信息!$C:$C,盘货信息!$P:$P))</f>
        <v/>
      </c>
      <c r="N175" s="27" t="str" cm="1">
        <f t="array" ref="N175">IF(_xlfn.XLOOKUP($A175&amp;$B175&amp;$C175,盘货信息!$A:$A&amp;盘货信息!$B:$B&amp;盘货信息!$C:$C,盘货信息!$V:$V)="","","【"&amp;盘货信息!$V$1&amp;"】"&amp;_xlfn.XLOOKUP($A175&amp;$B175&amp;$C175,盘货信息!$A:$A&amp;盘货信息!$B:$B&amp;盘货信息!$C:$C,盘货信息!$V:$V))</f>
        <v/>
      </c>
      <c r="O175" s="27" t="str" cm="1">
        <f t="array" ref="O175">IF(_xlfn.XLOOKUP($A175&amp;$B175&amp;$C175,盘货信息!$A:$A&amp;盘货信息!$B:$B&amp;盘货信息!$C:$C,盘货信息!$W:$W)="","","【"&amp;盘货信息!$W$1&amp;"】"&amp;_xlfn.XLOOKUP($A175&amp;$B175&amp;$C175,盘货信息!$A:$A&amp;盘货信息!$B:$B&amp;盘货信息!$C:$C,盘货信息!$W:$W))</f>
        <v/>
      </c>
      <c r="P175" s="27" t="str" cm="1">
        <f t="array" ref="P175">IF(_xlfn.XLOOKUP($A175&amp;$B175&amp;$C175,盘货信息!$A:$A&amp;盘货信息!$B:$B&amp;盘货信息!$C:$C,盘货信息!$S:$S)&lt;1,"","【"&amp;盘货信息!$S$1&amp;"】"&amp;"后返"&amp;_xlfn.XLOOKUP($A175&amp;$B175&amp;$C175,盘货信息!$A:$A&amp;盘货信息!$B:$B&amp;盘货信息!$C:$C,盘货信息!$S:$S)&amp;"元")</f>
        <v/>
      </c>
      <c r="Q175" s="27" t="str" cm="1">
        <f t="array" ref="Q175">IF(_xlfn.XLOOKUP($A175&amp;$B175&amp;$C175,盘货信息!$A:$A&amp;盘货信息!$B:$B&amp;盘货信息!$C:$C,盘货信息!$X:$X)="","","【"&amp;盘货信息!$X$1&amp;"】"&amp;_xlfn.XLOOKUP($A175&amp;$B175&amp;$C175,盘货信息!$A:$A&amp;盘货信息!$B:$B&amp;盘货信息!$C:$C,盘货信息!$X:$X))</f>
        <v/>
      </c>
      <c r="R175" s="27" t="str" cm="1">
        <f t="array" ref="R175">IF(_xlfn.XLOOKUP($A175&amp;$B175&amp;$C175,盘货信息!$A:$A&amp;盘货信息!$B:$B&amp;盘货信息!$C:$C,盘货信息!$Z:$Z)="","","【"&amp;盘货信息!$Z$1&amp;"】"&amp;_xlfn.XLOOKUP($A175&amp;$B175&amp;$C175,盘货信息!$A:$A&amp;盘货信息!$B:$B&amp;盘货信息!$C:$C,盘货信息!$Z:$Z))</f>
        <v/>
      </c>
      <c r="S175" s="27" t="str" cm="1">
        <f t="array" ref="S175">IF(_xlfn.XLOOKUP($A175&amp;$B175&amp;$C175,盘货信息!$A:$A&amp;盘货信息!$B:$B&amp;盘货信息!$C:$C,盘货信息!$Q:$Q)="","","【种草】站外带指定话题种草后返"&amp;_xlfn.XLOOKUP($A175&amp;$B175&amp;$C175,盘货信息!$A:$A&amp;盘货信息!$B:$B&amp;盘货信息!$C:$C,盘货信息!$Q:$Q)&amp;"元红包（每个淘宝账号仅限对应一个站外种草账号，同一个种草账号不可对应多个淘宝账号）")</f>
        <v/>
      </c>
      <c r="T175" s="27" t="str" cm="1">
        <f t="array" ref="T175">IF(_xlfn.XLOOKUP($A175&amp;$B175&amp;$C175,盘货信息!$A:$A&amp;盘货信息!$B:$B&amp;盘货信息!$C:$C,盘货信息!$R:$R)&lt;1,"","【以旧换新】"&amp;"享补贴"&amp;ROUND(_xlfn.XLOOKUP($A175&amp;$B175&amp;$C175,盘货信息!$A:$A&amp;盘货信息!$B:$B&amp;盘货信息!$C:$C,盘货信息!$R:$R),0)&amp;"元（可无旧机换新）")</f>
        <v/>
      </c>
      <c r="U175" s="27" t="str">
        <f>IF(AND($N175="",$O175="",$P175="",$Q175="",$R175="",$S175="",$T175=""),"",固定信息!$B$1)</f>
        <v/>
      </c>
      <c r="V175" s="27" t="str" cm="1">
        <f t="array" ref="V175">IF(_xlfn.XLOOKUP($A175&amp;$B175&amp;$C175,盘货信息!$A:$A&amp;盘货信息!$B:$B&amp;盘货信息!$C:$C,盘货信息!$Y:$Y)="","","【卡萨帝送赠】活动指定时间"&amp;_xlfn.TEXTBEFORE(_xlfn.TEXTAFTER(_xlfn.XLOOKUP($A175&amp;$B175&amp;$C175,盘货信息!$A:$A&amp;盘货信息!$B:$B&amp;盘货信息!$C:$C,盘货信息!$Y:$Y),"点"),"（"))</f>
        <v/>
      </c>
      <c r="W175" s="27" t="str" cm="1">
        <f t="array" ref="W175">IF(COUNTIF(_xlfn.XLOOKUP($A175&amp;$B175&amp;$C175,盘货信息!$A:$A&amp;盘货信息!$B:$B&amp;盘货信息!$C:$C,盘货信息!$O:$O),"*是*"),"【折扣】指定型号满2类享96折，满3类享94折","")</f>
        <v/>
      </c>
      <c r="X175" s="27" t="str" cm="1">
        <f t="array" ref="X175">IF(固定信息!$B$7="","",IF(_xlfn.XLOOKUP($A175&amp;$B175&amp;$C175,盘货信息!$A:$A&amp;盘货信息!$B:$B&amp;盘货信息!$C:$C,盘货信息!$N:$N)="是","【瓜分】"&amp;固定信息!$B$7,""))</f>
        <v/>
      </c>
      <c r="Y175" s="27" t="str">
        <f>IF(AND($V175="",$W175="",$X175=""),"",固定信息!$B$1)</f>
        <v/>
      </c>
      <c r="Z175" s="27" t="str" cm="1">
        <f t="array" ref="Z175">IF($C175="","",_xlfn.XLOOKUP($A175&amp;$B175&amp;$C175,服务!$A:$A&amp;服务!$B:$B&amp;服务!$C:$C,服务!$D:$D))</f>
        <v/>
      </c>
    </row>
    <row r="176" customHeight="1" spans="1:26">
      <c r="A176" s="23" t="str">
        <f>IF(盘货信息!A176="","",盘货信息!A176)</f>
        <v/>
      </c>
      <c r="B176" s="26" t="str">
        <f>IF(盘货信息!B176="","",盘货信息!B176)</f>
        <v/>
      </c>
      <c r="C176" s="23" t="str">
        <f>IF(盘货信息!C176="","",盘货信息!C176)</f>
        <v/>
      </c>
      <c r="D176" s="27" t="str">
        <f ca="1" t="shared" si="2"/>
        <v/>
      </c>
      <c r="E176" s="27" t="str">
        <f>IF(C176="","",固定信息!$B$2)</f>
        <v/>
      </c>
      <c r="F176" s="27" t="str">
        <f>IF(C176="","","【"&amp;C176&amp;"】"&amp;固定信息!$B$4)</f>
        <v/>
      </c>
      <c r="G176" s="27" t="str">
        <f>IF(C176="","","【"&amp;"活动时间："&amp;固定信息!$B$3&amp;"】")</f>
        <v/>
      </c>
      <c r="H176" s="27" t="str">
        <f>IF($C176="","",固定信息!$B$1)</f>
        <v/>
      </c>
      <c r="I176" s="27" t="str">
        <f>IF(OR(C176="",固定信息!$B$5=""),"","【1元预约锁好礼】"&amp;固定信息!$B$5)</f>
        <v/>
      </c>
      <c r="J176" s="27" t="str" cm="1">
        <f t="array" ref="J176">_xlfn.XLOOKUP($A176&amp;$B176&amp;$C176,价格信息!$A:$A&amp;价格信息!$B:$B&amp;价格信息!$C:$C,价格信息!$D:$D)</f>
        <v/>
      </c>
      <c r="K176" s="27" t="str">
        <f>IF($C176="","",固定信息!$B$1)</f>
        <v/>
      </c>
      <c r="L176" s="27" t="str" cm="1">
        <f t="array" ref="L176">IF(_xlfn.XLOOKUP($A176&amp;$B176&amp;$C176,盘货信息!$A:$A&amp;盘货信息!$B:$B&amp;盘货信息!$C:$C,盘货信息!$T:$T)="","","【优惠券】领"&amp;_xlfn.XLOOKUP($A176&amp;$B176&amp;$C176,盘货信息!$A:$A&amp;盘货信息!$B:$B&amp;盘货信息!$C:$C,盘货信息!$T:$T)&amp;"元优惠卷下单更优惠，领券链接："&amp;_xlfn.XLOOKUP($A176&amp;$B176&amp;$C176,盘货信息!$A:$A&amp;盘货信息!$B:$B&amp;盘货信息!$C:$C,盘货信息!$U:$U))</f>
        <v/>
      </c>
      <c r="M176" s="27" t="str" cm="1">
        <f t="array" ref="M176">IF(_xlfn.XLOOKUP($A176&amp;$B176&amp;$C176,盘货信息!$A:$A&amp;盘货信息!$B:$B&amp;盘货信息!$C:$C,盘货信息!$P:$P)="","","【限时】"&amp;_xlfn.XLOOKUP($A176&amp;$B176&amp;$C176,盘货信息!$A:$A&amp;盘货信息!$B:$B&amp;盘货信息!$C:$C,盘货信息!$P:$P))</f>
        <v/>
      </c>
      <c r="N176" s="27" t="str" cm="1">
        <f t="array" ref="N176">IF(_xlfn.XLOOKUP($A176&amp;$B176&amp;$C176,盘货信息!$A:$A&amp;盘货信息!$B:$B&amp;盘货信息!$C:$C,盘货信息!$V:$V)="","","【"&amp;盘货信息!$V$1&amp;"】"&amp;_xlfn.XLOOKUP($A176&amp;$B176&amp;$C176,盘货信息!$A:$A&amp;盘货信息!$B:$B&amp;盘货信息!$C:$C,盘货信息!$V:$V))</f>
        <v/>
      </c>
      <c r="O176" s="27" t="str" cm="1">
        <f t="array" ref="O176">IF(_xlfn.XLOOKUP($A176&amp;$B176&amp;$C176,盘货信息!$A:$A&amp;盘货信息!$B:$B&amp;盘货信息!$C:$C,盘货信息!$W:$W)="","","【"&amp;盘货信息!$W$1&amp;"】"&amp;_xlfn.XLOOKUP($A176&amp;$B176&amp;$C176,盘货信息!$A:$A&amp;盘货信息!$B:$B&amp;盘货信息!$C:$C,盘货信息!$W:$W))</f>
        <v/>
      </c>
      <c r="P176" s="27" t="str" cm="1">
        <f t="array" ref="P176">IF(_xlfn.XLOOKUP($A176&amp;$B176&amp;$C176,盘货信息!$A:$A&amp;盘货信息!$B:$B&amp;盘货信息!$C:$C,盘货信息!$S:$S)&lt;1,"","【"&amp;盘货信息!$S$1&amp;"】"&amp;"后返"&amp;_xlfn.XLOOKUP($A176&amp;$B176&amp;$C176,盘货信息!$A:$A&amp;盘货信息!$B:$B&amp;盘货信息!$C:$C,盘货信息!$S:$S)&amp;"元")</f>
        <v/>
      </c>
      <c r="Q176" s="27" t="str" cm="1">
        <f t="array" ref="Q176">IF(_xlfn.XLOOKUP($A176&amp;$B176&amp;$C176,盘货信息!$A:$A&amp;盘货信息!$B:$B&amp;盘货信息!$C:$C,盘货信息!$X:$X)="","","【"&amp;盘货信息!$X$1&amp;"】"&amp;_xlfn.XLOOKUP($A176&amp;$B176&amp;$C176,盘货信息!$A:$A&amp;盘货信息!$B:$B&amp;盘货信息!$C:$C,盘货信息!$X:$X))</f>
        <v/>
      </c>
      <c r="R176" s="27" t="str" cm="1">
        <f t="array" ref="R176">IF(_xlfn.XLOOKUP($A176&amp;$B176&amp;$C176,盘货信息!$A:$A&amp;盘货信息!$B:$B&amp;盘货信息!$C:$C,盘货信息!$Z:$Z)="","","【"&amp;盘货信息!$Z$1&amp;"】"&amp;_xlfn.XLOOKUP($A176&amp;$B176&amp;$C176,盘货信息!$A:$A&amp;盘货信息!$B:$B&amp;盘货信息!$C:$C,盘货信息!$Z:$Z))</f>
        <v/>
      </c>
      <c r="S176" s="27" t="str" cm="1">
        <f t="array" ref="S176">IF(_xlfn.XLOOKUP($A176&amp;$B176&amp;$C176,盘货信息!$A:$A&amp;盘货信息!$B:$B&amp;盘货信息!$C:$C,盘货信息!$Q:$Q)="","","【种草】站外带指定话题种草后返"&amp;_xlfn.XLOOKUP($A176&amp;$B176&amp;$C176,盘货信息!$A:$A&amp;盘货信息!$B:$B&amp;盘货信息!$C:$C,盘货信息!$Q:$Q)&amp;"元红包（每个淘宝账号仅限对应一个站外种草账号，同一个种草账号不可对应多个淘宝账号）")</f>
        <v/>
      </c>
      <c r="T176" s="27" t="str" cm="1">
        <f t="array" ref="T176">IF(_xlfn.XLOOKUP($A176&amp;$B176&amp;$C176,盘货信息!$A:$A&amp;盘货信息!$B:$B&amp;盘货信息!$C:$C,盘货信息!$R:$R)&lt;1,"","【以旧换新】"&amp;"享补贴"&amp;ROUND(_xlfn.XLOOKUP($A176&amp;$B176&amp;$C176,盘货信息!$A:$A&amp;盘货信息!$B:$B&amp;盘货信息!$C:$C,盘货信息!$R:$R),0)&amp;"元（可无旧机换新）")</f>
        <v/>
      </c>
      <c r="U176" s="27" t="str">
        <f>IF(AND($N176="",$O176="",$P176="",$Q176="",$R176="",$S176="",$T176=""),"",固定信息!$B$1)</f>
        <v/>
      </c>
      <c r="V176" s="27" t="str" cm="1">
        <f t="array" ref="V176">IF(_xlfn.XLOOKUP($A176&amp;$B176&amp;$C176,盘货信息!$A:$A&amp;盘货信息!$B:$B&amp;盘货信息!$C:$C,盘货信息!$Y:$Y)="","","【卡萨帝送赠】活动指定时间"&amp;_xlfn.TEXTBEFORE(_xlfn.TEXTAFTER(_xlfn.XLOOKUP($A176&amp;$B176&amp;$C176,盘货信息!$A:$A&amp;盘货信息!$B:$B&amp;盘货信息!$C:$C,盘货信息!$Y:$Y),"点"),"（"))</f>
        <v/>
      </c>
      <c r="W176" s="27" t="str" cm="1">
        <f t="array" ref="W176">IF(COUNTIF(_xlfn.XLOOKUP($A176&amp;$B176&amp;$C176,盘货信息!$A:$A&amp;盘货信息!$B:$B&amp;盘货信息!$C:$C,盘货信息!$O:$O),"*是*"),"【折扣】指定型号满2类享96折，满3类享94折","")</f>
        <v/>
      </c>
      <c r="X176" s="27" t="str" cm="1">
        <f t="array" ref="X176">IF(固定信息!$B$7="","",IF(_xlfn.XLOOKUP($A176&amp;$B176&amp;$C176,盘货信息!$A:$A&amp;盘货信息!$B:$B&amp;盘货信息!$C:$C,盘货信息!$N:$N)="是","【瓜分】"&amp;固定信息!$B$7,""))</f>
        <v/>
      </c>
      <c r="Y176" s="27" t="str">
        <f>IF(AND($V176="",$W176="",$X176=""),"",固定信息!$B$1)</f>
        <v/>
      </c>
      <c r="Z176" s="27" t="str" cm="1">
        <f t="array" ref="Z176">IF($C176="","",_xlfn.XLOOKUP($A176&amp;$B176&amp;$C176,服务!$A:$A&amp;服务!$B:$B&amp;服务!$C:$C,服务!$D:$D))</f>
        <v/>
      </c>
    </row>
    <row r="177" customHeight="1" spans="1:26">
      <c r="A177" s="23" t="str">
        <f>IF(盘货信息!A177="","",盘货信息!A177)</f>
        <v/>
      </c>
      <c r="B177" s="26" t="str">
        <f>IF(盘货信息!B177="","",盘货信息!B177)</f>
        <v/>
      </c>
      <c r="C177" s="23" t="str">
        <f>IF(盘货信息!C177="","",盘货信息!C177)</f>
        <v/>
      </c>
      <c r="D177" s="27" t="str">
        <f ca="1" t="shared" si="2"/>
        <v/>
      </c>
      <c r="E177" s="27" t="str">
        <f>IF(C177="","",固定信息!$B$2)</f>
        <v/>
      </c>
      <c r="F177" s="27" t="str">
        <f>IF(C177="","","【"&amp;C177&amp;"】"&amp;固定信息!$B$4)</f>
        <v/>
      </c>
      <c r="G177" s="27" t="str">
        <f>IF(C177="","","【"&amp;"活动时间："&amp;固定信息!$B$3&amp;"】")</f>
        <v/>
      </c>
      <c r="H177" s="27" t="str">
        <f>IF($C177="","",固定信息!$B$1)</f>
        <v/>
      </c>
      <c r="I177" s="27" t="str">
        <f>IF(OR(C177="",固定信息!$B$5=""),"","【1元预约锁好礼】"&amp;固定信息!$B$5)</f>
        <v/>
      </c>
      <c r="J177" s="27" t="str" cm="1">
        <f t="array" ref="J177">_xlfn.XLOOKUP($A177&amp;$B177&amp;$C177,价格信息!$A:$A&amp;价格信息!$B:$B&amp;价格信息!$C:$C,价格信息!$D:$D)</f>
        <v/>
      </c>
      <c r="K177" s="27" t="str">
        <f>IF($C177="","",固定信息!$B$1)</f>
        <v/>
      </c>
      <c r="L177" s="27" t="str" cm="1">
        <f t="array" ref="L177">IF(_xlfn.XLOOKUP($A177&amp;$B177&amp;$C177,盘货信息!$A:$A&amp;盘货信息!$B:$B&amp;盘货信息!$C:$C,盘货信息!$T:$T)="","","【优惠券】领"&amp;_xlfn.XLOOKUP($A177&amp;$B177&amp;$C177,盘货信息!$A:$A&amp;盘货信息!$B:$B&amp;盘货信息!$C:$C,盘货信息!$T:$T)&amp;"元优惠卷下单更优惠，领券链接："&amp;_xlfn.XLOOKUP($A177&amp;$B177&amp;$C177,盘货信息!$A:$A&amp;盘货信息!$B:$B&amp;盘货信息!$C:$C,盘货信息!$U:$U))</f>
        <v/>
      </c>
      <c r="M177" s="27" t="str" cm="1">
        <f t="array" ref="M177">IF(_xlfn.XLOOKUP($A177&amp;$B177&amp;$C177,盘货信息!$A:$A&amp;盘货信息!$B:$B&amp;盘货信息!$C:$C,盘货信息!$P:$P)="","","【限时】"&amp;_xlfn.XLOOKUP($A177&amp;$B177&amp;$C177,盘货信息!$A:$A&amp;盘货信息!$B:$B&amp;盘货信息!$C:$C,盘货信息!$P:$P))</f>
        <v/>
      </c>
      <c r="N177" s="27" t="str" cm="1">
        <f t="array" ref="N177">IF(_xlfn.XLOOKUP($A177&amp;$B177&amp;$C177,盘货信息!$A:$A&amp;盘货信息!$B:$B&amp;盘货信息!$C:$C,盘货信息!$V:$V)="","","【"&amp;盘货信息!$V$1&amp;"】"&amp;_xlfn.XLOOKUP($A177&amp;$B177&amp;$C177,盘货信息!$A:$A&amp;盘货信息!$B:$B&amp;盘货信息!$C:$C,盘货信息!$V:$V))</f>
        <v/>
      </c>
      <c r="O177" s="27" t="str" cm="1">
        <f t="array" ref="O177">IF(_xlfn.XLOOKUP($A177&amp;$B177&amp;$C177,盘货信息!$A:$A&amp;盘货信息!$B:$B&amp;盘货信息!$C:$C,盘货信息!$W:$W)="","","【"&amp;盘货信息!$W$1&amp;"】"&amp;_xlfn.XLOOKUP($A177&amp;$B177&amp;$C177,盘货信息!$A:$A&amp;盘货信息!$B:$B&amp;盘货信息!$C:$C,盘货信息!$W:$W))</f>
        <v/>
      </c>
      <c r="P177" s="27" t="str" cm="1">
        <f t="array" ref="P177">IF(_xlfn.XLOOKUP($A177&amp;$B177&amp;$C177,盘货信息!$A:$A&amp;盘货信息!$B:$B&amp;盘货信息!$C:$C,盘货信息!$S:$S)&lt;1,"","【"&amp;盘货信息!$S$1&amp;"】"&amp;"后返"&amp;_xlfn.XLOOKUP($A177&amp;$B177&amp;$C177,盘货信息!$A:$A&amp;盘货信息!$B:$B&amp;盘货信息!$C:$C,盘货信息!$S:$S)&amp;"元")</f>
        <v/>
      </c>
      <c r="Q177" s="27" t="str" cm="1">
        <f t="array" ref="Q177">IF(_xlfn.XLOOKUP($A177&amp;$B177&amp;$C177,盘货信息!$A:$A&amp;盘货信息!$B:$B&amp;盘货信息!$C:$C,盘货信息!$X:$X)="","","【"&amp;盘货信息!$X$1&amp;"】"&amp;_xlfn.XLOOKUP($A177&amp;$B177&amp;$C177,盘货信息!$A:$A&amp;盘货信息!$B:$B&amp;盘货信息!$C:$C,盘货信息!$X:$X))</f>
        <v/>
      </c>
      <c r="R177" s="27" t="str" cm="1">
        <f t="array" ref="R177">IF(_xlfn.XLOOKUP($A177&amp;$B177&amp;$C177,盘货信息!$A:$A&amp;盘货信息!$B:$B&amp;盘货信息!$C:$C,盘货信息!$Z:$Z)="","","【"&amp;盘货信息!$Z$1&amp;"】"&amp;_xlfn.XLOOKUP($A177&amp;$B177&amp;$C177,盘货信息!$A:$A&amp;盘货信息!$B:$B&amp;盘货信息!$C:$C,盘货信息!$Z:$Z))</f>
        <v/>
      </c>
      <c r="S177" s="27" t="str" cm="1">
        <f t="array" ref="S177">IF(_xlfn.XLOOKUP($A177&amp;$B177&amp;$C177,盘货信息!$A:$A&amp;盘货信息!$B:$B&amp;盘货信息!$C:$C,盘货信息!$Q:$Q)="","","【种草】站外带指定话题种草后返"&amp;_xlfn.XLOOKUP($A177&amp;$B177&amp;$C177,盘货信息!$A:$A&amp;盘货信息!$B:$B&amp;盘货信息!$C:$C,盘货信息!$Q:$Q)&amp;"元红包（每个淘宝账号仅限对应一个站外种草账号，同一个种草账号不可对应多个淘宝账号）")</f>
        <v/>
      </c>
      <c r="T177" s="27" t="str" cm="1">
        <f t="array" ref="T177">IF(_xlfn.XLOOKUP($A177&amp;$B177&amp;$C177,盘货信息!$A:$A&amp;盘货信息!$B:$B&amp;盘货信息!$C:$C,盘货信息!$R:$R)&lt;1,"","【以旧换新】"&amp;"享补贴"&amp;ROUND(_xlfn.XLOOKUP($A177&amp;$B177&amp;$C177,盘货信息!$A:$A&amp;盘货信息!$B:$B&amp;盘货信息!$C:$C,盘货信息!$R:$R),0)&amp;"元（可无旧机换新）")</f>
        <v/>
      </c>
      <c r="U177" s="27" t="str">
        <f>IF(AND($N177="",$O177="",$P177="",$Q177="",$R177="",$S177="",$T177=""),"",固定信息!$B$1)</f>
        <v/>
      </c>
      <c r="V177" s="27" t="str" cm="1">
        <f t="array" ref="V177">IF(_xlfn.XLOOKUP($A177&amp;$B177&amp;$C177,盘货信息!$A:$A&amp;盘货信息!$B:$B&amp;盘货信息!$C:$C,盘货信息!$Y:$Y)="","","【卡萨帝送赠】活动指定时间"&amp;_xlfn.TEXTBEFORE(_xlfn.TEXTAFTER(_xlfn.XLOOKUP($A177&amp;$B177&amp;$C177,盘货信息!$A:$A&amp;盘货信息!$B:$B&amp;盘货信息!$C:$C,盘货信息!$Y:$Y),"点"),"（"))</f>
        <v/>
      </c>
      <c r="W177" s="27" t="str" cm="1">
        <f t="array" ref="W177">IF(COUNTIF(_xlfn.XLOOKUP($A177&amp;$B177&amp;$C177,盘货信息!$A:$A&amp;盘货信息!$B:$B&amp;盘货信息!$C:$C,盘货信息!$O:$O),"*是*"),"【折扣】指定型号满2类享96折，满3类享94折","")</f>
        <v/>
      </c>
      <c r="X177" s="27" t="str" cm="1">
        <f t="array" ref="X177">IF(固定信息!$B$7="","",IF(_xlfn.XLOOKUP($A177&amp;$B177&amp;$C177,盘货信息!$A:$A&amp;盘货信息!$B:$B&amp;盘货信息!$C:$C,盘货信息!$N:$N)="是","【瓜分】"&amp;固定信息!$B$7,""))</f>
        <v/>
      </c>
      <c r="Y177" s="27" t="str">
        <f>IF(AND($V177="",$W177="",$X177=""),"",固定信息!$B$1)</f>
        <v/>
      </c>
      <c r="Z177" s="27" t="str" cm="1">
        <f t="array" ref="Z177">IF($C177="","",_xlfn.XLOOKUP($A177&amp;$B177&amp;$C177,服务!$A:$A&amp;服务!$B:$B&amp;服务!$C:$C,服务!$D:$D))</f>
        <v/>
      </c>
    </row>
    <row r="178" customHeight="1" spans="1:26">
      <c r="A178" s="23" t="str">
        <f>IF(盘货信息!A178="","",盘货信息!A178)</f>
        <v/>
      </c>
      <c r="B178" s="26" t="str">
        <f>IF(盘货信息!B178="","",盘货信息!B178)</f>
        <v/>
      </c>
      <c r="C178" s="23" t="str">
        <f>IF(盘货信息!C178="","",盘货信息!C178)</f>
        <v/>
      </c>
      <c r="D178" s="27" t="str">
        <f ca="1" t="shared" si="2"/>
        <v/>
      </c>
      <c r="E178" s="27" t="str">
        <f>IF(C178="","",固定信息!$B$2)</f>
        <v/>
      </c>
      <c r="F178" s="27" t="str">
        <f>IF(C178="","","【"&amp;C178&amp;"】"&amp;固定信息!$B$4)</f>
        <v/>
      </c>
      <c r="G178" s="27" t="str">
        <f>IF(C178="","","【"&amp;"活动时间："&amp;固定信息!$B$3&amp;"】")</f>
        <v/>
      </c>
      <c r="H178" s="27" t="str">
        <f>IF($C178="","",固定信息!$B$1)</f>
        <v/>
      </c>
      <c r="I178" s="27" t="str">
        <f>IF(OR(C178="",固定信息!$B$5=""),"","【1元预约锁好礼】"&amp;固定信息!$B$5)</f>
        <v/>
      </c>
      <c r="J178" s="27" t="str" cm="1">
        <f t="array" ref="J178">_xlfn.XLOOKUP($A178&amp;$B178&amp;$C178,价格信息!$A:$A&amp;价格信息!$B:$B&amp;价格信息!$C:$C,价格信息!$D:$D)</f>
        <v/>
      </c>
      <c r="K178" s="27" t="str">
        <f>IF($C178="","",固定信息!$B$1)</f>
        <v/>
      </c>
      <c r="L178" s="27" t="str" cm="1">
        <f t="array" ref="L178">IF(_xlfn.XLOOKUP($A178&amp;$B178&amp;$C178,盘货信息!$A:$A&amp;盘货信息!$B:$B&amp;盘货信息!$C:$C,盘货信息!$T:$T)="","","【优惠券】领"&amp;_xlfn.XLOOKUP($A178&amp;$B178&amp;$C178,盘货信息!$A:$A&amp;盘货信息!$B:$B&amp;盘货信息!$C:$C,盘货信息!$T:$T)&amp;"元优惠卷下单更优惠，领券链接："&amp;_xlfn.XLOOKUP($A178&amp;$B178&amp;$C178,盘货信息!$A:$A&amp;盘货信息!$B:$B&amp;盘货信息!$C:$C,盘货信息!$U:$U))</f>
        <v/>
      </c>
      <c r="M178" s="27" t="str" cm="1">
        <f t="array" ref="M178">IF(_xlfn.XLOOKUP($A178&amp;$B178&amp;$C178,盘货信息!$A:$A&amp;盘货信息!$B:$B&amp;盘货信息!$C:$C,盘货信息!$P:$P)="","","【限时】"&amp;_xlfn.XLOOKUP($A178&amp;$B178&amp;$C178,盘货信息!$A:$A&amp;盘货信息!$B:$B&amp;盘货信息!$C:$C,盘货信息!$P:$P))</f>
        <v/>
      </c>
      <c r="N178" s="27" t="str" cm="1">
        <f t="array" ref="N178">IF(_xlfn.XLOOKUP($A178&amp;$B178&amp;$C178,盘货信息!$A:$A&amp;盘货信息!$B:$B&amp;盘货信息!$C:$C,盘货信息!$V:$V)="","","【"&amp;盘货信息!$V$1&amp;"】"&amp;_xlfn.XLOOKUP($A178&amp;$B178&amp;$C178,盘货信息!$A:$A&amp;盘货信息!$B:$B&amp;盘货信息!$C:$C,盘货信息!$V:$V))</f>
        <v/>
      </c>
      <c r="O178" s="27" t="str" cm="1">
        <f t="array" ref="O178">IF(_xlfn.XLOOKUP($A178&amp;$B178&amp;$C178,盘货信息!$A:$A&amp;盘货信息!$B:$B&amp;盘货信息!$C:$C,盘货信息!$W:$W)="","","【"&amp;盘货信息!$W$1&amp;"】"&amp;_xlfn.XLOOKUP($A178&amp;$B178&amp;$C178,盘货信息!$A:$A&amp;盘货信息!$B:$B&amp;盘货信息!$C:$C,盘货信息!$W:$W))</f>
        <v/>
      </c>
      <c r="P178" s="27" t="str" cm="1">
        <f t="array" ref="P178">IF(_xlfn.XLOOKUP($A178&amp;$B178&amp;$C178,盘货信息!$A:$A&amp;盘货信息!$B:$B&amp;盘货信息!$C:$C,盘货信息!$S:$S)&lt;1,"","【"&amp;盘货信息!$S$1&amp;"】"&amp;"后返"&amp;_xlfn.XLOOKUP($A178&amp;$B178&amp;$C178,盘货信息!$A:$A&amp;盘货信息!$B:$B&amp;盘货信息!$C:$C,盘货信息!$S:$S)&amp;"元")</f>
        <v/>
      </c>
      <c r="Q178" s="27" t="str" cm="1">
        <f t="array" ref="Q178">IF(_xlfn.XLOOKUP($A178&amp;$B178&amp;$C178,盘货信息!$A:$A&amp;盘货信息!$B:$B&amp;盘货信息!$C:$C,盘货信息!$X:$X)="","","【"&amp;盘货信息!$X$1&amp;"】"&amp;_xlfn.XLOOKUP($A178&amp;$B178&amp;$C178,盘货信息!$A:$A&amp;盘货信息!$B:$B&amp;盘货信息!$C:$C,盘货信息!$X:$X))</f>
        <v/>
      </c>
      <c r="R178" s="27" t="str" cm="1">
        <f t="array" ref="R178">IF(_xlfn.XLOOKUP($A178&amp;$B178&amp;$C178,盘货信息!$A:$A&amp;盘货信息!$B:$B&amp;盘货信息!$C:$C,盘货信息!$Z:$Z)="","","【"&amp;盘货信息!$Z$1&amp;"】"&amp;_xlfn.XLOOKUP($A178&amp;$B178&amp;$C178,盘货信息!$A:$A&amp;盘货信息!$B:$B&amp;盘货信息!$C:$C,盘货信息!$Z:$Z))</f>
        <v/>
      </c>
      <c r="S178" s="27" t="str" cm="1">
        <f t="array" ref="S178">IF(_xlfn.XLOOKUP($A178&amp;$B178&amp;$C178,盘货信息!$A:$A&amp;盘货信息!$B:$B&amp;盘货信息!$C:$C,盘货信息!$Q:$Q)="","","【种草】站外带指定话题种草后返"&amp;_xlfn.XLOOKUP($A178&amp;$B178&amp;$C178,盘货信息!$A:$A&amp;盘货信息!$B:$B&amp;盘货信息!$C:$C,盘货信息!$Q:$Q)&amp;"元红包（每个淘宝账号仅限对应一个站外种草账号，同一个种草账号不可对应多个淘宝账号）")</f>
        <v/>
      </c>
      <c r="T178" s="27" t="str" cm="1">
        <f t="array" ref="T178">IF(_xlfn.XLOOKUP($A178&amp;$B178&amp;$C178,盘货信息!$A:$A&amp;盘货信息!$B:$B&amp;盘货信息!$C:$C,盘货信息!$R:$R)&lt;1,"","【以旧换新】"&amp;"享补贴"&amp;ROUND(_xlfn.XLOOKUP($A178&amp;$B178&amp;$C178,盘货信息!$A:$A&amp;盘货信息!$B:$B&amp;盘货信息!$C:$C,盘货信息!$R:$R),0)&amp;"元（可无旧机换新）")</f>
        <v/>
      </c>
      <c r="U178" s="27" t="str">
        <f>IF(AND($N178="",$O178="",$P178="",$Q178="",$R178="",$S178="",$T178=""),"",固定信息!$B$1)</f>
        <v/>
      </c>
      <c r="V178" s="27" t="str" cm="1">
        <f t="array" ref="V178">IF(_xlfn.XLOOKUP($A178&amp;$B178&amp;$C178,盘货信息!$A:$A&amp;盘货信息!$B:$B&amp;盘货信息!$C:$C,盘货信息!$Y:$Y)="","","【卡萨帝送赠】活动指定时间"&amp;_xlfn.TEXTBEFORE(_xlfn.TEXTAFTER(_xlfn.XLOOKUP($A178&amp;$B178&amp;$C178,盘货信息!$A:$A&amp;盘货信息!$B:$B&amp;盘货信息!$C:$C,盘货信息!$Y:$Y),"点"),"（"))</f>
        <v/>
      </c>
      <c r="W178" s="27" t="str" cm="1">
        <f t="array" ref="W178">IF(COUNTIF(_xlfn.XLOOKUP($A178&amp;$B178&amp;$C178,盘货信息!$A:$A&amp;盘货信息!$B:$B&amp;盘货信息!$C:$C,盘货信息!$O:$O),"*是*"),"【折扣】指定型号满2类享96折，满3类享94折","")</f>
        <v/>
      </c>
      <c r="X178" s="27" t="str" cm="1">
        <f t="array" ref="X178">IF(固定信息!$B$7="","",IF(_xlfn.XLOOKUP($A178&amp;$B178&amp;$C178,盘货信息!$A:$A&amp;盘货信息!$B:$B&amp;盘货信息!$C:$C,盘货信息!$N:$N)="是","【瓜分】"&amp;固定信息!$B$7,""))</f>
        <v/>
      </c>
      <c r="Y178" s="27" t="str">
        <f>IF(AND($V178="",$W178="",$X178=""),"",固定信息!$B$1)</f>
        <v/>
      </c>
      <c r="Z178" s="27" t="str" cm="1">
        <f t="array" ref="Z178">IF($C178="","",_xlfn.XLOOKUP($A178&amp;$B178&amp;$C178,服务!$A:$A&amp;服务!$B:$B&amp;服务!$C:$C,服务!$D:$D))</f>
        <v/>
      </c>
    </row>
    <row r="179" customHeight="1" spans="1:26">
      <c r="A179" s="23" t="str">
        <f>IF(盘货信息!A179="","",盘货信息!A179)</f>
        <v/>
      </c>
      <c r="B179" s="26" t="str">
        <f>IF(盘货信息!B179="","",盘货信息!B179)</f>
        <v/>
      </c>
      <c r="C179" s="23" t="str">
        <f>IF(盘货信息!C179="","",盘货信息!C179)</f>
        <v/>
      </c>
      <c r="D179" s="27" t="str">
        <f ca="1" t="shared" si="2"/>
        <v/>
      </c>
      <c r="E179" s="27" t="str">
        <f>IF(C179="","",固定信息!$B$2)</f>
        <v/>
      </c>
      <c r="F179" s="27" t="str">
        <f>IF(C179="","","【"&amp;C179&amp;"】"&amp;固定信息!$B$4)</f>
        <v/>
      </c>
      <c r="G179" s="27" t="str">
        <f>IF(C179="","","【"&amp;"活动时间："&amp;固定信息!$B$3&amp;"】")</f>
        <v/>
      </c>
      <c r="H179" s="27" t="str">
        <f>IF($C179="","",固定信息!$B$1)</f>
        <v/>
      </c>
      <c r="I179" s="27" t="str">
        <f>IF(OR(C179="",固定信息!$B$5=""),"","【1元预约锁好礼】"&amp;固定信息!$B$5)</f>
        <v/>
      </c>
      <c r="J179" s="27" t="str" cm="1">
        <f t="array" ref="J179">_xlfn.XLOOKUP($A179&amp;$B179&amp;$C179,价格信息!$A:$A&amp;价格信息!$B:$B&amp;价格信息!$C:$C,价格信息!$D:$D)</f>
        <v/>
      </c>
      <c r="K179" s="27" t="str">
        <f>IF($C179="","",固定信息!$B$1)</f>
        <v/>
      </c>
      <c r="L179" s="27" t="str" cm="1">
        <f t="array" ref="L179">IF(_xlfn.XLOOKUP($A179&amp;$B179&amp;$C179,盘货信息!$A:$A&amp;盘货信息!$B:$B&amp;盘货信息!$C:$C,盘货信息!$T:$T)="","","【优惠券】领"&amp;_xlfn.XLOOKUP($A179&amp;$B179&amp;$C179,盘货信息!$A:$A&amp;盘货信息!$B:$B&amp;盘货信息!$C:$C,盘货信息!$T:$T)&amp;"元优惠卷下单更优惠，领券链接："&amp;_xlfn.XLOOKUP($A179&amp;$B179&amp;$C179,盘货信息!$A:$A&amp;盘货信息!$B:$B&amp;盘货信息!$C:$C,盘货信息!$U:$U))</f>
        <v/>
      </c>
      <c r="M179" s="27" t="str" cm="1">
        <f t="array" ref="M179">IF(_xlfn.XLOOKUP($A179&amp;$B179&amp;$C179,盘货信息!$A:$A&amp;盘货信息!$B:$B&amp;盘货信息!$C:$C,盘货信息!$P:$P)="","","【限时】"&amp;_xlfn.XLOOKUP($A179&amp;$B179&amp;$C179,盘货信息!$A:$A&amp;盘货信息!$B:$B&amp;盘货信息!$C:$C,盘货信息!$P:$P))</f>
        <v/>
      </c>
      <c r="N179" s="27" t="str" cm="1">
        <f t="array" ref="N179">IF(_xlfn.XLOOKUP($A179&amp;$B179&amp;$C179,盘货信息!$A:$A&amp;盘货信息!$B:$B&amp;盘货信息!$C:$C,盘货信息!$V:$V)="","","【"&amp;盘货信息!$V$1&amp;"】"&amp;_xlfn.XLOOKUP($A179&amp;$B179&amp;$C179,盘货信息!$A:$A&amp;盘货信息!$B:$B&amp;盘货信息!$C:$C,盘货信息!$V:$V))</f>
        <v/>
      </c>
      <c r="O179" s="27" t="str" cm="1">
        <f t="array" ref="O179">IF(_xlfn.XLOOKUP($A179&amp;$B179&amp;$C179,盘货信息!$A:$A&amp;盘货信息!$B:$B&amp;盘货信息!$C:$C,盘货信息!$W:$W)="","","【"&amp;盘货信息!$W$1&amp;"】"&amp;_xlfn.XLOOKUP($A179&amp;$B179&amp;$C179,盘货信息!$A:$A&amp;盘货信息!$B:$B&amp;盘货信息!$C:$C,盘货信息!$W:$W))</f>
        <v/>
      </c>
      <c r="P179" s="27" t="str" cm="1">
        <f t="array" ref="P179">IF(_xlfn.XLOOKUP($A179&amp;$B179&amp;$C179,盘货信息!$A:$A&amp;盘货信息!$B:$B&amp;盘货信息!$C:$C,盘货信息!$S:$S)&lt;1,"","【"&amp;盘货信息!$S$1&amp;"】"&amp;"后返"&amp;_xlfn.XLOOKUP($A179&amp;$B179&amp;$C179,盘货信息!$A:$A&amp;盘货信息!$B:$B&amp;盘货信息!$C:$C,盘货信息!$S:$S)&amp;"元")</f>
        <v/>
      </c>
      <c r="Q179" s="27" t="str" cm="1">
        <f t="array" ref="Q179">IF(_xlfn.XLOOKUP($A179&amp;$B179&amp;$C179,盘货信息!$A:$A&amp;盘货信息!$B:$B&amp;盘货信息!$C:$C,盘货信息!$X:$X)="","","【"&amp;盘货信息!$X$1&amp;"】"&amp;_xlfn.XLOOKUP($A179&amp;$B179&amp;$C179,盘货信息!$A:$A&amp;盘货信息!$B:$B&amp;盘货信息!$C:$C,盘货信息!$X:$X))</f>
        <v/>
      </c>
      <c r="R179" s="27" t="str" cm="1">
        <f t="array" ref="R179">IF(_xlfn.XLOOKUP($A179&amp;$B179&amp;$C179,盘货信息!$A:$A&amp;盘货信息!$B:$B&amp;盘货信息!$C:$C,盘货信息!$Z:$Z)="","","【"&amp;盘货信息!$Z$1&amp;"】"&amp;_xlfn.XLOOKUP($A179&amp;$B179&amp;$C179,盘货信息!$A:$A&amp;盘货信息!$B:$B&amp;盘货信息!$C:$C,盘货信息!$Z:$Z))</f>
        <v/>
      </c>
      <c r="S179" s="27" t="str" cm="1">
        <f t="array" ref="S179">IF(_xlfn.XLOOKUP($A179&amp;$B179&amp;$C179,盘货信息!$A:$A&amp;盘货信息!$B:$B&amp;盘货信息!$C:$C,盘货信息!$Q:$Q)="","","【种草】站外带指定话题种草后返"&amp;_xlfn.XLOOKUP($A179&amp;$B179&amp;$C179,盘货信息!$A:$A&amp;盘货信息!$B:$B&amp;盘货信息!$C:$C,盘货信息!$Q:$Q)&amp;"元红包（每个淘宝账号仅限对应一个站外种草账号，同一个种草账号不可对应多个淘宝账号）")</f>
        <v/>
      </c>
      <c r="T179" s="27" t="str" cm="1">
        <f t="array" ref="T179">IF(_xlfn.XLOOKUP($A179&amp;$B179&amp;$C179,盘货信息!$A:$A&amp;盘货信息!$B:$B&amp;盘货信息!$C:$C,盘货信息!$R:$R)&lt;1,"","【以旧换新】"&amp;"享补贴"&amp;ROUND(_xlfn.XLOOKUP($A179&amp;$B179&amp;$C179,盘货信息!$A:$A&amp;盘货信息!$B:$B&amp;盘货信息!$C:$C,盘货信息!$R:$R),0)&amp;"元（可无旧机换新）")</f>
        <v/>
      </c>
      <c r="U179" s="27" t="str">
        <f>IF(AND($N179="",$O179="",$P179="",$Q179="",$R179="",$S179="",$T179=""),"",固定信息!$B$1)</f>
        <v/>
      </c>
      <c r="V179" s="27" t="str" cm="1">
        <f t="array" ref="V179">IF(_xlfn.XLOOKUP($A179&amp;$B179&amp;$C179,盘货信息!$A:$A&amp;盘货信息!$B:$B&amp;盘货信息!$C:$C,盘货信息!$Y:$Y)="","","【卡萨帝送赠】活动指定时间"&amp;_xlfn.TEXTBEFORE(_xlfn.TEXTAFTER(_xlfn.XLOOKUP($A179&amp;$B179&amp;$C179,盘货信息!$A:$A&amp;盘货信息!$B:$B&amp;盘货信息!$C:$C,盘货信息!$Y:$Y),"点"),"（"))</f>
        <v/>
      </c>
      <c r="W179" s="27" t="str" cm="1">
        <f t="array" ref="W179">IF(COUNTIF(_xlfn.XLOOKUP($A179&amp;$B179&amp;$C179,盘货信息!$A:$A&amp;盘货信息!$B:$B&amp;盘货信息!$C:$C,盘货信息!$O:$O),"*是*"),"【折扣】指定型号满2类享96折，满3类享94折","")</f>
        <v/>
      </c>
      <c r="X179" s="27" t="str" cm="1">
        <f t="array" ref="X179">IF(固定信息!$B$7="","",IF(_xlfn.XLOOKUP($A179&amp;$B179&amp;$C179,盘货信息!$A:$A&amp;盘货信息!$B:$B&amp;盘货信息!$C:$C,盘货信息!$N:$N)="是","【瓜分】"&amp;固定信息!$B$7,""))</f>
        <v/>
      </c>
      <c r="Y179" s="27" t="str">
        <f>IF(AND($V179="",$W179="",$X179=""),"",固定信息!$B$1)</f>
        <v/>
      </c>
      <c r="Z179" s="27" t="str" cm="1">
        <f t="array" ref="Z179">IF($C179="","",_xlfn.XLOOKUP($A179&amp;$B179&amp;$C179,服务!$A:$A&amp;服务!$B:$B&amp;服务!$C:$C,服务!$D:$D))</f>
        <v/>
      </c>
    </row>
    <row r="180" customHeight="1" spans="1:26">
      <c r="A180" s="23" t="str">
        <f>IF(盘货信息!A180="","",盘货信息!A180)</f>
        <v/>
      </c>
      <c r="B180" s="26" t="str">
        <f>IF(盘货信息!B180="","",盘货信息!B180)</f>
        <v/>
      </c>
      <c r="C180" s="23" t="str">
        <f>IF(盘货信息!C180="","",盘货信息!C180)</f>
        <v/>
      </c>
      <c r="D180" s="27" t="str">
        <f ca="1" t="shared" si="2"/>
        <v/>
      </c>
      <c r="E180" s="27" t="str">
        <f>IF(C180="","",固定信息!$B$2)</f>
        <v/>
      </c>
      <c r="F180" s="27" t="str">
        <f>IF(C180="","","【"&amp;C180&amp;"】"&amp;固定信息!$B$4)</f>
        <v/>
      </c>
      <c r="G180" s="27" t="str">
        <f>IF(C180="","","【"&amp;"活动时间："&amp;固定信息!$B$3&amp;"】")</f>
        <v/>
      </c>
      <c r="H180" s="27" t="str">
        <f>IF($C180="","",固定信息!$B$1)</f>
        <v/>
      </c>
      <c r="I180" s="27" t="str">
        <f>IF(OR(C180="",固定信息!$B$5=""),"","【1元预约锁好礼】"&amp;固定信息!$B$5)</f>
        <v/>
      </c>
      <c r="J180" s="27" t="str" cm="1">
        <f t="array" ref="J180">_xlfn.XLOOKUP($A180&amp;$B180&amp;$C180,价格信息!$A:$A&amp;价格信息!$B:$B&amp;价格信息!$C:$C,价格信息!$D:$D)</f>
        <v/>
      </c>
      <c r="K180" s="27" t="str">
        <f>IF($C180="","",固定信息!$B$1)</f>
        <v/>
      </c>
      <c r="L180" s="27" t="str" cm="1">
        <f t="array" ref="L180">IF(_xlfn.XLOOKUP($A180&amp;$B180&amp;$C180,盘货信息!$A:$A&amp;盘货信息!$B:$B&amp;盘货信息!$C:$C,盘货信息!$T:$T)="","","【优惠券】领"&amp;_xlfn.XLOOKUP($A180&amp;$B180&amp;$C180,盘货信息!$A:$A&amp;盘货信息!$B:$B&amp;盘货信息!$C:$C,盘货信息!$T:$T)&amp;"元优惠卷下单更优惠，领券链接："&amp;_xlfn.XLOOKUP($A180&amp;$B180&amp;$C180,盘货信息!$A:$A&amp;盘货信息!$B:$B&amp;盘货信息!$C:$C,盘货信息!$U:$U))</f>
        <v/>
      </c>
      <c r="M180" s="27" t="str" cm="1">
        <f t="array" ref="M180">IF(_xlfn.XLOOKUP($A180&amp;$B180&amp;$C180,盘货信息!$A:$A&amp;盘货信息!$B:$B&amp;盘货信息!$C:$C,盘货信息!$P:$P)="","","【限时】"&amp;_xlfn.XLOOKUP($A180&amp;$B180&amp;$C180,盘货信息!$A:$A&amp;盘货信息!$B:$B&amp;盘货信息!$C:$C,盘货信息!$P:$P))</f>
        <v/>
      </c>
      <c r="N180" s="27" t="str" cm="1">
        <f t="array" ref="N180">IF(_xlfn.XLOOKUP($A180&amp;$B180&amp;$C180,盘货信息!$A:$A&amp;盘货信息!$B:$B&amp;盘货信息!$C:$C,盘货信息!$V:$V)="","","【"&amp;盘货信息!$V$1&amp;"】"&amp;_xlfn.XLOOKUP($A180&amp;$B180&amp;$C180,盘货信息!$A:$A&amp;盘货信息!$B:$B&amp;盘货信息!$C:$C,盘货信息!$V:$V))</f>
        <v/>
      </c>
      <c r="O180" s="27" t="str" cm="1">
        <f t="array" ref="O180">IF(_xlfn.XLOOKUP($A180&amp;$B180&amp;$C180,盘货信息!$A:$A&amp;盘货信息!$B:$B&amp;盘货信息!$C:$C,盘货信息!$W:$W)="","","【"&amp;盘货信息!$W$1&amp;"】"&amp;_xlfn.XLOOKUP($A180&amp;$B180&amp;$C180,盘货信息!$A:$A&amp;盘货信息!$B:$B&amp;盘货信息!$C:$C,盘货信息!$W:$W))</f>
        <v/>
      </c>
      <c r="P180" s="27" t="str" cm="1">
        <f t="array" ref="P180">IF(_xlfn.XLOOKUP($A180&amp;$B180&amp;$C180,盘货信息!$A:$A&amp;盘货信息!$B:$B&amp;盘货信息!$C:$C,盘货信息!$S:$S)&lt;1,"","【"&amp;盘货信息!$S$1&amp;"】"&amp;"后返"&amp;_xlfn.XLOOKUP($A180&amp;$B180&amp;$C180,盘货信息!$A:$A&amp;盘货信息!$B:$B&amp;盘货信息!$C:$C,盘货信息!$S:$S)&amp;"元")</f>
        <v/>
      </c>
      <c r="Q180" s="27" t="str" cm="1">
        <f t="array" ref="Q180">IF(_xlfn.XLOOKUP($A180&amp;$B180&amp;$C180,盘货信息!$A:$A&amp;盘货信息!$B:$B&amp;盘货信息!$C:$C,盘货信息!$X:$X)="","","【"&amp;盘货信息!$X$1&amp;"】"&amp;_xlfn.XLOOKUP($A180&amp;$B180&amp;$C180,盘货信息!$A:$A&amp;盘货信息!$B:$B&amp;盘货信息!$C:$C,盘货信息!$X:$X))</f>
        <v/>
      </c>
      <c r="R180" s="27" t="str" cm="1">
        <f t="array" ref="R180">IF(_xlfn.XLOOKUP($A180&amp;$B180&amp;$C180,盘货信息!$A:$A&amp;盘货信息!$B:$B&amp;盘货信息!$C:$C,盘货信息!$Z:$Z)="","","【"&amp;盘货信息!$Z$1&amp;"】"&amp;_xlfn.XLOOKUP($A180&amp;$B180&amp;$C180,盘货信息!$A:$A&amp;盘货信息!$B:$B&amp;盘货信息!$C:$C,盘货信息!$Z:$Z))</f>
        <v/>
      </c>
      <c r="S180" s="27" t="str" cm="1">
        <f t="array" ref="S180">IF(_xlfn.XLOOKUP($A180&amp;$B180&amp;$C180,盘货信息!$A:$A&amp;盘货信息!$B:$B&amp;盘货信息!$C:$C,盘货信息!$Q:$Q)="","","【种草】站外带指定话题种草后返"&amp;_xlfn.XLOOKUP($A180&amp;$B180&amp;$C180,盘货信息!$A:$A&amp;盘货信息!$B:$B&amp;盘货信息!$C:$C,盘货信息!$Q:$Q)&amp;"元红包（每个淘宝账号仅限对应一个站外种草账号，同一个种草账号不可对应多个淘宝账号）")</f>
        <v/>
      </c>
      <c r="T180" s="27" t="str" cm="1">
        <f t="array" ref="T180">IF(_xlfn.XLOOKUP($A180&amp;$B180&amp;$C180,盘货信息!$A:$A&amp;盘货信息!$B:$B&amp;盘货信息!$C:$C,盘货信息!$R:$R)&lt;1,"","【以旧换新】"&amp;"享补贴"&amp;ROUND(_xlfn.XLOOKUP($A180&amp;$B180&amp;$C180,盘货信息!$A:$A&amp;盘货信息!$B:$B&amp;盘货信息!$C:$C,盘货信息!$R:$R),0)&amp;"元（可无旧机换新）")</f>
        <v/>
      </c>
      <c r="U180" s="27" t="str">
        <f>IF(AND($N180="",$O180="",$P180="",$Q180="",$R180="",$S180="",$T180=""),"",固定信息!$B$1)</f>
        <v/>
      </c>
      <c r="V180" s="27" t="str" cm="1">
        <f t="array" ref="V180">IF(_xlfn.XLOOKUP($A180&amp;$B180&amp;$C180,盘货信息!$A:$A&amp;盘货信息!$B:$B&amp;盘货信息!$C:$C,盘货信息!$Y:$Y)="","","【卡萨帝送赠】活动指定时间"&amp;_xlfn.TEXTBEFORE(_xlfn.TEXTAFTER(_xlfn.XLOOKUP($A180&amp;$B180&amp;$C180,盘货信息!$A:$A&amp;盘货信息!$B:$B&amp;盘货信息!$C:$C,盘货信息!$Y:$Y),"点"),"（"))</f>
        <v/>
      </c>
      <c r="W180" s="27" t="str" cm="1">
        <f t="array" ref="W180">IF(COUNTIF(_xlfn.XLOOKUP($A180&amp;$B180&amp;$C180,盘货信息!$A:$A&amp;盘货信息!$B:$B&amp;盘货信息!$C:$C,盘货信息!$O:$O),"*是*"),"【折扣】指定型号满2类享96折，满3类享94折","")</f>
        <v/>
      </c>
      <c r="X180" s="27" t="str" cm="1">
        <f t="array" ref="X180">IF(固定信息!$B$7="","",IF(_xlfn.XLOOKUP($A180&amp;$B180&amp;$C180,盘货信息!$A:$A&amp;盘货信息!$B:$B&amp;盘货信息!$C:$C,盘货信息!$N:$N)="是","【瓜分】"&amp;固定信息!$B$7,""))</f>
        <v/>
      </c>
      <c r="Y180" s="27" t="str">
        <f>IF(AND($V180="",$W180="",$X180=""),"",固定信息!$B$1)</f>
        <v/>
      </c>
      <c r="Z180" s="27" t="str" cm="1">
        <f t="array" ref="Z180">IF($C180="","",_xlfn.XLOOKUP($A180&amp;$B180&amp;$C180,服务!$A:$A&amp;服务!$B:$B&amp;服务!$C:$C,服务!$D:$D))</f>
        <v/>
      </c>
    </row>
    <row r="181" customHeight="1" spans="1:26">
      <c r="A181" s="23" t="str">
        <f>IF(盘货信息!A181="","",盘货信息!A181)</f>
        <v/>
      </c>
      <c r="B181" s="26" t="str">
        <f>IF(盘货信息!B181="","",盘货信息!B181)</f>
        <v/>
      </c>
      <c r="C181" s="23" t="str">
        <f>IF(盘货信息!C181="","",盘货信息!C181)</f>
        <v/>
      </c>
      <c r="D181" s="27" t="str">
        <f ca="1" t="shared" si="2"/>
        <v/>
      </c>
      <c r="E181" s="27" t="str">
        <f>IF(C181="","",固定信息!$B$2)</f>
        <v/>
      </c>
      <c r="F181" s="27" t="str">
        <f>IF(C181="","","【"&amp;C181&amp;"】"&amp;固定信息!$B$4)</f>
        <v/>
      </c>
      <c r="G181" s="27" t="str">
        <f>IF(C181="","","【"&amp;"活动时间："&amp;固定信息!$B$3&amp;"】")</f>
        <v/>
      </c>
      <c r="H181" s="27" t="str">
        <f>IF($C181="","",固定信息!$B$1)</f>
        <v/>
      </c>
      <c r="I181" s="27" t="str">
        <f>IF(OR(C181="",固定信息!$B$5=""),"","【1元预约锁好礼】"&amp;固定信息!$B$5)</f>
        <v/>
      </c>
      <c r="J181" s="27" t="str" cm="1">
        <f t="array" ref="J181">_xlfn.XLOOKUP($A181&amp;$B181&amp;$C181,价格信息!$A:$A&amp;价格信息!$B:$B&amp;价格信息!$C:$C,价格信息!$D:$D)</f>
        <v/>
      </c>
      <c r="K181" s="27" t="str">
        <f>IF($C181="","",固定信息!$B$1)</f>
        <v/>
      </c>
      <c r="L181" s="27" t="str" cm="1">
        <f t="array" ref="L181">IF(_xlfn.XLOOKUP($A181&amp;$B181&amp;$C181,盘货信息!$A:$A&amp;盘货信息!$B:$B&amp;盘货信息!$C:$C,盘货信息!$T:$T)="","","【优惠券】领"&amp;_xlfn.XLOOKUP($A181&amp;$B181&amp;$C181,盘货信息!$A:$A&amp;盘货信息!$B:$B&amp;盘货信息!$C:$C,盘货信息!$T:$T)&amp;"元优惠卷下单更优惠，领券链接："&amp;_xlfn.XLOOKUP($A181&amp;$B181&amp;$C181,盘货信息!$A:$A&amp;盘货信息!$B:$B&amp;盘货信息!$C:$C,盘货信息!$U:$U))</f>
        <v/>
      </c>
      <c r="M181" s="27" t="str" cm="1">
        <f t="array" ref="M181">IF(_xlfn.XLOOKUP($A181&amp;$B181&amp;$C181,盘货信息!$A:$A&amp;盘货信息!$B:$B&amp;盘货信息!$C:$C,盘货信息!$P:$P)="","","【限时】"&amp;_xlfn.XLOOKUP($A181&amp;$B181&amp;$C181,盘货信息!$A:$A&amp;盘货信息!$B:$B&amp;盘货信息!$C:$C,盘货信息!$P:$P))</f>
        <v/>
      </c>
      <c r="N181" s="27" t="str" cm="1">
        <f t="array" ref="N181">IF(_xlfn.XLOOKUP($A181&amp;$B181&amp;$C181,盘货信息!$A:$A&amp;盘货信息!$B:$B&amp;盘货信息!$C:$C,盘货信息!$V:$V)="","","【"&amp;盘货信息!$V$1&amp;"】"&amp;_xlfn.XLOOKUP($A181&amp;$B181&amp;$C181,盘货信息!$A:$A&amp;盘货信息!$B:$B&amp;盘货信息!$C:$C,盘货信息!$V:$V))</f>
        <v/>
      </c>
      <c r="O181" s="27" t="str" cm="1">
        <f t="array" ref="O181">IF(_xlfn.XLOOKUP($A181&amp;$B181&amp;$C181,盘货信息!$A:$A&amp;盘货信息!$B:$B&amp;盘货信息!$C:$C,盘货信息!$W:$W)="","","【"&amp;盘货信息!$W$1&amp;"】"&amp;_xlfn.XLOOKUP($A181&amp;$B181&amp;$C181,盘货信息!$A:$A&amp;盘货信息!$B:$B&amp;盘货信息!$C:$C,盘货信息!$W:$W))</f>
        <v/>
      </c>
      <c r="P181" s="27" t="str" cm="1">
        <f t="array" ref="P181">IF(_xlfn.XLOOKUP($A181&amp;$B181&amp;$C181,盘货信息!$A:$A&amp;盘货信息!$B:$B&amp;盘货信息!$C:$C,盘货信息!$S:$S)&lt;1,"","【"&amp;盘货信息!$S$1&amp;"】"&amp;"后返"&amp;_xlfn.XLOOKUP($A181&amp;$B181&amp;$C181,盘货信息!$A:$A&amp;盘货信息!$B:$B&amp;盘货信息!$C:$C,盘货信息!$S:$S)&amp;"元")</f>
        <v/>
      </c>
      <c r="Q181" s="27" t="str" cm="1">
        <f t="array" ref="Q181">IF(_xlfn.XLOOKUP($A181&amp;$B181&amp;$C181,盘货信息!$A:$A&amp;盘货信息!$B:$B&amp;盘货信息!$C:$C,盘货信息!$X:$X)="","","【"&amp;盘货信息!$X$1&amp;"】"&amp;_xlfn.XLOOKUP($A181&amp;$B181&amp;$C181,盘货信息!$A:$A&amp;盘货信息!$B:$B&amp;盘货信息!$C:$C,盘货信息!$X:$X))</f>
        <v/>
      </c>
      <c r="R181" s="27" t="str" cm="1">
        <f t="array" ref="R181">IF(_xlfn.XLOOKUP($A181&amp;$B181&amp;$C181,盘货信息!$A:$A&amp;盘货信息!$B:$B&amp;盘货信息!$C:$C,盘货信息!$Z:$Z)="","","【"&amp;盘货信息!$Z$1&amp;"】"&amp;_xlfn.XLOOKUP($A181&amp;$B181&amp;$C181,盘货信息!$A:$A&amp;盘货信息!$B:$B&amp;盘货信息!$C:$C,盘货信息!$Z:$Z))</f>
        <v/>
      </c>
      <c r="S181" s="27" t="str" cm="1">
        <f t="array" ref="S181">IF(_xlfn.XLOOKUP($A181&amp;$B181&amp;$C181,盘货信息!$A:$A&amp;盘货信息!$B:$B&amp;盘货信息!$C:$C,盘货信息!$Q:$Q)="","","【种草】站外带指定话题种草后返"&amp;_xlfn.XLOOKUP($A181&amp;$B181&amp;$C181,盘货信息!$A:$A&amp;盘货信息!$B:$B&amp;盘货信息!$C:$C,盘货信息!$Q:$Q)&amp;"元红包（每个淘宝账号仅限对应一个站外种草账号，同一个种草账号不可对应多个淘宝账号）")</f>
        <v/>
      </c>
      <c r="T181" s="27" t="str" cm="1">
        <f t="array" ref="T181">IF(_xlfn.XLOOKUP($A181&amp;$B181&amp;$C181,盘货信息!$A:$A&amp;盘货信息!$B:$B&amp;盘货信息!$C:$C,盘货信息!$R:$R)&lt;1,"","【以旧换新】"&amp;"享补贴"&amp;ROUND(_xlfn.XLOOKUP($A181&amp;$B181&amp;$C181,盘货信息!$A:$A&amp;盘货信息!$B:$B&amp;盘货信息!$C:$C,盘货信息!$R:$R),0)&amp;"元（可无旧机换新）")</f>
        <v/>
      </c>
      <c r="U181" s="27" t="str">
        <f>IF(AND($N181="",$O181="",$P181="",$Q181="",$R181="",$S181="",$T181=""),"",固定信息!$B$1)</f>
        <v/>
      </c>
      <c r="V181" s="27" t="str" cm="1">
        <f t="array" ref="V181">IF(_xlfn.XLOOKUP($A181&amp;$B181&amp;$C181,盘货信息!$A:$A&amp;盘货信息!$B:$B&amp;盘货信息!$C:$C,盘货信息!$Y:$Y)="","","【卡萨帝送赠】活动指定时间"&amp;_xlfn.TEXTBEFORE(_xlfn.TEXTAFTER(_xlfn.XLOOKUP($A181&amp;$B181&amp;$C181,盘货信息!$A:$A&amp;盘货信息!$B:$B&amp;盘货信息!$C:$C,盘货信息!$Y:$Y),"点"),"（"))</f>
        <v/>
      </c>
      <c r="W181" s="27" t="str" cm="1">
        <f t="array" ref="W181">IF(COUNTIF(_xlfn.XLOOKUP($A181&amp;$B181&amp;$C181,盘货信息!$A:$A&amp;盘货信息!$B:$B&amp;盘货信息!$C:$C,盘货信息!$O:$O),"*是*"),"【折扣】指定型号满2类享96折，满3类享94折","")</f>
        <v/>
      </c>
      <c r="X181" s="27" t="str" cm="1">
        <f t="array" ref="X181">IF(固定信息!$B$7="","",IF(_xlfn.XLOOKUP($A181&amp;$B181&amp;$C181,盘货信息!$A:$A&amp;盘货信息!$B:$B&amp;盘货信息!$C:$C,盘货信息!$N:$N)="是","【瓜分】"&amp;固定信息!$B$7,""))</f>
        <v/>
      </c>
      <c r="Y181" s="27" t="str">
        <f>IF(AND($V181="",$W181="",$X181=""),"",固定信息!$B$1)</f>
        <v/>
      </c>
      <c r="Z181" s="27" t="str" cm="1">
        <f t="array" ref="Z181">IF($C181="","",_xlfn.XLOOKUP($A181&amp;$B181&amp;$C181,服务!$A:$A&amp;服务!$B:$B&amp;服务!$C:$C,服务!$D:$D))</f>
        <v/>
      </c>
    </row>
    <row r="182" customHeight="1" spans="1:26">
      <c r="A182" s="23" t="str">
        <f>IF(盘货信息!A182="","",盘货信息!A182)</f>
        <v/>
      </c>
      <c r="B182" s="26" t="str">
        <f>IF(盘货信息!B182="","",盘货信息!B182)</f>
        <v/>
      </c>
      <c r="C182" s="23" t="str">
        <f>IF(盘货信息!C182="","",盘货信息!C182)</f>
        <v/>
      </c>
      <c r="D182" s="27" t="str">
        <f ca="1" t="shared" si="2"/>
        <v/>
      </c>
      <c r="E182" s="27" t="str">
        <f>IF(C182="","",固定信息!$B$2)</f>
        <v/>
      </c>
      <c r="F182" s="27" t="str">
        <f>IF(C182="","","【"&amp;C182&amp;"】"&amp;固定信息!$B$4)</f>
        <v/>
      </c>
      <c r="G182" s="27" t="str">
        <f>IF(C182="","","【"&amp;"活动时间："&amp;固定信息!$B$3&amp;"】")</f>
        <v/>
      </c>
      <c r="H182" s="27" t="str">
        <f>IF($C182="","",固定信息!$B$1)</f>
        <v/>
      </c>
      <c r="I182" s="27" t="str">
        <f>IF(OR(C182="",固定信息!$B$5=""),"","【1元预约锁好礼】"&amp;固定信息!$B$5)</f>
        <v/>
      </c>
      <c r="J182" s="27" t="str" cm="1">
        <f t="array" ref="J182">_xlfn.XLOOKUP($A182&amp;$B182&amp;$C182,价格信息!$A:$A&amp;价格信息!$B:$B&amp;价格信息!$C:$C,价格信息!$D:$D)</f>
        <v/>
      </c>
      <c r="K182" s="27" t="str">
        <f>IF($C182="","",固定信息!$B$1)</f>
        <v/>
      </c>
      <c r="L182" s="27" t="str" cm="1">
        <f t="array" ref="L182">IF(_xlfn.XLOOKUP($A182&amp;$B182&amp;$C182,盘货信息!$A:$A&amp;盘货信息!$B:$B&amp;盘货信息!$C:$C,盘货信息!$T:$T)="","","【优惠券】领"&amp;_xlfn.XLOOKUP($A182&amp;$B182&amp;$C182,盘货信息!$A:$A&amp;盘货信息!$B:$B&amp;盘货信息!$C:$C,盘货信息!$T:$T)&amp;"元优惠卷下单更优惠，领券链接："&amp;_xlfn.XLOOKUP($A182&amp;$B182&amp;$C182,盘货信息!$A:$A&amp;盘货信息!$B:$B&amp;盘货信息!$C:$C,盘货信息!$U:$U))</f>
        <v/>
      </c>
      <c r="M182" s="27" t="str" cm="1">
        <f t="array" ref="M182">IF(_xlfn.XLOOKUP($A182&amp;$B182&amp;$C182,盘货信息!$A:$A&amp;盘货信息!$B:$B&amp;盘货信息!$C:$C,盘货信息!$P:$P)="","","【限时】"&amp;_xlfn.XLOOKUP($A182&amp;$B182&amp;$C182,盘货信息!$A:$A&amp;盘货信息!$B:$B&amp;盘货信息!$C:$C,盘货信息!$P:$P))</f>
        <v/>
      </c>
      <c r="N182" s="27" t="str" cm="1">
        <f t="array" ref="N182">IF(_xlfn.XLOOKUP($A182&amp;$B182&amp;$C182,盘货信息!$A:$A&amp;盘货信息!$B:$B&amp;盘货信息!$C:$C,盘货信息!$V:$V)="","","【"&amp;盘货信息!$V$1&amp;"】"&amp;_xlfn.XLOOKUP($A182&amp;$B182&amp;$C182,盘货信息!$A:$A&amp;盘货信息!$B:$B&amp;盘货信息!$C:$C,盘货信息!$V:$V))</f>
        <v/>
      </c>
      <c r="O182" s="27" t="str" cm="1">
        <f t="array" ref="O182">IF(_xlfn.XLOOKUP($A182&amp;$B182&amp;$C182,盘货信息!$A:$A&amp;盘货信息!$B:$B&amp;盘货信息!$C:$C,盘货信息!$W:$W)="","","【"&amp;盘货信息!$W$1&amp;"】"&amp;_xlfn.XLOOKUP($A182&amp;$B182&amp;$C182,盘货信息!$A:$A&amp;盘货信息!$B:$B&amp;盘货信息!$C:$C,盘货信息!$W:$W))</f>
        <v/>
      </c>
      <c r="P182" s="27" t="str" cm="1">
        <f t="array" ref="P182">IF(_xlfn.XLOOKUP($A182&amp;$B182&amp;$C182,盘货信息!$A:$A&amp;盘货信息!$B:$B&amp;盘货信息!$C:$C,盘货信息!$S:$S)&lt;1,"","【"&amp;盘货信息!$S$1&amp;"】"&amp;"后返"&amp;_xlfn.XLOOKUP($A182&amp;$B182&amp;$C182,盘货信息!$A:$A&amp;盘货信息!$B:$B&amp;盘货信息!$C:$C,盘货信息!$S:$S)&amp;"元")</f>
        <v/>
      </c>
      <c r="Q182" s="27" t="str" cm="1">
        <f t="array" ref="Q182">IF(_xlfn.XLOOKUP($A182&amp;$B182&amp;$C182,盘货信息!$A:$A&amp;盘货信息!$B:$B&amp;盘货信息!$C:$C,盘货信息!$X:$X)="","","【"&amp;盘货信息!$X$1&amp;"】"&amp;_xlfn.XLOOKUP($A182&amp;$B182&amp;$C182,盘货信息!$A:$A&amp;盘货信息!$B:$B&amp;盘货信息!$C:$C,盘货信息!$X:$X))</f>
        <v/>
      </c>
      <c r="R182" s="27" t="str" cm="1">
        <f t="array" ref="R182">IF(_xlfn.XLOOKUP($A182&amp;$B182&amp;$C182,盘货信息!$A:$A&amp;盘货信息!$B:$B&amp;盘货信息!$C:$C,盘货信息!$Z:$Z)="","","【"&amp;盘货信息!$Z$1&amp;"】"&amp;_xlfn.XLOOKUP($A182&amp;$B182&amp;$C182,盘货信息!$A:$A&amp;盘货信息!$B:$B&amp;盘货信息!$C:$C,盘货信息!$Z:$Z))</f>
        <v/>
      </c>
      <c r="S182" s="27" t="str" cm="1">
        <f t="array" ref="S182">IF(_xlfn.XLOOKUP($A182&amp;$B182&amp;$C182,盘货信息!$A:$A&amp;盘货信息!$B:$B&amp;盘货信息!$C:$C,盘货信息!$Q:$Q)="","","【种草】站外带指定话题种草后返"&amp;_xlfn.XLOOKUP($A182&amp;$B182&amp;$C182,盘货信息!$A:$A&amp;盘货信息!$B:$B&amp;盘货信息!$C:$C,盘货信息!$Q:$Q)&amp;"元红包（每个淘宝账号仅限对应一个站外种草账号，同一个种草账号不可对应多个淘宝账号）")</f>
        <v/>
      </c>
      <c r="T182" s="27" t="str" cm="1">
        <f t="array" ref="T182">IF(_xlfn.XLOOKUP($A182&amp;$B182&amp;$C182,盘货信息!$A:$A&amp;盘货信息!$B:$B&amp;盘货信息!$C:$C,盘货信息!$R:$R)&lt;1,"","【以旧换新】"&amp;"享补贴"&amp;ROUND(_xlfn.XLOOKUP($A182&amp;$B182&amp;$C182,盘货信息!$A:$A&amp;盘货信息!$B:$B&amp;盘货信息!$C:$C,盘货信息!$R:$R),0)&amp;"元（可无旧机换新）")</f>
        <v/>
      </c>
      <c r="U182" s="27" t="str">
        <f>IF(AND($N182="",$O182="",$P182="",$Q182="",$R182="",$S182="",$T182=""),"",固定信息!$B$1)</f>
        <v/>
      </c>
      <c r="V182" s="27" t="str" cm="1">
        <f t="array" ref="V182">IF(_xlfn.XLOOKUP($A182&amp;$B182&amp;$C182,盘货信息!$A:$A&amp;盘货信息!$B:$B&amp;盘货信息!$C:$C,盘货信息!$Y:$Y)="","","【卡萨帝送赠】活动指定时间"&amp;_xlfn.TEXTBEFORE(_xlfn.TEXTAFTER(_xlfn.XLOOKUP($A182&amp;$B182&amp;$C182,盘货信息!$A:$A&amp;盘货信息!$B:$B&amp;盘货信息!$C:$C,盘货信息!$Y:$Y),"点"),"（"))</f>
        <v/>
      </c>
      <c r="W182" s="27" t="str" cm="1">
        <f t="array" ref="W182">IF(COUNTIF(_xlfn.XLOOKUP($A182&amp;$B182&amp;$C182,盘货信息!$A:$A&amp;盘货信息!$B:$B&amp;盘货信息!$C:$C,盘货信息!$O:$O),"*是*"),"【折扣】指定型号满2类享96折，满3类享94折","")</f>
        <v/>
      </c>
      <c r="X182" s="27" t="str" cm="1">
        <f t="array" ref="X182">IF(固定信息!$B$7="","",IF(_xlfn.XLOOKUP($A182&amp;$B182&amp;$C182,盘货信息!$A:$A&amp;盘货信息!$B:$B&amp;盘货信息!$C:$C,盘货信息!$N:$N)="是","【瓜分】"&amp;固定信息!$B$7,""))</f>
        <v/>
      </c>
      <c r="Y182" s="27" t="str">
        <f>IF(AND($V182="",$W182="",$X182=""),"",固定信息!$B$1)</f>
        <v/>
      </c>
      <c r="Z182" s="27" t="str" cm="1">
        <f t="array" ref="Z182">IF($C182="","",_xlfn.XLOOKUP($A182&amp;$B182&amp;$C182,服务!$A:$A&amp;服务!$B:$B&amp;服务!$C:$C,服务!$D:$D))</f>
        <v/>
      </c>
    </row>
    <row r="183" customHeight="1" spans="1:26">
      <c r="A183" s="23" t="str">
        <f>IF(盘货信息!A183="","",盘货信息!A183)</f>
        <v/>
      </c>
      <c r="B183" s="26" t="str">
        <f>IF(盘货信息!B183="","",盘货信息!B183)</f>
        <v/>
      </c>
      <c r="C183" s="23" t="str">
        <f>IF(盘货信息!C183="","",盘货信息!C183)</f>
        <v/>
      </c>
      <c r="D183" s="27" t="str">
        <f ca="1" t="shared" si="2"/>
        <v/>
      </c>
      <c r="E183" s="27" t="str">
        <f>IF(C183="","",固定信息!$B$2)</f>
        <v/>
      </c>
      <c r="F183" s="27" t="str">
        <f>IF(C183="","","【"&amp;C183&amp;"】"&amp;固定信息!$B$4)</f>
        <v/>
      </c>
      <c r="G183" s="27" t="str">
        <f>IF(C183="","","【"&amp;"活动时间："&amp;固定信息!$B$3&amp;"】")</f>
        <v/>
      </c>
      <c r="H183" s="27" t="str">
        <f>IF($C183="","",固定信息!$B$1)</f>
        <v/>
      </c>
      <c r="I183" s="27" t="str">
        <f>IF(OR(C183="",固定信息!$B$5=""),"","【1元预约锁好礼】"&amp;固定信息!$B$5)</f>
        <v/>
      </c>
      <c r="J183" s="27" t="str" cm="1">
        <f t="array" ref="J183">_xlfn.XLOOKUP($A183&amp;$B183&amp;$C183,价格信息!$A:$A&amp;价格信息!$B:$B&amp;价格信息!$C:$C,价格信息!$D:$D)</f>
        <v/>
      </c>
      <c r="K183" s="27" t="str">
        <f>IF($C183="","",固定信息!$B$1)</f>
        <v/>
      </c>
      <c r="L183" s="27" t="str" cm="1">
        <f t="array" ref="L183">IF(_xlfn.XLOOKUP($A183&amp;$B183&amp;$C183,盘货信息!$A:$A&amp;盘货信息!$B:$B&amp;盘货信息!$C:$C,盘货信息!$T:$T)="","","【优惠券】领"&amp;_xlfn.XLOOKUP($A183&amp;$B183&amp;$C183,盘货信息!$A:$A&amp;盘货信息!$B:$B&amp;盘货信息!$C:$C,盘货信息!$T:$T)&amp;"元优惠卷下单更优惠，领券链接："&amp;_xlfn.XLOOKUP($A183&amp;$B183&amp;$C183,盘货信息!$A:$A&amp;盘货信息!$B:$B&amp;盘货信息!$C:$C,盘货信息!$U:$U))</f>
        <v/>
      </c>
      <c r="M183" s="27" t="str" cm="1">
        <f t="array" ref="M183">IF(_xlfn.XLOOKUP($A183&amp;$B183&amp;$C183,盘货信息!$A:$A&amp;盘货信息!$B:$B&amp;盘货信息!$C:$C,盘货信息!$P:$P)="","","【限时】"&amp;_xlfn.XLOOKUP($A183&amp;$B183&amp;$C183,盘货信息!$A:$A&amp;盘货信息!$B:$B&amp;盘货信息!$C:$C,盘货信息!$P:$P))</f>
        <v/>
      </c>
      <c r="N183" s="27" t="str" cm="1">
        <f t="array" ref="N183">IF(_xlfn.XLOOKUP($A183&amp;$B183&amp;$C183,盘货信息!$A:$A&amp;盘货信息!$B:$B&amp;盘货信息!$C:$C,盘货信息!$V:$V)="","","【"&amp;盘货信息!$V$1&amp;"】"&amp;_xlfn.XLOOKUP($A183&amp;$B183&amp;$C183,盘货信息!$A:$A&amp;盘货信息!$B:$B&amp;盘货信息!$C:$C,盘货信息!$V:$V))</f>
        <v/>
      </c>
      <c r="O183" s="27" t="str" cm="1">
        <f t="array" ref="O183">IF(_xlfn.XLOOKUP($A183&amp;$B183&amp;$C183,盘货信息!$A:$A&amp;盘货信息!$B:$B&amp;盘货信息!$C:$C,盘货信息!$W:$W)="","","【"&amp;盘货信息!$W$1&amp;"】"&amp;_xlfn.XLOOKUP($A183&amp;$B183&amp;$C183,盘货信息!$A:$A&amp;盘货信息!$B:$B&amp;盘货信息!$C:$C,盘货信息!$W:$W))</f>
        <v/>
      </c>
      <c r="P183" s="27" t="str" cm="1">
        <f t="array" ref="P183">IF(_xlfn.XLOOKUP($A183&amp;$B183&amp;$C183,盘货信息!$A:$A&amp;盘货信息!$B:$B&amp;盘货信息!$C:$C,盘货信息!$S:$S)&lt;1,"","【"&amp;盘货信息!$S$1&amp;"】"&amp;"后返"&amp;_xlfn.XLOOKUP($A183&amp;$B183&amp;$C183,盘货信息!$A:$A&amp;盘货信息!$B:$B&amp;盘货信息!$C:$C,盘货信息!$S:$S)&amp;"元")</f>
        <v/>
      </c>
      <c r="Q183" s="27" t="str" cm="1">
        <f t="array" ref="Q183">IF(_xlfn.XLOOKUP($A183&amp;$B183&amp;$C183,盘货信息!$A:$A&amp;盘货信息!$B:$B&amp;盘货信息!$C:$C,盘货信息!$X:$X)="","","【"&amp;盘货信息!$X$1&amp;"】"&amp;_xlfn.XLOOKUP($A183&amp;$B183&amp;$C183,盘货信息!$A:$A&amp;盘货信息!$B:$B&amp;盘货信息!$C:$C,盘货信息!$X:$X))</f>
        <v/>
      </c>
      <c r="R183" s="27" t="str" cm="1">
        <f t="array" ref="R183">IF(_xlfn.XLOOKUP($A183&amp;$B183&amp;$C183,盘货信息!$A:$A&amp;盘货信息!$B:$B&amp;盘货信息!$C:$C,盘货信息!$Z:$Z)="","","【"&amp;盘货信息!$Z$1&amp;"】"&amp;_xlfn.XLOOKUP($A183&amp;$B183&amp;$C183,盘货信息!$A:$A&amp;盘货信息!$B:$B&amp;盘货信息!$C:$C,盘货信息!$Z:$Z))</f>
        <v/>
      </c>
      <c r="S183" s="27" t="str" cm="1">
        <f t="array" ref="S183">IF(_xlfn.XLOOKUP($A183&amp;$B183&amp;$C183,盘货信息!$A:$A&amp;盘货信息!$B:$B&amp;盘货信息!$C:$C,盘货信息!$Q:$Q)="","","【种草】站外带指定话题种草后返"&amp;_xlfn.XLOOKUP($A183&amp;$B183&amp;$C183,盘货信息!$A:$A&amp;盘货信息!$B:$B&amp;盘货信息!$C:$C,盘货信息!$Q:$Q)&amp;"元红包（每个淘宝账号仅限对应一个站外种草账号，同一个种草账号不可对应多个淘宝账号）")</f>
        <v/>
      </c>
      <c r="T183" s="27" t="str" cm="1">
        <f t="array" ref="T183">IF(_xlfn.XLOOKUP($A183&amp;$B183&amp;$C183,盘货信息!$A:$A&amp;盘货信息!$B:$B&amp;盘货信息!$C:$C,盘货信息!$R:$R)&lt;1,"","【以旧换新】"&amp;"享补贴"&amp;ROUND(_xlfn.XLOOKUP($A183&amp;$B183&amp;$C183,盘货信息!$A:$A&amp;盘货信息!$B:$B&amp;盘货信息!$C:$C,盘货信息!$R:$R),0)&amp;"元（可无旧机换新）")</f>
        <v/>
      </c>
      <c r="U183" s="27" t="str">
        <f>IF(AND($N183="",$O183="",$P183="",$Q183="",$R183="",$S183="",$T183=""),"",固定信息!$B$1)</f>
        <v/>
      </c>
      <c r="V183" s="27" t="str" cm="1">
        <f t="array" ref="V183">IF(_xlfn.XLOOKUP($A183&amp;$B183&amp;$C183,盘货信息!$A:$A&amp;盘货信息!$B:$B&amp;盘货信息!$C:$C,盘货信息!$Y:$Y)="","","【卡萨帝送赠】活动指定时间"&amp;_xlfn.TEXTBEFORE(_xlfn.TEXTAFTER(_xlfn.XLOOKUP($A183&amp;$B183&amp;$C183,盘货信息!$A:$A&amp;盘货信息!$B:$B&amp;盘货信息!$C:$C,盘货信息!$Y:$Y),"点"),"（"))</f>
        <v/>
      </c>
      <c r="W183" s="27" t="str" cm="1">
        <f t="array" ref="W183">IF(COUNTIF(_xlfn.XLOOKUP($A183&amp;$B183&amp;$C183,盘货信息!$A:$A&amp;盘货信息!$B:$B&amp;盘货信息!$C:$C,盘货信息!$O:$O),"*是*"),"【折扣】指定型号满2类享96折，满3类享94折","")</f>
        <v/>
      </c>
      <c r="X183" s="27" t="str" cm="1">
        <f t="array" ref="X183">IF(固定信息!$B$7="","",IF(_xlfn.XLOOKUP($A183&amp;$B183&amp;$C183,盘货信息!$A:$A&amp;盘货信息!$B:$B&amp;盘货信息!$C:$C,盘货信息!$N:$N)="是","【瓜分】"&amp;固定信息!$B$7,""))</f>
        <v/>
      </c>
      <c r="Y183" s="27" t="str">
        <f>IF(AND($V183="",$W183="",$X183=""),"",固定信息!$B$1)</f>
        <v/>
      </c>
      <c r="Z183" s="27" t="str" cm="1">
        <f t="array" ref="Z183">IF($C183="","",_xlfn.XLOOKUP($A183&amp;$B183&amp;$C183,服务!$A:$A&amp;服务!$B:$B&amp;服务!$C:$C,服务!$D:$D))</f>
        <v/>
      </c>
    </row>
    <row r="184" customHeight="1" spans="1:26">
      <c r="A184" s="23" t="str">
        <f>IF(盘货信息!A184="","",盘货信息!A184)</f>
        <v/>
      </c>
      <c r="B184" s="26" t="str">
        <f>IF(盘货信息!B184="","",盘货信息!B184)</f>
        <v/>
      </c>
      <c r="C184" s="23" t="str">
        <f>IF(盘货信息!C184="","",盘货信息!C184)</f>
        <v/>
      </c>
      <c r="D184" s="27" t="str">
        <f ca="1" t="shared" si="2"/>
        <v/>
      </c>
      <c r="E184" s="27" t="str">
        <f>IF(C184="","",固定信息!$B$2)</f>
        <v/>
      </c>
      <c r="F184" s="27" t="str">
        <f>IF(C184="","","【"&amp;C184&amp;"】"&amp;固定信息!$B$4)</f>
        <v/>
      </c>
      <c r="G184" s="27" t="str">
        <f>IF(C184="","","【"&amp;"活动时间："&amp;固定信息!$B$3&amp;"】")</f>
        <v/>
      </c>
      <c r="H184" s="27" t="str">
        <f>IF($C184="","",固定信息!$B$1)</f>
        <v/>
      </c>
      <c r="I184" s="27" t="str">
        <f>IF(OR(C184="",固定信息!$B$5=""),"","【1元预约锁好礼】"&amp;固定信息!$B$5)</f>
        <v/>
      </c>
      <c r="J184" s="27" t="str" cm="1">
        <f t="array" ref="J184">_xlfn.XLOOKUP($A184&amp;$B184&amp;$C184,价格信息!$A:$A&amp;价格信息!$B:$B&amp;价格信息!$C:$C,价格信息!$D:$D)</f>
        <v/>
      </c>
      <c r="K184" s="27" t="str">
        <f>IF($C184="","",固定信息!$B$1)</f>
        <v/>
      </c>
      <c r="L184" s="27" t="str" cm="1">
        <f t="array" ref="L184">IF(_xlfn.XLOOKUP($A184&amp;$B184&amp;$C184,盘货信息!$A:$A&amp;盘货信息!$B:$B&amp;盘货信息!$C:$C,盘货信息!$T:$T)="","","【优惠券】领"&amp;_xlfn.XLOOKUP($A184&amp;$B184&amp;$C184,盘货信息!$A:$A&amp;盘货信息!$B:$B&amp;盘货信息!$C:$C,盘货信息!$T:$T)&amp;"元优惠卷下单更优惠，领券链接："&amp;_xlfn.XLOOKUP($A184&amp;$B184&amp;$C184,盘货信息!$A:$A&amp;盘货信息!$B:$B&amp;盘货信息!$C:$C,盘货信息!$U:$U))</f>
        <v/>
      </c>
      <c r="M184" s="27" t="str" cm="1">
        <f t="array" ref="M184">IF(_xlfn.XLOOKUP($A184&amp;$B184&amp;$C184,盘货信息!$A:$A&amp;盘货信息!$B:$B&amp;盘货信息!$C:$C,盘货信息!$P:$P)="","","【限时】"&amp;_xlfn.XLOOKUP($A184&amp;$B184&amp;$C184,盘货信息!$A:$A&amp;盘货信息!$B:$B&amp;盘货信息!$C:$C,盘货信息!$P:$P))</f>
        <v/>
      </c>
      <c r="N184" s="27" t="str" cm="1">
        <f t="array" ref="N184">IF(_xlfn.XLOOKUP($A184&amp;$B184&amp;$C184,盘货信息!$A:$A&amp;盘货信息!$B:$B&amp;盘货信息!$C:$C,盘货信息!$V:$V)="","","【"&amp;盘货信息!$V$1&amp;"】"&amp;_xlfn.XLOOKUP($A184&amp;$B184&amp;$C184,盘货信息!$A:$A&amp;盘货信息!$B:$B&amp;盘货信息!$C:$C,盘货信息!$V:$V))</f>
        <v/>
      </c>
      <c r="O184" s="27" t="str" cm="1">
        <f t="array" ref="O184">IF(_xlfn.XLOOKUP($A184&amp;$B184&amp;$C184,盘货信息!$A:$A&amp;盘货信息!$B:$B&amp;盘货信息!$C:$C,盘货信息!$W:$W)="","","【"&amp;盘货信息!$W$1&amp;"】"&amp;_xlfn.XLOOKUP($A184&amp;$B184&amp;$C184,盘货信息!$A:$A&amp;盘货信息!$B:$B&amp;盘货信息!$C:$C,盘货信息!$W:$W))</f>
        <v/>
      </c>
      <c r="P184" s="27" t="str" cm="1">
        <f t="array" ref="P184">IF(_xlfn.XLOOKUP($A184&amp;$B184&amp;$C184,盘货信息!$A:$A&amp;盘货信息!$B:$B&amp;盘货信息!$C:$C,盘货信息!$S:$S)&lt;1,"","【"&amp;盘货信息!$S$1&amp;"】"&amp;"后返"&amp;_xlfn.XLOOKUP($A184&amp;$B184&amp;$C184,盘货信息!$A:$A&amp;盘货信息!$B:$B&amp;盘货信息!$C:$C,盘货信息!$S:$S)&amp;"元")</f>
        <v/>
      </c>
      <c r="Q184" s="27" t="str" cm="1">
        <f t="array" ref="Q184">IF(_xlfn.XLOOKUP($A184&amp;$B184&amp;$C184,盘货信息!$A:$A&amp;盘货信息!$B:$B&amp;盘货信息!$C:$C,盘货信息!$X:$X)="","","【"&amp;盘货信息!$X$1&amp;"】"&amp;_xlfn.XLOOKUP($A184&amp;$B184&amp;$C184,盘货信息!$A:$A&amp;盘货信息!$B:$B&amp;盘货信息!$C:$C,盘货信息!$X:$X))</f>
        <v/>
      </c>
      <c r="R184" s="27" t="str" cm="1">
        <f t="array" ref="R184">IF(_xlfn.XLOOKUP($A184&amp;$B184&amp;$C184,盘货信息!$A:$A&amp;盘货信息!$B:$B&amp;盘货信息!$C:$C,盘货信息!$Z:$Z)="","","【"&amp;盘货信息!$Z$1&amp;"】"&amp;_xlfn.XLOOKUP($A184&amp;$B184&amp;$C184,盘货信息!$A:$A&amp;盘货信息!$B:$B&amp;盘货信息!$C:$C,盘货信息!$Z:$Z))</f>
        <v/>
      </c>
      <c r="S184" s="27" t="str" cm="1">
        <f t="array" ref="S184">IF(_xlfn.XLOOKUP($A184&amp;$B184&amp;$C184,盘货信息!$A:$A&amp;盘货信息!$B:$B&amp;盘货信息!$C:$C,盘货信息!$Q:$Q)="","","【种草】站外带指定话题种草后返"&amp;_xlfn.XLOOKUP($A184&amp;$B184&amp;$C184,盘货信息!$A:$A&amp;盘货信息!$B:$B&amp;盘货信息!$C:$C,盘货信息!$Q:$Q)&amp;"元红包（每个淘宝账号仅限对应一个站外种草账号，同一个种草账号不可对应多个淘宝账号）")</f>
        <v/>
      </c>
      <c r="T184" s="27" t="str" cm="1">
        <f t="array" ref="T184">IF(_xlfn.XLOOKUP($A184&amp;$B184&amp;$C184,盘货信息!$A:$A&amp;盘货信息!$B:$B&amp;盘货信息!$C:$C,盘货信息!$R:$R)&lt;1,"","【以旧换新】"&amp;"享补贴"&amp;ROUND(_xlfn.XLOOKUP($A184&amp;$B184&amp;$C184,盘货信息!$A:$A&amp;盘货信息!$B:$B&amp;盘货信息!$C:$C,盘货信息!$R:$R),0)&amp;"元（可无旧机换新）")</f>
        <v/>
      </c>
      <c r="U184" s="27" t="str">
        <f>IF(AND($N184="",$O184="",$P184="",$Q184="",$R184="",$S184="",$T184=""),"",固定信息!$B$1)</f>
        <v/>
      </c>
      <c r="V184" s="27" t="str" cm="1">
        <f t="array" ref="V184">IF(_xlfn.XLOOKUP($A184&amp;$B184&amp;$C184,盘货信息!$A:$A&amp;盘货信息!$B:$B&amp;盘货信息!$C:$C,盘货信息!$Y:$Y)="","","【卡萨帝送赠】活动指定时间"&amp;_xlfn.TEXTBEFORE(_xlfn.TEXTAFTER(_xlfn.XLOOKUP($A184&amp;$B184&amp;$C184,盘货信息!$A:$A&amp;盘货信息!$B:$B&amp;盘货信息!$C:$C,盘货信息!$Y:$Y),"点"),"（"))</f>
        <v/>
      </c>
      <c r="W184" s="27" t="str" cm="1">
        <f t="array" ref="W184">IF(COUNTIF(_xlfn.XLOOKUP($A184&amp;$B184&amp;$C184,盘货信息!$A:$A&amp;盘货信息!$B:$B&amp;盘货信息!$C:$C,盘货信息!$O:$O),"*是*"),"【折扣】指定型号满2类享96折，满3类享94折","")</f>
        <v/>
      </c>
      <c r="X184" s="27" t="str" cm="1">
        <f t="array" ref="X184">IF(固定信息!$B$7="","",IF(_xlfn.XLOOKUP($A184&amp;$B184&amp;$C184,盘货信息!$A:$A&amp;盘货信息!$B:$B&amp;盘货信息!$C:$C,盘货信息!$N:$N)="是","【瓜分】"&amp;固定信息!$B$7,""))</f>
        <v/>
      </c>
      <c r="Y184" s="27" t="str">
        <f>IF(AND($V184="",$W184="",$X184=""),"",固定信息!$B$1)</f>
        <v/>
      </c>
      <c r="Z184" s="27" t="str" cm="1">
        <f t="array" ref="Z184">IF($C184="","",_xlfn.XLOOKUP($A184&amp;$B184&amp;$C184,服务!$A:$A&amp;服务!$B:$B&amp;服务!$C:$C,服务!$D:$D))</f>
        <v/>
      </c>
    </row>
    <row r="185" customHeight="1" spans="1:26">
      <c r="A185" s="23" t="str">
        <f>IF(盘货信息!A185="","",盘货信息!A185)</f>
        <v/>
      </c>
      <c r="B185" s="26" t="str">
        <f>IF(盘货信息!B185="","",盘货信息!B185)</f>
        <v/>
      </c>
      <c r="C185" s="23" t="str">
        <f>IF(盘货信息!C185="","",盘货信息!C185)</f>
        <v/>
      </c>
      <c r="D185" s="27" t="str">
        <f ca="1" t="shared" si="2"/>
        <v/>
      </c>
      <c r="E185" s="27" t="str">
        <f>IF(C185="","",固定信息!$B$2)</f>
        <v/>
      </c>
      <c r="F185" s="27" t="str">
        <f>IF(C185="","","【"&amp;C185&amp;"】"&amp;固定信息!$B$4)</f>
        <v/>
      </c>
      <c r="G185" s="27" t="str">
        <f>IF(C185="","","【"&amp;"活动时间："&amp;固定信息!$B$3&amp;"】")</f>
        <v/>
      </c>
      <c r="H185" s="27" t="str">
        <f>IF($C185="","",固定信息!$B$1)</f>
        <v/>
      </c>
      <c r="I185" s="27" t="str">
        <f>IF(OR(C185="",固定信息!$B$5=""),"","【1元预约锁好礼】"&amp;固定信息!$B$5)</f>
        <v/>
      </c>
      <c r="J185" s="27" t="str" cm="1">
        <f t="array" ref="J185">_xlfn.XLOOKUP($A185&amp;$B185&amp;$C185,价格信息!$A:$A&amp;价格信息!$B:$B&amp;价格信息!$C:$C,价格信息!$D:$D)</f>
        <v/>
      </c>
      <c r="K185" s="27" t="str">
        <f>IF($C185="","",固定信息!$B$1)</f>
        <v/>
      </c>
      <c r="L185" s="27" t="str" cm="1">
        <f t="array" ref="L185">IF(_xlfn.XLOOKUP($A185&amp;$B185&amp;$C185,盘货信息!$A:$A&amp;盘货信息!$B:$B&amp;盘货信息!$C:$C,盘货信息!$T:$T)="","","【优惠券】领"&amp;_xlfn.XLOOKUP($A185&amp;$B185&amp;$C185,盘货信息!$A:$A&amp;盘货信息!$B:$B&amp;盘货信息!$C:$C,盘货信息!$T:$T)&amp;"元优惠卷下单更优惠，领券链接："&amp;_xlfn.XLOOKUP($A185&amp;$B185&amp;$C185,盘货信息!$A:$A&amp;盘货信息!$B:$B&amp;盘货信息!$C:$C,盘货信息!$U:$U))</f>
        <v/>
      </c>
      <c r="M185" s="27" t="str" cm="1">
        <f t="array" ref="M185">IF(_xlfn.XLOOKUP($A185&amp;$B185&amp;$C185,盘货信息!$A:$A&amp;盘货信息!$B:$B&amp;盘货信息!$C:$C,盘货信息!$P:$P)="","","【限时】"&amp;_xlfn.XLOOKUP($A185&amp;$B185&amp;$C185,盘货信息!$A:$A&amp;盘货信息!$B:$B&amp;盘货信息!$C:$C,盘货信息!$P:$P))</f>
        <v/>
      </c>
      <c r="N185" s="27" t="str" cm="1">
        <f t="array" ref="N185">IF(_xlfn.XLOOKUP($A185&amp;$B185&amp;$C185,盘货信息!$A:$A&amp;盘货信息!$B:$B&amp;盘货信息!$C:$C,盘货信息!$V:$V)="","","【"&amp;盘货信息!$V$1&amp;"】"&amp;_xlfn.XLOOKUP($A185&amp;$B185&amp;$C185,盘货信息!$A:$A&amp;盘货信息!$B:$B&amp;盘货信息!$C:$C,盘货信息!$V:$V))</f>
        <v/>
      </c>
      <c r="O185" s="27" t="str" cm="1">
        <f t="array" ref="O185">IF(_xlfn.XLOOKUP($A185&amp;$B185&amp;$C185,盘货信息!$A:$A&amp;盘货信息!$B:$B&amp;盘货信息!$C:$C,盘货信息!$W:$W)="","","【"&amp;盘货信息!$W$1&amp;"】"&amp;_xlfn.XLOOKUP($A185&amp;$B185&amp;$C185,盘货信息!$A:$A&amp;盘货信息!$B:$B&amp;盘货信息!$C:$C,盘货信息!$W:$W))</f>
        <v/>
      </c>
      <c r="P185" s="27" t="str" cm="1">
        <f t="array" ref="P185">IF(_xlfn.XLOOKUP($A185&amp;$B185&amp;$C185,盘货信息!$A:$A&amp;盘货信息!$B:$B&amp;盘货信息!$C:$C,盘货信息!$S:$S)&lt;1,"","【"&amp;盘货信息!$S$1&amp;"】"&amp;"后返"&amp;_xlfn.XLOOKUP($A185&amp;$B185&amp;$C185,盘货信息!$A:$A&amp;盘货信息!$B:$B&amp;盘货信息!$C:$C,盘货信息!$S:$S)&amp;"元")</f>
        <v/>
      </c>
      <c r="Q185" s="27" t="str" cm="1">
        <f t="array" ref="Q185">IF(_xlfn.XLOOKUP($A185&amp;$B185&amp;$C185,盘货信息!$A:$A&amp;盘货信息!$B:$B&amp;盘货信息!$C:$C,盘货信息!$X:$X)="","","【"&amp;盘货信息!$X$1&amp;"】"&amp;_xlfn.XLOOKUP($A185&amp;$B185&amp;$C185,盘货信息!$A:$A&amp;盘货信息!$B:$B&amp;盘货信息!$C:$C,盘货信息!$X:$X))</f>
        <v/>
      </c>
      <c r="R185" s="27" t="str" cm="1">
        <f t="array" ref="R185">IF(_xlfn.XLOOKUP($A185&amp;$B185&amp;$C185,盘货信息!$A:$A&amp;盘货信息!$B:$B&amp;盘货信息!$C:$C,盘货信息!$Z:$Z)="","","【"&amp;盘货信息!$Z$1&amp;"】"&amp;_xlfn.XLOOKUP($A185&amp;$B185&amp;$C185,盘货信息!$A:$A&amp;盘货信息!$B:$B&amp;盘货信息!$C:$C,盘货信息!$Z:$Z))</f>
        <v/>
      </c>
      <c r="S185" s="27" t="str" cm="1">
        <f t="array" ref="S185">IF(_xlfn.XLOOKUP($A185&amp;$B185&amp;$C185,盘货信息!$A:$A&amp;盘货信息!$B:$B&amp;盘货信息!$C:$C,盘货信息!$Q:$Q)="","","【种草】站外带指定话题种草后返"&amp;_xlfn.XLOOKUP($A185&amp;$B185&amp;$C185,盘货信息!$A:$A&amp;盘货信息!$B:$B&amp;盘货信息!$C:$C,盘货信息!$Q:$Q)&amp;"元红包（每个淘宝账号仅限对应一个站外种草账号，同一个种草账号不可对应多个淘宝账号）")</f>
        <v/>
      </c>
      <c r="T185" s="27" t="str" cm="1">
        <f t="array" ref="T185">IF(_xlfn.XLOOKUP($A185&amp;$B185&amp;$C185,盘货信息!$A:$A&amp;盘货信息!$B:$B&amp;盘货信息!$C:$C,盘货信息!$R:$R)&lt;1,"","【以旧换新】"&amp;"享补贴"&amp;ROUND(_xlfn.XLOOKUP($A185&amp;$B185&amp;$C185,盘货信息!$A:$A&amp;盘货信息!$B:$B&amp;盘货信息!$C:$C,盘货信息!$R:$R),0)&amp;"元（可无旧机换新）")</f>
        <v/>
      </c>
      <c r="U185" s="27" t="str">
        <f>IF(AND($N185="",$O185="",$P185="",$Q185="",$R185="",$S185="",$T185=""),"",固定信息!$B$1)</f>
        <v/>
      </c>
      <c r="V185" s="27" t="str" cm="1">
        <f t="array" ref="V185">IF(_xlfn.XLOOKUP($A185&amp;$B185&amp;$C185,盘货信息!$A:$A&amp;盘货信息!$B:$B&amp;盘货信息!$C:$C,盘货信息!$Y:$Y)="","","【卡萨帝送赠】活动指定时间"&amp;_xlfn.TEXTBEFORE(_xlfn.TEXTAFTER(_xlfn.XLOOKUP($A185&amp;$B185&amp;$C185,盘货信息!$A:$A&amp;盘货信息!$B:$B&amp;盘货信息!$C:$C,盘货信息!$Y:$Y),"点"),"（"))</f>
        <v/>
      </c>
      <c r="W185" s="27" t="str" cm="1">
        <f t="array" ref="W185">IF(COUNTIF(_xlfn.XLOOKUP($A185&amp;$B185&amp;$C185,盘货信息!$A:$A&amp;盘货信息!$B:$B&amp;盘货信息!$C:$C,盘货信息!$O:$O),"*是*"),"【折扣】指定型号满2类享96折，满3类享94折","")</f>
        <v/>
      </c>
      <c r="X185" s="27" t="str" cm="1">
        <f t="array" ref="X185">IF(固定信息!$B$7="","",IF(_xlfn.XLOOKUP($A185&amp;$B185&amp;$C185,盘货信息!$A:$A&amp;盘货信息!$B:$B&amp;盘货信息!$C:$C,盘货信息!$N:$N)="是","【瓜分】"&amp;固定信息!$B$7,""))</f>
        <v/>
      </c>
      <c r="Y185" s="27" t="str">
        <f>IF(AND($V185="",$W185="",$X185=""),"",固定信息!$B$1)</f>
        <v/>
      </c>
      <c r="Z185" s="27" t="str" cm="1">
        <f t="array" ref="Z185">IF($C185="","",_xlfn.XLOOKUP($A185&amp;$B185&amp;$C185,服务!$A:$A&amp;服务!$B:$B&amp;服务!$C:$C,服务!$D:$D))</f>
        <v/>
      </c>
    </row>
    <row r="186" customHeight="1" spans="1:26">
      <c r="A186" s="23" t="str">
        <f>IF(盘货信息!A186="","",盘货信息!A186)</f>
        <v/>
      </c>
      <c r="B186" s="26" t="str">
        <f>IF(盘货信息!B186="","",盘货信息!B186)</f>
        <v/>
      </c>
      <c r="C186" s="23" t="str">
        <f>IF(盘货信息!C186="","",盘货信息!C186)</f>
        <v/>
      </c>
      <c r="D186" s="27" t="str">
        <f ca="1" t="shared" si="2"/>
        <v/>
      </c>
      <c r="E186" s="27" t="str">
        <f>IF(C186="","",固定信息!$B$2)</f>
        <v/>
      </c>
      <c r="F186" s="27" t="str">
        <f>IF(C186="","","【"&amp;C186&amp;"】"&amp;固定信息!$B$4)</f>
        <v/>
      </c>
      <c r="G186" s="27" t="str">
        <f>IF(C186="","","【"&amp;"活动时间："&amp;固定信息!$B$3&amp;"】")</f>
        <v/>
      </c>
      <c r="H186" s="27" t="str">
        <f>IF($C186="","",固定信息!$B$1)</f>
        <v/>
      </c>
      <c r="I186" s="27" t="str">
        <f>IF(OR(C186="",固定信息!$B$5=""),"","【1元预约锁好礼】"&amp;固定信息!$B$5)</f>
        <v/>
      </c>
      <c r="J186" s="27" t="str" cm="1">
        <f t="array" ref="J186">_xlfn.XLOOKUP($A186&amp;$B186&amp;$C186,价格信息!$A:$A&amp;价格信息!$B:$B&amp;价格信息!$C:$C,价格信息!$D:$D)</f>
        <v/>
      </c>
      <c r="K186" s="27" t="str">
        <f>IF($C186="","",固定信息!$B$1)</f>
        <v/>
      </c>
      <c r="L186" s="27" t="str" cm="1">
        <f t="array" ref="L186">IF(_xlfn.XLOOKUP($A186&amp;$B186&amp;$C186,盘货信息!$A:$A&amp;盘货信息!$B:$B&amp;盘货信息!$C:$C,盘货信息!$T:$T)="","","【优惠券】领"&amp;_xlfn.XLOOKUP($A186&amp;$B186&amp;$C186,盘货信息!$A:$A&amp;盘货信息!$B:$B&amp;盘货信息!$C:$C,盘货信息!$T:$T)&amp;"元优惠卷下单更优惠，领券链接："&amp;_xlfn.XLOOKUP($A186&amp;$B186&amp;$C186,盘货信息!$A:$A&amp;盘货信息!$B:$B&amp;盘货信息!$C:$C,盘货信息!$U:$U))</f>
        <v/>
      </c>
      <c r="M186" s="27" t="str" cm="1">
        <f t="array" ref="M186">IF(_xlfn.XLOOKUP($A186&amp;$B186&amp;$C186,盘货信息!$A:$A&amp;盘货信息!$B:$B&amp;盘货信息!$C:$C,盘货信息!$P:$P)="","","【限时】"&amp;_xlfn.XLOOKUP($A186&amp;$B186&amp;$C186,盘货信息!$A:$A&amp;盘货信息!$B:$B&amp;盘货信息!$C:$C,盘货信息!$P:$P))</f>
        <v/>
      </c>
      <c r="N186" s="27" t="str" cm="1">
        <f t="array" ref="N186">IF(_xlfn.XLOOKUP($A186&amp;$B186&amp;$C186,盘货信息!$A:$A&amp;盘货信息!$B:$B&amp;盘货信息!$C:$C,盘货信息!$V:$V)="","","【"&amp;盘货信息!$V$1&amp;"】"&amp;_xlfn.XLOOKUP($A186&amp;$B186&amp;$C186,盘货信息!$A:$A&amp;盘货信息!$B:$B&amp;盘货信息!$C:$C,盘货信息!$V:$V))</f>
        <v/>
      </c>
      <c r="O186" s="27" t="str" cm="1">
        <f t="array" ref="O186">IF(_xlfn.XLOOKUP($A186&amp;$B186&amp;$C186,盘货信息!$A:$A&amp;盘货信息!$B:$B&amp;盘货信息!$C:$C,盘货信息!$W:$W)="","","【"&amp;盘货信息!$W$1&amp;"】"&amp;_xlfn.XLOOKUP($A186&amp;$B186&amp;$C186,盘货信息!$A:$A&amp;盘货信息!$B:$B&amp;盘货信息!$C:$C,盘货信息!$W:$W))</f>
        <v/>
      </c>
      <c r="P186" s="27" t="str" cm="1">
        <f t="array" ref="P186">IF(_xlfn.XLOOKUP($A186&amp;$B186&amp;$C186,盘货信息!$A:$A&amp;盘货信息!$B:$B&amp;盘货信息!$C:$C,盘货信息!$S:$S)&lt;1,"","【"&amp;盘货信息!$S$1&amp;"】"&amp;"后返"&amp;_xlfn.XLOOKUP($A186&amp;$B186&amp;$C186,盘货信息!$A:$A&amp;盘货信息!$B:$B&amp;盘货信息!$C:$C,盘货信息!$S:$S)&amp;"元")</f>
        <v/>
      </c>
      <c r="Q186" s="27" t="str" cm="1">
        <f t="array" ref="Q186">IF(_xlfn.XLOOKUP($A186&amp;$B186&amp;$C186,盘货信息!$A:$A&amp;盘货信息!$B:$B&amp;盘货信息!$C:$C,盘货信息!$X:$X)="","","【"&amp;盘货信息!$X$1&amp;"】"&amp;_xlfn.XLOOKUP($A186&amp;$B186&amp;$C186,盘货信息!$A:$A&amp;盘货信息!$B:$B&amp;盘货信息!$C:$C,盘货信息!$X:$X))</f>
        <v/>
      </c>
      <c r="R186" s="27" t="str" cm="1">
        <f t="array" ref="R186">IF(_xlfn.XLOOKUP($A186&amp;$B186&amp;$C186,盘货信息!$A:$A&amp;盘货信息!$B:$B&amp;盘货信息!$C:$C,盘货信息!$Z:$Z)="","","【"&amp;盘货信息!$Z$1&amp;"】"&amp;_xlfn.XLOOKUP($A186&amp;$B186&amp;$C186,盘货信息!$A:$A&amp;盘货信息!$B:$B&amp;盘货信息!$C:$C,盘货信息!$Z:$Z))</f>
        <v/>
      </c>
      <c r="S186" s="27" t="str" cm="1">
        <f t="array" ref="S186">IF(_xlfn.XLOOKUP($A186&amp;$B186&amp;$C186,盘货信息!$A:$A&amp;盘货信息!$B:$B&amp;盘货信息!$C:$C,盘货信息!$Q:$Q)="","","【种草】站外带指定话题种草后返"&amp;_xlfn.XLOOKUP($A186&amp;$B186&amp;$C186,盘货信息!$A:$A&amp;盘货信息!$B:$B&amp;盘货信息!$C:$C,盘货信息!$Q:$Q)&amp;"元红包（每个淘宝账号仅限对应一个站外种草账号，同一个种草账号不可对应多个淘宝账号）")</f>
        <v/>
      </c>
      <c r="T186" s="27" t="str" cm="1">
        <f t="array" ref="T186">IF(_xlfn.XLOOKUP($A186&amp;$B186&amp;$C186,盘货信息!$A:$A&amp;盘货信息!$B:$B&amp;盘货信息!$C:$C,盘货信息!$R:$R)&lt;1,"","【以旧换新】"&amp;"享补贴"&amp;ROUND(_xlfn.XLOOKUP($A186&amp;$B186&amp;$C186,盘货信息!$A:$A&amp;盘货信息!$B:$B&amp;盘货信息!$C:$C,盘货信息!$R:$R),0)&amp;"元（可无旧机换新）")</f>
        <v/>
      </c>
      <c r="U186" s="27" t="str">
        <f>IF(AND($N186="",$O186="",$P186="",$Q186="",$R186="",$S186="",$T186=""),"",固定信息!$B$1)</f>
        <v/>
      </c>
      <c r="V186" s="27" t="str" cm="1">
        <f t="array" ref="V186">IF(_xlfn.XLOOKUP($A186&amp;$B186&amp;$C186,盘货信息!$A:$A&amp;盘货信息!$B:$B&amp;盘货信息!$C:$C,盘货信息!$Y:$Y)="","","【卡萨帝送赠】活动指定时间"&amp;_xlfn.TEXTBEFORE(_xlfn.TEXTAFTER(_xlfn.XLOOKUP($A186&amp;$B186&amp;$C186,盘货信息!$A:$A&amp;盘货信息!$B:$B&amp;盘货信息!$C:$C,盘货信息!$Y:$Y),"点"),"（"))</f>
        <v/>
      </c>
      <c r="W186" s="27" t="str" cm="1">
        <f t="array" ref="W186">IF(COUNTIF(_xlfn.XLOOKUP($A186&amp;$B186&amp;$C186,盘货信息!$A:$A&amp;盘货信息!$B:$B&amp;盘货信息!$C:$C,盘货信息!$O:$O),"*是*"),"【折扣】指定型号满2类享96折，满3类享94折","")</f>
        <v/>
      </c>
      <c r="X186" s="27" t="str" cm="1">
        <f t="array" ref="X186">IF(固定信息!$B$7="","",IF(_xlfn.XLOOKUP($A186&amp;$B186&amp;$C186,盘货信息!$A:$A&amp;盘货信息!$B:$B&amp;盘货信息!$C:$C,盘货信息!$N:$N)="是","【瓜分】"&amp;固定信息!$B$7,""))</f>
        <v/>
      </c>
      <c r="Y186" s="27" t="str">
        <f>IF(AND($V186="",$W186="",$X186=""),"",固定信息!$B$1)</f>
        <v/>
      </c>
      <c r="Z186" s="27" t="str" cm="1">
        <f t="array" ref="Z186">IF($C186="","",_xlfn.XLOOKUP($A186&amp;$B186&amp;$C186,服务!$A:$A&amp;服务!$B:$B&amp;服务!$C:$C,服务!$D:$D))</f>
        <v/>
      </c>
    </row>
    <row r="187" customHeight="1" spans="1:26">
      <c r="A187" s="23" t="str">
        <f>IF(盘货信息!A187="","",盘货信息!A187)</f>
        <v/>
      </c>
      <c r="B187" s="26" t="str">
        <f>IF(盘货信息!B187="","",盘货信息!B187)</f>
        <v/>
      </c>
      <c r="C187" s="23" t="str">
        <f>IF(盘货信息!C187="","",盘货信息!C187)</f>
        <v/>
      </c>
      <c r="D187" s="27" t="str">
        <f ca="1" t="shared" si="2"/>
        <v/>
      </c>
      <c r="E187" s="27" t="str">
        <f>IF(C187="","",固定信息!$B$2)</f>
        <v/>
      </c>
      <c r="F187" s="27" t="str">
        <f>IF(C187="","","【"&amp;C187&amp;"】"&amp;固定信息!$B$4)</f>
        <v/>
      </c>
      <c r="G187" s="27" t="str">
        <f>IF(C187="","","【"&amp;"活动时间："&amp;固定信息!$B$3&amp;"】")</f>
        <v/>
      </c>
      <c r="H187" s="27" t="str">
        <f>IF($C187="","",固定信息!$B$1)</f>
        <v/>
      </c>
      <c r="I187" s="27" t="str">
        <f>IF(OR(C187="",固定信息!$B$5=""),"","【1元预约锁好礼】"&amp;固定信息!$B$5)</f>
        <v/>
      </c>
      <c r="J187" s="27" t="str" cm="1">
        <f t="array" ref="J187">_xlfn.XLOOKUP($A187&amp;$B187&amp;$C187,价格信息!$A:$A&amp;价格信息!$B:$B&amp;价格信息!$C:$C,价格信息!$D:$D)</f>
        <v/>
      </c>
      <c r="K187" s="27" t="str">
        <f>IF($C187="","",固定信息!$B$1)</f>
        <v/>
      </c>
      <c r="L187" s="27" t="str" cm="1">
        <f t="array" ref="L187">IF(_xlfn.XLOOKUP($A187&amp;$B187&amp;$C187,盘货信息!$A:$A&amp;盘货信息!$B:$B&amp;盘货信息!$C:$C,盘货信息!$T:$T)="","","【优惠券】领"&amp;_xlfn.XLOOKUP($A187&amp;$B187&amp;$C187,盘货信息!$A:$A&amp;盘货信息!$B:$B&amp;盘货信息!$C:$C,盘货信息!$T:$T)&amp;"元优惠卷下单更优惠，领券链接："&amp;_xlfn.XLOOKUP($A187&amp;$B187&amp;$C187,盘货信息!$A:$A&amp;盘货信息!$B:$B&amp;盘货信息!$C:$C,盘货信息!$U:$U))</f>
        <v/>
      </c>
      <c r="M187" s="27" t="str" cm="1">
        <f t="array" ref="M187">IF(_xlfn.XLOOKUP($A187&amp;$B187&amp;$C187,盘货信息!$A:$A&amp;盘货信息!$B:$B&amp;盘货信息!$C:$C,盘货信息!$P:$P)="","","【限时】"&amp;_xlfn.XLOOKUP($A187&amp;$B187&amp;$C187,盘货信息!$A:$A&amp;盘货信息!$B:$B&amp;盘货信息!$C:$C,盘货信息!$P:$P))</f>
        <v/>
      </c>
      <c r="N187" s="27" t="str" cm="1">
        <f t="array" ref="N187">IF(_xlfn.XLOOKUP($A187&amp;$B187&amp;$C187,盘货信息!$A:$A&amp;盘货信息!$B:$B&amp;盘货信息!$C:$C,盘货信息!$V:$V)="","","【"&amp;盘货信息!$V$1&amp;"】"&amp;_xlfn.XLOOKUP($A187&amp;$B187&amp;$C187,盘货信息!$A:$A&amp;盘货信息!$B:$B&amp;盘货信息!$C:$C,盘货信息!$V:$V))</f>
        <v/>
      </c>
      <c r="O187" s="27" t="str" cm="1">
        <f t="array" ref="O187">IF(_xlfn.XLOOKUP($A187&amp;$B187&amp;$C187,盘货信息!$A:$A&amp;盘货信息!$B:$B&amp;盘货信息!$C:$C,盘货信息!$W:$W)="","","【"&amp;盘货信息!$W$1&amp;"】"&amp;_xlfn.XLOOKUP($A187&amp;$B187&amp;$C187,盘货信息!$A:$A&amp;盘货信息!$B:$B&amp;盘货信息!$C:$C,盘货信息!$W:$W))</f>
        <v/>
      </c>
      <c r="P187" s="27" t="str" cm="1">
        <f t="array" ref="P187">IF(_xlfn.XLOOKUP($A187&amp;$B187&amp;$C187,盘货信息!$A:$A&amp;盘货信息!$B:$B&amp;盘货信息!$C:$C,盘货信息!$S:$S)&lt;1,"","【"&amp;盘货信息!$S$1&amp;"】"&amp;"后返"&amp;_xlfn.XLOOKUP($A187&amp;$B187&amp;$C187,盘货信息!$A:$A&amp;盘货信息!$B:$B&amp;盘货信息!$C:$C,盘货信息!$S:$S)&amp;"元")</f>
        <v/>
      </c>
      <c r="Q187" s="27" t="str" cm="1">
        <f t="array" ref="Q187">IF(_xlfn.XLOOKUP($A187&amp;$B187&amp;$C187,盘货信息!$A:$A&amp;盘货信息!$B:$B&amp;盘货信息!$C:$C,盘货信息!$X:$X)="","","【"&amp;盘货信息!$X$1&amp;"】"&amp;_xlfn.XLOOKUP($A187&amp;$B187&amp;$C187,盘货信息!$A:$A&amp;盘货信息!$B:$B&amp;盘货信息!$C:$C,盘货信息!$X:$X))</f>
        <v/>
      </c>
      <c r="R187" s="27" t="str" cm="1">
        <f t="array" ref="R187">IF(_xlfn.XLOOKUP($A187&amp;$B187&amp;$C187,盘货信息!$A:$A&amp;盘货信息!$B:$B&amp;盘货信息!$C:$C,盘货信息!$Z:$Z)="","","【"&amp;盘货信息!$Z$1&amp;"】"&amp;_xlfn.XLOOKUP($A187&amp;$B187&amp;$C187,盘货信息!$A:$A&amp;盘货信息!$B:$B&amp;盘货信息!$C:$C,盘货信息!$Z:$Z))</f>
        <v/>
      </c>
      <c r="S187" s="27" t="str" cm="1">
        <f t="array" ref="S187">IF(_xlfn.XLOOKUP($A187&amp;$B187&amp;$C187,盘货信息!$A:$A&amp;盘货信息!$B:$B&amp;盘货信息!$C:$C,盘货信息!$Q:$Q)="","","【种草】站外带指定话题种草后返"&amp;_xlfn.XLOOKUP($A187&amp;$B187&amp;$C187,盘货信息!$A:$A&amp;盘货信息!$B:$B&amp;盘货信息!$C:$C,盘货信息!$Q:$Q)&amp;"元红包（每个淘宝账号仅限对应一个站外种草账号，同一个种草账号不可对应多个淘宝账号）")</f>
        <v/>
      </c>
      <c r="T187" s="27" t="str" cm="1">
        <f t="array" ref="T187">IF(_xlfn.XLOOKUP($A187&amp;$B187&amp;$C187,盘货信息!$A:$A&amp;盘货信息!$B:$B&amp;盘货信息!$C:$C,盘货信息!$R:$R)&lt;1,"","【以旧换新】"&amp;"享补贴"&amp;ROUND(_xlfn.XLOOKUP($A187&amp;$B187&amp;$C187,盘货信息!$A:$A&amp;盘货信息!$B:$B&amp;盘货信息!$C:$C,盘货信息!$R:$R),0)&amp;"元（可无旧机换新）")</f>
        <v/>
      </c>
      <c r="U187" s="27" t="str">
        <f>IF(AND($N187="",$O187="",$P187="",$Q187="",$R187="",$S187="",$T187=""),"",固定信息!$B$1)</f>
        <v/>
      </c>
      <c r="V187" s="27" t="str" cm="1">
        <f t="array" ref="V187">IF(_xlfn.XLOOKUP($A187&amp;$B187&amp;$C187,盘货信息!$A:$A&amp;盘货信息!$B:$B&amp;盘货信息!$C:$C,盘货信息!$Y:$Y)="","","【卡萨帝送赠】活动指定时间"&amp;_xlfn.TEXTBEFORE(_xlfn.TEXTAFTER(_xlfn.XLOOKUP($A187&amp;$B187&amp;$C187,盘货信息!$A:$A&amp;盘货信息!$B:$B&amp;盘货信息!$C:$C,盘货信息!$Y:$Y),"点"),"（"))</f>
        <v/>
      </c>
      <c r="W187" s="27" t="str" cm="1">
        <f t="array" ref="W187">IF(COUNTIF(_xlfn.XLOOKUP($A187&amp;$B187&amp;$C187,盘货信息!$A:$A&amp;盘货信息!$B:$B&amp;盘货信息!$C:$C,盘货信息!$O:$O),"*是*"),"【折扣】指定型号满2类享96折，满3类享94折","")</f>
        <v/>
      </c>
      <c r="X187" s="27" t="str" cm="1">
        <f t="array" ref="X187">IF(固定信息!$B$7="","",IF(_xlfn.XLOOKUP($A187&amp;$B187&amp;$C187,盘货信息!$A:$A&amp;盘货信息!$B:$B&amp;盘货信息!$C:$C,盘货信息!$N:$N)="是","【瓜分】"&amp;固定信息!$B$7,""))</f>
        <v/>
      </c>
      <c r="Y187" s="27" t="str">
        <f>IF(AND($V187="",$W187="",$X187=""),"",固定信息!$B$1)</f>
        <v/>
      </c>
      <c r="Z187" s="27" t="str" cm="1">
        <f t="array" ref="Z187">IF($C187="","",_xlfn.XLOOKUP($A187&amp;$B187&amp;$C187,服务!$A:$A&amp;服务!$B:$B&amp;服务!$C:$C,服务!$D:$D))</f>
        <v/>
      </c>
    </row>
    <row r="188" customHeight="1" spans="1:26">
      <c r="A188" s="23" t="str">
        <f>IF(盘货信息!A188="","",盘货信息!A188)</f>
        <v/>
      </c>
      <c r="B188" s="26" t="str">
        <f>IF(盘货信息!B188="","",盘货信息!B188)</f>
        <v/>
      </c>
      <c r="C188" s="23" t="str">
        <f>IF(盘货信息!C188="","",盘货信息!C188)</f>
        <v/>
      </c>
      <c r="D188" s="27" t="str">
        <f ca="1" t="shared" si="2"/>
        <v/>
      </c>
      <c r="E188" s="27" t="str">
        <f>IF(C188="","",固定信息!$B$2)</f>
        <v/>
      </c>
      <c r="F188" s="27" t="str">
        <f>IF(C188="","","【"&amp;C188&amp;"】"&amp;固定信息!$B$4)</f>
        <v/>
      </c>
      <c r="G188" s="27" t="str">
        <f>IF(C188="","","【"&amp;"活动时间："&amp;固定信息!$B$3&amp;"】")</f>
        <v/>
      </c>
      <c r="H188" s="27" t="str">
        <f>IF($C188="","",固定信息!$B$1)</f>
        <v/>
      </c>
      <c r="I188" s="27" t="str">
        <f>IF(OR(C188="",固定信息!$B$5=""),"","【1元预约锁好礼】"&amp;固定信息!$B$5)</f>
        <v/>
      </c>
      <c r="J188" s="27" t="str" cm="1">
        <f t="array" ref="J188">_xlfn.XLOOKUP($A188&amp;$B188&amp;$C188,价格信息!$A:$A&amp;价格信息!$B:$B&amp;价格信息!$C:$C,价格信息!$D:$D)</f>
        <v/>
      </c>
      <c r="K188" s="27" t="str">
        <f>IF($C188="","",固定信息!$B$1)</f>
        <v/>
      </c>
      <c r="L188" s="27" t="str" cm="1">
        <f t="array" ref="L188">IF(_xlfn.XLOOKUP($A188&amp;$B188&amp;$C188,盘货信息!$A:$A&amp;盘货信息!$B:$B&amp;盘货信息!$C:$C,盘货信息!$T:$T)="","","【优惠券】领"&amp;_xlfn.XLOOKUP($A188&amp;$B188&amp;$C188,盘货信息!$A:$A&amp;盘货信息!$B:$B&amp;盘货信息!$C:$C,盘货信息!$T:$T)&amp;"元优惠卷下单更优惠，领券链接："&amp;_xlfn.XLOOKUP($A188&amp;$B188&amp;$C188,盘货信息!$A:$A&amp;盘货信息!$B:$B&amp;盘货信息!$C:$C,盘货信息!$U:$U))</f>
        <v/>
      </c>
      <c r="M188" s="27" t="str" cm="1">
        <f t="array" ref="M188">IF(_xlfn.XLOOKUP($A188&amp;$B188&amp;$C188,盘货信息!$A:$A&amp;盘货信息!$B:$B&amp;盘货信息!$C:$C,盘货信息!$P:$P)="","","【限时】"&amp;_xlfn.XLOOKUP($A188&amp;$B188&amp;$C188,盘货信息!$A:$A&amp;盘货信息!$B:$B&amp;盘货信息!$C:$C,盘货信息!$P:$P))</f>
        <v/>
      </c>
      <c r="N188" s="27" t="str" cm="1">
        <f t="array" ref="N188">IF(_xlfn.XLOOKUP($A188&amp;$B188&amp;$C188,盘货信息!$A:$A&amp;盘货信息!$B:$B&amp;盘货信息!$C:$C,盘货信息!$V:$V)="","","【"&amp;盘货信息!$V$1&amp;"】"&amp;_xlfn.XLOOKUP($A188&amp;$B188&amp;$C188,盘货信息!$A:$A&amp;盘货信息!$B:$B&amp;盘货信息!$C:$C,盘货信息!$V:$V))</f>
        <v/>
      </c>
      <c r="O188" s="27" t="str" cm="1">
        <f t="array" ref="O188">IF(_xlfn.XLOOKUP($A188&amp;$B188&amp;$C188,盘货信息!$A:$A&amp;盘货信息!$B:$B&amp;盘货信息!$C:$C,盘货信息!$W:$W)="","","【"&amp;盘货信息!$W$1&amp;"】"&amp;_xlfn.XLOOKUP($A188&amp;$B188&amp;$C188,盘货信息!$A:$A&amp;盘货信息!$B:$B&amp;盘货信息!$C:$C,盘货信息!$W:$W))</f>
        <v/>
      </c>
      <c r="P188" s="27" t="str" cm="1">
        <f t="array" ref="P188">IF(_xlfn.XLOOKUP($A188&amp;$B188&amp;$C188,盘货信息!$A:$A&amp;盘货信息!$B:$B&amp;盘货信息!$C:$C,盘货信息!$S:$S)&lt;1,"","【"&amp;盘货信息!$S$1&amp;"】"&amp;"后返"&amp;_xlfn.XLOOKUP($A188&amp;$B188&amp;$C188,盘货信息!$A:$A&amp;盘货信息!$B:$B&amp;盘货信息!$C:$C,盘货信息!$S:$S)&amp;"元")</f>
        <v/>
      </c>
      <c r="Q188" s="27" t="str" cm="1">
        <f t="array" ref="Q188">IF(_xlfn.XLOOKUP($A188&amp;$B188&amp;$C188,盘货信息!$A:$A&amp;盘货信息!$B:$B&amp;盘货信息!$C:$C,盘货信息!$X:$X)="","","【"&amp;盘货信息!$X$1&amp;"】"&amp;_xlfn.XLOOKUP($A188&amp;$B188&amp;$C188,盘货信息!$A:$A&amp;盘货信息!$B:$B&amp;盘货信息!$C:$C,盘货信息!$X:$X))</f>
        <v/>
      </c>
      <c r="R188" s="27" t="str" cm="1">
        <f t="array" ref="R188">IF(_xlfn.XLOOKUP($A188&amp;$B188&amp;$C188,盘货信息!$A:$A&amp;盘货信息!$B:$B&amp;盘货信息!$C:$C,盘货信息!$Z:$Z)="","","【"&amp;盘货信息!$Z$1&amp;"】"&amp;_xlfn.XLOOKUP($A188&amp;$B188&amp;$C188,盘货信息!$A:$A&amp;盘货信息!$B:$B&amp;盘货信息!$C:$C,盘货信息!$Z:$Z))</f>
        <v/>
      </c>
      <c r="S188" s="27" t="str" cm="1">
        <f t="array" ref="S188">IF(_xlfn.XLOOKUP($A188&amp;$B188&amp;$C188,盘货信息!$A:$A&amp;盘货信息!$B:$B&amp;盘货信息!$C:$C,盘货信息!$Q:$Q)="","","【种草】站外带指定话题种草后返"&amp;_xlfn.XLOOKUP($A188&amp;$B188&amp;$C188,盘货信息!$A:$A&amp;盘货信息!$B:$B&amp;盘货信息!$C:$C,盘货信息!$Q:$Q)&amp;"元红包（每个淘宝账号仅限对应一个站外种草账号，同一个种草账号不可对应多个淘宝账号）")</f>
        <v/>
      </c>
      <c r="T188" s="27" t="str" cm="1">
        <f t="array" ref="T188">IF(_xlfn.XLOOKUP($A188&amp;$B188&amp;$C188,盘货信息!$A:$A&amp;盘货信息!$B:$B&amp;盘货信息!$C:$C,盘货信息!$R:$R)&lt;1,"","【以旧换新】"&amp;"享补贴"&amp;ROUND(_xlfn.XLOOKUP($A188&amp;$B188&amp;$C188,盘货信息!$A:$A&amp;盘货信息!$B:$B&amp;盘货信息!$C:$C,盘货信息!$R:$R),0)&amp;"元（可无旧机换新）")</f>
        <v/>
      </c>
      <c r="U188" s="27" t="str">
        <f>IF(AND($N188="",$O188="",$P188="",$Q188="",$R188="",$S188="",$T188=""),"",固定信息!$B$1)</f>
        <v/>
      </c>
      <c r="V188" s="27" t="str" cm="1">
        <f t="array" ref="V188">IF(_xlfn.XLOOKUP($A188&amp;$B188&amp;$C188,盘货信息!$A:$A&amp;盘货信息!$B:$B&amp;盘货信息!$C:$C,盘货信息!$Y:$Y)="","","【卡萨帝送赠】活动指定时间"&amp;_xlfn.TEXTBEFORE(_xlfn.TEXTAFTER(_xlfn.XLOOKUP($A188&amp;$B188&amp;$C188,盘货信息!$A:$A&amp;盘货信息!$B:$B&amp;盘货信息!$C:$C,盘货信息!$Y:$Y),"点"),"（"))</f>
        <v/>
      </c>
      <c r="W188" s="27" t="str" cm="1">
        <f t="array" ref="W188">IF(COUNTIF(_xlfn.XLOOKUP($A188&amp;$B188&amp;$C188,盘货信息!$A:$A&amp;盘货信息!$B:$B&amp;盘货信息!$C:$C,盘货信息!$O:$O),"*是*"),"【折扣】指定型号满2类享96折，满3类享94折","")</f>
        <v/>
      </c>
      <c r="X188" s="27" t="str" cm="1">
        <f t="array" ref="X188">IF(固定信息!$B$7="","",IF(_xlfn.XLOOKUP($A188&amp;$B188&amp;$C188,盘货信息!$A:$A&amp;盘货信息!$B:$B&amp;盘货信息!$C:$C,盘货信息!$N:$N)="是","【瓜分】"&amp;固定信息!$B$7,""))</f>
        <v/>
      </c>
      <c r="Y188" s="27" t="str">
        <f>IF(AND($V188="",$W188="",$X188=""),"",固定信息!$B$1)</f>
        <v/>
      </c>
      <c r="Z188" s="27" t="str" cm="1">
        <f t="array" ref="Z188">IF($C188="","",_xlfn.XLOOKUP($A188&amp;$B188&amp;$C188,服务!$A:$A&amp;服务!$B:$B&amp;服务!$C:$C,服务!$D:$D))</f>
        <v/>
      </c>
    </row>
    <row r="189" customHeight="1" spans="1:26">
      <c r="A189" s="23" t="str">
        <f>IF(盘货信息!A189="","",盘货信息!A189)</f>
        <v/>
      </c>
      <c r="B189" s="26" t="str">
        <f>IF(盘货信息!B189="","",盘货信息!B189)</f>
        <v/>
      </c>
      <c r="C189" s="23" t="str">
        <f>IF(盘货信息!C189="","",盘货信息!C189)</f>
        <v/>
      </c>
      <c r="D189" s="27" t="str">
        <f ca="1" t="shared" si="2"/>
        <v/>
      </c>
      <c r="E189" s="27" t="str">
        <f>IF(C189="","",固定信息!$B$2)</f>
        <v/>
      </c>
      <c r="F189" s="27" t="str">
        <f>IF(C189="","","【"&amp;C189&amp;"】"&amp;固定信息!$B$4)</f>
        <v/>
      </c>
      <c r="G189" s="27" t="str">
        <f>IF(C189="","","【"&amp;"活动时间："&amp;固定信息!$B$3&amp;"】")</f>
        <v/>
      </c>
      <c r="H189" s="27" t="str">
        <f>IF($C189="","",固定信息!$B$1)</f>
        <v/>
      </c>
      <c r="I189" s="27" t="str">
        <f>IF(OR(C189="",固定信息!$B$5=""),"","【1元预约锁好礼】"&amp;固定信息!$B$5)</f>
        <v/>
      </c>
      <c r="J189" s="27" t="str" cm="1">
        <f t="array" ref="J189">_xlfn.XLOOKUP($A189&amp;$B189&amp;$C189,价格信息!$A:$A&amp;价格信息!$B:$B&amp;价格信息!$C:$C,价格信息!$D:$D)</f>
        <v/>
      </c>
      <c r="K189" s="27" t="str">
        <f>IF($C189="","",固定信息!$B$1)</f>
        <v/>
      </c>
      <c r="L189" s="27" t="str" cm="1">
        <f t="array" ref="L189">IF(_xlfn.XLOOKUP($A189&amp;$B189&amp;$C189,盘货信息!$A:$A&amp;盘货信息!$B:$B&amp;盘货信息!$C:$C,盘货信息!$T:$T)="","","【优惠券】领"&amp;_xlfn.XLOOKUP($A189&amp;$B189&amp;$C189,盘货信息!$A:$A&amp;盘货信息!$B:$B&amp;盘货信息!$C:$C,盘货信息!$T:$T)&amp;"元优惠卷下单更优惠，领券链接："&amp;_xlfn.XLOOKUP($A189&amp;$B189&amp;$C189,盘货信息!$A:$A&amp;盘货信息!$B:$B&amp;盘货信息!$C:$C,盘货信息!$U:$U))</f>
        <v/>
      </c>
      <c r="M189" s="27" t="str" cm="1">
        <f t="array" ref="M189">IF(_xlfn.XLOOKUP($A189&amp;$B189&amp;$C189,盘货信息!$A:$A&amp;盘货信息!$B:$B&amp;盘货信息!$C:$C,盘货信息!$P:$P)="","","【限时】"&amp;_xlfn.XLOOKUP($A189&amp;$B189&amp;$C189,盘货信息!$A:$A&amp;盘货信息!$B:$B&amp;盘货信息!$C:$C,盘货信息!$P:$P))</f>
        <v/>
      </c>
      <c r="N189" s="27" t="str" cm="1">
        <f t="array" ref="N189">IF(_xlfn.XLOOKUP($A189&amp;$B189&amp;$C189,盘货信息!$A:$A&amp;盘货信息!$B:$B&amp;盘货信息!$C:$C,盘货信息!$V:$V)="","","【"&amp;盘货信息!$V$1&amp;"】"&amp;_xlfn.XLOOKUP($A189&amp;$B189&amp;$C189,盘货信息!$A:$A&amp;盘货信息!$B:$B&amp;盘货信息!$C:$C,盘货信息!$V:$V))</f>
        <v/>
      </c>
      <c r="O189" s="27" t="str" cm="1">
        <f t="array" ref="O189">IF(_xlfn.XLOOKUP($A189&amp;$B189&amp;$C189,盘货信息!$A:$A&amp;盘货信息!$B:$B&amp;盘货信息!$C:$C,盘货信息!$W:$W)="","","【"&amp;盘货信息!$W$1&amp;"】"&amp;_xlfn.XLOOKUP($A189&amp;$B189&amp;$C189,盘货信息!$A:$A&amp;盘货信息!$B:$B&amp;盘货信息!$C:$C,盘货信息!$W:$W))</f>
        <v/>
      </c>
      <c r="P189" s="27" t="str" cm="1">
        <f t="array" ref="P189">IF(_xlfn.XLOOKUP($A189&amp;$B189&amp;$C189,盘货信息!$A:$A&amp;盘货信息!$B:$B&amp;盘货信息!$C:$C,盘货信息!$S:$S)&lt;1,"","【"&amp;盘货信息!$S$1&amp;"】"&amp;"后返"&amp;_xlfn.XLOOKUP($A189&amp;$B189&amp;$C189,盘货信息!$A:$A&amp;盘货信息!$B:$B&amp;盘货信息!$C:$C,盘货信息!$S:$S)&amp;"元")</f>
        <v/>
      </c>
      <c r="Q189" s="27" t="str" cm="1">
        <f t="array" ref="Q189">IF(_xlfn.XLOOKUP($A189&amp;$B189&amp;$C189,盘货信息!$A:$A&amp;盘货信息!$B:$B&amp;盘货信息!$C:$C,盘货信息!$X:$X)="","","【"&amp;盘货信息!$X$1&amp;"】"&amp;_xlfn.XLOOKUP($A189&amp;$B189&amp;$C189,盘货信息!$A:$A&amp;盘货信息!$B:$B&amp;盘货信息!$C:$C,盘货信息!$X:$X))</f>
        <v/>
      </c>
      <c r="R189" s="27" t="str" cm="1">
        <f t="array" ref="R189">IF(_xlfn.XLOOKUP($A189&amp;$B189&amp;$C189,盘货信息!$A:$A&amp;盘货信息!$B:$B&amp;盘货信息!$C:$C,盘货信息!$Z:$Z)="","","【"&amp;盘货信息!$Z$1&amp;"】"&amp;_xlfn.XLOOKUP($A189&amp;$B189&amp;$C189,盘货信息!$A:$A&amp;盘货信息!$B:$B&amp;盘货信息!$C:$C,盘货信息!$Z:$Z))</f>
        <v/>
      </c>
      <c r="S189" s="27" t="str" cm="1">
        <f t="array" ref="S189">IF(_xlfn.XLOOKUP($A189&amp;$B189&amp;$C189,盘货信息!$A:$A&amp;盘货信息!$B:$B&amp;盘货信息!$C:$C,盘货信息!$Q:$Q)="","","【种草】站外带指定话题种草后返"&amp;_xlfn.XLOOKUP($A189&amp;$B189&amp;$C189,盘货信息!$A:$A&amp;盘货信息!$B:$B&amp;盘货信息!$C:$C,盘货信息!$Q:$Q)&amp;"元红包（每个淘宝账号仅限对应一个站外种草账号，同一个种草账号不可对应多个淘宝账号）")</f>
        <v/>
      </c>
      <c r="T189" s="27" t="str" cm="1">
        <f t="array" ref="T189">IF(_xlfn.XLOOKUP($A189&amp;$B189&amp;$C189,盘货信息!$A:$A&amp;盘货信息!$B:$B&amp;盘货信息!$C:$C,盘货信息!$R:$R)&lt;1,"","【以旧换新】"&amp;"享补贴"&amp;ROUND(_xlfn.XLOOKUP($A189&amp;$B189&amp;$C189,盘货信息!$A:$A&amp;盘货信息!$B:$B&amp;盘货信息!$C:$C,盘货信息!$R:$R),0)&amp;"元（可无旧机换新）")</f>
        <v/>
      </c>
      <c r="U189" s="27" t="str">
        <f>IF(AND($N189="",$O189="",$P189="",$Q189="",$R189="",$S189="",$T189=""),"",固定信息!$B$1)</f>
        <v/>
      </c>
      <c r="V189" s="27" t="str" cm="1">
        <f t="array" ref="V189">IF(_xlfn.XLOOKUP($A189&amp;$B189&amp;$C189,盘货信息!$A:$A&amp;盘货信息!$B:$B&amp;盘货信息!$C:$C,盘货信息!$Y:$Y)="","","【卡萨帝送赠】活动指定时间"&amp;_xlfn.TEXTBEFORE(_xlfn.TEXTAFTER(_xlfn.XLOOKUP($A189&amp;$B189&amp;$C189,盘货信息!$A:$A&amp;盘货信息!$B:$B&amp;盘货信息!$C:$C,盘货信息!$Y:$Y),"点"),"（"))</f>
        <v/>
      </c>
      <c r="W189" s="27" t="str" cm="1">
        <f t="array" ref="W189">IF(COUNTIF(_xlfn.XLOOKUP($A189&amp;$B189&amp;$C189,盘货信息!$A:$A&amp;盘货信息!$B:$B&amp;盘货信息!$C:$C,盘货信息!$O:$O),"*是*"),"【折扣】指定型号满2类享96折，满3类享94折","")</f>
        <v/>
      </c>
      <c r="X189" s="27" t="str" cm="1">
        <f t="array" ref="X189">IF(固定信息!$B$7="","",IF(_xlfn.XLOOKUP($A189&amp;$B189&amp;$C189,盘货信息!$A:$A&amp;盘货信息!$B:$B&amp;盘货信息!$C:$C,盘货信息!$N:$N)="是","【瓜分】"&amp;固定信息!$B$7,""))</f>
        <v/>
      </c>
      <c r="Y189" s="27" t="str">
        <f>IF(AND($V189="",$W189="",$X189=""),"",固定信息!$B$1)</f>
        <v/>
      </c>
      <c r="Z189" s="27" t="str" cm="1">
        <f t="array" ref="Z189">IF($C189="","",_xlfn.XLOOKUP($A189&amp;$B189&amp;$C189,服务!$A:$A&amp;服务!$B:$B&amp;服务!$C:$C,服务!$D:$D))</f>
        <v/>
      </c>
    </row>
    <row r="190" customHeight="1" spans="1:26">
      <c r="A190" s="23" t="str">
        <f>IF(盘货信息!A190="","",盘货信息!A190)</f>
        <v/>
      </c>
      <c r="B190" s="26" t="str">
        <f>IF(盘货信息!B190="","",盘货信息!B190)</f>
        <v/>
      </c>
      <c r="C190" s="23" t="str">
        <f>IF(盘货信息!C190="","",盘货信息!C190)</f>
        <v/>
      </c>
      <c r="D190" s="27" t="str">
        <f ca="1" t="shared" si="2"/>
        <v/>
      </c>
      <c r="E190" s="27" t="str">
        <f>IF(C190="","",固定信息!$B$2)</f>
        <v/>
      </c>
      <c r="F190" s="27" t="str">
        <f>IF(C190="","","【"&amp;C190&amp;"】"&amp;固定信息!$B$4)</f>
        <v/>
      </c>
      <c r="G190" s="27" t="str">
        <f>IF(C190="","","【"&amp;"活动时间："&amp;固定信息!$B$3&amp;"】")</f>
        <v/>
      </c>
      <c r="H190" s="27" t="str">
        <f>IF($C190="","",固定信息!$B$1)</f>
        <v/>
      </c>
      <c r="I190" s="27" t="str">
        <f>IF(OR(C190="",固定信息!$B$5=""),"","【1元预约锁好礼】"&amp;固定信息!$B$5)</f>
        <v/>
      </c>
      <c r="J190" s="27" t="str" cm="1">
        <f t="array" ref="J190">_xlfn.XLOOKUP($A190&amp;$B190&amp;$C190,价格信息!$A:$A&amp;价格信息!$B:$B&amp;价格信息!$C:$C,价格信息!$D:$D)</f>
        <v/>
      </c>
      <c r="K190" s="27" t="str">
        <f>IF($C190="","",固定信息!$B$1)</f>
        <v/>
      </c>
      <c r="L190" s="27" t="str" cm="1">
        <f t="array" ref="L190">IF(_xlfn.XLOOKUP($A190&amp;$B190&amp;$C190,盘货信息!$A:$A&amp;盘货信息!$B:$B&amp;盘货信息!$C:$C,盘货信息!$T:$T)="","","【优惠券】领"&amp;_xlfn.XLOOKUP($A190&amp;$B190&amp;$C190,盘货信息!$A:$A&amp;盘货信息!$B:$B&amp;盘货信息!$C:$C,盘货信息!$T:$T)&amp;"元优惠卷下单更优惠，领券链接："&amp;_xlfn.XLOOKUP($A190&amp;$B190&amp;$C190,盘货信息!$A:$A&amp;盘货信息!$B:$B&amp;盘货信息!$C:$C,盘货信息!$U:$U))</f>
        <v/>
      </c>
      <c r="M190" s="27" t="str" cm="1">
        <f t="array" ref="M190">IF(_xlfn.XLOOKUP($A190&amp;$B190&amp;$C190,盘货信息!$A:$A&amp;盘货信息!$B:$B&amp;盘货信息!$C:$C,盘货信息!$P:$P)="","","【限时】"&amp;_xlfn.XLOOKUP($A190&amp;$B190&amp;$C190,盘货信息!$A:$A&amp;盘货信息!$B:$B&amp;盘货信息!$C:$C,盘货信息!$P:$P))</f>
        <v/>
      </c>
      <c r="N190" s="27" t="str" cm="1">
        <f t="array" ref="N190">IF(_xlfn.XLOOKUP($A190&amp;$B190&amp;$C190,盘货信息!$A:$A&amp;盘货信息!$B:$B&amp;盘货信息!$C:$C,盘货信息!$V:$V)="","","【"&amp;盘货信息!$V$1&amp;"】"&amp;_xlfn.XLOOKUP($A190&amp;$B190&amp;$C190,盘货信息!$A:$A&amp;盘货信息!$B:$B&amp;盘货信息!$C:$C,盘货信息!$V:$V))</f>
        <v/>
      </c>
      <c r="O190" s="27" t="str" cm="1">
        <f t="array" ref="O190">IF(_xlfn.XLOOKUP($A190&amp;$B190&amp;$C190,盘货信息!$A:$A&amp;盘货信息!$B:$B&amp;盘货信息!$C:$C,盘货信息!$W:$W)="","","【"&amp;盘货信息!$W$1&amp;"】"&amp;_xlfn.XLOOKUP($A190&amp;$B190&amp;$C190,盘货信息!$A:$A&amp;盘货信息!$B:$B&amp;盘货信息!$C:$C,盘货信息!$W:$W))</f>
        <v/>
      </c>
      <c r="P190" s="27" t="str" cm="1">
        <f t="array" ref="P190">IF(_xlfn.XLOOKUP($A190&amp;$B190&amp;$C190,盘货信息!$A:$A&amp;盘货信息!$B:$B&amp;盘货信息!$C:$C,盘货信息!$S:$S)&lt;1,"","【"&amp;盘货信息!$S$1&amp;"】"&amp;"后返"&amp;_xlfn.XLOOKUP($A190&amp;$B190&amp;$C190,盘货信息!$A:$A&amp;盘货信息!$B:$B&amp;盘货信息!$C:$C,盘货信息!$S:$S)&amp;"元")</f>
        <v/>
      </c>
      <c r="Q190" s="27" t="str" cm="1">
        <f t="array" ref="Q190">IF(_xlfn.XLOOKUP($A190&amp;$B190&amp;$C190,盘货信息!$A:$A&amp;盘货信息!$B:$B&amp;盘货信息!$C:$C,盘货信息!$X:$X)="","","【"&amp;盘货信息!$X$1&amp;"】"&amp;_xlfn.XLOOKUP($A190&amp;$B190&amp;$C190,盘货信息!$A:$A&amp;盘货信息!$B:$B&amp;盘货信息!$C:$C,盘货信息!$X:$X))</f>
        <v/>
      </c>
      <c r="R190" s="27" t="str" cm="1">
        <f t="array" ref="R190">IF(_xlfn.XLOOKUP($A190&amp;$B190&amp;$C190,盘货信息!$A:$A&amp;盘货信息!$B:$B&amp;盘货信息!$C:$C,盘货信息!$Z:$Z)="","","【"&amp;盘货信息!$Z$1&amp;"】"&amp;_xlfn.XLOOKUP($A190&amp;$B190&amp;$C190,盘货信息!$A:$A&amp;盘货信息!$B:$B&amp;盘货信息!$C:$C,盘货信息!$Z:$Z))</f>
        <v/>
      </c>
      <c r="S190" s="27" t="str" cm="1">
        <f t="array" ref="S190">IF(_xlfn.XLOOKUP($A190&amp;$B190&amp;$C190,盘货信息!$A:$A&amp;盘货信息!$B:$B&amp;盘货信息!$C:$C,盘货信息!$Q:$Q)="","","【种草】站外带指定话题种草后返"&amp;_xlfn.XLOOKUP($A190&amp;$B190&amp;$C190,盘货信息!$A:$A&amp;盘货信息!$B:$B&amp;盘货信息!$C:$C,盘货信息!$Q:$Q)&amp;"元红包（每个淘宝账号仅限对应一个站外种草账号，同一个种草账号不可对应多个淘宝账号）")</f>
        <v/>
      </c>
      <c r="T190" s="27" t="str" cm="1">
        <f t="array" ref="T190">IF(_xlfn.XLOOKUP($A190&amp;$B190&amp;$C190,盘货信息!$A:$A&amp;盘货信息!$B:$B&amp;盘货信息!$C:$C,盘货信息!$R:$R)&lt;1,"","【以旧换新】"&amp;"享补贴"&amp;ROUND(_xlfn.XLOOKUP($A190&amp;$B190&amp;$C190,盘货信息!$A:$A&amp;盘货信息!$B:$B&amp;盘货信息!$C:$C,盘货信息!$R:$R),0)&amp;"元（可无旧机换新）")</f>
        <v/>
      </c>
      <c r="U190" s="27" t="str">
        <f>IF(AND($N190="",$O190="",$P190="",$Q190="",$R190="",$S190="",$T190=""),"",固定信息!$B$1)</f>
        <v/>
      </c>
      <c r="V190" s="27" t="str" cm="1">
        <f t="array" ref="V190">IF(_xlfn.XLOOKUP($A190&amp;$B190&amp;$C190,盘货信息!$A:$A&amp;盘货信息!$B:$B&amp;盘货信息!$C:$C,盘货信息!$Y:$Y)="","","【卡萨帝送赠】活动指定时间"&amp;_xlfn.TEXTBEFORE(_xlfn.TEXTAFTER(_xlfn.XLOOKUP($A190&amp;$B190&amp;$C190,盘货信息!$A:$A&amp;盘货信息!$B:$B&amp;盘货信息!$C:$C,盘货信息!$Y:$Y),"点"),"（"))</f>
        <v/>
      </c>
      <c r="W190" s="27" t="str" cm="1">
        <f t="array" ref="W190">IF(COUNTIF(_xlfn.XLOOKUP($A190&amp;$B190&amp;$C190,盘货信息!$A:$A&amp;盘货信息!$B:$B&amp;盘货信息!$C:$C,盘货信息!$O:$O),"*是*"),"【折扣】指定型号满2类享96折，满3类享94折","")</f>
        <v/>
      </c>
      <c r="X190" s="27" t="str" cm="1">
        <f t="array" ref="X190">IF(固定信息!$B$7="","",IF(_xlfn.XLOOKUP($A190&amp;$B190&amp;$C190,盘货信息!$A:$A&amp;盘货信息!$B:$B&amp;盘货信息!$C:$C,盘货信息!$N:$N)="是","【瓜分】"&amp;固定信息!$B$7,""))</f>
        <v/>
      </c>
      <c r="Y190" s="27" t="str">
        <f>IF(AND($V190="",$W190="",$X190=""),"",固定信息!$B$1)</f>
        <v/>
      </c>
      <c r="Z190" s="27" t="str" cm="1">
        <f t="array" ref="Z190">IF($C190="","",_xlfn.XLOOKUP($A190&amp;$B190&amp;$C190,服务!$A:$A&amp;服务!$B:$B&amp;服务!$C:$C,服务!$D:$D))</f>
        <v/>
      </c>
    </row>
    <row r="191" customHeight="1" spans="1:26">
      <c r="A191" s="23" t="str">
        <f>IF(盘货信息!A191="","",盘货信息!A191)</f>
        <v/>
      </c>
      <c r="B191" s="26" t="str">
        <f>IF(盘货信息!B191="","",盘货信息!B191)</f>
        <v/>
      </c>
      <c r="C191" s="23" t="str">
        <f>IF(盘货信息!C191="","",盘货信息!C191)</f>
        <v/>
      </c>
      <c r="D191" s="27" t="str">
        <f ca="1" t="shared" si="2"/>
        <v/>
      </c>
      <c r="E191" s="27" t="str">
        <f>IF(C191="","",固定信息!$B$2)</f>
        <v/>
      </c>
      <c r="F191" s="27" t="str">
        <f>IF(C191="","","【"&amp;C191&amp;"】"&amp;固定信息!$B$4)</f>
        <v/>
      </c>
      <c r="G191" s="27" t="str">
        <f>IF(C191="","","【"&amp;"活动时间："&amp;固定信息!$B$3&amp;"】")</f>
        <v/>
      </c>
      <c r="H191" s="27" t="str">
        <f>IF($C191="","",固定信息!$B$1)</f>
        <v/>
      </c>
      <c r="I191" s="27" t="str">
        <f>IF(OR(C191="",固定信息!$B$5=""),"","【1元预约锁好礼】"&amp;固定信息!$B$5)</f>
        <v/>
      </c>
      <c r="J191" s="27" t="str" cm="1">
        <f t="array" ref="J191">_xlfn.XLOOKUP($A191&amp;$B191&amp;$C191,价格信息!$A:$A&amp;价格信息!$B:$B&amp;价格信息!$C:$C,价格信息!$D:$D)</f>
        <v/>
      </c>
      <c r="K191" s="27" t="str">
        <f>IF($C191="","",固定信息!$B$1)</f>
        <v/>
      </c>
      <c r="L191" s="27" t="str" cm="1">
        <f t="array" ref="L191">IF(_xlfn.XLOOKUP($A191&amp;$B191&amp;$C191,盘货信息!$A:$A&amp;盘货信息!$B:$B&amp;盘货信息!$C:$C,盘货信息!$T:$T)="","","【优惠券】领"&amp;_xlfn.XLOOKUP($A191&amp;$B191&amp;$C191,盘货信息!$A:$A&amp;盘货信息!$B:$B&amp;盘货信息!$C:$C,盘货信息!$T:$T)&amp;"元优惠卷下单更优惠，领券链接："&amp;_xlfn.XLOOKUP($A191&amp;$B191&amp;$C191,盘货信息!$A:$A&amp;盘货信息!$B:$B&amp;盘货信息!$C:$C,盘货信息!$U:$U))</f>
        <v/>
      </c>
      <c r="M191" s="27" t="str" cm="1">
        <f t="array" ref="M191">IF(_xlfn.XLOOKUP($A191&amp;$B191&amp;$C191,盘货信息!$A:$A&amp;盘货信息!$B:$B&amp;盘货信息!$C:$C,盘货信息!$P:$P)="","","【限时】"&amp;_xlfn.XLOOKUP($A191&amp;$B191&amp;$C191,盘货信息!$A:$A&amp;盘货信息!$B:$B&amp;盘货信息!$C:$C,盘货信息!$P:$P))</f>
        <v/>
      </c>
      <c r="N191" s="27" t="str" cm="1">
        <f t="array" ref="N191">IF(_xlfn.XLOOKUP($A191&amp;$B191&amp;$C191,盘货信息!$A:$A&amp;盘货信息!$B:$B&amp;盘货信息!$C:$C,盘货信息!$V:$V)="","","【"&amp;盘货信息!$V$1&amp;"】"&amp;_xlfn.XLOOKUP($A191&amp;$B191&amp;$C191,盘货信息!$A:$A&amp;盘货信息!$B:$B&amp;盘货信息!$C:$C,盘货信息!$V:$V))</f>
        <v/>
      </c>
      <c r="O191" s="27" t="str" cm="1">
        <f t="array" ref="O191">IF(_xlfn.XLOOKUP($A191&amp;$B191&amp;$C191,盘货信息!$A:$A&amp;盘货信息!$B:$B&amp;盘货信息!$C:$C,盘货信息!$W:$W)="","","【"&amp;盘货信息!$W$1&amp;"】"&amp;_xlfn.XLOOKUP($A191&amp;$B191&amp;$C191,盘货信息!$A:$A&amp;盘货信息!$B:$B&amp;盘货信息!$C:$C,盘货信息!$W:$W))</f>
        <v/>
      </c>
      <c r="P191" s="27" t="str" cm="1">
        <f t="array" ref="P191">IF(_xlfn.XLOOKUP($A191&amp;$B191&amp;$C191,盘货信息!$A:$A&amp;盘货信息!$B:$B&amp;盘货信息!$C:$C,盘货信息!$S:$S)&lt;1,"","【"&amp;盘货信息!$S$1&amp;"】"&amp;"后返"&amp;_xlfn.XLOOKUP($A191&amp;$B191&amp;$C191,盘货信息!$A:$A&amp;盘货信息!$B:$B&amp;盘货信息!$C:$C,盘货信息!$S:$S)&amp;"元")</f>
        <v/>
      </c>
      <c r="Q191" s="27" t="str" cm="1">
        <f t="array" ref="Q191">IF(_xlfn.XLOOKUP($A191&amp;$B191&amp;$C191,盘货信息!$A:$A&amp;盘货信息!$B:$B&amp;盘货信息!$C:$C,盘货信息!$X:$X)="","","【"&amp;盘货信息!$X$1&amp;"】"&amp;_xlfn.XLOOKUP($A191&amp;$B191&amp;$C191,盘货信息!$A:$A&amp;盘货信息!$B:$B&amp;盘货信息!$C:$C,盘货信息!$X:$X))</f>
        <v/>
      </c>
      <c r="R191" s="27" t="str" cm="1">
        <f t="array" ref="R191">IF(_xlfn.XLOOKUP($A191&amp;$B191&amp;$C191,盘货信息!$A:$A&amp;盘货信息!$B:$B&amp;盘货信息!$C:$C,盘货信息!$Z:$Z)="","","【"&amp;盘货信息!$Z$1&amp;"】"&amp;_xlfn.XLOOKUP($A191&amp;$B191&amp;$C191,盘货信息!$A:$A&amp;盘货信息!$B:$B&amp;盘货信息!$C:$C,盘货信息!$Z:$Z))</f>
        <v/>
      </c>
      <c r="S191" s="27" t="str" cm="1">
        <f t="array" ref="S191">IF(_xlfn.XLOOKUP($A191&amp;$B191&amp;$C191,盘货信息!$A:$A&amp;盘货信息!$B:$B&amp;盘货信息!$C:$C,盘货信息!$Q:$Q)="","","【种草】站外带指定话题种草后返"&amp;_xlfn.XLOOKUP($A191&amp;$B191&amp;$C191,盘货信息!$A:$A&amp;盘货信息!$B:$B&amp;盘货信息!$C:$C,盘货信息!$Q:$Q)&amp;"元红包（每个淘宝账号仅限对应一个站外种草账号，同一个种草账号不可对应多个淘宝账号）")</f>
        <v/>
      </c>
      <c r="T191" s="27" t="str" cm="1">
        <f t="array" ref="T191">IF(_xlfn.XLOOKUP($A191&amp;$B191&amp;$C191,盘货信息!$A:$A&amp;盘货信息!$B:$B&amp;盘货信息!$C:$C,盘货信息!$R:$R)&lt;1,"","【以旧换新】"&amp;"享补贴"&amp;ROUND(_xlfn.XLOOKUP($A191&amp;$B191&amp;$C191,盘货信息!$A:$A&amp;盘货信息!$B:$B&amp;盘货信息!$C:$C,盘货信息!$R:$R),0)&amp;"元（可无旧机换新）")</f>
        <v/>
      </c>
      <c r="U191" s="27" t="str">
        <f>IF(AND($N191="",$O191="",$P191="",$Q191="",$R191="",$S191="",$T191=""),"",固定信息!$B$1)</f>
        <v/>
      </c>
      <c r="V191" s="27" t="str" cm="1">
        <f t="array" ref="V191">IF(_xlfn.XLOOKUP($A191&amp;$B191&amp;$C191,盘货信息!$A:$A&amp;盘货信息!$B:$B&amp;盘货信息!$C:$C,盘货信息!$Y:$Y)="","","【卡萨帝送赠】活动指定时间"&amp;_xlfn.TEXTBEFORE(_xlfn.TEXTAFTER(_xlfn.XLOOKUP($A191&amp;$B191&amp;$C191,盘货信息!$A:$A&amp;盘货信息!$B:$B&amp;盘货信息!$C:$C,盘货信息!$Y:$Y),"点"),"（"))</f>
        <v/>
      </c>
      <c r="W191" s="27" t="str" cm="1">
        <f t="array" ref="W191">IF(COUNTIF(_xlfn.XLOOKUP($A191&amp;$B191&amp;$C191,盘货信息!$A:$A&amp;盘货信息!$B:$B&amp;盘货信息!$C:$C,盘货信息!$O:$O),"*是*"),"【折扣】指定型号满2类享96折，满3类享94折","")</f>
        <v/>
      </c>
      <c r="X191" s="27" t="str" cm="1">
        <f t="array" ref="X191">IF(固定信息!$B$7="","",IF(_xlfn.XLOOKUP($A191&amp;$B191&amp;$C191,盘货信息!$A:$A&amp;盘货信息!$B:$B&amp;盘货信息!$C:$C,盘货信息!$N:$N)="是","【瓜分】"&amp;固定信息!$B$7,""))</f>
        <v/>
      </c>
      <c r="Y191" s="27" t="str">
        <f>IF(AND($V191="",$W191="",$X191=""),"",固定信息!$B$1)</f>
        <v/>
      </c>
      <c r="Z191" s="27" t="str" cm="1">
        <f t="array" ref="Z191">IF($C191="","",_xlfn.XLOOKUP($A191&amp;$B191&amp;$C191,服务!$A:$A&amp;服务!$B:$B&amp;服务!$C:$C,服务!$D:$D))</f>
        <v/>
      </c>
    </row>
    <row r="192" customHeight="1" spans="1:26">
      <c r="A192" s="23" t="str">
        <f>IF(盘货信息!A192="","",盘货信息!A192)</f>
        <v/>
      </c>
      <c r="B192" s="26" t="str">
        <f>IF(盘货信息!B192="","",盘货信息!B192)</f>
        <v/>
      </c>
      <c r="C192" s="23" t="str">
        <f>IF(盘货信息!C192="","",盘货信息!C192)</f>
        <v/>
      </c>
      <c r="D192" s="27" t="str">
        <f ca="1" t="shared" si="2"/>
        <v/>
      </c>
      <c r="E192" s="27" t="str">
        <f>IF(C192="","",固定信息!$B$2)</f>
        <v/>
      </c>
      <c r="F192" s="27" t="str">
        <f>IF(C192="","","【"&amp;C192&amp;"】"&amp;固定信息!$B$4)</f>
        <v/>
      </c>
      <c r="G192" s="27" t="str">
        <f>IF(C192="","","【"&amp;"活动时间："&amp;固定信息!$B$3&amp;"】")</f>
        <v/>
      </c>
      <c r="H192" s="27" t="str">
        <f>IF($C192="","",固定信息!$B$1)</f>
        <v/>
      </c>
      <c r="I192" s="27" t="str">
        <f>IF(OR(C192="",固定信息!$B$5=""),"","【1元预约锁好礼】"&amp;固定信息!$B$5)</f>
        <v/>
      </c>
      <c r="J192" s="27" t="str" cm="1">
        <f t="array" ref="J192">_xlfn.XLOOKUP($A192&amp;$B192&amp;$C192,价格信息!$A:$A&amp;价格信息!$B:$B&amp;价格信息!$C:$C,价格信息!$D:$D)</f>
        <v/>
      </c>
      <c r="K192" s="27" t="str">
        <f>IF($C192="","",固定信息!$B$1)</f>
        <v/>
      </c>
      <c r="L192" s="27" t="str" cm="1">
        <f t="array" ref="L192">IF(_xlfn.XLOOKUP($A192&amp;$B192&amp;$C192,盘货信息!$A:$A&amp;盘货信息!$B:$B&amp;盘货信息!$C:$C,盘货信息!$T:$T)="","","【优惠券】领"&amp;_xlfn.XLOOKUP($A192&amp;$B192&amp;$C192,盘货信息!$A:$A&amp;盘货信息!$B:$B&amp;盘货信息!$C:$C,盘货信息!$T:$T)&amp;"元优惠卷下单更优惠，领券链接："&amp;_xlfn.XLOOKUP($A192&amp;$B192&amp;$C192,盘货信息!$A:$A&amp;盘货信息!$B:$B&amp;盘货信息!$C:$C,盘货信息!$U:$U))</f>
        <v/>
      </c>
      <c r="M192" s="27" t="str" cm="1">
        <f t="array" ref="M192">IF(_xlfn.XLOOKUP($A192&amp;$B192&amp;$C192,盘货信息!$A:$A&amp;盘货信息!$B:$B&amp;盘货信息!$C:$C,盘货信息!$P:$P)="","","【限时】"&amp;_xlfn.XLOOKUP($A192&amp;$B192&amp;$C192,盘货信息!$A:$A&amp;盘货信息!$B:$B&amp;盘货信息!$C:$C,盘货信息!$P:$P))</f>
        <v/>
      </c>
      <c r="N192" s="27" t="str" cm="1">
        <f t="array" ref="N192">IF(_xlfn.XLOOKUP($A192&amp;$B192&amp;$C192,盘货信息!$A:$A&amp;盘货信息!$B:$B&amp;盘货信息!$C:$C,盘货信息!$V:$V)="","","【"&amp;盘货信息!$V$1&amp;"】"&amp;_xlfn.XLOOKUP($A192&amp;$B192&amp;$C192,盘货信息!$A:$A&amp;盘货信息!$B:$B&amp;盘货信息!$C:$C,盘货信息!$V:$V))</f>
        <v/>
      </c>
      <c r="O192" s="27" t="str" cm="1">
        <f t="array" ref="O192">IF(_xlfn.XLOOKUP($A192&amp;$B192&amp;$C192,盘货信息!$A:$A&amp;盘货信息!$B:$B&amp;盘货信息!$C:$C,盘货信息!$W:$W)="","","【"&amp;盘货信息!$W$1&amp;"】"&amp;_xlfn.XLOOKUP($A192&amp;$B192&amp;$C192,盘货信息!$A:$A&amp;盘货信息!$B:$B&amp;盘货信息!$C:$C,盘货信息!$W:$W))</f>
        <v/>
      </c>
      <c r="P192" s="27" t="str" cm="1">
        <f t="array" ref="P192">IF(_xlfn.XLOOKUP($A192&amp;$B192&amp;$C192,盘货信息!$A:$A&amp;盘货信息!$B:$B&amp;盘货信息!$C:$C,盘货信息!$S:$S)&lt;1,"","【"&amp;盘货信息!$S$1&amp;"】"&amp;"后返"&amp;_xlfn.XLOOKUP($A192&amp;$B192&amp;$C192,盘货信息!$A:$A&amp;盘货信息!$B:$B&amp;盘货信息!$C:$C,盘货信息!$S:$S)&amp;"元")</f>
        <v/>
      </c>
      <c r="Q192" s="27" t="str" cm="1">
        <f t="array" ref="Q192">IF(_xlfn.XLOOKUP($A192&amp;$B192&amp;$C192,盘货信息!$A:$A&amp;盘货信息!$B:$B&amp;盘货信息!$C:$C,盘货信息!$X:$X)="","","【"&amp;盘货信息!$X$1&amp;"】"&amp;_xlfn.XLOOKUP($A192&amp;$B192&amp;$C192,盘货信息!$A:$A&amp;盘货信息!$B:$B&amp;盘货信息!$C:$C,盘货信息!$X:$X))</f>
        <v/>
      </c>
      <c r="R192" s="27" t="str" cm="1">
        <f t="array" ref="R192">IF(_xlfn.XLOOKUP($A192&amp;$B192&amp;$C192,盘货信息!$A:$A&amp;盘货信息!$B:$B&amp;盘货信息!$C:$C,盘货信息!$Z:$Z)="","","【"&amp;盘货信息!$Z$1&amp;"】"&amp;_xlfn.XLOOKUP($A192&amp;$B192&amp;$C192,盘货信息!$A:$A&amp;盘货信息!$B:$B&amp;盘货信息!$C:$C,盘货信息!$Z:$Z))</f>
        <v/>
      </c>
      <c r="S192" s="27" t="str" cm="1">
        <f t="array" ref="S192">IF(_xlfn.XLOOKUP($A192&amp;$B192&amp;$C192,盘货信息!$A:$A&amp;盘货信息!$B:$B&amp;盘货信息!$C:$C,盘货信息!$Q:$Q)="","","【种草】站外带指定话题种草后返"&amp;_xlfn.XLOOKUP($A192&amp;$B192&amp;$C192,盘货信息!$A:$A&amp;盘货信息!$B:$B&amp;盘货信息!$C:$C,盘货信息!$Q:$Q)&amp;"元红包（每个淘宝账号仅限对应一个站外种草账号，同一个种草账号不可对应多个淘宝账号）")</f>
        <v/>
      </c>
      <c r="T192" s="27" t="str" cm="1">
        <f t="array" ref="T192">IF(_xlfn.XLOOKUP($A192&amp;$B192&amp;$C192,盘货信息!$A:$A&amp;盘货信息!$B:$B&amp;盘货信息!$C:$C,盘货信息!$R:$R)&lt;1,"","【以旧换新】"&amp;"享补贴"&amp;ROUND(_xlfn.XLOOKUP($A192&amp;$B192&amp;$C192,盘货信息!$A:$A&amp;盘货信息!$B:$B&amp;盘货信息!$C:$C,盘货信息!$R:$R),0)&amp;"元（可无旧机换新）")</f>
        <v/>
      </c>
      <c r="U192" s="27" t="str">
        <f>IF(AND($N192="",$O192="",$P192="",$Q192="",$R192="",$S192="",$T192=""),"",固定信息!$B$1)</f>
        <v/>
      </c>
      <c r="V192" s="27" t="str" cm="1">
        <f t="array" ref="V192">IF(_xlfn.XLOOKUP($A192&amp;$B192&amp;$C192,盘货信息!$A:$A&amp;盘货信息!$B:$B&amp;盘货信息!$C:$C,盘货信息!$Y:$Y)="","","【卡萨帝送赠】活动指定时间"&amp;_xlfn.TEXTBEFORE(_xlfn.TEXTAFTER(_xlfn.XLOOKUP($A192&amp;$B192&amp;$C192,盘货信息!$A:$A&amp;盘货信息!$B:$B&amp;盘货信息!$C:$C,盘货信息!$Y:$Y),"点"),"（"))</f>
        <v/>
      </c>
      <c r="W192" s="27" t="str" cm="1">
        <f t="array" ref="W192">IF(COUNTIF(_xlfn.XLOOKUP($A192&amp;$B192&amp;$C192,盘货信息!$A:$A&amp;盘货信息!$B:$B&amp;盘货信息!$C:$C,盘货信息!$O:$O),"*是*"),"【折扣】指定型号满2类享96折，满3类享94折","")</f>
        <v/>
      </c>
      <c r="X192" s="27" t="str" cm="1">
        <f t="array" ref="X192">IF(固定信息!$B$7="","",IF(_xlfn.XLOOKUP($A192&amp;$B192&amp;$C192,盘货信息!$A:$A&amp;盘货信息!$B:$B&amp;盘货信息!$C:$C,盘货信息!$N:$N)="是","【瓜分】"&amp;固定信息!$B$7,""))</f>
        <v/>
      </c>
      <c r="Y192" s="27" t="str">
        <f>IF(AND($V192="",$W192="",$X192=""),"",固定信息!$B$1)</f>
        <v/>
      </c>
      <c r="Z192" s="27" t="str" cm="1">
        <f t="array" ref="Z192">IF($C192="","",_xlfn.XLOOKUP($A192&amp;$B192&amp;$C192,服务!$A:$A&amp;服务!$B:$B&amp;服务!$C:$C,服务!$D:$D))</f>
        <v/>
      </c>
    </row>
    <row r="193" customHeight="1" spans="1:26">
      <c r="A193" s="23" t="str">
        <f>IF(盘货信息!A193="","",盘货信息!A193)</f>
        <v/>
      </c>
      <c r="B193" s="26" t="str">
        <f>IF(盘货信息!B193="","",盘货信息!B193)</f>
        <v/>
      </c>
      <c r="C193" s="23" t="str">
        <f>IF(盘货信息!C193="","",盘货信息!C193)</f>
        <v/>
      </c>
      <c r="D193" s="27" t="str">
        <f ca="1" t="shared" si="2"/>
        <v/>
      </c>
      <c r="E193" s="27" t="str">
        <f>IF(C193="","",固定信息!$B$2)</f>
        <v/>
      </c>
      <c r="F193" s="27" t="str">
        <f>IF(C193="","","【"&amp;C193&amp;"】"&amp;固定信息!$B$4)</f>
        <v/>
      </c>
      <c r="G193" s="27" t="str">
        <f>IF(C193="","","【"&amp;"活动时间："&amp;固定信息!$B$3&amp;"】")</f>
        <v/>
      </c>
      <c r="H193" s="27" t="str">
        <f>IF($C193="","",固定信息!$B$1)</f>
        <v/>
      </c>
      <c r="I193" s="27" t="str">
        <f>IF(OR(C193="",固定信息!$B$5=""),"","【1元预约锁好礼】"&amp;固定信息!$B$5)</f>
        <v/>
      </c>
      <c r="J193" s="27" t="str" cm="1">
        <f t="array" ref="J193">_xlfn.XLOOKUP($A193&amp;$B193&amp;$C193,价格信息!$A:$A&amp;价格信息!$B:$B&amp;价格信息!$C:$C,价格信息!$D:$D)</f>
        <v/>
      </c>
      <c r="K193" s="27" t="str">
        <f>IF($C193="","",固定信息!$B$1)</f>
        <v/>
      </c>
      <c r="L193" s="27" t="str" cm="1">
        <f t="array" ref="L193">IF(_xlfn.XLOOKUP($A193&amp;$B193&amp;$C193,盘货信息!$A:$A&amp;盘货信息!$B:$B&amp;盘货信息!$C:$C,盘货信息!$T:$T)="","","【优惠券】领"&amp;_xlfn.XLOOKUP($A193&amp;$B193&amp;$C193,盘货信息!$A:$A&amp;盘货信息!$B:$B&amp;盘货信息!$C:$C,盘货信息!$T:$T)&amp;"元优惠卷下单更优惠，领券链接："&amp;_xlfn.XLOOKUP($A193&amp;$B193&amp;$C193,盘货信息!$A:$A&amp;盘货信息!$B:$B&amp;盘货信息!$C:$C,盘货信息!$U:$U))</f>
        <v/>
      </c>
      <c r="M193" s="27" t="str" cm="1">
        <f t="array" ref="M193">IF(_xlfn.XLOOKUP($A193&amp;$B193&amp;$C193,盘货信息!$A:$A&amp;盘货信息!$B:$B&amp;盘货信息!$C:$C,盘货信息!$P:$P)="","","【限时】"&amp;_xlfn.XLOOKUP($A193&amp;$B193&amp;$C193,盘货信息!$A:$A&amp;盘货信息!$B:$B&amp;盘货信息!$C:$C,盘货信息!$P:$P))</f>
        <v/>
      </c>
      <c r="N193" s="27" t="str" cm="1">
        <f t="array" ref="N193">IF(_xlfn.XLOOKUP($A193&amp;$B193&amp;$C193,盘货信息!$A:$A&amp;盘货信息!$B:$B&amp;盘货信息!$C:$C,盘货信息!$V:$V)="","","【"&amp;盘货信息!$V$1&amp;"】"&amp;_xlfn.XLOOKUP($A193&amp;$B193&amp;$C193,盘货信息!$A:$A&amp;盘货信息!$B:$B&amp;盘货信息!$C:$C,盘货信息!$V:$V))</f>
        <v/>
      </c>
      <c r="O193" s="27" t="str" cm="1">
        <f t="array" ref="O193">IF(_xlfn.XLOOKUP($A193&amp;$B193&amp;$C193,盘货信息!$A:$A&amp;盘货信息!$B:$B&amp;盘货信息!$C:$C,盘货信息!$W:$W)="","","【"&amp;盘货信息!$W$1&amp;"】"&amp;_xlfn.XLOOKUP($A193&amp;$B193&amp;$C193,盘货信息!$A:$A&amp;盘货信息!$B:$B&amp;盘货信息!$C:$C,盘货信息!$W:$W))</f>
        <v/>
      </c>
      <c r="P193" s="27" t="str" cm="1">
        <f t="array" ref="P193">IF(_xlfn.XLOOKUP($A193&amp;$B193&amp;$C193,盘货信息!$A:$A&amp;盘货信息!$B:$B&amp;盘货信息!$C:$C,盘货信息!$S:$S)&lt;1,"","【"&amp;盘货信息!$S$1&amp;"】"&amp;"后返"&amp;_xlfn.XLOOKUP($A193&amp;$B193&amp;$C193,盘货信息!$A:$A&amp;盘货信息!$B:$B&amp;盘货信息!$C:$C,盘货信息!$S:$S)&amp;"元")</f>
        <v/>
      </c>
      <c r="Q193" s="27" t="str" cm="1">
        <f t="array" ref="Q193">IF(_xlfn.XLOOKUP($A193&amp;$B193&amp;$C193,盘货信息!$A:$A&amp;盘货信息!$B:$B&amp;盘货信息!$C:$C,盘货信息!$X:$X)="","","【"&amp;盘货信息!$X$1&amp;"】"&amp;_xlfn.XLOOKUP($A193&amp;$B193&amp;$C193,盘货信息!$A:$A&amp;盘货信息!$B:$B&amp;盘货信息!$C:$C,盘货信息!$X:$X))</f>
        <v/>
      </c>
      <c r="R193" s="27" t="str" cm="1">
        <f t="array" ref="R193">IF(_xlfn.XLOOKUP($A193&amp;$B193&amp;$C193,盘货信息!$A:$A&amp;盘货信息!$B:$B&amp;盘货信息!$C:$C,盘货信息!$Z:$Z)="","","【"&amp;盘货信息!$Z$1&amp;"】"&amp;_xlfn.XLOOKUP($A193&amp;$B193&amp;$C193,盘货信息!$A:$A&amp;盘货信息!$B:$B&amp;盘货信息!$C:$C,盘货信息!$Z:$Z))</f>
        <v/>
      </c>
      <c r="S193" s="27" t="str" cm="1">
        <f t="array" ref="S193">IF(_xlfn.XLOOKUP($A193&amp;$B193&amp;$C193,盘货信息!$A:$A&amp;盘货信息!$B:$B&amp;盘货信息!$C:$C,盘货信息!$Q:$Q)="","","【种草】站外带指定话题种草后返"&amp;_xlfn.XLOOKUP($A193&amp;$B193&amp;$C193,盘货信息!$A:$A&amp;盘货信息!$B:$B&amp;盘货信息!$C:$C,盘货信息!$Q:$Q)&amp;"元红包（每个淘宝账号仅限对应一个站外种草账号，同一个种草账号不可对应多个淘宝账号）")</f>
        <v/>
      </c>
      <c r="T193" s="27" t="str" cm="1">
        <f t="array" ref="T193">IF(_xlfn.XLOOKUP($A193&amp;$B193&amp;$C193,盘货信息!$A:$A&amp;盘货信息!$B:$B&amp;盘货信息!$C:$C,盘货信息!$R:$R)&lt;1,"","【以旧换新】"&amp;"享补贴"&amp;ROUND(_xlfn.XLOOKUP($A193&amp;$B193&amp;$C193,盘货信息!$A:$A&amp;盘货信息!$B:$B&amp;盘货信息!$C:$C,盘货信息!$R:$R),0)&amp;"元（可无旧机换新）")</f>
        <v/>
      </c>
      <c r="U193" s="27" t="str">
        <f>IF(AND($N193="",$O193="",$P193="",$Q193="",$R193="",$S193="",$T193=""),"",固定信息!$B$1)</f>
        <v/>
      </c>
      <c r="V193" s="27" t="str" cm="1">
        <f t="array" ref="V193">IF(_xlfn.XLOOKUP($A193&amp;$B193&amp;$C193,盘货信息!$A:$A&amp;盘货信息!$B:$B&amp;盘货信息!$C:$C,盘货信息!$Y:$Y)="","","【卡萨帝送赠】活动指定时间"&amp;_xlfn.TEXTBEFORE(_xlfn.TEXTAFTER(_xlfn.XLOOKUP($A193&amp;$B193&amp;$C193,盘货信息!$A:$A&amp;盘货信息!$B:$B&amp;盘货信息!$C:$C,盘货信息!$Y:$Y),"点"),"（"))</f>
        <v/>
      </c>
      <c r="W193" s="27" t="str" cm="1">
        <f t="array" ref="W193">IF(COUNTIF(_xlfn.XLOOKUP($A193&amp;$B193&amp;$C193,盘货信息!$A:$A&amp;盘货信息!$B:$B&amp;盘货信息!$C:$C,盘货信息!$O:$O),"*是*"),"【折扣】指定型号满2类享96折，满3类享94折","")</f>
        <v/>
      </c>
      <c r="X193" s="27" t="str" cm="1">
        <f t="array" ref="X193">IF(固定信息!$B$7="","",IF(_xlfn.XLOOKUP($A193&amp;$B193&amp;$C193,盘货信息!$A:$A&amp;盘货信息!$B:$B&amp;盘货信息!$C:$C,盘货信息!$N:$N)="是","【瓜分】"&amp;固定信息!$B$7,""))</f>
        <v/>
      </c>
      <c r="Y193" s="27" t="str">
        <f>IF(AND($V193="",$W193="",$X193=""),"",固定信息!$B$1)</f>
        <v/>
      </c>
      <c r="Z193" s="27" t="str" cm="1">
        <f t="array" ref="Z193">IF($C193="","",_xlfn.XLOOKUP($A193&amp;$B193&amp;$C193,服务!$A:$A&amp;服务!$B:$B&amp;服务!$C:$C,服务!$D:$D))</f>
        <v/>
      </c>
    </row>
    <row r="194" customHeight="1" spans="1:26">
      <c r="A194" s="23" t="str">
        <f>IF(盘货信息!A194="","",盘货信息!A194)</f>
        <v/>
      </c>
      <c r="B194" s="26" t="str">
        <f>IF(盘货信息!B194="","",盘货信息!B194)</f>
        <v/>
      </c>
      <c r="C194" s="23" t="str">
        <f>IF(盘货信息!C194="","",盘货信息!C194)</f>
        <v/>
      </c>
      <c r="D194" s="27" t="str">
        <f ca="1" t="shared" si="2"/>
        <v/>
      </c>
      <c r="E194" s="27" t="str">
        <f>IF(C194="","",固定信息!$B$2)</f>
        <v/>
      </c>
      <c r="F194" s="27" t="str">
        <f>IF(C194="","","【"&amp;C194&amp;"】"&amp;固定信息!$B$4)</f>
        <v/>
      </c>
      <c r="G194" s="27" t="str">
        <f>IF(C194="","","【"&amp;"活动时间："&amp;固定信息!$B$3&amp;"】")</f>
        <v/>
      </c>
      <c r="H194" s="27" t="str">
        <f>IF($C194="","",固定信息!$B$1)</f>
        <v/>
      </c>
      <c r="I194" s="27" t="str">
        <f>IF(OR(C194="",固定信息!$B$5=""),"","【1元预约锁好礼】"&amp;固定信息!$B$5)</f>
        <v/>
      </c>
      <c r="J194" s="27" t="str" cm="1">
        <f t="array" ref="J194">_xlfn.XLOOKUP($A194&amp;$B194&amp;$C194,价格信息!$A:$A&amp;价格信息!$B:$B&amp;价格信息!$C:$C,价格信息!$D:$D)</f>
        <v/>
      </c>
      <c r="K194" s="27" t="str">
        <f>IF($C194="","",固定信息!$B$1)</f>
        <v/>
      </c>
      <c r="L194" s="27" t="str" cm="1">
        <f t="array" ref="L194">IF(_xlfn.XLOOKUP($A194&amp;$B194&amp;$C194,盘货信息!$A:$A&amp;盘货信息!$B:$B&amp;盘货信息!$C:$C,盘货信息!$T:$T)="","","【优惠券】领"&amp;_xlfn.XLOOKUP($A194&amp;$B194&amp;$C194,盘货信息!$A:$A&amp;盘货信息!$B:$B&amp;盘货信息!$C:$C,盘货信息!$T:$T)&amp;"元优惠卷下单更优惠，领券链接："&amp;_xlfn.XLOOKUP($A194&amp;$B194&amp;$C194,盘货信息!$A:$A&amp;盘货信息!$B:$B&amp;盘货信息!$C:$C,盘货信息!$U:$U))</f>
        <v/>
      </c>
      <c r="M194" s="27" t="str" cm="1">
        <f t="array" ref="M194">IF(_xlfn.XLOOKUP($A194&amp;$B194&amp;$C194,盘货信息!$A:$A&amp;盘货信息!$B:$B&amp;盘货信息!$C:$C,盘货信息!$P:$P)="","","【限时】"&amp;_xlfn.XLOOKUP($A194&amp;$B194&amp;$C194,盘货信息!$A:$A&amp;盘货信息!$B:$B&amp;盘货信息!$C:$C,盘货信息!$P:$P))</f>
        <v/>
      </c>
      <c r="N194" s="27" t="str" cm="1">
        <f t="array" ref="N194">IF(_xlfn.XLOOKUP($A194&amp;$B194&amp;$C194,盘货信息!$A:$A&amp;盘货信息!$B:$B&amp;盘货信息!$C:$C,盘货信息!$V:$V)="","","【"&amp;盘货信息!$V$1&amp;"】"&amp;_xlfn.XLOOKUP($A194&amp;$B194&amp;$C194,盘货信息!$A:$A&amp;盘货信息!$B:$B&amp;盘货信息!$C:$C,盘货信息!$V:$V))</f>
        <v/>
      </c>
      <c r="O194" s="27" t="str" cm="1">
        <f t="array" ref="O194">IF(_xlfn.XLOOKUP($A194&amp;$B194&amp;$C194,盘货信息!$A:$A&amp;盘货信息!$B:$B&amp;盘货信息!$C:$C,盘货信息!$W:$W)="","","【"&amp;盘货信息!$W$1&amp;"】"&amp;_xlfn.XLOOKUP($A194&amp;$B194&amp;$C194,盘货信息!$A:$A&amp;盘货信息!$B:$B&amp;盘货信息!$C:$C,盘货信息!$W:$W))</f>
        <v/>
      </c>
      <c r="P194" s="27" t="str" cm="1">
        <f t="array" ref="P194">IF(_xlfn.XLOOKUP($A194&amp;$B194&amp;$C194,盘货信息!$A:$A&amp;盘货信息!$B:$B&amp;盘货信息!$C:$C,盘货信息!$S:$S)&lt;1,"","【"&amp;盘货信息!$S$1&amp;"】"&amp;"后返"&amp;_xlfn.XLOOKUP($A194&amp;$B194&amp;$C194,盘货信息!$A:$A&amp;盘货信息!$B:$B&amp;盘货信息!$C:$C,盘货信息!$S:$S)&amp;"元")</f>
        <v/>
      </c>
      <c r="Q194" s="27" t="str" cm="1">
        <f t="array" ref="Q194">IF(_xlfn.XLOOKUP($A194&amp;$B194&amp;$C194,盘货信息!$A:$A&amp;盘货信息!$B:$B&amp;盘货信息!$C:$C,盘货信息!$X:$X)="","","【"&amp;盘货信息!$X$1&amp;"】"&amp;_xlfn.XLOOKUP($A194&amp;$B194&amp;$C194,盘货信息!$A:$A&amp;盘货信息!$B:$B&amp;盘货信息!$C:$C,盘货信息!$X:$X))</f>
        <v/>
      </c>
      <c r="R194" s="27" t="str" cm="1">
        <f t="array" ref="R194">IF(_xlfn.XLOOKUP($A194&amp;$B194&amp;$C194,盘货信息!$A:$A&amp;盘货信息!$B:$B&amp;盘货信息!$C:$C,盘货信息!$Z:$Z)="","","【"&amp;盘货信息!$Z$1&amp;"】"&amp;_xlfn.XLOOKUP($A194&amp;$B194&amp;$C194,盘货信息!$A:$A&amp;盘货信息!$B:$B&amp;盘货信息!$C:$C,盘货信息!$Z:$Z))</f>
        <v/>
      </c>
      <c r="S194" s="27" t="str" cm="1">
        <f t="array" ref="S194">IF(_xlfn.XLOOKUP($A194&amp;$B194&amp;$C194,盘货信息!$A:$A&amp;盘货信息!$B:$B&amp;盘货信息!$C:$C,盘货信息!$Q:$Q)="","","【种草】站外带指定话题种草后返"&amp;_xlfn.XLOOKUP($A194&amp;$B194&amp;$C194,盘货信息!$A:$A&amp;盘货信息!$B:$B&amp;盘货信息!$C:$C,盘货信息!$Q:$Q)&amp;"元红包（每个淘宝账号仅限对应一个站外种草账号，同一个种草账号不可对应多个淘宝账号）")</f>
        <v/>
      </c>
      <c r="T194" s="27" t="str" cm="1">
        <f t="array" ref="T194">IF(_xlfn.XLOOKUP($A194&amp;$B194&amp;$C194,盘货信息!$A:$A&amp;盘货信息!$B:$B&amp;盘货信息!$C:$C,盘货信息!$R:$R)&lt;1,"","【以旧换新】"&amp;"享补贴"&amp;ROUND(_xlfn.XLOOKUP($A194&amp;$B194&amp;$C194,盘货信息!$A:$A&amp;盘货信息!$B:$B&amp;盘货信息!$C:$C,盘货信息!$R:$R),0)&amp;"元（可无旧机换新）")</f>
        <v/>
      </c>
      <c r="U194" s="27" t="str">
        <f>IF(AND($N194="",$O194="",$P194="",$Q194="",$R194="",$S194="",$T194=""),"",固定信息!$B$1)</f>
        <v/>
      </c>
      <c r="V194" s="27" t="str" cm="1">
        <f t="array" ref="V194">IF(_xlfn.XLOOKUP($A194&amp;$B194&amp;$C194,盘货信息!$A:$A&amp;盘货信息!$B:$B&amp;盘货信息!$C:$C,盘货信息!$Y:$Y)="","","【卡萨帝送赠】活动指定时间"&amp;_xlfn.TEXTBEFORE(_xlfn.TEXTAFTER(_xlfn.XLOOKUP($A194&amp;$B194&amp;$C194,盘货信息!$A:$A&amp;盘货信息!$B:$B&amp;盘货信息!$C:$C,盘货信息!$Y:$Y),"点"),"（"))</f>
        <v/>
      </c>
      <c r="W194" s="27" t="str" cm="1">
        <f t="array" ref="W194">IF(COUNTIF(_xlfn.XLOOKUP($A194&amp;$B194&amp;$C194,盘货信息!$A:$A&amp;盘货信息!$B:$B&amp;盘货信息!$C:$C,盘货信息!$O:$O),"*是*"),"【折扣】指定型号满2类享96折，满3类享94折","")</f>
        <v/>
      </c>
      <c r="X194" s="27" t="str" cm="1">
        <f t="array" ref="X194">IF(固定信息!$B$7="","",IF(_xlfn.XLOOKUP($A194&amp;$B194&amp;$C194,盘货信息!$A:$A&amp;盘货信息!$B:$B&amp;盘货信息!$C:$C,盘货信息!$N:$N)="是","【瓜分】"&amp;固定信息!$B$7,""))</f>
        <v/>
      </c>
      <c r="Y194" s="27" t="str">
        <f>IF(AND($V194="",$W194="",$X194=""),"",固定信息!$B$1)</f>
        <v/>
      </c>
      <c r="Z194" s="27" t="str" cm="1">
        <f t="array" ref="Z194">IF($C194="","",_xlfn.XLOOKUP($A194&amp;$B194&amp;$C194,服务!$A:$A&amp;服务!$B:$B&amp;服务!$C:$C,服务!$D:$D))</f>
        <v/>
      </c>
    </row>
    <row r="195" customHeight="1" spans="1:26">
      <c r="A195" s="23" t="str">
        <f>IF(盘货信息!A195="","",盘货信息!A195)</f>
        <v/>
      </c>
      <c r="B195" s="26" t="str">
        <f>IF(盘货信息!B195="","",盘货信息!B195)</f>
        <v/>
      </c>
      <c r="C195" s="23" t="str">
        <f>IF(盘货信息!C195="","",盘货信息!C195)</f>
        <v/>
      </c>
      <c r="D195" s="27" t="str">
        <f ca="1" t="shared" ref="D195:D258" si="3">_xlfn.TEXTJOIN(CHAR(10),TRUE,OFFSET(INDIRECT("RC",FALSE),0,1,1,30))</f>
        <v/>
      </c>
      <c r="E195" s="27" t="str">
        <f>IF(C195="","",固定信息!$B$2)</f>
        <v/>
      </c>
      <c r="F195" s="27" t="str">
        <f>IF(C195="","","【"&amp;C195&amp;"】"&amp;固定信息!$B$4)</f>
        <v/>
      </c>
      <c r="G195" s="27" t="str">
        <f>IF(C195="","","【"&amp;"活动时间："&amp;固定信息!$B$3&amp;"】")</f>
        <v/>
      </c>
      <c r="H195" s="27" t="str">
        <f>IF($C195="","",固定信息!$B$1)</f>
        <v/>
      </c>
      <c r="I195" s="27" t="str">
        <f>IF(OR(C195="",固定信息!$B$5=""),"","【1元预约锁好礼】"&amp;固定信息!$B$5)</f>
        <v/>
      </c>
      <c r="J195" s="27" t="str" cm="1">
        <f t="array" ref="J195">_xlfn.XLOOKUP($A195&amp;$B195&amp;$C195,价格信息!$A:$A&amp;价格信息!$B:$B&amp;价格信息!$C:$C,价格信息!$D:$D)</f>
        <v/>
      </c>
      <c r="K195" s="27" t="str">
        <f>IF($C195="","",固定信息!$B$1)</f>
        <v/>
      </c>
      <c r="L195" s="27" t="str" cm="1">
        <f t="array" ref="L195">IF(_xlfn.XLOOKUP($A195&amp;$B195&amp;$C195,盘货信息!$A:$A&amp;盘货信息!$B:$B&amp;盘货信息!$C:$C,盘货信息!$T:$T)="","","【优惠券】领"&amp;_xlfn.XLOOKUP($A195&amp;$B195&amp;$C195,盘货信息!$A:$A&amp;盘货信息!$B:$B&amp;盘货信息!$C:$C,盘货信息!$T:$T)&amp;"元优惠卷下单更优惠，领券链接："&amp;_xlfn.XLOOKUP($A195&amp;$B195&amp;$C195,盘货信息!$A:$A&amp;盘货信息!$B:$B&amp;盘货信息!$C:$C,盘货信息!$U:$U))</f>
        <v/>
      </c>
      <c r="M195" s="27" t="str" cm="1">
        <f t="array" ref="M195">IF(_xlfn.XLOOKUP($A195&amp;$B195&amp;$C195,盘货信息!$A:$A&amp;盘货信息!$B:$B&amp;盘货信息!$C:$C,盘货信息!$P:$P)="","","【限时】"&amp;_xlfn.XLOOKUP($A195&amp;$B195&amp;$C195,盘货信息!$A:$A&amp;盘货信息!$B:$B&amp;盘货信息!$C:$C,盘货信息!$P:$P))</f>
        <v/>
      </c>
      <c r="N195" s="27" t="str" cm="1">
        <f t="array" ref="N195">IF(_xlfn.XLOOKUP($A195&amp;$B195&amp;$C195,盘货信息!$A:$A&amp;盘货信息!$B:$B&amp;盘货信息!$C:$C,盘货信息!$V:$V)="","","【"&amp;盘货信息!$V$1&amp;"】"&amp;_xlfn.XLOOKUP($A195&amp;$B195&amp;$C195,盘货信息!$A:$A&amp;盘货信息!$B:$B&amp;盘货信息!$C:$C,盘货信息!$V:$V))</f>
        <v/>
      </c>
      <c r="O195" s="27" t="str" cm="1">
        <f t="array" ref="O195">IF(_xlfn.XLOOKUP($A195&amp;$B195&amp;$C195,盘货信息!$A:$A&amp;盘货信息!$B:$B&amp;盘货信息!$C:$C,盘货信息!$W:$W)="","","【"&amp;盘货信息!$W$1&amp;"】"&amp;_xlfn.XLOOKUP($A195&amp;$B195&amp;$C195,盘货信息!$A:$A&amp;盘货信息!$B:$B&amp;盘货信息!$C:$C,盘货信息!$W:$W))</f>
        <v/>
      </c>
      <c r="P195" s="27" t="str" cm="1">
        <f t="array" ref="P195">IF(_xlfn.XLOOKUP($A195&amp;$B195&amp;$C195,盘货信息!$A:$A&amp;盘货信息!$B:$B&amp;盘货信息!$C:$C,盘货信息!$S:$S)&lt;1,"","【"&amp;盘货信息!$S$1&amp;"】"&amp;"后返"&amp;_xlfn.XLOOKUP($A195&amp;$B195&amp;$C195,盘货信息!$A:$A&amp;盘货信息!$B:$B&amp;盘货信息!$C:$C,盘货信息!$S:$S)&amp;"元")</f>
        <v/>
      </c>
      <c r="Q195" s="27" t="str" cm="1">
        <f t="array" ref="Q195">IF(_xlfn.XLOOKUP($A195&amp;$B195&amp;$C195,盘货信息!$A:$A&amp;盘货信息!$B:$B&amp;盘货信息!$C:$C,盘货信息!$X:$X)="","","【"&amp;盘货信息!$X$1&amp;"】"&amp;_xlfn.XLOOKUP($A195&amp;$B195&amp;$C195,盘货信息!$A:$A&amp;盘货信息!$B:$B&amp;盘货信息!$C:$C,盘货信息!$X:$X))</f>
        <v/>
      </c>
      <c r="R195" s="27" t="str" cm="1">
        <f t="array" ref="R195">IF(_xlfn.XLOOKUP($A195&amp;$B195&amp;$C195,盘货信息!$A:$A&amp;盘货信息!$B:$B&amp;盘货信息!$C:$C,盘货信息!$Z:$Z)="","","【"&amp;盘货信息!$Z$1&amp;"】"&amp;_xlfn.XLOOKUP($A195&amp;$B195&amp;$C195,盘货信息!$A:$A&amp;盘货信息!$B:$B&amp;盘货信息!$C:$C,盘货信息!$Z:$Z))</f>
        <v/>
      </c>
      <c r="S195" s="27" t="str" cm="1">
        <f t="array" ref="S195">IF(_xlfn.XLOOKUP($A195&amp;$B195&amp;$C195,盘货信息!$A:$A&amp;盘货信息!$B:$B&amp;盘货信息!$C:$C,盘货信息!$Q:$Q)="","","【种草】站外带指定话题种草后返"&amp;_xlfn.XLOOKUP($A195&amp;$B195&amp;$C195,盘货信息!$A:$A&amp;盘货信息!$B:$B&amp;盘货信息!$C:$C,盘货信息!$Q:$Q)&amp;"元红包（每个淘宝账号仅限对应一个站外种草账号，同一个种草账号不可对应多个淘宝账号）")</f>
        <v/>
      </c>
      <c r="T195" s="27" t="str" cm="1">
        <f t="array" ref="T195">IF(_xlfn.XLOOKUP($A195&amp;$B195&amp;$C195,盘货信息!$A:$A&amp;盘货信息!$B:$B&amp;盘货信息!$C:$C,盘货信息!$R:$R)&lt;1,"","【以旧换新】"&amp;"享补贴"&amp;ROUND(_xlfn.XLOOKUP($A195&amp;$B195&amp;$C195,盘货信息!$A:$A&amp;盘货信息!$B:$B&amp;盘货信息!$C:$C,盘货信息!$R:$R),0)&amp;"元（可无旧机换新）")</f>
        <v/>
      </c>
      <c r="U195" s="27" t="str">
        <f>IF(AND($N195="",$O195="",$P195="",$Q195="",$R195="",$S195="",$T195=""),"",固定信息!$B$1)</f>
        <v/>
      </c>
      <c r="V195" s="27" t="str" cm="1">
        <f t="array" ref="V195">IF(_xlfn.XLOOKUP($A195&amp;$B195&amp;$C195,盘货信息!$A:$A&amp;盘货信息!$B:$B&amp;盘货信息!$C:$C,盘货信息!$Y:$Y)="","","【卡萨帝送赠】活动指定时间"&amp;_xlfn.TEXTBEFORE(_xlfn.TEXTAFTER(_xlfn.XLOOKUP($A195&amp;$B195&amp;$C195,盘货信息!$A:$A&amp;盘货信息!$B:$B&amp;盘货信息!$C:$C,盘货信息!$Y:$Y),"点"),"（"))</f>
        <v/>
      </c>
      <c r="W195" s="27" t="str" cm="1">
        <f t="array" ref="W195">IF(COUNTIF(_xlfn.XLOOKUP($A195&amp;$B195&amp;$C195,盘货信息!$A:$A&amp;盘货信息!$B:$B&amp;盘货信息!$C:$C,盘货信息!$O:$O),"*是*"),"【折扣】指定型号满2类享96折，满3类享94折","")</f>
        <v/>
      </c>
      <c r="X195" s="27" t="str" cm="1">
        <f t="array" ref="X195">IF(固定信息!$B$7="","",IF(_xlfn.XLOOKUP($A195&amp;$B195&amp;$C195,盘货信息!$A:$A&amp;盘货信息!$B:$B&amp;盘货信息!$C:$C,盘货信息!$N:$N)="是","【瓜分】"&amp;固定信息!$B$7,""))</f>
        <v/>
      </c>
      <c r="Y195" s="27" t="str">
        <f>IF(AND($V195="",$W195="",$X195=""),"",固定信息!$B$1)</f>
        <v/>
      </c>
      <c r="Z195" s="27" t="str" cm="1">
        <f t="array" ref="Z195">IF($C195="","",_xlfn.XLOOKUP($A195&amp;$B195&amp;$C195,服务!$A:$A&amp;服务!$B:$B&amp;服务!$C:$C,服务!$D:$D))</f>
        <v/>
      </c>
    </row>
    <row r="196" customHeight="1" spans="1:26">
      <c r="A196" s="23" t="str">
        <f>IF(盘货信息!A196="","",盘货信息!A196)</f>
        <v/>
      </c>
      <c r="B196" s="26" t="str">
        <f>IF(盘货信息!B196="","",盘货信息!B196)</f>
        <v/>
      </c>
      <c r="C196" s="23" t="str">
        <f>IF(盘货信息!C196="","",盘货信息!C196)</f>
        <v/>
      </c>
      <c r="D196" s="27" t="str">
        <f ca="1" t="shared" si="3"/>
        <v/>
      </c>
      <c r="E196" s="27" t="str">
        <f>IF(C196="","",固定信息!$B$2)</f>
        <v/>
      </c>
      <c r="F196" s="27" t="str">
        <f>IF(C196="","","【"&amp;C196&amp;"】"&amp;固定信息!$B$4)</f>
        <v/>
      </c>
      <c r="G196" s="27" t="str">
        <f>IF(C196="","","【"&amp;"活动时间："&amp;固定信息!$B$3&amp;"】")</f>
        <v/>
      </c>
      <c r="H196" s="27" t="str">
        <f>IF($C196="","",固定信息!$B$1)</f>
        <v/>
      </c>
      <c r="I196" s="27" t="str">
        <f>IF(OR(C196="",固定信息!$B$5=""),"","【1元预约锁好礼】"&amp;固定信息!$B$5)</f>
        <v/>
      </c>
      <c r="J196" s="27" t="str" cm="1">
        <f t="array" ref="J196">_xlfn.XLOOKUP($A196&amp;$B196&amp;$C196,价格信息!$A:$A&amp;价格信息!$B:$B&amp;价格信息!$C:$C,价格信息!$D:$D)</f>
        <v/>
      </c>
      <c r="K196" s="27" t="str">
        <f>IF($C196="","",固定信息!$B$1)</f>
        <v/>
      </c>
      <c r="L196" s="27" t="str" cm="1">
        <f t="array" ref="L196">IF(_xlfn.XLOOKUP($A196&amp;$B196&amp;$C196,盘货信息!$A:$A&amp;盘货信息!$B:$B&amp;盘货信息!$C:$C,盘货信息!$T:$T)="","","【优惠券】领"&amp;_xlfn.XLOOKUP($A196&amp;$B196&amp;$C196,盘货信息!$A:$A&amp;盘货信息!$B:$B&amp;盘货信息!$C:$C,盘货信息!$T:$T)&amp;"元优惠卷下单更优惠，领券链接："&amp;_xlfn.XLOOKUP($A196&amp;$B196&amp;$C196,盘货信息!$A:$A&amp;盘货信息!$B:$B&amp;盘货信息!$C:$C,盘货信息!$U:$U))</f>
        <v/>
      </c>
      <c r="M196" s="27" t="str" cm="1">
        <f t="array" ref="M196">IF(_xlfn.XLOOKUP($A196&amp;$B196&amp;$C196,盘货信息!$A:$A&amp;盘货信息!$B:$B&amp;盘货信息!$C:$C,盘货信息!$P:$P)="","","【限时】"&amp;_xlfn.XLOOKUP($A196&amp;$B196&amp;$C196,盘货信息!$A:$A&amp;盘货信息!$B:$B&amp;盘货信息!$C:$C,盘货信息!$P:$P))</f>
        <v/>
      </c>
      <c r="N196" s="27" t="str" cm="1">
        <f t="array" ref="N196">IF(_xlfn.XLOOKUP($A196&amp;$B196&amp;$C196,盘货信息!$A:$A&amp;盘货信息!$B:$B&amp;盘货信息!$C:$C,盘货信息!$V:$V)="","","【"&amp;盘货信息!$V$1&amp;"】"&amp;_xlfn.XLOOKUP($A196&amp;$B196&amp;$C196,盘货信息!$A:$A&amp;盘货信息!$B:$B&amp;盘货信息!$C:$C,盘货信息!$V:$V))</f>
        <v/>
      </c>
      <c r="O196" s="27" t="str" cm="1">
        <f t="array" ref="O196">IF(_xlfn.XLOOKUP($A196&amp;$B196&amp;$C196,盘货信息!$A:$A&amp;盘货信息!$B:$B&amp;盘货信息!$C:$C,盘货信息!$W:$W)="","","【"&amp;盘货信息!$W$1&amp;"】"&amp;_xlfn.XLOOKUP($A196&amp;$B196&amp;$C196,盘货信息!$A:$A&amp;盘货信息!$B:$B&amp;盘货信息!$C:$C,盘货信息!$W:$W))</f>
        <v/>
      </c>
      <c r="P196" s="27" t="str" cm="1">
        <f t="array" ref="P196">IF(_xlfn.XLOOKUP($A196&amp;$B196&amp;$C196,盘货信息!$A:$A&amp;盘货信息!$B:$B&amp;盘货信息!$C:$C,盘货信息!$S:$S)&lt;1,"","【"&amp;盘货信息!$S$1&amp;"】"&amp;"后返"&amp;_xlfn.XLOOKUP($A196&amp;$B196&amp;$C196,盘货信息!$A:$A&amp;盘货信息!$B:$B&amp;盘货信息!$C:$C,盘货信息!$S:$S)&amp;"元")</f>
        <v/>
      </c>
      <c r="Q196" s="27" t="str" cm="1">
        <f t="array" ref="Q196">IF(_xlfn.XLOOKUP($A196&amp;$B196&amp;$C196,盘货信息!$A:$A&amp;盘货信息!$B:$B&amp;盘货信息!$C:$C,盘货信息!$X:$X)="","","【"&amp;盘货信息!$X$1&amp;"】"&amp;_xlfn.XLOOKUP($A196&amp;$B196&amp;$C196,盘货信息!$A:$A&amp;盘货信息!$B:$B&amp;盘货信息!$C:$C,盘货信息!$X:$X))</f>
        <v/>
      </c>
      <c r="R196" s="27" t="str" cm="1">
        <f t="array" ref="R196">IF(_xlfn.XLOOKUP($A196&amp;$B196&amp;$C196,盘货信息!$A:$A&amp;盘货信息!$B:$B&amp;盘货信息!$C:$C,盘货信息!$Z:$Z)="","","【"&amp;盘货信息!$Z$1&amp;"】"&amp;_xlfn.XLOOKUP($A196&amp;$B196&amp;$C196,盘货信息!$A:$A&amp;盘货信息!$B:$B&amp;盘货信息!$C:$C,盘货信息!$Z:$Z))</f>
        <v/>
      </c>
      <c r="S196" s="27" t="str" cm="1">
        <f t="array" ref="S196">IF(_xlfn.XLOOKUP($A196&amp;$B196&amp;$C196,盘货信息!$A:$A&amp;盘货信息!$B:$B&amp;盘货信息!$C:$C,盘货信息!$Q:$Q)="","","【种草】站外带指定话题种草后返"&amp;_xlfn.XLOOKUP($A196&amp;$B196&amp;$C196,盘货信息!$A:$A&amp;盘货信息!$B:$B&amp;盘货信息!$C:$C,盘货信息!$Q:$Q)&amp;"元红包（每个淘宝账号仅限对应一个站外种草账号，同一个种草账号不可对应多个淘宝账号）")</f>
        <v/>
      </c>
      <c r="T196" s="27" t="str" cm="1">
        <f t="array" ref="T196">IF(_xlfn.XLOOKUP($A196&amp;$B196&amp;$C196,盘货信息!$A:$A&amp;盘货信息!$B:$B&amp;盘货信息!$C:$C,盘货信息!$R:$R)&lt;1,"","【以旧换新】"&amp;"享补贴"&amp;ROUND(_xlfn.XLOOKUP($A196&amp;$B196&amp;$C196,盘货信息!$A:$A&amp;盘货信息!$B:$B&amp;盘货信息!$C:$C,盘货信息!$R:$R),0)&amp;"元（可无旧机换新）")</f>
        <v/>
      </c>
      <c r="U196" s="27" t="str">
        <f>IF(AND($N196="",$O196="",$P196="",$Q196="",$R196="",$S196="",$T196=""),"",固定信息!$B$1)</f>
        <v/>
      </c>
      <c r="V196" s="27" t="str" cm="1">
        <f t="array" ref="V196">IF(_xlfn.XLOOKUP($A196&amp;$B196&amp;$C196,盘货信息!$A:$A&amp;盘货信息!$B:$B&amp;盘货信息!$C:$C,盘货信息!$Y:$Y)="","","【卡萨帝送赠】活动指定时间"&amp;_xlfn.TEXTBEFORE(_xlfn.TEXTAFTER(_xlfn.XLOOKUP($A196&amp;$B196&amp;$C196,盘货信息!$A:$A&amp;盘货信息!$B:$B&amp;盘货信息!$C:$C,盘货信息!$Y:$Y),"点"),"（"))</f>
        <v/>
      </c>
      <c r="W196" s="27" t="str" cm="1">
        <f t="array" ref="W196">IF(COUNTIF(_xlfn.XLOOKUP($A196&amp;$B196&amp;$C196,盘货信息!$A:$A&amp;盘货信息!$B:$B&amp;盘货信息!$C:$C,盘货信息!$O:$O),"*是*"),"【折扣】指定型号满2类享96折，满3类享94折","")</f>
        <v/>
      </c>
      <c r="X196" s="27" t="str" cm="1">
        <f t="array" ref="X196">IF(固定信息!$B$7="","",IF(_xlfn.XLOOKUP($A196&amp;$B196&amp;$C196,盘货信息!$A:$A&amp;盘货信息!$B:$B&amp;盘货信息!$C:$C,盘货信息!$N:$N)="是","【瓜分】"&amp;固定信息!$B$7,""))</f>
        <v/>
      </c>
      <c r="Y196" s="27" t="str">
        <f>IF(AND($V196="",$W196="",$X196=""),"",固定信息!$B$1)</f>
        <v/>
      </c>
      <c r="Z196" s="27" t="str" cm="1">
        <f t="array" ref="Z196">IF($C196="","",_xlfn.XLOOKUP($A196&amp;$B196&amp;$C196,服务!$A:$A&amp;服务!$B:$B&amp;服务!$C:$C,服务!$D:$D))</f>
        <v/>
      </c>
    </row>
    <row r="197" customHeight="1" spans="1:26">
      <c r="A197" s="23" t="str">
        <f>IF(盘货信息!A197="","",盘货信息!A197)</f>
        <v/>
      </c>
      <c r="B197" s="26" t="str">
        <f>IF(盘货信息!B197="","",盘货信息!B197)</f>
        <v/>
      </c>
      <c r="C197" s="23" t="str">
        <f>IF(盘货信息!C197="","",盘货信息!C197)</f>
        <v/>
      </c>
      <c r="D197" s="27" t="str">
        <f ca="1" t="shared" si="3"/>
        <v/>
      </c>
      <c r="E197" s="27" t="str">
        <f>IF(C197="","",固定信息!$B$2)</f>
        <v/>
      </c>
      <c r="F197" s="27" t="str">
        <f>IF(C197="","","【"&amp;C197&amp;"】"&amp;固定信息!$B$4)</f>
        <v/>
      </c>
      <c r="G197" s="27" t="str">
        <f>IF(C197="","","【"&amp;"活动时间："&amp;固定信息!$B$3&amp;"】")</f>
        <v/>
      </c>
      <c r="H197" s="27" t="str">
        <f>IF($C197="","",固定信息!$B$1)</f>
        <v/>
      </c>
      <c r="I197" s="27" t="str">
        <f>IF(OR(C197="",固定信息!$B$5=""),"","【1元预约锁好礼】"&amp;固定信息!$B$5)</f>
        <v/>
      </c>
      <c r="J197" s="27" t="str" cm="1">
        <f t="array" ref="J197">_xlfn.XLOOKUP($A197&amp;$B197&amp;$C197,价格信息!$A:$A&amp;价格信息!$B:$B&amp;价格信息!$C:$C,价格信息!$D:$D)</f>
        <v/>
      </c>
      <c r="K197" s="27" t="str">
        <f>IF($C197="","",固定信息!$B$1)</f>
        <v/>
      </c>
      <c r="L197" s="27" t="str" cm="1">
        <f t="array" ref="L197">IF(_xlfn.XLOOKUP($A197&amp;$B197&amp;$C197,盘货信息!$A:$A&amp;盘货信息!$B:$B&amp;盘货信息!$C:$C,盘货信息!$T:$T)="","","【优惠券】领"&amp;_xlfn.XLOOKUP($A197&amp;$B197&amp;$C197,盘货信息!$A:$A&amp;盘货信息!$B:$B&amp;盘货信息!$C:$C,盘货信息!$T:$T)&amp;"元优惠卷下单更优惠，领券链接："&amp;_xlfn.XLOOKUP($A197&amp;$B197&amp;$C197,盘货信息!$A:$A&amp;盘货信息!$B:$B&amp;盘货信息!$C:$C,盘货信息!$U:$U))</f>
        <v/>
      </c>
      <c r="M197" s="27" t="str" cm="1">
        <f t="array" ref="M197">IF(_xlfn.XLOOKUP($A197&amp;$B197&amp;$C197,盘货信息!$A:$A&amp;盘货信息!$B:$B&amp;盘货信息!$C:$C,盘货信息!$P:$P)="","","【限时】"&amp;_xlfn.XLOOKUP($A197&amp;$B197&amp;$C197,盘货信息!$A:$A&amp;盘货信息!$B:$B&amp;盘货信息!$C:$C,盘货信息!$P:$P))</f>
        <v/>
      </c>
      <c r="N197" s="27" t="str" cm="1">
        <f t="array" ref="N197">IF(_xlfn.XLOOKUP($A197&amp;$B197&amp;$C197,盘货信息!$A:$A&amp;盘货信息!$B:$B&amp;盘货信息!$C:$C,盘货信息!$V:$V)="","","【"&amp;盘货信息!$V$1&amp;"】"&amp;_xlfn.XLOOKUP($A197&amp;$B197&amp;$C197,盘货信息!$A:$A&amp;盘货信息!$B:$B&amp;盘货信息!$C:$C,盘货信息!$V:$V))</f>
        <v/>
      </c>
      <c r="O197" s="27" t="str" cm="1">
        <f t="array" ref="O197">IF(_xlfn.XLOOKUP($A197&amp;$B197&amp;$C197,盘货信息!$A:$A&amp;盘货信息!$B:$B&amp;盘货信息!$C:$C,盘货信息!$W:$W)="","","【"&amp;盘货信息!$W$1&amp;"】"&amp;_xlfn.XLOOKUP($A197&amp;$B197&amp;$C197,盘货信息!$A:$A&amp;盘货信息!$B:$B&amp;盘货信息!$C:$C,盘货信息!$W:$W))</f>
        <v/>
      </c>
      <c r="P197" s="27" t="str" cm="1">
        <f t="array" ref="P197">IF(_xlfn.XLOOKUP($A197&amp;$B197&amp;$C197,盘货信息!$A:$A&amp;盘货信息!$B:$B&amp;盘货信息!$C:$C,盘货信息!$S:$S)&lt;1,"","【"&amp;盘货信息!$S$1&amp;"】"&amp;"后返"&amp;_xlfn.XLOOKUP($A197&amp;$B197&amp;$C197,盘货信息!$A:$A&amp;盘货信息!$B:$B&amp;盘货信息!$C:$C,盘货信息!$S:$S)&amp;"元")</f>
        <v/>
      </c>
      <c r="Q197" s="27" t="str" cm="1">
        <f t="array" ref="Q197">IF(_xlfn.XLOOKUP($A197&amp;$B197&amp;$C197,盘货信息!$A:$A&amp;盘货信息!$B:$B&amp;盘货信息!$C:$C,盘货信息!$X:$X)="","","【"&amp;盘货信息!$X$1&amp;"】"&amp;_xlfn.XLOOKUP($A197&amp;$B197&amp;$C197,盘货信息!$A:$A&amp;盘货信息!$B:$B&amp;盘货信息!$C:$C,盘货信息!$X:$X))</f>
        <v/>
      </c>
      <c r="R197" s="27" t="str" cm="1">
        <f t="array" ref="R197">IF(_xlfn.XLOOKUP($A197&amp;$B197&amp;$C197,盘货信息!$A:$A&amp;盘货信息!$B:$B&amp;盘货信息!$C:$C,盘货信息!$Z:$Z)="","","【"&amp;盘货信息!$Z$1&amp;"】"&amp;_xlfn.XLOOKUP($A197&amp;$B197&amp;$C197,盘货信息!$A:$A&amp;盘货信息!$B:$B&amp;盘货信息!$C:$C,盘货信息!$Z:$Z))</f>
        <v/>
      </c>
      <c r="S197" s="27" t="str" cm="1">
        <f t="array" ref="S197">IF(_xlfn.XLOOKUP($A197&amp;$B197&amp;$C197,盘货信息!$A:$A&amp;盘货信息!$B:$B&amp;盘货信息!$C:$C,盘货信息!$Q:$Q)="","","【种草】站外带指定话题种草后返"&amp;_xlfn.XLOOKUP($A197&amp;$B197&amp;$C197,盘货信息!$A:$A&amp;盘货信息!$B:$B&amp;盘货信息!$C:$C,盘货信息!$Q:$Q)&amp;"元红包（每个淘宝账号仅限对应一个站外种草账号，同一个种草账号不可对应多个淘宝账号）")</f>
        <v/>
      </c>
      <c r="T197" s="27" t="str" cm="1">
        <f t="array" ref="T197">IF(_xlfn.XLOOKUP($A197&amp;$B197&amp;$C197,盘货信息!$A:$A&amp;盘货信息!$B:$B&amp;盘货信息!$C:$C,盘货信息!$R:$R)&lt;1,"","【以旧换新】"&amp;"享补贴"&amp;ROUND(_xlfn.XLOOKUP($A197&amp;$B197&amp;$C197,盘货信息!$A:$A&amp;盘货信息!$B:$B&amp;盘货信息!$C:$C,盘货信息!$R:$R),0)&amp;"元（可无旧机换新）")</f>
        <v/>
      </c>
      <c r="U197" s="27" t="str">
        <f>IF(AND($N197="",$O197="",$P197="",$Q197="",$R197="",$S197="",$T197=""),"",固定信息!$B$1)</f>
        <v/>
      </c>
      <c r="V197" s="27" t="str" cm="1">
        <f t="array" ref="V197">IF(_xlfn.XLOOKUP($A197&amp;$B197&amp;$C197,盘货信息!$A:$A&amp;盘货信息!$B:$B&amp;盘货信息!$C:$C,盘货信息!$Y:$Y)="","","【卡萨帝送赠】活动指定时间"&amp;_xlfn.TEXTBEFORE(_xlfn.TEXTAFTER(_xlfn.XLOOKUP($A197&amp;$B197&amp;$C197,盘货信息!$A:$A&amp;盘货信息!$B:$B&amp;盘货信息!$C:$C,盘货信息!$Y:$Y),"点"),"（"))</f>
        <v/>
      </c>
      <c r="W197" s="27" t="str" cm="1">
        <f t="array" ref="W197">IF(COUNTIF(_xlfn.XLOOKUP($A197&amp;$B197&amp;$C197,盘货信息!$A:$A&amp;盘货信息!$B:$B&amp;盘货信息!$C:$C,盘货信息!$O:$O),"*是*"),"【折扣】指定型号满2类享96折，满3类享94折","")</f>
        <v/>
      </c>
      <c r="X197" s="27" t="str" cm="1">
        <f t="array" ref="X197">IF(固定信息!$B$7="","",IF(_xlfn.XLOOKUP($A197&amp;$B197&amp;$C197,盘货信息!$A:$A&amp;盘货信息!$B:$B&amp;盘货信息!$C:$C,盘货信息!$N:$N)="是","【瓜分】"&amp;固定信息!$B$7,""))</f>
        <v/>
      </c>
      <c r="Y197" s="27" t="str">
        <f>IF(AND($V197="",$W197="",$X197=""),"",固定信息!$B$1)</f>
        <v/>
      </c>
      <c r="Z197" s="27" t="str" cm="1">
        <f t="array" ref="Z197">IF($C197="","",_xlfn.XLOOKUP($A197&amp;$B197&amp;$C197,服务!$A:$A&amp;服务!$B:$B&amp;服务!$C:$C,服务!$D:$D))</f>
        <v/>
      </c>
    </row>
    <row r="198" customHeight="1" spans="1:26">
      <c r="A198" s="23" t="str">
        <f>IF(盘货信息!A198="","",盘货信息!A198)</f>
        <v/>
      </c>
      <c r="B198" s="26" t="str">
        <f>IF(盘货信息!B198="","",盘货信息!B198)</f>
        <v/>
      </c>
      <c r="C198" s="23" t="str">
        <f>IF(盘货信息!C198="","",盘货信息!C198)</f>
        <v/>
      </c>
      <c r="D198" s="27" t="str">
        <f ca="1" t="shared" si="3"/>
        <v/>
      </c>
      <c r="E198" s="27" t="str">
        <f>IF(C198="","",固定信息!$B$2)</f>
        <v/>
      </c>
      <c r="F198" s="27" t="str">
        <f>IF(C198="","","【"&amp;C198&amp;"】"&amp;固定信息!$B$4)</f>
        <v/>
      </c>
      <c r="G198" s="27" t="str">
        <f>IF(C198="","","【"&amp;"活动时间："&amp;固定信息!$B$3&amp;"】")</f>
        <v/>
      </c>
      <c r="H198" s="27" t="str">
        <f>IF($C198="","",固定信息!$B$1)</f>
        <v/>
      </c>
      <c r="I198" s="27" t="str">
        <f>IF(OR(C198="",固定信息!$B$5=""),"","【1元预约锁好礼】"&amp;固定信息!$B$5)</f>
        <v/>
      </c>
      <c r="J198" s="27" t="str" cm="1">
        <f t="array" ref="J198">_xlfn.XLOOKUP($A198&amp;$B198&amp;$C198,价格信息!$A:$A&amp;价格信息!$B:$B&amp;价格信息!$C:$C,价格信息!$D:$D)</f>
        <v/>
      </c>
      <c r="K198" s="27" t="str">
        <f>IF($C198="","",固定信息!$B$1)</f>
        <v/>
      </c>
      <c r="L198" s="27" t="str" cm="1">
        <f t="array" ref="L198">IF(_xlfn.XLOOKUP($A198&amp;$B198&amp;$C198,盘货信息!$A:$A&amp;盘货信息!$B:$B&amp;盘货信息!$C:$C,盘货信息!$T:$T)="","","【优惠券】领"&amp;_xlfn.XLOOKUP($A198&amp;$B198&amp;$C198,盘货信息!$A:$A&amp;盘货信息!$B:$B&amp;盘货信息!$C:$C,盘货信息!$T:$T)&amp;"元优惠卷下单更优惠，领券链接："&amp;_xlfn.XLOOKUP($A198&amp;$B198&amp;$C198,盘货信息!$A:$A&amp;盘货信息!$B:$B&amp;盘货信息!$C:$C,盘货信息!$U:$U))</f>
        <v/>
      </c>
      <c r="M198" s="27" t="str" cm="1">
        <f t="array" ref="M198">IF(_xlfn.XLOOKUP($A198&amp;$B198&amp;$C198,盘货信息!$A:$A&amp;盘货信息!$B:$B&amp;盘货信息!$C:$C,盘货信息!$P:$P)="","","【限时】"&amp;_xlfn.XLOOKUP($A198&amp;$B198&amp;$C198,盘货信息!$A:$A&amp;盘货信息!$B:$B&amp;盘货信息!$C:$C,盘货信息!$P:$P))</f>
        <v/>
      </c>
      <c r="N198" s="27" t="str" cm="1">
        <f t="array" ref="N198">IF(_xlfn.XLOOKUP($A198&amp;$B198&amp;$C198,盘货信息!$A:$A&amp;盘货信息!$B:$B&amp;盘货信息!$C:$C,盘货信息!$V:$V)="","","【"&amp;盘货信息!$V$1&amp;"】"&amp;_xlfn.XLOOKUP($A198&amp;$B198&amp;$C198,盘货信息!$A:$A&amp;盘货信息!$B:$B&amp;盘货信息!$C:$C,盘货信息!$V:$V))</f>
        <v/>
      </c>
      <c r="O198" s="27" t="str" cm="1">
        <f t="array" ref="O198">IF(_xlfn.XLOOKUP($A198&amp;$B198&amp;$C198,盘货信息!$A:$A&amp;盘货信息!$B:$B&amp;盘货信息!$C:$C,盘货信息!$W:$W)="","","【"&amp;盘货信息!$W$1&amp;"】"&amp;_xlfn.XLOOKUP($A198&amp;$B198&amp;$C198,盘货信息!$A:$A&amp;盘货信息!$B:$B&amp;盘货信息!$C:$C,盘货信息!$W:$W))</f>
        <v/>
      </c>
      <c r="P198" s="27" t="str" cm="1">
        <f t="array" ref="P198">IF(_xlfn.XLOOKUP($A198&amp;$B198&amp;$C198,盘货信息!$A:$A&amp;盘货信息!$B:$B&amp;盘货信息!$C:$C,盘货信息!$S:$S)&lt;1,"","【"&amp;盘货信息!$S$1&amp;"】"&amp;"后返"&amp;_xlfn.XLOOKUP($A198&amp;$B198&amp;$C198,盘货信息!$A:$A&amp;盘货信息!$B:$B&amp;盘货信息!$C:$C,盘货信息!$S:$S)&amp;"元")</f>
        <v/>
      </c>
      <c r="Q198" s="27" t="str" cm="1">
        <f t="array" ref="Q198">IF(_xlfn.XLOOKUP($A198&amp;$B198&amp;$C198,盘货信息!$A:$A&amp;盘货信息!$B:$B&amp;盘货信息!$C:$C,盘货信息!$X:$X)="","","【"&amp;盘货信息!$X$1&amp;"】"&amp;_xlfn.XLOOKUP($A198&amp;$B198&amp;$C198,盘货信息!$A:$A&amp;盘货信息!$B:$B&amp;盘货信息!$C:$C,盘货信息!$X:$X))</f>
        <v/>
      </c>
      <c r="R198" s="27" t="str" cm="1">
        <f t="array" ref="R198">IF(_xlfn.XLOOKUP($A198&amp;$B198&amp;$C198,盘货信息!$A:$A&amp;盘货信息!$B:$B&amp;盘货信息!$C:$C,盘货信息!$Z:$Z)="","","【"&amp;盘货信息!$Z$1&amp;"】"&amp;_xlfn.XLOOKUP($A198&amp;$B198&amp;$C198,盘货信息!$A:$A&amp;盘货信息!$B:$B&amp;盘货信息!$C:$C,盘货信息!$Z:$Z))</f>
        <v/>
      </c>
      <c r="S198" s="27" t="str" cm="1">
        <f t="array" ref="S198">IF(_xlfn.XLOOKUP($A198&amp;$B198&amp;$C198,盘货信息!$A:$A&amp;盘货信息!$B:$B&amp;盘货信息!$C:$C,盘货信息!$Q:$Q)="","","【种草】站外带指定话题种草后返"&amp;_xlfn.XLOOKUP($A198&amp;$B198&amp;$C198,盘货信息!$A:$A&amp;盘货信息!$B:$B&amp;盘货信息!$C:$C,盘货信息!$Q:$Q)&amp;"元红包（每个淘宝账号仅限对应一个站外种草账号，同一个种草账号不可对应多个淘宝账号）")</f>
        <v/>
      </c>
      <c r="T198" s="27" t="str" cm="1">
        <f t="array" ref="T198">IF(_xlfn.XLOOKUP($A198&amp;$B198&amp;$C198,盘货信息!$A:$A&amp;盘货信息!$B:$B&amp;盘货信息!$C:$C,盘货信息!$R:$R)&lt;1,"","【以旧换新】"&amp;"享补贴"&amp;ROUND(_xlfn.XLOOKUP($A198&amp;$B198&amp;$C198,盘货信息!$A:$A&amp;盘货信息!$B:$B&amp;盘货信息!$C:$C,盘货信息!$R:$R),0)&amp;"元（可无旧机换新）")</f>
        <v/>
      </c>
      <c r="U198" s="27" t="str">
        <f>IF(AND($N198="",$O198="",$P198="",$Q198="",$R198="",$S198="",$T198=""),"",固定信息!$B$1)</f>
        <v/>
      </c>
      <c r="V198" s="27" t="str" cm="1">
        <f t="array" ref="V198">IF(_xlfn.XLOOKUP($A198&amp;$B198&amp;$C198,盘货信息!$A:$A&amp;盘货信息!$B:$B&amp;盘货信息!$C:$C,盘货信息!$Y:$Y)="","","【卡萨帝送赠】活动指定时间"&amp;_xlfn.TEXTBEFORE(_xlfn.TEXTAFTER(_xlfn.XLOOKUP($A198&amp;$B198&amp;$C198,盘货信息!$A:$A&amp;盘货信息!$B:$B&amp;盘货信息!$C:$C,盘货信息!$Y:$Y),"点"),"（"))</f>
        <v/>
      </c>
      <c r="W198" s="27" t="str" cm="1">
        <f t="array" ref="W198">IF(COUNTIF(_xlfn.XLOOKUP($A198&amp;$B198&amp;$C198,盘货信息!$A:$A&amp;盘货信息!$B:$B&amp;盘货信息!$C:$C,盘货信息!$O:$O),"*是*"),"【折扣】指定型号满2类享96折，满3类享94折","")</f>
        <v/>
      </c>
      <c r="X198" s="27" t="str" cm="1">
        <f t="array" ref="X198">IF(固定信息!$B$7="","",IF(_xlfn.XLOOKUP($A198&amp;$B198&amp;$C198,盘货信息!$A:$A&amp;盘货信息!$B:$B&amp;盘货信息!$C:$C,盘货信息!$N:$N)="是","【瓜分】"&amp;固定信息!$B$7,""))</f>
        <v/>
      </c>
      <c r="Y198" s="27" t="str">
        <f>IF(AND($V198="",$W198="",$X198=""),"",固定信息!$B$1)</f>
        <v/>
      </c>
      <c r="Z198" s="27" t="str" cm="1">
        <f t="array" ref="Z198">IF($C198="","",_xlfn.XLOOKUP($A198&amp;$B198&amp;$C198,服务!$A:$A&amp;服务!$B:$B&amp;服务!$C:$C,服务!$D:$D))</f>
        <v/>
      </c>
    </row>
    <row r="199" customHeight="1" spans="1:26">
      <c r="A199" s="23" t="str">
        <f>IF(盘货信息!A199="","",盘货信息!A199)</f>
        <v/>
      </c>
      <c r="B199" s="26" t="str">
        <f>IF(盘货信息!B199="","",盘货信息!B199)</f>
        <v/>
      </c>
      <c r="C199" s="23" t="str">
        <f>IF(盘货信息!C199="","",盘货信息!C199)</f>
        <v/>
      </c>
      <c r="D199" s="27" t="str">
        <f ca="1" t="shared" si="3"/>
        <v/>
      </c>
      <c r="E199" s="27" t="str">
        <f>IF(C199="","",固定信息!$B$2)</f>
        <v/>
      </c>
      <c r="F199" s="27" t="str">
        <f>IF(C199="","","【"&amp;C199&amp;"】"&amp;固定信息!$B$4)</f>
        <v/>
      </c>
      <c r="G199" s="27" t="str">
        <f>IF(C199="","","【"&amp;"活动时间："&amp;固定信息!$B$3&amp;"】")</f>
        <v/>
      </c>
      <c r="H199" s="27" t="str">
        <f>IF($C199="","",固定信息!$B$1)</f>
        <v/>
      </c>
      <c r="I199" s="27" t="str">
        <f>IF(OR(C199="",固定信息!$B$5=""),"","【1元预约锁好礼】"&amp;固定信息!$B$5)</f>
        <v/>
      </c>
      <c r="J199" s="27" t="str" cm="1">
        <f t="array" ref="J199">_xlfn.XLOOKUP($A199&amp;$B199&amp;$C199,价格信息!$A:$A&amp;价格信息!$B:$B&amp;价格信息!$C:$C,价格信息!$D:$D)</f>
        <v/>
      </c>
      <c r="K199" s="27" t="str">
        <f>IF($C199="","",固定信息!$B$1)</f>
        <v/>
      </c>
      <c r="L199" s="27" t="str" cm="1">
        <f t="array" ref="L199">IF(_xlfn.XLOOKUP($A199&amp;$B199&amp;$C199,盘货信息!$A:$A&amp;盘货信息!$B:$B&amp;盘货信息!$C:$C,盘货信息!$T:$T)="","","【优惠券】领"&amp;_xlfn.XLOOKUP($A199&amp;$B199&amp;$C199,盘货信息!$A:$A&amp;盘货信息!$B:$B&amp;盘货信息!$C:$C,盘货信息!$T:$T)&amp;"元优惠卷下单更优惠，领券链接："&amp;_xlfn.XLOOKUP($A199&amp;$B199&amp;$C199,盘货信息!$A:$A&amp;盘货信息!$B:$B&amp;盘货信息!$C:$C,盘货信息!$U:$U))</f>
        <v/>
      </c>
      <c r="M199" s="27" t="str" cm="1">
        <f t="array" ref="M199">IF(_xlfn.XLOOKUP($A199&amp;$B199&amp;$C199,盘货信息!$A:$A&amp;盘货信息!$B:$B&amp;盘货信息!$C:$C,盘货信息!$P:$P)="","","【限时】"&amp;_xlfn.XLOOKUP($A199&amp;$B199&amp;$C199,盘货信息!$A:$A&amp;盘货信息!$B:$B&amp;盘货信息!$C:$C,盘货信息!$P:$P))</f>
        <v/>
      </c>
      <c r="N199" s="27" t="str" cm="1">
        <f t="array" ref="N199">IF(_xlfn.XLOOKUP($A199&amp;$B199&amp;$C199,盘货信息!$A:$A&amp;盘货信息!$B:$B&amp;盘货信息!$C:$C,盘货信息!$V:$V)="","","【"&amp;盘货信息!$V$1&amp;"】"&amp;_xlfn.XLOOKUP($A199&amp;$B199&amp;$C199,盘货信息!$A:$A&amp;盘货信息!$B:$B&amp;盘货信息!$C:$C,盘货信息!$V:$V))</f>
        <v/>
      </c>
      <c r="O199" s="27" t="str" cm="1">
        <f t="array" ref="O199">IF(_xlfn.XLOOKUP($A199&amp;$B199&amp;$C199,盘货信息!$A:$A&amp;盘货信息!$B:$B&amp;盘货信息!$C:$C,盘货信息!$W:$W)="","","【"&amp;盘货信息!$W$1&amp;"】"&amp;_xlfn.XLOOKUP($A199&amp;$B199&amp;$C199,盘货信息!$A:$A&amp;盘货信息!$B:$B&amp;盘货信息!$C:$C,盘货信息!$W:$W))</f>
        <v/>
      </c>
      <c r="P199" s="27" t="str" cm="1">
        <f t="array" ref="P199">IF(_xlfn.XLOOKUP($A199&amp;$B199&amp;$C199,盘货信息!$A:$A&amp;盘货信息!$B:$B&amp;盘货信息!$C:$C,盘货信息!$S:$S)&lt;1,"","【"&amp;盘货信息!$S$1&amp;"】"&amp;"后返"&amp;_xlfn.XLOOKUP($A199&amp;$B199&amp;$C199,盘货信息!$A:$A&amp;盘货信息!$B:$B&amp;盘货信息!$C:$C,盘货信息!$S:$S)&amp;"元")</f>
        <v/>
      </c>
      <c r="Q199" s="27" t="str" cm="1">
        <f t="array" ref="Q199">IF(_xlfn.XLOOKUP($A199&amp;$B199&amp;$C199,盘货信息!$A:$A&amp;盘货信息!$B:$B&amp;盘货信息!$C:$C,盘货信息!$X:$X)="","","【"&amp;盘货信息!$X$1&amp;"】"&amp;_xlfn.XLOOKUP($A199&amp;$B199&amp;$C199,盘货信息!$A:$A&amp;盘货信息!$B:$B&amp;盘货信息!$C:$C,盘货信息!$X:$X))</f>
        <v/>
      </c>
      <c r="R199" s="27" t="str" cm="1">
        <f t="array" ref="R199">IF(_xlfn.XLOOKUP($A199&amp;$B199&amp;$C199,盘货信息!$A:$A&amp;盘货信息!$B:$B&amp;盘货信息!$C:$C,盘货信息!$Z:$Z)="","","【"&amp;盘货信息!$Z$1&amp;"】"&amp;_xlfn.XLOOKUP($A199&amp;$B199&amp;$C199,盘货信息!$A:$A&amp;盘货信息!$B:$B&amp;盘货信息!$C:$C,盘货信息!$Z:$Z))</f>
        <v/>
      </c>
      <c r="S199" s="27" t="str" cm="1">
        <f t="array" ref="S199">IF(_xlfn.XLOOKUP($A199&amp;$B199&amp;$C199,盘货信息!$A:$A&amp;盘货信息!$B:$B&amp;盘货信息!$C:$C,盘货信息!$Q:$Q)="","","【种草】站外带指定话题种草后返"&amp;_xlfn.XLOOKUP($A199&amp;$B199&amp;$C199,盘货信息!$A:$A&amp;盘货信息!$B:$B&amp;盘货信息!$C:$C,盘货信息!$Q:$Q)&amp;"元红包（每个淘宝账号仅限对应一个站外种草账号，同一个种草账号不可对应多个淘宝账号）")</f>
        <v/>
      </c>
      <c r="T199" s="27" t="str" cm="1">
        <f t="array" ref="T199">IF(_xlfn.XLOOKUP($A199&amp;$B199&amp;$C199,盘货信息!$A:$A&amp;盘货信息!$B:$B&amp;盘货信息!$C:$C,盘货信息!$R:$R)&lt;1,"","【以旧换新】"&amp;"享补贴"&amp;ROUND(_xlfn.XLOOKUP($A199&amp;$B199&amp;$C199,盘货信息!$A:$A&amp;盘货信息!$B:$B&amp;盘货信息!$C:$C,盘货信息!$R:$R),0)&amp;"元（可无旧机换新）")</f>
        <v/>
      </c>
      <c r="U199" s="27" t="str">
        <f>IF(AND($N199="",$O199="",$P199="",$Q199="",$R199="",$S199="",$T199=""),"",固定信息!$B$1)</f>
        <v/>
      </c>
      <c r="V199" s="27" t="str" cm="1">
        <f t="array" ref="V199">IF(_xlfn.XLOOKUP($A199&amp;$B199&amp;$C199,盘货信息!$A:$A&amp;盘货信息!$B:$B&amp;盘货信息!$C:$C,盘货信息!$Y:$Y)="","","【卡萨帝送赠】活动指定时间"&amp;_xlfn.TEXTBEFORE(_xlfn.TEXTAFTER(_xlfn.XLOOKUP($A199&amp;$B199&amp;$C199,盘货信息!$A:$A&amp;盘货信息!$B:$B&amp;盘货信息!$C:$C,盘货信息!$Y:$Y),"点"),"（"))</f>
        <v/>
      </c>
      <c r="W199" s="27" t="str" cm="1">
        <f t="array" ref="W199">IF(COUNTIF(_xlfn.XLOOKUP($A199&amp;$B199&amp;$C199,盘货信息!$A:$A&amp;盘货信息!$B:$B&amp;盘货信息!$C:$C,盘货信息!$O:$O),"*是*"),"【折扣】指定型号满2类享96折，满3类享94折","")</f>
        <v/>
      </c>
      <c r="X199" s="27" t="str" cm="1">
        <f t="array" ref="X199">IF(固定信息!$B$7="","",IF(_xlfn.XLOOKUP($A199&amp;$B199&amp;$C199,盘货信息!$A:$A&amp;盘货信息!$B:$B&amp;盘货信息!$C:$C,盘货信息!$N:$N)="是","【瓜分】"&amp;固定信息!$B$7,""))</f>
        <v/>
      </c>
      <c r="Y199" s="27" t="str">
        <f>IF(AND($V199="",$W199="",$X199=""),"",固定信息!$B$1)</f>
        <v/>
      </c>
      <c r="Z199" s="27" t="str" cm="1">
        <f t="array" ref="Z199">IF($C199="","",_xlfn.XLOOKUP($A199&amp;$B199&amp;$C199,服务!$A:$A&amp;服务!$B:$B&amp;服务!$C:$C,服务!$D:$D))</f>
        <v/>
      </c>
    </row>
    <row r="200" customHeight="1" spans="1:26">
      <c r="A200" s="23" t="str">
        <f>IF(盘货信息!A200="","",盘货信息!A200)</f>
        <v/>
      </c>
      <c r="B200" s="26" t="str">
        <f>IF(盘货信息!B200="","",盘货信息!B200)</f>
        <v/>
      </c>
      <c r="C200" s="23" t="str">
        <f>IF(盘货信息!C200="","",盘货信息!C200)</f>
        <v/>
      </c>
      <c r="D200" s="27" t="str">
        <f ca="1" t="shared" si="3"/>
        <v/>
      </c>
      <c r="E200" s="27" t="str">
        <f>IF(C200="","",固定信息!$B$2)</f>
        <v/>
      </c>
      <c r="F200" s="27" t="str">
        <f>IF(C200="","","【"&amp;C200&amp;"】"&amp;固定信息!$B$4)</f>
        <v/>
      </c>
      <c r="G200" s="27" t="str">
        <f>IF(C200="","","【"&amp;"活动时间："&amp;固定信息!$B$3&amp;"】")</f>
        <v/>
      </c>
      <c r="H200" s="27" t="str">
        <f>IF($C200="","",固定信息!$B$1)</f>
        <v/>
      </c>
      <c r="I200" s="27" t="str">
        <f>IF(OR(C200="",固定信息!$B$5=""),"","【1元预约锁好礼】"&amp;固定信息!$B$5)</f>
        <v/>
      </c>
      <c r="J200" s="27" t="str" cm="1">
        <f t="array" ref="J200">_xlfn.XLOOKUP($A200&amp;$B200&amp;$C200,价格信息!$A:$A&amp;价格信息!$B:$B&amp;价格信息!$C:$C,价格信息!$D:$D)</f>
        <v/>
      </c>
      <c r="K200" s="27" t="str">
        <f>IF($C200="","",固定信息!$B$1)</f>
        <v/>
      </c>
      <c r="L200" s="27" t="str" cm="1">
        <f t="array" ref="L200">IF(_xlfn.XLOOKUP($A200&amp;$B200&amp;$C200,盘货信息!$A:$A&amp;盘货信息!$B:$B&amp;盘货信息!$C:$C,盘货信息!$T:$T)="","","【优惠券】领"&amp;_xlfn.XLOOKUP($A200&amp;$B200&amp;$C200,盘货信息!$A:$A&amp;盘货信息!$B:$B&amp;盘货信息!$C:$C,盘货信息!$T:$T)&amp;"元优惠卷下单更优惠，领券链接："&amp;_xlfn.XLOOKUP($A200&amp;$B200&amp;$C200,盘货信息!$A:$A&amp;盘货信息!$B:$B&amp;盘货信息!$C:$C,盘货信息!$U:$U))</f>
        <v/>
      </c>
      <c r="M200" s="27" t="str" cm="1">
        <f t="array" ref="M200">IF(_xlfn.XLOOKUP($A200&amp;$B200&amp;$C200,盘货信息!$A:$A&amp;盘货信息!$B:$B&amp;盘货信息!$C:$C,盘货信息!$P:$P)="","","【限时】"&amp;_xlfn.XLOOKUP($A200&amp;$B200&amp;$C200,盘货信息!$A:$A&amp;盘货信息!$B:$B&amp;盘货信息!$C:$C,盘货信息!$P:$P))</f>
        <v/>
      </c>
      <c r="N200" s="27" t="str" cm="1">
        <f t="array" ref="N200">IF(_xlfn.XLOOKUP($A200&amp;$B200&amp;$C200,盘货信息!$A:$A&amp;盘货信息!$B:$B&amp;盘货信息!$C:$C,盘货信息!$V:$V)="","","【"&amp;盘货信息!$V$1&amp;"】"&amp;_xlfn.XLOOKUP($A200&amp;$B200&amp;$C200,盘货信息!$A:$A&amp;盘货信息!$B:$B&amp;盘货信息!$C:$C,盘货信息!$V:$V))</f>
        <v/>
      </c>
      <c r="O200" s="27" t="str" cm="1">
        <f t="array" ref="O200">IF(_xlfn.XLOOKUP($A200&amp;$B200&amp;$C200,盘货信息!$A:$A&amp;盘货信息!$B:$B&amp;盘货信息!$C:$C,盘货信息!$W:$W)="","","【"&amp;盘货信息!$W$1&amp;"】"&amp;_xlfn.XLOOKUP($A200&amp;$B200&amp;$C200,盘货信息!$A:$A&amp;盘货信息!$B:$B&amp;盘货信息!$C:$C,盘货信息!$W:$W))</f>
        <v/>
      </c>
      <c r="P200" s="27" t="str" cm="1">
        <f t="array" ref="P200">IF(_xlfn.XLOOKUP($A200&amp;$B200&amp;$C200,盘货信息!$A:$A&amp;盘货信息!$B:$B&amp;盘货信息!$C:$C,盘货信息!$S:$S)&lt;1,"","【"&amp;盘货信息!$S$1&amp;"】"&amp;"后返"&amp;_xlfn.XLOOKUP($A200&amp;$B200&amp;$C200,盘货信息!$A:$A&amp;盘货信息!$B:$B&amp;盘货信息!$C:$C,盘货信息!$S:$S)&amp;"元")</f>
        <v/>
      </c>
      <c r="Q200" s="27" t="str" cm="1">
        <f t="array" ref="Q200">IF(_xlfn.XLOOKUP($A200&amp;$B200&amp;$C200,盘货信息!$A:$A&amp;盘货信息!$B:$B&amp;盘货信息!$C:$C,盘货信息!$X:$X)="","","【"&amp;盘货信息!$X$1&amp;"】"&amp;_xlfn.XLOOKUP($A200&amp;$B200&amp;$C200,盘货信息!$A:$A&amp;盘货信息!$B:$B&amp;盘货信息!$C:$C,盘货信息!$X:$X))</f>
        <v/>
      </c>
      <c r="R200" s="27" t="str" cm="1">
        <f t="array" ref="R200">IF(_xlfn.XLOOKUP($A200&amp;$B200&amp;$C200,盘货信息!$A:$A&amp;盘货信息!$B:$B&amp;盘货信息!$C:$C,盘货信息!$Z:$Z)="","","【"&amp;盘货信息!$Z$1&amp;"】"&amp;_xlfn.XLOOKUP($A200&amp;$B200&amp;$C200,盘货信息!$A:$A&amp;盘货信息!$B:$B&amp;盘货信息!$C:$C,盘货信息!$Z:$Z))</f>
        <v/>
      </c>
      <c r="S200" s="27" t="str" cm="1">
        <f t="array" ref="S200">IF(_xlfn.XLOOKUP($A200&amp;$B200&amp;$C200,盘货信息!$A:$A&amp;盘货信息!$B:$B&amp;盘货信息!$C:$C,盘货信息!$Q:$Q)="","","【种草】站外带指定话题种草后返"&amp;_xlfn.XLOOKUP($A200&amp;$B200&amp;$C200,盘货信息!$A:$A&amp;盘货信息!$B:$B&amp;盘货信息!$C:$C,盘货信息!$Q:$Q)&amp;"元红包（每个淘宝账号仅限对应一个站外种草账号，同一个种草账号不可对应多个淘宝账号）")</f>
        <v/>
      </c>
      <c r="T200" s="27" t="str" cm="1">
        <f t="array" ref="T200">IF(_xlfn.XLOOKUP($A200&amp;$B200&amp;$C200,盘货信息!$A:$A&amp;盘货信息!$B:$B&amp;盘货信息!$C:$C,盘货信息!$R:$R)&lt;1,"","【以旧换新】"&amp;"享补贴"&amp;ROUND(_xlfn.XLOOKUP($A200&amp;$B200&amp;$C200,盘货信息!$A:$A&amp;盘货信息!$B:$B&amp;盘货信息!$C:$C,盘货信息!$R:$R),0)&amp;"元（可无旧机换新）")</f>
        <v/>
      </c>
      <c r="U200" s="27" t="str">
        <f>IF(AND($N200="",$O200="",$P200="",$Q200="",$R200="",$S200="",$T200=""),"",固定信息!$B$1)</f>
        <v/>
      </c>
      <c r="V200" s="27" t="str" cm="1">
        <f t="array" ref="V200">IF(_xlfn.XLOOKUP($A200&amp;$B200&amp;$C200,盘货信息!$A:$A&amp;盘货信息!$B:$B&amp;盘货信息!$C:$C,盘货信息!$Y:$Y)="","","【卡萨帝送赠】活动指定时间"&amp;_xlfn.TEXTBEFORE(_xlfn.TEXTAFTER(_xlfn.XLOOKUP($A200&amp;$B200&amp;$C200,盘货信息!$A:$A&amp;盘货信息!$B:$B&amp;盘货信息!$C:$C,盘货信息!$Y:$Y),"点"),"（"))</f>
        <v/>
      </c>
      <c r="W200" s="27" t="str" cm="1">
        <f t="array" ref="W200">IF(COUNTIF(_xlfn.XLOOKUP($A200&amp;$B200&amp;$C200,盘货信息!$A:$A&amp;盘货信息!$B:$B&amp;盘货信息!$C:$C,盘货信息!$O:$O),"*是*"),"【折扣】指定型号满2类享96折，满3类享94折","")</f>
        <v/>
      </c>
      <c r="X200" s="27" t="str" cm="1">
        <f t="array" ref="X200">IF(固定信息!$B$7="","",IF(_xlfn.XLOOKUP($A200&amp;$B200&amp;$C200,盘货信息!$A:$A&amp;盘货信息!$B:$B&amp;盘货信息!$C:$C,盘货信息!$N:$N)="是","【瓜分】"&amp;固定信息!$B$7,""))</f>
        <v/>
      </c>
      <c r="Y200" s="27" t="str">
        <f>IF(AND($V200="",$W200="",$X200=""),"",固定信息!$B$1)</f>
        <v/>
      </c>
      <c r="Z200" s="27" t="str" cm="1">
        <f t="array" ref="Z200">IF($C200="","",_xlfn.XLOOKUP($A200&amp;$B200&amp;$C200,服务!$A:$A&amp;服务!$B:$B&amp;服务!$C:$C,服务!$D:$D))</f>
        <v/>
      </c>
    </row>
    <row r="201" customHeight="1" spans="1:26">
      <c r="A201" s="23" t="str">
        <f>IF(盘货信息!A201="","",盘货信息!A201)</f>
        <v/>
      </c>
      <c r="B201" s="26" t="str">
        <f>IF(盘货信息!B201="","",盘货信息!B201)</f>
        <v/>
      </c>
      <c r="C201" s="23" t="str">
        <f>IF(盘货信息!C201="","",盘货信息!C201)</f>
        <v/>
      </c>
      <c r="D201" s="27" t="str">
        <f ca="1" t="shared" si="3"/>
        <v/>
      </c>
      <c r="E201" s="27" t="str">
        <f>IF(C201="","",固定信息!$B$2)</f>
        <v/>
      </c>
      <c r="F201" s="27" t="str">
        <f>IF(C201="","","【"&amp;C201&amp;"】"&amp;固定信息!$B$4)</f>
        <v/>
      </c>
      <c r="G201" s="27" t="str">
        <f>IF(C201="","","【"&amp;"活动时间："&amp;固定信息!$B$3&amp;"】")</f>
        <v/>
      </c>
      <c r="H201" s="27" t="str">
        <f>IF($C201="","",固定信息!$B$1)</f>
        <v/>
      </c>
      <c r="I201" s="27" t="str">
        <f>IF(OR(C201="",固定信息!$B$5=""),"","【1元预约锁好礼】"&amp;固定信息!$B$5)</f>
        <v/>
      </c>
      <c r="J201" s="27" t="str" cm="1">
        <f t="array" ref="J201">_xlfn.XLOOKUP($A201&amp;$B201&amp;$C201,价格信息!$A:$A&amp;价格信息!$B:$B&amp;价格信息!$C:$C,价格信息!$D:$D)</f>
        <v/>
      </c>
      <c r="K201" s="27" t="str">
        <f>IF($C201="","",固定信息!$B$1)</f>
        <v/>
      </c>
      <c r="L201" s="27" t="str" cm="1">
        <f t="array" ref="L201">IF(_xlfn.XLOOKUP($A201&amp;$B201&amp;$C201,盘货信息!$A:$A&amp;盘货信息!$B:$B&amp;盘货信息!$C:$C,盘货信息!$T:$T)="","","【优惠券】领"&amp;_xlfn.XLOOKUP($A201&amp;$B201&amp;$C201,盘货信息!$A:$A&amp;盘货信息!$B:$B&amp;盘货信息!$C:$C,盘货信息!$T:$T)&amp;"元优惠卷下单更优惠，领券链接："&amp;_xlfn.XLOOKUP($A201&amp;$B201&amp;$C201,盘货信息!$A:$A&amp;盘货信息!$B:$B&amp;盘货信息!$C:$C,盘货信息!$U:$U))</f>
        <v/>
      </c>
      <c r="M201" s="27" t="str" cm="1">
        <f t="array" ref="M201">IF(_xlfn.XLOOKUP($A201&amp;$B201&amp;$C201,盘货信息!$A:$A&amp;盘货信息!$B:$B&amp;盘货信息!$C:$C,盘货信息!$P:$P)="","","【限时】"&amp;_xlfn.XLOOKUP($A201&amp;$B201&amp;$C201,盘货信息!$A:$A&amp;盘货信息!$B:$B&amp;盘货信息!$C:$C,盘货信息!$P:$P))</f>
        <v/>
      </c>
      <c r="N201" s="27" t="str" cm="1">
        <f t="array" ref="N201">IF(_xlfn.XLOOKUP($A201&amp;$B201&amp;$C201,盘货信息!$A:$A&amp;盘货信息!$B:$B&amp;盘货信息!$C:$C,盘货信息!$V:$V)="","","【"&amp;盘货信息!$V$1&amp;"】"&amp;_xlfn.XLOOKUP($A201&amp;$B201&amp;$C201,盘货信息!$A:$A&amp;盘货信息!$B:$B&amp;盘货信息!$C:$C,盘货信息!$V:$V))</f>
        <v/>
      </c>
      <c r="O201" s="27" t="str" cm="1">
        <f t="array" ref="O201">IF(_xlfn.XLOOKUP($A201&amp;$B201&amp;$C201,盘货信息!$A:$A&amp;盘货信息!$B:$B&amp;盘货信息!$C:$C,盘货信息!$W:$W)="","","【"&amp;盘货信息!$W$1&amp;"】"&amp;_xlfn.XLOOKUP($A201&amp;$B201&amp;$C201,盘货信息!$A:$A&amp;盘货信息!$B:$B&amp;盘货信息!$C:$C,盘货信息!$W:$W))</f>
        <v/>
      </c>
      <c r="P201" s="27" t="str" cm="1">
        <f t="array" ref="P201">IF(_xlfn.XLOOKUP($A201&amp;$B201&amp;$C201,盘货信息!$A:$A&amp;盘货信息!$B:$B&amp;盘货信息!$C:$C,盘货信息!$S:$S)&lt;1,"","【"&amp;盘货信息!$S$1&amp;"】"&amp;"后返"&amp;_xlfn.XLOOKUP($A201&amp;$B201&amp;$C201,盘货信息!$A:$A&amp;盘货信息!$B:$B&amp;盘货信息!$C:$C,盘货信息!$S:$S)&amp;"元")</f>
        <v/>
      </c>
      <c r="Q201" s="27" t="str" cm="1">
        <f t="array" ref="Q201">IF(_xlfn.XLOOKUP($A201&amp;$B201&amp;$C201,盘货信息!$A:$A&amp;盘货信息!$B:$B&amp;盘货信息!$C:$C,盘货信息!$X:$X)="","","【"&amp;盘货信息!$X$1&amp;"】"&amp;_xlfn.XLOOKUP($A201&amp;$B201&amp;$C201,盘货信息!$A:$A&amp;盘货信息!$B:$B&amp;盘货信息!$C:$C,盘货信息!$X:$X))</f>
        <v/>
      </c>
      <c r="R201" s="27" t="str" cm="1">
        <f t="array" ref="R201">IF(_xlfn.XLOOKUP($A201&amp;$B201&amp;$C201,盘货信息!$A:$A&amp;盘货信息!$B:$B&amp;盘货信息!$C:$C,盘货信息!$Z:$Z)="","","【"&amp;盘货信息!$Z$1&amp;"】"&amp;_xlfn.XLOOKUP($A201&amp;$B201&amp;$C201,盘货信息!$A:$A&amp;盘货信息!$B:$B&amp;盘货信息!$C:$C,盘货信息!$Z:$Z))</f>
        <v/>
      </c>
      <c r="S201" s="27" t="str" cm="1">
        <f t="array" ref="S201">IF(_xlfn.XLOOKUP($A201&amp;$B201&amp;$C201,盘货信息!$A:$A&amp;盘货信息!$B:$B&amp;盘货信息!$C:$C,盘货信息!$Q:$Q)="","","【种草】站外带指定话题种草后返"&amp;_xlfn.XLOOKUP($A201&amp;$B201&amp;$C201,盘货信息!$A:$A&amp;盘货信息!$B:$B&amp;盘货信息!$C:$C,盘货信息!$Q:$Q)&amp;"元红包（每个淘宝账号仅限对应一个站外种草账号，同一个种草账号不可对应多个淘宝账号）")</f>
        <v/>
      </c>
      <c r="T201" s="27" t="str" cm="1">
        <f t="array" ref="T201">IF(_xlfn.XLOOKUP($A201&amp;$B201&amp;$C201,盘货信息!$A:$A&amp;盘货信息!$B:$B&amp;盘货信息!$C:$C,盘货信息!$R:$R)&lt;1,"","【以旧换新】"&amp;"享补贴"&amp;ROUND(_xlfn.XLOOKUP($A201&amp;$B201&amp;$C201,盘货信息!$A:$A&amp;盘货信息!$B:$B&amp;盘货信息!$C:$C,盘货信息!$R:$R),0)&amp;"元（可无旧机换新）")</f>
        <v/>
      </c>
      <c r="U201" s="27" t="str">
        <f>IF(AND($N201="",$O201="",$P201="",$Q201="",$R201="",$S201="",$T201=""),"",固定信息!$B$1)</f>
        <v/>
      </c>
      <c r="V201" s="27" t="str" cm="1">
        <f t="array" ref="V201">IF(_xlfn.XLOOKUP($A201&amp;$B201&amp;$C201,盘货信息!$A:$A&amp;盘货信息!$B:$B&amp;盘货信息!$C:$C,盘货信息!$Y:$Y)="","","【卡萨帝送赠】活动指定时间"&amp;_xlfn.TEXTBEFORE(_xlfn.TEXTAFTER(_xlfn.XLOOKUP($A201&amp;$B201&amp;$C201,盘货信息!$A:$A&amp;盘货信息!$B:$B&amp;盘货信息!$C:$C,盘货信息!$Y:$Y),"点"),"（"))</f>
        <v/>
      </c>
      <c r="W201" s="27" t="str" cm="1">
        <f t="array" ref="W201">IF(COUNTIF(_xlfn.XLOOKUP($A201&amp;$B201&amp;$C201,盘货信息!$A:$A&amp;盘货信息!$B:$B&amp;盘货信息!$C:$C,盘货信息!$O:$O),"*是*"),"【折扣】指定型号满2类享96折，满3类享94折","")</f>
        <v/>
      </c>
      <c r="X201" s="27" t="str" cm="1">
        <f t="array" ref="X201">IF(固定信息!$B$7="","",IF(_xlfn.XLOOKUP($A201&amp;$B201&amp;$C201,盘货信息!$A:$A&amp;盘货信息!$B:$B&amp;盘货信息!$C:$C,盘货信息!$N:$N)="是","【瓜分】"&amp;固定信息!$B$7,""))</f>
        <v/>
      </c>
      <c r="Y201" s="27" t="str">
        <f>IF(AND($V201="",$W201="",$X201=""),"",固定信息!$B$1)</f>
        <v/>
      </c>
      <c r="Z201" s="27" t="str" cm="1">
        <f t="array" ref="Z201">IF($C201="","",_xlfn.XLOOKUP($A201&amp;$B201&amp;$C201,服务!$A:$A&amp;服务!$B:$B&amp;服务!$C:$C,服务!$D:$D))</f>
        <v/>
      </c>
    </row>
    <row r="202" customHeight="1" spans="1:26">
      <c r="A202" s="23" t="str">
        <f>IF(盘货信息!A202="","",盘货信息!A202)</f>
        <v/>
      </c>
      <c r="B202" s="26" t="str">
        <f>IF(盘货信息!B202="","",盘货信息!B202)</f>
        <v/>
      </c>
      <c r="C202" s="23" t="str">
        <f>IF(盘货信息!C202="","",盘货信息!C202)</f>
        <v/>
      </c>
      <c r="D202" s="27" t="str">
        <f ca="1" t="shared" si="3"/>
        <v/>
      </c>
      <c r="E202" s="27" t="str">
        <f>IF(C202="","",固定信息!$B$2)</f>
        <v/>
      </c>
      <c r="F202" s="27" t="str">
        <f>IF(C202="","","【"&amp;C202&amp;"】"&amp;固定信息!$B$4)</f>
        <v/>
      </c>
      <c r="G202" s="27" t="str">
        <f>IF(C202="","","【"&amp;"活动时间："&amp;固定信息!$B$3&amp;"】")</f>
        <v/>
      </c>
      <c r="H202" s="27" t="str">
        <f>IF($C202="","",固定信息!$B$1)</f>
        <v/>
      </c>
      <c r="I202" s="27" t="str">
        <f>IF(OR(C202="",固定信息!$B$5=""),"","【1元预约锁好礼】"&amp;固定信息!$B$5)</f>
        <v/>
      </c>
      <c r="J202" s="27" t="str" cm="1">
        <f t="array" ref="J202">_xlfn.XLOOKUP($A202&amp;$B202&amp;$C202,价格信息!$A:$A&amp;价格信息!$B:$B&amp;价格信息!$C:$C,价格信息!$D:$D)</f>
        <v/>
      </c>
      <c r="K202" s="27" t="str">
        <f>IF($C202="","",固定信息!$B$1)</f>
        <v/>
      </c>
      <c r="L202" s="27" t="str" cm="1">
        <f t="array" ref="L202">IF(_xlfn.XLOOKUP($A202&amp;$B202&amp;$C202,盘货信息!$A:$A&amp;盘货信息!$B:$B&amp;盘货信息!$C:$C,盘货信息!$T:$T)="","","【优惠券】领"&amp;_xlfn.XLOOKUP($A202&amp;$B202&amp;$C202,盘货信息!$A:$A&amp;盘货信息!$B:$B&amp;盘货信息!$C:$C,盘货信息!$T:$T)&amp;"元优惠卷下单更优惠，领券链接："&amp;_xlfn.XLOOKUP($A202&amp;$B202&amp;$C202,盘货信息!$A:$A&amp;盘货信息!$B:$B&amp;盘货信息!$C:$C,盘货信息!$U:$U))</f>
        <v/>
      </c>
      <c r="M202" s="27" t="str" cm="1">
        <f t="array" ref="M202">IF(_xlfn.XLOOKUP($A202&amp;$B202&amp;$C202,盘货信息!$A:$A&amp;盘货信息!$B:$B&amp;盘货信息!$C:$C,盘货信息!$P:$P)="","","【限时】"&amp;_xlfn.XLOOKUP($A202&amp;$B202&amp;$C202,盘货信息!$A:$A&amp;盘货信息!$B:$B&amp;盘货信息!$C:$C,盘货信息!$P:$P))</f>
        <v/>
      </c>
      <c r="N202" s="27" t="str" cm="1">
        <f t="array" ref="N202">IF(_xlfn.XLOOKUP($A202&amp;$B202&amp;$C202,盘货信息!$A:$A&amp;盘货信息!$B:$B&amp;盘货信息!$C:$C,盘货信息!$V:$V)="","","【"&amp;盘货信息!$V$1&amp;"】"&amp;_xlfn.XLOOKUP($A202&amp;$B202&amp;$C202,盘货信息!$A:$A&amp;盘货信息!$B:$B&amp;盘货信息!$C:$C,盘货信息!$V:$V))</f>
        <v/>
      </c>
      <c r="O202" s="27" t="str" cm="1">
        <f t="array" ref="O202">IF(_xlfn.XLOOKUP($A202&amp;$B202&amp;$C202,盘货信息!$A:$A&amp;盘货信息!$B:$B&amp;盘货信息!$C:$C,盘货信息!$W:$W)="","","【"&amp;盘货信息!$W$1&amp;"】"&amp;_xlfn.XLOOKUP($A202&amp;$B202&amp;$C202,盘货信息!$A:$A&amp;盘货信息!$B:$B&amp;盘货信息!$C:$C,盘货信息!$W:$W))</f>
        <v/>
      </c>
      <c r="P202" s="27" t="str" cm="1">
        <f t="array" ref="P202">IF(_xlfn.XLOOKUP($A202&amp;$B202&amp;$C202,盘货信息!$A:$A&amp;盘货信息!$B:$B&amp;盘货信息!$C:$C,盘货信息!$S:$S)&lt;1,"","【"&amp;盘货信息!$S$1&amp;"】"&amp;"后返"&amp;_xlfn.XLOOKUP($A202&amp;$B202&amp;$C202,盘货信息!$A:$A&amp;盘货信息!$B:$B&amp;盘货信息!$C:$C,盘货信息!$S:$S)&amp;"元")</f>
        <v/>
      </c>
      <c r="Q202" s="27" t="str" cm="1">
        <f t="array" ref="Q202">IF(_xlfn.XLOOKUP($A202&amp;$B202&amp;$C202,盘货信息!$A:$A&amp;盘货信息!$B:$B&amp;盘货信息!$C:$C,盘货信息!$X:$X)="","","【"&amp;盘货信息!$X$1&amp;"】"&amp;_xlfn.XLOOKUP($A202&amp;$B202&amp;$C202,盘货信息!$A:$A&amp;盘货信息!$B:$B&amp;盘货信息!$C:$C,盘货信息!$X:$X))</f>
        <v/>
      </c>
      <c r="R202" s="27" t="str" cm="1">
        <f t="array" ref="R202">IF(_xlfn.XLOOKUP($A202&amp;$B202&amp;$C202,盘货信息!$A:$A&amp;盘货信息!$B:$B&amp;盘货信息!$C:$C,盘货信息!$Z:$Z)="","","【"&amp;盘货信息!$Z$1&amp;"】"&amp;_xlfn.XLOOKUP($A202&amp;$B202&amp;$C202,盘货信息!$A:$A&amp;盘货信息!$B:$B&amp;盘货信息!$C:$C,盘货信息!$Z:$Z))</f>
        <v/>
      </c>
      <c r="S202" s="27" t="str" cm="1">
        <f t="array" ref="S202">IF(_xlfn.XLOOKUP($A202&amp;$B202&amp;$C202,盘货信息!$A:$A&amp;盘货信息!$B:$B&amp;盘货信息!$C:$C,盘货信息!$Q:$Q)="","","【种草】站外带指定话题种草后返"&amp;_xlfn.XLOOKUP($A202&amp;$B202&amp;$C202,盘货信息!$A:$A&amp;盘货信息!$B:$B&amp;盘货信息!$C:$C,盘货信息!$Q:$Q)&amp;"元红包（每个淘宝账号仅限对应一个站外种草账号，同一个种草账号不可对应多个淘宝账号）")</f>
        <v/>
      </c>
      <c r="T202" s="27" t="str" cm="1">
        <f t="array" ref="T202">IF(_xlfn.XLOOKUP($A202&amp;$B202&amp;$C202,盘货信息!$A:$A&amp;盘货信息!$B:$B&amp;盘货信息!$C:$C,盘货信息!$R:$R)&lt;1,"","【以旧换新】"&amp;"享补贴"&amp;ROUND(_xlfn.XLOOKUP($A202&amp;$B202&amp;$C202,盘货信息!$A:$A&amp;盘货信息!$B:$B&amp;盘货信息!$C:$C,盘货信息!$R:$R),0)&amp;"元（可无旧机换新）")</f>
        <v/>
      </c>
      <c r="U202" s="27" t="str">
        <f>IF(AND($N202="",$O202="",$P202="",$Q202="",$R202="",$S202="",$T202=""),"",固定信息!$B$1)</f>
        <v/>
      </c>
      <c r="V202" s="27" t="str" cm="1">
        <f t="array" ref="V202">IF(_xlfn.XLOOKUP($A202&amp;$B202&amp;$C202,盘货信息!$A:$A&amp;盘货信息!$B:$B&amp;盘货信息!$C:$C,盘货信息!$Y:$Y)="","","【卡萨帝送赠】活动指定时间"&amp;_xlfn.TEXTBEFORE(_xlfn.TEXTAFTER(_xlfn.XLOOKUP($A202&amp;$B202&amp;$C202,盘货信息!$A:$A&amp;盘货信息!$B:$B&amp;盘货信息!$C:$C,盘货信息!$Y:$Y),"点"),"（"))</f>
        <v/>
      </c>
      <c r="W202" s="27" t="str" cm="1">
        <f t="array" ref="W202">IF(COUNTIF(_xlfn.XLOOKUP($A202&amp;$B202&amp;$C202,盘货信息!$A:$A&amp;盘货信息!$B:$B&amp;盘货信息!$C:$C,盘货信息!$O:$O),"*是*"),"【折扣】指定型号满2类享96折，满3类享94折","")</f>
        <v/>
      </c>
      <c r="X202" s="27" t="str" cm="1">
        <f t="array" ref="X202">IF(固定信息!$B$7="","",IF(_xlfn.XLOOKUP($A202&amp;$B202&amp;$C202,盘货信息!$A:$A&amp;盘货信息!$B:$B&amp;盘货信息!$C:$C,盘货信息!$N:$N)="是","【瓜分】"&amp;固定信息!$B$7,""))</f>
        <v/>
      </c>
      <c r="Y202" s="27" t="str">
        <f>IF(AND($V202="",$W202="",$X202=""),"",固定信息!$B$1)</f>
        <v/>
      </c>
      <c r="Z202" s="27" t="str" cm="1">
        <f t="array" ref="Z202">IF($C202="","",_xlfn.XLOOKUP($A202&amp;$B202&amp;$C202,服务!$A:$A&amp;服务!$B:$B&amp;服务!$C:$C,服务!$D:$D))</f>
        <v/>
      </c>
    </row>
    <row r="203" customHeight="1" spans="1:26">
      <c r="A203" s="23" t="str">
        <f>IF(盘货信息!A203="","",盘货信息!A203)</f>
        <v/>
      </c>
      <c r="B203" s="26" t="str">
        <f>IF(盘货信息!B203="","",盘货信息!B203)</f>
        <v/>
      </c>
      <c r="C203" s="23" t="str">
        <f>IF(盘货信息!C203="","",盘货信息!C203)</f>
        <v/>
      </c>
      <c r="D203" s="27" t="str">
        <f ca="1" t="shared" si="3"/>
        <v/>
      </c>
      <c r="E203" s="27" t="str">
        <f>IF(C203="","",固定信息!$B$2)</f>
        <v/>
      </c>
      <c r="F203" s="27" t="str">
        <f>IF(C203="","","【"&amp;C203&amp;"】"&amp;固定信息!$B$4)</f>
        <v/>
      </c>
      <c r="G203" s="27" t="str">
        <f>IF(C203="","","【"&amp;"活动时间："&amp;固定信息!$B$3&amp;"】")</f>
        <v/>
      </c>
      <c r="H203" s="27" t="str">
        <f>IF($C203="","",固定信息!$B$1)</f>
        <v/>
      </c>
      <c r="I203" s="27" t="str">
        <f>IF(OR(C203="",固定信息!$B$5=""),"","【1元预约锁好礼】"&amp;固定信息!$B$5)</f>
        <v/>
      </c>
      <c r="J203" s="27" t="str" cm="1">
        <f t="array" ref="J203">_xlfn.XLOOKUP($A203&amp;$B203&amp;$C203,价格信息!$A:$A&amp;价格信息!$B:$B&amp;价格信息!$C:$C,价格信息!$D:$D)</f>
        <v/>
      </c>
      <c r="K203" s="27" t="str">
        <f>IF($C203="","",固定信息!$B$1)</f>
        <v/>
      </c>
      <c r="L203" s="27" t="str" cm="1">
        <f t="array" ref="L203">IF(_xlfn.XLOOKUP($A203&amp;$B203&amp;$C203,盘货信息!$A:$A&amp;盘货信息!$B:$B&amp;盘货信息!$C:$C,盘货信息!$T:$T)="","","【优惠券】领"&amp;_xlfn.XLOOKUP($A203&amp;$B203&amp;$C203,盘货信息!$A:$A&amp;盘货信息!$B:$B&amp;盘货信息!$C:$C,盘货信息!$T:$T)&amp;"元优惠卷下单更优惠，领券链接："&amp;_xlfn.XLOOKUP($A203&amp;$B203&amp;$C203,盘货信息!$A:$A&amp;盘货信息!$B:$B&amp;盘货信息!$C:$C,盘货信息!$U:$U))</f>
        <v/>
      </c>
      <c r="M203" s="27" t="str" cm="1">
        <f t="array" ref="M203">IF(_xlfn.XLOOKUP($A203&amp;$B203&amp;$C203,盘货信息!$A:$A&amp;盘货信息!$B:$B&amp;盘货信息!$C:$C,盘货信息!$P:$P)="","","【限时】"&amp;_xlfn.XLOOKUP($A203&amp;$B203&amp;$C203,盘货信息!$A:$A&amp;盘货信息!$B:$B&amp;盘货信息!$C:$C,盘货信息!$P:$P))</f>
        <v/>
      </c>
      <c r="N203" s="27" t="str" cm="1">
        <f t="array" ref="N203">IF(_xlfn.XLOOKUP($A203&amp;$B203&amp;$C203,盘货信息!$A:$A&amp;盘货信息!$B:$B&amp;盘货信息!$C:$C,盘货信息!$V:$V)="","","【"&amp;盘货信息!$V$1&amp;"】"&amp;_xlfn.XLOOKUP($A203&amp;$B203&amp;$C203,盘货信息!$A:$A&amp;盘货信息!$B:$B&amp;盘货信息!$C:$C,盘货信息!$V:$V))</f>
        <v/>
      </c>
      <c r="O203" s="27" t="str" cm="1">
        <f t="array" ref="O203">IF(_xlfn.XLOOKUP($A203&amp;$B203&amp;$C203,盘货信息!$A:$A&amp;盘货信息!$B:$B&amp;盘货信息!$C:$C,盘货信息!$W:$W)="","","【"&amp;盘货信息!$W$1&amp;"】"&amp;_xlfn.XLOOKUP($A203&amp;$B203&amp;$C203,盘货信息!$A:$A&amp;盘货信息!$B:$B&amp;盘货信息!$C:$C,盘货信息!$W:$W))</f>
        <v/>
      </c>
      <c r="P203" s="27" t="str" cm="1">
        <f t="array" ref="P203">IF(_xlfn.XLOOKUP($A203&amp;$B203&amp;$C203,盘货信息!$A:$A&amp;盘货信息!$B:$B&amp;盘货信息!$C:$C,盘货信息!$S:$S)&lt;1,"","【"&amp;盘货信息!$S$1&amp;"】"&amp;"后返"&amp;_xlfn.XLOOKUP($A203&amp;$B203&amp;$C203,盘货信息!$A:$A&amp;盘货信息!$B:$B&amp;盘货信息!$C:$C,盘货信息!$S:$S)&amp;"元")</f>
        <v/>
      </c>
      <c r="Q203" s="27" t="str" cm="1">
        <f t="array" ref="Q203">IF(_xlfn.XLOOKUP($A203&amp;$B203&amp;$C203,盘货信息!$A:$A&amp;盘货信息!$B:$B&amp;盘货信息!$C:$C,盘货信息!$X:$X)="","","【"&amp;盘货信息!$X$1&amp;"】"&amp;_xlfn.XLOOKUP($A203&amp;$B203&amp;$C203,盘货信息!$A:$A&amp;盘货信息!$B:$B&amp;盘货信息!$C:$C,盘货信息!$X:$X))</f>
        <v/>
      </c>
      <c r="R203" s="27" t="str" cm="1">
        <f t="array" ref="R203">IF(_xlfn.XLOOKUP($A203&amp;$B203&amp;$C203,盘货信息!$A:$A&amp;盘货信息!$B:$B&amp;盘货信息!$C:$C,盘货信息!$Z:$Z)="","","【"&amp;盘货信息!$Z$1&amp;"】"&amp;_xlfn.XLOOKUP($A203&amp;$B203&amp;$C203,盘货信息!$A:$A&amp;盘货信息!$B:$B&amp;盘货信息!$C:$C,盘货信息!$Z:$Z))</f>
        <v/>
      </c>
      <c r="S203" s="27" t="str" cm="1">
        <f t="array" ref="S203">IF(_xlfn.XLOOKUP($A203&amp;$B203&amp;$C203,盘货信息!$A:$A&amp;盘货信息!$B:$B&amp;盘货信息!$C:$C,盘货信息!$Q:$Q)="","","【种草】站外带指定话题种草后返"&amp;_xlfn.XLOOKUP($A203&amp;$B203&amp;$C203,盘货信息!$A:$A&amp;盘货信息!$B:$B&amp;盘货信息!$C:$C,盘货信息!$Q:$Q)&amp;"元红包（每个淘宝账号仅限对应一个站外种草账号，同一个种草账号不可对应多个淘宝账号）")</f>
        <v/>
      </c>
      <c r="T203" s="27" t="str" cm="1">
        <f t="array" ref="T203">IF(_xlfn.XLOOKUP($A203&amp;$B203&amp;$C203,盘货信息!$A:$A&amp;盘货信息!$B:$B&amp;盘货信息!$C:$C,盘货信息!$R:$R)&lt;1,"","【以旧换新】"&amp;"享补贴"&amp;ROUND(_xlfn.XLOOKUP($A203&amp;$B203&amp;$C203,盘货信息!$A:$A&amp;盘货信息!$B:$B&amp;盘货信息!$C:$C,盘货信息!$R:$R),0)&amp;"元（可无旧机换新）")</f>
        <v/>
      </c>
      <c r="U203" s="27" t="str">
        <f>IF(AND($N203="",$O203="",$P203="",$Q203="",$R203="",$S203="",$T203=""),"",固定信息!$B$1)</f>
        <v/>
      </c>
      <c r="V203" s="27" t="str" cm="1">
        <f t="array" ref="V203">IF(_xlfn.XLOOKUP($A203&amp;$B203&amp;$C203,盘货信息!$A:$A&amp;盘货信息!$B:$B&amp;盘货信息!$C:$C,盘货信息!$Y:$Y)="","","【卡萨帝送赠】活动指定时间"&amp;_xlfn.TEXTBEFORE(_xlfn.TEXTAFTER(_xlfn.XLOOKUP($A203&amp;$B203&amp;$C203,盘货信息!$A:$A&amp;盘货信息!$B:$B&amp;盘货信息!$C:$C,盘货信息!$Y:$Y),"点"),"（"))</f>
        <v/>
      </c>
      <c r="W203" s="27" t="str" cm="1">
        <f t="array" ref="W203">IF(COUNTIF(_xlfn.XLOOKUP($A203&amp;$B203&amp;$C203,盘货信息!$A:$A&amp;盘货信息!$B:$B&amp;盘货信息!$C:$C,盘货信息!$O:$O),"*是*"),"【折扣】指定型号满2类享96折，满3类享94折","")</f>
        <v/>
      </c>
      <c r="X203" s="27" t="str" cm="1">
        <f t="array" ref="X203">IF(固定信息!$B$7="","",IF(_xlfn.XLOOKUP($A203&amp;$B203&amp;$C203,盘货信息!$A:$A&amp;盘货信息!$B:$B&amp;盘货信息!$C:$C,盘货信息!$N:$N)="是","【瓜分】"&amp;固定信息!$B$7,""))</f>
        <v/>
      </c>
      <c r="Y203" s="27" t="str">
        <f>IF(AND($V203="",$W203="",$X203=""),"",固定信息!$B$1)</f>
        <v/>
      </c>
      <c r="Z203" s="27" t="str" cm="1">
        <f t="array" ref="Z203">IF($C203="","",_xlfn.XLOOKUP($A203&amp;$B203&amp;$C203,服务!$A:$A&amp;服务!$B:$B&amp;服务!$C:$C,服务!$D:$D))</f>
        <v/>
      </c>
    </row>
    <row r="204" customHeight="1" spans="1:26">
      <c r="A204" s="23" t="str">
        <f>IF(盘货信息!A204="","",盘货信息!A204)</f>
        <v/>
      </c>
      <c r="B204" s="26" t="str">
        <f>IF(盘货信息!B204="","",盘货信息!B204)</f>
        <v/>
      </c>
      <c r="C204" s="23" t="str">
        <f>IF(盘货信息!C204="","",盘货信息!C204)</f>
        <v/>
      </c>
      <c r="D204" s="27" t="str">
        <f ca="1" t="shared" si="3"/>
        <v/>
      </c>
      <c r="E204" s="27" t="str">
        <f>IF(C204="","",固定信息!$B$2)</f>
        <v/>
      </c>
      <c r="F204" s="27" t="str">
        <f>IF(C204="","","【"&amp;C204&amp;"】"&amp;固定信息!$B$4)</f>
        <v/>
      </c>
      <c r="G204" s="27" t="str">
        <f>IF(C204="","","【"&amp;"活动时间："&amp;固定信息!$B$3&amp;"】")</f>
        <v/>
      </c>
      <c r="H204" s="27" t="str">
        <f>IF($C204="","",固定信息!$B$1)</f>
        <v/>
      </c>
      <c r="I204" s="27" t="str">
        <f>IF(OR(C204="",固定信息!$B$5=""),"","【1元预约锁好礼】"&amp;固定信息!$B$5)</f>
        <v/>
      </c>
      <c r="J204" s="27" t="str" cm="1">
        <f t="array" ref="J204">_xlfn.XLOOKUP($A204&amp;$B204&amp;$C204,价格信息!$A:$A&amp;价格信息!$B:$B&amp;价格信息!$C:$C,价格信息!$D:$D)</f>
        <v/>
      </c>
      <c r="K204" s="27" t="str">
        <f>IF($C204="","",固定信息!$B$1)</f>
        <v/>
      </c>
      <c r="L204" s="27" t="str" cm="1">
        <f t="array" ref="L204">IF(_xlfn.XLOOKUP($A204&amp;$B204&amp;$C204,盘货信息!$A:$A&amp;盘货信息!$B:$B&amp;盘货信息!$C:$C,盘货信息!$T:$T)="","","【优惠券】领"&amp;_xlfn.XLOOKUP($A204&amp;$B204&amp;$C204,盘货信息!$A:$A&amp;盘货信息!$B:$B&amp;盘货信息!$C:$C,盘货信息!$T:$T)&amp;"元优惠卷下单更优惠，领券链接："&amp;_xlfn.XLOOKUP($A204&amp;$B204&amp;$C204,盘货信息!$A:$A&amp;盘货信息!$B:$B&amp;盘货信息!$C:$C,盘货信息!$U:$U))</f>
        <v/>
      </c>
      <c r="M204" s="27" t="str" cm="1">
        <f t="array" ref="M204">IF(_xlfn.XLOOKUP($A204&amp;$B204&amp;$C204,盘货信息!$A:$A&amp;盘货信息!$B:$B&amp;盘货信息!$C:$C,盘货信息!$P:$P)="","","【限时】"&amp;_xlfn.XLOOKUP($A204&amp;$B204&amp;$C204,盘货信息!$A:$A&amp;盘货信息!$B:$B&amp;盘货信息!$C:$C,盘货信息!$P:$P))</f>
        <v/>
      </c>
      <c r="N204" s="27" t="str" cm="1">
        <f t="array" ref="N204">IF(_xlfn.XLOOKUP($A204&amp;$B204&amp;$C204,盘货信息!$A:$A&amp;盘货信息!$B:$B&amp;盘货信息!$C:$C,盘货信息!$V:$V)="","","【"&amp;盘货信息!$V$1&amp;"】"&amp;_xlfn.XLOOKUP($A204&amp;$B204&amp;$C204,盘货信息!$A:$A&amp;盘货信息!$B:$B&amp;盘货信息!$C:$C,盘货信息!$V:$V))</f>
        <v/>
      </c>
      <c r="O204" s="27" t="str" cm="1">
        <f t="array" ref="O204">IF(_xlfn.XLOOKUP($A204&amp;$B204&amp;$C204,盘货信息!$A:$A&amp;盘货信息!$B:$B&amp;盘货信息!$C:$C,盘货信息!$W:$W)="","","【"&amp;盘货信息!$W$1&amp;"】"&amp;_xlfn.XLOOKUP($A204&amp;$B204&amp;$C204,盘货信息!$A:$A&amp;盘货信息!$B:$B&amp;盘货信息!$C:$C,盘货信息!$W:$W))</f>
        <v/>
      </c>
      <c r="P204" s="27" t="str" cm="1">
        <f t="array" ref="P204">IF(_xlfn.XLOOKUP($A204&amp;$B204&amp;$C204,盘货信息!$A:$A&amp;盘货信息!$B:$B&amp;盘货信息!$C:$C,盘货信息!$S:$S)&lt;1,"","【"&amp;盘货信息!$S$1&amp;"】"&amp;"后返"&amp;_xlfn.XLOOKUP($A204&amp;$B204&amp;$C204,盘货信息!$A:$A&amp;盘货信息!$B:$B&amp;盘货信息!$C:$C,盘货信息!$S:$S)&amp;"元")</f>
        <v/>
      </c>
      <c r="Q204" s="27" t="str" cm="1">
        <f t="array" ref="Q204">IF(_xlfn.XLOOKUP($A204&amp;$B204&amp;$C204,盘货信息!$A:$A&amp;盘货信息!$B:$B&amp;盘货信息!$C:$C,盘货信息!$X:$X)="","","【"&amp;盘货信息!$X$1&amp;"】"&amp;_xlfn.XLOOKUP($A204&amp;$B204&amp;$C204,盘货信息!$A:$A&amp;盘货信息!$B:$B&amp;盘货信息!$C:$C,盘货信息!$X:$X))</f>
        <v/>
      </c>
      <c r="R204" s="27" t="str" cm="1">
        <f t="array" ref="R204">IF(_xlfn.XLOOKUP($A204&amp;$B204&amp;$C204,盘货信息!$A:$A&amp;盘货信息!$B:$B&amp;盘货信息!$C:$C,盘货信息!$Z:$Z)="","","【"&amp;盘货信息!$Z$1&amp;"】"&amp;_xlfn.XLOOKUP($A204&amp;$B204&amp;$C204,盘货信息!$A:$A&amp;盘货信息!$B:$B&amp;盘货信息!$C:$C,盘货信息!$Z:$Z))</f>
        <v/>
      </c>
      <c r="S204" s="27" t="str" cm="1">
        <f t="array" ref="S204">IF(_xlfn.XLOOKUP($A204&amp;$B204&amp;$C204,盘货信息!$A:$A&amp;盘货信息!$B:$B&amp;盘货信息!$C:$C,盘货信息!$Q:$Q)="","","【种草】站外带指定话题种草后返"&amp;_xlfn.XLOOKUP($A204&amp;$B204&amp;$C204,盘货信息!$A:$A&amp;盘货信息!$B:$B&amp;盘货信息!$C:$C,盘货信息!$Q:$Q)&amp;"元红包（每个淘宝账号仅限对应一个站外种草账号，同一个种草账号不可对应多个淘宝账号）")</f>
        <v/>
      </c>
      <c r="T204" s="27" t="str" cm="1">
        <f t="array" ref="T204">IF(_xlfn.XLOOKUP($A204&amp;$B204&amp;$C204,盘货信息!$A:$A&amp;盘货信息!$B:$B&amp;盘货信息!$C:$C,盘货信息!$R:$R)&lt;1,"","【以旧换新】"&amp;"享补贴"&amp;ROUND(_xlfn.XLOOKUP($A204&amp;$B204&amp;$C204,盘货信息!$A:$A&amp;盘货信息!$B:$B&amp;盘货信息!$C:$C,盘货信息!$R:$R),0)&amp;"元（可无旧机换新）")</f>
        <v/>
      </c>
      <c r="U204" s="27" t="str">
        <f>IF(AND($N204="",$O204="",$P204="",$Q204="",$R204="",$S204="",$T204=""),"",固定信息!$B$1)</f>
        <v/>
      </c>
      <c r="V204" s="27" t="str" cm="1">
        <f t="array" ref="V204">IF(_xlfn.XLOOKUP($A204&amp;$B204&amp;$C204,盘货信息!$A:$A&amp;盘货信息!$B:$B&amp;盘货信息!$C:$C,盘货信息!$Y:$Y)="","","【卡萨帝送赠】活动指定时间"&amp;_xlfn.TEXTBEFORE(_xlfn.TEXTAFTER(_xlfn.XLOOKUP($A204&amp;$B204&amp;$C204,盘货信息!$A:$A&amp;盘货信息!$B:$B&amp;盘货信息!$C:$C,盘货信息!$Y:$Y),"点"),"（"))</f>
        <v/>
      </c>
      <c r="W204" s="27" t="str" cm="1">
        <f t="array" ref="W204">IF(COUNTIF(_xlfn.XLOOKUP($A204&amp;$B204&amp;$C204,盘货信息!$A:$A&amp;盘货信息!$B:$B&amp;盘货信息!$C:$C,盘货信息!$O:$O),"*是*"),"【折扣】指定型号满2类享96折，满3类享94折","")</f>
        <v/>
      </c>
      <c r="X204" s="27" t="str" cm="1">
        <f t="array" ref="X204">IF(固定信息!$B$7="","",IF(_xlfn.XLOOKUP($A204&amp;$B204&amp;$C204,盘货信息!$A:$A&amp;盘货信息!$B:$B&amp;盘货信息!$C:$C,盘货信息!$N:$N)="是","【瓜分】"&amp;固定信息!$B$7,""))</f>
        <v/>
      </c>
      <c r="Y204" s="27" t="str">
        <f>IF(AND($V204="",$W204="",$X204=""),"",固定信息!$B$1)</f>
        <v/>
      </c>
      <c r="Z204" s="27" t="str" cm="1">
        <f t="array" ref="Z204">IF($C204="","",_xlfn.XLOOKUP($A204&amp;$B204&amp;$C204,服务!$A:$A&amp;服务!$B:$B&amp;服务!$C:$C,服务!$D:$D))</f>
        <v/>
      </c>
    </row>
    <row r="205" customHeight="1" spans="1:26">
      <c r="A205" s="23" t="str">
        <f>IF(盘货信息!A205="","",盘货信息!A205)</f>
        <v/>
      </c>
      <c r="B205" s="26" t="str">
        <f>IF(盘货信息!B205="","",盘货信息!B205)</f>
        <v/>
      </c>
      <c r="C205" s="23" t="str">
        <f>IF(盘货信息!C205="","",盘货信息!C205)</f>
        <v/>
      </c>
      <c r="D205" s="27" t="str">
        <f ca="1" t="shared" si="3"/>
        <v/>
      </c>
      <c r="E205" s="27" t="str">
        <f>IF(C205="","",固定信息!$B$2)</f>
        <v/>
      </c>
      <c r="F205" s="27" t="str">
        <f>IF(C205="","","【"&amp;C205&amp;"】"&amp;固定信息!$B$4)</f>
        <v/>
      </c>
      <c r="G205" s="27" t="str">
        <f>IF(C205="","","【"&amp;"活动时间："&amp;固定信息!$B$3&amp;"】")</f>
        <v/>
      </c>
      <c r="H205" s="27" t="str">
        <f>IF($C205="","",固定信息!$B$1)</f>
        <v/>
      </c>
      <c r="I205" s="27" t="str">
        <f>IF(OR(C205="",固定信息!$B$5=""),"","【1元预约锁好礼】"&amp;固定信息!$B$5)</f>
        <v/>
      </c>
      <c r="J205" s="27" t="str" cm="1">
        <f t="array" ref="J205">_xlfn.XLOOKUP($A205&amp;$B205&amp;$C205,价格信息!$A:$A&amp;价格信息!$B:$B&amp;价格信息!$C:$C,价格信息!$D:$D)</f>
        <v/>
      </c>
      <c r="K205" s="27" t="str">
        <f>IF($C205="","",固定信息!$B$1)</f>
        <v/>
      </c>
      <c r="L205" s="27" t="str" cm="1">
        <f t="array" ref="L205">IF(_xlfn.XLOOKUP($A205&amp;$B205&amp;$C205,盘货信息!$A:$A&amp;盘货信息!$B:$B&amp;盘货信息!$C:$C,盘货信息!$T:$T)="","","【优惠券】领"&amp;_xlfn.XLOOKUP($A205&amp;$B205&amp;$C205,盘货信息!$A:$A&amp;盘货信息!$B:$B&amp;盘货信息!$C:$C,盘货信息!$T:$T)&amp;"元优惠卷下单更优惠，领券链接："&amp;_xlfn.XLOOKUP($A205&amp;$B205&amp;$C205,盘货信息!$A:$A&amp;盘货信息!$B:$B&amp;盘货信息!$C:$C,盘货信息!$U:$U))</f>
        <v/>
      </c>
      <c r="M205" s="27" t="str" cm="1">
        <f t="array" ref="M205">IF(_xlfn.XLOOKUP($A205&amp;$B205&amp;$C205,盘货信息!$A:$A&amp;盘货信息!$B:$B&amp;盘货信息!$C:$C,盘货信息!$P:$P)="","","【限时】"&amp;_xlfn.XLOOKUP($A205&amp;$B205&amp;$C205,盘货信息!$A:$A&amp;盘货信息!$B:$B&amp;盘货信息!$C:$C,盘货信息!$P:$P))</f>
        <v/>
      </c>
      <c r="N205" s="27" t="str" cm="1">
        <f t="array" ref="N205">IF(_xlfn.XLOOKUP($A205&amp;$B205&amp;$C205,盘货信息!$A:$A&amp;盘货信息!$B:$B&amp;盘货信息!$C:$C,盘货信息!$V:$V)="","","【"&amp;盘货信息!$V$1&amp;"】"&amp;_xlfn.XLOOKUP($A205&amp;$B205&amp;$C205,盘货信息!$A:$A&amp;盘货信息!$B:$B&amp;盘货信息!$C:$C,盘货信息!$V:$V))</f>
        <v/>
      </c>
      <c r="O205" s="27" t="str" cm="1">
        <f t="array" ref="O205">IF(_xlfn.XLOOKUP($A205&amp;$B205&amp;$C205,盘货信息!$A:$A&amp;盘货信息!$B:$B&amp;盘货信息!$C:$C,盘货信息!$W:$W)="","","【"&amp;盘货信息!$W$1&amp;"】"&amp;_xlfn.XLOOKUP($A205&amp;$B205&amp;$C205,盘货信息!$A:$A&amp;盘货信息!$B:$B&amp;盘货信息!$C:$C,盘货信息!$W:$W))</f>
        <v/>
      </c>
      <c r="P205" s="27" t="str" cm="1">
        <f t="array" ref="P205">IF(_xlfn.XLOOKUP($A205&amp;$B205&amp;$C205,盘货信息!$A:$A&amp;盘货信息!$B:$B&amp;盘货信息!$C:$C,盘货信息!$S:$S)&lt;1,"","【"&amp;盘货信息!$S$1&amp;"】"&amp;"后返"&amp;_xlfn.XLOOKUP($A205&amp;$B205&amp;$C205,盘货信息!$A:$A&amp;盘货信息!$B:$B&amp;盘货信息!$C:$C,盘货信息!$S:$S)&amp;"元")</f>
        <v/>
      </c>
      <c r="Q205" s="27" t="str" cm="1">
        <f t="array" ref="Q205">IF(_xlfn.XLOOKUP($A205&amp;$B205&amp;$C205,盘货信息!$A:$A&amp;盘货信息!$B:$B&amp;盘货信息!$C:$C,盘货信息!$X:$X)="","","【"&amp;盘货信息!$X$1&amp;"】"&amp;_xlfn.XLOOKUP($A205&amp;$B205&amp;$C205,盘货信息!$A:$A&amp;盘货信息!$B:$B&amp;盘货信息!$C:$C,盘货信息!$X:$X))</f>
        <v/>
      </c>
      <c r="R205" s="27" t="str" cm="1">
        <f t="array" ref="R205">IF(_xlfn.XLOOKUP($A205&amp;$B205&amp;$C205,盘货信息!$A:$A&amp;盘货信息!$B:$B&amp;盘货信息!$C:$C,盘货信息!$Z:$Z)="","","【"&amp;盘货信息!$Z$1&amp;"】"&amp;_xlfn.XLOOKUP($A205&amp;$B205&amp;$C205,盘货信息!$A:$A&amp;盘货信息!$B:$B&amp;盘货信息!$C:$C,盘货信息!$Z:$Z))</f>
        <v/>
      </c>
      <c r="S205" s="27" t="str" cm="1">
        <f t="array" ref="S205">IF(_xlfn.XLOOKUP($A205&amp;$B205&amp;$C205,盘货信息!$A:$A&amp;盘货信息!$B:$B&amp;盘货信息!$C:$C,盘货信息!$Q:$Q)="","","【种草】站外带指定话题种草后返"&amp;_xlfn.XLOOKUP($A205&amp;$B205&amp;$C205,盘货信息!$A:$A&amp;盘货信息!$B:$B&amp;盘货信息!$C:$C,盘货信息!$Q:$Q)&amp;"元红包（每个淘宝账号仅限对应一个站外种草账号，同一个种草账号不可对应多个淘宝账号）")</f>
        <v/>
      </c>
      <c r="T205" s="27" t="str" cm="1">
        <f t="array" ref="T205">IF(_xlfn.XLOOKUP($A205&amp;$B205&amp;$C205,盘货信息!$A:$A&amp;盘货信息!$B:$B&amp;盘货信息!$C:$C,盘货信息!$R:$R)&lt;1,"","【以旧换新】"&amp;"享补贴"&amp;ROUND(_xlfn.XLOOKUP($A205&amp;$B205&amp;$C205,盘货信息!$A:$A&amp;盘货信息!$B:$B&amp;盘货信息!$C:$C,盘货信息!$R:$R),0)&amp;"元（可无旧机换新）")</f>
        <v/>
      </c>
      <c r="U205" s="27" t="str">
        <f>IF(AND($N205="",$O205="",$P205="",$Q205="",$R205="",$S205="",$T205=""),"",固定信息!$B$1)</f>
        <v/>
      </c>
      <c r="V205" s="27" t="str" cm="1">
        <f t="array" ref="V205">IF(_xlfn.XLOOKUP($A205&amp;$B205&amp;$C205,盘货信息!$A:$A&amp;盘货信息!$B:$B&amp;盘货信息!$C:$C,盘货信息!$Y:$Y)="","","【卡萨帝送赠】活动指定时间"&amp;_xlfn.TEXTBEFORE(_xlfn.TEXTAFTER(_xlfn.XLOOKUP($A205&amp;$B205&amp;$C205,盘货信息!$A:$A&amp;盘货信息!$B:$B&amp;盘货信息!$C:$C,盘货信息!$Y:$Y),"点"),"（"))</f>
        <v/>
      </c>
      <c r="W205" s="27" t="str" cm="1">
        <f t="array" ref="W205">IF(COUNTIF(_xlfn.XLOOKUP($A205&amp;$B205&amp;$C205,盘货信息!$A:$A&amp;盘货信息!$B:$B&amp;盘货信息!$C:$C,盘货信息!$O:$O),"*是*"),"【折扣】指定型号满2类享96折，满3类享94折","")</f>
        <v/>
      </c>
      <c r="X205" s="27" t="str" cm="1">
        <f t="array" ref="X205">IF(固定信息!$B$7="","",IF(_xlfn.XLOOKUP($A205&amp;$B205&amp;$C205,盘货信息!$A:$A&amp;盘货信息!$B:$B&amp;盘货信息!$C:$C,盘货信息!$N:$N)="是","【瓜分】"&amp;固定信息!$B$7,""))</f>
        <v/>
      </c>
      <c r="Y205" s="27" t="str">
        <f>IF(AND($V205="",$W205="",$X205=""),"",固定信息!$B$1)</f>
        <v/>
      </c>
      <c r="Z205" s="27" t="str" cm="1">
        <f t="array" ref="Z205">IF($C205="","",_xlfn.XLOOKUP($A205&amp;$B205&amp;$C205,服务!$A:$A&amp;服务!$B:$B&amp;服务!$C:$C,服务!$D:$D))</f>
        <v/>
      </c>
    </row>
    <row r="206" customHeight="1" spans="1:26">
      <c r="A206" s="23" t="str">
        <f>IF(盘货信息!A206="","",盘货信息!A206)</f>
        <v/>
      </c>
      <c r="B206" s="26" t="str">
        <f>IF(盘货信息!B206="","",盘货信息!B206)</f>
        <v/>
      </c>
      <c r="C206" s="23" t="str">
        <f>IF(盘货信息!C206="","",盘货信息!C206)</f>
        <v/>
      </c>
      <c r="D206" s="27" t="str">
        <f ca="1" t="shared" si="3"/>
        <v/>
      </c>
      <c r="E206" s="27" t="str">
        <f>IF(C206="","",固定信息!$B$2)</f>
        <v/>
      </c>
      <c r="F206" s="27" t="str">
        <f>IF(C206="","","【"&amp;C206&amp;"】"&amp;固定信息!$B$4)</f>
        <v/>
      </c>
      <c r="G206" s="27" t="str">
        <f>IF(C206="","","【"&amp;"活动时间："&amp;固定信息!$B$3&amp;"】")</f>
        <v/>
      </c>
      <c r="H206" s="27" t="str">
        <f>IF($C206="","",固定信息!$B$1)</f>
        <v/>
      </c>
      <c r="I206" s="27" t="str">
        <f>IF(OR(C206="",固定信息!$B$5=""),"","【1元预约锁好礼】"&amp;固定信息!$B$5)</f>
        <v/>
      </c>
      <c r="J206" s="27" t="str" cm="1">
        <f t="array" ref="J206">_xlfn.XLOOKUP($A206&amp;$B206&amp;$C206,价格信息!$A:$A&amp;价格信息!$B:$B&amp;价格信息!$C:$C,价格信息!$D:$D)</f>
        <v/>
      </c>
      <c r="K206" s="27" t="str">
        <f>IF($C206="","",固定信息!$B$1)</f>
        <v/>
      </c>
      <c r="L206" s="27" t="str" cm="1">
        <f t="array" ref="L206">IF(_xlfn.XLOOKUP($A206&amp;$B206&amp;$C206,盘货信息!$A:$A&amp;盘货信息!$B:$B&amp;盘货信息!$C:$C,盘货信息!$T:$T)="","","【优惠券】领"&amp;_xlfn.XLOOKUP($A206&amp;$B206&amp;$C206,盘货信息!$A:$A&amp;盘货信息!$B:$B&amp;盘货信息!$C:$C,盘货信息!$T:$T)&amp;"元优惠卷下单更优惠，领券链接："&amp;_xlfn.XLOOKUP($A206&amp;$B206&amp;$C206,盘货信息!$A:$A&amp;盘货信息!$B:$B&amp;盘货信息!$C:$C,盘货信息!$U:$U))</f>
        <v/>
      </c>
      <c r="M206" s="27" t="str" cm="1">
        <f t="array" ref="M206">IF(_xlfn.XLOOKUP($A206&amp;$B206&amp;$C206,盘货信息!$A:$A&amp;盘货信息!$B:$B&amp;盘货信息!$C:$C,盘货信息!$P:$P)="","","【限时】"&amp;_xlfn.XLOOKUP($A206&amp;$B206&amp;$C206,盘货信息!$A:$A&amp;盘货信息!$B:$B&amp;盘货信息!$C:$C,盘货信息!$P:$P))</f>
        <v/>
      </c>
      <c r="N206" s="27" t="str" cm="1">
        <f t="array" ref="N206">IF(_xlfn.XLOOKUP($A206&amp;$B206&amp;$C206,盘货信息!$A:$A&amp;盘货信息!$B:$B&amp;盘货信息!$C:$C,盘货信息!$V:$V)="","","【"&amp;盘货信息!$V$1&amp;"】"&amp;_xlfn.XLOOKUP($A206&amp;$B206&amp;$C206,盘货信息!$A:$A&amp;盘货信息!$B:$B&amp;盘货信息!$C:$C,盘货信息!$V:$V))</f>
        <v/>
      </c>
      <c r="O206" s="27" t="str" cm="1">
        <f t="array" ref="O206">IF(_xlfn.XLOOKUP($A206&amp;$B206&amp;$C206,盘货信息!$A:$A&amp;盘货信息!$B:$B&amp;盘货信息!$C:$C,盘货信息!$W:$W)="","","【"&amp;盘货信息!$W$1&amp;"】"&amp;_xlfn.XLOOKUP($A206&amp;$B206&amp;$C206,盘货信息!$A:$A&amp;盘货信息!$B:$B&amp;盘货信息!$C:$C,盘货信息!$W:$W))</f>
        <v/>
      </c>
      <c r="P206" s="27" t="str" cm="1">
        <f t="array" ref="P206">IF(_xlfn.XLOOKUP($A206&amp;$B206&amp;$C206,盘货信息!$A:$A&amp;盘货信息!$B:$B&amp;盘货信息!$C:$C,盘货信息!$S:$S)&lt;1,"","【"&amp;盘货信息!$S$1&amp;"】"&amp;"后返"&amp;_xlfn.XLOOKUP($A206&amp;$B206&amp;$C206,盘货信息!$A:$A&amp;盘货信息!$B:$B&amp;盘货信息!$C:$C,盘货信息!$S:$S)&amp;"元")</f>
        <v/>
      </c>
      <c r="Q206" s="27" t="str" cm="1">
        <f t="array" ref="Q206">IF(_xlfn.XLOOKUP($A206&amp;$B206&amp;$C206,盘货信息!$A:$A&amp;盘货信息!$B:$B&amp;盘货信息!$C:$C,盘货信息!$X:$X)="","","【"&amp;盘货信息!$X$1&amp;"】"&amp;_xlfn.XLOOKUP($A206&amp;$B206&amp;$C206,盘货信息!$A:$A&amp;盘货信息!$B:$B&amp;盘货信息!$C:$C,盘货信息!$X:$X))</f>
        <v/>
      </c>
      <c r="R206" s="27" t="str" cm="1">
        <f t="array" ref="R206">IF(_xlfn.XLOOKUP($A206&amp;$B206&amp;$C206,盘货信息!$A:$A&amp;盘货信息!$B:$B&amp;盘货信息!$C:$C,盘货信息!$Z:$Z)="","","【"&amp;盘货信息!$Z$1&amp;"】"&amp;_xlfn.XLOOKUP($A206&amp;$B206&amp;$C206,盘货信息!$A:$A&amp;盘货信息!$B:$B&amp;盘货信息!$C:$C,盘货信息!$Z:$Z))</f>
        <v/>
      </c>
      <c r="S206" s="27" t="str" cm="1">
        <f t="array" ref="S206">IF(_xlfn.XLOOKUP($A206&amp;$B206&amp;$C206,盘货信息!$A:$A&amp;盘货信息!$B:$B&amp;盘货信息!$C:$C,盘货信息!$Q:$Q)="","","【种草】站外带指定话题种草后返"&amp;_xlfn.XLOOKUP($A206&amp;$B206&amp;$C206,盘货信息!$A:$A&amp;盘货信息!$B:$B&amp;盘货信息!$C:$C,盘货信息!$Q:$Q)&amp;"元红包（每个淘宝账号仅限对应一个站外种草账号，同一个种草账号不可对应多个淘宝账号）")</f>
        <v/>
      </c>
      <c r="T206" s="27" t="str" cm="1">
        <f t="array" ref="T206">IF(_xlfn.XLOOKUP($A206&amp;$B206&amp;$C206,盘货信息!$A:$A&amp;盘货信息!$B:$B&amp;盘货信息!$C:$C,盘货信息!$R:$R)&lt;1,"","【以旧换新】"&amp;"享补贴"&amp;ROUND(_xlfn.XLOOKUP($A206&amp;$B206&amp;$C206,盘货信息!$A:$A&amp;盘货信息!$B:$B&amp;盘货信息!$C:$C,盘货信息!$R:$R),0)&amp;"元（可无旧机换新）")</f>
        <v/>
      </c>
      <c r="U206" s="27" t="str">
        <f>IF(AND($N206="",$O206="",$P206="",$Q206="",$R206="",$S206="",$T206=""),"",固定信息!$B$1)</f>
        <v/>
      </c>
      <c r="V206" s="27" t="str" cm="1">
        <f t="array" ref="V206">IF(_xlfn.XLOOKUP($A206&amp;$B206&amp;$C206,盘货信息!$A:$A&amp;盘货信息!$B:$B&amp;盘货信息!$C:$C,盘货信息!$Y:$Y)="","","【卡萨帝送赠】活动指定时间"&amp;_xlfn.TEXTBEFORE(_xlfn.TEXTAFTER(_xlfn.XLOOKUP($A206&amp;$B206&amp;$C206,盘货信息!$A:$A&amp;盘货信息!$B:$B&amp;盘货信息!$C:$C,盘货信息!$Y:$Y),"点"),"（"))</f>
        <v/>
      </c>
      <c r="W206" s="27" t="str" cm="1">
        <f t="array" ref="W206">IF(COUNTIF(_xlfn.XLOOKUP($A206&amp;$B206&amp;$C206,盘货信息!$A:$A&amp;盘货信息!$B:$B&amp;盘货信息!$C:$C,盘货信息!$O:$O),"*是*"),"【折扣】指定型号满2类享96折，满3类享94折","")</f>
        <v/>
      </c>
      <c r="X206" s="27" t="str" cm="1">
        <f t="array" ref="X206">IF(固定信息!$B$7="","",IF(_xlfn.XLOOKUP($A206&amp;$B206&amp;$C206,盘货信息!$A:$A&amp;盘货信息!$B:$B&amp;盘货信息!$C:$C,盘货信息!$N:$N)="是","【瓜分】"&amp;固定信息!$B$7,""))</f>
        <v/>
      </c>
      <c r="Y206" s="27" t="str">
        <f>IF(AND($V206="",$W206="",$X206=""),"",固定信息!$B$1)</f>
        <v/>
      </c>
      <c r="Z206" s="27" t="str" cm="1">
        <f t="array" ref="Z206">IF($C206="","",_xlfn.XLOOKUP($A206&amp;$B206&amp;$C206,服务!$A:$A&amp;服务!$B:$B&amp;服务!$C:$C,服务!$D:$D))</f>
        <v/>
      </c>
    </row>
    <row r="207" customHeight="1" spans="1:26">
      <c r="A207" s="23" t="str">
        <f>IF(盘货信息!A207="","",盘货信息!A207)</f>
        <v/>
      </c>
      <c r="B207" s="26" t="str">
        <f>IF(盘货信息!B207="","",盘货信息!B207)</f>
        <v/>
      </c>
      <c r="C207" s="23" t="str">
        <f>IF(盘货信息!C207="","",盘货信息!C207)</f>
        <v/>
      </c>
      <c r="D207" s="27" t="str">
        <f ca="1" t="shared" si="3"/>
        <v/>
      </c>
      <c r="E207" s="27" t="str">
        <f>IF(C207="","",固定信息!$B$2)</f>
        <v/>
      </c>
      <c r="F207" s="27" t="str">
        <f>IF(C207="","","【"&amp;C207&amp;"】"&amp;固定信息!$B$4)</f>
        <v/>
      </c>
      <c r="G207" s="27" t="str">
        <f>IF(C207="","","【"&amp;"活动时间："&amp;固定信息!$B$3&amp;"】")</f>
        <v/>
      </c>
      <c r="H207" s="27" t="str">
        <f>IF($C207="","",固定信息!$B$1)</f>
        <v/>
      </c>
      <c r="I207" s="27" t="str">
        <f>IF(OR(C207="",固定信息!$B$5=""),"","【1元预约锁好礼】"&amp;固定信息!$B$5)</f>
        <v/>
      </c>
      <c r="J207" s="27" t="str" cm="1">
        <f t="array" ref="J207">_xlfn.XLOOKUP($A207&amp;$B207&amp;$C207,价格信息!$A:$A&amp;价格信息!$B:$B&amp;价格信息!$C:$C,价格信息!$D:$D)</f>
        <v/>
      </c>
      <c r="K207" s="27" t="str">
        <f>IF($C207="","",固定信息!$B$1)</f>
        <v/>
      </c>
      <c r="L207" s="27" t="str" cm="1">
        <f t="array" ref="L207">IF(_xlfn.XLOOKUP($A207&amp;$B207&amp;$C207,盘货信息!$A:$A&amp;盘货信息!$B:$B&amp;盘货信息!$C:$C,盘货信息!$T:$T)="","","【优惠券】领"&amp;_xlfn.XLOOKUP($A207&amp;$B207&amp;$C207,盘货信息!$A:$A&amp;盘货信息!$B:$B&amp;盘货信息!$C:$C,盘货信息!$T:$T)&amp;"元优惠卷下单更优惠，领券链接："&amp;_xlfn.XLOOKUP($A207&amp;$B207&amp;$C207,盘货信息!$A:$A&amp;盘货信息!$B:$B&amp;盘货信息!$C:$C,盘货信息!$U:$U))</f>
        <v/>
      </c>
      <c r="M207" s="27" t="str" cm="1">
        <f t="array" ref="M207">IF(_xlfn.XLOOKUP($A207&amp;$B207&amp;$C207,盘货信息!$A:$A&amp;盘货信息!$B:$B&amp;盘货信息!$C:$C,盘货信息!$P:$P)="","","【限时】"&amp;_xlfn.XLOOKUP($A207&amp;$B207&amp;$C207,盘货信息!$A:$A&amp;盘货信息!$B:$B&amp;盘货信息!$C:$C,盘货信息!$P:$P))</f>
        <v/>
      </c>
      <c r="N207" s="27" t="str" cm="1">
        <f t="array" ref="N207">IF(_xlfn.XLOOKUP($A207&amp;$B207&amp;$C207,盘货信息!$A:$A&amp;盘货信息!$B:$B&amp;盘货信息!$C:$C,盘货信息!$V:$V)="","","【"&amp;盘货信息!$V$1&amp;"】"&amp;_xlfn.XLOOKUP($A207&amp;$B207&amp;$C207,盘货信息!$A:$A&amp;盘货信息!$B:$B&amp;盘货信息!$C:$C,盘货信息!$V:$V))</f>
        <v/>
      </c>
      <c r="O207" s="27" t="str" cm="1">
        <f t="array" ref="O207">IF(_xlfn.XLOOKUP($A207&amp;$B207&amp;$C207,盘货信息!$A:$A&amp;盘货信息!$B:$B&amp;盘货信息!$C:$C,盘货信息!$W:$W)="","","【"&amp;盘货信息!$W$1&amp;"】"&amp;_xlfn.XLOOKUP($A207&amp;$B207&amp;$C207,盘货信息!$A:$A&amp;盘货信息!$B:$B&amp;盘货信息!$C:$C,盘货信息!$W:$W))</f>
        <v/>
      </c>
      <c r="P207" s="27" t="str" cm="1">
        <f t="array" ref="P207">IF(_xlfn.XLOOKUP($A207&amp;$B207&amp;$C207,盘货信息!$A:$A&amp;盘货信息!$B:$B&amp;盘货信息!$C:$C,盘货信息!$S:$S)&lt;1,"","【"&amp;盘货信息!$S$1&amp;"】"&amp;"后返"&amp;_xlfn.XLOOKUP($A207&amp;$B207&amp;$C207,盘货信息!$A:$A&amp;盘货信息!$B:$B&amp;盘货信息!$C:$C,盘货信息!$S:$S)&amp;"元")</f>
        <v/>
      </c>
      <c r="Q207" s="27" t="str" cm="1">
        <f t="array" ref="Q207">IF(_xlfn.XLOOKUP($A207&amp;$B207&amp;$C207,盘货信息!$A:$A&amp;盘货信息!$B:$B&amp;盘货信息!$C:$C,盘货信息!$X:$X)="","","【"&amp;盘货信息!$X$1&amp;"】"&amp;_xlfn.XLOOKUP($A207&amp;$B207&amp;$C207,盘货信息!$A:$A&amp;盘货信息!$B:$B&amp;盘货信息!$C:$C,盘货信息!$X:$X))</f>
        <v/>
      </c>
      <c r="R207" s="27" t="str" cm="1">
        <f t="array" ref="R207">IF(_xlfn.XLOOKUP($A207&amp;$B207&amp;$C207,盘货信息!$A:$A&amp;盘货信息!$B:$B&amp;盘货信息!$C:$C,盘货信息!$Z:$Z)="","","【"&amp;盘货信息!$Z$1&amp;"】"&amp;_xlfn.XLOOKUP($A207&amp;$B207&amp;$C207,盘货信息!$A:$A&amp;盘货信息!$B:$B&amp;盘货信息!$C:$C,盘货信息!$Z:$Z))</f>
        <v/>
      </c>
      <c r="S207" s="27" t="str" cm="1">
        <f t="array" ref="S207">IF(_xlfn.XLOOKUP($A207&amp;$B207&amp;$C207,盘货信息!$A:$A&amp;盘货信息!$B:$B&amp;盘货信息!$C:$C,盘货信息!$Q:$Q)="","","【种草】站外带指定话题种草后返"&amp;_xlfn.XLOOKUP($A207&amp;$B207&amp;$C207,盘货信息!$A:$A&amp;盘货信息!$B:$B&amp;盘货信息!$C:$C,盘货信息!$Q:$Q)&amp;"元红包（每个淘宝账号仅限对应一个站外种草账号，同一个种草账号不可对应多个淘宝账号）")</f>
        <v/>
      </c>
      <c r="T207" s="27" t="str" cm="1">
        <f t="array" ref="T207">IF(_xlfn.XLOOKUP($A207&amp;$B207&amp;$C207,盘货信息!$A:$A&amp;盘货信息!$B:$B&amp;盘货信息!$C:$C,盘货信息!$R:$R)&lt;1,"","【以旧换新】"&amp;"享补贴"&amp;ROUND(_xlfn.XLOOKUP($A207&amp;$B207&amp;$C207,盘货信息!$A:$A&amp;盘货信息!$B:$B&amp;盘货信息!$C:$C,盘货信息!$R:$R),0)&amp;"元（可无旧机换新）")</f>
        <v/>
      </c>
      <c r="U207" s="27" t="str">
        <f>IF(AND($N207="",$O207="",$P207="",$Q207="",$R207="",$S207="",$T207=""),"",固定信息!$B$1)</f>
        <v/>
      </c>
      <c r="V207" s="27" t="str" cm="1">
        <f t="array" ref="V207">IF(_xlfn.XLOOKUP($A207&amp;$B207&amp;$C207,盘货信息!$A:$A&amp;盘货信息!$B:$B&amp;盘货信息!$C:$C,盘货信息!$Y:$Y)="","","【卡萨帝送赠】活动指定时间"&amp;_xlfn.TEXTBEFORE(_xlfn.TEXTAFTER(_xlfn.XLOOKUP($A207&amp;$B207&amp;$C207,盘货信息!$A:$A&amp;盘货信息!$B:$B&amp;盘货信息!$C:$C,盘货信息!$Y:$Y),"点"),"（"))</f>
        <v/>
      </c>
      <c r="W207" s="27" t="str" cm="1">
        <f t="array" ref="W207">IF(COUNTIF(_xlfn.XLOOKUP($A207&amp;$B207&amp;$C207,盘货信息!$A:$A&amp;盘货信息!$B:$B&amp;盘货信息!$C:$C,盘货信息!$O:$O),"*是*"),"【折扣】指定型号满2类享96折，满3类享94折","")</f>
        <v/>
      </c>
      <c r="X207" s="27" t="str" cm="1">
        <f t="array" ref="X207">IF(固定信息!$B$7="","",IF(_xlfn.XLOOKUP($A207&amp;$B207&amp;$C207,盘货信息!$A:$A&amp;盘货信息!$B:$B&amp;盘货信息!$C:$C,盘货信息!$N:$N)="是","【瓜分】"&amp;固定信息!$B$7,""))</f>
        <v/>
      </c>
      <c r="Y207" s="27" t="str">
        <f>IF(AND($V207="",$W207="",$X207=""),"",固定信息!$B$1)</f>
        <v/>
      </c>
      <c r="Z207" s="27" t="str" cm="1">
        <f t="array" ref="Z207">IF($C207="","",_xlfn.XLOOKUP($A207&amp;$B207&amp;$C207,服务!$A:$A&amp;服务!$B:$B&amp;服务!$C:$C,服务!$D:$D))</f>
        <v/>
      </c>
    </row>
    <row r="208" customHeight="1" spans="1:26">
      <c r="A208" s="23" t="str">
        <f>IF(盘货信息!A208="","",盘货信息!A208)</f>
        <v/>
      </c>
      <c r="B208" s="26" t="str">
        <f>IF(盘货信息!B208="","",盘货信息!B208)</f>
        <v/>
      </c>
      <c r="C208" s="23" t="str">
        <f>IF(盘货信息!C208="","",盘货信息!C208)</f>
        <v/>
      </c>
      <c r="D208" s="27" t="str">
        <f ca="1" t="shared" si="3"/>
        <v/>
      </c>
      <c r="E208" s="27" t="str">
        <f>IF(C208="","",固定信息!$B$2)</f>
        <v/>
      </c>
      <c r="F208" s="27" t="str">
        <f>IF(C208="","","【"&amp;C208&amp;"】"&amp;固定信息!$B$4)</f>
        <v/>
      </c>
      <c r="G208" s="27" t="str">
        <f>IF(C208="","","【"&amp;"活动时间："&amp;固定信息!$B$3&amp;"】")</f>
        <v/>
      </c>
      <c r="H208" s="27" t="str">
        <f>IF($C208="","",固定信息!$B$1)</f>
        <v/>
      </c>
      <c r="I208" s="27" t="str">
        <f>IF(OR(C208="",固定信息!$B$5=""),"","【1元预约锁好礼】"&amp;固定信息!$B$5)</f>
        <v/>
      </c>
      <c r="J208" s="27" t="str" cm="1">
        <f t="array" ref="J208">_xlfn.XLOOKUP($A208&amp;$B208&amp;$C208,价格信息!$A:$A&amp;价格信息!$B:$B&amp;价格信息!$C:$C,价格信息!$D:$D)</f>
        <v/>
      </c>
      <c r="K208" s="27" t="str">
        <f>IF($C208="","",固定信息!$B$1)</f>
        <v/>
      </c>
      <c r="L208" s="27" t="str" cm="1">
        <f t="array" ref="L208">IF(_xlfn.XLOOKUP($A208&amp;$B208&amp;$C208,盘货信息!$A:$A&amp;盘货信息!$B:$B&amp;盘货信息!$C:$C,盘货信息!$T:$T)="","","【优惠券】领"&amp;_xlfn.XLOOKUP($A208&amp;$B208&amp;$C208,盘货信息!$A:$A&amp;盘货信息!$B:$B&amp;盘货信息!$C:$C,盘货信息!$T:$T)&amp;"元优惠卷下单更优惠，领券链接："&amp;_xlfn.XLOOKUP($A208&amp;$B208&amp;$C208,盘货信息!$A:$A&amp;盘货信息!$B:$B&amp;盘货信息!$C:$C,盘货信息!$U:$U))</f>
        <v/>
      </c>
      <c r="M208" s="27" t="str" cm="1">
        <f t="array" ref="M208">IF(_xlfn.XLOOKUP($A208&amp;$B208&amp;$C208,盘货信息!$A:$A&amp;盘货信息!$B:$B&amp;盘货信息!$C:$C,盘货信息!$P:$P)="","","【限时】"&amp;_xlfn.XLOOKUP($A208&amp;$B208&amp;$C208,盘货信息!$A:$A&amp;盘货信息!$B:$B&amp;盘货信息!$C:$C,盘货信息!$P:$P))</f>
        <v/>
      </c>
      <c r="N208" s="27" t="str" cm="1">
        <f t="array" ref="N208">IF(_xlfn.XLOOKUP($A208&amp;$B208&amp;$C208,盘货信息!$A:$A&amp;盘货信息!$B:$B&amp;盘货信息!$C:$C,盘货信息!$V:$V)="","","【"&amp;盘货信息!$V$1&amp;"】"&amp;_xlfn.XLOOKUP($A208&amp;$B208&amp;$C208,盘货信息!$A:$A&amp;盘货信息!$B:$B&amp;盘货信息!$C:$C,盘货信息!$V:$V))</f>
        <v/>
      </c>
      <c r="O208" s="27" t="str" cm="1">
        <f t="array" ref="O208">IF(_xlfn.XLOOKUP($A208&amp;$B208&amp;$C208,盘货信息!$A:$A&amp;盘货信息!$B:$B&amp;盘货信息!$C:$C,盘货信息!$W:$W)="","","【"&amp;盘货信息!$W$1&amp;"】"&amp;_xlfn.XLOOKUP($A208&amp;$B208&amp;$C208,盘货信息!$A:$A&amp;盘货信息!$B:$B&amp;盘货信息!$C:$C,盘货信息!$W:$W))</f>
        <v/>
      </c>
      <c r="P208" s="27" t="str" cm="1">
        <f t="array" ref="P208">IF(_xlfn.XLOOKUP($A208&amp;$B208&amp;$C208,盘货信息!$A:$A&amp;盘货信息!$B:$B&amp;盘货信息!$C:$C,盘货信息!$S:$S)&lt;1,"","【"&amp;盘货信息!$S$1&amp;"】"&amp;"后返"&amp;_xlfn.XLOOKUP($A208&amp;$B208&amp;$C208,盘货信息!$A:$A&amp;盘货信息!$B:$B&amp;盘货信息!$C:$C,盘货信息!$S:$S)&amp;"元")</f>
        <v/>
      </c>
      <c r="Q208" s="27" t="str" cm="1">
        <f t="array" ref="Q208">IF(_xlfn.XLOOKUP($A208&amp;$B208&amp;$C208,盘货信息!$A:$A&amp;盘货信息!$B:$B&amp;盘货信息!$C:$C,盘货信息!$X:$X)="","","【"&amp;盘货信息!$X$1&amp;"】"&amp;_xlfn.XLOOKUP($A208&amp;$B208&amp;$C208,盘货信息!$A:$A&amp;盘货信息!$B:$B&amp;盘货信息!$C:$C,盘货信息!$X:$X))</f>
        <v/>
      </c>
      <c r="R208" s="27" t="str" cm="1">
        <f t="array" ref="R208">IF(_xlfn.XLOOKUP($A208&amp;$B208&amp;$C208,盘货信息!$A:$A&amp;盘货信息!$B:$B&amp;盘货信息!$C:$C,盘货信息!$Z:$Z)="","","【"&amp;盘货信息!$Z$1&amp;"】"&amp;_xlfn.XLOOKUP($A208&amp;$B208&amp;$C208,盘货信息!$A:$A&amp;盘货信息!$B:$B&amp;盘货信息!$C:$C,盘货信息!$Z:$Z))</f>
        <v/>
      </c>
      <c r="S208" s="27" t="str" cm="1">
        <f t="array" ref="S208">IF(_xlfn.XLOOKUP($A208&amp;$B208&amp;$C208,盘货信息!$A:$A&amp;盘货信息!$B:$B&amp;盘货信息!$C:$C,盘货信息!$Q:$Q)="","","【种草】站外带指定话题种草后返"&amp;_xlfn.XLOOKUP($A208&amp;$B208&amp;$C208,盘货信息!$A:$A&amp;盘货信息!$B:$B&amp;盘货信息!$C:$C,盘货信息!$Q:$Q)&amp;"元红包（每个淘宝账号仅限对应一个站外种草账号，同一个种草账号不可对应多个淘宝账号）")</f>
        <v/>
      </c>
      <c r="T208" s="27" t="str" cm="1">
        <f t="array" ref="T208">IF(_xlfn.XLOOKUP($A208&amp;$B208&amp;$C208,盘货信息!$A:$A&amp;盘货信息!$B:$B&amp;盘货信息!$C:$C,盘货信息!$R:$R)&lt;1,"","【以旧换新】"&amp;"享补贴"&amp;ROUND(_xlfn.XLOOKUP($A208&amp;$B208&amp;$C208,盘货信息!$A:$A&amp;盘货信息!$B:$B&amp;盘货信息!$C:$C,盘货信息!$R:$R),0)&amp;"元（可无旧机换新）")</f>
        <v/>
      </c>
      <c r="U208" s="27" t="str">
        <f>IF(AND($N208="",$O208="",$P208="",$Q208="",$R208="",$S208="",$T208=""),"",固定信息!$B$1)</f>
        <v/>
      </c>
      <c r="V208" s="27" t="str" cm="1">
        <f t="array" ref="V208">IF(_xlfn.XLOOKUP($A208&amp;$B208&amp;$C208,盘货信息!$A:$A&amp;盘货信息!$B:$B&amp;盘货信息!$C:$C,盘货信息!$Y:$Y)="","","【卡萨帝送赠】活动指定时间"&amp;_xlfn.TEXTBEFORE(_xlfn.TEXTAFTER(_xlfn.XLOOKUP($A208&amp;$B208&amp;$C208,盘货信息!$A:$A&amp;盘货信息!$B:$B&amp;盘货信息!$C:$C,盘货信息!$Y:$Y),"点"),"（"))</f>
        <v/>
      </c>
      <c r="W208" s="27" t="str" cm="1">
        <f t="array" ref="W208">IF(COUNTIF(_xlfn.XLOOKUP($A208&amp;$B208&amp;$C208,盘货信息!$A:$A&amp;盘货信息!$B:$B&amp;盘货信息!$C:$C,盘货信息!$O:$O),"*是*"),"【折扣】指定型号满2类享96折，满3类享94折","")</f>
        <v/>
      </c>
      <c r="X208" s="27" t="str" cm="1">
        <f t="array" ref="X208">IF(固定信息!$B$7="","",IF(_xlfn.XLOOKUP($A208&amp;$B208&amp;$C208,盘货信息!$A:$A&amp;盘货信息!$B:$B&amp;盘货信息!$C:$C,盘货信息!$N:$N)="是","【瓜分】"&amp;固定信息!$B$7,""))</f>
        <v/>
      </c>
      <c r="Y208" s="27" t="str">
        <f>IF(AND($V208="",$W208="",$X208=""),"",固定信息!$B$1)</f>
        <v/>
      </c>
      <c r="Z208" s="27" t="str" cm="1">
        <f t="array" ref="Z208">IF($C208="","",_xlfn.XLOOKUP($A208&amp;$B208&amp;$C208,服务!$A:$A&amp;服务!$B:$B&amp;服务!$C:$C,服务!$D:$D))</f>
        <v/>
      </c>
    </row>
    <row r="209" customHeight="1" spans="1:26">
      <c r="A209" s="23" t="str">
        <f>IF(盘货信息!A209="","",盘货信息!A209)</f>
        <v/>
      </c>
      <c r="B209" s="26" t="str">
        <f>IF(盘货信息!B209="","",盘货信息!B209)</f>
        <v/>
      </c>
      <c r="C209" s="23" t="str">
        <f>IF(盘货信息!C209="","",盘货信息!C209)</f>
        <v/>
      </c>
      <c r="D209" s="27" t="str">
        <f ca="1" t="shared" si="3"/>
        <v/>
      </c>
      <c r="E209" s="27" t="str">
        <f>IF(C209="","",固定信息!$B$2)</f>
        <v/>
      </c>
      <c r="F209" s="27" t="str">
        <f>IF(C209="","","【"&amp;C209&amp;"】"&amp;固定信息!$B$4)</f>
        <v/>
      </c>
      <c r="G209" s="27" t="str">
        <f>IF(C209="","","【"&amp;"活动时间："&amp;固定信息!$B$3&amp;"】")</f>
        <v/>
      </c>
      <c r="H209" s="27" t="str">
        <f>IF($C209="","",固定信息!$B$1)</f>
        <v/>
      </c>
      <c r="I209" s="27" t="str">
        <f>IF(OR(C209="",固定信息!$B$5=""),"","【1元预约锁好礼】"&amp;固定信息!$B$5)</f>
        <v/>
      </c>
      <c r="J209" s="27" t="str" cm="1">
        <f t="array" ref="J209">_xlfn.XLOOKUP($A209&amp;$B209&amp;$C209,价格信息!$A:$A&amp;价格信息!$B:$B&amp;价格信息!$C:$C,价格信息!$D:$D)</f>
        <v/>
      </c>
      <c r="K209" s="27" t="str">
        <f>IF($C209="","",固定信息!$B$1)</f>
        <v/>
      </c>
      <c r="L209" s="27" t="str" cm="1">
        <f t="array" ref="L209">IF(_xlfn.XLOOKUP($A209&amp;$B209&amp;$C209,盘货信息!$A:$A&amp;盘货信息!$B:$B&amp;盘货信息!$C:$C,盘货信息!$T:$T)="","","【优惠券】领"&amp;_xlfn.XLOOKUP($A209&amp;$B209&amp;$C209,盘货信息!$A:$A&amp;盘货信息!$B:$B&amp;盘货信息!$C:$C,盘货信息!$T:$T)&amp;"元优惠卷下单更优惠，领券链接："&amp;_xlfn.XLOOKUP($A209&amp;$B209&amp;$C209,盘货信息!$A:$A&amp;盘货信息!$B:$B&amp;盘货信息!$C:$C,盘货信息!$U:$U))</f>
        <v/>
      </c>
      <c r="M209" s="27" t="str" cm="1">
        <f t="array" ref="M209">IF(_xlfn.XLOOKUP($A209&amp;$B209&amp;$C209,盘货信息!$A:$A&amp;盘货信息!$B:$B&amp;盘货信息!$C:$C,盘货信息!$P:$P)="","","【限时】"&amp;_xlfn.XLOOKUP($A209&amp;$B209&amp;$C209,盘货信息!$A:$A&amp;盘货信息!$B:$B&amp;盘货信息!$C:$C,盘货信息!$P:$P))</f>
        <v/>
      </c>
      <c r="N209" s="27" t="str" cm="1">
        <f t="array" ref="N209">IF(_xlfn.XLOOKUP($A209&amp;$B209&amp;$C209,盘货信息!$A:$A&amp;盘货信息!$B:$B&amp;盘货信息!$C:$C,盘货信息!$V:$V)="","","【"&amp;盘货信息!$V$1&amp;"】"&amp;_xlfn.XLOOKUP($A209&amp;$B209&amp;$C209,盘货信息!$A:$A&amp;盘货信息!$B:$B&amp;盘货信息!$C:$C,盘货信息!$V:$V))</f>
        <v/>
      </c>
      <c r="O209" s="27" t="str" cm="1">
        <f t="array" ref="O209">IF(_xlfn.XLOOKUP($A209&amp;$B209&amp;$C209,盘货信息!$A:$A&amp;盘货信息!$B:$B&amp;盘货信息!$C:$C,盘货信息!$W:$W)="","","【"&amp;盘货信息!$W$1&amp;"】"&amp;_xlfn.XLOOKUP($A209&amp;$B209&amp;$C209,盘货信息!$A:$A&amp;盘货信息!$B:$B&amp;盘货信息!$C:$C,盘货信息!$W:$W))</f>
        <v/>
      </c>
      <c r="P209" s="27" t="str" cm="1">
        <f t="array" ref="P209">IF(_xlfn.XLOOKUP($A209&amp;$B209&amp;$C209,盘货信息!$A:$A&amp;盘货信息!$B:$B&amp;盘货信息!$C:$C,盘货信息!$S:$S)&lt;1,"","【"&amp;盘货信息!$S$1&amp;"】"&amp;"后返"&amp;_xlfn.XLOOKUP($A209&amp;$B209&amp;$C209,盘货信息!$A:$A&amp;盘货信息!$B:$B&amp;盘货信息!$C:$C,盘货信息!$S:$S)&amp;"元")</f>
        <v/>
      </c>
      <c r="Q209" s="27" t="str" cm="1">
        <f t="array" ref="Q209">IF(_xlfn.XLOOKUP($A209&amp;$B209&amp;$C209,盘货信息!$A:$A&amp;盘货信息!$B:$B&amp;盘货信息!$C:$C,盘货信息!$X:$X)="","","【"&amp;盘货信息!$X$1&amp;"】"&amp;_xlfn.XLOOKUP($A209&amp;$B209&amp;$C209,盘货信息!$A:$A&amp;盘货信息!$B:$B&amp;盘货信息!$C:$C,盘货信息!$X:$X))</f>
        <v/>
      </c>
      <c r="R209" s="27" t="str" cm="1">
        <f t="array" ref="R209">IF(_xlfn.XLOOKUP($A209&amp;$B209&amp;$C209,盘货信息!$A:$A&amp;盘货信息!$B:$B&amp;盘货信息!$C:$C,盘货信息!$Z:$Z)="","","【"&amp;盘货信息!$Z$1&amp;"】"&amp;_xlfn.XLOOKUP($A209&amp;$B209&amp;$C209,盘货信息!$A:$A&amp;盘货信息!$B:$B&amp;盘货信息!$C:$C,盘货信息!$Z:$Z))</f>
        <v/>
      </c>
      <c r="S209" s="27" t="str" cm="1">
        <f t="array" ref="S209">IF(_xlfn.XLOOKUP($A209&amp;$B209&amp;$C209,盘货信息!$A:$A&amp;盘货信息!$B:$B&amp;盘货信息!$C:$C,盘货信息!$Q:$Q)="","","【种草】站外带指定话题种草后返"&amp;_xlfn.XLOOKUP($A209&amp;$B209&amp;$C209,盘货信息!$A:$A&amp;盘货信息!$B:$B&amp;盘货信息!$C:$C,盘货信息!$Q:$Q)&amp;"元红包（每个淘宝账号仅限对应一个站外种草账号，同一个种草账号不可对应多个淘宝账号）")</f>
        <v/>
      </c>
      <c r="T209" s="27" t="str" cm="1">
        <f t="array" ref="T209">IF(_xlfn.XLOOKUP($A209&amp;$B209&amp;$C209,盘货信息!$A:$A&amp;盘货信息!$B:$B&amp;盘货信息!$C:$C,盘货信息!$R:$R)&lt;1,"","【以旧换新】"&amp;"享补贴"&amp;ROUND(_xlfn.XLOOKUP($A209&amp;$B209&amp;$C209,盘货信息!$A:$A&amp;盘货信息!$B:$B&amp;盘货信息!$C:$C,盘货信息!$R:$R),0)&amp;"元（可无旧机换新）")</f>
        <v/>
      </c>
      <c r="U209" s="27" t="str">
        <f>IF(AND($N209="",$O209="",$P209="",$Q209="",$R209="",$S209="",$T209=""),"",固定信息!$B$1)</f>
        <v/>
      </c>
      <c r="V209" s="27" t="str" cm="1">
        <f t="array" ref="V209">IF(_xlfn.XLOOKUP($A209&amp;$B209&amp;$C209,盘货信息!$A:$A&amp;盘货信息!$B:$B&amp;盘货信息!$C:$C,盘货信息!$Y:$Y)="","","【卡萨帝送赠】活动指定时间"&amp;_xlfn.TEXTBEFORE(_xlfn.TEXTAFTER(_xlfn.XLOOKUP($A209&amp;$B209&amp;$C209,盘货信息!$A:$A&amp;盘货信息!$B:$B&amp;盘货信息!$C:$C,盘货信息!$Y:$Y),"点"),"（"))</f>
        <v/>
      </c>
      <c r="W209" s="27" t="str" cm="1">
        <f t="array" ref="W209">IF(COUNTIF(_xlfn.XLOOKUP($A209&amp;$B209&amp;$C209,盘货信息!$A:$A&amp;盘货信息!$B:$B&amp;盘货信息!$C:$C,盘货信息!$O:$O),"*是*"),"【折扣】指定型号满2类享96折，满3类享94折","")</f>
        <v/>
      </c>
      <c r="X209" s="27" t="str" cm="1">
        <f t="array" ref="X209">IF(固定信息!$B$7="","",IF(_xlfn.XLOOKUP($A209&amp;$B209&amp;$C209,盘货信息!$A:$A&amp;盘货信息!$B:$B&amp;盘货信息!$C:$C,盘货信息!$N:$N)="是","【瓜分】"&amp;固定信息!$B$7,""))</f>
        <v/>
      </c>
      <c r="Y209" s="27" t="str">
        <f>IF(AND($V209="",$W209="",$X209=""),"",固定信息!$B$1)</f>
        <v/>
      </c>
      <c r="Z209" s="27" t="str" cm="1">
        <f t="array" ref="Z209">IF($C209="","",_xlfn.XLOOKUP($A209&amp;$B209&amp;$C209,服务!$A:$A&amp;服务!$B:$B&amp;服务!$C:$C,服务!$D:$D))</f>
        <v/>
      </c>
    </row>
    <row r="210" customHeight="1" spans="1:26">
      <c r="A210" s="23" t="str">
        <f>IF(盘货信息!A210="","",盘货信息!A210)</f>
        <v/>
      </c>
      <c r="B210" s="26" t="str">
        <f>IF(盘货信息!B210="","",盘货信息!B210)</f>
        <v/>
      </c>
      <c r="C210" s="23" t="str">
        <f>IF(盘货信息!C210="","",盘货信息!C210)</f>
        <v/>
      </c>
      <c r="D210" s="27" t="str">
        <f ca="1" t="shared" si="3"/>
        <v/>
      </c>
      <c r="E210" s="27" t="str">
        <f>IF(C210="","",固定信息!$B$2)</f>
        <v/>
      </c>
      <c r="F210" s="27" t="str">
        <f>IF(C210="","","【"&amp;C210&amp;"】"&amp;固定信息!$B$4)</f>
        <v/>
      </c>
      <c r="G210" s="27" t="str">
        <f>IF(C210="","","【"&amp;"活动时间："&amp;固定信息!$B$3&amp;"】")</f>
        <v/>
      </c>
      <c r="H210" s="27" t="str">
        <f>IF($C210="","",固定信息!$B$1)</f>
        <v/>
      </c>
      <c r="I210" s="27" t="str">
        <f>IF(OR(C210="",固定信息!$B$5=""),"","【1元预约锁好礼】"&amp;固定信息!$B$5)</f>
        <v/>
      </c>
      <c r="J210" s="27" t="str" cm="1">
        <f t="array" ref="J210">_xlfn.XLOOKUP($A210&amp;$B210&amp;$C210,价格信息!$A:$A&amp;价格信息!$B:$B&amp;价格信息!$C:$C,价格信息!$D:$D)</f>
        <v/>
      </c>
      <c r="K210" s="27" t="str">
        <f>IF($C210="","",固定信息!$B$1)</f>
        <v/>
      </c>
      <c r="L210" s="27" t="str" cm="1">
        <f t="array" ref="L210">IF(_xlfn.XLOOKUP($A210&amp;$B210&amp;$C210,盘货信息!$A:$A&amp;盘货信息!$B:$B&amp;盘货信息!$C:$C,盘货信息!$T:$T)="","","【优惠券】领"&amp;_xlfn.XLOOKUP($A210&amp;$B210&amp;$C210,盘货信息!$A:$A&amp;盘货信息!$B:$B&amp;盘货信息!$C:$C,盘货信息!$T:$T)&amp;"元优惠卷下单更优惠，领券链接："&amp;_xlfn.XLOOKUP($A210&amp;$B210&amp;$C210,盘货信息!$A:$A&amp;盘货信息!$B:$B&amp;盘货信息!$C:$C,盘货信息!$U:$U))</f>
        <v/>
      </c>
      <c r="M210" s="27" t="str" cm="1">
        <f t="array" ref="M210">IF(_xlfn.XLOOKUP($A210&amp;$B210&amp;$C210,盘货信息!$A:$A&amp;盘货信息!$B:$B&amp;盘货信息!$C:$C,盘货信息!$P:$P)="","","【限时】"&amp;_xlfn.XLOOKUP($A210&amp;$B210&amp;$C210,盘货信息!$A:$A&amp;盘货信息!$B:$B&amp;盘货信息!$C:$C,盘货信息!$P:$P))</f>
        <v/>
      </c>
      <c r="N210" s="27" t="str" cm="1">
        <f t="array" ref="N210">IF(_xlfn.XLOOKUP($A210&amp;$B210&amp;$C210,盘货信息!$A:$A&amp;盘货信息!$B:$B&amp;盘货信息!$C:$C,盘货信息!$V:$V)="","","【"&amp;盘货信息!$V$1&amp;"】"&amp;_xlfn.XLOOKUP($A210&amp;$B210&amp;$C210,盘货信息!$A:$A&amp;盘货信息!$B:$B&amp;盘货信息!$C:$C,盘货信息!$V:$V))</f>
        <v/>
      </c>
      <c r="O210" s="27" t="str" cm="1">
        <f t="array" ref="O210">IF(_xlfn.XLOOKUP($A210&amp;$B210&amp;$C210,盘货信息!$A:$A&amp;盘货信息!$B:$B&amp;盘货信息!$C:$C,盘货信息!$W:$W)="","","【"&amp;盘货信息!$W$1&amp;"】"&amp;_xlfn.XLOOKUP($A210&amp;$B210&amp;$C210,盘货信息!$A:$A&amp;盘货信息!$B:$B&amp;盘货信息!$C:$C,盘货信息!$W:$W))</f>
        <v/>
      </c>
      <c r="P210" s="27" t="str" cm="1">
        <f t="array" ref="P210">IF(_xlfn.XLOOKUP($A210&amp;$B210&amp;$C210,盘货信息!$A:$A&amp;盘货信息!$B:$B&amp;盘货信息!$C:$C,盘货信息!$S:$S)&lt;1,"","【"&amp;盘货信息!$S$1&amp;"】"&amp;"后返"&amp;_xlfn.XLOOKUP($A210&amp;$B210&amp;$C210,盘货信息!$A:$A&amp;盘货信息!$B:$B&amp;盘货信息!$C:$C,盘货信息!$S:$S)&amp;"元")</f>
        <v/>
      </c>
      <c r="Q210" s="27" t="str" cm="1">
        <f t="array" ref="Q210">IF(_xlfn.XLOOKUP($A210&amp;$B210&amp;$C210,盘货信息!$A:$A&amp;盘货信息!$B:$B&amp;盘货信息!$C:$C,盘货信息!$X:$X)="","","【"&amp;盘货信息!$X$1&amp;"】"&amp;_xlfn.XLOOKUP($A210&amp;$B210&amp;$C210,盘货信息!$A:$A&amp;盘货信息!$B:$B&amp;盘货信息!$C:$C,盘货信息!$X:$X))</f>
        <v/>
      </c>
      <c r="R210" s="27" t="str" cm="1">
        <f t="array" ref="R210">IF(_xlfn.XLOOKUP($A210&amp;$B210&amp;$C210,盘货信息!$A:$A&amp;盘货信息!$B:$B&amp;盘货信息!$C:$C,盘货信息!$Z:$Z)="","","【"&amp;盘货信息!$Z$1&amp;"】"&amp;_xlfn.XLOOKUP($A210&amp;$B210&amp;$C210,盘货信息!$A:$A&amp;盘货信息!$B:$B&amp;盘货信息!$C:$C,盘货信息!$Z:$Z))</f>
        <v/>
      </c>
      <c r="S210" s="27" t="str" cm="1">
        <f t="array" ref="S210">IF(_xlfn.XLOOKUP($A210&amp;$B210&amp;$C210,盘货信息!$A:$A&amp;盘货信息!$B:$B&amp;盘货信息!$C:$C,盘货信息!$Q:$Q)="","","【种草】站外带指定话题种草后返"&amp;_xlfn.XLOOKUP($A210&amp;$B210&amp;$C210,盘货信息!$A:$A&amp;盘货信息!$B:$B&amp;盘货信息!$C:$C,盘货信息!$Q:$Q)&amp;"元红包（每个淘宝账号仅限对应一个站外种草账号，同一个种草账号不可对应多个淘宝账号）")</f>
        <v/>
      </c>
      <c r="T210" s="27" t="str" cm="1">
        <f t="array" ref="T210">IF(_xlfn.XLOOKUP($A210&amp;$B210&amp;$C210,盘货信息!$A:$A&amp;盘货信息!$B:$B&amp;盘货信息!$C:$C,盘货信息!$R:$R)&lt;1,"","【以旧换新】"&amp;"享补贴"&amp;ROUND(_xlfn.XLOOKUP($A210&amp;$B210&amp;$C210,盘货信息!$A:$A&amp;盘货信息!$B:$B&amp;盘货信息!$C:$C,盘货信息!$R:$R),0)&amp;"元（可无旧机换新）")</f>
        <v/>
      </c>
      <c r="U210" s="27" t="str">
        <f>IF(AND($N210="",$O210="",$P210="",$Q210="",$R210="",$S210="",$T210=""),"",固定信息!$B$1)</f>
        <v/>
      </c>
      <c r="V210" s="27" t="str" cm="1">
        <f t="array" ref="V210">IF(_xlfn.XLOOKUP($A210&amp;$B210&amp;$C210,盘货信息!$A:$A&amp;盘货信息!$B:$B&amp;盘货信息!$C:$C,盘货信息!$Y:$Y)="","","【卡萨帝送赠】活动指定时间"&amp;_xlfn.TEXTBEFORE(_xlfn.TEXTAFTER(_xlfn.XLOOKUP($A210&amp;$B210&amp;$C210,盘货信息!$A:$A&amp;盘货信息!$B:$B&amp;盘货信息!$C:$C,盘货信息!$Y:$Y),"点"),"（"))</f>
        <v/>
      </c>
      <c r="W210" s="27" t="str" cm="1">
        <f t="array" ref="W210">IF(COUNTIF(_xlfn.XLOOKUP($A210&amp;$B210&amp;$C210,盘货信息!$A:$A&amp;盘货信息!$B:$B&amp;盘货信息!$C:$C,盘货信息!$O:$O),"*是*"),"【折扣】指定型号满2类享96折，满3类享94折","")</f>
        <v/>
      </c>
      <c r="X210" s="27" t="str" cm="1">
        <f t="array" ref="X210">IF(固定信息!$B$7="","",IF(_xlfn.XLOOKUP($A210&amp;$B210&amp;$C210,盘货信息!$A:$A&amp;盘货信息!$B:$B&amp;盘货信息!$C:$C,盘货信息!$N:$N)="是","【瓜分】"&amp;固定信息!$B$7,""))</f>
        <v/>
      </c>
      <c r="Y210" s="27" t="str">
        <f>IF(AND($V210="",$W210="",$X210=""),"",固定信息!$B$1)</f>
        <v/>
      </c>
      <c r="Z210" s="27" t="str" cm="1">
        <f t="array" ref="Z210">IF($C210="","",_xlfn.XLOOKUP($A210&amp;$B210&amp;$C210,服务!$A:$A&amp;服务!$B:$B&amp;服务!$C:$C,服务!$D:$D))</f>
        <v/>
      </c>
    </row>
    <row r="211" customHeight="1" spans="1:26">
      <c r="A211" s="23" t="str">
        <f>IF(盘货信息!A211="","",盘货信息!A211)</f>
        <v/>
      </c>
      <c r="B211" s="26" t="str">
        <f>IF(盘货信息!B211="","",盘货信息!B211)</f>
        <v/>
      </c>
      <c r="C211" s="23" t="str">
        <f>IF(盘货信息!C211="","",盘货信息!C211)</f>
        <v/>
      </c>
      <c r="D211" s="27" t="str">
        <f ca="1" t="shared" si="3"/>
        <v/>
      </c>
      <c r="E211" s="27" t="str">
        <f>IF(C211="","",固定信息!$B$2)</f>
        <v/>
      </c>
      <c r="F211" s="27" t="str">
        <f>IF(C211="","","【"&amp;C211&amp;"】"&amp;固定信息!$B$4)</f>
        <v/>
      </c>
      <c r="G211" s="27" t="str">
        <f>IF(C211="","","【"&amp;"活动时间："&amp;固定信息!$B$3&amp;"】")</f>
        <v/>
      </c>
      <c r="H211" s="27" t="str">
        <f>IF($C211="","",固定信息!$B$1)</f>
        <v/>
      </c>
      <c r="I211" s="27" t="str">
        <f>IF(OR(C211="",固定信息!$B$5=""),"","【1元预约锁好礼】"&amp;固定信息!$B$5)</f>
        <v/>
      </c>
      <c r="J211" s="27" t="str" cm="1">
        <f t="array" ref="J211">_xlfn.XLOOKUP($A211&amp;$B211&amp;$C211,价格信息!$A:$A&amp;价格信息!$B:$B&amp;价格信息!$C:$C,价格信息!$D:$D)</f>
        <v/>
      </c>
      <c r="K211" s="27" t="str">
        <f>IF($C211="","",固定信息!$B$1)</f>
        <v/>
      </c>
      <c r="L211" s="27" t="str" cm="1">
        <f t="array" ref="L211">IF(_xlfn.XLOOKUP($A211&amp;$B211&amp;$C211,盘货信息!$A:$A&amp;盘货信息!$B:$B&amp;盘货信息!$C:$C,盘货信息!$T:$T)="","","【优惠券】领"&amp;_xlfn.XLOOKUP($A211&amp;$B211&amp;$C211,盘货信息!$A:$A&amp;盘货信息!$B:$B&amp;盘货信息!$C:$C,盘货信息!$T:$T)&amp;"元优惠卷下单更优惠，领券链接："&amp;_xlfn.XLOOKUP($A211&amp;$B211&amp;$C211,盘货信息!$A:$A&amp;盘货信息!$B:$B&amp;盘货信息!$C:$C,盘货信息!$U:$U))</f>
        <v/>
      </c>
      <c r="M211" s="27" t="str" cm="1">
        <f t="array" ref="M211">IF(_xlfn.XLOOKUP($A211&amp;$B211&amp;$C211,盘货信息!$A:$A&amp;盘货信息!$B:$B&amp;盘货信息!$C:$C,盘货信息!$P:$P)="","","【限时】"&amp;_xlfn.XLOOKUP($A211&amp;$B211&amp;$C211,盘货信息!$A:$A&amp;盘货信息!$B:$B&amp;盘货信息!$C:$C,盘货信息!$P:$P))</f>
        <v/>
      </c>
      <c r="N211" s="27" t="str" cm="1">
        <f t="array" ref="N211">IF(_xlfn.XLOOKUP($A211&amp;$B211&amp;$C211,盘货信息!$A:$A&amp;盘货信息!$B:$B&amp;盘货信息!$C:$C,盘货信息!$V:$V)="","","【"&amp;盘货信息!$V$1&amp;"】"&amp;_xlfn.XLOOKUP($A211&amp;$B211&amp;$C211,盘货信息!$A:$A&amp;盘货信息!$B:$B&amp;盘货信息!$C:$C,盘货信息!$V:$V))</f>
        <v/>
      </c>
      <c r="O211" s="27" t="str" cm="1">
        <f t="array" ref="O211">IF(_xlfn.XLOOKUP($A211&amp;$B211&amp;$C211,盘货信息!$A:$A&amp;盘货信息!$B:$B&amp;盘货信息!$C:$C,盘货信息!$W:$W)="","","【"&amp;盘货信息!$W$1&amp;"】"&amp;_xlfn.XLOOKUP($A211&amp;$B211&amp;$C211,盘货信息!$A:$A&amp;盘货信息!$B:$B&amp;盘货信息!$C:$C,盘货信息!$W:$W))</f>
        <v/>
      </c>
      <c r="P211" s="27" t="str" cm="1">
        <f t="array" ref="P211">IF(_xlfn.XLOOKUP($A211&amp;$B211&amp;$C211,盘货信息!$A:$A&amp;盘货信息!$B:$B&amp;盘货信息!$C:$C,盘货信息!$S:$S)&lt;1,"","【"&amp;盘货信息!$S$1&amp;"】"&amp;"后返"&amp;_xlfn.XLOOKUP($A211&amp;$B211&amp;$C211,盘货信息!$A:$A&amp;盘货信息!$B:$B&amp;盘货信息!$C:$C,盘货信息!$S:$S)&amp;"元")</f>
        <v/>
      </c>
      <c r="Q211" s="27" t="str" cm="1">
        <f t="array" ref="Q211">IF(_xlfn.XLOOKUP($A211&amp;$B211&amp;$C211,盘货信息!$A:$A&amp;盘货信息!$B:$B&amp;盘货信息!$C:$C,盘货信息!$X:$X)="","","【"&amp;盘货信息!$X$1&amp;"】"&amp;_xlfn.XLOOKUP($A211&amp;$B211&amp;$C211,盘货信息!$A:$A&amp;盘货信息!$B:$B&amp;盘货信息!$C:$C,盘货信息!$X:$X))</f>
        <v/>
      </c>
      <c r="R211" s="27" t="str" cm="1">
        <f t="array" ref="R211">IF(_xlfn.XLOOKUP($A211&amp;$B211&amp;$C211,盘货信息!$A:$A&amp;盘货信息!$B:$B&amp;盘货信息!$C:$C,盘货信息!$Z:$Z)="","","【"&amp;盘货信息!$Z$1&amp;"】"&amp;_xlfn.XLOOKUP($A211&amp;$B211&amp;$C211,盘货信息!$A:$A&amp;盘货信息!$B:$B&amp;盘货信息!$C:$C,盘货信息!$Z:$Z))</f>
        <v/>
      </c>
      <c r="S211" s="27" t="str" cm="1">
        <f t="array" ref="S211">IF(_xlfn.XLOOKUP($A211&amp;$B211&amp;$C211,盘货信息!$A:$A&amp;盘货信息!$B:$B&amp;盘货信息!$C:$C,盘货信息!$Q:$Q)="","","【种草】站外带指定话题种草后返"&amp;_xlfn.XLOOKUP($A211&amp;$B211&amp;$C211,盘货信息!$A:$A&amp;盘货信息!$B:$B&amp;盘货信息!$C:$C,盘货信息!$Q:$Q)&amp;"元红包（每个淘宝账号仅限对应一个站外种草账号，同一个种草账号不可对应多个淘宝账号）")</f>
        <v/>
      </c>
      <c r="T211" s="27" t="str" cm="1">
        <f t="array" ref="T211">IF(_xlfn.XLOOKUP($A211&amp;$B211&amp;$C211,盘货信息!$A:$A&amp;盘货信息!$B:$B&amp;盘货信息!$C:$C,盘货信息!$R:$R)&lt;1,"","【以旧换新】"&amp;"享补贴"&amp;ROUND(_xlfn.XLOOKUP($A211&amp;$B211&amp;$C211,盘货信息!$A:$A&amp;盘货信息!$B:$B&amp;盘货信息!$C:$C,盘货信息!$R:$R),0)&amp;"元（可无旧机换新）")</f>
        <v/>
      </c>
      <c r="U211" s="27" t="str">
        <f>IF(AND($N211="",$O211="",$P211="",$Q211="",$R211="",$S211="",$T211=""),"",固定信息!$B$1)</f>
        <v/>
      </c>
      <c r="V211" s="27" t="str" cm="1">
        <f t="array" ref="V211">IF(_xlfn.XLOOKUP($A211&amp;$B211&amp;$C211,盘货信息!$A:$A&amp;盘货信息!$B:$B&amp;盘货信息!$C:$C,盘货信息!$Y:$Y)="","","【卡萨帝送赠】活动指定时间"&amp;_xlfn.TEXTBEFORE(_xlfn.TEXTAFTER(_xlfn.XLOOKUP($A211&amp;$B211&amp;$C211,盘货信息!$A:$A&amp;盘货信息!$B:$B&amp;盘货信息!$C:$C,盘货信息!$Y:$Y),"点"),"（"))</f>
        <v/>
      </c>
      <c r="W211" s="27" t="str" cm="1">
        <f t="array" ref="W211">IF(COUNTIF(_xlfn.XLOOKUP($A211&amp;$B211&amp;$C211,盘货信息!$A:$A&amp;盘货信息!$B:$B&amp;盘货信息!$C:$C,盘货信息!$O:$O),"*是*"),"【折扣】指定型号满2类享96折，满3类享94折","")</f>
        <v/>
      </c>
      <c r="X211" s="27" t="str" cm="1">
        <f t="array" ref="X211">IF(固定信息!$B$7="","",IF(_xlfn.XLOOKUP($A211&amp;$B211&amp;$C211,盘货信息!$A:$A&amp;盘货信息!$B:$B&amp;盘货信息!$C:$C,盘货信息!$N:$N)="是","【瓜分】"&amp;固定信息!$B$7,""))</f>
        <v/>
      </c>
      <c r="Y211" s="27" t="str">
        <f>IF(AND($V211="",$W211="",$X211=""),"",固定信息!$B$1)</f>
        <v/>
      </c>
      <c r="Z211" s="27" t="str" cm="1">
        <f t="array" ref="Z211">IF($C211="","",_xlfn.XLOOKUP($A211&amp;$B211&amp;$C211,服务!$A:$A&amp;服务!$B:$B&amp;服务!$C:$C,服务!$D:$D))</f>
        <v/>
      </c>
    </row>
    <row r="212" customHeight="1" spans="1:26">
      <c r="A212" s="23" t="str">
        <f>IF(盘货信息!A212="","",盘货信息!A212)</f>
        <v/>
      </c>
      <c r="B212" s="26" t="str">
        <f>IF(盘货信息!B212="","",盘货信息!B212)</f>
        <v/>
      </c>
      <c r="C212" s="23" t="str">
        <f>IF(盘货信息!C212="","",盘货信息!C212)</f>
        <v/>
      </c>
      <c r="D212" s="27" t="str">
        <f ca="1" t="shared" si="3"/>
        <v/>
      </c>
      <c r="E212" s="27" t="str">
        <f>IF(C212="","",固定信息!$B$2)</f>
        <v/>
      </c>
      <c r="F212" s="27" t="str">
        <f>IF(C212="","","【"&amp;C212&amp;"】"&amp;固定信息!$B$4)</f>
        <v/>
      </c>
      <c r="G212" s="27" t="str">
        <f>IF(C212="","","【"&amp;"活动时间："&amp;固定信息!$B$3&amp;"】")</f>
        <v/>
      </c>
      <c r="H212" s="27" t="str">
        <f>IF($C212="","",固定信息!$B$1)</f>
        <v/>
      </c>
      <c r="I212" s="27" t="str">
        <f>IF(OR(C212="",固定信息!$B$5=""),"","【1元预约锁好礼】"&amp;固定信息!$B$5)</f>
        <v/>
      </c>
      <c r="J212" s="27" t="str" cm="1">
        <f t="array" ref="J212">_xlfn.XLOOKUP($A212&amp;$B212&amp;$C212,价格信息!$A:$A&amp;价格信息!$B:$B&amp;价格信息!$C:$C,价格信息!$D:$D)</f>
        <v/>
      </c>
      <c r="K212" s="27" t="str">
        <f>IF($C212="","",固定信息!$B$1)</f>
        <v/>
      </c>
      <c r="L212" s="27" t="str" cm="1">
        <f t="array" ref="L212">IF(_xlfn.XLOOKUP($A212&amp;$B212&amp;$C212,盘货信息!$A:$A&amp;盘货信息!$B:$B&amp;盘货信息!$C:$C,盘货信息!$T:$T)="","","【优惠券】领"&amp;_xlfn.XLOOKUP($A212&amp;$B212&amp;$C212,盘货信息!$A:$A&amp;盘货信息!$B:$B&amp;盘货信息!$C:$C,盘货信息!$T:$T)&amp;"元优惠卷下单更优惠，领券链接："&amp;_xlfn.XLOOKUP($A212&amp;$B212&amp;$C212,盘货信息!$A:$A&amp;盘货信息!$B:$B&amp;盘货信息!$C:$C,盘货信息!$U:$U))</f>
        <v/>
      </c>
      <c r="M212" s="27" t="str" cm="1">
        <f t="array" ref="M212">IF(_xlfn.XLOOKUP($A212&amp;$B212&amp;$C212,盘货信息!$A:$A&amp;盘货信息!$B:$B&amp;盘货信息!$C:$C,盘货信息!$P:$P)="","","【限时】"&amp;_xlfn.XLOOKUP($A212&amp;$B212&amp;$C212,盘货信息!$A:$A&amp;盘货信息!$B:$B&amp;盘货信息!$C:$C,盘货信息!$P:$P))</f>
        <v/>
      </c>
      <c r="N212" s="27" t="str" cm="1">
        <f t="array" ref="N212">IF(_xlfn.XLOOKUP($A212&amp;$B212&amp;$C212,盘货信息!$A:$A&amp;盘货信息!$B:$B&amp;盘货信息!$C:$C,盘货信息!$V:$V)="","","【"&amp;盘货信息!$V$1&amp;"】"&amp;_xlfn.XLOOKUP($A212&amp;$B212&amp;$C212,盘货信息!$A:$A&amp;盘货信息!$B:$B&amp;盘货信息!$C:$C,盘货信息!$V:$V))</f>
        <v/>
      </c>
      <c r="O212" s="27" t="str" cm="1">
        <f t="array" ref="O212">IF(_xlfn.XLOOKUP($A212&amp;$B212&amp;$C212,盘货信息!$A:$A&amp;盘货信息!$B:$B&amp;盘货信息!$C:$C,盘货信息!$W:$W)="","","【"&amp;盘货信息!$W$1&amp;"】"&amp;_xlfn.XLOOKUP($A212&amp;$B212&amp;$C212,盘货信息!$A:$A&amp;盘货信息!$B:$B&amp;盘货信息!$C:$C,盘货信息!$W:$W))</f>
        <v/>
      </c>
      <c r="P212" s="27" t="str" cm="1">
        <f t="array" ref="P212">IF(_xlfn.XLOOKUP($A212&amp;$B212&amp;$C212,盘货信息!$A:$A&amp;盘货信息!$B:$B&amp;盘货信息!$C:$C,盘货信息!$S:$S)&lt;1,"","【"&amp;盘货信息!$S$1&amp;"】"&amp;"后返"&amp;_xlfn.XLOOKUP($A212&amp;$B212&amp;$C212,盘货信息!$A:$A&amp;盘货信息!$B:$B&amp;盘货信息!$C:$C,盘货信息!$S:$S)&amp;"元")</f>
        <v/>
      </c>
      <c r="Q212" s="27" t="str" cm="1">
        <f t="array" ref="Q212">IF(_xlfn.XLOOKUP($A212&amp;$B212&amp;$C212,盘货信息!$A:$A&amp;盘货信息!$B:$B&amp;盘货信息!$C:$C,盘货信息!$X:$X)="","","【"&amp;盘货信息!$X$1&amp;"】"&amp;_xlfn.XLOOKUP($A212&amp;$B212&amp;$C212,盘货信息!$A:$A&amp;盘货信息!$B:$B&amp;盘货信息!$C:$C,盘货信息!$X:$X))</f>
        <v/>
      </c>
      <c r="R212" s="27" t="str" cm="1">
        <f t="array" ref="R212">IF(_xlfn.XLOOKUP($A212&amp;$B212&amp;$C212,盘货信息!$A:$A&amp;盘货信息!$B:$B&amp;盘货信息!$C:$C,盘货信息!$Z:$Z)="","","【"&amp;盘货信息!$Z$1&amp;"】"&amp;_xlfn.XLOOKUP($A212&amp;$B212&amp;$C212,盘货信息!$A:$A&amp;盘货信息!$B:$B&amp;盘货信息!$C:$C,盘货信息!$Z:$Z))</f>
        <v/>
      </c>
      <c r="S212" s="27" t="str" cm="1">
        <f t="array" ref="S212">IF(_xlfn.XLOOKUP($A212&amp;$B212&amp;$C212,盘货信息!$A:$A&amp;盘货信息!$B:$B&amp;盘货信息!$C:$C,盘货信息!$Q:$Q)="","","【种草】站外带指定话题种草后返"&amp;_xlfn.XLOOKUP($A212&amp;$B212&amp;$C212,盘货信息!$A:$A&amp;盘货信息!$B:$B&amp;盘货信息!$C:$C,盘货信息!$Q:$Q)&amp;"元红包（每个淘宝账号仅限对应一个站外种草账号，同一个种草账号不可对应多个淘宝账号）")</f>
        <v/>
      </c>
      <c r="T212" s="27" t="str" cm="1">
        <f t="array" ref="T212">IF(_xlfn.XLOOKUP($A212&amp;$B212&amp;$C212,盘货信息!$A:$A&amp;盘货信息!$B:$B&amp;盘货信息!$C:$C,盘货信息!$R:$R)&lt;1,"","【以旧换新】"&amp;"享补贴"&amp;ROUND(_xlfn.XLOOKUP($A212&amp;$B212&amp;$C212,盘货信息!$A:$A&amp;盘货信息!$B:$B&amp;盘货信息!$C:$C,盘货信息!$R:$R),0)&amp;"元（可无旧机换新）")</f>
        <v/>
      </c>
      <c r="U212" s="27" t="str">
        <f>IF(AND($N212="",$O212="",$P212="",$Q212="",$R212="",$S212="",$T212=""),"",固定信息!$B$1)</f>
        <v/>
      </c>
      <c r="V212" s="27" t="str" cm="1">
        <f t="array" ref="V212">IF(_xlfn.XLOOKUP($A212&amp;$B212&amp;$C212,盘货信息!$A:$A&amp;盘货信息!$B:$B&amp;盘货信息!$C:$C,盘货信息!$Y:$Y)="","","【卡萨帝送赠】活动指定时间"&amp;_xlfn.TEXTBEFORE(_xlfn.TEXTAFTER(_xlfn.XLOOKUP($A212&amp;$B212&amp;$C212,盘货信息!$A:$A&amp;盘货信息!$B:$B&amp;盘货信息!$C:$C,盘货信息!$Y:$Y),"点"),"（"))</f>
        <v/>
      </c>
      <c r="W212" s="27" t="str" cm="1">
        <f t="array" ref="W212">IF(COUNTIF(_xlfn.XLOOKUP($A212&amp;$B212&amp;$C212,盘货信息!$A:$A&amp;盘货信息!$B:$B&amp;盘货信息!$C:$C,盘货信息!$O:$O),"*是*"),"【折扣】指定型号满2类享96折，满3类享94折","")</f>
        <v/>
      </c>
      <c r="X212" s="27" t="str" cm="1">
        <f t="array" ref="X212">IF(固定信息!$B$7="","",IF(_xlfn.XLOOKUP($A212&amp;$B212&amp;$C212,盘货信息!$A:$A&amp;盘货信息!$B:$B&amp;盘货信息!$C:$C,盘货信息!$N:$N)="是","【瓜分】"&amp;固定信息!$B$7,""))</f>
        <v/>
      </c>
      <c r="Y212" s="27" t="str">
        <f>IF(AND($V212="",$W212="",$X212=""),"",固定信息!$B$1)</f>
        <v/>
      </c>
      <c r="Z212" s="27" t="str" cm="1">
        <f t="array" ref="Z212">IF($C212="","",_xlfn.XLOOKUP($A212&amp;$B212&amp;$C212,服务!$A:$A&amp;服务!$B:$B&amp;服务!$C:$C,服务!$D:$D))</f>
        <v/>
      </c>
    </row>
    <row r="213" customHeight="1" spans="1:26">
      <c r="A213" s="23" t="str">
        <f>IF(盘货信息!A213="","",盘货信息!A213)</f>
        <v/>
      </c>
      <c r="B213" s="26" t="str">
        <f>IF(盘货信息!B213="","",盘货信息!B213)</f>
        <v/>
      </c>
      <c r="C213" s="23" t="str">
        <f>IF(盘货信息!C213="","",盘货信息!C213)</f>
        <v/>
      </c>
      <c r="D213" s="27" t="str">
        <f ca="1" t="shared" si="3"/>
        <v/>
      </c>
      <c r="E213" s="27" t="str">
        <f>IF(C213="","",固定信息!$B$2)</f>
        <v/>
      </c>
      <c r="F213" s="27" t="str">
        <f>IF(C213="","","【"&amp;C213&amp;"】"&amp;固定信息!$B$4)</f>
        <v/>
      </c>
      <c r="G213" s="27" t="str">
        <f>IF(C213="","","【"&amp;"活动时间："&amp;固定信息!$B$3&amp;"】")</f>
        <v/>
      </c>
      <c r="H213" s="27" t="str">
        <f>IF($C213="","",固定信息!$B$1)</f>
        <v/>
      </c>
      <c r="I213" s="27" t="str">
        <f>IF(OR(C213="",固定信息!$B$5=""),"","【1元预约锁好礼】"&amp;固定信息!$B$5)</f>
        <v/>
      </c>
      <c r="J213" s="27" t="str" cm="1">
        <f t="array" ref="J213">_xlfn.XLOOKUP($A213&amp;$B213&amp;$C213,价格信息!$A:$A&amp;价格信息!$B:$B&amp;价格信息!$C:$C,价格信息!$D:$D)</f>
        <v/>
      </c>
      <c r="K213" s="27" t="str">
        <f>IF($C213="","",固定信息!$B$1)</f>
        <v/>
      </c>
      <c r="L213" s="27" t="str" cm="1">
        <f t="array" ref="L213">IF(_xlfn.XLOOKUP($A213&amp;$B213&amp;$C213,盘货信息!$A:$A&amp;盘货信息!$B:$B&amp;盘货信息!$C:$C,盘货信息!$T:$T)="","","【优惠券】领"&amp;_xlfn.XLOOKUP($A213&amp;$B213&amp;$C213,盘货信息!$A:$A&amp;盘货信息!$B:$B&amp;盘货信息!$C:$C,盘货信息!$T:$T)&amp;"元优惠卷下单更优惠，领券链接："&amp;_xlfn.XLOOKUP($A213&amp;$B213&amp;$C213,盘货信息!$A:$A&amp;盘货信息!$B:$B&amp;盘货信息!$C:$C,盘货信息!$U:$U))</f>
        <v/>
      </c>
      <c r="M213" s="27" t="str" cm="1">
        <f t="array" ref="M213">IF(_xlfn.XLOOKUP($A213&amp;$B213&amp;$C213,盘货信息!$A:$A&amp;盘货信息!$B:$B&amp;盘货信息!$C:$C,盘货信息!$P:$P)="","","【限时】"&amp;_xlfn.XLOOKUP($A213&amp;$B213&amp;$C213,盘货信息!$A:$A&amp;盘货信息!$B:$B&amp;盘货信息!$C:$C,盘货信息!$P:$P))</f>
        <v/>
      </c>
      <c r="N213" s="27" t="str" cm="1">
        <f t="array" ref="N213">IF(_xlfn.XLOOKUP($A213&amp;$B213&amp;$C213,盘货信息!$A:$A&amp;盘货信息!$B:$B&amp;盘货信息!$C:$C,盘货信息!$V:$V)="","","【"&amp;盘货信息!$V$1&amp;"】"&amp;_xlfn.XLOOKUP($A213&amp;$B213&amp;$C213,盘货信息!$A:$A&amp;盘货信息!$B:$B&amp;盘货信息!$C:$C,盘货信息!$V:$V))</f>
        <v/>
      </c>
      <c r="O213" s="27" t="str" cm="1">
        <f t="array" ref="O213">IF(_xlfn.XLOOKUP($A213&amp;$B213&amp;$C213,盘货信息!$A:$A&amp;盘货信息!$B:$B&amp;盘货信息!$C:$C,盘货信息!$W:$W)="","","【"&amp;盘货信息!$W$1&amp;"】"&amp;_xlfn.XLOOKUP($A213&amp;$B213&amp;$C213,盘货信息!$A:$A&amp;盘货信息!$B:$B&amp;盘货信息!$C:$C,盘货信息!$W:$W))</f>
        <v/>
      </c>
      <c r="P213" s="27" t="str" cm="1">
        <f t="array" ref="P213">IF(_xlfn.XLOOKUP($A213&amp;$B213&amp;$C213,盘货信息!$A:$A&amp;盘货信息!$B:$B&amp;盘货信息!$C:$C,盘货信息!$S:$S)&lt;1,"","【"&amp;盘货信息!$S$1&amp;"】"&amp;"后返"&amp;_xlfn.XLOOKUP($A213&amp;$B213&amp;$C213,盘货信息!$A:$A&amp;盘货信息!$B:$B&amp;盘货信息!$C:$C,盘货信息!$S:$S)&amp;"元")</f>
        <v/>
      </c>
      <c r="Q213" s="27" t="str" cm="1">
        <f t="array" ref="Q213">IF(_xlfn.XLOOKUP($A213&amp;$B213&amp;$C213,盘货信息!$A:$A&amp;盘货信息!$B:$B&amp;盘货信息!$C:$C,盘货信息!$X:$X)="","","【"&amp;盘货信息!$X$1&amp;"】"&amp;_xlfn.XLOOKUP($A213&amp;$B213&amp;$C213,盘货信息!$A:$A&amp;盘货信息!$B:$B&amp;盘货信息!$C:$C,盘货信息!$X:$X))</f>
        <v/>
      </c>
      <c r="R213" s="27" t="str" cm="1">
        <f t="array" ref="R213">IF(_xlfn.XLOOKUP($A213&amp;$B213&amp;$C213,盘货信息!$A:$A&amp;盘货信息!$B:$B&amp;盘货信息!$C:$C,盘货信息!$Z:$Z)="","","【"&amp;盘货信息!$Z$1&amp;"】"&amp;_xlfn.XLOOKUP($A213&amp;$B213&amp;$C213,盘货信息!$A:$A&amp;盘货信息!$B:$B&amp;盘货信息!$C:$C,盘货信息!$Z:$Z))</f>
        <v/>
      </c>
      <c r="S213" s="27" t="str" cm="1">
        <f t="array" ref="S213">IF(_xlfn.XLOOKUP($A213&amp;$B213&amp;$C213,盘货信息!$A:$A&amp;盘货信息!$B:$B&amp;盘货信息!$C:$C,盘货信息!$Q:$Q)="","","【种草】站外带指定话题种草后返"&amp;_xlfn.XLOOKUP($A213&amp;$B213&amp;$C213,盘货信息!$A:$A&amp;盘货信息!$B:$B&amp;盘货信息!$C:$C,盘货信息!$Q:$Q)&amp;"元红包（每个淘宝账号仅限对应一个站外种草账号，同一个种草账号不可对应多个淘宝账号）")</f>
        <v/>
      </c>
      <c r="T213" s="27" t="str" cm="1">
        <f t="array" ref="T213">IF(_xlfn.XLOOKUP($A213&amp;$B213&amp;$C213,盘货信息!$A:$A&amp;盘货信息!$B:$B&amp;盘货信息!$C:$C,盘货信息!$R:$R)&lt;1,"","【以旧换新】"&amp;"享补贴"&amp;ROUND(_xlfn.XLOOKUP($A213&amp;$B213&amp;$C213,盘货信息!$A:$A&amp;盘货信息!$B:$B&amp;盘货信息!$C:$C,盘货信息!$R:$R),0)&amp;"元（可无旧机换新）")</f>
        <v/>
      </c>
      <c r="U213" s="27" t="str">
        <f>IF(AND($N213="",$O213="",$P213="",$Q213="",$R213="",$S213="",$T213=""),"",固定信息!$B$1)</f>
        <v/>
      </c>
      <c r="V213" s="27" t="str" cm="1">
        <f t="array" ref="V213">IF(_xlfn.XLOOKUP($A213&amp;$B213&amp;$C213,盘货信息!$A:$A&amp;盘货信息!$B:$B&amp;盘货信息!$C:$C,盘货信息!$Y:$Y)="","","【卡萨帝送赠】活动指定时间"&amp;_xlfn.TEXTBEFORE(_xlfn.TEXTAFTER(_xlfn.XLOOKUP($A213&amp;$B213&amp;$C213,盘货信息!$A:$A&amp;盘货信息!$B:$B&amp;盘货信息!$C:$C,盘货信息!$Y:$Y),"点"),"（"))</f>
        <v/>
      </c>
      <c r="W213" s="27" t="str" cm="1">
        <f t="array" ref="W213">IF(COUNTIF(_xlfn.XLOOKUP($A213&amp;$B213&amp;$C213,盘货信息!$A:$A&amp;盘货信息!$B:$B&amp;盘货信息!$C:$C,盘货信息!$O:$O),"*是*"),"【折扣】指定型号满2类享96折，满3类享94折","")</f>
        <v/>
      </c>
      <c r="X213" s="27" t="str" cm="1">
        <f t="array" ref="X213">IF(固定信息!$B$7="","",IF(_xlfn.XLOOKUP($A213&amp;$B213&amp;$C213,盘货信息!$A:$A&amp;盘货信息!$B:$B&amp;盘货信息!$C:$C,盘货信息!$N:$N)="是","【瓜分】"&amp;固定信息!$B$7,""))</f>
        <v/>
      </c>
      <c r="Y213" s="27" t="str">
        <f>IF(AND($V213="",$W213="",$X213=""),"",固定信息!$B$1)</f>
        <v/>
      </c>
      <c r="Z213" s="27" t="str" cm="1">
        <f t="array" ref="Z213">IF($C213="","",_xlfn.XLOOKUP($A213&amp;$B213&amp;$C213,服务!$A:$A&amp;服务!$B:$B&amp;服务!$C:$C,服务!$D:$D))</f>
        <v/>
      </c>
    </row>
    <row r="214" customHeight="1" spans="1:26">
      <c r="A214" s="23" t="str">
        <f>IF(盘货信息!A214="","",盘货信息!A214)</f>
        <v/>
      </c>
      <c r="B214" s="26" t="str">
        <f>IF(盘货信息!B214="","",盘货信息!B214)</f>
        <v/>
      </c>
      <c r="C214" s="23" t="str">
        <f>IF(盘货信息!C214="","",盘货信息!C214)</f>
        <v/>
      </c>
      <c r="D214" s="27" t="str">
        <f ca="1" t="shared" si="3"/>
        <v/>
      </c>
      <c r="E214" s="27" t="str">
        <f>IF(C214="","",固定信息!$B$2)</f>
        <v/>
      </c>
      <c r="F214" s="27" t="str">
        <f>IF(C214="","","【"&amp;C214&amp;"】"&amp;固定信息!$B$4)</f>
        <v/>
      </c>
      <c r="G214" s="27" t="str">
        <f>IF(C214="","","【"&amp;"活动时间："&amp;固定信息!$B$3&amp;"】")</f>
        <v/>
      </c>
      <c r="H214" s="27" t="str">
        <f>IF($C214="","",固定信息!$B$1)</f>
        <v/>
      </c>
      <c r="I214" s="27" t="str">
        <f>IF(OR(C214="",固定信息!$B$5=""),"","【1元预约锁好礼】"&amp;固定信息!$B$5)</f>
        <v/>
      </c>
      <c r="J214" s="27" t="str" cm="1">
        <f t="array" ref="J214">_xlfn.XLOOKUP($A214&amp;$B214&amp;$C214,价格信息!$A:$A&amp;价格信息!$B:$B&amp;价格信息!$C:$C,价格信息!$D:$D)</f>
        <v/>
      </c>
      <c r="K214" s="27" t="str">
        <f>IF($C214="","",固定信息!$B$1)</f>
        <v/>
      </c>
      <c r="L214" s="27" t="str" cm="1">
        <f t="array" ref="L214">IF(_xlfn.XLOOKUP($A214&amp;$B214&amp;$C214,盘货信息!$A:$A&amp;盘货信息!$B:$B&amp;盘货信息!$C:$C,盘货信息!$T:$T)="","","【优惠券】领"&amp;_xlfn.XLOOKUP($A214&amp;$B214&amp;$C214,盘货信息!$A:$A&amp;盘货信息!$B:$B&amp;盘货信息!$C:$C,盘货信息!$T:$T)&amp;"元优惠卷下单更优惠，领券链接："&amp;_xlfn.XLOOKUP($A214&amp;$B214&amp;$C214,盘货信息!$A:$A&amp;盘货信息!$B:$B&amp;盘货信息!$C:$C,盘货信息!$U:$U))</f>
        <v/>
      </c>
      <c r="M214" s="27" t="str" cm="1">
        <f t="array" ref="M214">IF(_xlfn.XLOOKUP($A214&amp;$B214&amp;$C214,盘货信息!$A:$A&amp;盘货信息!$B:$B&amp;盘货信息!$C:$C,盘货信息!$P:$P)="","","【限时】"&amp;_xlfn.XLOOKUP($A214&amp;$B214&amp;$C214,盘货信息!$A:$A&amp;盘货信息!$B:$B&amp;盘货信息!$C:$C,盘货信息!$P:$P))</f>
        <v/>
      </c>
      <c r="N214" s="27" t="str" cm="1">
        <f t="array" ref="N214">IF(_xlfn.XLOOKUP($A214&amp;$B214&amp;$C214,盘货信息!$A:$A&amp;盘货信息!$B:$B&amp;盘货信息!$C:$C,盘货信息!$V:$V)="","","【"&amp;盘货信息!$V$1&amp;"】"&amp;_xlfn.XLOOKUP($A214&amp;$B214&amp;$C214,盘货信息!$A:$A&amp;盘货信息!$B:$B&amp;盘货信息!$C:$C,盘货信息!$V:$V))</f>
        <v/>
      </c>
      <c r="O214" s="27" t="str" cm="1">
        <f t="array" ref="O214">IF(_xlfn.XLOOKUP($A214&amp;$B214&amp;$C214,盘货信息!$A:$A&amp;盘货信息!$B:$B&amp;盘货信息!$C:$C,盘货信息!$W:$W)="","","【"&amp;盘货信息!$W$1&amp;"】"&amp;_xlfn.XLOOKUP($A214&amp;$B214&amp;$C214,盘货信息!$A:$A&amp;盘货信息!$B:$B&amp;盘货信息!$C:$C,盘货信息!$W:$W))</f>
        <v/>
      </c>
      <c r="P214" s="27" t="str" cm="1">
        <f t="array" ref="P214">IF(_xlfn.XLOOKUP($A214&amp;$B214&amp;$C214,盘货信息!$A:$A&amp;盘货信息!$B:$B&amp;盘货信息!$C:$C,盘货信息!$S:$S)&lt;1,"","【"&amp;盘货信息!$S$1&amp;"】"&amp;"后返"&amp;_xlfn.XLOOKUP($A214&amp;$B214&amp;$C214,盘货信息!$A:$A&amp;盘货信息!$B:$B&amp;盘货信息!$C:$C,盘货信息!$S:$S)&amp;"元")</f>
        <v/>
      </c>
      <c r="Q214" s="27" t="str" cm="1">
        <f t="array" ref="Q214">IF(_xlfn.XLOOKUP($A214&amp;$B214&amp;$C214,盘货信息!$A:$A&amp;盘货信息!$B:$B&amp;盘货信息!$C:$C,盘货信息!$X:$X)="","","【"&amp;盘货信息!$X$1&amp;"】"&amp;_xlfn.XLOOKUP($A214&amp;$B214&amp;$C214,盘货信息!$A:$A&amp;盘货信息!$B:$B&amp;盘货信息!$C:$C,盘货信息!$X:$X))</f>
        <v/>
      </c>
      <c r="R214" s="27" t="str" cm="1">
        <f t="array" ref="R214">IF(_xlfn.XLOOKUP($A214&amp;$B214&amp;$C214,盘货信息!$A:$A&amp;盘货信息!$B:$B&amp;盘货信息!$C:$C,盘货信息!$Z:$Z)="","","【"&amp;盘货信息!$Z$1&amp;"】"&amp;_xlfn.XLOOKUP($A214&amp;$B214&amp;$C214,盘货信息!$A:$A&amp;盘货信息!$B:$B&amp;盘货信息!$C:$C,盘货信息!$Z:$Z))</f>
        <v/>
      </c>
      <c r="S214" s="27" t="str" cm="1">
        <f t="array" ref="S214">IF(_xlfn.XLOOKUP($A214&amp;$B214&amp;$C214,盘货信息!$A:$A&amp;盘货信息!$B:$B&amp;盘货信息!$C:$C,盘货信息!$Q:$Q)="","","【种草】站外带指定话题种草后返"&amp;_xlfn.XLOOKUP($A214&amp;$B214&amp;$C214,盘货信息!$A:$A&amp;盘货信息!$B:$B&amp;盘货信息!$C:$C,盘货信息!$Q:$Q)&amp;"元红包（每个淘宝账号仅限对应一个站外种草账号，同一个种草账号不可对应多个淘宝账号）")</f>
        <v/>
      </c>
      <c r="T214" s="27" t="str" cm="1">
        <f t="array" ref="T214">IF(_xlfn.XLOOKUP($A214&amp;$B214&amp;$C214,盘货信息!$A:$A&amp;盘货信息!$B:$B&amp;盘货信息!$C:$C,盘货信息!$R:$R)&lt;1,"","【以旧换新】"&amp;"享补贴"&amp;ROUND(_xlfn.XLOOKUP($A214&amp;$B214&amp;$C214,盘货信息!$A:$A&amp;盘货信息!$B:$B&amp;盘货信息!$C:$C,盘货信息!$R:$R),0)&amp;"元（可无旧机换新）")</f>
        <v/>
      </c>
      <c r="U214" s="27" t="str">
        <f>IF(AND($N214="",$O214="",$P214="",$Q214="",$R214="",$S214="",$T214=""),"",固定信息!$B$1)</f>
        <v/>
      </c>
      <c r="V214" s="27" t="str" cm="1">
        <f t="array" ref="V214">IF(_xlfn.XLOOKUP($A214&amp;$B214&amp;$C214,盘货信息!$A:$A&amp;盘货信息!$B:$B&amp;盘货信息!$C:$C,盘货信息!$Y:$Y)="","","【卡萨帝送赠】活动指定时间"&amp;_xlfn.TEXTBEFORE(_xlfn.TEXTAFTER(_xlfn.XLOOKUP($A214&amp;$B214&amp;$C214,盘货信息!$A:$A&amp;盘货信息!$B:$B&amp;盘货信息!$C:$C,盘货信息!$Y:$Y),"点"),"（"))</f>
        <v/>
      </c>
      <c r="W214" s="27" t="str" cm="1">
        <f t="array" ref="W214">IF(COUNTIF(_xlfn.XLOOKUP($A214&amp;$B214&amp;$C214,盘货信息!$A:$A&amp;盘货信息!$B:$B&amp;盘货信息!$C:$C,盘货信息!$O:$O),"*是*"),"【折扣】指定型号满2类享96折，满3类享94折","")</f>
        <v/>
      </c>
      <c r="X214" s="27" t="str" cm="1">
        <f t="array" ref="X214">IF(固定信息!$B$7="","",IF(_xlfn.XLOOKUP($A214&amp;$B214&amp;$C214,盘货信息!$A:$A&amp;盘货信息!$B:$B&amp;盘货信息!$C:$C,盘货信息!$N:$N)="是","【瓜分】"&amp;固定信息!$B$7,""))</f>
        <v/>
      </c>
      <c r="Y214" s="27" t="str">
        <f>IF(AND($V214="",$W214="",$X214=""),"",固定信息!$B$1)</f>
        <v/>
      </c>
      <c r="Z214" s="27" t="str" cm="1">
        <f t="array" ref="Z214">IF($C214="","",_xlfn.XLOOKUP($A214&amp;$B214&amp;$C214,服务!$A:$A&amp;服务!$B:$B&amp;服务!$C:$C,服务!$D:$D))</f>
        <v/>
      </c>
    </row>
    <row r="215" customHeight="1" spans="1:26">
      <c r="A215" s="23" t="str">
        <f>IF(盘货信息!A215="","",盘货信息!A215)</f>
        <v/>
      </c>
      <c r="B215" s="26" t="str">
        <f>IF(盘货信息!B215="","",盘货信息!B215)</f>
        <v/>
      </c>
      <c r="C215" s="23" t="str">
        <f>IF(盘货信息!C215="","",盘货信息!C215)</f>
        <v/>
      </c>
      <c r="D215" s="27" t="str">
        <f ca="1" t="shared" si="3"/>
        <v/>
      </c>
      <c r="E215" s="27" t="str">
        <f>IF(C215="","",固定信息!$B$2)</f>
        <v/>
      </c>
      <c r="F215" s="27" t="str">
        <f>IF(C215="","","【"&amp;C215&amp;"】"&amp;固定信息!$B$4)</f>
        <v/>
      </c>
      <c r="G215" s="27" t="str">
        <f>IF(C215="","","【"&amp;"活动时间："&amp;固定信息!$B$3&amp;"】")</f>
        <v/>
      </c>
      <c r="H215" s="27" t="str">
        <f>IF($C215="","",固定信息!$B$1)</f>
        <v/>
      </c>
      <c r="I215" s="27" t="str">
        <f>IF(OR(C215="",固定信息!$B$5=""),"","【1元预约锁好礼】"&amp;固定信息!$B$5)</f>
        <v/>
      </c>
      <c r="J215" s="27" t="str" cm="1">
        <f t="array" ref="J215">_xlfn.XLOOKUP($A215&amp;$B215&amp;$C215,价格信息!$A:$A&amp;价格信息!$B:$B&amp;价格信息!$C:$C,价格信息!$D:$D)</f>
        <v/>
      </c>
      <c r="K215" s="27" t="str">
        <f>IF($C215="","",固定信息!$B$1)</f>
        <v/>
      </c>
      <c r="L215" s="27" t="str" cm="1">
        <f t="array" ref="L215">IF(_xlfn.XLOOKUP($A215&amp;$B215&amp;$C215,盘货信息!$A:$A&amp;盘货信息!$B:$B&amp;盘货信息!$C:$C,盘货信息!$T:$T)="","","【优惠券】领"&amp;_xlfn.XLOOKUP($A215&amp;$B215&amp;$C215,盘货信息!$A:$A&amp;盘货信息!$B:$B&amp;盘货信息!$C:$C,盘货信息!$T:$T)&amp;"元优惠卷下单更优惠，领券链接："&amp;_xlfn.XLOOKUP($A215&amp;$B215&amp;$C215,盘货信息!$A:$A&amp;盘货信息!$B:$B&amp;盘货信息!$C:$C,盘货信息!$U:$U))</f>
        <v/>
      </c>
      <c r="M215" s="27" t="str" cm="1">
        <f t="array" ref="M215">IF(_xlfn.XLOOKUP($A215&amp;$B215&amp;$C215,盘货信息!$A:$A&amp;盘货信息!$B:$B&amp;盘货信息!$C:$C,盘货信息!$P:$P)="","","【限时】"&amp;_xlfn.XLOOKUP($A215&amp;$B215&amp;$C215,盘货信息!$A:$A&amp;盘货信息!$B:$B&amp;盘货信息!$C:$C,盘货信息!$P:$P))</f>
        <v/>
      </c>
      <c r="N215" s="27" t="str" cm="1">
        <f t="array" ref="N215">IF(_xlfn.XLOOKUP($A215&amp;$B215&amp;$C215,盘货信息!$A:$A&amp;盘货信息!$B:$B&amp;盘货信息!$C:$C,盘货信息!$V:$V)="","","【"&amp;盘货信息!$V$1&amp;"】"&amp;_xlfn.XLOOKUP($A215&amp;$B215&amp;$C215,盘货信息!$A:$A&amp;盘货信息!$B:$B&amp;盘货信息!$C:$C,盘货信息!$V:$V))</f>
        <v/>
      </c>
      <c r="O215" s="27" t="str" cm="1">
        <f t="array" ref="O215">IF(_xlfn.XLOOKUP($A215&amp;$B215&amp;$C215,盘货信息!$A:$A&amp;盘货信息!$B:$B&amp;盘货信息!$C:$C,盘货信息!$W:$W)="","","【"&amp;盘货信息!$W$1&amp;"】"&amp;_xlfn.XLOOKUP($A215&amp;$B215&amp;$C215,盘货信息!$A:$A&amp;盘货信息!$B:$B&amp;盘货信息!$C:$C,盘货信息!$W:$W))</f>
        <v/>
      </c>
      <c r="P215" s="27" t="str" cm="1">
        <f t="array" ref="P215">IF(_xlfn.XLOOKUP($A215&amp;$B215&amp;$C215,盘货信息!$A:$A&amp;盘货信息!$B:$B&amp;盘货信息!$C:$C,盘货信息!$S:$S)&lt;1,"","【"&amp;盘货信息!$S$1&amp;"】"&amp;"后返"&amp;_xlfn.XLOOKUP($A215&amp;$B215&amp;$C215,盘货信息!$A:$A&amp;盘货信息!$B:$B&amp;盘货信息!$C:$C,盘货信息!$S:$S)&amp;"元")</f>
        <v/>
      </c>
      <c r="Q215" s="27" t="str" cm="1">
        <f t="array" ref="Q215">IF(_xlfn.XLOOKUP($A215&amp;$B215&amp;$C215,盘货信息!$A:$A&amp;盘货信息!$B:$B&amp;盘货信息!$C:$C,盘货信息!$X:$X)="","","【"&amp;盘货信息!$X$1&amp;"】"&amp;_xlfn.XLOOKUP($A215&amp;$B215&amp;$C215,盘货信息!$A:$A&amp;盘货信息!$B:$B&amp;盘货信息!$C:$C,盘货信息!$X:$X))</f>
        <v/>
      </c>
      <c r="R215" s="27" t="str" cm="1">
        <f t="array" ref="R215">IF(_xlfn.XLOOKUP($A215&amp;$B215&amp;$C215,盘货信息!$A:$A&amp;盘货信息!$B:$B&amp;盘货信息!$C:$C,盘货信息!$Z:$Z)="","","【"&amp;盘货信息!$Z$1&amp;"】"&amp;_xlfn.XLOOKUP($A215&amp;$B215&amp;$C215,盘货信息!$A:$A&amp;盘货信息!$B:$B&amp;盘货信息!$C:$C,盘货信息!$Z:$Z))</f>
        <v/>
      </c>
      <c r="S215" s="27" t="str" cm="1">
        <f t="array" ref="S215">IF(_xlfn.XLOOKUP($A215&amp;$B215&amp;$C215,盘货信息!$A:$A&amp;盘货信息!$B:$B&amp;盘货信息!$C:$C,盘货信息!$Q:$Q)="","","【种草】站外带指定话题种草后返"&amp;_xlfn.XLOOKUP($A215&amp;$B215&amp;$C215,盘货信息!$A:$A&amp;盘货信息!$B:$B&amp;盘货信息!$C:$C,盘货信息!$Q:$Q)&amp;"元红包（每个淘宝账号仅限对应一个站外种草账号，同一个种草账号不可对应多个淘宝账号）")</f>
        <v/>
      </c>
      <c r="T215" s="27" t="str" cm="1">
        <f t="array" ref="T215">IF(_xlfn.XLOOKUP($A215&amp;$B215&amp;$C215,盘货信息!$A:$A&amp;盘货信息!$B:$B&amp;盘货信息!$C:$C,盘货信息!$R:$R)&lt;1,"","【以旧换新】"&amp;"享补贴"&amp;ROUND(_xlfn.XLOOKUP($A215&amp;$B215&amp;$C215,盘货信息!$A:$A&amp;盘货信息!$B:$B&amp;盘货信息!$C:$C,盘货信息!$R:$R),0)&amp;"元（可无旧机换新）")</f>
        <v/>
      </c>
      <c r="U215" s="27" t="str">
        <f>IF(AND($N215="",$O215="",$P215="",$Q215="",$R215="",$S215="",$T215=""),"",固定信息!$B$1)</f>
        <v/>
      </c>
      <c r="V215" s="27" t="str" cm="1">
        <f t="array" ref="V215">IF(_xlfn.XLOOKUP($A215&amp;$B215&amp;$C215,盘货信息!$A:$A&amp;盘货信息!$B:$B&amp;盘货信息!$C:$C,盘货信息!$Y:$Y)="","","【卡萨帝送赠】活动指定时间"&amp;_xlfn.TEXTBEFORE(_xlfn.TEXTAFTER(_xlfn.XLOOKUP($A215&amp;$B215&amp;$C215,盘货信息!$A:$A&amp;盘货信息!$B:$B&amp;盘货信息!$C:$C,盘货信息!$Y:$Y),"点"),"（"))</f>
        <v/>
      </c>
      <c r="W215" s="27" t="str" cm="1">
        <f t="array" ref="W215">IF(COUNTIF(_xlfn.XLOOKUP($A215&amp;$B215&amp;$C215,盘货信息!$A:$A&amp;盘货信息!$B:$B&amp;盘货信息!$C:$C,盘货信息!$O:$O),"*是*"),"【折扣】指定型号满2类享96折，满3类享94折","")</f>
        <v/>
      </c>
      <c r="X215" s="27" t="str" cm="1">
        <f t="array" ref="X215">IF(固定信息!$B$7="","",IF(_xlfn.XLOOKUP($A215&amp;$B215&amp;$C215,盘货信息!$A:$A&amp;盘货信息!$B:$B&amp;盘货信息!$C:$C,盘货信息!$N:$N)="是","【瓜分】"&amp;固定信息!$B$7,""))</f>
        <v/>
      </c>
      <c r="Y215" s="27" t="str">
        <f>IF(AND($V215="",$W215="",$X215=""),"",固定信息!$B$1)</f>
        <v/>
      </c>
      <c r="Z215" s="27" t="str" cm="1">
        <f t="array" ref="Z215">IF($C215="","",_xlfn.XLOOKUP($A215&amp;$B215&amp;$C215,服务!$A:$A&amp;服务!$B:$B&amp;服务!$C:$C,服务!$D:$D))</f>
        <v/>
      </c>
    </row>
    <row r="216" customHeight="1" spans="1:26">
      <c r="A216" s="23" t="str">
        <f>IF(盘货信息!A216="","",盘货信息!A216)</f>
        <v/>
      </c>
      <c r="B216" s="26" t="str">
        <f>IF(盘货信息!B216="","",盘货信息!B216)</f>
        <v/>
      </c>
      <c r="C216" s="23" t="str">
        <f>IF(盘货信息!C216="","",盘货信息!C216)</f>
        <v/>
      </c>
      <c r="D216" s="27" t="str">
        <f ca="1" t="shared" si="3"/>
        <v/>
      </c>
      <c r="E216" s="27" t="str">
        <f>IF(C216="","",固定信息!$B$2)</f>
        <v/>
      </c>
      <c r="F216" s="27" t="str">
        <f>IF(C216="","","【"&amp;C216&amp;"】"&amp;固定信息!$B$4)</f>
        <v/>
      </c>
      <c r="G216" s="27" t="str">
        <f>IF(C216="","","【"&amp;"活动时间："&amp;固定信息!$B$3&amp;"】")</f>
        <v/>
      </c>
      <c r="H216" s="27" t="str">
        <f>IF($C216="","",固定信息!$B$1)</f>
        <v/>
      </c>
      <c r="I216" s="27" t="str">
        <f>IF(OR(C216="",固定信息!$B$5=""),"","【1元预约锁好礼】"&amp;固定信息!$B$5)</f>
        <v/>
      </c>
      <c r="J216" s="27" t="str" cm="1">
        <f t="array" ref="J216">_xlfn.XLOOKUP($A216&amp;$B216&amp;$C216,价格信息!$A:$A&amp;价格信息!$B:$B&amp;价格信息!$C:$C,价格信息!$D:$D)</f>
        <v/>
      </c>
      <c r="K216" s="27" t="str">
        <f>IF($C216="","",固定信息!$B$1)</f>
        <v/>
      </c>
      <c r="L216" s="27" t="str" cm="1">
        <f t="array" ref="L216">IF(_xlfn.XLOOKUP($A216&amp;$B216&amp;$C216,盘货信息!$A:$A&amp;盘货信息!$B:$B&amp;盘货信息!$C:$C,盘货信息!$T:$T)="","","【优惠券】领"&amp;_xlfn.XLOOKUP($A216&amp;$B216&amp;$C216,盘货信息!$A:$A&amp;盘货信息!$B:$B&amp;盘货信息!$C:$C,盘货信息!$T:$T)&amp;"元优惠卷下单更优惠，领券链接："&amp;_xlfn.XLOOKUP($A216&amp;$B216&amp;$C216,盘货信息!$A:$A&amp;盘货信息!$B:$B&amp;盘货信息!$C:$C,盘货信息!$U:$U))</f>
        <v/>
      </c>
      <c r="M216" s="27" t="str" cm="1">
        <f t="array" ref="M216">IF(_xlfn.XLOOKUP($A216&amp;$B216&amp;$C216,盘货信息!$A:$A&amp;盘货信息!$B:$B&amp;盘货信息!$C:$C,盘货信息!$P:$P)="","","【限时】"&amp;_xlfn.XLOOKUP($A216&amp;$B216&amp;$C216,盘货信息!$A:$A&amp;盘货信息!$B:$B&amp;盘货信息!$C:$C,盘货信息!$P:$P))</f>
        <v/>
      </c>
      <c r="N216" s="27" t="str" cm="1">
        <f t="array" ref="N216">IF(_xlfn.XLOOKUP($A216&amp;$B216&amp;$C216,盘货信息!$A:$A&amp;盘货信息!$B:$B&amp;盘货信息!$C:$C,盘货信息!$V:$V)="","","【"&amp;盘货信息!$V$1&amp;"】"&amp;_xlfn.XLOOKUP($A216&amp;$B216&amp;$C216,盘货信息!$A:$A&amp;盘货信息!$B:$B&amp;盘货信息!$C:$C,盘货信息!$V:$V))</f>
        <v/>
      </c>
      <c r="O216" s="27" t="str" cm="1">
        <f t="array" ref="O216">IF(_xlfn.XLOOKUP($A216&amp;$B216&amp;$C216,盘货信息!$A:$A&amp;盘货信息!$B:$B&amp;盘货信息!$C:$C,盘货信息!$W:$W)="","","【"&amp;盘货信息!$W$1&amp;"】"&amp;_xlfn.XLOOKUP($A216&amp;$B216&amp;$C216,盘货信息!$A:$A&amp;盘货信息!$B:$B&amp;盘货信息!$C:$C,盘货信息!$W:$W))</f>
        <v/>
      </c>
      <c r="P216" s="27" t="str" cm="1">
        <f t="array" ref="P216">IF(_xlfn.XLOOKUP($A216&amp;$B216&amp;$C216,盘货信息!$A:$A&amp;盘货信息!$B:$B&amp;盘货信息!$C:$C,盘货信息!$S:$S)&lt;1,"","【"&amp;盘货信息!$S$1&amp;"】"&amp;"后返"&amp;_xlfn.XLOOKUP($A216&amp;$B216&amp;$C216,盘货信息!$A:$A&amp;盘货信息!$B:$B&amp;盘货信息!$C:$C,盘货信息!$S:$S)&amp;"元")</f>
        <v/>
      </c>
      <c r="Q216" s="27" t="str" cm="1">
        <f t="array" ref="Q216">IF(_xlfn.XLOOKUP($A216&amp;$B216&amp;$C216,盘货信息!$A:$A&amp;盘货信息!$B:$B&amp;盘货信息!$C:$C,盘货信息!$X:$X)="","","【"&amp;盘货信息!$X$1&amp;"】"&amp;_xlfn.XLOOKUP($A216&amp;$B216&amp;$C216,盘货信息!$A:$A&amp;盘货信息!$B:$B&amp;盘货信息!$C:$C,盘货信息!$X:$X))</f>
        <v/>
      </c>
      <c r="R216" s="27" t="str" cm="1">
        <f t="array" ref="R216">IF(_xlfn.XLOOKUP($A216&amp;$B216&amp;$C216,盘货信息!$A:$A&amp;盘货信息!$B:$B&amp;盘货信息!$C:$C,盘货信息!$Z:$Z)="","","【"&amp;盘货信息!$Z$1&amp;"】"&amp;_xlfn.XLOOKUP($A216&amp;$B216&amp;$C216,盘货信息!$A:$A&amp;盘货信息!$B:$B&amp;盘货信息!$C:$C,盘货信息!$Z:$Z))</f>
        <v/>
      </c>
      <c r="S216" s="27" t="str" cm="1">
        <f t="array" ref="S216">IF(_xlfn.XLOOKUP($A216&amp;$B216&amp;$C216,盘货信息!$A:$A&amp;盘货信息!$B:$B&amp;盘货信息!$C:$C,盘货信息!$Q:$Q)="","","【种草】站外带指定话题种草后返"&amp;_xlfn.XLOOKUP($A216&amp;$B216&amp;$C216,盘货信息!$A:$A&amp;盘货信息!$B:$B&amp;盘货信息!$C:$C,盘货信息!$Q:$Q)&amp;"元红包（每个淘宝账号仅限对应一个站外种草账号，同一个种草账号不可对应多个淘宝账号）")</f>
        <v/>
      </c>
      <c r="T216" s="27" t="str" cm="1">
        <f t="array" ref="T216">IF(_xlfn.XLOOKUP($A216&amp;$B216&amp;$C216,盘货信息!$A:$A&amp;盘货信息!$B:$B&amp;盘货信息!$C:$C,盘货信息!$R:$R)&lt;1,"","【以旧换新】"&amp;"享补贴"&amp;ROUND(_xlfn.XLOOKUP($A216&amp;$B216&amp;$C216,盘货信息!$A:$A&amp;盘货信息!$B:$B&amp;盘货信息!$C:$C,盘货信息!$R:$R),0)&amp;"元（可无旧机换新）")</f>
        <v/>
      </c>
      <c r="U216" s="27" t="str">
        <f>IF(AND($N216="",$O216="",$P216="",$Q216="",$R216="",$S216="",$T216=""),"",固定信息!$B$1)</f>
        <v/>
      </c>
      <c r="V216" s="27" t="str" cm="1">
        <f t="array" ref="V216">IF(_xlfn.XLOOKUP($A216&amp;$B216&amp;$C216,盘货信息!$A:$A&amp;盘货信息!$B:$B&amp;盘货信息!$C:$C,盘货信息!$Y:$Y)="","","【卡萨帝送赠】活动指定时间"&amp;_xlfn.TEXTBEFORE(_xlfn.TEXTAFTER(_xlfn.XLOOKUP($A216&amp;$B216&amp;$C216,盘货信息!$A:$A&amp;盘货信息!$B:$B&amp;盘货信息!$C:$C,盘货信息!$Y:$Y),"点"),"（"))</f>
        <v/>
      </c>
      <c r="W216" s="27" t="str" cm="1">
        <f t="array" ref="W216">IF(COUNTIF(_xlfn.XLOOKUP($A216&amp;$B216&amp;$C216,盘货信息!$A:$A&amp;盘货信息!$B:$B&amp;盘货信息!$C:$C,盘货信息!$O:$O),"*是*"),"【折扣】指定型号满2类享96折，满3类享94折","")</f>
        <v/>
      </c>
      <c r="X216" s="27" t="str" cm="1">
        <f t="array" ref="X216">IF(固定信息!$B$7="","",IF(_xlfn.XLOOKUP($A216&amp;$B216&amp;$C216,盘货信息!$A:$A&amp;盘货信息!$B:$B&amp;盘货信息!$C:$C,盘货信息!$N:$N)="是","【瓜分】"&amp;固定信息!$B$7,""))</f>
        <v/>
      </c>
      <c r="Y216" s="27" t="str">
        <f>IF(AND($V216="",$W216="",$X216=""),"",固定信息!$B$1)</f>
        <v/>
      </c>
      <c r="Z216" s="27" t="str" cm="1">
        <f t="array" ref="Z216">IF($C216="","",_xlfn.XLOOKUP($A216&amp;$B216&amp;$C216,服务!$A:$A&amp;服务!$B:$B&amp;服务!$C:$C,服务!$D:$D))</f>
        <v/>
      </c>
    </row>
    <row r="217" customHeight="1" spans="1:26">
      <c r="A217" s="23" t="str">
        <f>IF(盘货信息!A217="","",盘货信息!A217)</f>
        <v/>
      </c>
      <c r="B217" s="26" t="str">
        <f>IF(盘货信息!B217="","",盘货信息!B217)</f>
        <v/>
      </c>
      <c r="C217" s="23" t="str">
        <f>IF(盘货信息!C217="","",盘货信息!C217)</f>
        <v/>
      </c>
      <c r="D217" s="27" t="str">
        <f ca="1" t="shared" si="3"/>
        <v/>
      </c>
      <c r="E217" s="27" t="str">
        <f>IF(C217="","",固定信息!$B$2)</f>
        <v/>
      </c>
      <c r="F217" s="27" t="str">
        <f>IF(C217="","","【"&amp;C217&amp;"】"&amp;固定信息!$B$4)</f>
        <v/>
      </c>
      <c r="G217" s="27" t="str">
        <f>IF(C217="","","【"&amp;"活动时间："&amp;固定信息!$B$3&amp;"】")</f>
        <v/>
      </c>
      <c r="H217" s="27" t="str">
        <f>IF($C217="","",固定信息!$B$1)</f>
        <v/>
      </c>
      <c r="I217" s="27" t="str">
        <f>IF(OR(C217="",固定信息!$B$5=""),"","【1元预约锁好礼】"&amp;固定信息!$B$5)</f>
        <v/>
      </c>
      <c r="J217" s="27" t="str" cm="1">
        <f t="array" ref="J217">_xlfn.XLOOKUP($A217&amp;$B217&amp;$C217,价格信息!$A:$A&amp;价格信息!$B:$B&amp;价格信息!$C:$C,价格信息!$D:$D)</f>
        <v/>
      </c>
      <c r="K217" s="27" t="str">
        <f>IF($C217="","",固定信息!$B$1)</f>
        <v/>
      </c>
      <c r="L217" s="27" t="str" cm="1">
        <f t="array" ref="L217">IF(_xlfn.XLOOKUP($A217&amp;$B217&amp;$C217,盘货信息!$A:$A&amp;盘货信息!$B:$B&amp;盘货信息!$C:$C,盘货信息!$T:$T)="","","【优惠券】领"&amp;_xlfn.XLOOKUP($A217&amp;$B217&amp;$C217,盘货信息!$A:$A&amp;盘货信息!$B:$B&amp;盘货信息!$C:$C,盘货信息!$T:$T)&amp;"元优惠卷下单更优惠，领券链接："&amp;_xlfn.XLOOKUP($A217&amp;$B217&amp;$C217,盘货信息!$A:$A&amp;盘货信息!$B:$B&amp;盘货信息!$C:$C,盘货信息!$U:$U))</f>
        <v/>
      </c>
      <c r="M217" s="27" t="str" cm="1">
        <f t="array" ref="M217">IF(_xlfn.XLOOKUP($A217&amp;$B217&amp;$C217,盘货信息!$A:$A&amp;盘货信息!$B:$B&amp;盘货信息!$C:$C,盘货信息!$P:$P)="","","【限时】"&amp;_xlfn.XLOOKUP($A217&amp;$B217&amp;$C217,盘货信息!$A:$A&amp;盘货信息!$B:$B&amp;盘货信息!$C:$C,盘货信息!$P:$P))</f>
        <v/>
      </c>
      <c r="N217" s="27" t="str" cm="1">
        <f t="array" ref="N217">IF(_xlfn.XLOOKUP($A217&amp;$B217&amp;$C217,盘货信息!$A:$A&amp;盘货信息!$B:$B&amp;盘货信息!$C:$C,盘货信息!$V:$V)="","","【"&amp;盘货信息!$V$1&amp;"】"&amp;_xlfn.XLOOKUP($A217&amp;$B217&amp;$C217,盘货信息!$A:$A&amp;盘货信息!$B:$B&amp;盘货信息!$C:$C,盘货信息!$V:$V))</f>
        <v/>
      </c>
      <c r="O217" s="27" t="str" cm="1">
        <f t="array" ref="O217">IF(_xlfn.XLOOKUP($A217&amp;$B217&amp;$C217,盘货信息!$A:$A&amp;盘货信息!$B:$B&amp;盘货信息!$C:$C,盘货信息!$W:$W)="","","【"&amp;盘货信息!$W$1&amp;"】"&amp;_xlfn.XLOOKUP($A217&amp;$B217&amp;$C217,盘货信息!$A:$A&amp;盘货信息!$B:$B&amp;盘货信息!$C:$C,盘货信息!$W:$W))</f>
        <v/>
      </c>
      <c r="P217" s="27" t="str" cm="1">
        <f t="array" ref="P217">IF(_xlfn.XLOOKUP($A217&amp;$B217&amp;$C217,盘货信息!$A:$A&amp;盘货信息!$B:$B&amp;盘货信息!$C:$C,盘货信息!$S:$S)&lt;1,"","【"&amp;盘货信息!$S$1&amp;"】"&amp;"后返"&amp;_xlfn.XLOOKUP($A217&amp;$B217&amp;$C217,盘货信息!$A:$A&amp;盘货信息!$B:$B&amp;盘货信息!$C:$C,盘货信息!$S:$S)&amp;"元")</f>
        <v/>
      </c>
      <c r="Q217" s="27" t="str" cm="1">
        <f t="array" ref="Q217">IF(_xlfn.XLOOKUP($A217&amp;$B217&amp;$C217,盘货信息!$A:$A&amp;盘货信息!$B:$B&amp;盘货信息!$C:$C,盘货信息!$X:$X)="","","【"&amp;盘货信息!$X$1&amp;"】"&amp;_xlfn.XLOOKUP($A217&amp;$B217&amp;$C217,盘货信息!$A:$A&amp;盘货信息!$B:$B&amp;盘货信息!$C:$C,盘货信息!$X:$X))</f>
        <v/>
      </c>
      <c r="R217" s="27" t="str" cm="1">
        <f t="array" ref="R217">IF(_xlfn.XLOOKUP($A217&amp;$B217&amp;$C217,盘货信息!$A:$A&amp;盘货信息!$B:$B&amp;盘货信息!$C:$C,盘货信息!$Z:$Z)="","","【"&amp;盘货信息!$Z$1&amp;"】"&amp;_xlfn.XLOOKUP($A217&amp;$B217&amp;$C217,盘货信息!$A:$A&amp;盘货信息!$B:$B&amp;盘货信息!$C:$C,盘货信息!$Z:$Z))</f>
        <v/>
      </c>
      <c r="S217" s="27" t="str" cm="1">
        <f t="array" ref="S217">IF(_xlfn.XLOOKUP($A217&amp;$B217&amp;$C217,盘货信息!$A:$A&amp;盘货信息!$B:$B&amp;盘货信息!$C:$C,盘货信息!$Q:$Q)="","","【种草】站外带指定话题种草后返"&amp;_xlfn.XLOOKUP($A217&amp;$B217&amp;$C217,盘货信息!$A:$A&amp;盘货信息!$B:$B&amp;盘货信息!$C:$C,盘货信息!$Q:$Q)&amp;"元红包（每个淘宝账号仅限对应一个站外种草账号，同一个种草账号不可对应多个淘宝账号）")</f>
        <v/>
      </c>
      <c r="T217" s="27" t="str" cm="1">
        <f t="array" ref="T217">IF(_xlfn.XLOOKUP($A217&amp;$B217&amp;$C217,盘货信息!$A:$A&amp;盘货信息!$B:$B&amp;盘货信息!$C:$C,盘货信息!$R:$R)&lt;1,"","【以旧换新】"&amp;"享补贴"&amp;ROUND(_xlfn.XLOOKUP($A217&amp;$B217&amp;$C217,盘货信息!$A:$A&amp;盘货信息!$B:$B&amp;盘货信息!$C:$C,盘货信息!$R:$R),0)&amp;"元（可无旧机换新）")</f>
        <v/>
      </c>
      <c r="U217" s="27" t="str">
        <f>IF(AND($N217="",$O217="",$P217="",$Q217="",$R217="",$S217="",$T217=""),"",固定信息!$B$1)</f>
        <v/>
      </c>
      <c r="V217" s="27" t="str" cm="1">
        <f t="array" ref="V217">IF(_xlfn.XLOOKUP($A217&amp;$B217&amp;$C217,盘货信息!$A:$A&amp;盘货信息!$B:$B&amp;盘货信息!$C:$C,盘货信息!$Y:$Y)="","","【卡萨帝送赠】活动指定时间"&amp;_xlfn.TEXTBEFORE(_xlfn.TEXTAFTER(_xlfn.XLOOKUP($A217&amp;$B217&amp;$C217,盘货信息!$A:$A&amp;盘货信息!$B:$B&amp;盘货信息!$C:$C,盘货信息!$Y:$Y),"点"),"（"))</f>
        <v/>
      </c>
      <c r="W217" s="27" t="str" cm="1">
        <f t="array" ref="W217">IF(COUNTIF(_xlfn.XLOOKUP($A217&amp;$B217&amp;$C217,盘货信息!$A:$A&amp;盘货信息!$B:$B&amp;盘货信息!$C:$C,盘货信息!$O:$O),"*是*"),"【折扣】指定型号满2类享96折，满3类享94折","")</f>
        <v/>
      </c>
      <c r="X217" s="27" t="str" cm="1">
        <f t="array" ref="X217">IF(固定信息!$B$7="","",IF(_xlfn.XLOOKUP($A217&amp;$B217&amp;$C217,盘货信息!$A:$A&amp;盘货信息!$B:$B&amp;盘货信息!$C:$C,盘货信息!$N:$N)="是","【瓜分】"&amp;固定信息!$B$7,""))</f>
        <v/>
      </c>
      <c r="Y217" s="27" t="str">
        <f>IF(AND($V217="",$W217="",$X217=""),"",固定信息!$B$1)</f>
        <v/>
      </c>
      <c r="Z217" s="27" t="str" cm="1">
        <f t="array" ref="Z217">IF($C217="","",_xlfn.XLOOKUP($A217&amp;$B217&amp;$C217,服务!$A:$A&amp;服务!$B:$B&amp;服务!$C:$C,服务!$D:$D))</f>
        <v/>
      </c>
    </row>
    <row r="218" customHeight="1" spans="1:26">
      <c r="A218" s="23" t="str">
        <f>IF(盘货信息!A218="","",盘货信息!A218)</f>
        <v/>
      </c>
      <c r="B218" s="26" t="str">
        <f>IF(盘货信息!B218="","",盘货信息!B218)</f>
        <v/>
      </c>
      <c r="C218" s="23" t="str">
        <f>IF(盘货信息!C218="","",盘货信息!C218)</f>
        <v/>
      </c>
      <c r="D218" s="27" t="str">
        <f ca="1" t="shared" si="3"/>
        <v/>
      </c>
      <c r="E218" s="27" t="str">
        <f>IF(C218="","",固定信息!$B$2)</f>
        <v/>
      </c>
      <c r="F218" s="27" t="str">
        <f>IF(C218="","","【"&amp;C218&amp;"】"&amp;固定信息!$B$4)</f>
        <v/>
      </c>
      <c r="G218" s="27" t="str">
        <f>IF(C218="","","【"&amp;"活动时间："&amp;固定信息!$B$3&amp;"】")</f>
        <v/>
      </c>
      <c r="H218" s="27" t="str">
        <f>IF($C218="","",固定信息!$B$1)</f>
        <v/>
      </c>
      <c r="I218" s="27" t="str">
        <f>IF(OR(C218="",固定信息!$B$5=""),"","【1元预约锁好礼】"&amp;固定信息!$B$5)</f>
        <v/>
      </c>
      <c r="J218" s="27" t="str" cm="1">
        <f t="array" ref="J218">_xlfn.XLOOKUP($A218&amp;$B218&amp;$C218,价格信息!$A:$A&amp;价格信息!$B:$B&amp;价格信息!$C:$C,价格信息!$D:$D)</f>
        <v/>
      </c>
      <c r="K218" s="27" t="str">
        <f>IF($C218="","",固定信息!$B$1)</f>
        <v/>
      </c>
      <c r="L218" s="27" t="str" cm="1">
        <f t="array" ref="L218">IF(_xlfn.XLOOKUP($A218&amp;$B218&amp;$C218,盘货信息!$A:$A&amp;盘货信息!$B:$B&amp;盘货信息!$C:$C,盘货信息!$T:$T)="","","【优惠券】领"&amp;_xlfn.XLOOKUP($A218&amp;$B218&amp;$C218,盘货信息!$A:$A&amp;盘货信息!$B:$B&amp;盘货信息!$C:$C,盘货信息!$T:$T)&amp;"元优惠卷下单更优惠，领券链接："&amp;_xlfn.XLOOKUP($A218&amp;$B218&amp;$C218,盘货信息!$A:$A&amp;盘货信息!$B:$B&amp;盘货信息!$C:$C,盘货信息!$U:$U))</f>
        <v/>
      </c>
      <c r="M218" s="27" t="str" cm="1">
        <f t="array" ref="M218">IF(_xlfn.XLOOKUP($A218&amp;$B218&amp;$C218,盘货信息!$A:$A&amp;盘货信息!$B:$B&amp;盘货信息!$C:$C,盘货信息!$P:$P)="","","【限时】"&amp;_xlfn.XLOOKUP($A218&amp;$B218&amp;$C218,盘货信息!$A:$A&amp;盘货信息!$B:$B&amp;盘货信息!$C:$C,盘货信息!$P:$P))</f>
        <v/>
      </c>
      <c r="N218" s="27" t="str" cm="1">
        <f t="array" ref="N218">IF(_xlfn.XLOOKUP($A218&amp;$B218&amp;$C218,盘货信息!$A:$A&amp;盘货信息!$B:$B&amp;盘货信息!$C:$C,盘货信息!$V:$V)="","","【"&amp;盘货信息!$V$1&amp;"】"&amp;_xlfn.XLOOKUP($A218&amp;$B218&amp;$C218,盘货信息!$A:$A&amp;盘货信息!$B:$B&amp;盘货信息!$C:$C,盘货信息!$V:$V))</f>
        <v/>
      </c>
      <c r="O218" s="27" t="str" cm="1">
        <f t="array" ref="O218">IF(_xlfn.XLOOKUP($A218&amp;$B218&amp;$C218,盘货信息!$A:$A&amp;盘货信息!$B:$B&amp;盘货信息!$C:$C,盘货信息!$W:$W)="","","【"&amp;盘货信息!$W$1&amp;"】"&amp;_xlfn.XLOOKUP($A218&amp;$B218&amp;$C218,盘货信息!$A:$A&amp;盘货信息!$B:$B&amp;盘货信息!$C:$C,盘货信息!$W:$W))</f>
        <v/>
      </c>
      <c r="P218" s="27" t="str" cm="1">
        <f t="array" ref="P218">IF(_xlfn.XLOOKUP($A218&amp;$B218&amp;$C218,盘货信息!$A:$A&amp;盘货信息!$B:$B&amp;盘货信息!$C:$C,盘货信息!$S:$S)&lt;1,"","【"&amp;盘货信息!$S$1&amp;"】"&amp;"后返"&amp;_xlfn.XLOOKUP($A218&amp;$B218&amp;$C218,盘货信息!$A:$A&amp;盘货信息!$B:$B&amp;盘货信息!$C:$C,盘货信息!$S:$S)&amp;"元")</f>
        <v/>
      </c>
      <c r="Q218" s="27" t="str" cm="1">
        <f t="array" ref="Q218">IF(_xlfn.XLOOKUP($A218&amp;$B218&amp;$C218,盘货信息!$A:$A&amp;盘货信息!$B:$B&amp;盘货信息!$C:$C,盘货信息!$X:$X)="","","【"&amp;盘货信息!$X$1&amp;"】"&amp;_xlfn.XLOOKUP($A218&amp;$B218&amp;$C218,盘货信息!$A:$A&amp;盘货信息!$B:$B&amp;盘货信息!$C:$C,盘货信息!$X:$X))</f>
        <v/>
      </c>
      <c r="R218" s="27" t="str" cm="1">
        <f t="array" ref="R218">IF(_xlfn.XLOOKUP($A218&amp;$B218&amp;$C218,盘货信息!$A:$A&amp;盘货信息!$B:$B&amp;盘货信息!$C:$C,盘货信息!$Z:$Z)="","","【"&amp;盘货信息!$Z$1&amp;"】"&amp;_xlfn.XLOOKUP($A218&amp;$B218&amp;$C218,盘货信息!$A:$A&amp;盘货信息!$B:$B&amp;盘货信息!$C:$C,盘货信息!$Z:$Z))</f>
        <v/>
      </c>
      <c r="S218" s="27" t="str" cm="1">
        <f t="array" ref="S218">IF(_xlfn.XLOOKUP($A218&amp;$B218&amp;$C218,盘货信息!$A:$A&amp;盘货信息!$B:$B&amp;盘货信息!$C:$C,盘货信息!$Q:$Q)="","","【种草】站外带指定话题种草后返"&amp;_xlfn.XLOOKUP($A218&amp;$B218&amp;$C218,盘货信息!$A:$A&amp;盘货信息!$B:$B&amp;盘货信息!$C:$C,盘货信息!$Q:$Q)&amp;"元红包（每个淘宝账号仅限对应一个站外种草账号，同一个种草账号不可对应多个淘宝账号）")</f>
        <v/>
      </c>
      <c r="T218" s="27" t="str" cm="1">
        <f t="array" ref="T218">IF(_xlfn.XLOOKUP($A218&amp;$B218&amp;$C218,盘货信息!$A:$A&amp;盘货信息!$B:$B&amp;盘货信息!$C:$C,盘货信息!$R:$R)&lt;1,"","【以旧换新】"&amp;"享补贴"&amp;ROUND(_xlfn.XLOOKUP($A218&amp;$B218&amp;$C218,盘货信息!$A:$A&amp;盘货信息!$B:$B&amp;盘货信息!$C:$C,盘货信息!$R:$R),0)&amp;"元（可无旧机换新）")</f>
        <v/>
      </c>
      <c r="U218" s="27" t="str">
        <f>IF(AND($N218="",$O218="",$P218="",$Q218="",$R218="",$S218="",$T218=""),"",固定信息!$B$1)</f>
        <v/>
      </c>
      <c r="V218" s="27" t="str" cm="1">
        <f t="array" ref="V218">IF(_xlfn.XLOOKUP($A218&amp;$B218&amp;$C218,盘货信息!$A:$A&amp;盘货信息!$B:$B&amp;盘货信息!$C:$C,盘货信息!$Y:$Y)="","","【卡萨帝送赠】活动指定时间"&amp;_xlfn.TEXTBEFORE(_xlfn.TEXTAFTER(_xlfn.XLOOKUP($A218&amp;$B218&amp;$C218,盘货信息!$A:$A&amp;盘货信息!$B:$B&amp;盘货信息!$C:$C,盘货信息!$Y:$Y),"点"),"（"))</f>
        <v/>
      </c>
      <c r="W218" s="27" t="str" cm="1">
        <f t="array" ref="W218">IF(COUNTIF(_xlfn.XLOOKUP($A218&amp;$B218&amp;$C218,盘货信息!$A:$A&amp;盘货信息!$B:$B&amp;盘货信息!$C:$C,盘货信息!$O:$O),"*是*"),"【折扣】指定型号满2类享96折，满3类享94折","")</f>
        <v/>
      </c>
      <c r="X218" s="27" t="str" cm="1">
        <f t="array" ref="X218">IF(固定信息!$B$7="","",IF(_xlfn.XLOOKUP($A218&amp;$B218&amp;$C218,盘货信息!$A:$A&amp;盘货信息!$B:$B&amp;盘货信息!$C:$C,盘货信息!$N:$N)="是","【瓜分】"&amp;固定信息!$B$7,""))</f>
        <v/>
      </c>
      <c r="Y218" s="27" t="str">
        <f>IF(AND($V218="",$W218="",$X218=""),"",固定信息!$B$1)</f>
        <v/>
      </c>
      <c r="Z218" s="27" t="str" cm="1">
        <f t="array" ref="Z218">IF($C218="","",_xlfn.XLOOKUP($A218&amp;$B218&amp;$C218,服务!$A:$A&amp;服务!$B:$B&amp;服务!$C:$C,服务!$D:$D))</f>
        <v/>
      </c>
    </row>
    <row r="219" customHeight="1" spans="1:26">
      <c r="A219" s="23" t="str">
        <f>IF(盘货信息!A219="","",盘货信息!A219)</f>
        <v/>
      </c>
      <c r="B219" s="26" t="str">
        <f>IF(盘货信息!B219="","",盘货信息!B219)</f>
        <v/>
      </c>
      <c r="C219" s="23" t="str">
        <f>IF(盘货信息!C219="","",盘货信息!C219)</f>
        <v/>
      </c>
      <c r="D219" s="27" t="str">
        <f ca="1" t="shared" si="3"/>
        <v/>
      </c>
      <c r="E219" s="27" t="str">
        <f>IF(C219="","",固定信息!$B$2)</f>
        <v/>
      </c>
      <c r="F219" s="27" t="str">
        <f>IF(C219="","","【"&amp;C219&amp;"】"&amp;固定信息!$B$4)</f>
        <v/>
      </c>
      <c r="G219" s="27" t="str">
        <f>IF(C219="","","【"&amp;"活动时间："&amp;固定信息!$B$3&amp;"】")</f>
        <v/>
      </c>
      <c r="H219" s="27" t="str">
        <f>IF($C219="","",固定信息!$B$1)</f>
        <v/>
      </c>
      <c r="I219" s="27" t="str">
        <f>IF(OR(C219="",固定信息!$B$5=""),"","【1元预约锁好礼】"&amp;固定信息!$B$5)</f>
        <v/>
      </c>
      <c r="J219" s="27" t="str" cm="1">
        <f t="array" ref="J219">_xlfn.XLOOKUP($A219&amp;$B219&amp;$C219,价格信息!$A:$A&amp;价格信息!$B:$B&amp;价格信息!$C:$C,价格信息!$D:$D)</f>
        <v/>
      </c>
      <c r="K219" s="27" t="str">
        <f>IF($C219="","",固定信息!$B$1)</f>
        <v/>
      </c>
      <c r="L219" s="27" t="str" cm="1">
        <f t="array" ref="L219">IF(_xlfn.XLOOKUP($A219&amp;$B219&amp;$C219,盘货信息!$A:$A&amp;盘货信息!$B:$B&amp;盘货信息!$C:$C,盘货信息!$T:$T)="","","【优惠券】领"&amp;_xlfn.XLOOKUP($A219&amp;$B219&amp;$C219,盘货信息!$A:$A&amp;盘货信息!$B:$B&amp;盘货信息!$C:$C,盘货信息!$T:$T)&amp;"元优惠卷下单更优惠，领券链接："&amp;_xlfn.XLOOKUP($A219&amp;$B219&amp;$C219,盘货信息!$A:$A&amp;盘货信息!$B:$B&amp;盘货信息!$C:$C,盘货信息!$U:$U))</f>
        <v/>
      </c>
      <c r="M219" s="27" t="str" cm="1">
        <f t="array" ref="M219">IF(_xlfn.XLOOKUP($A219&amp;$B219&amp;$C219,盘货信息!$A:$A&amp;盘货信息!$B:$B&amp;盘货信息!$C:$C,盘货信息!$P:$P)="","","【限时】"&amp;_xlfn.XLOOKUP($A219&amp;$B219&amp;$C219,盘货信息!$A:$A&amp;盘货信息!$B:$B&amp;盘货信息!$C:$C,盘货信息!$P:$P))</f>
        <v/>
      </c>
      <c r="N219" s="27" t="str" cm="1">
        <f t="array" ref="N219">IF(_xlfn.XLOOKUP($A219&amp;$B219&amp;$C219,盘货信息!$A:$A&amp;盘货信息!$B:$B&amp;盘货信息!$C:$C,盘货信息!$V:$V)="","","【"&amp;盘货信息!$V$1&amp;"】"&amp;_xlfn.XLOOKUP($A219&amp;$B219&amp;$C219,盘货信息!$A:$A&amp;盘货信息!$B:$B&amp;盘货信息!$C:$C,盘货信息!$V:$V))</f>
        <v/>
      </c>
      <c r="O219" s="27" t="str" cm="1">
        <f t="array" ref="O219">IF(_xlfn.XLOOKUP($A219&amp;$B219&amp;$C219,盘货信息!$A:$A&amp;盘货信息!$B:$B&amp;盘货信息!$C:$C,盘货信息!$W:$W)="","","【"&amp;盘货信息!$W$1&amp;"】"&amp;_xlfn.XLOOKUP($A219&amp;$B219&amp;$C219,盘货信息!$A:$A&amp;盘货信息!$B:$B&amp;盘货信息!$C:$C,盘货信息!$W:$W))</f>
        <v/>
      </c>
      <c r="P219" s="27" t="str" cm="1">
        <f t="array" ref="P219">IF(_xlfn.XLOOKUP($A219&amp;$B219&amp;$C219,盘货信息!$A:$A&amp;盘货信息!$B:$B&amp;盘货信息!$C:$C,盘货信息!$S:$S)&lt;1,"","【"&amp;盘货信息!$S$1&amp;"】"&amp;"后返"&amp;_xlfn.XLOOKUP($A219&amp;$B219&amp;$C219,盘货信息!$A:$A&amp;盘货信息!$B:$B&amp;盘货信息!$C:$C,盘货信息!$S:$S)&amp;"元")</f>
        <v/>
      </c>
      <c r="Q219" s="27" t="str" cm="1">
        <f t="array" ref="Q219">IF(_xlfn.XLOOKUP($A219&amp;$B219&amp;$C219,盘货信息!$A:$A&amp;盘货信息!$B:$B&amp;盘货信息!$C:$C,盘货信息!$X:$X)="","","【"&amp;盘货信息!$X$1&amp;"】"&amp;_xlfn.XLOOKUP($A219&amp;$B219&amp;$C219,盘货信息!$A:$A&amp;盘货信息!$B:$B&amp;盘货信息!$C:$C,盘货信息!$X:$X))</f>
        <v/>
      </c>
      <c r="R219" s="27" t="str" cm="1">
        <f t="array" ref="R219">IF(_xlfn.XLOOKUP($A219&amp;$B219&amp;$C219,盘货信息!$A:$A&amp;盘货信息!$B:$B&amp;盘货信息!$C:$C,盘货信息!$Z:$Z)="","","【"&amp;盘货信息!$Z$1&amp;"】"&amp;_xlfn.XLOOKUP($A219&amp;$B219&amp;$C219,盘货信息!$A:$A&amp;盘货信息!$B:$B&amp;盘货信息!$C:$C,盘货信息!$Z:$Z))</f>
        <v/>
      </c>
      <c r="S219" s="27" t="str" cm="1">
        <f t="array" ref="S219">IF(_xlfn.XLOOKUP($A219&amp;$B219&amp;$C219,盘货信息!$A:$A&amp;盘货信息!$B:$B&amp;盘货信息!$C:$C,盘货信息!$Q:$Q)="","","【种草】站外带指定话题种草后返"&amp;_xlfn.XLOOKUP($A219&amp;$B219&amp;$C219,盘货信息!$A:$A&amp;盘货信息!$B:$B&amp;盘货信息!$C:$C,盘货信息!$Q:$Q)&amp;"元红包（每个淘宝账号仅限对应一个站外种草账号，同一个种草账号不可对应多个淘宝账号）")</f>
        <v/>
      </c>
      <c r="T219" s="27" t="str" cm="1">
        <f t="array" ref="T219">IF(_xlfn.XLOOKUP($A219&amp;$B219&amp;$C219,盘货信息!$A:$A&amp;盘货信息!$B:$B&amp;盘货信息!$C:$C,盘货信息!$R:$R)&lt;1,"","【以旧换新】"&amp;"享补贴"&amp;ROUND(_xlfn.XLOOKUP($A219&amp;$B219&amp;$C219,盘货信息!$A:$A&amp;盘货信息!$B:$B&amp;盘货信息!$C:$C,盘货信息!$R:$R),0)&amp;"元（可无旧机换新）")</f>
        <v/>
      </c>
      <c r="U219" s="27" t="str">
        <f>IF(AND($N219="",$O219="",$P219="",$Q219="",$R219="",$S219="",$T219=""),"",固定信息!$B$1)</f>
        <v/>
      </c>
      <c r="V219" s="27" t="str" cm="1">
        <f t="array" ref="V219">IF(_xlfn.XLOOKUP($A219&amp;$B219&amp;$C219,盘货信息!$A:$A&amp;盘货信息!$B:$B&amp;盘货信息!$C:$C,盘货信息!$Y:$Y)="","","【卡萨帝送赠】活动指定时间"&amp;_xlfn.TEXTBEFORE(_xlfn.TEXTAFTER(_xlfn.XLOOKUP($A219&amp;$B219&amp;$C219,盘货信息!$A:$A&amp;盘货信息!$B:$B&amp;盘货信息!$C:$C,盘货信息!$Y:$Y),"点"),"（"))</f>
        <v/>
      </c>
      <c r="W219" s="27" t="str" cm="1">
        <f t="array" ref="W219">IF(COUNTIF(_xlfn.XLOOKUP($A219&amp;$B219&amp;$C219,盘货信息!$A:$A&amp;盘货信息!$B:$B&amp;盘货信息!$C:$C,盘货信息!$O:$O),"*是*"),"【折扣】指定型号满2类享96折，满3类享94折","")</f>
        <v/>
      </c>
      <c r="X219" s="27" t="str" cm="1">
        <f t="array" ref="X219">IF(固定信息!$B$7="","",IF(_xlfn.XLOOKUP($A219&amp;$B219&amp;$C219,盘货信息!$A:$A&amp;盘货信息!$B:$B&amp;盘货信息!$C:$C,盘货信息!$N:$N)="是","【瓜分】"&amp;固定信息!$B$7,""))</f>
        <v/>
      </c>
      <c r="Y219" s="27" t="str">
        <f>IF(AND($V219="",$W219="",$X219=""),"",固定信息!$B$1)</f>
        <v/>
      </c>
      <c r="Z219" s="27" t="str" cm="1">
        <f t="array" ref="Z219">IF($C219="","",_xlfn.XLOOKUP($A219&amp;$B219&amp;$C219,服务!$A:$A&amp;服务!$B:$B&amp;服务!$C:$C,服务!$D:$D))</f>
        <v/>
      </c>
    </row>
    <row r="220" customHeight="1" spans="1:26">
      <c r="A220" s="23" t="str">
        <f>IF(盘货信息!A220="","",盘货信息!A220)</f>
        <v/>
      </c>
      <c r="B220" s="26" t="str">
        <f>IF(盘货信息!B220="","",盘货信息!B220)</f>
        <v/>
      </c>
      <c r="C220" s="23" t="str">
        <f>IF(盘货信息!C220="","",盘货信息!C220)</f>
        <v/>
      </c>
      <c r="D220" s="27" t="str">
        <f ca="1" t="shared" si="3"/>
        <v/>
      </c>
      <c r="E220" s="27" t="str">
        <f>IF(C220="","",固定信息!$B$2)</f>
        <v/>
      </c>
      <c r="F220" s="27" t="str">
        <f>IF(C220="","","【"&amp;C220&amp;"】"&amp;固定信息!$B$4)</f>
        <v/>
      </c>
      <c r="G220" s="27" t="str">
        <f>IF(C220="","","【"&amp;"活动时间："&amp;固定信息!$B$3&amp;"】")</f>
        <v/>
      </c>
      <c r="H220" s="27" t="str">
        <f>IF($C220="","",固定信息!$B$1)</f>
        <v/>
      </c>
      <c r="I220" s="27" t="str">
        <f>IF(OR(C220="",固定信息!$B$5=""),"","【1元预约锁好礼】"&amp;固定信息!$B$5)</f>
        <v/>
      </c>
      <c r="J220" s="27" t="str" cm="1">
        <f t="array" ref="J220">_xlfn.XLOOKUP($A220&amp;$B220&amp;$C220,价格信息!$A:$A&amp;价格信息!$B:$B&amp;价格信息!$C:$C,价格信息!$D:$D)</f>
        <v/>
      </c>
      <c r="K220" s="27" t="str">
        <f>IF($C220="","",固定信息!$B$1)</f>
        <v/>
      </c>
      <c r="L220" s="27" t="str" cm="1">
        <f t="array" ref="L220">IF(_xlfn.XLOOKUP($A220&amp;$B220&amp;$C220,盘货信息!$A:$A&amp;盘货信息!$B:$B&amp;盘货信息!$C:$C,盘货信息!$T:$T)="","","【优惠券】领"&amp;_xlfn.XLOOKUP($A220&amp;$B220&amp;$C220,盘货信息!$A:$A&amp;盘货信息!$B:$B&amp;盘货信息!$C:$C,盘货信息!$T:$T)&amp;"元优惠卷下单更优惠，领券链接："&amp;_xlfn.XLOOKUP($A220&amp;$B220&amp;$C220,盘货信息!$A:$A&amp;盘货信息!$B:$B&amp;盘货信息!$C:$C,盘货信息!$U:$U))</f>
        <v/>
      </c>
      <c r="M220" s="27" t="str" cm="1">
        <f t="array" ref="M220">IF(_xlfn.XLOOKUP($A220&amp;$B220&amp;$C220,盘货信息!$A:$A&amp;盘货信息!$B:$B&amp;盘货信息!$C:$C,盘货信息!$P:$P)="","","【限时】"&amp;_xlfn.XLOOKUP($A220&amp;$B220&amp;$C220,盘货信息!$A:$A&amp;盘货信息!$B:$B&amp;盘货信息!$C:$C,盘货信息!$P:$P))</f>
        <v/>
      </c>
      <c r="N220" s="27" t="str" cm="1">
        <f t="array" ref="N220">IF(_xlfn.XLOOKUP($A220&amp;$B220&amp;$C220,盘货信息!$A:$A&amp;盘货信息!$B:$B&amp;盘货信息!$C:$C,盘货信息!$V:$V)="","","【"&amp;盘货信息!$V$1&amp;"】"&amp;_xlfn.XLOOKUP($A220&amp;$B220&amp;$C220,盘货信息!$A:$A&amp;盘货信息!$B:$B&amp;盘货信息!$C:$C,盘货信息!$V:$V))</f>
        <v/>
      </c>
      <c r="O220" s="27" t="str" cm="1">
        <f t="array" ref="O220">IF(_xlfn.XLOOKUP($A220&amp;$B220&amp;$C220,盘货信息!$A:$A&amp;盘货信息!$B:$B&amp;盘货信息!$C:$C,盘货信息!$W:$W)="","","【"&amp;盘货信息!$W$1&amp;"】"&amp;_xlfn.XLOOKUP($A220&amp;$B220&amp;$C220,盘货信息!$A:$A&amp;盘货信息!$B:$B&amp;盘货信息!$C:$C,盘货信息!$W:$W))</f>
        <v/>
      </c>
      <c r="P220" s="27" t="str" cm="1">
        <f t="array" ref="P220">IF(_xlfn.XLOOKUP($A220&amp;$B220&amp;$C220,盘货信息!$A:$A&amp;盘货信息!$B:$B&amp;盘货信息!$C:$C,盘货信息!$S:$S)&lt;1,"","【"&amp;盘货信息!$S$1&amp;"】"&amp;"后返"&amp;_xlfn.XLOOKUP($A220&amp;$B220&amp;$C220,盘货信息!$A:$A&amp;盘货信息!$B:$B&amp;盘货信息!$C:$C,盘货信息!$S:$S)&amp;"元")</f>
        <v/>
      </c>
      <c r="Q220" s="27" t="str" cm="1">
        <f t="array" ref="Q220">IF(_xlfn.XLOOKUP($A220&amp;$B220&amp;$C220,盘货信息!$A:$A&amp;盘货信息!$B:$B&amp;盘货信息!$C:$C,盘货信息!$X:$X)="","","【"&amp;盘货信息!$X$1&amp;"】"&amp;_xlfn.XLOOKUP($A220&amp;$B220&amp;$C220,盘货信息!$A:$A&amp;盘货信息!$B:$B&amp;盘货信息!$C:$C,盘货信息!$X:$X))</f>
        <v/>
      </c>
      <c r="R220" s="27" t="str" cm="1">
        <f t="array" ref="R220">IF(_xlfn.XLOOKUP($A220&amp;$B220&amp;$C220,盘货信息!$A:$A&amp;盘货信息!$B:$B&amp;盘货信息!$C:$C,盘货信息!$Z:$Z)="","","【"&amp;盘货信息!$Z$1&amp;"】"&amp;_xlfn.XLOOKUP($A220&amp;$B220&amp;$C220,盘货信息!$A:$A&amp;盘货信息!$B:$B&amp;盘货信息!$C:$C,盘货信息!$Z:$Z))</f>
        <v/>
      </c>
      <c r="S220" s="27" t="str" cm="1">
        <f t="array" ref="S220">IF(_xlfn.XLOOKUP($A220&amp;$B220&amp;$C220,盘货信息!$A:$A&amp;盘货信息!$B:$B&amp;盘货信息!$C:$C,盘货信息!$Q:$Q)="","","【种草】站外带指定话题种草后返"&amp;_xlfn.XLOOKUP($A220&amp;$B220&amp;$C220,盘货信息!$A:$A&amp;盘货信息!$B:$B&amp;盘货信息!$C:$C,盘货信息!$Q:$Q)&amp;"元红包（每个淘宝账号仅限对应一个站外种草账号，同一个种草账号不可对应多个淘宝账号）")</f>
        <v/>
      </c>
      <c r="T220" s="27" t="str" cm="1">
        <f t="array" ref="T220">IF(_xlfn.XLOOKUP($A220&amp;$B220&amp;$C220,盘货信息!$A:$A&amp;盘货信息!$B:$B&amp;盘货信息!$C:$C,盘货信息!$R:$R)&lt;1,"","【以旧换新】"&amp;"享补贴"&amp;ROUND(_xlfn.XLOOKUP($A220&amp;$B220&amp;$C220,盘货信息!$A:$A&amp;盘货信息!$B:$B&amp;盘货信息!$C:$C,盘货信息!$R:$R),0)&amp;"元（可无旧机换新）")</f>
        <v/>
      </c>
      <c r="U220" s="27" t="str">
        <f>IF(AND($N220="",$O220="",$P220="",$Q220="",$R220="",$S220="",$T220=""),"",固定信息!$B$1)</f>
        <v/>
      </c>
      <c r="V220" s="27" t="str" cm="1">
        <f t="array" ref="V220">IF(_xlfn.XLOOKUP($A220&amp;$B220&amp;$C220,盘货信息!$A:$A&amp;盘货信息!$B:$B&amp;盘货信息!$C:$C,盘货信息!$Y:$Y)="","","【卡萨帝送赠】活动指定时间"&amp;_xlfn.TEXTBEFORE(_xlfn.TEXTAFTER(_xlfn.XLOOKUP($A220&amp;$B220&amp;$C220,盘货信息!$A:$A&amp;盘货信息!$B:$B&amp;盘货信息!$C:$C,盘货信息!$Y:$Y),"点"),"（"))</f>
        <v/>
      </c>
      <c r="W220" s="27" t="str" cm="1">
        <f t="array" ref="W220">IF(COUNTIF(_xlfn.XLOOKUP($A220&amp;$B220&amp;$C220,盘货信息!$A:$A&amp;盘货信息!$B:$B&amp;盘货信息!$C:$C,盘货信息!$O:$O),"*是*"),"【折扣】指定型号满2类享96折，满3类享94折","")</f>
        <v/>
      </c>
      <c r="X220" s="27" t="str" cm="1">
        <f t="array" ref="X220">IF(固定信息!$B$7="","",IF(_xlfn.XLOOKUP($A220&amp;$B220&amp;$C220,盘货信息!$A:$A&amp;盘货信息!$B:$B&amp;盘货信息!$C:$C,盘货信息!$N:$N)="是","【瓜分】"&amp;固定信息!$B$7,""))</f>
        <v/>
      </c>
      <c r="Y220" s="27" t="str">
        <f>IF(AND($V220="",$W220="",$X220=""),"",固定信息!$B$1)</f>
        <v/>
      </c>
      <c r="Z220" s="27" t="str" cm="1">
        <f t="array" ref="Z220">IF($C220="","",_xlfn.XLOOKUP($A220&amp;$B220&amp;$C220,服务!$A:$A&amp;服务!$B:$B&amp;服务!$C:$C,服务!$D:$D))</f>
        <v/>
      </c>
    </row>
    <row r="221" customHeight="1" spans="1:26">
      <c r="A221" s="23" t="str">
        <f>IF(盘货信息!A221="","",盘货信息!A221)</f>
        <v/>
      </c>
      <c r="B221" s="26" t="str">
        <f>IF(盘货信息!B221="","",盘货信息!B221)</f>
        <v/>
      </c>
      <c r="C221" s="23" t="str">
        <f>IF(盘货信息!C221="","",盘货信息!C221)</f>
        <v/>
      </c>
      <c r="D221" s="27" t="str">
        <f ca="1" t="shared" si="3"/>
        <v/>
      </c>
      <c r="E221" s="27" t="str">
        <f>IF(C221="","",固定信息!$B$2)</f>
        <v/>
      </c>
      <c r="F221" s="27" t="str">
        <f>IF(C221="","","【"&amp;C221&amp;"】"&amp;固定信息!$B$4)</f>
        <v/>
      </c>
      <c r="G221" s="27" t="str">
        <f>IF(C221="","","【"&amp;"活动时间："&amp;固定信息!$B$3&amp;"】")</f>
        <v/>
      </c>
      <c r="H221" s="27" t="str">
        <f>IF($C221="","",固定信息!$B$1)</f>
        <v/>
      </c>
      <c r="I221" s="27" t="str">
        <f>IF(OR(C221="",固定信息!$B$5=""),"","【1元预约锁好礼】"&amp;固定信息!$B$5)</f>
        <v/>
      </c>
      <c r="J221" s="27" t="str" cm="1">
        <f t="array" ref="J221">_xlfn.XLOOKUP($A221&amp;$B221&amp;$C221,价格信息!$A:$A&amp;价格信息!$B:$B&amp;价格信息!$C:$C,价格信息!$D:$D)</f>
        <v/>
      </c>
      <c r="K221" s="27" t="str">
        <f>IF($C221="","",固定信息!$B$1)</f>
        <v/>
      </c>
      <c r="L221" s="27" t="str" cm="1">
        <f t="array" ref="L221">IF(_xlfn.XLOOKUP($A221&amp;$B221&amp;$C221,盘货信息!$A:$A&amp;盘货信息!$B:$B&amp;盘货信息!$C:$C,盘货信息!$T:$T)="","","【优惠券】领"&amp;_xlfn.XLOOKUP($A221&amp;$B221&amp;$C221,盘货信息!$A:$A&amp;盘货信息!$B:$B&amp;盘货信息!$C:$C,盘货信息!$T:$T)&amp;"元优惠卷下单更优惠，领券链接："&amp;_xlfn.XLOOKUP($A221&amp;$B221&amp;$C221,盘货信息!$A:$A&amp;盘货信息!$B:$B&amp;盘货信息!$C:$C,盘货信息!$U:$U))</f>
        <v/>
      </c>
      <c r="M221" s="27" t="str" cm="1">
        <f t="array" ref="M221">IF(_xlfn.XLOOKUP($A221&amp;$B221&amp;$C221,盘货信息!$A:$A&amp;盘货信息!$B:$B&amp;盘货信息!$C:$C,盘货信息!$P:$P)="","","【限时】"&amp;_xlfn.XLOOKUP($A221&amp;$B221&amp;$C221,盘货信息!$A:$A&amp;盘货信息!$B:$B&amp;盘货信息!$C:$C,盘货信息!$P:$P))</f>
        <v/>
      </c>
      <c r="N221" s="27" t="str" cm="1">
        <f t="array" ref="N221">IF(_xlfn.XLOOKUP($A221&amp;$B221&amp;$C221,盘货信息!$A:$A&amp;盘货信息!$B:$B&amp;盘货信息!$C:$C,盘货信息!$V:$V)="","","【"&amp;盘货信息!$V$1&amp;"】"&amp;_xlfn.XLOOKUP($A221&amp;$B221&amp;$C221,盘货信息!$A:$A&amp;盘货信息!$B:$B&amp;盘货信息!$C:$C,盘货信息!$V:$V))</f>
        <v/>
      </c>
      <c r="O221" s="27" t="str" cm="1">
        <f t="array" ref="O221">IF(_xlfn.XLOOKUP($A221&amp;$B221&amp;$C221,盘货信息!$A:$A&amp;盘货信息!$B:$B&amp;盘货信息!$C:$C,盘货信息!$W:$W)="","","【"&amp;盘货信息!$W$1&amp;"】"&amp;_xlfn.XLOOKUP($A221&amp;$B221&amp;$C221,盘货信息!$A:$A&amp;盘货信息!$B:$B&amp;盘货信息!$C:$C,盘货信息!$W:$W))</f>
        <v/>
      </c>
      <c r="P221" s="27" t="str" cm="1">
        <f t="array" ref="P221">IF(_xlfn.XLOOKUP($A221&amp;$B221&amp;$C221,盘货信息!$A:$A&amp;盘货信息!$B:$B&amp;盘货信息!$C:$C,盘货信息!$S:$S)&lt;1,"","【"&amp;盘货信息!$S$1&amp;"】"&amp;"后返"&amp;_xlfn.XLOOKUP($A221&amp;$B221&amp;$C221,盘货信息!$A:$A&amp;盘货信息!$B:$B&amp;盘货信息!$C:$C,盘货信息!$S:$S)&amp;"元")</f>
        <v/>
      </c>
      <c r="Q221" s="27" t="str" cm="1">
        <f t="array" ref="Q221">IF(_xlfn.XLOOKUP($A221&amp;$B221&amp;$C221,盘货信息!$A:$A&amp;盘货信息!$B:$B&amp;盘货信息!$C:$C,盘货信息!$X:$X)="","","【"&amp;盘货信息!$X$1&amp;"】"&amp;_xlfn.XLOOKUP($A221&amp;$B221&amp;$C221,盘货信息!$A:$A&amp;盘货信息!$B:$B&amp;盘货信息!$C:$C,盘货信息!$X:$X))</f>
        <v/>
      </c>
      <c r="R221" s="27" t="str" cm="1">
        <f t="array" ref="R221">IF(_xlfn.XLOOKUP($A221&amp;$B221&amp;$C221,盘货信息!$A:$A&amp;盘货信息!$B:$B&amp;盘货信息!$C:$C,盘货信息!$Z:$Z)="","","【"&amp;盘货信息!$Z$1&amp;"】"&amp;_xlfn.XLOOKUP($A221&amp;$B221&amp;$C221,盘货信息!$A:$A&amp;盘货信息!$B:$B&amp;盘货信息!$C:$C,盘货信息!$Z:$Z))</f>
        <v/>
      </c>
      <c r="S221" s="27" t="str" cm="1">
        <f t="array" ref="S221">IF(_xlfn.XLOOKUP($A221&amp;$B221&amp;$C221,盘货信息!$A:$A&amp;盘货信息!$B:$B&amp;盘货信息!$C:$C,盘货信息!$Q:$Q)="","","【种草】站外带指定话题种草后返"&amp;_xlfn.XLOOKUP($A221&amp;$B221&amp;$C221,盘货信息!$A:$A&amp;盘货信息!$B:$B&amp;盘货信息!$C:$C,盘货信息!$Q:$Q)&amp;"元红包（每个淘宝账号仅限对应一个站外种草账号，同一个种草账号不可对应多个淘宝账号）")</f>
        <v/>
      </c>
      <c r="T221" s="27" t="str" cm="1">
        <f t="array" ref="T221">IF(_xlfn.XLOOKUP($A221&amp;$B221&amp;$C221,盘货信息!$A:$A&amp;盘货信息!$B:$B&amp;盘货信息!$C:$C,盘货信息!$R:$R)&lt;1,"","【以旧换新】"&amp;"享补贴"&amp;ROUND(_xlfn.XLOOKUP($A221&amp;$B221&amp;$C221,盘货信息!$A:$A&amp;盘货信息!$B:$B&amp;盘货信息!$C:$C,盘货信息!$R:$R),0)&amp;"元（可无旧机换新）")</f>
        <v/>
      </c>
      <c r="U221" s="27" t="str">
        <f>IF(AND($N221="",$O221="",$P221="",$Q221="",$R221="",$S221="",$T221=""),"",固定信息!$B$1)</f>
        <v/>
      </c>
      <c r="V221" s="27" t="str" cm="1">
        <f t="array" ref="V221">IF(_xlfn.XLOOKUP($A221&amp;$B221&amp;$C221,盘货信息!$A:$A&amp;盘货信息!$B:$B&amp;盘货信息!$C:$C,盘货信息!$Y:$Y)="","","【卡萨帝送赠】活动指定时间"&amp;_xlfn.TEXTBEFORE(_xlfn.TEXTAFTER(_xlfn.XLOOKUP($A221&amp;$B221&amp;$C221,盘货信息!$A:$A&amp;盘货信息!$B:$B&amp;盘货信息!$C:$C,盘货信息!$Y:$Y),"点"),"（"))</f>
        <v/>
      </c>
      <c r="W221" s="27" t="str" cm="1">
        <f t="array" ref="W221">IF(COUNTIF(_xlfn.XLOOKUP($A221&amp;$B221&amp;$C221,盘货信息!$A:$A&amp;盘货信息!$B:$B&amp;盘货信息!$C:$C,盘货信息!$O:$O),"*是*"),"【折扣】指定型号满2类享96折，满3类享94折","")</f>
        <v/>
      </c>
      <c r="X221" s="27" t="str" cm="1">
        <f t="array" ref="X221">IF(固定信息!$B$7="","",IF(_xlfn.XLOOKUP($A221&amp;$B221&amp;$C221,盘货信息!$A:$A&amp;盘货信息!$B:$B&amp;盘货信息!$C:$C,盘货信息!$N:$N)="是","【瓜分】"&amp;固定信息!$B$7,""))</f>
        <v/>
      </c>
      <c r="Y221" s="27" t="str">
        <f>IF(AND($V221="",$W221="",$X221=""),"",固定信息!$B$1)</f>
        <v/>
      </c>
      <c r="Z221" s="27" t="str" cm="1">
        <f t="array" ref="Z221">IF($C221="","",_xlfn.XLOOKUP($A221&amp;$B221&amp;$C221,服务!$A:$A&amp;服务!$B:$B&amp;服务!$C:$C,服务!$D:$D))</f>
        <v/>
      </c>
    </row>
    <row r="222" customHeight="1" spans="1:26">
      <c r="A222" s="23" t="str">
        <f>IF(盘货信息!A222="","",盘货信息!A222)</f>
        <v/>
      </c>
      <c r="B222" s="26" t="str">
        <f>IF(盘货信息!B222="","",盘货信息!B222)</f>
        <v/>
      </c>
      <c r="C222" s="23" t="str">
        <f>IF(盘货信息!C222="","",盘货信息!C222)</f>
        <v/>
      </c>
      <c r="D222" s="27" t="str">
        <f ca="1" t="shared" si="3"/>
        <v/>
      </c>
      <c r="E222" s="27" t="str">
        <f>IF(C222="","",固定信息!$B$2)</f>
        <v/>
      </c>
      <c r="F222" s="27" t="str">
        <f>IF(C222="","","【"&amp;C222&amp;"】"&amp;固定信息!$B$4)</f>
        <v/>
      </c>
      <c r="G222" s="27" t="str">
        <f>IF(C222="","","【"&amp;"活动时间："&amp;固定信息!$B$3&amp;"】")</f>
        <v/>
      </c>
      <c r="H222" s="27" t="str">
        <f>IF($C222="","",固定信息!$B$1)</f>
        <v/>
      </c>
      <c r="I222" s="27" t="str">
        <f>IF(OR(C222="",固定信息!$B$5=""),"","【1元预约锁好礼】"&amp;固定信息!$B$5)</f>
        <v/>
      </c>
      <c r="J222" s="27" t="str" cm="1">
        <f t="array" ref="J222">_xlfn.XLOOKUP($A222&amp;$B222&amp;$C222,价格信息!$A:$A&amp;价格信息!$B:$B&amp;价格信息!$C:$C,价格信息!$D:$D)</f>
        <v/>
      </c>
      <c r="K222" s="27" t="str">
        <f>IF($C222="","",固定信息!$B$1)</f>
        <v/>
      </c>
      <c r="L222" s="27" t="str" cm="1">
        <f t="array" ref="L222">IF(_xlfn.XLOOKUP($A222&amp;$B222&amp;$C222,盘货信息!$A:$A&amp;盘货信息!$B:$B&amp;盘货信息!$C:$C,盘货信息!$T:$T)="","","【优惠券】领"&amp;_xlfn.XLOOKUP($A222&amp;$B222&amp;$C222,盘货信息!$A:$A&amp;盘货信息!$B:$B&amp;盘货信息!$C:$C,盘货信息!$T:$T)&amp;"元优惠卷下单更优惠，领券链接："&amp;_xlfn.XLOOKUP($A222&amp;$B222&amp;$C222,盘货信息!$A:$A&amp;盘货信息!$B:$B&amp;盘货信息!$C:$C,盘货信息!$U:$U))</f>
        <v/>
      </c>
      <c r="M222" s="27" t="str" cm="1">
        <f t="array" ref="M222">IF(_xlfn.XLOOKUP($A222&amp;$B222&amp;$C222,盘货信息!$A:$A&amp;盘货信息!$B:$B&amp;盘货信息!$C:$C,盘货信息!$P:$P)="","","【限时】"&amp;_xlfn.XLOOKUP($A222&amp;$B222&amp;$C222,盘货信息!$A:$A&amp;盘货信息!$B:$B&amp;盘货信息!$C:$C,盘货信息!$P:$P))</f>
        <v/>
      </c>
      <c r="N222" s="27" t="str" cm="1">
        <f t="array" ref="N222">IF(_xlfn.XLOOKUP($A222&amp;$B222&amp;$C222,盘货信息!$A:$A&amp;盘货信息!$B:$B&amp;盘货信息!$C:$C,盘货信息!$V:$V)="","","【"&amp;盘货信息!$V$1&amp;"】"&amp;_xlfn.XLOOKUP($A222&amp;$B222&amp;$C222,盘货信息!$A:$A&amp;盘货信息!$B:$B&amp;盘货信息!$C:$C,盘货信息!$V:$V))</f>
        <v/>
      </c>
      <c r="O222" s="27" t="str" cm="1">
        <f t="array" ref="O222">IF(_xlfn.XLOOKUP($A222&amp;$B222&amp;$C222,盘货信息!$A:$A&amp;盘货信息!$B:$B&amp;盘货信息!$C:$C,盘货信息!$W:$W)="","","【"&amp;盘货信息!$W$1&amp;"】"&amp;_xlfn.XLOOKUP($A222&amp;$B222&amp;$C222,盘货信息!$A:$A&amp;盘货信息!$B:$B&amp;盘货信息!$C:$C,盘货信息!$W:$W))</f>
        <v/>
      </c>
      <c r="P222" s="27" t="str" cm="1">
        <f t="array" ref="P222">IF(_xlfn.XLOOKUP($A222&amp;$B222&amp;$C222,盘货信息!$A:$A&amp;盘货信息!$B:$B&amp;盘货信息!$C:$C,盘货信息!$S:$S)&lt;1,"","【"&amp;盘货信息!$S$1&amp;"】"&amp;"后返"&amp;_xlfn.XLOOKUP($A222&amp;$B222&amp;$C222,盘货信息!$A:$A&amp;盘货信息!$B:$B&amp;盘货信息!$C:$C,盘货信息!$S:$S)&amp;"元")</f>
        <v/>
      </c>
      <c r="Q222" s="27" t="str" cm="1">
        <f t="array" ref="Q222">IF(_xlfn.XLOOKUP($A222&amp;$B222&amp;$C222,盘货信息!$A:$A&amp;盘货信息!$B:$B&amp;盘货信息!$C:$C,盘货信息!$X:$X)="","","【"&amp;盘货信息!$X$1&amp;"】"&amp;_xlfn.XLOOKUP($A222&amp;$B222&amp;$C222,盘货信息!$A:$A&amp;盘货信息!$B:$B&amp;盘货信息!$C:$C,盘货信息!$X:$X))</f>
        <v/>
      </c>
      <c r="R222" s="27" t="str" cm="1">
        <f t="array" ref="R222">IF(_xlfn.XLOOKUP($A222&amp;$B222&amp;$C222,盘货信息!$A:$A&amp;盘货信息!$B:$B&amp;盘货信息!$C:$C,盘货信息!$Z:$Z)="","","【"&amp;盘货信息!$Z$1&amp;"】"&amp;_xlfn.XLOOKUP($A222&amp;$B222&amp;$C222,盘货信息!$A:$A&amp;盘货信息!$B:$B&amp;盘货信息!$C:$C,盘货信息!$Z:$Z))</f>
        <v/>
      </c>
      <c r="S222" s="27" t="str" cm="1">
        <f t="array" ref="S222">IF(_xlfn.XLOOKUP($A222&amp;$B222&amp;$C222,盘货信息!$A:$A&amp;盘货信息!$B:$B&amp;盘货信息!$C:$C,盘货信息!$Q:$Q)="","","【种草】站外带指定话题种草后返"&amp;_xlfn.XLOOKUP($A222&amp;$B222&amp;$C222,盘货信息!$A:$A&amp;盘货信息!$B:$B&amp;盘货信息!$C:$C,盘货信息!$Q:$Q)&amp;"元红包（每个淘宝账号仅限对应一个站外种草账号，同一个种草账号不可对应多个淘宝账号）")</f>
        <v/>
      </c>
      <c r="T222" s="27" t="str" cm="1">
        <f t="array" ref="T222">IF(_xlfn.XLOOKUP($A222&amp;$B222&amp;$C222,盘货信息!$A:$A&amp;盘货信息!$B:$B&amp;盘货信息!$C:$C,盘货信息!$R:$R)&lt;1,"","【以旧换新】"&amp;"享补贴"&amp;ROUND(_xlfn.XLOOKUP($A222&amp;$B222&amp;$C222,盘货信息!$A:$A&amp;盘货信息!$B:$B&amp;盘货信息!$C:$C,盘货信息!$R:$R),0)&amp;"元（可无旧机换新）")</f>
        <v/>
      </c>
      <c r="U222" s="27" t="str">
        <f>IF(AND($N222="",$O222="",$P222="",$Q222="",$R222="",$S222="",$T222=""),"",固定信息!$B$1)</f>
        <v/>
      </c>
      <c r="V222" s="27" t="str" cm="1">
        <f t="array" ref="V222">IF(_xlfn.XLOOKUP($A222&amp;$B222&amp;$C222,盘货信息!$A:$A&amp;盘货信息!$B:$B&amp;盘货信息!$C:$C,盘货信息!$Y:$Y)="","","【卡萨帝送赠】活动指定时间"&amp;_xlfn.TEXTBEFORE(_xlfn.TEXTAFTER(_xlfn.XLOOKUP($A222&amp;$B222&amp;$C222,盘货信息!$A:$A&amp;盘货信息!$B:$B&amp;盘货信息!$C:$C,盘货信息!$Y:$Y),"点"),"（"))</f>
        <v/>
      </c>
      <c r="W222" s="27" t="str" cm="1">
        <f t="array" ref="W222">IF(COUNTIF(_xlfn.XLOOKUP($A222&amp;$B222&amp;$C222,盘货信息!$A:$A&amp;盘货信息!$B:$B&amp;盘货信息!$C:$C,盘货信息!$O:$O),"*是*"),"【折扣】指定型号满2类享96折，满3类享94折","")</f>
        <v/>
      </c>
      <c r="X222" s="27" t="str" cm="1">
        <f t="array" ref="X222">IF(固定信息!$B$7="","",IF(_xlfn.XLOOKUP($A222&amp;$B222&amp;$C222,盘货信息!$A:$A&amp;盘货信息!$B:$B&amp;盘货信息!$C:$C,盘货信息!$N:$N)="是","【瓜分】"&amp;固定信息!$B$7,""))</f>
        <v/>
      </c>
      <c r="Y222" s="27" t="str">
        <f>IF(AND($V222="",$W222="",$X222=""),"",固定信息!$B$1)</f>
        <v/>
      </c>
      <c r="Z222" s="27" t="str" cm="1">
        <f t="array" ref="Z222">IF($C222="","",_xlfn.XLOOKUP($A222&amp;$B222&amp;$C222,服务!$A:$A&amp;服务!$B:$B&amp;服务!$C:$C,服务!$D:$D))</f>
        <v/>
      </c>
    </row>
    <row r="223" customHeight="1" spans="1:26">
      <c r="A223" s="23" t="str">
        <f>IF(盘货信息!A223="","",盘货信息!A223)</f>
        <v/>
      </c>
      <c r="B223" s="26" t="str">
        <f>IF(盘货信息!B223="","",盘货信息!B223)</f>
        <v/>
      </c>
      <c r="C223" s="23" t="str">
        <f>IF(盘货信息!C223="","",盘货信息!C223)</f>
        <v/>
      </c>
      <c r="D223" s="27" t="str">
        <f ca="1" t="shared" si="3"/>
        <v/>
      </c>
      <c r="E223" s="27" t="str">
        <f>IF(C223="","",固定信息!$B$2)</f>
        <v/>
      </c>
      <c r="F223" s="27" t="str">
        <f>IF(C223="","","【"&amp;C223&amp;"】"&amp;固定信息!$B$4)</f>
        <v/>
      </c>
      <c r="G223" s="27" t="str">
        <f>IF(C223="","","【"&amp;"活动时间："&amp;固定信息!$B$3&amp;"】")</f>
        <v/>
      </c>
      <c r="H223" s="27" t="str">
        <f>IF($C223="","",固定信息!$B$1)</f>
        <v/>
      </c>
      <c r="I223" s="27" t="str">
        <f>IF(OR(C223="",固定信息!$B$5=""),"","【1元预约锁好礼】"&amp;固定信息!$B$5)</f>
        <v/>
      </c>
      <c r="J223" s="27" t="str" cm="1">
        <f t="array" ref="J223">_xlfn.XLOOKUP($A223&amp;$B223&amp;$C223,价格信息!$A:$A&amp;价格信息!$B:$B&amp;价格信息!$C:$C,价格信息!$D:$D)</f>
        <v/>
      </c>
      <c r="K223" s="27" t="str">
        <f>IF($C223="","",固定信息!$B$1)</f>
        <v/>
      </c>
      <c r="L223" s="27" t="str" cm="1">
        <f t="array" ref="L223">IF(_xlfn.XLOOKUP($A223&amp;$B223&amp;$C223,盘货信息!$A:$A&amp;盘货信息!$B:$B&amp;盘货信息!$C:$C,盘货信息!$T:$T)="","","【优惠券】领"&amp;_xlfn.XLOOKUP($A223&amp;$B223&amp;$C223,盘货信息!$A:$A&amp;盘货信息!$B:$B&amp;盘货信息!$C:$C,盘货信息!$T:$T)&amp;"元优惠卷下单更优惠，领券链接："&amp;_xlfn.XLOOKUP($A223&amp;$B223&amp;$C223,盘货信息!$A:$A&amp;盘货信息!$B:$B&amp;盘货信息!$C:$C,盘货信息!$U:$U))</f>
        <v/>
      </c>
      <c r="M223" s="27" t="str" cm="1">
        <f t="array" ref="M223">IF(_xlfn.XLOOKUP($A223&amp;$B223&amp;$C223,盘货信息!$A:$A&amp;盘货信息!$B:$B&amp;盘货信息!$C:$C,盘货信息!$P:$P)="","","【限时】"&amp;_xlfn.XLOOKUP($A223&amp;$B223&amp;$C223,盘货信息!$A:$A&amp;盘货信息!$B:$B&amp;盘货信息!$C:$C,盘货信息!$P:$P))</f>
        <v/>
      </c>
      <c r="N223" s="27" t="str" cm="1">
        <f t="array" ref="N223">IF(_xlfn.XLOOKUP($A223&amp;$B223&amp;$C223,盘货信息!$A:$A&amp;盘货信息!$B:$B&amp;盘货信息!$C:$C,盘货信息!$V:$V)="","","【"&amp;盘货信息!$V$1&amp;"】"&amp;_xlfn.XLOOKUP($A223&amp;$B223&amp;$C223,盘货信息!$A:$A&amp;盘货信息!$B:$B&amp;盘货信息!$C:$C,盘货信息!$V:$V))</f>
        <v/>
      </c>
      <c r="O223" s="27" t="str" cm="1">
        <f t="array" ref="O223">IF(_xlfn.XLOOKUP($A223&amp;$B223&amp;$C223,盘货信息!$A:$A&amp;盘货信息!$B:$B&amp;盘货信息!$C:$C,盘货信息!$W:$W)="","","【"&amp;盘货信息!$W$1&amp;"】"&amp;_xlfn.XLOOKUP($A223&amp;$B223&amp;$C223,盘货信息!$A:$A&amp;盘货信息!$B:$B&amp;盘货信息!$C:$C,盘货信息!$W:$W))</f>
        <v/>
      </c>
      <c r="P223" s="27" t="str" cm="1">
        <f t="array" ref="P223">IF(_xlfn.XLOOKUP($A223&amp;$B223&amp;$C223,盘货信息!$A:$A&amp;盘货信息!$B:$B&amp;盘货信息!$C:$C,盘货信息!$S:$S)&lt;1,"","【"&amp;盘货信息!$S$1&amp;"】"&amp;"后返"&amp;_xlfn.XLOOKUP($A223&amp;$B223&amp;$C223,盘货信息!$A:$A&amp;盘货信息!$B:$B&amp;盘货信息!$C:$C,盘货信息!$S:$S)&amp;"元")</f>
        <v/>
      </c>
      <c r="Q223" s="27" t="str" cm="1">
        <f t="array" ref="Q223">IF(_xlfn.XLOOKUP($A223&amp;$B223&amp;$C223,盘货信息!$A:$A&amp;盘货信息!$B:$B&amp;盘货信息!$C:$C,盘货信息!$X:$X)="","","【"&amp;盘货信息!$X$1&amp;"】"&amp;_xlfn.XLOOKUP($A223&amp;$B223&amp;$C223,盘货信息!$A:$A&amp;盘货信息!$B:$B&amp;盘货信息!$C:$C,盘货信息!$X:$X))</f>
        <v/>
      </c>
      <c r="R223" s="27" t="str" cm="1">
        <f t="array" ref="R223">IF(_xlfn.XLOOKUP($A223&amp;$B223&amp;$C223,盘货信息!$A:$A&amp;盘货信息!$B:$B&amp;盘货信息!$C:$C,盘货信息!$Z:$Z)="","","【"&amp;盘货信息!$Z$1&amp;"】"&amp;_xlfn.XLOOKUP($A223&amp;$B223&amp;$C223,盘货信息!$A:$A&amp;盘货信息!$B:$B&amp;盘货信息!$C:$C,盘货信息!$Z:$Z))</f>
        <v/>
      </c>
      <c r="S223" s="27" t="str" cm="1">
        <f t="array" ref="S223">IF(_xlfn.XLOOKUP($A223&amp;$B223&amp;$C223,盘货信息!$A:$A&amp;盘货信息!$B:$B&amp;盘货信息!$C:$C,盘货信息!$Q:$Q)="","","【种草】站外带指定话题种草后返"&amp;_xlfn.XLOOKUP($A223&amp;$B223&amp;$C223,盘货信息!$A:$A&amp;盘货信息!$B:$B&amp;盘货信息!$C:$C,盘货信息!$Q:$Q)&amp;"元红包（每个淘宝账号仅限对应一个站外种草账号，同一个种草账号不可对应多个淘宝账号）")</f>
        <v/>
      </c>
      <c r="T223" s="27" t="str" cm="1">
        <f t="array" ref="T223">IF(_xlfn.XLOOKUP($A223&amp;$B223&amp;$C223,盘货信息!$A:$A&amp;盘货信息!$B:$B&amp;盘货信息!$C:$C,盘货信息!$R:$R)&lt;1,"","【以旧换新】"&amp;"享补贴"&amp;ROUND(_xlfn.XLOOKUP($A223&amp;$B223&amp;$C223,盘货信息!$A:$A&amp;盘货信息!$B:$B&amp;盘货信息!$C:$C,盘货信息!$R:$R),0)&amp;"元（可无旧机换新）")</f>
        <v/>
      </c>
      <c r="U223" s="27" t="str">
        <f>IF(AND($N223="",$O223="",$P223="",$Q223="",$R223="",$S223="",$T223=""),"",固定信息!$B$1)</f>
        <v/>
      </c>
      <c r="V223" s="27" t="str" cm="1">
        <f t="array" ref="V223">IF(_xlfn.XLOOKUP($A223&amp;$B223&amp;$C223,盘货信息!$A:$A&amp;盘货信息!$B:$B&amp;盘货信息!$C:$C,盘货信息!$Y:$Y)="","","【卡萨帝送赠】活动指定时间"&amp;_xlfn.TEXTBEFORE(_xlfn.TEXTAFTER(_xlfn.XLOOKUP($A223&amp;$B223&amp;$C223,盘货信息!$A:$A&amp;盘货信息!$B:$B&amp;盘货信息!$C:$C,盘货信息!$Y:$Y),"点"),"（"))</f>
        <v/>
      </c>
      <c r="W223" s="27" t="str" cm="1">
        <f t="array" ref="W223">IF(COUNTIF(_xlfn.XLOOKUP($A223&amp;$B223&amp;$C223,盘货信息!$A:$A&amp;盘货信息!$B:$B&amp;盘货信息!$C:$C,盘货信息!$O:$O),"*是*"),"【折扣】指定型号满2类享96折，满3类享94折","")</f>
        <v/>
      </c>
      <c r="X223" s="27" t="str" cm="1">
        <f t="array" ref="X223">IF(固定信息!$B$7="","",IF(_xlfn.XLOOKUP($A223&amp;$B223&amp;$C223,盘货信息!$A:$A&amp;盘货信息!$B:$B&amp;盘货信息!$C:$C,盘货信息!$N:$N)="是","【瓜分】"&amp;固定信息!$B$7,""))</f>
        <v/>
      </c>
      <c r="Y223" s="27" t="str">
        <f>IF(AND($V223="",$W223="",$X223=""),"",固定信息!$B$1)</f>
        <v/>
      </c>
      <c r="Z223" s="27" t="str" cm="1">
        <f t="array" ref="Z223">IF($C223="","",_xlfn.XLOOKUP($A223&amp;$B223&amp;$C223,服务!$A:$A&amp;服务!$B:$B&amp;服务!$C:$C,服务!$D:$D))</f>
        <v/>
      </c>
    </row>
    <row r="224" customHeight="1" spans="1:26">
      <c r="A224" s="23" t="str">
        <f>IF(盘货信息!A224="","",盘货信息!A224)</f>
        <v/>
      </c>
      <c r="B224" s="26" t="str">
        <f>IF(盘货信息!B224="","",盘货信息!B224)</f>
        <v/>
      </c>
      <c r="C224" s="23" t="str">
        <f>IF(盘货信息!C224="","",盘货信息!C224)</f>
        <v/>
      </c>
      <c r="D224" s="27" t="str">
        <f ca="1" t="shared" si="3"/>
        <v/>
      </c>
      <c r="E224" s="27" t="str">
        <f>IF(C224="","",固定信息!$B$2)</f>
        <v/>
      </c>
      <c r="F224" s="27" t="str">
        <f>IF(C224="","","【"&amp;C224&amp;"】"&amp;固定信息!$B$4)</f>
        <v/>
      </c>
      <c r="G224" s="27" t="str">
        <f>IF(C224="","","【"&amp;"活动时间："&amp;固定信息!$B$3&amp;"】")</f>
        <v/>
      </c>
      <c r="H224" s="27" t="str">
        <f>IF($C224="","",固定信息!$B$1)</f>
        <v/>
      </c>
      <c r="I224" s="27" t="str">
        <f>IF(OR(C224="",固定信息!$B$5=""),"","【1元预约锁好礼】"&amp;固定信息!$B$5)</f>
        <v/>
      </c>
      <c r="J224" s="27" t="str" cm="1">
        <f t="array" ref="J224">_xlfn.XLOOKUP($A224&amp;$B224&amp;$C224,价格信息!$A:$A&amp;价格信息!$B:$B&amp;价格信息!$C:$C,价格信息!$D:$D)</f>
        <v/>
      </c>
      <c r="K224" s="27" t="str">
        <f>IF($C224="","",固定信息!$B$1)</f>
        <v/>
      </c>
      <c r="L224" s="27" t="str" cm="1">
        <f t="array" ref="L224">IF(_xlfn.XLOOKUP($A224&amp;$B224&amp;$C224,盘货信息!$A:$A&amp;盘货信息!$B:$B&amp;盘货信息!$C:$C,盘货信息!$T:$T)="","","【优惠券】领"&amp;_xlfn.XLOOKUP($A224&amp;$B224&amp;$C224,盘货信息!$A:$A&amp;盘货信息!$B:$B&amp;盘货信息!$C:$C,盘货信息!$T:$T)&amp;"元优惠卷下单更优惠，领券链接："&amp;_xlfn.XLOOKUP($A224&amp;$B224&amp;$C224,盘货信息!$A:$A&amp;盘货信息!$B:$B&amp;盘货信息!$C:$C,盘货信息!$U:$U))</f>
        <v/>
      </c>
      <c r="M224" s="27" t="str" cm="1">
        <f t="array" ref="M224">IF(_xlfn.XLOOKUP($A224&amp;$B224&amp;$C224,盘货信息!$A:$A&amp;盘货信息!$B:$B&amp;盘货信息!$C:$C,盘货信息!$P:$P)="","","【限时】"&amp;_xlfn.XLOOKUP($A224&amp;$B224&amp;$C224,盘货信息!$A:$A&amp;盘货信息!$B:$B&amp;盘货信息!$C:$C,盘货信息!$P:$P))</f>
        <v/>
      </c>
      <c r="N224" s="27" t="str" cm="1">
        <f t="array" ref="N224">IF(_xlfn.XLOOKUP($A224&amp;$B224&amp;$C224,盘货信息!$A:$A&amp;盘货信息!$B:$B&amp;盘货信息!$C:$C,盘货信息!$V:$V)="","","【"&amp;盘货信息!$V$1&amp;"】"&amp;_xlfn.XLOOKUP($A224&amp;$B224&amp;$C224,盘货信息!$A:$A&amp;盘货信息!$B:$B&amp;盘货信息!$C:$C,盘货信息!$V:$V))</f>
        <v/>
      </c>
      <c r="O224" s="27" t="str" cm="1">
        <f t="array" ref="O224">IF(_xlfn.XLOOKUP($A224&amp;$B224&amp;$C224,盘货信息!$A:$A&amp;盘货信息!$B:$B&amp;盘货信息!$C:$C,盘货信息!$W:$W)="","","【"&amp;盘货信息!$W$1&amp;"】"&amp;_xlfn.XLOOKUP($A224&amp;$B224&amp;$C224,盘货信息!$A:$A&amp;盘货信息!$B:$B&amp;盘货信息!$C:$C,盘货信息!$W:$W))</f>
        <v/>
      </c>
      <c r="P224" s="27" t="str" cm="1">
        <f t="array" ref="P224">IF(_xlfn.XLOOKUP($A224&amp;$B224&amp;$C224,盘货信息!$A:$A&amp;盘货信息!$B:$B&amp;盘货信息!$C:$C,盘货信息!$S:$S)&lt;1,"","【"&amp;盘货信息!$S$1&amp;"】"&amp;"后返"&amp;_xlfn.XLOOKUP($A224&amp;$B224&amp;$C224,盘货信息!$A:$A&amp;盘货信息!$B:$B&amp;盘货信息!$C:$C,盘货信息!$S:$S)&amp;"元")</f>
        <v/>
      </c>
      <c r="Q224" s="27" t="str" cm="1">
        <f t="array" ref="Q224">IF(_xlfn.XLOOKUP($A224&amp;$B224&amp;$C224,盘货信息!$A:$A&amp;盘货信息!$B:$B&amp;盘货信息!$C:$C,盘货信息!$X:$X)="","","【"&amp;盘货信息!$X$1&amp;"】"&amp;_xlfn.XLOOKUP($A224&amp;$B224&amp;$C224,盘货信息!$A:$A&amp;盘货信息!$B:$B&amp;盘货信息!$C:$C,盘货信息!$X:$X))</f>
        <v/>
      </c>
      <c r="R224" s="27" t="str" cm="1">
        <f t="array" ref="R224">IF(_xlfn.XLOOKUP($A224&amp;$B224&amp;$C224,盘货信息!$A:$A&amp;盘货信息!$B:$B&amp;盘货信息!$C:$C,盘货信息!$Z:$Z)="","","【"&amp;盘货信息!$Z$1&amp;"】"&amp;_xlfn.XLOOKUP($A224&amp;$B224&amp;$C224,盘货信息!$A:$A&amp;盘货信息!$B:$B&amp;盘货信息!$C:$C,盘货信息!$Z:$Z))</f>
        <v/>
      </c>
      <c r="S224" s="27" t="str" cm="1">
        <f t="array" ref="S224">IF(_xlfn.XLOOKUP($A224&amp;$B224&amp;$C224,盘货信息!$A:$A&amp;盘货信息!$B:$B&amp;盘货信息!$C:$C,盘货信息!$Q:$Q)="","","【种草】站外带指定话题种草后返"&amp;_xlfn.XLOOKUP($A224&amp;$B224&amp;$C224,盘货信息!$A:$A&amp;盘货信息!$B:$B&amp;盘货信息!$C:$C,盘货信息!$Q:$Q)&amp;"元红包（每个淘宝账号仅限对应一个站外种草账号，同一个种草账号不可对应多个淘宝账号）")</f>
        <v/>
      </c>
      <c r="T224" s="27" t="str" cm="1">
        <f t="array" ref="T224">IF(_xlfn.XLOOKUP($A224&amp;$B224&amp;$C224,盘货信息!$A:$A&amp;盘货信息!$B:$B&amp;盘货信息!$C:$C,盘货信息!$R:$R)&lt;1,"","【以旧换新】"&amp;"享补贴"&amp;ROUND(_xlfn.XLOOKUP($A224&amp;$B224&amp;$C224,盘货信息!$A:$A&amp;盘货信息!$B:$B&amp;盘货信息!$C:$C,盘货信息!$R:$R),0)&amp;"元（可无旧机换新）")</f>
        <v/>
      </c>
      <c r="U224" s="27" t="str">
        <f>IF(AND($N224="",$O224="",$P224="",$Q224="",$R224="",$S224="",$T224=""),"",固定信息!$B$1)</f>
        <v/>
      </c>
      <c r="V224" s="27" t="str" cm="1">
        <f t="array" ref="V224">IF(_xlfn.XLOOKUP($A224&amp;$B224&amp;$C224,盘货信息!$A:$A&amp;盘货信息!$B:$B&amp;盘货信息!$C:$C,盘货信息!$Y:$Y)="","","【卡萨帝送赠】活动指定时间"&amp;_xlfn.TEXTBEFORE(_xlfn.TEXTAFTER(_xlfn.XLOOKUP($A224&amp;$B224&amp;$C224,盘货信息!$A:$A&amp;盘货信息!$B:$B&amp;盘货信息!$C:$C,盘货信息!$Y:$Y),"点"),"（"))</f>
        <v/>
      </c>
      <c r="W224" s="27" t="str" cm="1">
        <f t="array" ref="W224">IF(COUNTIF(_xlfn.XLOOKUP($A224&amp;$B224&amp;$C224,盘货信息!$A:$A&amp;盘货信息!$B:$B&amp;盘货信息!$C:$C,盘货信息!$O:$O),"*是*"),"【折扣】指定型号满2类享96折，满3类享94折","")</f>
        <v/>
      </c>
      <c r="X224" s="27" t="str" cm="1">
        <f t="array" ref="X224">IF(固定信息!$B$7="","",IF(_xlfn.XLOOKUP($A224&amp;$B224&amp;$C224,盘货信息!$A:$A&amp;盘货信息!$B:$B&amp;盘货信息!$C:$C,盘货信息!$N:$N)="是","【瓜分】"&amp;固定信息!$B$7,""))</f>
        <v/>
      </c>
      <c r="Y224" s="27" t="str">
        <f>IF(AND($V224="",$W224="",$X224=""),"",固定信息!$B$1)</f>
        <v/>
      </c>
      <c r="Z224" s="27" t="str" cm="1">
        <f t="array" ref="Z224">IF($C224="","",_xlfn.XLOOKUP($A224&amp;$B224&amp;$C224,服务!$A:$A&amp;服务!$B:$B&amp;服务!$C:$C,服务!$D:$D))</f>
        <v/>
      </c>
    </row>
    <row r="225" customHeight="1" spans="1:26">
      <c r="A225" s="23" t="str">
        <f>IF(盘货信息!A225="","",盘货信息!A225)</f>
        <v/>
      </c>
      <c r="B225" s="26" t="str">
        <f>IF(盘货信息!B225="","",盘货信息!B225)</f>
        <v/>
      </c>
      <c r="C225" s="23" t="str">
        <f>IF(盘货信息!C225="","",盘货信息!C225)</f>
        <v/>
      </c>
      <c r="D225" s="27" t="str">
        <f ca="1" t="shared" si="3"/>
        <v/>
      </c>
      <c r="E225" s="27" t="str">
        <f>IF(C225="","",固定信息!$B$2)</f>
        <v/>
      </c>
      <c r="F225" s="27" t="str">
        <f>IF(C225="","","【"&amp;C225&amp;"】"&amp;固定信息!$B$4)</f>
        <v/>
      </c>
      <c r="G225" s="27" t="str">
        <f>IF(C225="","","【"&amp;"活动时间："&amp;固定信息!$B$3&amp;"】")</f>
        <v/>
      </c>
      <c r="H225" s="27" t="str">
        <f>IF($C225="","",固定信息!$B$1)</f>
        <v/>
      </c>
      <c r="I225" s="27" t="str">
        <f>IF(OR(C225="",固定信息!$B$5=""),"","【1元预约锁好礼】"&amp;固定信息!$B$5)</f>
        <v/>
      </c>
      <c r="J225" s="27" t="str" cm="1">
        <f t="array" ref="J225">_xlfn.XLOOKUP($A225&amp;$B225&amp;$C225,价格信息!$A:$A&amp;价格信息!$B:$B&amp;价格信息!$C:$C,价格信息!$D:$D)</f>
        <v/>
      </c>
      <c r="K225" s="27" t="str">
        <f>IF($C225="","",固定信息!$B$1)</f>
        <v/>
      </c>
      <c r="L225" s="27" t="str" cm="1">
        <f t="array" ref="L225">IF(_xlfn.XLOOKUP($A225&amp;$B225&amp;$C225,盘货信息!$A:$A&amp;盘货信息!$B:$B&amp;盘货信息!$C:$C,盘货信息!$T:$T)="","","【优惠券】领"&amp;_xlfn.XLOOKUP($A225&amp;$B225&amp;$C225,盘货信息!$A:$A&amp;盘货信息!$B:$B&amp;盘货信息!$C:$C,盘货信息!$T:$T)&amp;"元优惠卷下单更优惠，领券链接："&amp;_xlfn.XLOOKUP($A225&amp;$B225&amp;$C225,盘货信息!$A:$A&amp;盘货信息!$B:$B&amp;盘货信息!$C:$C,盘货信息!$U:$U))</f>
        <v/>
      </c>
      <c r="M225" s="27" t="str" cm="1">
        <f t="array" ref="M225">IF(_xlfn.XLOOKUP($A225&amp;$B225&amp;$C225,盘货信息!$A:$A&amp;盘货信息!$B:$B&amp;盘货信息!$C:$C,盘货信息!$P:$P)="","","【限时】"&amp;_xlfn.XLOOKUP($A225&amp;$B225&amp;$C225,盘货信息!$A:$A&amp;盘货信息!$B:$B&amp;盘货信息!$C:$C,盘货信息!$P:$P))</f>
        <v/>
      </c>
      <c r="N225" s="27" t="str" cm="1">
        <f t="array" ref="N225">IF(_xlfn.XLOOKUP($A225&amp;$B225&amp;$C225,盘货信息!$A:$A&amp;盘货信息!$B:$B&amp;盘货信息!$C:$C,盘货信息!$V:$V)="","","【"&amp;盘货信息!$V$1&amp;"】"&amp;_xlfn.XLOOKUP($A225&amp;$B225&amp;$C225,盘货信息!$A:$A&amp;盘货信息!$B:$B&amp;盘货信息!$C:$C,盘货信息!$V:$V))</f>
        <v/>
      </c>
      <c r="O225" s="27" t="str" cm="1">
        <f t="array" ref="O225">IF(_xlfn.XLOOKUP($A225&amp;$B225&amp;$C225,盘货信息!$A:$A&amp;盘货信息!$B:$B&amp;盘货信息!$C:$C,盘货信息!$W:$W)="","","【"&amp;盘货信息!$W$1&amp;"】"&amp;_xlfn.XLOOKUP($A225&amp;$B225&amp;$C225,盘货信息!$A:$A&amp;盘货信息!$B:$B&amp;盘货信息!$C:$C,盘货信息!$W:$W))</f>
        <v/>
      </c>
      <c r="P225" s="27" t="str" cm="1">
        <f t="array" ref="P225">IF(_xlfn.XLOOKUP($A225&amp;$B225&amp;$C225,盘货信息!$A:$A&amp;盘货信息!$B:$B&amp;盘货信息!$C:$C,盘货信息!$S:$S)&lt;1,"","【"&amp;盘货信息!$S$1&amp;"】"&amp;"后返"&amp;_xlfn.XLOOKUP($A225&amp;$B225&amp;$C225,盘货信息!$A:$A&amp;盘货信息!$B:$B&amp;盘货信息!$C:$C,盘货信息!$S:$S)&amp;"元")</f>
        <v/>
      </c>
      <c r="Q225" s="27" t="str" cm="1">
        <f t="array" ref="Q225">IF(_xlfn.XLOOKUP($A225&amp;$B225&amp;$C225,盘货信息!$A:$A&amp;盘货信息!$B:$B&amp;盘货信息!$C:$C,盘货信息!$X:$X)="","","【"&amp;盘货信息!$X$1&amp;"】"&amp;_xlfn.XLOOKUP($A225&amp;$B225&amp;$C225,盘货信息!$A:$A&amp;盘货信息!$B:$B&amp;盘货信息!$C:$C,盘货信息!$X:$X))</f>
        <v/>
      </c>
      <c r="R225" s="27" t="str" cm="1">
        <f t="array" ref="R225">IF(_xlfn.XLOOKUP($A225&amp;$B225&amp;$C225,盘货信息!$A:$A&amp;盘货信息!$B:$B&amp;盘货信息!$C:$C,盘货信息!$Z:$Z)="","","【"&amp;盘货信息!$Z$1&amp;"】"&amp;_xlfn.XLOOKUP($A225&amp;$B225&amp;$C225,盘货信息!$A:$A&amp;盘货信息!$B:$B&amp;盘货信息!$C:$C,盘货信息!$Z:$Z))</f>
        <v/>
      </c>
      <c r="S225" s="27" t="str" cm="1">
        <f t="array" ref="S225">IF(_xlfn.XLOOKUP($A225&amp;$B225&amp;$C225,盘货信息!$A:$A&amp;盘货信息!$B:$B&amp;盘货信息!$C:$C,盘货信息!$Q:$Q)="","","【种草】站外带指定话题种草后返"&amp;_xlfn.XLOOKUP($A225&amp;$B225&amp;$C225,盘货信息!$A:$A&amp;盘货信息!$B:$B&amp;盘货信息!$C:$C,盘货信息!$Q:$Q)&amp;"元红包（每个淘宝账号仅限对应一个站外种草账号，同一个种草账号不可对应多个淘宝账号）")</f>
        <v/>
      </c>
      <c r="T225" s="27" t="str" cm="1">
        <f t="array" ref="T225">IF(_xlfn.XLOOKUP($A225&amp;$B225&amp;$C225,盘货信息!$A:$A&amp;盘货信息!$B:$B&amp;盘货信息!$C:$C,盘货信息!$R:$R)&lt;1,"","【以旧换新】"&amp;"享补贴"&amp;ROUND(_xlfn.XLOOKUP($A225&amp;$B225&amp;$C225,盘货信息!$A:$A&amp;盘货信息!$B:$B&amp;盘货信息!$C:$C,盘货信息!$R:$R),0)&amp;"元（可无旧机换新）")</f>
        <v/>
      </c>
      <c r="U225" s="27" t="str">
        <f>IF(AND($N225="",$O225="",$P225="",$Q225="",$R225="",$S225="",$T225=""),"",固定信息!$B$1)</f>
        <v/>
      </c>
      <c r="V225" s="27" t="str" cm="1">
        <f t="array" ref="V225">IF(_xlfn.XLOOKUP($A225&amp;$B225&amp;$C225,盘货信息!$A:$A&amp;盘货信息!$B:$B&amp;盘货信息!$C:$C,盘货信息!$Y:$Y)="","","【卡萨帝送赠】活动指定时间"&amp;_xlfn.TEXTBEFORE(_xlfn.TEXTAFTER(_xlfn.XLOOKUP($A225&amp;$B225&amp;$C225,盘货信息!$A:$A&amp;盘货信息!$B:$B&amp;盘货信息!$C:$C,盘货信息!$Y:$Y),"点"),"（"))</f>
        <v/>
      </c>
      <c r="W225" s="27" t="str" cm="1">
        <f t="array" ref="W225">IF(COUNTIF(_xlfn.XLOOKUP($A225&amp;$B225&amp;$C225,盘货信息!$A:$A&amp;盘货信息!$B:$B&amp;盘货信息!$C:$C,盘货信息!$O:$O),"*是*"),"【折扣】指定型号满2类享96折，满3类享94折","")</f>
        <v/>
      </c>
      <c r="X225" s="27" t="str" cm="1">
        <f t="array" ref="X225">IF(固定信息!$B$7="","",IF(_xlfn.XLOOKUP($A225&amp;$B225&amp;$C225,盘货信息!$A:$A&amp;盘货信息!$B:$B&amp;盘货信息!$C:$C,盘货信息!$N:$N)="是","【瓜分】"&amp;固定信息!$B$7,""))</f>
        <v/>
      </c>
      <c r="Y225" s="27" t="str">
        <f>IF(AND($V225="",$W225="",$X225=""),"",固定信息!$B$1)</f>
        <v/>
      </c>
      <c r="Z225" s="27" t="str" cm="1">
        <f t="array" ref="Z225">IF($C225="","",_xlfn.XLOOKUP($A225&amp;$B225&amp;$C225,服务!$A:$A&amp;服务!$B:$B&amp;服务!$C:$C,服务!$D:$D))</f>
        <v/>
      </c>
    </row>
    <row r="226" customHeight="1" spans="1:26">
      <c r="A226" s="23" t="str">
        <f>IF(盘货信息!A226="","",盘货信息!A226)</f>
        <v/>
      </c>
      <c r="B226" s="26" t="str">
        <f>IF(盘货信息!B226="","",盘货信息!B226)</f>
        <v/>
      </c>
      <c r="C226" s="23" t="str">
        <f>IF(盘货信息!C226="","",盘货信息!C226)</f>
        <v/>
      </c>
      <c r="D226" s="27" t="str">
        <f ca="1" t="shared" si="3"/>
        <v/>
      </c>
      <c r="E226" s="27" t="str">
        <f>IF(C226="","",固定信息!$B$2)</f>
        <v/>
      </c>
      <c r="F226" s="27" t="str">
        <f>IF(C226="","","【"&amp;C226&amp;"】"&amp;固定信息!$B$4)</f>
        <v/>
      </c>
      <c r="G226" s="27" t="str">
        <f>IF(C226="","","【"&amp;"活动时间："&amp;固定信息!$B$3&amp;"】")</f>
        <v/>
      </c>
      <c r="H226" s="27" t="str">
        <f>IF($C226="","",固定信息!$B$1)</f>
        <v/>
      </c>
      <c r="I226" s="27" t="str">
        <f>IF(OR(C226="",固定信息!$B$5=""),"","【1元预约锁好礼】"&amp;固定信息!$B$5)</f>
        <v/>
      </c>
      <c r="J226" s="27" t="str" cm="1">
        <f t="array" ref="J226">_xlfn.XLOOKUP($A226&amp;$B226&amp;$C226,价格信息!$A:$A&amp;价格信息!$B:$B&amp;价格信息!$C:$C,价格信息!$D:$D)</f>
        <v/>
      </c>
      <c r="K226" s="27" t="str">
        <f>IF($C226="","",固定信息!$B$1)</f>
        <v/>
      </c>
      <c r="L226" s="27" t="str" cm="1">
        <f t="array" ref="L226">IF(_xlfn.XLOOKUP($A226&amp;$B226&amp;$C226,盘货信息!$A:$A&amp;盘货信息!$B:$B&amp;盘货信息!$C:$C,盘货信息!$T:$T)="","","【优惠券】领"&amp;_xlfn.XLOOKUP($A226&amp;$B226&amp;$C226,盘货信息!$A:$A&amp;盘货信息!$B:$B&amp;盘货信息!$C:$C,盘货信息!$T:$T)&amp;"元优惠卷下单更优惠，领券链接："&amp;_xlfn.XLOOKUP($A226&amp;$B226&amp;$C226,盘货信息!$A:$A&amp;盘货信息!$B:$B&amp;盘货信息!$C:$C,盘货信息!$U:$U))</f>
        <v/>
      </c>
      <c r="M226" s="27" t="str" cm="1">
        <f t="array" ref="M226">IF(_xlfn.XLOOKUP($A226&amp;$B226&amp;$C226,盘货信息!$A:$A&amp;盘货信息!$B:$B&amp;盘货信息!$C:$C,盘货信息!$P:$P)="","","【限时】"&amp;_xlfn.XLOOKUP($A226&amp;$B226&amp;$C226,盘货信息!$A:$A&amp;盘货信息!$B:$B&amp;盘货信息!$C:$C,盘货信息!$P:$P))</f>
        <v/>
      </c>
      <c r="N226" s="27" t="str" cm="1">
        <f t="array" ref="N226">IF(_xlfn.XLOOKUP($A226&amp;$B226&amp;$C226,盘货信息!$A:$A&amp;盘货信息!$B:$B&amp;盘货信息!$C:$C,盘货信息!$V:$V)="","","【"&amp;盘货信息!$V$1&amp;"】"&amp;_xlfn.XLOOKUP($A226&amp;$B226&amp;$C226,盘货信息!$A:$A&amp;盘货信息!$B:$B&amp;盘货信息!$C:$C,盘货信息!$V:$V))</f>
        <v/>
      </c>
      <c r="O226" s="27" t="str" cm="1">
        <f t="array" ref="O226">IF(_xlfn.XLOOKUP($A226&amp;$B226&amp;$C226,盘货信息!$A:$A&amp;盘货信息!$B:$B&amp;盘货信息!$C:$C,盘货信息!$W:$W)="","","【"&amp;盘货信息!$W$1&amp;"】"&amp;_xlfn.XLOOKUP($A226&amp;$B226&amp;$C226,盘货信息!$A:$A&amp;盘货信息!$B:$B&amp;盘货信息!$C:$C,盘货信息!$W:$W))</f>
        <v/>
      </c>
      <c r="P226" s="27" t="str" cm="1">
        <f t="array" ref="P226">IF(_xlfn.XLOOKUP($A226&amp;$B226&amp;$C226,盘货信息!$A:$A&amp;盘货信息!$B:$B&amp;盘货信息!$C:$C,盘货信息!$S:$S)&lt;1,"","【"&amp;盘货信息!$S$1&amp;"】"&amp;"后返"&amp;_xlfn.XLOOKUP($A226&amp;$B226&amp;$C226,盘货信息!$A:$A&amp;盘货信息!$B:$B&amp;盘货信息!$C:$C,盘货信息!$S:$S)&amp;"元")</f>
        <v/>
      </c>
      <c r="Q226" s="27" t="str" cm="1">
        <f t="array" ref="Q226">IF(_xlfn.XLOOKUP($A226&amp;$B226&amp;$C226,盘货信息!$A:$A&amp;盘货信息!$B:$B&amp;盘货信息!$C:$C,盘货信息!$X:$X)="","","【"&amp;盘货信息!$X$1&amp;"】"&amp;_xlfn.XLOOKUP($A226&amp;$B226&amp;$C226,盘货信息!$A:$A&amp;盘货信息!$B:$B&amp;盘货信息!$C:$C,盘货信息!$X:$X))</f>
        <v/>
      </c>
      <c r="R226" s="27" t="str" cm="1">
        <f t="array" ref="R226">IF(_xlfn.XLOOKUP($A226&amp;$B226&amp;$C226,盘货信息!$A:$A&amp;盘货信息!$B:$B&amp;盘货信息!$C:$C,盘货信息!$Z:$Z)="","","【"&amp;盘货信息!$Z$1&amp;"】"&amp;_xlfn.XLOOKUP($A226&amp;$B226&amp;$C226,盘货信息!$A:$A&amp;盘货信息!$B:$B&amp;盘货信息!$C:$C,盘货信息!$Z:$Z))</f>
        <v/>
      </c>
      <c r="S226" s="27" t="str" cm="1">
        <f t="array" ref="S226">IF(_xlfn.XLOOKUP($A226&amp;$B226&amp;$C226,盘货信息!$A:$A&amp;盘货信息!$B:$B&amp;盘货信息!$C:$C,盘货信息!$Q:$Q)="","","【种草】站外带指定话题种草后返"&amp;_xlfn.XLOOKUP($A226&amp;$B226&amp;$C226,盘货信息!$A:$A&amp;盘货信息!$B:$B&amp;盘货信息!$C:$C,盘货信息!$Q:$Q)&amp;"元红包（每个淘宝账号仅限对应一个站外种草账号，同一个种草账号不可对应多个淘宝账号）")</f>
        <v/>
      </c>
      <c r="T226" s="27" t="str" cm="1">
        <f t="array" ref="T226">IF(_xlfn.XLOOKUP($A226&amp;$B226&amp;$C226,盘货信息!$A:$A&amp;盘货信息!$B:$B&amp;盘货信息!$C:$C,盘货信息!$R:$R)&lt;1,"","【以旧换新】"&amp;"享补贴"&amp;ROUND(_xlfn.XLOOKUP($A226&amp;$B226&amp;$C226,盘货信息!$A:$A&amp;盘货信息!$B:$B&amp;盘货信息!$C:$C,盘货信息!$R:$R),0)&amp;"元（可无旧机换新）")</f>
        <v/>
      </c>
      <c r="U226" s="27" t="str">
        <f>IF(AND($N226="",$O226="",$P226="",$Q226="",$R226="",$S226="",$T226=""),"",固定信息!$B$1)</f>
        <v/>
      </c>
      <c r="V226" s="27" t="str" cm="1">
        <f t="array" ref="V226">IF(_xlfn.XLOOKUP($A226&amp;$B226&amp;$C226,盘货信息!$A:$A&amp;盘货信息!$B:$B&amp;盘货信息!$C:$C,盘货信息!$Y:$Y)="","","【卡萨帝送赠】活动指定时间"&amp;_xlfn.TEXTBEFORE(_xlfn.TEXTAFTER(_xlfn.XLOOKUP($A226&amp;$B226&amp;$C226,盘货信息!$A:$A&amp;盘货信息!$B:$B&amp;盘货信息!$C:$C,盘货信息!$Y:$Y),"点"),"（"))</f>
        <v/>
      </c>
      <c r="W226" s="27" t="str" cm="1">
        <f t="array" ref="W226">IF(COUNTIF(_xlfn.XLOOKUP($A226&amp;$B226&amp;$C226,盘货信息!$A:$A&amp;盘货信息!$B:$B&amp;盘货信息!$C:$C,盘货信息!$O:$O),"*是*"),"【折扣】指定型号满2类享96折，满3类享94折","")</f>
        <v/>
      </c>
      <c r="X226" s="27" t="str" cm="1">
        <f t="array" ref="X226">IF(固定信息!$B$7="","",IF(_xlfn.XLOOKUP($A226&amp;$B226&amp;$C226,盘货信息!$A:$A&amp;盘货信息!$B:$B&amp;盘货信息!$C:$C,盘货信息!$N:$N)="是","【瓜分】"&amp;固定信息!$B$7,""))</f>
        <v/>
      </c>
      <c r="Y226" s="27" t="str">
        <f>IF(AND($V226="",$W226="",$X226=""),"",固定信息!$B$1)</f>
        <v/>
      </c>
      <c r="Z226" s="27" t="str" cm="1">
        <f t="array" ref="Z226">IF($C226="","",_xlfn.XLOOKUP($A226&amp;$B226&amp;$C226,服务!$A:$A&amp;服务!$B:$B&amp;服务!$C:$C,服务!$D:$D))</f>
        <v/>
      </c>
    </row>
    <row r="227" customHeight="1" spans="1:26">
      <c r="A227" s="23" t="str">
        <f>IF(盘货信息!A227="","",盘货信息!A227)</f>
        <v/>
      </c>
      <c r="B227" s="26" t="str">
        <f>IF(盘货信息!B227="","",盘货信息!B227)</f>
        <v/>
      </c>
      <c r="C227" s="23" t="str">
        <f>IF(盘货信息!C227="","",盘货信息!C227)</f>
        <v/>
      </c>
      <c r="D227" s="27" t="str">
        <f ca="1" t="shared" si="3"/>
        <v/>
      </c>
      <c r="E227" s="27" t="str">
        <f>IF(C227="","",固定信息!$B$2)</f>
        <v/>
      </c>
      <c r="F227" s="27" t="str">
        <f>IF(C227="","","【"&amp;C227&amp;"】"&amp;固定信息!$B$4)</f>
        <v/>
      </c>
      <c r="G227" s="27" t="str">
        <f>IF(C227="","","【"&amp;"活动时间："&amp;固定信息!$B$3&amp;"】")</f>
        <v/>
      </c>
      <c r="H227" s="27" t="str">
        <f>IF($C227="","",固定信息!$B$1)</f>
        <v/>
      </c>
      <c r="I227" s="27" t="str">
        <f>IF(OR(C227="",固定信息!$B$5=""),"","【1元预约锁好礼】"&amp;固定信息!$B$5)</f>
        <v/>
      </c>
      <c r="J227" s="27" t="str" cm="1">
        <f t="array" ref="J227">_xlfn.XLOOKUP($A227&amp;$B227&amp;$C227,价格信息!$A:$A&amp;价格信息!$B:$B&amp;价格信息!$C:$C,价格信息!$D:$D)</f>
        <v/>
      </c>
      <c r="K227" s="27" t="str">
        <f>IF($C227="","",固定信息!$B$1)</f>
        <v/>
      </c>
      <c r="L227" s="27" t="str" cm="1">
        <f t="array" ref="L227">IF(_xlfn.XLOOKUP($A227&amp;$B227&amp;$C227,盘货信息!$A:$A&amp;盘货信息!$B:$B&amp;盘货信息!$C:$C,盘货信息!$T:$T)="","","【优惠券】领"&amp;_xlfn.XLOOKUP($A227&amp;$B227&amp;$C227,盘货信息!$A:$A&amp;盘货信息!$B:$B&amp;盘货信息!$C:$C,盘货信息!$T:$T)&amp;"元优惠卷下单更优惠，领券链接："&amp;_xlfn.XLOOKUP($A227&amp;$B227&amp;$C227,盘货信息!$A:$A&amp;盘货信息!$B:$B&amp;盘货信息!$C:$C,盘货信息!$U:$U))</f>
        <v/>
      </c>
      <c r="M227" s="27" t="str" cm="1">
        <f t="array" ref="M227">IF(_xlfn.XLOOKUP($A227&amp;$B227&amp;$C227,盘货信息!$A:$A&amp;盘货信息!$B:$B&amp;盘货信息!$C:$C,盘货信息!$P:$P)="","","【限时】"&amp;_xlfn.XLOOKUP($A227&amp;$B227&amp;$C227,盘货信息!$A:$A&amp;盘货信息!$B:$B&amp;盘货信息!$C:$C,盘货信息!$P:$P))</f>
        <v/>
      </c>
      <c r="N227" s="27" t="str" cm="1">
        <f t="array" ref="N227">IF(_xlfn.XLOOKUP($A227&amp;$B227&amp;$C227,盘货信息!$A:$A&amp;盘货信息!$B:$B&amp;盘货信息!$C:$C,盘货信息!$V:$V)="","","【"&amp;盘货信息!$V$1&amp;"】"&amp;_xlfn.XLOOKUP($A227&amp;$B227&amp;$C227,盘货信息!$A:$A&amp;盘货信息!$B:$B&amp;盘货信息!$C:$C,盘货信息!$V:$V))</f>
        <v/>
      </c>
      <c r="O227" s="27" t="str" cm="1">
        <f t="array" ref="O227">IF(_xlfn.XLOOKUP($A227&amp;$B227&amp;$C227,盘货信息!$A:$A&amp;盘货信息!$B:$B&amp;盘货信息!$C:$C,盘货信息!$W:$W)="","","【"&amp;盘货信息!$W$1&amp;"】"&amp;_xlfn.XLOOKUP($A227&amp;$B227&amp;$C227,盘货信息!$A:$A&amp;盘货信息!$B:$B&amp;盘货信息!$C:$C,盘货信息!$W:$W))</f>
        <v/>
      </c>
      <c r="P227" s="27" t="str" cm="1">
        <f t="array" ref="P227">IF(_xlfn.XLOOKUP($A227&amp;$B227&amp;$C227,盘货信息!$A:$A&amp;盘货信息!$B:$B&amp;盘货信息!$C:$C,盘货信息!$S:$S)&lt;1,"","【"&amp;盘货信息!$S$1&amp;"】"&amp;"后返"&amp;_xlfn.XLOOKUP($A227&amp;$B227&amp;$C227,盘货信息!$A:$A&amp;盘货信息!$B:$B&amp;盘货信息!$C:$C,盘货信息!$S:$S)&amp;"元")</f>
        <v/>
      </c>
      <c r="Q227" s="27" t="str" cm="1">
        <f t="array" ref="Q227">IF(_xlfn.XLOOKUP($A227&amp;$B227&amp;$C227,盘货信息!$A:$A&amp;盘货信息!$B:$B&amp;盘货信息!$C:$C,盘货信息!$X:$X)="","","【"&amp;盘货信息!$X$1&amp;"】"&amp;_xlfn.XLOOKUP($A227&amp;$B227&amp;$C227,盘货信息!$A:$A&amp;盘货信息!$B:$B&amp;盘货信息!$C:$C,盘货信息!$X:$X))</f>
        <v/>
      </c>
      <c r="R227" s="27" t="str" cm="1">
        <f t="array" ref="R227">IF(_xlfn.XLOOKUP($A227&amp;$B227&amp;$C227,盘货信息!$A:$A&amp;盘货信息!$B:$B&amp;盘货信息!$C:$C,盘货信息!$Z:$Z)="","","【"&amp;盘货信息!$Z$1&amp;"】"&amp;_xlfn.XLOOKUP($A227&amp;$B227&amp;$C227,盘货信息!$A:$A&amp;盘货信息!$B:$B&amp;盘货信息!$C:$C,盘货信息!$Z:$Z))</f>
        <v/>
      </c>
      <c r="S227" s="27" t="str" cm="1">
        <f t="array" ref="S227">IF(_xlfn.XLOOKUP($A227&amp;$B227&amp;$C227,盘货信息!$A:$A&amp;盘货信息!$B:$B&amp;盘货信息!$C:$C,盘货信息!$Q:$Q)="","","【种草】站外带指定话题种草后返"&amp;_xlfn.XLOOKUP($A227&amp;$B227&amp;$C227,盘货信息!$A:$A&amp;盘货信息!$B:$B&amp;盘货信息!$C:$C,盘货信息!$Q:$Q)&amp;"元红包（每个淘宝账号仅限对应一个站外种草账号，同一个种草账号不可对应多个淘宝账号）")</f>
        <v/>
      </c>
      <c r="T227" s="27" t="str" cm="1">
        <f t="array" ref="T227">IF(_xlfn.XLOOKUP($A227&amp;$B227&amp;$C227,盘货信息!$A:$A&amp;盘货信息!$B:$B&amp;盘货信息!$C:$C,盘货信息!$R:$R)&lt;1,"","【以旧换新】"&amp;"享补贴"&amp;ROUND(_xlfn.XLOOKUP($A227&amp;$B227&amp;$C227,盘货信息!$A:$A&amp;盘货信息!$B:$B&amp;盘货信息!$C:$C,盘货信息!$R:$R),0)&amp;"元（可无旧机换新）")</f>
        <v/>
      </c>
      <c r="U227" s="27" t="str">
        <f>IF(AND($N227="",$O227="",$P227="",$Q227="",$R227="",$S227="",$T227=""),"",固定信息!$B$1)</f>
        <v/>
      </c>
      <c r="V227" s="27" t="str" cm="1">
        <f t="array" ref="V227">IF(_xlfn.XLOOKUP($A227&amp;$B227&amp;$C227,盘货信息!$A:$A&amp;盘货信息!$B:$B&amp;盘货信息!$C:$C,盘货信息!$Y:$Y)="","","【卡萨帝送赠】活动指定时间"&amp;_xlfn.TEXTBEFORE(_xlfn.TEXTAFTER(_xlfn.XLOOKUP($A227&amp;$B227&amp;$C227,盘货信息!$A:$A&amp;盘货信息!$B:$B&amp;盘货信息!$C:$C,盘货信息!$Y:$Y),"点"),"（"))</f>
        <v/>
      </c>
      <c r="W227" s="27" t="str" cm="1">
        <f t="array" ref="W227">IF(COUNTIF(_xlfn.XLOOKUP($A227&amp;$B227&amp;$C227,盘货信息!$A:$A&amp;盘货信息!$B:$B&amp;盘货信息!$C:$C,盘货信息!$O:$O),"*是*"),"【折扣】指定型号满2类享96折，满3类享94折","")</f>
        <v/>
      </c>
      <c r="X227" s="27" t="str" cm="1">
        <f t="array" ref="X227">IF(固定信息!$B$7="","",IF(_xlfn.XLOOKUP($A227&amp;$B227&amp;$C227,盘货信息!$A:$A&amp;盘货信息!$B:$B&amp;盘货信息!$C:$C,盘货信息!$N:$N)="是","【瓜分】"&amp;固定信息!$B$7,""))</f>
        <v/>
      </c>
      <c r="Y227" s="27" t="str">
        <f>IF(AND($V227="",$W227="",$X227=""),"",固定信息!$B$1)</f>
        <v/>
      </c>
      <c r="Z227" s="27" t="str" cm="1">
        <f t="array" ref="Z227">IF($C227="","",_xlfn.XLOOKUP($A227&amp;$B227&amp;$C227,服务!$A:$A&amp;服务!$B:$B&amp;服务!$C:$C,服务!$D:$D))</f>
        <v/>
      </c>
    </row>
    <row r="228" customHeight="1" spans="1:26">
      <c r="A228" s="23" t="str">
        <f>IF(盘货信息!A228="","",盘货信息!A228)</f>
        <v/>
      </c>
      <c r="B228" s="26" t="str">
        <f>IF(盘货信息!B228="","",盘货信息!B228)</f>
        <v/>
      </c>
      <c r="C228" s="23" t="str">
        <f>IF(盘货信息!C228="","",盘货信息!C228)</f>
        <v/>
      </c>
      <c r="D228" s="27" t="str">
        <f ca="1" t="shared" si="3"/>
        <v/>
      </c>
      <c r="E228" s="27" t="str">
        <f>IF(C228="","",固定信息!$B$2)</f>
        <v/>
      </c>
      <c r="F228" s="27" t="str">
        <f>IF(C228="","","【"&amp;C228&amp;"】"&amp;固定信息!$B$4)</f>
        <v/>
      </c>
      <c r="G228" s="27" t="str">
        <f>IF(C228="","","【"&amp;"活动时间："&amp;固定信息!$B$3&amp;"】")</f>
        <v/>
      </c>
      <c r="H228" s="27" t="str">
        <f>IF($C228="","",固定信息!$B$1)</f>
        <v/>
      </c>
      <c r="I228" s="27" t="str">
        <f>IF(OR(C228="",固定信息!$B$5=""),"","【1元预约锁好礼】"&amp;固定信息!$B$5)</f>
        <v/>
      </c>
      <c r="J228" s="27" t="str" cm="1">
        <f t="array" ref="J228">_xlfn.XLOOKUP($A228&amp;$B228&amp;$C228,价格信息!$A:$A&amp;价格信息!$B:$B&amp;价格信息!$C:$C,价格信息!$D:$D)</f>
        <v/>
      </c>
      <c r="K228" s="27" t="str">
        <f>IF($C228="","",固定信息!$B$1)</f>
        <v/>
      </c>
      <c r="L228" s="27" t="str" cm="1">
        <f t="array" ref="L228">IF(_xlfn.XLOOKUP($A228&amp;$B228&amp;$C228,盘货信息!$A:$A&amp;盘货信息!$B:$B&amp;盘货信息!$C:$C,盘货信息!$T:$T)="","","【优惠券】领"&amp;_xlfn.XLOOKUP($A228&amp;$B228&amp;$C228,盘货信息!$A:$A&amp;盘货信息!$B:$B&amp;盘货信息!$C:$C,盘货信息!$T:$T)&amp;"元优惠卷下单更优惠，领券链接："&amp;_xlfn.XLOOKUP($A228&amp;$B228&amp;$C228,盘货信息!$A:$A&amp;盘货信息!$B:$B&amp;盘货信息!$C:$C,盘货信息!$U:$U))</f>
        <v/>
      </c>
      <c r="M228" s="27" t="str" cm="1">
        <f t="array" ref="M228">IF(_xlfn.XLOOKUP($A228&amp;$B228&amp;$C228,盘货信息!$A:$A&amp;盘货信息!$B:$B&amp;盘货信息!$C:$C,盘货信息!$P:$P)="","","【限时】"&amp;_xlfn.XLOOKUP($A228&amp;$B228&amp;$C228,盘货信息!$A:$A&amp;盘货信息!$B:$B&amp;盘货信息!$C:$C,盘货信息!$P:$P))</f>
        <v/>
      </c>
      <c r="N228" s="27" t="str" cm="1">
        <f t="array" ref="N228">IF(_xlfn.XLOOKUP($A228&amp;$B228&amp;$C228,盘货信息!$A:$A&amp;盘货信息!$B:$B&amp;盘货信息!$C:$C,盘货信息!$V:$V)="","","【"&amp;盘货信息!$V$1&amp;"】"&amp;_xlfn.XLOOKUP($A228&amp;$B228&amp;$C228,盘货信息!$A:$A&amp;盘货信息!$B:$B&amp;盘货信息!$C:$C,盘货信息!$V:$V))</f>
        <v/>
      </c>
      <c r="O228" s="27" t="str" cm="1">
        <f t="array" ref="O228">IF(_xlfn.XLOOKUP($A228&amp;$B228&amp;$C228,盘货信息!$A:$A&amp;盘货信息!$B:$B&amp;盘货信息!$C:$C,盘货信息!$W:$W)="","","【"&amp;盘货信息!$W$1&amp;"】"&amp;_xlfn.XLOOKUP($A228&amp;$B228&amp;$C228,盘货信息!$A:$A&amp;盘货信息!$B:$B&amp;盘货信息!$C:$C,盘货信息!$W:$W))</f>
        <v/>
      </c>
      <c r="P228" s="27" t="str" cm="1">
        <f t="array" ref="P228">IF(_xlfn.XLOOKUP($A228&amp;$B228&amp;$C228,盘货信息!$A:$A&amp;盘货信息!$B:$B&amp;盘货信息!$C:$C,盘货信息!$S:$S)&lt;1,"","【"&amp;盘货信息!$S$1&amp;"】"&amp;"后返"&amp;_xlfn.XLOOKUP($A228&amp;$B228&amp;$C228,盘货信息!$A:$A&amp;盘货信息!$B:$B&amp;盘货信息!$C:$C,盘货信息!$S:$S)&amp;"元")</f>
        <v/>
      </c>
      <c r="Q228" s="27" t="str" cm="1">
        <f t="array" ref="Q228">IF(_xlfn.XLOOKUP($A228&amp;$B228&amp;$C228,盘货信息!$A:$A&amp;盘货信息!$B:$B&amp;盘货信息!$C:$C,盘货信息!$X:$X)="","","【"&amp;盘货信息!$X$1&amp;"】"&amp;_xlfn.XLOOKUP($A228&amp;$B228&amp;$C228,盘货信息!$A:$A&amp;盘货信息!$B:$B&amp;盘货信息!$C:$C,盘货信息!$X:$X))</f>
        <v/>
      </c>
      <c r="R228" s="27" t="str" cm="1">
        <f t="array" ref="R228">IF(_xlfn.XLOOKUP($A228&amp;$B228&amp;$C228,盘货信息!$A:$A&amp;盘货信息!$B:$B&amp;盘货信息!$C:$C,盘货信息!$Z:$Z)="","","【"&amp;盘货信息!$Z$1&amp;"】"&amp;_xlfn.XLOOKUP($A228&amp;$B228&amp;$C228,盘货信息!$A:$A&amp;盘货信息!$B:$B&amp;盘货信息!$C:$C,盘货信息!$Z:$Z))</f>
        <v/>
      </c>
      <c r="S228" s="27" t="str" cm="1">
        <f t="array" ref="S228">IF(_xlfn.XLOOKUP($A228&amp;$B228&amp;$C228,盘货信息!$A:$A&amp;盘货信息!$B:$B&amp;盘货信息!$C:$C,盘货信息!$Q:$Q)="","","【种草】站外带指定话题种草后返"&amp;_xlfn.XLOOKUP($A228&amp;$B228&amp;$C228,盘货信息!$A:$A&amp;盘货信息!$B:$B&amp;盘货信息!$C:$C,盘货信息!$Q:$Q)&amp;"元红包（每个淘宝账号仅限对应一个站外种草账号，同一个种草账号不可对应多个淘宝账号）")</f>
        <v/>
      </c>
      <c r="T228" s="27" t="str" cm="1">
        <f t="array" ref="T228">IF(_xlfn.XLOOKUP($A228&amp;$B228&amp;$C228,盘货信息!$A:$A&amp;盘货信息!$B:$B&amp;盘货信息!$C:$C,盘货信息!$R:$R)&lt;1,"","【以旧换新】"&amp;"享补贴"&amp;ROUND(_xlfn.XLOOKUP($A228&amp;$B228&amp;$C228,盘货信息!$A:$A&amp;盘货信息!$B:$B&amp;盘货信息!$C:$C,盘货信息!$R:$R),0)&amp;"元（可无旧机换新）")</f>
        <v/>
      </c>
      <c r="U228" s="27" t="str">
        <f>IF(AND($N228="",$O228="",$P228="",$Q228="",$R228="",$S228="",$T228=""),"",固定信息!$B$1)</f>
        <v/>
      </c>
      <c r="V228" s="27" t="str" cm="1">
        <f t="array" ref="V228">IF(_xlfn.XLOOKUP($A228&amp;$B228&amp;$C228,盘货信息!$A:$A&amp;盘货信息!$B:$B&amp;盘货信息!$C:$C,盘货信息!$Y:$Y)="","","【卡萨帝送赠】活动指定时间"&amp;_xlfn.TEXTBEFORE(_xlfn.TEXTAFTER(_xlfn.XLOOKUP($A228&amp;$B228&amp;$C228,盘货信息!$A:$A&amp;盘货信息!$B:$B&amp;盘货信息!$C:$C,盘货信息!$Y:$Y),"点"),"（"))</f>
        <v/>
      </c>
      <c r="W228" s="27" t="str" cm="1">
        <f t="array" ref="W228">IF(COUNTIF(_xlfn.XLOOKUP($A228&amp;$B228&amp;$C228,盘货信息!$A:$A&amp;盘货信息!$B:$B&amp;盘货信息!$C:$C,盘货信息!$O:$O),"*是*"),"【折扣】指定型号满2类享96折，满3类享94折","")</f>
        <v/>
      </c>
      <c r="X228" s="27" t="str" cm="1">
        <f t="array" ref="X228">IF(固定信息!$B$7="","",IF(_xlfn.XLOOKUP($A228&amp;$B228&amp;$C228,盘货信息!$A:$A&amp;盘货信息!$B:$B&amp;盘货信息!$C:$C,盘货信息!$N:$N)="是","【瓜分】"&amp;固定信息!$B$7,""))</f>
        <v/>
      </c>
      <c r="Y228" s="27" t="str">
        <f>IF(AND($V228="",$W228="",$X228=""),"",固定信息!$B$1)</f>
        <v/>
      </c>
      <c r="Z228" s="27" t="str" cm="1">
        <f t="array" ref="Z228">IF($C228="","",_xlfn.XLOOKUP($A228&amp;$B228&amp;$C228,服务!$A:$A&amp;服务!$B:$B&amp;服务!$C:$C,服务!$D:$D))</f>
        <v/>
      </c>
    </row>
    <row r="229" customHeight="1" spans="1:26">
      <c r="A229" s="23" t="str">
        <f>IF(盘货信息!A229="","",盘货信息!A229)</f>
        <v/>
      </c>
      <c r="B229" s="26" t="str">
        <f>IF(盘货信息!B229="","",盘货信息!B229)</f>
        <v/>
      </c>
      <c r="C229" s="23" t="str">
        <f>IF(盘货信息!C229="","",盘货信息!C229)</f>
        <v/>
      </c>
      <c r="D229" s="27" t="str">
        <f ca="1" t="shared" si="3"/>
        <v/>
      </c>
      <c r="E229" s="27" t="str">
        <f>IF(C229="","",固定信息!$B$2)</f>
        <v/>
      </c>
      <c r="F229" s="27" t="str">
        <f>IF(C229="","","【"&amp;C229&amp;"】"&amp;固定信息!$B$4)</f>
        <v/>
      </c>
      <c r="G229" s="27" t="str">
        <f>IF(C229="","","【"&amp;"活动时间："&amp;固定信息!$B$3&amp;"】")</f>
        <v/>
      </c>
      <c r="H229" s="27" t="str">
        <f>IF($C229="","",固定信息!$B$1)</f>
        <v/>
      </c>
      <c r="I229" s="27" t="str">
        <f>IF(OR(C229="",固定信息!$B$5=""),"","【1元预约锁好礼】"&amp;固定信息!$B$5)</f>
        <v/>
      </c>
      <c r="J229" s="27" t="str" cm="1">
        <f t="array" ref="J229">_xlfn.XLOOKUP($A229&amp;$B229&amp;$C229,价格信息!$A:$A&amp;价格信息!$B:$B&amp;价格信息!$C:$C,价格信息!$D:$D)</f>
        <v/>
      </c>
      <c r="K229" s="27" t="str">
        <f>IF($C229="","",固定信息!$B$1)</f>
        <v/>
      </c>
      <c r="L229" s="27" t="str" cm="1">
        <f t="array" ref="L229">IF(_xlfn.XLOOKUP($A229&amp;$B229&amp;$C229,盘货信息!$A:$A&amp;盘货信息!$B:$B&amp;盘货信息!$C:$C,盘货信息!$T:$T)="","","【优惠券】领"&amp;_xlfn.XLOOKUP($A229&amp;$B229&amp;$C229,盘货信息!$A:$A&amp;盘货信息!$B:$B&amp;盘货信息!$C:$C,盘货信息!$T:$T)&amp;"元优惠卷下单更优惠，领券链接："&amp;_xlfn.XLOOKUP($A229&amp;$B229&amp;$C229,盘货信息!$A:$A&amp;盘货信息!$B:$B&amp;盘货信息!$C:$C,盘货信息!$U:$U))</f>
        <v/>
      </c>
      <c r="M229" s="27" t="str" cm="1">
        <f t="array" ref="M229">IF(_xlfn.XLOOKUP($A229&amp;$B229&amp;$C229,盘货信息!$A:$A&amp;盘货信息!$B:$B&amp;盘货信息!$C:$C,盘货信息!$P:$P)="","","【限时】"&amp;_xlfn.XLOOKUP($A229&amp;$B229&amp;$C229,盘货信息!$A:$A&amp;盘货信息!$B:$B&amp;盘货信息!$C:$C,盘货信息!$P:$P))</f>
        <v/>
      </c>
      <c r="N229" s="27" t="str" cm="1">
        <f t="array" ref="N229">IF(_xlfn.XLOOKUP($A229&amp;$B229&amp;$C229,盘货信息!$A:$A&amp;盘货信息!$B:$B&amp;盘货信息!$C:$C,盘货信息!$V:$V)="","","【"&amp;盘货信息!$V$1&amp;"】"&amp;_xlfn.XLOOKUP($A229&amp;$B229&amp;$C229,盘货信息!$A:$A&amp;盘货信息!$B:$B&amp;盘货信息!$C:$C,盘货信息!$V:$V))</f>
        <v/>
      </c>
      <c r="O229" s="27" t="str" cm="1">
        <f t="array" ref="O229">IF(_xlfn.XLOOKUP($A229&amp;$B229&amp;$C229,盘货信息!$A:$A&amp;盘货信息!$B:$B&amp;盘货信息!$C:$C,盘货信息!$W:$W)="","","【"&amp;盘货信息!$W$1&amp;"】"&amp;_xlfn.XLOOKUP($A229&amp;$B229&amp;$C229,盘货信息!$A:$A&amp;盘货信息!$B:$B&amp;盘货信息!$C:$C,盘货信息!$W:$W))</f>
        <v/>
      </c>
      <c r="P229" s="27" t="str" cm="1">
        <f t="array" ref="P229">IF(_xlfn.XLOOKUP($A229&amp;$B229&amp;$C229,盘货信息!$A:$A&amp;盘货信息!$B:$B&amp;盘货信息!$C:$C,盘货信息!$S:$S)&lt;1,"","【"&amp;盘货信息!$S$1&amp;"】"&amp;"后返"&amp;_xlfn.XLOOKUP($A229&amp;$B229&amp;$C229,盘货信息!$A:$A&amp;盘货信息!$B:$B&amp;盘货信息!$C:$C,盘货信息!$S:$S)&amp;"元")</f>
        <v/>
      </c>
      <c r="Q229" s="27" t="str" cm="1">
        <f t="array" ref="Q229">IF(_xlfn.XLOOKUP($A229&amp;$B229&amp;$C229,盘货信息!$A:$A&amp;盘货信息!$B:$B&amp;盘货信息!$C:$C,盘货信息!$X:$X)="","","【"&amp;盘货信息!$X$1&amp;"】"&amp;_xlfn.XLOOKUP($A229&amp;$B229&amp;$C229,盘货信息!$A:$A&amp;盘货信息!$B:$B&amp;盘货信息!$C:$C,盘货信息!$X:$X))</f>
        <v/>
      </c>
      <c r="R229" s="27" t="str" cm="1">
        <f t="array" ref="R229">IF(_xlfn.XLOOKUP($A229&amp;$B229&amp;$C229,盘货信息!$A:$A&amp;盘货信息!$B:$B&amp;盘货信息!$C:$C,盘货信息!$Z:$Z)="","","【"&amp;盘货信息!$Z$1&amp;"】"&amp;_xlfn.XLOOKUP($A229&amp;$B229&amp;$C229,盘货信息!$A:$A&amp;盘货信息!$B:$B&amp;盘货信息!$C:$C,盘货信息!$Z:$Z))</f>
        <v/>
      </c>
      <c r="S229" s="27" t="str" cm="1">
        <f t="array" ref="S229">IF(_xlfn.XLOOKUP($A229&amp;$B229&amp;$C229,盘货信息!$A:$A&amp;盘货信息!$B:$B&amp;盘货信息!$C:$C,盘货信息!$Q:$Q)="","","【种草】站外带指定话题种草后返"&amp;_xlfn.XLOOKUP($A229&amp;$B229&amp;$C229,盘货信息!$A:$A&amp;盘货信息!$B:$B&amp;盘货信息!$C:$C,盘货信息!$Q:$Q)&amp;"元红包（每个淘宝账号仅限对应一个站外种草账号，同一个种草账号不可对应多个淘宝账号）")</f>
        <v/>
      </c>
      <c r="T229" s="27" t="str" cm="1">
        <f t="array" ref="T229">IF(_xlfn.XLOOKUP($A229&amp;$B229&amp;$C229,盘货信息!$A:$A&amp;盘货信息!$B:$B&amp;盘货信息!$C:$C,盘货信息!$R:$R)&lt;1,"","【以旧换新】"&amp;"享补贴"&amp;ROUND(_xlfn.XLOOKUP($A229&amp;$B229&amp;$C229,盘货信息!$A:$A&amp;盘货信息!$B:$B&amp;盘货信息!$C:$C,盘货信息!$R:$R),0)&amp;"元（可无旧机换新）")</f>
        <v/>
      </c>
      <c r="U229" s="27" t="str">
        <f>IF(AND($N229="",$O229="",$P229="",$Q229="",$R229="",$S229="",$T229=""),"",固定信息!$B$1)</f>
        <v/>
      </c>
      <c r="V229" s="27" t="str" cm="1">
        <f t="array" ref="V229">IF(_xlfn.XLOOKUP($A229&amp;$B229&amp;$C229,盘货信息!$A:$A&amp;盘货信息!$B:$B&amp;盘货信息!$C:$C,盘货信息!$Y:$Y)="","","【卡萨帝送赠】活动指定时间"&amp;_xlfn.TEXTBEFORE(_xlfn.TEXTAFTER(_xlfn.XLOOKUP($A229&amp;$B229&amp;$C229,盘货信息!$A:$A&amp;盘货信息!$B:$B&amp;盘货信息!$C:$C,盘货信息!$Y:$Y),"点"),"（"))</f>
        <v/>
      </c>
      <c r="W229" s="27" t="str" cm="1">
        <f t="array" ref="W229">IF(COUNTIF(_xlfn.XLOOKUP($A229&amp;$B229&amp;$C229,盘货信息!$A:$A&amp;盘货信息!$B:$B&amp;盘货信息!$C:$C,盘货信息!$O:$O),"*是*"),"【折扣】指定型号满2类享96折，满3类享94折","")</f>
        <v/>
      </c>
      <c r="X229" s="27" t="str" cm="1">
        <f t="array" ref="X229">IF(固定信息!$B$7="","",IF(_xlfn.XLOOKUP($A229&amp;$B229&amp;$C229,盘货信息!$A:$A&amp;盘货信息!$B:$B&amp;盘货信息!$C:$C,盘货信息!$N:$N)="是","【瓜分】"&amp;固定信息!$B$7,""))</f>
        <v/>
      </c>
      <c r="Y229" s="27" t="str">
        <f>IF(AND($V229="",$W229="",$X229=""),"",固定信息!$B$1)</f>
        <v/>
      </c>
      <c r="Z229" s="27" t="str" cm="1">
        <f t="array" ref="Z229">IF($C229="","",_xlfn.XLOOKUP($A229&amp;$B229&amp;$C229,服务!$A:$A&amp;服务!$B:$B&amp;服务!$C:$C,服务!$D:$D))</f>
        <v/>
      </c>
    </row>
    <row r="230" customHeight="1" spans="1:26">
      <c r="A230" s="23" t="str">
        <f>IF(盘货信息!A230="","",盘货信息!A230)</f>
        <v/>
      </c>
      <c r="B230" s="26" t="str">
        <f>IF(盘货信息!B230="","",盘货信息!B230)</f>
        <v/>
      </c>
      <c r="C230" s="23" t="str">
        <f>IF(盘货信息!C230="","",盘货信息!C230)</f>
        <v/>
      </c>
      <c r="D230" s="27" t="str">
        <f ca="1" t="shared" si="3"/>
        <v/>
      </c>
      <c r="E230" s="27" t="str">
        <f>IF(C230="","",固定信息!$B$2)</f>
        <v/>
      </c>
      <c r="F230" s="27" t="str">
        <f>IF(C230="","","【"&amp;C230&amp;"】"&amp;固定信息!$B$4)</f>
        <v/>
      </c>
      <c r="G230" s="27" t="str">
        <f>IF(C230="","","【"&amp;"活动时间："&amp;固定信息!$B$3&amp;"】")</f>
        <v/>
      </c>
      <c r="H230" s="27" t="str">
        <f>IF($C230="","",固定信息!$B$1)</f>
        <v/>
      </c>
      <c r="I230" s="27" t="str">
        <f>IF(OR(C230="",固定信息!$B$5=""),"","【1元预约锁好礼】"&amp;固定信息!$B$5)</f>
        <v/>
      </c>
      <c r="J230" s="27" t="str" cm="1">
        <f t="array" ref="J230">_xlfn.XLOOKUP($A230&amp;$B230&amp;$C230,价格信息!$A:$A&amp;价格信息!$B:$B&amp;价格信息!$C:$C,价格信息!$D:$D)</f>
        <v/>
      </c>
      <c r="K230" s="27" t="str">
        <f>IF($C230="","",固定信息!$B$1)</f>
        <v/>
      </c>
      <c r="L230" s="27" t="str" cm="1">
        <f t="array" ref="L230">IF(_xlfn.XLOOKUP($A230&amp;$B230&amp;$C230,盘货信息!$A:$A&amp;盘货信息!$B:$B&amp;盘货信息!$C:$C,盘货信息!$T:$T)="","","【优惠券】领"&amp;_xlfn.XLOOKUP($A230&amp;$B230&amp;$C230,盘货信息!$A:$A&amp;盘货信息!$B:$B&amp;盘货信息!$C:$C,盘货信息!$T:$T)&amp;"元优惠卷下单更优惠，领券链接："&amp;_xlfn.XLOOKUP($A230&amp;$B230&amp;$C230,盘货信息!$A:$A&amp;盘货信息!$B:$B&amp;盘货信息!$C:$C,盘货信息!$U:$U))</f>
        <v/>
      </c>
      <c r="M230" s="27" t="str" cm="1">
        <f t="array" ref="M230">IF(_xlfn.XLOOKUP($A230&amp;$B230&amp;$C230,盘货信息!$A:$A&amp;盘货信息!$B:$B&amp;盘货信息!$C:$C,盘货信息!$P:$P)="","","【限时】"&amp;_xlfn.XLOOKUP($A230&amp;$B230&amp;$C230,盘货信息!$A:$A&amp;盘货信息!$B:$B&amp;盘货信息!$C:$C,盘货信息!$P:$P))</f>
        <v/>
      </c>
      <c r="N230" s="27" t="str" cm="1">
        <f t="array" ref="N230">IF(_xlfn.XLOOKUP($A230&amp;$B230&amp;$C230,盘货信息!$A:$A&amp;盘货信息!$B:$B&amp;盘货信息!$C:$C,盘货信息!$V:$V)="","","【"&amp;盘货信息!$V$1&amp;"】"&amp;_xlfn.XLOOKUP($A230&amp;$B230&amp;$C230,盘货信息!$A:$A&amp;盘货信息!$B:$B&amp;盘货信息!$C:$C,盘货信息!$V:$V))</f>
        <v/>
      </c>
      <c r="O230" s="27" t="str" cm="1">
        <f t="array" ref="O230">IF(_xlfn.XLOOKUP($A230&amp;$B230&amp;$C230,盘货信息!$A:$A&amp;盘货信息!$B:$B&amp;盘货信息!$C:$C,盘货信息!$W:$W)="","","【"&amp;盘货信息!$W$1&amp;"】"&amp;_xlfn.XLOOKUP($A230&amp;$B230&amp;$C230,盘货信息!$A:$A&amp;盘货信息!$B:$B&amp;盘货信息!$C:$C,盘货信息!$W:$W))</f>
        <v/>
      </c>
      <c r="P230" s="27" t="str" cm="1">
        <f t="array" ref="P230">IF(_xlfn.XLOOKUP($A230&amp;$B230&amp;$C230,盘货信息!$A:$A&amp;盘货信息!$B:$B&amp;盘货信息!$C:$C,盘货信息!$S:$S)&lt;1,"","【"&amp;盘货信息!$S$1&amp;"】"&amp;"后返"&amp;_xlfn.XLOOKUP($A230&amp;$B230&amp;$C230,盘货信息!$A:$A&amp;盘货信息!$B:$B&amp;盘货信息!$C:$C,盘货信息!$S:$S)&amp;"元")</f>
        <v/>
      </c>
      <c r="Q230" s="27" t="str" cm="1">
        <f t="array" ref="Q230">IF(_xlfn.XLOOKUP($A230&amp;$B230&amp;$C230,盘货信息!$A:$A&amp;盘货信息!$B:$B&amp;盘货信息!$C:$C,盘货信息!$X:$X)="","","【"&amp;盘货信息!$X$1&amp;"】"&amp;_xlfn.XLOOKUP($A230&amp;$B230&amp;$C230,盘货信息!$A:$A&amp;盘货信息!$B:$B&amp;盘货信息!$C:$C,盘货信息!$X:$X))</f>
        <v/>
      </c>
      <c r="R230" s="27" t="str" cm="1">
        <f t="array" ref="R230">IF(_xlfn.XLOOKUP($A230&amp;$B230&amp;$C230,盘货信息!$A:$A&amp;盘货信息!$B:$B&amp;盘货信息!$C:$C,盘货信息!$Z:$Z)="","","【"&amp;盘货信息!$Z$1&amp;"】"&amp;_xlfn.XLOOKUP($A230&amp;$B230&amp;$C230,盘货信息!$A:$A&amp;盘货信息!$B:$B&amp;盘货信息!$C:$C,盘货信息!$Z:$Z))</f>
        <v/>
      </c>
      <c r="S230" s="27" t="str" cm="1">
        <f t="array" ref="S230">IF(_xlfn.XLOOKUP($A230&amp;$B230&amp;$C230,盘货信息!$A:$A&amp;盘货信息!$B:$B&amp;盘货信息!$C:$C,盘货信息!$Q:$Q)="","","【种草】站外带指定话题种草后返"&amp;_xlfn.XLOOKUP($A230&amp;$B230&amp;$C230,盘货信息!$A:$A&amp;盘货信息!$B:$B&amp;盘货信息!$C:$C,盘货信息!$Q:$Q)&amp;"元红包（每个淘宝账号仅限对应一个站外种草账号，同一个种草账号不可对应多个淘宝账号）")</f>
        <v/>
      </c>
      <c r="T230" s="27" t="str" cm="1">
        <f t="array" ref="T230">IF(_xlfn.XLOOKUP($A230&amp;$B230&amp;$C230,盘货信息!$A:$A&amp;盘货信息!$B:$B&amp;盘货信息!$C:$C,盘货信息!$R:$R)&lt;1,"","【以旧换新】"&amp;"享补贴"&amp;ROUND(_xlfn.XLOOKUP($A230&amp;$B230&amp;$C230,盘货信息!$A:$A&amp;盘货信息!$B:$B&amp;盘货信息!$C:$C,盘货信息!$R:$R),0)&amp;"元（可无旧机换新）")</f>
        <v/>
      </c>
      <c r="U230" s="27" t="str">
        <f>IF(AND($N230="",$O230="",$P230="",$Q230="",$R230="",$S230="",$T230=""),"",固定信息!$B$1)</f>
        <v/>
      </c>
      <c r="V230" s="27" t="str" cm="1">
        <f t="array" ref="V230">IF(_xlfn.XLOOKUP($A230&amp;$B230&amp;$C230,盘货信息!$A:$A&amp;盘货信息!$B:$B&amp;盘货信息!$C:$C,盘货信息!$Y:$Y)="","","【卡萨帝送赠】活动指定时间"&amp;_xlfn.TEXTBEFORE(_xlfn.TEXTAFTER(_xlfn.XLOOKUP($A230&amp;$B230&amp;$C230,盘货信息!$A:$A&amp;盘货信息!$B:$B&amp;盘货信息!$C:$C,盘货信息!$Y:$Y),"点"),"（"))</f>
        <v/>
      </c>
      <c r="W230" s="27" t="str" cm="1">
        <f t="array" ref="W230">IF(COUNTIF(_xlfn.XLOOKUP($A230&amp;$B230&amp;$C230,盘货信息!$A:$A&amp;盘货信息!$B:$B&amp;盘货信息!$C:$C,盘货信息!$O:$O),"*是*"),"【折扣】指定型号满2类享96折，满3类享94折","")</f>
        <v/>
      </c>
      <c r="X230" s="27" t="str" cm="1">
        <f t="array" ref="X230">IF(固定信息!$B$7="","",IF(_xlfn.XLOOKUP($A230&amp;$B230&amp;$C230,盘货信息!$A:$A&amp;盘货信息!$B:$B&amp;盘货信息!$C:$C,盘货信息!$N:$N)="是","【瓜分】"&amp;固定信息!$B$7,""))</f>
        <v/>
      </c>
      <c r="Y230" s="27" t="str">
        <f>IF(AND($V230="",$W230="",$X230=""),"",固定信息!$B$1)</f>
        <v/>
      </c>
      <c r="Z230" s="27" t="str" cm="1">
        <f t="array" ref="Z230">IF($C230="","",_xlfn.XLOOKUP($A230&amp;$B230&amp;$C230,服务!$A:$A&amp;服务!$B:$B&amp;服务!$C:$C,服务!$D:$D))</f>
        <v/>
      </c>
    </row>
    <row r="231" customHeight="1" spans="1:26">
      <c r="A231" s="23" t="str">
        <f>IF(盘货信息!A231="","",盘货信息!A231)</f>
        <v/>
      </c>
      <c r="B231" s="26" t="str">
        <f>IF(盘货信息!B231="","",盘货信息!B231)</f>
        <v/>
      </c>
      <c r="C231" s="23" t="str">
        <f>IF(盘货信息!C231="","",盘货信息!C231)</f>
        <v/>
      </c>
      <c r="D231" s="27" t="str">
        <f ca="1" t="shared" si="3"/>
        <v/>
      </c>
      <c r="E231" s="27" t="str">
        <f>IF(C231="","",固定信息!$B$2)</f>
        <v/>
      </c>
      <c r="F231" s="27" t="str">
        <f>IF(C231="","","【"&amp;C231&amp;"】"&amp;固定信息!$B$4)</f>
        <v/>
      </c>
      <c r="G231" s="27" t="str">
        <f>IF(C231="","","【"&amp;"活动时间："&amp;固定信息!$B$3&amp;"】")</f>
        <v/>
      </c>
      <c r="H231" s="27" t="str">
        <f>IF($C231="","",固定信息!$B$1)</f>
        <v/>
      </c>
      <c r="I231" s="27" t="str">
        <f>IF(OR(C231="",固定信息!$B$5=""),"","【1元预约锁好礼】"&amp;固定信息!$B$5)</f>
        <v/>
      </c>
      <c r="J231" s="27" t="str" cm="1">
        <f t="array" ref="J231">_xlfn.XLOOKUP($A231&amp;$B231&amp;$C231,价格信息!$A:$A&amp;价格信息!$B:$B&amp;价格信息!$C:$C,价格信息!$D:$D)</f>
        <v/>
      </c>
      <c r="K231" s="27" t="str">
        <f>IF($C231="","",固定信息!$B$1)</f>
        <v/>
      </c>
      <c r="L231" s="27" t="str" cm="1">
        <f t="array" ref="L231">IF(_xlfn.XLOOKUP($A231&amp;$B231&amp;$C231,盘货信息!$A:$A&amp;盘货信息!$B:$B&amp;盘货信息!$C:$C,盘货信息!$T:$T)="","","【优惠券】领"&amp;_xlfn.XLOOKUP($A231&amp;$B231&amp;$C231,盘货信息!$A:$A&amp;盘货信息!$B:$B&amp;盘货信息!$C:$C,盘货信息!$T:$T)&amp;"元优惠卷下单更优惠，领券链接："&amp;_xlfn.XLOOKUP($A231&amp;$B231&amp;$C231,盘货信息!$A:$A&amp;盘货信息!$B:$B&amp;盘货信息!$C:$C,盘货信息!$U:$U))</f>
        <v/>
      </c>
      <c r="M231" s="27" t="str" cm="1">
        <f t="array" ref="M231">IF(_xlfn.XLOOKUP($A231&amp;$B231&amp;$C231,盘货信息!$A:$A&amp;盘货信息!$B:$B&amp;盘货信息!$C:$C,盘货信息!$P:$P)="","","【限时】"&amp;_xlfn.XLOOKUP($A231&amp;$B231&amp;$C231,盘货信息!$A:$A&amp;盘货信息!$B:$B&amp;盘货信息!$C:$C,盘货信息!$P:$P))</f>
        <v/>
      </c>
      <c r="N231" s="27" t="str" cm="1">
        <f t="array" ref="N231">IF(_xlfn.XLOOKUP($A231&amp;$B231&amp;$C231,盘货信息!$A:$A&amp;盘货信息!$B:$B&amp;盘货信息!$C:$C,盘货信息!$V:$V)="","","【"&amp;盘货信息!$V$1&amp;"】"&amp;_xlfn.XLOOKUP($A231&amp;$B231&amp;$C231,盘货信息!$A:$A&amp;盘货信息!$B:$B&amp;盘货信息!$C:$C,盘货信息!$V:$V))</f>
        <v/>
      </c>
      <c r="O231" s="27" t="str" cm="1">
        <f t="array" ref="O231">IF(_xlfn.XLOOKUP($A231&amp;$B231&amp;$C231,盘货信息!$A:$A&amp;盘货信息!$B:$B&amp;盘货信息!$C:$C,盘货信息!$W:$W)="","","【"&amp;盘货信息!$W$1&amp;"】"&amp;_xlfn.XLOOKUP($A231&amp;$B231&amp;$C231,盘货信息!$A:$A&amp;盘货信息!$B:$B&amp;盘货信息!$C:$C,盘货信息!$W:$W))</f>
        <v/>
      </c>
      <c r="P231" s="27" t="str" cm="1">
        <f t="array" ref="P231">IF(_xlfn.XLOOKUP($A231&amp;$B231&amp;$C231,盘货信息!$A:$A&amp;盘货信息!$B:$B&amp;盘货信息!$C:$C,盘货信息!$S:$S)&lt;1,"","【"&amp;盘货信息!$S$1&amp;"】"&amp;"后返"&amp;_xlfn.XLOOKUP($A231&amp;$B231&amp;$C231,盘货信息!$A:$A&amp;盘货信息!$B:$B&amp;盘货信息!$C:$C,盘货信息!$S:$S)&amp;"元")</f>
        <v/>
      </c>
      <c r="Q231" s="27" t="str" cm="1">
        <f t="array" ref="Q231">IF(_xlfn.XLOOKUP($A231&amp;$B231&amp;$C231,盘货信息!$A:$A&amp;盘货信息!$B:$B&amp;盘货信息!$C:$C,盘货信息!$X:$X)="","","【"&amp;盘货信息!$X$1&amp;"】"&amp;_xlfn.XLOOKUP($A231&amp;$B231&amp;$C231,盘货信息!$A:$A&amp;盘货信息!$B:$B&amp;盘货信息!$C:$C,盘货信息!$X:$X))</f>
        <v/>
      </c>
      <c r="R231" s="27" t="str" cm="1">
        <f t="array" ref="R231">IF(_xlfn.XLOOKUP($A231&amp;$B231&amp;$C231,盘货信息!$A:$A&amp;盘货信息!$B:$B&amp;盘货信息!$C:$C,盘货信息!$Z:$Z)="","","【"&amp;盘货信息!$Z$1&amp;"】"&amp;_xlfn.XLOOKUP($A231&amp;$B231&amp;$C231,盘货信息!$A:$A&amp;盘货信息!$B:$B&amp;盘货信息!$C:$C,盘货信息!$Z:$Z))</f>
        <v/>
      </c>
      <c r="S231" s="27" t="str" cm="1">
        <f t="array" ref="S231">IF(_xlfn.XLOOKUP($A231&amp;$B231&amp;$C231,盘货信息!$A:$A&amp;盘货信息!$B:$B&amp;盘货信息!$C:$C,盘货信息!$Q:$Q)="","","【种草】站外带指定话题种草后返"&amp;_xlfn.XLOOKUP($A231&amp;$B231&amp;$C231,盘货信息!$A:$A&amp;盘货信息!$B:$B&amp;盘货信息!$C:$C,盘货信息!$Q:$Q)&amp;"元红包（每个淘宝账号仅限对应一个站外种草账号，同一个种草账号不可对应多个淘宝账号）")</f>
        <v/>
      </c>
      <c r="T231" s="27" t="str" cm="1">
        <f t="array" ref="T231">IF(_xlfn.XLOOKUP($A231&amp;$B231&amp;$C231,盘货信息!$A:$A&amp;盘货信息!$B:$B&amp;盘货信息!$C:$C,盘货信息!$R:$R)&lt;1,"","【以旧换新】"&amp;"享补贴"&amp;ROUND(_xlfn.XLOOKUP($A231&amp;$B231&amp;$C231,盘货信息!$A:$A&amp;盘货信息!$B:$B&amp;盘货信息!$C:$C,盘货信息!$R:$R),0)&amp;"元（可无旧机换新）")</f>
        <v/>
      </c>
      <c r="U231" s="27" t="str">
        <f>IF(AND($N231="",$O231="",$P231="",$Q231="",$R231="",$S231="",$T231=""),"",固定信息!$B$1)</f>
        <v/>
      </c>
      <c r="V231" s="27" t="str" cm="1">
        <f t="array" ref="V231">IF(_xlfn.XLOOKUP($A231&amp;$B231&amp;$C231,盘货信息!$A:$A&amp;盘货信息!$B:$B&amp;盘货信息!$C:$C,盘货信息!$Y:$Y)="","","【卡萨帝送赠】活动指定时间"&amp;_xlfn.TEXTBEFORE(_xlfn.TEXTAFTER(_xlfn.XLOOKUP($A231&amp;$B231&amp;$C231,盘货信息!$A:$A&amp;盘货信息!$B:$B&amp;盘货信息!$C:$C,盘货信息!$Y:$Y),"点"),"（"))</f>
        <v/>
      </c>
      <c r="W231" s="27" t="str" cm="1">
        <f t="array" ref="W231">IF(COUNTIF(_xlfn.XLOOKUP($A231&amp;$B231&amp;$C231,盘货信息!$A:$A&amp;盘货信息!$B:$B&amp;盘货信息!$C:$C,盘货信息!$O:$O),"*是*"),"【折扣】指定型号满2类享96折，满3类享94折","")</f>
        <v/>
      </c>
      <c r="X231" s="27" t="str" cm="1">
        <f t="array" ref="X231">IF(固定信息!$B$7="","",IF(_xlfn.XLOOKUP($A231&amp;$B231&amp;$C231,盘货信息!$A:$A&amp;盘货信息!$B:$B&amp;盘货信息!$C:$C,盘货信息!$N:$N)="是","【瓜分】"&amp;固定信息!$B$7,""))</f>
        <v/>
      </c>
      <c r="Y231" s="27" t="str">
        <f>IF(AND($V231="",$W231="",$X231=""),"",固定信息!$B$1)</f>
        <v/>
      </c>
      <c r="Z231" s="27" t="str" cm="1">
        <f t="array" ref="Z231">IF($C231="","",_xlfn.XLOOKUP($A231&amp;$B231&amp;$C231,服务!$A:$A&amp;服务!$B:$B&amp;服务!$C:$C,服务!$D:$D))</f>
        <v/>
      </c>
    </row>
    <row r="232" customHeight="1" spans="1:26">
      <c r="A232" s="23" t="str">
        <f>IF(盘货信息!A232="","",盘货信息!A232)</f>
        <v/>
      </c>
      <c r="B232" s="26" t="str">
        <f>IF(盘货信息!B232="","",盘货信息!B232)</f>
        <v/>
      </c>
      <c r="C232" s="23" t="str">
        <f>IF(盘货信息!C232="","",盘货信息!C232)</f>
        <v/>
      </c>
      <c r="D232" s="27" t="str">
        <f ca="1" t="shared" si="3"/>
        <v/>
      </c>
      <c r="E232" s="27" t="str">
        <f>IF(C232="","",固定信息!$B$2)</f>
        <v/>
      </c>
      <c r="F232" s="27" t="str">
        <f>IF(C232="","","【"&amp;C232&amp;"】"&amp;固定信息!$B$4)</f>
        <v/>
      </c>
      <c r="G232" s="27" t="str">
        <f>IF(C232="","","【"&amp;"活动时间："&amp;固定信息!$B$3&amp;"】")</f>
        <v/>
      </c>
      <c r="H232" s="27" t="str">
        <f>IF($C232="","",固定信息!$B$1)</f>
        <v/>
      </c>
      <c r="I232" s="27" t="str">
        <f>IF(OR(C232="",固定信息!$B$5=""),"","【1元预约锁好礼】"&amp;固定信息!$B$5)</f>
        <v/>
      </c>
      <c r="J232" s="27" t="str" cm="1">
        <f t="array" ref="J232">_xlfn.XLOOKUP($A232&amp;$B232&amp;$C232,价格信息!$A:$A&amp;价格信息!$B:$B&amp;价格信息!$C:$C,价格信息!$D:$D)</f>
        <v/>
      </c>
      <c r="K232" s="27" t="str">
        <f>IF($C232="","",固定信息!$B$1)</f>
        <v/>
      </c>
      <c r="L232" s="27" t="str" cm="1">
        <f t="array" ref="L232">IF(_xlfn.XLOOKUP($A232&amp;$B232&amp;$C232,盘货信息!$A:$A&amp;盘货信息!$B:$B&amp;盘货信息!$C:$C,盘货信息!$T:$T)="","","【优惠券】领"&amp;_xlfn.XLOOKUP($A232&amp;$B232&amp;$C232,盘货信息!$A:$A&amp;盘货信息!$B:$B&amp;盘货信息!$C:$C,盘货信息!$T:$T)&amp;"元优惠卷下单更优惠，领券链接："&amp;_xlfn.XLOOKUP($A232&amp;$B232&amp;$C232,盘货信息!$A:$A&amp;盘货信息!$B:$B&amp;盘货信息!$C:$C,盘货信息!$U:$U))</f>
        <v/>
      </c>
      <c r="M232" s="27" t="str" cm="1">
        <f t="array" ref="M232">IF(_xlfn.XLOOKUP($A232&amp;$B232&amp;$C232,盘货信息!$A:$A&amp;盘货信息!$B:$B&amp;盘货信息!$C:$C,盘货信息!$P:$P)="","","【限时】"&amp;_xlfn.XLOOKUP($A232&amp;$B232&amp;$C232,盘货信息!$A:$A&amp;盘货信息!$B:$B&amp;盘货信息!$C:$C,盘货信息!$P:$P))</f>
        <v/>
      </c>
      <c r="N232" s="27" t="str" cm="1">
        <f t="array" ref="N232">IF(_xlfn.XLOOKUP($A232&amp;$B232&amp;$C232,盘货信息!$A:$A&amp;盘货信息!$B:$B&amp;盘货信息!$C:$C,盘货信息!$V:$V)="","","【"&amp;盘货信息!$V$1&amp;"】"&amp;_xlfn.XLOOKUP($A232&amp;$B232&amp;$C232,盘货信息!$A:$A&amp;盘货信息!$B:$B&amp;盘货信息!$C:$C,盘货信息!$V:$V))</f>
        <v/>
      </c>
      <c r="O232" s="27" t="str" cm="1">
        <f t="array" ref="O232">IF(_xlfn.XLOOKUP($A232&amp;$B232&amp;$C232,盘货信息!$A:$A&amp;盘货信息!$B:$B&amp;盘货信息!$C:$C,盘货信息!$W:$W)="","","【"&amp;盘货信息!$W$1&amp;"】"&amp;_xlfn.XLOOKUP($A232&amp;$B232&amp;$C232,盘货信息!$A:$A&amp;盘货信息!$B:$B&amp;盘货信息!$C:$C,盘货信息!$W:$W))</f>
        <v/>
      </c>
      <c r="P232" s="27" t="str" cm="1">
        <f t="array" ref="P232">IF(_xlfn.XLOOKUP($A232&amp;$B232&amp;$C232,盘货信息!$A:$A&amp;盘货信息!$B:$B&amp;盘货信息!$C:$C,盘货信息!$S:$S)&lt;1,"","【"&amp;盘货信息!$S$1&amp;"】"&amp;"后返"&amp;_xlfn.XLOOKUP($A232&amp;$B232&amp;$C232,盘货信息!$A:$A&amp;盘货信息!$B:$B&amp;盘货信息!$C:$C,盘货信息!$S:$S)&amp;"元")</f>
        <v/>
      </c>
      <c r="Q232" s="27" t="str" cm="1">
        <f t="array" ref="Q232">IF(_xlfn.XLOOKUP($A232&amp;$B232&amp;$C232,盘货信息!$A:$A&amp;盘货信息!$B:$B&amp;盘货信息!$C:$C,盘货信息!$X:$X)="","","【"&amp;盘货信息!$X$1&amp;"】"&amp;_xlfn.XLOOKUP($A232&amp;$B232&amp;$C232,盘货信息!$A:$A&amp;盘货信息!$B:$B&amp;盘货信息!$C:$C,盘货信息!$X:$X))</f>
        <v/>
      </c>
      <c r="R232" s="27" t="str" cm="1">
        <f t="array" ref="R232">IF(_xlfn.XLOOKUP($A232&amp;$B232&amp;$C232,盘货信息!$A:$A&amp;盘货信息!$B:$B&amp;盘货信息!$C:$C,盘货信息!$Z:$Z)="","","【"&amp;盘货信息!$Z$1&amp;"】"&amp;_xlfn.XLOOKUP($A232&amp;$B232&amp;$C232,盘货信息!$A:$A&amp;盘货信息!$B:$B&amp;盘货信息!$C:$C,盘货信息!$Z:$Z))</f>
        <v/>
      </c>
      <c r="S232" s="27" t="str" cm="1">
        <f t="array" ref="S232">IF(_xlfn.XLOOKUP($A232&amp;$B232&amp;$C232,盘货信息!$A:$A&amp;盘货信息!$B:$B&amp;盘货信息!$C:$C,盘货信息!$Q:$Q)="","","【种草】站外带指定话题种草后返"&amp;_xlfn.XLOOKUP($A232&amp;$B232&amp;$C232,盘货信息!$A:$A&amp;盘货信息!$B:$B&amp;盘货信息!$C:$C,盘货信息!$Q:$Q)&amp;"元红包（每个淘宝账号仅限对应一个站外种草账号，同一个种草账号不可对应多个淘宝账号）")</f>
        <v/>
      </c>
      <c r="T232" s="27" t="str" cm="1">
        <f t="array" ref="T232">IF(_xlfn.XLOOKUP($A232&amp;$B232&amp;$C232,盘货信息!$A:$A&amp;盘货信息!$B:$B&amp;盘货信息!$C:$C,盘货信息!$R:$R)&lt;1,"","【以旧换新】"&amp;"享补贴"&amp;ROUND(_xlfn.XLOOKUP($A232&amp;$B232&amp;$C232,盘货信息!$A:$A&amp;盘货信息!$B:$B&amp;盘货信息!$C:$C,盘货信息!$R:$R),0)&amp;"元（可无旧机换新）")</f>
        <v/>
      </c>
      <c r="U232" s="27" t="str">
        <f>IF(AND($N232="",$O232="",$P232="",$Q232="",$R232="",$S232="",$T232=""),"",固定信息!$B$1)</f>
        <v/>
      </c>
      <c r="V232" s="27" t="str" cm="1">
        <f t="array" ref="V232">IF(_xlfn.XLOOKUP($A232&amp;$B232&amp;$C232,盘货信息!$A:$A&amp;盘货信息!$B:$B&amp;盘货信息!$C:$C,盘货信息!$Y:$Y)="","","【卡萨帝送赠】活动指定时间"&amp;_xlfn.TEXTBEFORE(_xlfn.TEXTAFTER(_xlfn.XLOOKUP($A232&amp;$B232&amp;$C232,盘货信息!$A:$A&amp;盘货信息!$B:$B&amp;盘货信息!$C:$C,盘货信息!$Y:$Y),"点"),"（"))</f>
        <v/>
      </c>
      <c r="W232" s="27" t="str" cm="1">
        <f t="array" ref="W232">IF(COUNTIF(_xlfn.XLOOKUP($A232&amp;$B232&amp;$C232,盘货信息!$A:$A&amp;盘货信息!$B:$B&amp;盘货信息!$C:$C,盘货信息!$O:$O),"*是*"),"【折扣】指定型号满2类享96折，满3类享94折","")</f>
        <v/>
      </c>
      <c r="X232" s="27" t="str" cm="1">
        <f t="array" ref="X232">IF(固定信息!$B$7="","",IF(_xlfn.XLOOKUP($A232&amp;$B232&amp;$C232,盘货信息!$A:$A&amp;盘货信息!$B:$B&amp;盘货信息!$C:$C,盘货信息!$N:$N)="是","【瓜分】"&amp;固定信息!$B$7,""))</f>
        <v/>
      </c>
      <c r="Y232" s="27" t="str">
        <f>IF(AND($V232="",$W232="",$X232=""),"",固定信息!$B$1)</f>
        <v/>
      </c>
      <c r="Z232" s="27" t="str" cm="1">
        <f t="array" ref="Z232">IF($C232="","",_xlfn.XLOOKUP($A232&amp;$B232&amp;$C232,服务!$A:$A&amp;服务!$B:$B&amp;服务!$C:$C,服务!$D:$D))</f>
        <v/>
      </c>
    </row>
    <row r="233" customHeight="1" spans="1:26">
      <c r="A233" s="23" t="str">
        <f>IF(盘货信息!A233="","",盘货信息!A233)</f>
        <v/>
      </c>
      <c r="B233" s="26" t="str">
        <f>IF(盘货信息!B233="","",盘货信息!B233)</f>
        <v/>
      </c>
      <c r="C233" s="23" t="str">
        <f>IF(盘货信息!C233="","",盘货信息!C233)</f>
        <v/>
      </c>
      <c r="D233" s="27" t="str">
        <f ca="1" t="shared" si="3"/>
        <v/>
      </c>
      <c r="E233" s="27" t="str">
        <f>IF(C233="","",固定信息!$B$2)</f>
        <v/>
      </c>
      <c r="F233" s="27" t="str">
        <f>IF(C233="","","【"&amp;C233&amp;"】"&amp;固定信息!$B$4)</f>
        <v/>
      </c>
      <c r="G233" s="27" t="str">
        <f>IF(C233="","","【"&amp;"活动时间："&amp;固定信息!$B$3&amp;"】")</f>
        <v/>
      </c>
      <c r="H233" s="27" t="str">
        <f>IF($C233="","",固定信息!$B$1)</f>
        <v/>
      </c>
      <c r="I233" s="27" t="str">
        <f>IF(OR(C233="",固定信息!$B$5=""),"","【1元预约锁好礼】"&amp;固定信息!$B$5)</f>
        <v/>
      </c>
      <c r="J233" s="27" t="str" cm="1">
        <f t="array" ref="J233">_xlfn.XLOOKUP($A233&amp;$B233&amp;$C233,价格信息!$A:$A&amp;价格信息!$B:$B&amp;价格信息!$C:$C,价格信息!$D:$D)</f>
        <v/>
      </c>
      <c r="K233" s="27" t="str">
        <f>IF($C233="","",固定信息!$B$1)</f>
        <v/>
      </c>
      <c r="L233" s="27" t="str" cm="1">
        <f t="array" ref="L233">IF(_xlfn.XLOOKUP($A233&amp;$B233&amp;$C233,盘货信息!$A:$A&amp;盘货信息!$B:$B&amp;盘货信息!$C:$C,盘货信息!$T:$T)="","","【优惠券】领"&amp;_xlfn.XLOOKUP($A233&amp;$B233&amp;$C233,盘货信息!$A:$A&amp;盘货信息!$B:$B&amp;盘货信息!$C:$C,盘货信息!$T:$T)&amp;"元优惠卷下单更优惠，领券链接："&amp;_xlfn.XLOOKUP($A233&amp;$B233&amp;$C233,盘货信息!$A:$A&amp;盘货信息!$B:$B&amp;盘货信息!$C:$C,盘货信息!$U:$U))</f>
        <v/>
      </c>
      <c r="M233" s="27" t="str" cm="1">
        <f t="array" ref="M233">IF(_xlfn.XLOOKUP($A233&amp;$B233&amp;$C233,盘货信息!$A:$A&amp;盘货信息!$B:$B&amp;盘货信息!$C:$C,盘货信息!$P:$P)="","","【限时】"&amp;_xlfn.XLOOKUP($A233&amp;$B233&amp;$C233,盘货信息!$A:$A&amp;盘货信息!$B:$B&amp;盘货信息!$C:$C,盘货信息!$P:$P))</f>
        <v/>
      </c>
      <c r="N233" s="27" t="str" cm="1">
        <f t="array" ref="N233">IF(_xlfn.XLOOKUP($A233&amp;$B233&amp;$C233,盘货信息!$A:$A&amp;盘货信息!$B:$B&amp;盘货信息!$C:$C,盘货信息!$V:$V)="","","【"&amp;盘货信息!$V$1&amp;"】"&amp;_xlfn.XLOOKUP($A233&amp;$B233&amp;$C233,盘货信息!$A:$A&amp;盘货信息!$B:$B&amp;盘货信息!$C:$C,盘货信息!$V:$V))</f>
        <v/>
      </c>
      <c r="O233" s="27" t="str" cm="1">
        <f t="array" ref="O233">IF(_xlfn.XLOOKUP($A233&amp;$B233&amp;$C233,盘货信息!$A:$A&amp;盘货信息!$B:$B&amp;盘货信息!$C:$C,盘货信息!$W:$W)="","","【"&amp;盘货信息!$W$1&amp;"】"&amp;_xlfn.XLOOKUP($A233&amp;$B233&amp;$C233,盘货信息!$A:$A&amp;盘货信息!$B:$B&amp;盘货信息!$C:$C,盘货信息!$W:$W))</f>
        <v/>
      </c>
      <c r="P233" s="27" t="str" cm="1">
        <f t="array" ref="P233">IF(_xlfn.XLOOKUP($A233&amp;$B233&amp;$C233,盘货信息!$A:$A&amp;盘货信息!$B:$B&amp;盘货信息!$C:$C,盘货信息!$S:$S)&lt;1,"","【"&amp;盘货信息!$S$1&amp;"】"&amp;"后返"&amp;_xlfn.XLOOKUP($A233&amp;$B233&amp;$C233,盘货信息!$A:$A&amp;盘货信息!$B:$B&amp;盘货信息!$C:$C,盘货信息!$S:$S)&amp;"元")</f>
        <v/>
      </c>
      <c r="Q233" s="27" t="str" cm="1">
        <f t="array" ref="Q233">IF(_xlfn.XLOOKUP($A233&amp;$B233&amp;$C233,盘货信息!$A:$A&amp;盘货信息!$B:$B&amp;盘货信息!$C:$C,盘货信息!$X:$X)="","","【"&amp;盘货信息!$X$1&amp;"】"&amp;_xlfn.XLOOKUP($A233&amp;$B233&amp;$C233,盘货信息!$A:$A&amp;盘货信息!$B:$B&amp;盘货信息!$C:$C,盘货信息!$X:$X))</f>
        <v/>
      </c>
      <c r="R233" s="27" t="str" cm="1">
        <f t="array" ref="R233">IF(_xlfn.XLOOKUP($A233&amp;$B233&amp;$C233,盘货信息!$A:$A&amp;盘货信息!$B:$B&amp;盘货信息!$C:$C,盘货信息!$Z:$Z)="","","【"&amp;盘货信息!$Z$1&amp;"】"&amp;_xlfn.XLOOKUP($A233&amp;$B233&amp;$C233,盘货信息!$A:$A&amp;盘货信息!$B:$B&amp;盘货信息!$C:$C,盘货信息!$Z:$Z))</f>
        <v/>
      </c>
      <c r="S233" s="27" t="str" cm="1">
        <f t="array" ref="S233">IF(_xlfn.XLOOKUP($A233&amp;$B233&amp;$C233,盘货信息!$A:$A&amp;盘货信息!$B:$B&amp;盘货信息!$C:$C,盘货信息!$Q:$Q)="","","【种草】站外带指定话题种草后返"&amp;_xlfn.XLOOKUP($A233&amp;$B233&amp;$C233,盘货信息!$A:$A&amp;盘货信息!$B:$B&amp;盘货信息!$C:$C,盘货信息!$Q:$Q)&amp;"元红包（每个淘宝账号仅限对应一个站外种草账号，同一个种草账号不可对应多个淘宝账号）")</f>
        <v/>
      </c>
      <c r="T233" s="27" t="str" cm="1">
        <f t="array" ref="T233">IF(_xlfn.XLOOKUP($A233&amp;$B233&amp;$C233,盘货信息!$A:$A&amp;盘货信息!$B:$B&amp;盘货信息!$C:$C,盘货信息!$R:$R)&lt;1,"","【以旧换新】"&amp;"享补贴"&amp;ROUND(_xlfn.XLOOKUP($A233&amp;$B233&amp;$C233,盘货信息!$A:$A&amp;盘货信息!$B:$B&amp;盘货信息!$C:$C,盘货信息!$R:$R),0)&amp;"元（可无旧机换新）")</f>
        <v/>
      </c>
      <c r="U233" s="27" t="str">
        <f>IF(AND($N233="",$O233="",$P233="",$Q233="",$R233="",$S233="",$T233=""),"",固定信息!$B$1)</f>
        <v/>
      </c>
      <c r="V233" s="27" t="str" cm="1">
        <f t="array" ref="V233">IF(_xlfn.XLOOKUP($A233&amp;$B233&amp;$C233,盘货信息!$A:$A&amp;盘货信息!$B:$B&amp;盘货信息!$C:$C,盘货信息!$Y:$Y)="","","【卡萨帝送赠】活动指定时间"&amp;_xlfn.TEXTBEFORE(_xlfn.TEXTAFTER(_xlfn.XLOOKUP($A233&amp;$B233&amp;$C233,盘货信息!$A:$A&amp;盘货信息!$B:$B&amp;盘货信息!$C:$C,盘货信息!$Y:$Y),"点"),"（"))</f>
        <v/>
      </c>
      <c r="W233" s="27" t="str" cm="1">
        <f t="array" ref="W233">IF(COUNTIF(_xlfn.XLOOKUP($A233&amp;$B233&amp;$C233,盘货信息!$A:$A&amp;盘货信息!$B:$B&amp;盘货信息!$C:$C,盘货信息!$O:$O),"*是*"),"【折扣】指定型号满2类享96折，满3类享94折","")</f>
        <v/>
      </c>
      <c r="X233" s="27" t="str" cm="1">
        <f t="array" ref="X233">IF(固定信息!$B$7="","",IF(_xlfn.XLOOKUP($A233&amp;$B233&amp;$C233,盘货信息!$A:$A&amp;盘货信息!$B:$B&amp;盘货信息!$C:$C,盘货信息!$N:$N)="是","【瓜分】"&amp;固定信息!$B$7,""))</f>
        <v/>
      </c>
      <c r="Y233" s="27" t="str">
        <f>IF(AND($V233="",$W233="",$X233=""),"",固定信息!$B$1)</f>
        <v/>
      </c>
      <c r="Z233" s="27" t="str" cm="1">
        <f t="array" ref="Z233">IF($C233="","",_xlfn.XLOOKUP($A233&amp;$B233&amp;$C233,服务!$A:$A&amp;服务!$B:$B&amp;服务!$C:$C,服务!$D:$D))</f>
        <v/>
      </c>
    </row>
    <row r="234" customHeight="1" spans="1:26">
      <c r="A234" s="23" t="str">
        <f>IF(盘货信息!A234="","",盘货信息!A234)</f>
        <v/>
      </c>
      <c r="B234" s="26" t="str">
        <f>IF(盘货信息!B234="","",盘货信息!B234)</f>
        <v/>
      </c>
      <c r="C234" s="23" t="str">
        <f>IF(盘货信息!C234="","",盘货信息!C234)</f>
        <v/>
      </c>
      <c r="D234" s="27" t="str">
        <f ca="1" t="shared" si="3"/>
        <v/>
      </c>
      <c r="E234" s="27" t="str">
        <f>IF(C234="","",固定信息!$B$2)</f>
        <v/>
      </c>
      <c r="F234" s="27" t="str">
        <f>IF(C234="","","【"&amp;C234&amp;"】"&amp;固定信息!$B$4)</f>
        <v/>
      </c>
      <c r="G234" s="27" t="str">
        <f>IF(C234="","","【"&amp;"活动时间："&amp;固定信息!$B$3&amp;"】")</f>
        <v/>
      </c>
      <c r="H234" s="27" t="str">
        <f>IF($C234="","",固定信息!$B$1)</f>
        <v/>
      </c>
      <c r="I234" s="27" t="str">
        <f>IF(OR(C234="",固定信息!$B$5=""),"","【1元预约锁好礼】"&amp;固定信息!$B$5)</f>
        <v/>
      </c>
      <c r="J234" s="27" t="str" cm="1">
        <f t="array" ref="J234">_xlfn.XLOOKUP($A234&amp;$B234&amp;$C234,价格信息!$A:$A&amp;价格信息!$B:$B&amp;价格信息!$C:$C,价格信息!$D:$D)</f>
        <v/>
      </c>
      <c r="K234" s="27" t="str">
        <f>IF($C234="","",固定信息!$B$1)</f>
        <v/>
      </c>
      <c r="L234" s="27" t="str" cm="1">
        <f t="array" ref="L234">IF(_xlfn.XLOOKUP($A234&amp;$B234&amp;$C234,盘货信息!$A:$A&amp;盘货信息!$B:$B&amp;盘货信息!$C:$C,盘货信息!$T:$T)="","","【优惠券】领"&amp;_xlfn.XLOOKUP($A234&amp;$B234&amp;$C234,盘货信息!$A:$A&amp;盘货信息!$B:$B&amp;盘货信息!$C:$C,盘货信息!$T:$T)&amp;"元优惠卷下单更优惠，领券链接："&amp;_xlfn.XLOOKUP($A234&amp;$B234&amp;$C234,盘货信息!$A:$A&amp;盘货信息!$B:$B&amp;盘货信息!$C:$C,盘货信息!$U:$U))</f>
        <v/>
      </c>
      <c r="M234" s="27" t="str" cm="1">
        <f t="array" ref="M234">IF(_xlfn.XLOOKUP($A234&amp;$B234&amp;$C234,盘货信息!$A:$A&amp;盘货信息!$B:$B&amp;盘货信息!$C:$C,盘货信息!$P:$P)="","","【限时】"&amp;_xlfn.XLOOKUP($A234&amp;$B234&amp;$C234,盘货信息!$A:$A&amp;盘货信息!$B:$B&amp;盘货信息!$C:$C,盘货信息!$P:$P))</f>
        <v/>
      </c>
      <c r="N234" s="27" t="str" cm="1">
        <f t="array" ref="N234">IF(_xlfn.XLOOKUP($A234&amp;$B234&amp;$C234,盘货信息!$A:$A&amp;盘货信息!$B:$B&amp;盘货信息!$C:$C,盘货信息!$V:$V)="","","【"&amp;盘货信息!$V$1&amp;"】"&amp;_xlfn.XLOOKUP($A234&amp;$B234&amp;$C234,盘货信息!$A:$A&amp;盘货信息!$B:$B&amp;盘货信息!$C:$C,盘货信息!$V:$V))</f>
        <v/>
      </c>
      <c r="O234" s="27" t="str" cm="1">
        <f t="array" ref="O234">IF(_xlfn.XLOOKUP($A234&amp;$B234&amp;$C234,盘货信息!$A:$A&amp;盘货信息!$B:$B&amp;盘货信息!$C:$C,盘货信息!$W:$W)="","","【"&amp;盘货信息!$W$1&amp;"】"&amp;_xlfn.XLOOKUP($A234&amp;$B234&amp;$C234,盘货信息!$A:$A&amp;盘货信息!$B:$B&amp;盘货信息!$C:$C,盘货信息!$W:$W))</f>
        <v/>
      </c>
      <c r="P234" s="27" t="str" cm="1">
        <f t="array" ref="P234">IF(_xlfn.XLOOKUP($A234&amp;$B234&amp;$C234,盘货信息!$A:$A&amp;盘货信息!$B:$B&amp;盘货信息!$C:$C,盘货信息!$S:$S)&lt;1,"","【"&amp;盘货信息!$S$1&amp;"】"&amp;"后返"&amp;_xlfn.XLOOKUP($A234&amp;$B234&amp;$C234,盘货信息!$A:$A&amp;盘货信息!$B:$B&amp;盘货信息!$C:$C,盘货信息!$S:$S)&amp;"元")</f>
        <v/>
      </c>
      <c r="Q234" s="27" t="str" cm="1">
        <f t="array" ref="Q234">IF(_xlfn.XLOOKUP($A234&amp;$B234&amp;$C234,盘货信息!$A:$A&amp;盘货信息!$B:$B&amp;盘货信息!$C:$C,盘货信息!$X:$X)="","","【"&amp;盘货信息!$X$1&amp;"】"&amp;_xlfn.XLOOKUP($A234&amp;$B234&amp;$C234,盘货信息!$A:$A&amp;盘货信息!$B:$B&amp;盘货信息!$C:$C,盘货信息!$X:$X))</f>
        <v/>
      </c>
      <c r="R234" s="27" t="str" cm="1">
        <f t="array" ref="R234">IF(_xlfn.XLOOKUP($A234&amp;$B234&amp;$C234,盘货信息!$A:$A&amp;盘货信息!$B:$B&amp;盘货信息!$C:$C,盘货信息!$Z:$Z)="","","【"&amp;盘货信息!$Z$1&amp;"】"&amp;_xlfn.XLOOKUP($A234&amp;$B234&amp;$C234,盘货信息!$A:$A&amp;盘货信息!$B:$B&amp;盘货信息!$C:$C,盘货信息!$Z:$Z))</f>
        <v/>
      </c>
      <c r="S234" s="27" t="str" cm="1">
        <f t="array" ref="S234">IF(_xlfn.XLOOKUP($A234&amp;$B234&amp;$C234,盘货信息!$A:$A&amp;盘货信息!$B:$B&amp;盘货信息!$C:$C,盘货信息!$Q:$Q)="","","【种草】站外带指定话题种草后返"&amp;_xlfn.XLOOKUP($A234&amp;$B234&amp;$C234,盘货信息!$A:$A&amp;盘货信息!$B:$B&amp;盘货信息!$C:$C,盘货信息!$Q:$Q)&amp;"元红包（每个淘宝账号仅限对应一个站外种草账号，同一个种草账号不可对应多个淘宝账号）")</f>
        <v/>
      </c>
      <c r="T234" s="27" t="str" cm="1">
        <f t="array" ref="T234">IF(_xlfn.XLOOKUP($A234&amp;$B234&amp;$C234,盘货信息!$A:$A&amp;盘货信息!$B:$B&amp;盘货信息!$C:$C,盘货信息!$R:$R)&lt;1,"","【以旧换新】"&amp;"享补贴"&amp;ROUND(_xlfn.XLOOKUP($A234&amp;$B234&amp;$C234,盘货信息!$A:$A&amp;盘货信息!$B:$B&amp;盘货信息!$C:$C,盘货信息!$R:$R),0)&amp;"元（可无旧机换新）")</f>
        <v/>
      </c>
      <c r="U234" s="27" t="str">
        <f>IF(AND($N234="",$O234="",$P234="",$Q234="",$R234="",$S234="",$T234=""),"",固定信息!$B$1)</f>
        <v/>
      </c>
      <c r="V234" s="27" t="str" cm="1">
        <f t="array" ref="V234">IF(_xlfn.XLOOKUP($A234&amp;$B234&amp;$C234,盘货信息!$A:$A&amp;盘货信息!$B:$B&amp;盘货信息!$C:$C,盘货信息!$Y:$Y)="","","【卡萨帝送赠】活动指定时间"&amp;_xlfn.TEXTBEFORE(_xlfn.TEXTAFTER(_xlfn.XLOOKUP($A234&amp;$B234&amp;$C234,盘货信息!$A:$A&amp;盘货信息!$B:$B&amp;盘货信息!$C:$C,盘货信息!$Y:$Y),"点"),"（"))</f>
        <v/>
      </c>
      <c r="W234" s="27" t="str" cm="1">
        <f t="array" ref="W234">IF(COUNTIF(_xlfn.XLOOKUP($A234&amp;$B234&amp;$C234,盘货信息!$A:$A&amp;盘货信息!$B:$B&amp;盘货信息!$C:$C,盘货信息!$O:$O),"*是*"),"【折扣】指定型号满2类享96折，满3类享94折","")</f>
        <v/>
      </c>
      <c r="X234" s="27" t="str" cm="1">
        <f t="array" ref="X234">IF(固定信息!$B$7="","",IF(_xlfn.XLOOKUP($A234&amp;$B234&amp;$C234,盘货信息!$A:$A&amp;盘货信息!$B:$B&amp;盘货信息!$C:$C,盘货信息!$N:$N)="是","【瓜分】"&amp;固定信息!$B$7,""))</f>
        <v/>
      </c>
      <c r="Y234" s="27" t="str">
        <f>IF(AND($V234="",$W234="",$X234=""),"",固定信息!$B$1)</f>
        <v/>
      </c>
      <c r="Z234" s="27" t="str" cm="1">
        <f t="array" ref="Z234">IF($C234="","",_xlfn.XLOOKUP($A234&amp;$B234&amp;$C234,服务!$A:$A&amp;服务!$B:$B&amp;服务!$C:$C,服务!$D:$D))</f>
        <v/>
      </c>
    </row>
    <row r="235" customHeight="1" spans="1:26">
      <c r="A235" s="23" t="str">
        <f>IF(盘货信息!A235="","",盘货信息!A235)</f>
        <v/>
      </c>
      <c r="B235" s="26" t="str">
        <f>IF(盘货信息!B235="","",盘货信息!B235)</f>
        <v/>
      </c>
      <c r="C235" s="23" t="str">
        <f>IF(盘货信息!C235="","",盘货信息!C235)</f>
        <v/>
      </c>
      <c r="D235" s="27" t="str">
        <f ca="1" t="shared" si="3"/>
        <v/>
      </c>
      <c r="E235" s="27" t="str">
        <f>IF(C235="","",固定信息!$B$2)</f>
        <v/>
      </c>
      <c r="F235" s="27" t="str">
        <f>IF(C235="","","【"&amp;C235&amp;"】"&amp;固定信息!$B$4)</f>
        <v/>
      </c>
      <c r="G235" s="27" t="str">
        <f>IF(C235="","","【"&amp;"活动时间："&amp;固定信息!$B$3&amp;"】")</f>
        <v/>
      </c>
      <c r="H235" s="27" t="str">
        <f>IF($C235="","",固定信息!$B$1)</f>
        <v/>
      </c>
      <c r="I235" s="27" t="str">
        <f>IF(OR(C235="",固定信息!$B$5=""),"","【1元预约锁好礼】"&amp;固定信息!$B$5)</f>
        <v/>
      </c>
      <c r="J235" s="27" t="str" cm="1">
        <f t="array" ref="J235">_xlfn.XLOOKUP($A235&amp;$B235&amp;$C235,价格信息!$A:$A&amp;价格信息!$B:$B&amp;价格信息!$C:$C,价格信息!$D:$D)</f>
        <v/>
      </c>
      <c r="K235" s="27" t="str">
        <f>IF($C235="","",固定信息!$B$1)</f>
        <v/>
      </c>
      <c r="L235" s="27" t="str" cm="1">
        <f t="array" ref="L235">IF(_xlfn.XLOOKUP($A235&amp;$B235&amp;$C235,盘货信息!$A:$A&amp;盘货信息!$B:$B&amp;盘货信息!$C:$C,盘货信息!$T:$T)="","","【优惠券】领"&amp;_xlfn.XLOOKUP($A235&amp;$B235&amp;$C235,盘货信息!$A:$A&amp;盘货信息!$B:$B&amp;盘货信息!$C:$C,盘货信息!$T:$T)&amp;"元优惠卷下单更优惠，领券链接："&amp;_xlfn.XLOOKUP($A235&amp;$B235&amp;$C235,盘货信息!$A:$A&amp;盘货信息!$B:$B&amp;盘货信息!$C:$C,盘货信息!$U:$U))</f>
        <v/>
      </c>
      <c r="M235" s="27" t="str" cm="1">
        <f t="array" ref="M235">IF(_xlfn.XLOOKUP($A235&amp;$B235&amp;$C235,盘货信息!$A:$A&amp;盘货信息!$B:$B&amp;盘货信息!$C:$C,盘货信息!$P:$P)="","","【限时】"&amp;_xlfn.XLOOKUP($A235&amp;$B235&amp;$C235,盘货信息!$A:$A&amp;盘货信息!$B:$B&amp;盘货信息!$C:$C,盘货信息!$P:$P))</f>
        <v/>
      </c>
      <c r="N235" s="27" t="str" cm="1">
        <f t="array" ref="N235">IF(_xlfn.XLOOKUP($A235&amp;$B235&amp;$C235,盘货信息!$A:$A&amp;盘货信息!$B:$B&amp;盘货信息!$C:$C,盘货信息!$V:$V)="","","【"&amp;盘货信息!$V$1&amp;"】"&amp;_xlfn.XLOOKUP($A235&amp;$B235&amp;$C235,盘货信息!$A:$A&amp;盘货信息!$B:$B&amp;盘货信息!$C:$C,盘货信息!$V:$V))</f>
        <v/>
      </c>
      <c r="O235" s="27" t="str" cm="1">
        <f t="array" ref="O235">IF(_xlfn.XLOOKUP($A235&amp;$B235&amp;$C235,盘货信息!$A:$A&amp;盘货信息!$B:$B&amp;盘货信息!$C:$C,盘货信息!$W:$W)="","","【"&amp;盘货信息!$W$1&amp;"】"&amp;_xlfn.XLOOKUP($A235&amp;$B235&amp;$C235,盘货信息!$A:$A&amp;盘货信息!$B:$B&amp;盘货信息!$C:$C,盘货信息!$W:$W))</f>
        <v/>
      </c>
      <c r="P235" s="27" t="str" cm="1">
        <f t="array" ref="P235">IF(_xlfn.XLOOKUP($A235&amp;$B235&amp;$C235,盘货信息!$A:$A&amp;盘货信息!$B:$B&amp;盘货信息!$C:$C,盘货信息!$S:$S)&lt;1,"","【"&amp;盘货信息!$S$1&amp;"】"&amp;"后返"&amp;_xlfn.XLOOKUP($A235&amp;$B235&amp;$C235,盘货信息!$A:$A&amp;盘货信息!$B:$B&amp;盘货信息!$C:$C,盘货信息!$S:$S)&amp;"元")</f>
        <v/>
      </c>
      <c r="Q235" s="27" t="str" cm="1">
        <f t="array" ref="Q235">IF(_xlfn.XLOOKUP($A235&amp;$B235&amp;$C235,盘货信息!$A:$A&amp;盘货信息!$B:$B&amp;盘货信息!$C:$C,盘货信息!$X:$X)="","","【"&amp;盘货信息!$X$1&amp;"】"&amp;_xlfn.XLOOKUP($A235&amp;$B235&amp;$C235,盘货信息!$A:$A&amp;盘货信息!$B:$B&amp;盘货信息!$C:$C,盘货信息!$X:$X))</f>
        <v/>
      </c>
      <c r="R235" s="27" t="str" cm="1">
        <f t="array" ref="R235">IF(_xlfn.XLOOKUP($A235&amp;$B235&amp;$C235,盘货信息!$A:$A&amp;盘货信息!$B:$B&amp;盘货信息!$C:$C,盘货信息!$Z:$Z)="","","【"&amp;盘货信息!$Z$1&amp;"】"&amp;_xlfn.XLOOKUP($A235&amp;$B235&amp;$C235,盘货信息!$A:$A&amp;盘货信息!$B:$B&amp;盘货信息!$C:$C,盘货信息!$Z:$Z))</f>
        <v/>
      </c>
      <c r="S235" s="27" t="str" cm="1">
        <f t="array" ref="S235">IF(_xlfn.XLOOKUP($A235&amp;$B235&amp;$C235,盘货信息!$A:$A&amp;盘货信息!$B:$B&amp;盘货信息!$C:$C,盘货信息!$Q:$Q)="","","【种草】站外带指定话题种草后返"&amp;_xlfn.XLOOKUP($A235&amp;$B235&amp;$C235,盘货信息!$A:$A&amp;盘货信息!$B:$B&amp;盘货信息!$C:$C,盘货信息!$Q:$Q)&amp;"元红包（每个淘宝账号仅限对应一个站外种草账号，同一个种草账号不可对应多个淘宝账号）")</f>
        <v/>
      </c>
      <c r="T235" s="27" t="str" cm="1">
        <f t="array" ref="T235">IF(_xlfn.XLOOKUP($A235&amp;$B235&amp;$C235,盘货信息!$A:$A&amp;盘货信息!$B:$B&amp;盘货信息!$C:$C,盘货信息!$R:$R)&lt;1,"","【以旧换新】"&amp;"享补贴"&amp;ROUND(_xlfn.XLOOKUP($A235&amp;$B235&amp;$C235,盘货信息!$A:$A&amp;盘货信息!$B:$B&amp;盘货信息!$C:$C,盘货信息!$R:$R),0)&amp;"元（可无旧机换新）")</f>
        <v/>
      </c>
      <c r="U235" s="27" t="str">
        <f>IF(AND($N235="",$O235="",$P235="",$Q235="",$R235="",$S235="",$T235=""),"",固定信息!$B$1)</f>
        <v/>
      </c>
      <c r="V235" s="27" t="str" cm="1">
        <f t="array" ref="V235">IF(_xlfn.XLOOKUP($A235&amp;$B235&amp;$C235,盘货信息!$A:$A&amp;盘货信息!$B:$B&amp;盘货信息!$C:$C,盘货信息!$Y:$Y)="","","【卡萨帝送赠】活动指定时间"&amp;_xlfn.TEXTBEFORE(_xlfn.TEXTAFTER(_xlfn.XLOOKUP($A235&amp;$B235&amp;$C235,盘货信息!$A:$A&amp;盘货信息!$B:$B&amp;盘货信息!$C:$C,盘货信息!$Y:$Y),"点"),"（"))</f>
        <v/>
      </c>
      <c r="W235" s="27" t="str" cm="1">
        <f t="array" ref="W235">IF(COUNTIF(_xlfn.XLOOKUP($A235&amp;$B235&amp;$C235,盘货信息!$A:$A&amp;盘货信息!$B:$B&amp;盘货信息!$C:$C,盘货信息!$O:$O),"*是*"),"【折扣】指定型号满2类享96折，满3类享94折","")</f>
        <v/>
      </c>
      <c r="X235" s="27" t="str" cm="1">
        <f t="array" ref="X235">IF(固定信息!$B$7="","",IF(_xlfn.XLOOKUP($A235&amp;$B235&amp;$C235,盘货信息!$A:$A&amp;盘货信息!$B:$B&amp;盘货信息!$C:$C,盘货信息!$N:$N)="是","【瓜分】"&amp;固定信息!$B$7,""))</f>
        <v/>
      </c>
      <c r="Y235" s="27" t="str">
        <f>IF(AND($V235="",$W235="",$X235=""),"",固定信息!$B$1)</f>
        <v/>
      </c>
      <c r="Z235" s="27" t="str" cm="1">
        <f t="array" ref="Z235">IF($C235="","",_xlfn.XLOOKUP($A235&amp;$B235&amp;$C235,服务!$A:$A&amp;服务!$B:$B&amp;服务!$C:$C,服务!$D:$D))</f>
        <v/>
      </c>
    </row>
    <row r="236" customHeight="1" spans="1:26">
      <c r="A236" s="23" t="str">
        <f>IF(盘货信息!A236="","",盘货信息!A236)</f>
        <v/>
      </c>
      <c r="B236" s="26" t="str">
        <f>IF(盘货信息!B236="","",盘货信息!B236)</f>
        <v/>
      </c>
      <c r="C236" s="23" t="str">
        <f>IF(盘货信息!C236="","",盘货信息!C236)</f>
        <v/>
      </c>
      <c r="D236" s="27" t="str">
        <f ca="1" t="shared" si="3"/>
        <v/>
      </c>
      <c r="E236" s="27" t="str">
        <f>IF(C236="","",固定信息!$B$2)</f>
        <v/>
      </c>
      <c r="F236" s="27" t="str">
        <f>IF(C236="","","【"&amp;C236&amp;"】"&amp;固定信息!$B$4)</f>
        <v/>
      </c>
      <c r="G236" s="27" t="str">
        <f>IF(C236="","","【"&amp;"活动时间："&amp;固定信息!$B$3&amp;"】")</f>
        <v/>
      </c>
      <c r="H236" s="27" t="str">
        <f>IF($C236="","",固定信息!$B$1)</f>
        <v/>
      </c>
      <c r="I236" s="27" t="str">
        <f>IF(OR(C236="",固定信息!$B$5=""),"","【1元预约锁好礼】"&amp;固定信息!$B$5)</f>
        <v/>
      </c>
      <c r="J236" s="27" t="str" cm="1">
        <f t="array" ref="J236">_xlfn.XLOOKUP($A236&amp;$B236&amp;$C236,价格信息!$A:$A&amp;价格信息!$B:$B&amp;价格信息!$C:$C,价格信息!$D:$D)</f>
        <v/>
      </c>
      <c r="K236" s="27" t="str">
        <f>IF($C236="","",固定信息!$B$1)</f>
        <v/>
      </c>
      <c r="L236" s="27" t="str" cm="1">
        <f t="array" ref="L236">IF(_xlfn.XLOOKUP($A236&amp;$B236&amp;$C236,盘货信息!$A:$A&amp;盘货信息!$B:$B&amp;盘货信息!$C:$C,盘货信息!$T:$T)="","","【优惠券】领"&amp;_xlfn.XLOOKUP($A236&amp;$B236&amp;$C236,盘货信息!$A:$A&amp;盘货信息!$B:$B&amp;盘货信息!$C:$C,盘货信息!$T:$T)&amp;"元优惠卷下单更优惠，领券链接："&amp;_xlfn.XLOOKUP($A236&amp;$B236&amp;$C236,盘货信息!$A:$A&amp;盘货信息!$B:$B&amp;盘货信息!$C:$C,盘货信息!$U:$U))</f>
        <v/>
      </c>
      <c r="M236" s="27" t="str" cm="1">
        <f t="array" ref="M236">IF(_xlfn.XLOOKUP($A236&amp;$B236&amp;$C236,盘货信息!$A:$A&amp;盘货信息!$B:$B&amp;盘货信息!$C:$C,盘货信息!$P:$P)="","","【限时】"&amp;_xlfn.XLOOKUP($A236&amp;$B236&amp;$C236,盘货信息!$A:$A&amp;盘货信息!$B:$B&amp;盘货信息!$C:$C,盘货信息!$P:$P))</f>
        <v/>
      </c>
      <c r="N236" s="27" t="str" cm="1">
        <f t="array" ref="N236">IF(_xlfn.XLOOKUP($A236&amp;$B236&amp;$C236,盘货信息!$A:$A&amp;盘货信息!$B:$B&amp;盘货信息!$C:$C,盘货信息!$V:$V)="","","【"&amp;盘货信息!$V$1&amp;"】"&amp;_xlfn.XLOOKUP($A236&amp;$B236&amp;$C236,盘货信息!$A:$A&amp;盘货信息!$B:$B&amp;盘货信息!$C:$C,盘货信息!$V:$V))</f>
        <v/>
      </c>
      <c r="O236" s="27" t="str" cm="1">
        <f t="array" ref="O236">IF(_xlfn.XLOOKUP($A236&amp;$B236&amp;$C236,盘货信息!$A:$A&amp;盘货信息!$B:$B&amp;盘货信息!$C:$C,盘货信息!$W:$W)="","","【"&amp;盘货信息!$W$1&amp;"】"&amp;_xlfn.XLOOKUP($A236&amp;$B236&amp;$C236,盘货信息!$A:$A&amp;盘货信息!$B:$B&amp;盘货信息!$C:$C,盘货信息!$W:$W))</f>
        <v/>
      </c>
      <c r="P236" s="27" t="str" cm="1">
        <f t="array" ref="P236">IF(_xlfn.XLOOKUP($A236&amp;$B236&amp;$C236,盘货信息!$A:$A&amp;盘货信息!$B:$B&amp;盘货信息!$C:$C,盘货信息!$S:$S)&lt;1,"","【"&amp;盘货信息!$S$1&amp;"】"&amp;"后返"&amp;_xlfn.XLOOKUP($A236&amp;$B236&amp;$C236,盘货信息!$A:$A&amp;盘货信息!$B:$B&amp;盘货信息!$C:$C,盘货信息!$S:$S)&amp;"元")</f>
        <v/>
      </c>
      <c r="Q236" s="27" t="str" cm="1">
        <f t="array" ref="Q236">IF(_xlfn.XLOOKUP($A236&amp;$B236&amp;$C236,盘货信息!$A:$A&amp;盘货信息!$B:$B&amp;盘货信息!$C:$C,盘货信息!$X:$X)="","","【"&amp;盘货信息!$X$1&amp;"】"&amp;_xlfn.XLOOKUP($A236&amp;$B236&amp;$C236,盘货信息!$A:$A&amp;盘货信息!$B:$B&amp;盘货信息!$C:$C,盘货信息!$X:$X))</f>
        <v/>
      </c>
      <c r="R236" s="27" t="str" cm="1">
        <f t="array" ref="R236">IF(_xlfn.XLOOKUP($A236&amp;$B236&amp;$C236,盘货信息!$A:$A&amp;盘货信息!$B:$B&amp;盘货信息!$C:$C,盘货信息!$Z:$Z)="","","【"&amp;盘货信息!$Z$1&amp;"】"&amp;_xlfn.XLOOKUP($A236&amp;$B236&amp;$C236,盘货信息!$A:$A&amp;盘货信息!$B:$B&amp;盘货信息!$C:$C,盘货信息!$Z:$Z))</f>
        <v/>
      </c>
      <c r="S236" s="27" t="str" cm="1">
        <f t="array" ref="S236">IF(_xlfn.XLOOKUP($A236&amp;$B236&amp;$C236,盘货信息!$A:$A&amp;盘货信息!$B:$B&amp;盘货信息!$C:$C,盘货信息!$Q:$Q)="","","【种草】站外带指定话题种草后返"&amp;_xlfn.XLOOKUP($A236&amp;$B236&amp;$C236,盘货信息!$A:$A&amp;盘货信息!$B:$B&amp;盘货信息!$C:$C,盘货信息!$Q:$Q)&amp;"元红包（每个淘宝账号仅限对应一个站外种草账号，同一个种草账号不可对应多个淘宝账号）")</f>
        <v/>
      </c>
      <c r="T236" s="27" t="str" cm="1">
        <f t="array" ref="T236">IF(_xlfn.XLOOKUP($A236&amp;$B236&amp;$C236,盘货信息!$A:$A&amp;盘货信息!$B:$B&amp;盘货信息!$C:$C,盘货信息!$R:$R)&lt;1,"","【以旧换新】"&amp;"享补贴"&amp;ROUND(_xlfn.XLOOKUP($A236&amp;$B236&amp;$C236,盘货信息!$A:$A&amp;盘货信息!$B:$B&amp;盘货信息!$C:$C,盘货信息!$R:$R),0)&amp;"元（可无旧机换新）")</f>
        <v/>
      </c>
      <c r="U236" s="27" t="str">
        <f>IF(AND($N236="",$O236="",$P236="",$Q236="",$R236="",$S236="",$T236=""),"",固定信息!$B$1)</f>
        <v/>
      </c>
      <c r="V236" s="27" t="str" cm="1">
        <f t="array" ref="V236">IF(_xlfn.XLOOKUP($A236&amp;$B236&amp;$C236,盘货信息!$A:$A&amp;盘货信息!$B:$B&amp;盘货信息!$C:$C,盘货信息!$Y:$Y)="","","【卡萨帝送赠】活动指定时间"&amp;_xlfn.TEXTBEFORE(_xlfn.TEXTAFTER(_xlfn.XLOOKUP($A236&amp;$B236&amp;$C236,盘货信息!$A:$A&amp;盘货信息!$B:$B&amp;盘货信息!$C:$C,盘货信息!$Y:$Y),"点"),"（"))</f>
        <v/>
      </c>
      <c r="W236" s="27" t="str" cm="1">
        <f t="array" ref="W236">IF(COUNTIF(_xlfn.XLOOKUP($A236&amp;$B236&amp;$C236,盘货信息!$A:$A&amp;盘货信息!$B:$B&amp;盘货信息!$C:$C,盘货信息!$O:$O),"*是*"),"【折扣】指定型号满2类享96折，满3类享94折","")</f>
        <v/>
      </c>
      <c r="X236" s="27" t="str" cm="1">
        <f t="array" ref="X236">IF(固定信息!$B$7="","",IF(_xlfn.XLOOKUP($A236&amp;$B236&amp;$C236,盘货信息!$A:$A&amp;盘货信息!$B:$B&amp;盘货信息!$C:$C,盘货信息!$N:$N)="是","【瓜分】"&amp;固定信息!$B$7,""))</f>
        <v/>
      </c>
      <c r="Y236" s="27" t="str">
        <f>IF(AND($V236="",$W236="",$X236=""),"",固定信息!$B$1)</f>
        <v/>
      </c>
      <c r="Z236" s="27" t="str" cm="1">
        <f t="array" ref="Z236">IF($C236="","",_xlfn.XLOOKUP($A236&amp;$B236&amp;$C236,服务!$A:$A&amp;服务!$B:$B&amp;服务!$C:$C,服务!$D:$D))</f>
        <v/>
      </c>
    </row>
    <row r="237" customHeight="1" spans="1:26">
      <c r="A237" s="23" t="str">
        <f>IF(盘货信息!A237="","",盘货信息!A237)</f>
        <v/>
      </c>
      <c r="B237" s="26" t="str">
        <f>IF(盘货信息!B237="","",盘货信息!B237)</f>
        <v/>
      </c>
      <c r="C237" s="23" t="str">
        <f>IF(盘货信息!C237="","",盘货信息!C237)</f>
        <v/>
      </c>
      <c r="D237" s="27" t="str">
        <f ca="1" t="shared" si="3"/>
        <v/>
      </c>
      <c r="E237" s="27" t="str">
        <f>IF(C237="","",固定信息!$B$2)</f>
        <v/>
      </c>
      <c r="F237" s="27" t="str">
        <f>IF(C237="","","【"&amp;C237&amp;"】"&amp;固定信息!$B$4)</f>
        <v/>
      </c>
      <c r="G237" s="27" t="str">
        <f>IF(C237="","","【"&amp;"活动时间："&amp;固定信息!$B$3&amp;"】")</f>
        <v/>
      </c>
      <c r="H237" s="27" t="str">
        <f>IF($C237="","",固定信息!$B$1)</f>
        <v/>
      </c>
      <c r="I237" s="27" t="str">
        <f>IF(OR(C237="",固定信息!$B$5=""),"","【1元预约锁好礼】"&amp;固定信息!$B$5)</f>
        <v/>
      </c>
      <c r="J237" s="27" t="str" cm="1">
        <f t="array" ref="J237">_xlfn.XLOOKUP($A237&amp;$B237&amp;$C237,价格信息!$A:$A&amp;价格信息!$B:$B&amp;价格信息!$C:$C,价格信息!$D:$D)</f>
        <v/>
      </c>
      <c r="K237" s="27" t="str">
        <f>IF($C237="","",固定信息!$B$1)</f>
        <v/>
      </c>
      <c r="L237" s="27" t="str" cm="1">
        <f t="array" ref="L237">IF(_xlfn.XLOOKUP($A237&amp;$B237&amp;$C237,盘货信息!$A:$A&amp;盘货信息!$B:$B&amp;盘货信息!$C:$C,盘货信息!$T:$T)="","","【优惠券】领"&amp;_xlfn.XLOOKUP($A237&amp;$B237&amp;$C237,盘货信息!$A:$A&amp;盘货信息!$B:$B&amp;盘货信息!$C:$C,盘货信息!$T:$T)&amp;"元优惠卷下单更优惠，领券链接："&amp;_xlfn.XLOOKUP($A237&amp;$B237&amp;$C237,盘货信息!$A:$A&amp;盘货信息!$B:$B&amp;盘货信息!$C:$C,盘货信息!$U:$U))</f>
        <v/>
      </c>
      <c r="M237" s="27" t="str" cm="1">
        <f t="array" ref="M237">IF(_xlfn.XLOOKUP($A237&amp;$B237&amp;$C237,盘货信息!$A:$A&amp;盘货信息!$B:$B&amp;盘货信息!$C:$C,盘货信息!$P:$P)="","","【限时】"&amp;_xlfn.XLOOKUP($A237&amp;$B237&amp;$C237,盘货信息!$A:$A&amp;盘货信息!$B:$B&amp;盘货信息!$C:$C,盘货信息!$P:$P))</f>
        <v/>
      </c>
      <c r="N237" s="27" t="str" cm="1">
        <f t="array" ref="N237">IF(_xlfn.XLOOKUP($A237&amp;$B237&amp;$C237,盘货信息!$A:$A&amp;盘货信息!$B:$B&amp;盘货信息!$C:$C,盘货信息!$V:$V)="","","【"&amp;盘货信息!$V$1&amp;"】"&amp;_xlfn.XLOOKUP($A237&amp;$B237&amp;$C237,盘货信息!$A:$A&amp;盘货信息!$B:$B&amp;盘货信息!$C:$C,盘货信息!$V:$V))</f>
        <v/>
      </c>
      <c r="O237" s="27" t="str" cm="1">
        <f t="array" ref="O237">IF(_xlfn.XLOOKUP($A237&amp;$B237&amp;$C237,盘货信息!$A:$A&amp;盘货信息!$B:$B&amp;盘货信息!$C:$C,盘货信息!$W:$W)="","","【"&amp;盘货信息!$W$1&amp;"】"&amp;_xlfn.XLOOKUP($A237&amp;$B237&amp;$C237,盘货信息!$A:$A&amp;盘货信息!$B:$B&amp;盘货信息!$C:$C,盘货信息!$W:$W))</f>
        <v/>
      </c>
      <c r="P237" s="27" t="str" cm="1">
        <f t="array" ref="P237">IF(_xlfn.XLOOKUP($A237&amp;$B237&amp;$C237,盘货信息!$A:$A&amp;盘货信息!$B:$B&amp;盘货信息!$C:$C,盘货信息!$S:$S)&lt;1,"","【"&amp;盘货信息!$S$1&amp;"】"&amp;"后返"&amp;_xlfn.XLOOKUP($A237&amp;$B237&amp;$C237,盘货信息!$A:$A&amp;盘货信息!$B:$B&amp;盘货信息!$C:$C,盘货信息!$S:$S)&amp;"元")</f>
        <v/>
      </c>
      <c r="Q237" s="27" t="str" cm="1">
        <f t="array" ref="Q237">IF(_xlfn.XLOOKUP($A237&amp;$B237&amp;$C237,盘货信息!$A:$A&amp;盘货信息!$B:$B&amp;盘货信息!$C:$C,盘货信息!$X:$X)="","","【"&amp;盘货信息!$X$1&amp;"】"&amp;_xlfn.XLOOKUP($A237&amp;$B237&amp;$C237,盘货信息!$A:$A&amp;盘货信息!$B:$B&amp;盘货信息!$C:$C,盘货信息!$X:$X))</f>
        <v/>
      </c>
      <c r="R237" s="27" t="str" cm="1">
        <f t="array" ref="R237">IF(_xlfn.XLOOKUP($A237&amp;$B237&amp;$C237,盘货信息!$A:$A&amp;盘货信息!$B:$B&amp;盘货信息!$C:$C,盘货信息!$Z:$Z)="","","【"&amp;盘货信息!$Z$1&amp;"】"&amp;_xlfn.XLOOKUP($A237&amp;$B237&amp;$C237,盘货信息!$A:$A&amp;盘货信息!$B:$B&amp;盘货信息!$C:$C,盘货信息!$Z:$Z))</f>
        <v/>
      </c>
      <c r="S237" s="27" t="str" cm="1">
        <f t="array" ref="S237">IF(_xlfn.XLOOKUP($A237&amp;$B237&amp;$C237,盘货信息!$A:$A&amp;盘货信息!$B:$B&amp;盘货信息!$C:$C,盘货信息!$Q:$Q)="","","【种草】站外带指定话题种草后返"&amp;_xlfn.XLOOKUP($A237&amp;$B237&amp;$C237,盘货信息!$A:$A&amp;盘货信息!$B:$B&amp;盘货信息!$C:$C,盘货信息!$Q:$Q)&amp;"元红包（每个淘宝账号仅限对应一个站外种草账号，同一个种草账号不可对应多个淘宝账号）")</f>
        <v/>
      </c>
      <c r="T237" s="27" t="str" cm="1">
        <f t="array" ref="T237">IF(_xlfn.XLOOKUP($A237&amp;$B237&amp;$C237,盘货信息!$A:$A&amp;盘货信息!$B:$B&amp;盘货信息!$C:$C,盘货信息!$R:$R)&lt;1,"","【以旧换新】"&amp;"享补贴"&amp;ROUND(_xlfn.XLOOKUP($A237&amp;$B237&amp;$C237,盘货信息!$A:$A&amp;盘货信息!$B:$B&amp;盘货信息!$C:$C,盘货信息!$R:$R),0)&amp;"元（可无旧机换新）")</f>
        <v/>
      </c>
      <c r="U237" s="27" t="str">
        <f>IF(AND($N237="",$O237="",$P237="",$Q237="",$R237="",$S237="",$T237=""),"",固定信息!$B$1)</f>
        <v/>
      </c>
      <c r="V237" s="27" t="str" cm="1">
        <f t="array" ref="V237">IF(_xlfn.XLOOKUP($A237&amp;$B237&amp;$C237,盘货信息!$A:$A&amp;盘货信息!$B:$B&amp;盘货信息!$C:$C,盘货信息!$Y:$Y)="","","【卡萨帝送赠】活动指定时间"&amp;_xlfn.TEXTBEFORE(_xlfn.TEXTAFTER(_xlfn.XLOOKUP($A237&amp;$B237&amp;$C237,盘货信息!$A:$A&amp;盘货信息!$B:$B&amp;盘货信息!$C:$C,盘货信息!$Y:$Y),"点"),"（"))</f>
        <v/>
      </c>
      <c r="W237" s="27" t="str" cm="1">
        <f t="array" ref="W237">IF(COUNTIF(_xlfn.XLOOKUP($A237&amp;$B237&amp;$C237,盘货信息!$A:$A&amp;盘货信息!$B:$B&amp;盘货信息!$C:$C,盘货信息!$O:$O),"*是*"),"【折扣】指定型号满2类享96折，满3类享94折","")</f>
        <v/>
      </c>
      <c r="X237" s="27" t="str" cm="1">
        <f t="array" ref="X237">IF(固定信息!$B$7="","",IF(_xlfn.XLOOKUP($A237&amp;$B237&amp;$C237,盘货信息!$A:$A&amp;盘货信息!$B:$B&amp;盘货信息!$C:$C,盘货信息!$N:$N)="是","【瓜分】"&amp;固定信息!$B$7,""))</f>
        <v/>
      </c>
      <c r="Y237" s="27" t="str">
        <f>IF(AND($V237="",$W237="",$X237=""),"",固定信息!$B$1)</f>
        <v/>
      </c>
      <c r="Z237" s="27" t="str" cm="1">
        <f t="array" ref="Z237">IF($C237="","",_xlfn.XLOOKUP($A237&amp;$B237&amp;$C237,服务!$A:$A&amp;服务!$B:$B&amp;服务!$C:$C,服务!$D:$D))</f>
        <v/>
      </c>
    </row>
    <row r="238" customHeight="1" spans="1:26">
      <c r="A238" s="23" t="str">
        <f>IF(盘货信息!A238="","",盘货信息!A238)</f>
        <v/>
      </c>
      <c r="B238" s="26" t="str">
        <f>IF(盘货信息!B238="","",盘货信息!B238)</f>
        <v/>
      </c>
      <c r="C238" s="23" t="str">
        <f>IF(盘货信息!C238="","",盘货信息!C238)</f>
        <v/>
      </c>
      <c r="D238" s="27" t="str">
        <f ca="1" t="shared" si="3"/>
        <v/>
      </c>
      <c r="E238" s="27" t="str">
        <f>IF(C238="","",固定信息!$B$2)</f>
        <v/>
      </c>
      <c r="F238" s="27" t="str">
        <f>IF(C238="","","【"&amp;C238&amp;"】"&amp;固定信息!$B$4)</f>
        <v/>
      </c>
      <c r="G238" s="27" t="str">
        <f>IF(C238="","","【"&amp;"活动时间："&amp;固定信息!$B$3&amp;"】")</f>
        <v/>
      </c>
      <c r="H238" s="27" t="str">
        <f>IF($C238="","",固定信息!$B$1)</f>
        <v/>
      </c>
      <c r="I238" s="27" t="str">
        <f>IF(OR(C238="",固定信息!$B$5=""),"","【1元预约锁好礼】"&amp;固定信息!$B$5)</f>
        <v/>
      </c>
      <c r="J238" s="27" t="str" cm="1">
        <f t="array" ref="J238">_xlfn.XLOOKUP($A238&amp;$B238&amp;$C238,价格信息!$A:$A&amp;价格信息!$B:$B&amp;价格信息!$C:$C,价格信息!$D:$D)</f>
        <v/>
      </c>
      <c r="K238" s="27" t="str">
        <f>IF($C238="","",固定信息!$B$1)</f>
        <v/>
      </c>
      <c r="L238" s="27" t="str" cm="1">
        <f t="array" ref="L238">IF(_xlfn.XLOOKUP($A238&amp;$B238&amp;$C238,盘货信息!$A:$A&amp;盘货信息!$B:$B&amp;盘货信息!$C:$C,盘货信息!$T:$T)="","","【优惠券】领"&amp;_xlfn.XLOOKUP($A238&amp;$B238&amp;$C238,盘货信息!$A:$A&amp;盘货信息!$B:$B&amp;盘货信息!$C:$C,盘货信息!$T:$T)&amp;"元优惠卷下单更优惠，领券链接："&amp;_xlfn.XLOOKUP($A238&amp;$B238&amp;$C238,盘货信息!$A:$A&amp;盘货信息!$B:$B&amp;盘货信息!$C:$C,盘货信息!$U:$U))</f>
        <v/>
      </c>
      <c r="M238" s="27" t="str" cm="1">
        <f t="array" ref="M238">IF(_xlfn.XLOOKUP($A238&amp;$B238&amp;$C238,盘货信息!$A:$A&amp;盘货信息!$B:$B&amp;盘货信息!$C:$C,盘货信息!$P:$P)="","","【限时】"&amp;_xlfn.XLOOKUP($A238&amp;$B238&amp;$C238,盘货信息!$A:$A&amp;盘货信息!$B:$B&amp;盘货信息!$C:$C,盘货信息!$P:$P))</f>
        <v/>
      </c>
      <c r="N238" s="27" t="str" cm="1">
        <f t="array" ref="N238">IF(_xlfn.XLOOKUP($A238&amp;$B238&amp;$C238,盘货信息!$A:$A&amp;盘货信息!$B:$B&amp;盘货信息!$C:$C,盘货信息!$V:$V)="","","【"&amp;盘货信息!$V$1&amp;"】"&amp;_xlfn.XLOOKUP($A238&amp;$B238&amp;$C238,盘货信息!$A:$A&amp;盘货信息!$B:$B&amp;盘货信息!$C:$C,盘货信息!$V:$V))</f>
        <v/>
      </c>
      <c r="O238" s="27" t="str" cm="1">
        <f t="array" ref="O238">IF(_xlfn.XLOOKUP($A238&amp;$B238&amp;$C238,盘货信息!$A:$A&amp;盘货信息!$B:$B&amp;盘货信息!$C:$C,盘货信息!$W:$W)="","","【"&amp;盘货信息!$W$1&amp;"】"&amp;_xlfn.XLOOKUP($A238&amp;$B238&amp;$C238,盘货信息!$A:$A&amp;盘货信息!$B:$B&amp;盘货信息!$C:$C,盘货信息!$W:$W))</f>
        <v/>
      </c>
      <c r="P238" s="27" t="str" cm="1">
        <f t="array" ref="P238">IF(_xlfn.XLOOKUP($A238&amp;$B238&amp;$C238,盘货信息!$A:$A&amp;盘货信息!$B:$B&amp;盘货信息!$C:$C,盘货信息!$S:$S)&lt;1,"","【"&amp;盘货信息!$S$1&amp;"】"&amp;"后返"&amp;_xlfn.XLOOKUP($A238&amp;$B238&amp;$C238,盘货信息!$A:$A&amp;盘货信息!$B:$B&amp;盘货信息!$C:$C,盘货信息!$S:$S)&amp;"元")</f>
        <v/>
      </c>
      <c r="Q238" s="27" t="str" cm="1">
        <f t="array" ref="Q238">IF(_xlfn.XLOOKUP($A238&amp;$B238&amp;$C238,盘货信息!$A:$A&amp;盘货信息!$B:$B&amp;盘货信息!$C:$C,盘货信息!$X:$X)="","","【"&amp;盘货信息!$X$1&amp;"】"&amp;_xlfn.XLOOKUP($A238&amp;$B238&amp;$C238,盘货信息!$A:$A&amp;盘货信息!$B:$B&amp;盘货信息!$C:$C,盘货信息!$X:$X))</f>
        <v/>
      </c>
      <c r="R238" s="27" t="str" cm="1">
        <f t="array" ref="R238">IF(_xlfn.XLOOKUP($A238&amp;$B238&amp;$C238,盘货信息!$A:$A&amp;盘货信息!$B:$B&amp;盘货信息!$C:$C,盘货信息!$Z:$Z)="","","【"&amp;盘货信息!$Z$1&amp;"】"&amp;_xlfn.XLOOKUP($A238&amp;$B238&amp;$C238,盘货信息!$A:$A&amp;盘货信息!$B:$B&amp;盘货信息!$C:$C,盘货信息!$Z:$Z))</f>
        <v/>
      </c>
      <c r="S238" s="27" t="str" cm="1">
        <f t="array" ref="S238">IF(_xlfn.XLOOKUP($A238&amp;$B238&amp;$C238,盘货信息!$A:$A&amp;盘货信息!$B:$B&amp;盘货信息!$C:$C,盘货信息!$Q:$Q)="","","【种草】站外带指定话题种草后返"&amp;_xlfn.XLOOKUP($A238&amp;$B238&amp;$C238,盘货信息!$A:$A&amp;盘货信息!$B:$B&amp;盘货信息!$C:$C,盘货信息!$Q:$Q)&amp;"元红包（每个淘宝账号仅限对应一个站外种草账号，同一个种草账号不可对应多个淘宝账号）")</f>
        <v/>
      </c>
      <c r="T238" s="27" t="str" cm="1">
        <f t="array" ref="T238">IF(_xlfn.XLOOKUP($A238&amp;$B238&amp;$C238,盘货信息!$A:$A&amp;盘货信息!$B:$B&amp;盘货信息!$C:$C,盘货信息!$R:$R)&lt;1,"","【以旧换新】"&amp;"享补贴"&amp;ROUND(_xlfn.XLOOKUP($A238&amp;$B238&amp;$C238,盘货信息!$A:$A&amp;盘货信息!$B:$B&amp;盘货信息!$C:$C,盘货信息!$R:$R),0)&amp;"元（可无旧机换新）")</f>
        <v/>
      </c>
      <c r="U238" s="27" t="str">
        <f>IF(AND($N238="",$O238="",$P238="",$Q238="",$R238="",$S238="",$T238=""),"",固定信息!$B$1)</f>
        <v/>
      </c>
      <c r="V238" s="27" t="str" cm="1">
        <f t="array" ref="V238">IF(_xlfn.XLOOKUP($A238&amp;$B238&amp;$C238,盘货信息!$A:$A&amp;盘货信息!$B:$B&amp;盘货信息!$C:$C,盘货信息!$Y:$Y)="","","【卡萨帝送赠】活动指定时间"&amp;_xlfn.TEXTBEFORE(_xlfn.TEXTAFTER(_xlfn.XLOOKUP($A238&amp;$B238&amp;$C238,盘货信息!$A:$A&amp;盘货信息!$B:$B&amp;盘货信息!$C:$C,盘货信息!$Y:$Y),"点"),"（"))</f>
        <v/>
      </c>
      <c r="W238" s="27" t="str" cm="1">
        <f t="array" ref="W238">IF(COUNTIF(_xlfn.XLOOKUP($A238&amp;$B238&amp;$C238,盘货信息!$A:$A&amp;盘货信息!$B:$B&amp;盘货信息!$C:$C,盘货信息!$O:$O),"*是*"),"【折扣】指定型号满2类享96折，满3类享94折","")</f>
        <v/>
      </c>
      <c r="X238" s="27" t="str" cm="1">
        <f t="array" ref="X238">IF(固定信息!$B$7="","",IF(_xlfn.XLOOKUP($A238&amp;$B238&amp;$C238,盘货信息!$A:$A&amp;盘货信息!$B:$B&amp;盘货信息!$C:$C,盘货信息!$N:$N)="是","【瓜分】"&amp;固定信息!$B$7,""))</f>
        <v/>
      </c>
      <c r="Y238" s="27" t="str">
        <f>IF(AND($V238="",$W238="",$X238=""),"",固定信息!$B$1)</f>
        <v/>
      </c>
      <c r="Z238" s="27" t="str" cm="1">
        <f t="array" ref="Z238">IF($C238="","",_xlfn.XLOOKUP($A238&amp;$B238&amp;$C238,服务!$A:$A&amp;服务!$B:$B&amp;服务!$C:$C,服务!$D:$D))</f>
        <v/>
      </c>
    </row>
    <row r="239" customHeight="1" spans="1:26">
      <c r="A239" s="23" t="str">
        <f>IF(盘货信息!A239="","",盘货信息!A239)</f>
        <v/>
      </c>
      <c r="B239" s="26" t="str">
        <f>IF(盘货信息!B239="","",盘货信息!B239)</f>
        <v/>
      </c>
      <c r="C239" s="23" t="str">
        <f>IF(盘货信息!C239="","",盘货信息!C239)</f>
        <v/>
      </c>
      <c r="D239" s="27" t="str">
        <f ca="1" t="shared" si="3"/>
        <v/>
      </c>
      <c r="E239" s="27" t="str">
        <f>IF(C239="","",固定信息!$B$2)</f>
        <v/>
      </c>
      <c r="F239" s="27" t="str">
        <f>IF(C239="","","【"&amp;C239&amp;"】"&amp;固定信息!$B$4)</f>
        <v/>
      </c>
      <c r="G239" s="27" t="str">
        <f>IF(C239="","","【"&amp;"活动时间："&amp;固定信息!$B$3&amp;"】")</f>
        <v/>
      </c>
      <c r="H239" s="27" t="str">
        <f>IF($C239="","",固定信息!$B$1)</f>
        <v/>
      </c>
      <c r="I239" s="27" t="str">
        <f>IF(OR(C239="",固定信息!$B$5=""),"","【1元预约锁好礼】"&amp;固定信息!$B$5)</f>
        <v/>
      </c>
      <c r="J239" s="27" t="str" cm="1">
        <f t="array" ref="J239">_xlfn.XLOOKUP($A239&amp;$B239&amp;$C239,价格信息!$A:$A&amp;价格信息!$B:$B&amp;价格信息!$C:$C,价格信息!$D:$D)</f>
        <v/>
      </c>
      <c r="K239" s="27" t="str">
        <f>IF($C239="","",固定信息!$B$1)</f>
        <v/>
      </c>
      <c r="L239" s="27" t="str" cm="1">
        <f t="array" ref="L239">IF(_xlfn.XLOOKUP($A239&amp;$B239&amp;$C239,盘货信息!$A:$A&amp;盘货信息!$B:$B&amp;盘货信息!$C:$C,盘货信息!$T:$T)="","","【优惠券】领"&amp;_xlfn.XLOOKUP($A239&amp;$B239&amp;$C239,盘货信息!$A:$A&amp;盘货信息!$B:$B&amp;盘货信息!$C:$C,盘货信息!$T:$T)&amp;"元优惠卷下单更优惠，领券链接："&amp;_xlfn.XLOOKUP($A239&amp;$B239&amp;$C239,盘货信息!$A:$A&amp;盘货信息!$B:$B&amp;盘货信息!$C:$C,盘货信息!$U:$U))</f>
        <v/>
      </c>
      <c r="M239" s="27" t="str" cm="1">
        <f t="array" ref="M239">IF(_xlfn.XLOOKUP($A239&amp;$B239&amp;$C239,盘货信息!$A:$A&amp;盘货信息!$B:$B&amp;盘货信息!$C:$C,盘货信息!$P:$P)="","","【限时】"&amp;_xlfn.XLOOKUP($A239&amp;$B239&amp;$C239,盘货信息!$A:$A&amp;盘货信息!$B:$B&amp;盘货信息!$C:$C,盘货信息!$P:$P))</f>
        <v/>
      </c>
      <c r="N239" s="27" t="str" cm="1">
        <f t="array" ref="N239">IF(_xlfn.XLOOKUP($A239&amp;$B239&amp;$C239,盘货信息!$A:$A&amp;盘货信息!$B:$B&amp;盘货信息!$C:$C,盘货信息!$V:$V)="","","【"&amp;盘货信息!$V$1&amp;"】"&amp;_xlfn.XLOOKUP($A239&amp;$B239&amp;$C239,盘货信息!$A:$A&amp;盘货信息!$B:$B&amp;盘货信息!$C:$C,盘货信息!$V:$V))</f>
        <v/>
      </c>
      <c r="O239" s="27" t="str" cm="1">
        <f t="array" ref="O239">IF(_xlfn.XLOOKUP($A239&amp;$B239&amp;$C239,盘货信息!$A:$A&amp;盘货信息!$B:$B&amp;盘货信息!$C:$C,盘货信息!$W:$W)="","","【"&amp;盘货信息!$W$1&amp;"】"&amp;_xlfn.XLOOKUP($A239&amp;$B239&amp;$C239,盘货信息!$A:$A&amp;盘货信息!$B:$B&amp;盘货信息!$C:$C,盘货信息!$W:$W))</f>
        <v/>
      </c>
      <c r="P239" s="27" t="str" cm="1">
        <f t="array" ref="P239">IF(_xlfn.XLOOKUP($A239&amp;$B239&amp;$C239,盘货信息!$A:$A&amp;盘货信息!$B:$B&amp;盘货信息!$C:$C,盘货信息!$S:$S)&lt;1,"","【"&amp;盘货信息!$S$1&amp;"】"&amp;"后返"&amp;_xlfn.XLOOKUP($A239&amp;$B239&amp;$C239,盘货信息!$A:$A&amp;盘货信息!$B:$B&amp;盘货信息!$C:$C,盘货信息!$S:$S)&amp;"元")</f>
        <v/>
      </c>
      <c r="Q239" s="27" t="str" cm="1">
        <f t="array" ref="Q239">IF(_xlfn.XLOOKUP($A239&amp;$B239&amp;$C239,盘货信息!$A:$A&amp;盘货信息!$B:$B&amp;盘货信息!$C:$C,盘货信息!$X:$X)="","","【"&amp;盘货信息!$X$1&amp;"】"&amp;_xlfn.XLOOKUP($A239&amp;$B239&amp;$C239,盘货信息!$A:$A&amp;盘货信息!$B:$B&amp;盘货信息!$C:$C,盘货信息!$X:$X))</f>
        <v/>
      </c>
      <c r="R239" s="27" t="str" cm="1">
        <f t="array" ref="R239">IF(_xlfn.XLOOKUP($A239&amp;$B239&amp;$C239,盘货信息!$A:$A&amp;盘货信息!$B:$B&amp;盘货信息!$C:$C,盘货信息!$Z:$Z)="","","【"&amp;盘货信息!$Z$1&amp;"】"&amp;_xlfn.XLOOKUP($A239&amp;$B239&amp;$C239,盘货信息!$A:$A&amp;盘货信息!$B:$B&amp;盘货信息!$C:$C,盘货信息!$Z:$Z))</f>
        <v/>
      </c>
      <c r="S239" s="27" t="str" cm="1">
        <f t="array" ref="S239">IF(_xlfn.XLOOKUP($A239&amp;$B239&amp;$C239,盘货信息!$A:$A&amp;盘货信息!$B:$B&amp;盘货信息!$C:$C,盘货信息!$Q:$Q)="","","【种草】站外带指定话题种草后返"&amp;_xlfn.XLOOKUP($A239&amp;$B239&amp;$C239,盘货信息!$A:$A&amp;盘货信息!$B:$B&amp;盘货信息!$C:$C,盘货信息!$Q:$Q)&amp;"元红包（每个淘宝账号仅限对应一个站外种草账号，同一个种草账号不可对应多个淘宝账号）")</f>
        <v/>
      </c>
      <c r="T239" s="27" t="str" cm="1">
        <f t="array" ref="T239">IF(_xlfn.XLOOKUP($A239&amp;$B239&amp;$C239,盘货信息!$A:$A&amp;盘货信息!$B:$B&amp;盘货信息!$C:$C,盘货信息!$R:$R)&lt;1,"","【以旧换新】"&amp;"享补贴"&amp;ROUND(_xlfn.XLOOKUP($A239&amp;$B239&amp;$C239,盘货信息!$A:$A&amp;盘货信息!$B:$B&amp;盘货信息!$C:$C,盘货信息!$R:$R),0)&amp;"元（可无旧机换新）")</f>
        <v/>
      </c>
      <c r="U239" s="27" t="str">
        <f>IF(AND($N239="",$O239="",$P239="",$Q239="",$R239="",$S239="",$T239=""),"",固定信息!$B$1)</f>
        <v/>
      </c>
      <c r="V239" s="27" t="str" cm="1">
        <f t="array" ref="V239">IF(_xlfn.XLOOKUP($A239&amp;$B239&amp;$C239,盘货信息!$A:$A&amp;盘货信息!$B:$B&amp;盘货信息!$C:$C,盘货信息!$Y:$Y)="","","【卡萨帝送赠】活动指定时间"&amp;_xlfn.TEXTBEFORE(_xlfn.TEXTAFTER(_xlfn.XLOOKUP($A239&amp;$B239&amp;$C239,盘货信息!$A:$A&amp;盘货信息!$B:$B&amp;盘货信息!$C:$C,盘货信息!$Y:$Y),"点"),"（"))</f>
        <v/>
      </c>
      <c r="W239" s="27" t="str" cm="1">
        <f t="array" ref="W239">IF(COUNTIF(_xlfn.XLOOKUP($A239&amp;$B239&amp;$C239,盘货信息!$A:$A&amp;盘货信息!$B:$B&amp;盘货信息!$C:$C,盘货信息!$O:$O),"*是*"),"【折扣】指定型号满2类享96折，满3类享94折","")</f>
        <v/>
      </c>
      <c r="X239" s="27" t="str" cm="1">
        <f t="array" ref="X239">IF(固定信息!$B$7="","",IF(_xlfn.XLOOKUP($A239&amp;$B239&amp;$C239,盘货信息!$A:$A&amp;盘货信息!$B:$B&amp;盘货信息!$C:$C,盘货信息!$N:$N)="是","【瓜分】"&amp;固定信息!$B$7,""))</f>
        <v/>
      </c>
      <c r="Y239" s="27" t="str">
        <f>IF(AND($V239="",$W239="",$X239=""),"",固定信息!$B$1)</f>
        <v/>
      </c>
      <c r="Z239" s="27" t="str" cm="1">
        <f t="array" ref="Z239">IF($C239="","",_xlfn.XLOOKUP($A239&amp;$B239&amp;$C239,服务!$A:$A&amp;服务!$B:$B&amp;服务!$C:$C,服务!$D:$D))</f>
        <v/>
      </c>
    </row>
    <row r="240" customHeight="1" spans="1:26">
      <c r="A240" s="23" t="str">
        <f>IF(盘货信息!A240="","",盘货信息!A240)</f>
        <v/>
      </c>
      <c r="B240" s="26" t="str">
        <f>IF(盘货信息!B240="","",盘货信息!B240)</f>
        <v/>
      </c>
      <c r="C240" s="23" t="str">
        <f>IF(盘货信息!C240="","",盘货信息!C240)</f>
        <v/>
      </c>
      <c r="D240" s="27" t="str">
        <f ca="1" t="shared" si="3"/>
        <v/>
      </c>
      <c r="E240" s="27" t="str">
        <f>IF(C240="","",固定信息!$B$2)</f>
        <v/>
      </c>
      <c r="F240" s="27" t="str">
        <f>IF(C240="","","【"&amp;C240&amp;"】"&amp;固定信息!$B$4)</f>
        <v/>
      </c>
      <c r="G240" s="27" t="str">
        <f>IF(C240="","","【"&amp;"活动时间："&amp;固定信息!$B$3&amp;"】")</f>
        <v/>
      </c>
      <c r="H240" s="27" t="str">
        <f>IF($C240="","",固定信息!$B$1)</f>
        <v/>
      </c>
      <c r="I240" s="27" t="str">
        <f>IF(OR(C240="",固定信息!$B$5=""),"","【1元预约锁好礼】"&amp;固定信息!$B$5)</f>
        <v/>
      </c>
      <c r="J240" s="27" t="str" cm="1">
        <f t="array" ref="J240">_xlfn.XLOOKUP($A240&amp;$B240&amp;$C240,价格信息!$A:$A&amp;价格信息!$B:$B&amp;价格信息!$C:$C,价格信息!$D:$D)</f>
        <v/>
      </c>
      <c r="K240" s="27" t="str">
        <f>IF($C240="","",固定信息!$B$1)</f>
        <v/>
      </c>
      <c r="L240" s="27" t="str" cm="1">
        <f t="array" ref="L240">IF(_xlfn.XLOOKUP($A240&amp;$B240&amp;$C240,盘货信息!$A:$A&amp;盘货信息!$B:$B&amp;盘货信息!$C:$C,盘货信息!$T:$T)="","","【优惠券】领"&amp;_xlfn.XLOOKUP($A240&amp;$B240&amp;$C240,盘货信息!$A:$A&amp;盘货信息!$B:$B&amp;盘货信息!$C:$C,盘货信息!$T:$T)&amp;"元优惠卷下单更优惠，领券链接："&amp;_xlfn.XLOOKUP($A240&amp;$B240&amp;$C240,盘货信息!$A:$A&amp;盘货信息!$B:$B&amp;盘货信息!$C:$C,盘货信息!$U:$U))</f>
        <v/>
      </c>
      <c r="M240" s="27" t="str" cm="1">
        <f t="array" ref="M240">IF(_xlfn.XLOOKUP($A240&amp;$B240&amp;$C240,盘货信息!$A:$A&amp;盘货信息!$B:$B&amp;盘货信息!$C:$C,盘货信息!$P:$P)="","","【限时】"&amp;_xlfn.XLOOKUP($A240&amp;$B240&amp;$C240,盘货信息!$A:$A&amp;盘货信息!$B:$B&amp;盘货信息!$C:$C,盘货信息!$P:$P))</f>
        <v/>
      </c>
      <c r="N240" s="27" t="str" cm="1">
        <f t="array" ref="N240">IF(_xlfn.XLOOKUP($A240&amp;$B240&amp;$C240,盘货信息!$A:$A&amp;盘货信息!$B:$B&amp;盘货信息!$C:$C,盘货信息!$V:$V)="","","【"&amp;盘货信息!$V$1&amp;"】"&amp;_xlfn.XLOOKUP($A240&amp;$B240&amp;$C240,盘货信息!$A:$A&amp;盘货信息!$B:$B&amp;盘货信息!$C:$C,盘货信息!$V:$V))</f>
        <v/>
      </c>
      <c r="O240" s="27" t="str" cm="1">
        <f t="array" ref="O240">IF(_xlfn.XLOOKUP($A240&amp;$B240&amp;$C240,盘货信息!$A:$A&amp;盘货信息!$B:$B&amp;盘货信息!$C:$C,盘货信息!$W:$W)="","","【"&amp;盘货信息!$W$1&amp;"】"&amp;_xlfn.XLOOKUP($A240&amp;$B240&amp;$C240,盘货信息!$A:$A&amp;盘货信息!$B:$B&amp;盘货信息!$C:$C,盘货信息!$W:$W))</f>
        <v/>
      </c>
      <c r="P240" s="27" t="str" cm="1">
        <f t="array" ref="P240">IF(_xlfn.XLOOKUP($A240&amp;$B240&amp;$C240,盘货信息!$A:$A&amp;盘货信息!$B:$B&amp;盘货信息!$C:$C,盘货信息!$S:$S)&lt;1,"","【"&amp;盘货信息!$S$1&amp;"】"&amp;"后返"&amp;_xlfn.XLOOKUP($A240&amp;$B240&amp;$C240,盘货信息!$A:$A&amp;盘货信息!$B:$B&amp;盘货信息!$C:$C,盘货信息!$S:$S)&amp;"元")</f>
        <v/>
      </c>
      <c r="Q240" s="27" t="str" cm="1">
        <f t="array" ref="Q240">IF(_xlfn.XLOOKUP($A240&amp;$B240&amp;$C240,盘货信息!$A:$A&amp;盘货信息!$B:$B&amp;盘货信息!$C:$C,盘货信息!$X:$X)="","","【"&amp;盘货信息!$X$1&amp;"】"&amp;_xlfn.XLOOKUP($A240&amp;$B240&amp;$C240,盘货信息!$A:$A&amp;盘货信息!$B:$B&amp;盘货信息!$C:$C,盘货信息!$X:$X))</f>
        <v/>
      </c>
      <c r="R240" s="27" t="str" cm="1">
        <f t="array" ref="R240">IF(_xlfn.XLOOKUP($A240&amp;$B240&amp;$C240,盘货信息!$A:$A&amp;盘货信息!$B:$B&amp;盘货信息!$C:$C,盘货信息!$Z:$Z)="","","【"&amp;盘货信息!$Z$1&amp;"】"&amp;_xlfn.XLOOKUP($A240&amp;$B240&amp;$C240,盘货信息!$A:$A&amp;盘货信息!$B:$B&amp;盘货信息!$C:$C,盘货信息!$Z:$Z))</f>
        <v/>
      </c>
      <c r="S240" s="27" t="str" cm="1">
        <f t="array" ref="S240">IF(_xlfn.XLOOKUP($A240&amp;$B240&amp;$C240,盘货信息!$A:$A&amp;盘货信息!$B:$B&amp;盘货信息!$C:$C,盘货信息!$Q:$Q)="","","【种草】站外带指定话题种草后返"&amp;_xlfn.XLOOKUP($A240&amp;$B240&amp;$C240,盘货信息!$A:$A&amp;盘货信息!$B:$B&amp;盘货信息!$C:$C,盘货信息!$Q:$Q)&amp;"元红包（每个淘宝账号仅限对应一个站外种草账号，同一个种草账号不可对应多个淘宝账号）")</f>
        <v/>
      </c>
      <c r="T240" s="27" t="str" cm="1">
        <f t="array" ref="T240">IF(_xlfn.XLOOKUP($A240&amp;$B240&amp;$C240,盘货信息!$A:$A&amp;盘货信息!$B:$B&amp;盘货信息!$C:$C,盘货信息!$R:$R)&lt;1,"","【以旧换新】"&amp;"享补贴"&amp;ROUND(_xlfn.XLOOKUP($A240&amp;$B240&amp;$C240,盘货信息!$A:$A&amp;盘货信息!$B:$B&amp;盘货信息!$C:$C,盘货信息!$R:$R),0)&amp;"元（可无旧机换新）")</f>
        <v/>
      </c>
      <c r="U240" s="27" t="str">
        <f>IF(AND($N240="",$O240="",$P240="",$Q240="",$R240="",$S240="",$T240=""),"",固定信息!$B$1)</f>
        <v/>
      </c>
      <c r="V240" s="27" t="str" cm="1">
        <f t="array" ref="V240">IF(_xlfn.XLOOKUP($A240&amp;$B240&amp;$C240,盘货信息!$A:$A&amp;盘货信息!$B:$B&amp;盘货信息!$C:$C,盘货信息!$Y:$Y)="","","【卡萨帝送赠】活动指定时间"&amp;_xlfn.TEXTBEFORE(_xlfn.TEXTAFTER(_xlfn.XLOOKUP($A240&amp;$B240&amp;$C240,盘货信息!$A:$A&amp;盘货信息!$B:$B&amp;盘货信息!$C:$C,盘货信息!$Y:$Y),"点"),"（"))</f>
        <v/>
      </c>
      <c r="W240" s="27" t="str" cm="1">
        <f t="array" ref="W240">IF(COUNTIF(_xlfn.XLOOKUP($A240&amp;$B240&amp;$C240,盘货信息!$A:$A&amp;盘货信息!$B:$B&amp;盘货信息!$C:$C,盘货信息!$O:$O),"*是*"),"【折扣】指定型号满2类享96折，满3类享94折","")</f>
        <v/>
      </c>
      <c r="X240" s="27" t="str" cm="1">
        <f t="array" ref="X240">IF(固定信息!$B$7="","",IF(_xlfn.XLOOKUP($A240&amp;$B240&amp;$C240,盘货信息!$A:$A&amp;盘货信息!$B:$B&amp;盘货信息!$C:$C,盘货信息!$N:$N)="是","【瓜分】"&amp;固定信息!$B$7,""))</f>
        <v/>
      </c>
      <c r="Y240" s="27" t="str">
        <f>IF(AND($V240="",$W240="",$X240=""),"",固定信息!$B$1)</f>
        <v/>
      </c>
      <c r="Z240" s="27" t="str" cm="1">
        <f t="array" ref="Z240">IF($C240="","",_xlfn.XLOOKUP($A240&amp;$B240&amp;$C240,服务!$A:$A&amp;服务!$B:$B&amp;服务!$C:$C,服务!$D:$D))</f>
        <v/>
      </c>
    </row>
    <row r="241" customHeight="1" spans="1:26">
      <c r="A241" s="23" t="str">
        <f>IF(盘货信息!A241="","",盘货信息!A241)</f>
        <v/>
      </c>
      <c r="B241" s="26" t="str">
        <f>IF(盘货信息!B241="","",盘货信息!B241)</f>
        <v/>
      </c>
      <c r="C241" s="23" t="str">
        <f>IF(盘货信息!C241="","",盘货信息!C241)</f>
        <v/>
      </c>
      <c r="D241" s="27" t="str">
        <f ca="1" t="shared" si="3"/>
        <v/>
      </c>
      <c r="E241" s="27" t="str">
        <f>IF(C241="","",固定信息!$B$2)</f>
        <v/>
      </c>
      <c r="F241" s="27" t="str">
        <f>IF(C241="","","【"&amp;C241&amp;"】"&amp;固定信息!$B$4)</f>
        <v/>
      </c>
      <c r="G241" s="27" t="str">
        <f>IF(C241="","","【"&amp;"活动时间："&amp;固定信息!$B$3&amp;"】")</f>
        <v/>
      </c>
      <c r="H241" s="27" t="str">
        <f>IF($C241="","",固定信息!$B$1)</f>
        <v/>
      </c>
      <c r="I241" s="27" t="str">
        <f>IF(OR(C241="",固定信息!$B$5=""),"","【1元预约锁好礼】"&amp;固定信息!$B$5)</f>
        <v/>
      </c>
      <c r="J241" s="27" t="str" cm="1">
        <f t="array" ref="J241">_xlfn.XLOOKUP($A241&amp;$B241&amp;$C241,价格信息!$A:$A&amp;价格信息!$B:$B&amp;价格信息!$C:$C,价格信息!$D:$D)</f>
        <v/>
      </c>
      <c r="K241" s="27" t="str">
        <f>IF($C241="","",固定信息!$B$1)</f>
        <v/>
      </c>
      <c r="L241" s="27" t="str" cm="1">
        <f t="array" ref="L241">IF(_xlfn.XLOOKUP($A241&amp;$B241&amp;$C241,盘货信息!$A:$A&amp;盘货信息!$B:$B&amp;盘货信息!$C:$C,盘货信息!$T:$T)="","","【优惠券】领"&amp;_xlfn.XLOOKUP($A241&amp;$B241&amp;$C241,盘货信息!$A:$A&amp;盘货信息!$B:$B&amp;盘货信息!$C:$C,盘货信息!$T:$T)&amp;"元优惠卷下单更优惠，领券链接："&amp;_xlfn.XLOOKUP($A241&amp;$B241&amp;$C241,盘货信息!$A:$A&amp;盘货信息!$B:$B&amp;盘货信息!$C:$C,盘货信息!$U:$U))</f>
        <v/>
      </c>
      <c r="M241" s="27" t="str" cm="1">
        <f t="array" ref="M241">IF(_xlfn.XLOOKUP($A241&amp;$B241&amp;$C241,盘货信息!$A:$A&amp;盘货信息!$B:$B&amp;盘货信息!$C:$C,盘货信息!$P:$P)="","","【限时】"&amp;_xlfn.XLOOKUP($A241&amp;$B241&amp;$C241,盘货信息!$A:$A&amp;盘货信息!$B:$B&amp;盘货信息!$C:$C,盘货信息!$P:$P))</f>
        <v/>
      </c>
      <c r="N241" s="27" t="str" cm="1">
        <f t="array" ref="N241">IF(_xlfn.XLOOKUP($A241&amp;$B241&amp;$C241,盘货信息!$A:$A&amp;盘货信息!$B:$B&amp;盘货信息!$C:$C,盘货信息!$V:$V)="","","【"&amp;盘货信息!$V$1&amp;"】"&amp;_xlfn.XLOOKUP($A241&amp;$B241&amp;$C241,盘货信息!$A:$A&amp;盘货信息!$B:$B&amp;盘货信息!$C:$C,盘货信息!$V:$V))</f>
        <v/>
      </c>
      <c r="O241" s="27" t="str" cm="1">
        <f t="array" ref="O241">IF(_xlfn.XLOOKUP($A241&amp;$B241&amp;$C241,盘货信息!$A:$A&amp;盘货信息!$B:$B&amp;盘货信息!$C:$C,盘货信息!$W:$W)="","","【"&amp;盘货信息!$W$1&amp;"】"&amp;_xlfn.XLOOKUP($A241&amp;$B241&amp;$C241,盘货信息!$A:$A&amp;盘货信息!$B:$B&amp;盘货信息!$C:$C,盘货信息!$W:$W))</f>
        <v/>
      </c>
      <c r="P241" s="27" t="str" cm="1">
        <f t="array" ref="P241">IF(_xlfn.XLOOKUP($A241&amp;$B241&amp;$C241,盘货信息!$A:$A&amp;盘货信息!$B:$B&amp;盘货信息!$C:$C,盘货信息!$S:$S)&lt;1,"","【"&amp;盘货信息!$S$1&amp;"】"&amp;"后返"&amp;_xlfn.XLOOKUP($A241&amp;$B241&amp;$C241,盘货信息!$A:$A&amp;盘货信息!$B:$B&amp;盘货信息!$C:$C,盘货信息!$S:$S)&amp;"元")</f>
        <v/>
      </c>
      <c r="Q241" s="27" t="str" cm="1">
        <f t="array" ref="Q241">IF(_xlfn.XLOOKUP($A241&amp;$B241&amp;$C241,盘货信息!$A:$A&amp;盘货信息!$B:$B&amp;盘货信息!$C:$C,盘货信息!$X:$X)="","","【"&amp;盘货信息!$X$1&amp;"】"&amp;_xlfn.XLOOKUP($A241&amp;$B241&amp;$C241,盘货信息!$A:$A&amp;盘货信息!$B:$B&amp;盘货信息!$C:$C,盘货信息!$X:$X))</f>
        <v/>
      </c>
      <c r="R241" s="27" t="str" cm="1">
        <f t="array" ref="R241">IF(_xlfn.XLOOKUP($A241&amp;$B241&amp;$C241,盘货信息!$A:$A&amp;盘货信息!$B:$B&amp;盘货信息!$C:$C,盘货信息!$Z:$Z)="","","【"&amp;盘货信息!$Z$1&amp;"】"&amp;_xlfn.XLOOKUP($A241&amp;$B241&amp;$C241,盘货信息!$A:$A&amp;盘货信息!$B:$B&amp;盘货信息!$C:$C,盘货信息!$Z:$Z))</f>
        <v/>
      </c>
      <c r="S241" s="27" t="str" cm="1">
        <f t="array" ref="S241">IF(_xlfn.XLOOKUP($A241&amp;$B241&amp;$C241,盘货信息!$A:$A&amp;盘货信息!$B:$B&amp;盘货信息!$C:$C,盘货信息!$Q:$Q)="","","【种草】站外带指定话题种草后返"&amp;_xlfn.XLOOKUP($A241&amp;$B241&amp;$C241,盘货信息!$A:$A&amp;盘货信息!$B:$B&amp;盘货信息!$C:$C,盘货信息!$Q:$Q)&amp;"元红包（每个淘宝账号仅限对应一个站外种草账号，同一个种草账号不可对应多个淘宝账号）")</f>
        <v/>
      </c>
      <c r="T241" s="27" t="str" cm="1">
        <f t="array" ref="T241">IF(_xlfn.XLOOKUP($A241&amp;$B241&amp;$C241,盘货信息!$A:$A&amp;盘货信息!$B:$B&amp;盘货信息!$C:$C,盘货信息!$R:$R)&lt;1,"","【以旧换新】"&amp;"享补贴"&amp;ROUND(_xlfn.XLOOKUP($A241&amp;$B241&amp;$C241,盘货信息!$A:$A&amp;盘货信息!$B:$B&amp;盘货信息!$C:$C,盘货信息!$R:$R),0)&amp;"元（可无旧机换新）")</f>
        <v/>
      </c>
      <c r="U241" s="27" t="str">
        <f>IF(AND($N241="",$O241="",$P241="",$Q241="",$R241="",$S241="",$T241=""),"",固定信息!$B$1)</f>
        <v/>
      </c>
      <c r="V241" s="27" t="str" cm="1">
        <f t="array" ref="V241">IF(_xlfn.XLOOKUP($A241&amp;$B241&amp;$C241,盘货信息!$A:$A&amp;盘货信息!$B:$B&amp;盘货信息!$C:$C,盘货信息!$Y:$Y)="","","【卡萨帝送赠】活动指定时间"&amp;_xlfn.TEXTBEFORE(_xlfn.TEXTAFTER(_xlfn.XLOOKUP($A241&amp;$B241&amp;$C241,盘货信息!$A:$A&amp;盘货信息!$B:$B&amp;盘货信息!$C:$C,盘货信息!$Y:$Y),"点"),"（"))</f>
        <v/>
      </c>
      <c r="W241" s="27" t="str" cm="1">
        <f t="array" ref="W241">IF(COUNTIF(_xlfn.XLOOKUP($A241&amp;$B241&amp;$C241,盘货信息!$A:$A&amp;盘货信息!$B:$B&amp;盘货信息!$C:$C,盘货信息!$O:$O),"*是*"),"【折扣】指定型号满2类享96折，满3类享94折","")</f>
        <v/>
      </c>
      <c r="X241" s="27" t="str" cm="1">
        <f t="array" ref="X241">IF(固定信息!$B$7="","",IF(_xlfn.XLOOKUP($A241&amp;$B241&amp;$C241,盘货信息!$A:$A&amp;盘货信息!$B:$B&amp;盘货信息!$C:$C,盘货信息!$N:$N)="是","【瓜分】"&amp;固定信息!$B$7,""))</f>
        <v/>
      </c>
      <c r="Y241" s="27" t="str">
        <f>IF(AND($V241="",$W241="",$X241=""),"",固定信息!$B$1)</f>
        <v/>
      </c>
      <c r="Z241" s="27" t="str" cm="1">
        <f t="array" ref="Z241">IF($C241="","",_xlfn.XLOOKUP($A241&amp;$B241&amp;$C241,服务!$A:$A&amp;服务!$B:$B&amp;服务!$C:$C,服务!$D:$D))</f>
        <v/>
      </c>
    </row>
    <row r="242" customHeight="1" spans="1:26">
      <c r="A242" s="23" t="str">
        <f>IF(盘货信息!A242="","",盘货信息!A242)</f>
        <v/>
      </c>
      <c r="B242" s="26" t="str">
        <f>IF(盘货信息!B242="","",盘货信息!B242)</f>
        <v/>
      </c>
      <c r="C242" s="23" t="str">
        <f>IF(盘货信息!C242="","",盘货信息!C242)</f>
        <v/>
      </c>
      <c r="D242" s="27" t="str">
        <f ca="1" t="shared" si="3"/>
        <v/>
      </c>
      <c r="E242" s="27" t="str">
        <f>IF(C242="","",固定信息!$B$2)</f>
        <v/>
      </c>
      <c r="F242" s="27" t="str">
        <f>IF(C242="","","【"&amp;C242&amp;"】"&amp;固定信息!$B$4)</f>
        <v/>
      </c>
      <c r="G242" s="27" t="str">
        <f>IF(C242="","","【"&amp;"活动时间："&amp;固定信息!$B$3&amp;"】")</f>
        <v/>
      </c>
      <c r="H242" s="27" t="str">
        <f>IF($C242="","",固定信息!$B$1)</f>
        <v/>
      </c>
      <c r="I242" s="27" t="str">
        <f>IF(OR(C242="",固定信息!$B$5=""),"","【1元预约锁好礼】"&amp;固定信息!$B$5)</f>
        <v/>
      </c>
      <c r="J242" s="27" t="str" cm="1">
        <f t="array" ref="J242">_xlfn.XLOOKUP($A242&amp;$B242&amp;$C242,价格信息!$A:$A&amp;价格信息!$B:$B&amp;价格信息!$C:$C,价格信息!$D:$D)</f>
        <v/>
      </c>
      <c r="K242" s="27" t="str">
        <f>IF($C242="","",固定信息!$B$1)</f>
        <v/>
      </c>
      <c r="L242" s="27" t="str" cm="1">
        <f t="array" ref="L242">IF(_xlfn.XLOOKUP($A242&amp;$B242&amp;$C242,盘货信息!$A:$A&amp;盘货信息!$B:$B&amp;盘货信息!$C:$C,盘货信息!$T:$T)="","","【优惠券】领"&amp;_xlfn.XLOOKUP($A242&amp;$B242&amp;$C242,盘货信息!$A:$A&amp;盘货信息!$B:$B&amp;盘货信息!$C:$C,盘货信息!$T:$T)&amp;"元优惠卷下单更优惠，领券链接："&amp;_xlfn.XLOOKUP($A242&amp;$B242&amp;$C242,盘货信息!$A:$A&amp;盘货信息!$B:$B&amp;盘货信息!$C:$C,盘货信息!$U:$U))</f>
        <v/>
      </c>
      <c r="M242" s="27" t="str" cm="1">
        <f t="array" ref="M242">IF(_xlfn.XLOOKUP($A242&amp;$B242&amp;$C242,盘货信息!$A:$A&amp;盘货信息!$B:$B&amp;盘货信息!$C:$C,盘货信息!$P:$P)="","","【限时】"&amp;_xlfn.XLOOKUP($A242&amp;$B242&amp;$C242,盘货信息!$A:$A&amp;盘货信息!$B:$B&amp;盘货信息!$C:$C,盘货信息!$P:$P))</f>
        <v/>
      </c>
      <c r="N242" s="27" t="str" cm="1">
        <f t="array" ref="N242">IF(_xlfn.XLOOKUP($A242&amp;$B242&amp;$C242,盘货信息!$A:$A&amp;盘货信息!$B:$B&amp;盘货信息!$C:$C,盘货信息!$V:$V)="","","【"&amp;盘货信息!$V$1&amp;"】"&amp;_xlfn.XLOOKUP($A242&amp;$B242&amp;$C242,盘货信息!$A:$A&amp;盘货信息!$B:$B&amp;盘货信息!$C:$C,盘货信息!$V:$V))</f>
        <v/>
      </c>
      <c r="O242" s="27" t="str" cm="1">
        <f t="array" ref="O242">IF(_xlfn.XLOOKUP($A242&amp;$B242&amp;$C242,盘货信息!$A:$A&amp;盘货信息!$B:$B&amp;盘货信息!$C:$C,盘货信息!$W:$W)="","","【"&amp;盘货信息!$W$1&amp;"】"&amp;_xlfn.XLOOKUP($A242&amp;$B242&amp;$C242,盘货信息!$A:$A&amp;盘货信息!$B:$B&amp;盘货信息!$C:$C,盘货信息!$W:$W))</f>
        <v/>
      </c>
      <c r="P242" s="27" t="str" cm="1">
        <f t="array" ref="P242">IF(_xlfn.XLOOKUP($A242&amp;$B242&amp;$C242,盘货信息!$A:$A&amp;盘货信息!$B:$B&amp;盘货信息!$C:$C,盘货信息!$S:$S)&lt;1,"","【"&amp;盘货信息!$S$1&amp;"】"&amp;"后返"&amp;_xlfn.XLOOKUP($A242&amp;$B242&amp;$C242,盘货信息!$A:$A&amp;盘货信息!$B:$B&amp;盘货信息!$C:$C,盘货信息!$S:$S)&amp;"元")</f>
        <v/>
      </c>
      <c r="Q242" s="27" t="str" cm="1">
        <f t="array" ref="Q242">IF(_xlfn.XLOOKUP($A242&amp;$B242&amp;$C242,盘货信息!$A:$A&amp;盘货信息!$B:$B&amp;盘货信息!$C:$C,盘货信息!$X:$X)="","","【"&amp;盘货信息!$X$1&amp;"】"&amp;_xlfn.XLOOKUP($A242&amp;$B242&amp;$C242,盘货信息!$A:$A&amp;盘货信息!$B:$B&amp;盘货信息!$C:$C,盘货信息!$X:$X))</f>
        <v/>
      </c>
      <c r="R242" s="27" t="str" cm="1">
        <f t="array" ref="R242">IF(_xlfn.XLOOKUP($A242&amp;$B242&amp;$C242,盘货信息!$A:$A&amp;盘货信息!$B:$B&amp;盘货信息!$C:$C,盘货信息!$Z:$Z)="","","【"&amp;盘货信息!$Z$1&amp;"】"&amp;_xlfn.XLOOKUP($A242&amp;$B242&amp;$C242,盘货信息!$A:$A&amp;盘货信息!$B:$B&amp;盘货信息!$C:$C,盘货信息!$Z:$Z))</f>
        <v/>
      </c>
      <c r="S242" s="27" t="str" cm="1">
        <f t="array" ref="S242">IF(_xlfn.XLOOKUP($A242&amp;$B242&amp;$C242,盘货信息!$A:$A&amp;盘货信息!$B:$B&amp;盘货信息!$C:$C,盘货信息!$Q:$Q)="","","【种草】站外带指定话题种草后返"&amp;_xlfn.XLOOKUP($A242&amp;$B242&amp;$C242,盘货信息!$A:$A&amp;盘货信息!$B:$B&amp;盘货信息!$C:$C,盘货信息!$Q:$Q)&amp;"元红包（每个淘宝账号仅限对应一个站外种草账号，同一个种草账号不可对应多个淘宝账号）")</f>
        <v/>
      </c>
      <c r="T242" s="27" t="str" cm="1">
        <f t="array" ref="T242">IF(_xlfn.XLOOKUP($A242&amp;$B242&amp;$C242,盘货信息!$A:$A&amp;盘货信息!$B:$B&amp;盘货信息!$C:$C,盘货信息!$R:$R)&lt;1,"","【以旧换新】"&amp;"享补贴"&amp;ROUND(_xlfn.XLOOKUP($A242&amp;$B242&amp;$C242,盘货信息!$A:$A&amp;盘货信息!$B:$B&amp;盘货信息!$C:$C,盘货信息!$R:$R),0)&amp;"元（可无旧机换新）")</f>
        <v/>
      </c>
      <c r="U242" s="27" t="str">
        <f>IF(AND($N242="",$O242="",$P242="",$Q242="",$R242="",$S242="",$T242=""),"",固定信息!$B$1)</f>
        <v/>
      </c>
      <c r="V242" s="27" t="str" cm="1">
        <f t="array" ref="V242">IF(_xlfn.XLOOKUP($A242&amp;$B242&amp;$C242,盘货信息!$A:$A&amp;盘货信息!$B:$B&amp;盘货信息!$C:$C,盘货信息!$Y:$Y)="","","【卡萨帝送赠】活动指定时间"&amp;_xlfn.TEXTBEFORE(_xlfn.TEXTAFTER(_xlfn.XLOOKUP($A242&amp;$B242&amp;$C242,盘货信息!$A:$A&amp;盘货信息!$B:$B&amp;盘货信息!$C:$C,盘货信息!$Y:$Y),"点"),"（"))</f>
        <v/>
      </c>
      <c r="W242" s="27" t="str" cm="1">
        <f t="array" ref="W242">IF(COUNTIF(_xlfn.XLOOKUP($A242&amp;$B242&amp;$C242,盘货信息!$A:$A&amp;盘货信息!$B:$B&amp;盘货信息!$C:$C,盘货信息!$O:$O),"*是*"),"【折扣】指定型号满2类享96折，满3类享94折","")</f>
        <v/>
      </c>
      <c r="X242" s="27" t="str" cm="1">
        <f t="array" ref="X242">IF(固定信息!$B$7="","",IF(_xlfn.XLOOKUP($A242&amp;$B242&amp;$C242,盘货信息!$A:$A&amp;盘货信息!$B:$B&amp;盘货信息!$C:$C,盘货信息!$N:$N)="是","【瓜分】"&amp;固定信息!$B$7,""))</f>
        <v/>
      </c>
      <c r="Y242" s="27" t="str">
        <f>IF(AND($V242="",$W242="",$X242=""),"",固定信息!$B$1)</f>
        <v/>
      </c>
      <c r="Z242" s="27" t="str" cm="1">
        <f t="array" ref="Z242">IF($C242="","",_xlfn.XLOOKUP($A242&amp;$B242&amp;$C242,服务!$A:$A&amp;服务!$B:$B&amp;服务!$C:$C,服务!$D:$D))</f>
        <v/>
      </c>
    </row>
    <row r="243" customHeight="1" spans="1:26">
      <c r="A243" s="23" t="str">
        <f>IF(盘货信息!A243="","",盘货信息!A243)</f>
        <v/>
      </c>
      <c r="B243" s="26" t="str">
        <f>IF(盘货信息!B243="","",盘货信息!B243)</f>
        <v/>
      </c>
      <c r="C243" s="23" t="str">
        <f>IF(盘货信息!C243="","",盘货信息!C243)</f>
        <v/>
      </c>
      <c r="D243" s="27" t="str">
        <f ca="1" t="shared" si="3"/>
        <v/>
      </c>
      <c r="E243" s="27" t="str">
        <f>IF(C243="","",固定信息!$B$2)</f>
        <v/>
      </c>
      <c r="F243" s="27" t="str">
        <f>IF(C243="","","【"&amp;C243&amp;"】"&amp;固定信息!$B$4)</f>
        <v/>
      </c>
      <c r="G243" s="27" t="str">
        <f>IF(C243="","","【"&amp;"活动时间："&amp;固定信息!$B$3&amp;"】")</f>
        <v/>
      </c>
      <c r="H243" s="27" t="str">
        <f>IF($C243="","",固定信息!$B$1)</f>
        <v/>
      </c>
      <c r="I243" s="27" t="str">
        <f>IF(OR(C243="",固定信息!$B$5=""),"","【1元预约锁好礼】"&amp;固定信息!$B$5)</f>
        <v/>
      </c>
      <c r="J243" s="27" t="str" cm="1">
        <f t="array" ref="J243">_xlfn.XLOOKUP($A243&amp;$B243&amp;$C243,价格信息!$A:$A&amp;价格信息!$B:$B&amp;价格信息!$C:$C,价格信息!$D:$D)</f>
        <v/>
      </c>
      <c r="K243" s="27" t="str">
        <f>IF($C243="","",固定信息!$B$1)</f>
        <v/>
      </c>
      <c r="L243" s="27" t="str" cm="1">
        <f t="array" ref="L243">IF(_xlfn.XLOOKUP($A243&amp;$B243&amp;$C243,盘货信息!$A:$A&amp;盘货信息!$B:$B&amp;盘货信息!$C:$C,盘货信息!$T:$T)="","","【优惠券】领"&amp;_xlfn.XLOOKUP($A243&amp;$B243&amp;$C243,盘货信息!$A:$A&amp;盘货信息!$B:$B&amp;盘货信息!$C:$C,盘货信息!$T:$T)&amp;"元优惠卷下单更优惠，领券链接："&amp;_xlfn.XLOOKUP($A243&amp;$B243&amp;$C243,盘货信息!$A:$A&amp;盘货信息!$B:$B&amp;盘货信息!$C:$C,盘货信息!$U:$U))</f>
        <v/>
      </c>
      <c r="M243" s="27" t="str" cm="1">
        <f t="array" ref="M243">IF(_xlfn.XLOOKUP($A243&amp;$B243&amp;$C243,盘货信息!$A:$A&amp;盘货信息!$B:$B&amp;盘货信息!$C:$C,盘货信息!$P:$P)="","","【限时】"&amp;_xlfn.XLOOKUP($A243&amp;$B243&amp;$C243,盘货信息!$A:$A&amp;盘货信息!$B:$B&amp;盘货信息!$C:$C,盘货信息!$P:$P))</f>
        <v/>
      </c>
      <c r="N243" s="27" t="str" cm="1">
        <f t="array" ref="N243">IF(_xlfn.XLOOKUP($A243&amp;$B243&amp;$C243,盘货信息!$A:$A&amp;盘货信息!$B:$B&amp;盘货信息!$C:$C,盘货信息!$V:$V)="","","【"&amp;盘货信息!$V$1&amp;"】"&amp;_xlfn.XLOOKUP($A243&amp;$B243&amp;$C243,盘货信息!$A:$A&amp;盘货信息!$B:$B&amp;盘货信息!$C:$C,盘货信息!$V:$V))</f>
        <v/>
      </c>
      <c r="O243" s="27" t="str" cm="1">
        <f t="array" ref="O243">IF(_xlfn.XLOOKUP($A243&amp;$B243&amp;$C243,盘货信息!$A:$A&amp;盘货信息!$B:$B&amp;盘货信息!$C:$C,盘货信息!$W:$W)="","","【"&amp;盘货信息!$W$1&amp;"】"&amp;_xlfn.XLOOKUP($A243&amp;$B243&amp;$C243,盘货信息!$A:$A&amp;盘货信息!$B:$B&amp;盘货信息!$C:$C,盘货信息!$W:$W))</f>
        <v/>
      </c>
      <c r="P243" s="27" t="str" cm="1">
        <f t="array" ref="P243">IF(_xlfn.XLOOKUP($A243&amp;$B243&amp;$C243,盘货信息!$A:$A&amp;盘货信息!$B:$B&amp;盘货信息!$C:$C,盘货信息!$S:$S)&lt;1,"","【"&amp;盘货信息!$S$1&amp;"】"&amp;"后返"&amp;_xlfn.XLOOKUP($A243&amp;$B243&amp;$C243,盘货信息!$A:$A&amp;盘货信息!$B:$B&amp;盘货信息!$C:$C,盘货信息!$S:$S)&amp;"元")</f>
        <v/>
      </c>
      <c r="Q243" s="27" t="str" cm="1">
        <f t="array" ref="Q243">IF(_xlfn.XLOOKUP($A243&amp;$B243&amp;$C243,盘货信息!$A:$A&amp;盘货信息!$B:$B&amp;盘货信息!$C:$C,盘货信息!$X:$X)="","","【"&amp;盘货信息!$X$1&amp;"】"&amp;_xlfn.XLOOKUP($A243&amp;$B243&amp;$C243,盘货信息!$A:$A&amp;盘货信息!$B:$B&amp;盘货信息!$C:$C,盘货信息!$X:$X))</f>
        <v/>
      </c>
      <c r="R243" s="27" t="str" cm="1">
        <f t="array" ref="R243">IF(_xlfn.XLOOKUP($A243&amp;$B243&amp;$C243,盘货信息!$A:$A&amp;盘货信息!$B:$B&amp;盘货信息!$C:$C,盘货信息!$Z:$Z)="","","【"&amp;盘货信息!$Z$1&amp;"】"&amp;_xlfn.XLOOKUP($A243&amp;$B243&amp;$C243,盘货信息!$A:$A&amp;盘货信息!$B:$B&amp;盘货信息!$C:$C,盘货信息!$Z:$Z))</f>
        <v/>
      </c>
      <c r="S243" s="27" t="str" cm="1">
        <f t="array" ref="S243">IF(_xlfn.XLOOKUP($A243&amp;$B243&amp;$C243,盘货信息!$A:$A&amp;盘货信息!$B:$B&amp;盘货信息!$C:$C,盘货信息!$Q:$Q)="","","【种草】站外带指定话题种草后返"&amp;_xlfn.XLOOKUP($A243&amp;$B243&amp;$C243,盘货信息!$A:$A&amp;盘货信息!$B:$B&amp;盘货信息!$C:$C,盘货信息!$Q:$Q)&amp;"元红包（每个淘宝账号仅限对应一个站外种草账号，同一个种草账号不可对应多个淘宝账号）")</f>
        <v/>
      </c>
      <c r="T243" s="27" t="str" cm="1">
        <f t="array" ref="T243">IF(_xlfn.XLOOKUP($A243&amp;$B243&amp;$C243,盘货信息!$A:$A&amp;盘货信息!$B:$B&amp;盘货信息!$C:$C,盘货信息!$R:$R)&lt;1,"","【以旧换新】"&amp;"享补贴"&amp;ROUND(_xlfn.XLOOKUP($A243&amp;$B243&amp;$C243,盘货信息!$A:$A&amp;盘货信息!$B:$B&amp;盘货信息!$C:$C,盘货信息!$R:$R),0)&amp;"元（可无旧机换新）")</f>
        <v/>
      </c>
      <c r="U243" s="27" t="str">
        <f>IF(AND($N243="",$O243="",$P243="",$Q243="",$R243="",$S243="",$T243=""),"",固定信息!$B$1)</f>
        <v/>
      </c>
      <c r="V243" s="27" t="str" cm="1">
        <f t="array" ref="V243">IF(_xlfn.XLOOKUP($A243&amp;$B243&amp;$C243,盘货信息!$A:$A&amp;盘货信息!$B:$B&amp;盘货信息!$C:$C,盘货信息!$Y:$Y)="","","【卡萨帝送赠】活动指定时间"&amp;_xlfn.TEXTBEFORE(_xlfn.TEXTAFTER(_xlfn.XLOOKUP($A243&amp;$B243&amp;$C243,盘货信息!$A:$A&amp;盘货信息!$B:$B&amp;盘货信息!$C:$C,盘货信息!$Y:$Y),"点"),"（"))</f>
        <v/>
      </c>
      <c r="W243" s="27" t="str" cm="1">
        <f t="array" ref="W243">IF(COUNTIF(_xlfn.XLOOKUP($A243&amp;$B243&amp;$C243,盘货信息!$A:$A&amp;盘货信息!$B:$B&amp;盘货信息!$C:$C,盘货信息!$O:$O),"*是*"),"【折扣】指定型号满2类享96折，满3类享94折","")</f>
        <v/>
      </c>
      <c r="X243" s="27" t="str" cm="1">
        <f t="array" ref="X243">IF(固定信息!$B$7="","",IF(_xlfn.XLOOKUP($A243&amp;$B243&amp;$C243,盘货信息!$A:$A&amp;盘货信息!$B:$B&amp;盘货信息!$C:$C,盘货信息!$N:$N)="是","【瓜分】"&amp;固定信息!$B$7,""))</f>
        <v/>
      </c>
      <c r="Y243" s="27" t="str">
        <f>IF(AND($V243="",$W243="",$X243=""),"",固定信息!$B$1)</f>
        <v/>
      </c>
      <c r="Z243" s="27" t="str" cm="1">
        <f t="array" ref="Z243">IF($C243="","",_xlfn.XLOOKUP($A243&amp;$B243&amp;$C243,服务!$A:$A&amp;服务!$B:$B&amp;服务!$C:$C,服务!$D:$D))</f>
        <v/>
      </c>
    </row>
    <row r="244" customHeight="1" spans="1:26">
      <c r="A244" s="23" t="str">
        <f>IF(盘货信息!A244="","",盘货信息!A244)</f>
        <v/>
      </c>
      <c r="B244" s="26" t="str">
        <f>IF(盘货信息!B244="","",盘货信息!B244)</f>
        <v/>
      </c>
      <c r="C244" s="23" t="str">
        <f>IF(盘货信息!C244="","",盘货信息!C244)</f>
        <v/>
      </c>
      <c r="D244" s="27" t="str">
        <f ca="1" t="shared" si="3"/>
        <v/>
      </c>
      <c r="E244" s="27" t="str">
        <f>IF(C244="","",固定信息!$B$2)</f>
        <v/>
      </c>
      <c r="F244" s="27" t="str">
        <f>IF(C244="","","【"&amp;C244&amp;"】"&amp;固定信息!$B$4)</f>
        <v/>
      </c>
      <c r="G244" s="27" t="str">
        <f>IF(C244="","","【"&amp;"活动时间："&amp;固定信息!$B$3&amp;"】")</f>
        <v/>
      </c>
      <c r="H244" s="27" t="str">
        <f>IF($C244="","",固定信息!$B$1)</f>
        <v/>
      </c>
      <c r="I244" s="27" t="str">
        <f>IF(OR(C244="",固定信息!$B$5=""),"","【1元预约锁好礼】"&amp;固定信息!$B$5)</f>
        <v/>
      </c>
      <c r="J244" s="27" t="str" cm="1">
        <f t="array" ref="J244">_xlfn.XLOOKUP($A244&amp;$B244&amp;$C244,价格信息!$A:$A&amp;价格信息!$B:$B&amp;价格信息!$C:$C,价格信息!$D:$D)</f>
        <v/>
      </c>
      <c r="K244" s="27" t="str">
        <f>IF($C244="","",固定信息!$B$1)</f>
        <v/>
      </c>
      <c r="L244" s="27" t="str" cm="1">
        <f t="array" ref="L244">IF(_xlfn.XLOOKUP($A244&amp;$B244&amp;$C244,盘货信息!$A:$A&amp;盘货信息!$B:$B&amp;盘货信息!$C:$C,盘货信息!$T:$T)="","","【优惠券】领"&amp;_xlfn.XLOOKUP($A244&amp;$B244&amp;$C244,盘货信息!$A:$A&amp;盘货信息!$B:$B&amp;盘货信息!$C:$C,盘货信息!$T:$T)&amp;"元优惠卷下单更优惠，领券链接："&amp;_xlfn.XLOOKUP($A244&amp;$B244&amp;$C244,盘货信息!$A:$A&amp;盘货信息!$B:$B&amp;盘货信息!$C:$C,盘货信息!$U:$U))</f>
        <v/>
      </c>
      <c r="M244" s="27" t="str" cm="1">
        <f t="array" ref="M244">IF(_xlfn.XLOOKUP($A244&amp;$B244&amp;$C244,盘货信息!$A:$A&amp;盘货信息!$B:$B&amp;盘货信息!$C:$C,盘货信息!$P:$P)="","","【限时】"&amp;_xlfn.XLOOKUP($A244&amp;$B244&amp;$C244,盘货信息!$A:$A&amp;盘货信息!$B:$B&amp;盘货信息!$C:$C,盘货信息!$P:$P))</f>
        <v/>
      </c>
      <c r="N244" s="27" t="str" cm="1">
        <f t="array" ref="N244">IF(_xlfn.XLOOKUP($A244&amp;$B244&amp;$C244,盘货信息!$A:$A&amp;盘货信息!$B:$B&amp;盘货信息!$C:$C,盘货信息!$V:$V)="","","【"&amp;盘货信息!$V$1&amp;"】"&amp;_xlfn.XLOOKUP($A244&amp;$B244&amp;$C244,盘货信息!$A:$A&amp;盘货信息!$B:$B&amp;盘货信息!$C:$C,盘货信息!$V:$V))</f>
        <v/>
      </c>
      <c r="O244" s="27" t="str" cm="1">
        <f t="array" ref="O244">IF(_xlfn.XLOOKUP($A244&amp;$B244&amp;$C244,盘货信息!$A:$A&amp;盘货信息!$B:$B&amp;盘货信息!$C:$C,盘货信息!$W:$W)="","","【"&amp;盘货信息!$W$1&amp;"】"&amp;_xlfn.XLOOKUP($A244&amp;$B244&amp;$C244,盘货信息!$A:$A&amp;盘货信息!$B:$B&amp;盘货信息!$C:$C,盘货信息!$W:$W))</f>
        <v/>
      </c>
      <c r="P244" s="27" t="str" cm="1">
        <f t="array" ref="P244">IF(_xlfn.XLOOKUP($A244&amp;$B244&amp;$C244,盘货信息!$A:$A&amp;盘货信息!$B:$B&amp;盘货信息!$C:$C,盘货信息!$S:$S)&lt;1,"","【"&amp;盘货信息!$S$1&amp;"】"&amp;"后返"&amp;_xlfn.XLOOKUP($A244&amp;$B244&amp;$C244,盘货信息!$A:$A&amp;盘货信息!$B:$B&amp;盘货信息!$C:$C,盘货信息!$S:$S)&amp;"元")</f>
        <v/>
      </c>
      <c r="Q244" s="27" t="str" cm="1">
        <f t="array" ref="Q244">IF(_xlfn.XLOOKUP($A244&amp;$B244&amp;$C244,盘货信息!$A:$A&amp;盘货信息!$B:$B&amp;盘货信息!$C:$C,盘货信息!$X:$X)="","","【"&amp;盘货信息!$X$1&amp;"】"&amp;_xlfn.XLOOKUP($A244&amp;$B244&amp;$C244,盘货信息!$A:$A&amp;盘货信息!$B:$B&amp;盘货信息!$C:$C,盘货信息!$X:$X))</f>
        <v/>
      </c>
      <c r="R244" s="27" t="str" cm="1">
        <f t="array" ref="R244">IF(_xlfn.XLOOKUP($A244&amp;$B244&amp;$C244,盘货信息!$A:$A&amp;盘货信息!$B:$B&amp;盘货信息!$C:$C,盘货信息!$Z:$Z)="","","【"&amp;盘货信息!$Z$1&amp;"】"&amp;_xlfn.XLOOKUP($A244&amp;$B244&amp;$C244,盘货信息!$A:$A&amp;盘货信息!$B:$B&amp;盘货信息!$C:$C,盘货信息!$Z:$Z))</f>
        <v/>
      </c>
      <c r="S244" s="27" t="str" cm="1">
        <f t="array" ref="S244">IF(_xlfn.XLOOKUP($A244&amp;$B244&amp;$C244,盘货信息!$A:$A&amp;盘货信息!$B:$B&amp;盘货信息!$C:$C,盘货信息!$Q:$Q)="","","【种草】站外带指定话题种草后返"&amp;_xlfn.XLOOKUP($A244&amp;$B244&amp;$C244,盘货信息!$A:$A&amp;盘货信息!$B:$B&amp;盘货信息!$C:$C,盘货信息!$Q:$Q)&amp;"元红包（每个淘宝账号仅限对应一个站外种草账号，同一个种草账号不可对应多个淘宝账号）")</f>
        <v/>
      </c>
      <c r="T244" s="27" t="str" cm="1">
        <f t="array" ref="T244">IF(_xlfn.XLOOKUP($A244&amp;$B244&amp;$C244,盘货信息!$A:$A&amp;盘货信息!$B:$B&amp;盘货信息!$C:$C,盘货信息!$R:$R)&lt;1,"","【以旧换新】"&amp;"享补贴"&amp;ROUND(_xlfn.XLOOKUP($A244&amp;$B244&amp;$C244,盘货信息!$A:$A&amp;盘货信息!$B:$B&amp;盘货信息!$C:$C,盘货信息!$R:$R),0)&amp;"元（可无旧机换新）")</f>
        <v/>
      </c>
      <c r="U244" s="27" t="str">
        <f>IF(AND($N244="",$O244="",$P244="",$Q244="",$R244="",$S244="",$T244=""),"",固定信息!$B$1)</f>
        <v/>
      </c>
      <c r="V244" s="27" t="str" cm="1">
        <f t="array" ref="V244">IF(_xlfn.XLOOKUP($A244&amp;$B244&amp;$C244,盘货信息!$A:$A&amp;盘货信息!$B:$B&amp;盘货信息!$C:$C,盘货信息!$Y:$Y)="","","【卡萨帝送赠】活动指定时间"&amp;_xlfn.TEXTBEFORE(_xlfn.TEXTAFTER(_xlfn.XLOOKUP($A244&amp;$B244&amp;$C244,盘货信息!$A:$A&amp;盘货信息!$B:$B&amp;盘货信息!$C:$C,盘货信息!$Y:$Y),"点"),"（"))</f>
        <v/>
      </c>
      <c r="W244" s="27" t="str" cm="1">
        <f t="array" ref="W244">IF(COUNTIF(_xlfn.XLOOKUP($A244&amp;$B244&amp;$C244,盘货信息!$A:$A&amp;盘货信息!$B:$B&amp;盘货信息!$C:$C,盘货信息!$O:$O),"*是*"),"【折扣】指定型号满2类享96折，满3类享94折","")</f>
        <v/>
      </c>
      <c r="X244" s="27" t="str" cm="1">
        <f t="array" ref="X244">IF(固定信息!$B$7="","",IF(_xlfn.XLOOKUP($A244&amp;$B244&amp;$C244,盘货信息!$A:$A&amp;盘货信息!$B:$B&amp;盘货信息!$C:$C,盘货信息!$N:$N)="是","【瓜分】"&amp;固定信息!$B$7,""))</f>
        <v/>
      </c>
      <c r="Y244" s="27" t="str">
        <f>IF(AND($V244="",$W244="",$X244=""),"",固定信息!$B$1)</f>
        <v/>
      </c>
      <c r="Z244" s="27" t="str" cm="1">
        <f t="array" ref="Z244">IF($C244="","",_xlfn.XLOOKUP($A244&amp;$B244&amp;$C244,服务!$A:$A&amp;服务!$B:$B&amp;服务!$C:$C,服务!$D:$D))</f>
        <v/>
      </c>
    </row>
    <row r="245" customHeight="1" spans="1:26">
      <c r="A245" s="23" t="str">
        <f>IF(盘货信息!A245="","",盘货信息!A245)</f>
        <v/>
      </c>
      <c r="B245" s="26" t="str">
        <f>IF(盘货信息!B245="","",盘货信息!B245)</f>
        <v/>
      </c>
      <c r="C245" s="23" t="str">
        <f>IF(盘货信息!C245="","",盘货信息!C245)</f>
        <v/>
      </c>
      <c r="D245" s="27" t="str">
        <f ca="1" t="shared" si="3"/>
        <v/>
      </c>
      <c r="E245" s="27" t="str">
        <f>IF(C245="","",固定信息!$B$2)</f>
        <v/>
      </c>
      <c r="F245" s="27" t="str">
        <f>IF(C245="","","【"&amp;C245&amp;"】"&amp;固定信息!$B$4)</f>
        <v/>
      </c>
      <c r="G245" s="27" t="str">
        <f>IF(C245="","","【"&amp;"活动时间："&amp;固定信息!$B$3&amp;"】")</f>
        <v/>
      </c>
      <c r="H245" s="27" t="str">
        <f>IF($C245="","",固定信息!$B$1)</f>
        <v/>
      </c>
      <c r="I245" s="27" t="str">
        <f>IF(OR(C245="",固定信息!$B$5=""),"","【1元预约锁好礼】"&amp;固定信息!$B$5)</f>
        <v/>
      </c>
      <c r="J245" s="27" t="str" cm="1">
        <f t="array" ref="J245">_xlfn.XLOOKUP($A245&amp;$B245&amp;$C245,价格信息!$A:$A&amp;价格信息!$B:$B&amp;价格信息!$C:$C,价格信息!$D:$D)</f>
        <v/>
      </c>
      <c r="K245" s="27" t="str">
        <f>IF($C245="","",固定信息!$B$1)</f>
        <v/>
      </c>
      <c r="L245" s="27" t="str" cm="1">
        <f t="array" ref="L245">IF(_xlfn.XLOOKUP($A245&amp;$B245&amp;$C245,盘货信息!$A:$A&amp;盘货信息!$B:$B&amp;盘货信息!$C:$C,盘货信息!$T:$T)="","","【优惠券】领"&amp;_xlfn.XLOOKUP($A245&amp;$B245&amp;$C245,盘货信息!$A:$A&amp;盘货信息!$B:$B&amp;盘货信息!$C:$C,盘货信息!$T:$T)&amp;"元优惠卷下单更优惠，领券链接："&amp;_xlfn.XLOOKUP($A245&amp;$B245&amp;$C245,盘货信息!$A:$A&amp;盘货信息!$B:$B&amp;盘货信息!$C:$C,盘货信息!$U:$U))</f>
        <v/>
      </c>
      <c r="M245" s="27" t="str" cm="1">
        <f t="array" ref="M245">IF(_xlfn.XLOOKUP($A245&amp;$B245&amp;$C245,盘货信息!$A:$A&amp;盘货信息!$B:$B&amp;盘货信息!$C:$C,盘货信息!$P:$P)="","","【限时】"&amp;_xlfn.XLOOKUP($A245&amp;$B245&amp;$C245,盘货信息!$A:$A&amp;盘货信息!$B:$B&amp;盘货信息!$C:$C,盘货信息!$P:$P))</f>
        <v/>
      </c>
      <c r="N245" s="27" t="str" cm="1">
        <f t="array" ref="N245">IF(_xlfn.XLOOKUP($A245&amp;$B245&amp;$C245,盘货信息!$A:$A&amp;盘货信息!$B:$B&amp;盘货信息!$C:$C,盘货信息!$V:$V)="","","【"&amp;盘货信息!$V$1&amp;"】"&amp;_xlfn.XLOOKUP($A245&amp;$B245&amp;$C245,盘货信息!$A:$A&amp;盘货信息!$B:$B&amp;盘货信息!$C:$C,盘货信息!$V:$V))</f>
        <v/>
      </c>
      <c r="O245" s="27" t="str" cm="1">
        <f t="array" ref="O245">IF(_xlfn.XLOOKUP($A245&amp;$B245&amp;$C245,盘货信息!$A:$A&amp;盘货信息!$B:$B&amp;盘货信息!$C:$C,盘货信息!$W:$W)="","","【"&amp;盘货信息!$W$1&amp;"】"&amp;_xlfn.XLOOKUP($A245&amp;$B245&amp;$C245,盘货信息!$A:$A&amp;盘货信息!$B:$B&amp;盘货信息!$C:$C,盘货信息!$W:$W))</f>
        <v/>
      </c>
      <c r="P245" s="27" t="str" cm="1">
        <f t="array" ref="P245">IF(_xlfn.XLOOKUP($A245&amp;$B245&amp;$C245,盘货信息!$A:$A&amp;盘货信息!$B:$B&amp;盘货信息!$C:$C,盘货信息!$S:$S)&lt;1,"","【"&amp;盘货信息!$S$1&amp;"】"&amp;"后返"&amp;_xlfn.XLOOKUP($A245&amp;$B245&amp;$C245,盘货信息!$A:$A&amp;盘货信息!$B:$B&amp;盘货信息!$C:$C,盘货信息!$S:$S)&amp;"元")</f>
        <v/>
      </c>
      <c r="Q245" s="27" t="str" cm="1">
        <f t="array" ref="Q245">IF(_xlfn.XLOOKUP($A245&amp;$B245&amp;$C245,盘货信息!$A:$A&amp;盘货信息!$B:$B&amp;盘货信息!$C:$C,盘货信息!$X:$X)="","","【"&amp;盘货信息!$X$1&amp;"】"&amp;_xlfn.XLOOKUP($A245&amp;$B245&amp;$C245,盘货信息!$A:$A&amp;盘货信息!$B:$B&amp;盘货信息!$C:$C,盘货信息!$X:$X))</f>
        <v/>
      </c>
      <c r="R245" s="27" t="str" cm="1">
        <f t="array" ref="R245">IF(_xlfn.XLOOKUP($A245&amp;$B245&amp;$C245,盘货信息!$A:$A&amp;盘货信息!$B:$B&amp;盘货信息!$C:$C,盘货信息!$Z:$Z)="","","【"&amp;盘货信息!$Z$1&amp;"】"&amp;_xlfn.XLOOKUP($A245&amp;$B245&amp;$C245,盘货信息!$A:$A&amp;盘货信息!$B:$B&amp;盘货信息!$C:$C,盘货信息!$Z:$Z))</f>
        <v/>
      </c>
      <c r="S245" s="27" t="str" cm="1">
        <f t="array" ref="S245">IF(_xlfn.XLOOKUP($A245&amp;$B245&amp;$C245,盘货信息!$A:$A&amp;盘货信息!$B:$B&amp;盘货信息!$C:$C,盘货信息!$Q:$Q)="","","【种草】站外带指定话题种草后返"&amp;_xlfn.XLOOKUP($A245&amp;$B245&amp;$C245,盘货信息!$A:$A&amp;盘货信息!$B:$B&amp;盘货信息!$C:$C,盘货信息!$Q:$Q)&amp;"元红包（每个淘宝账号仅限对应一个站外种草账号，同一个种草账号不可对应多个淘宝账号）")</f>
        <v/>
      </c>
      <c r="T245" s="27" t="str" cm="1">
        <f t="array" ref="T245">IF(_xlfn.XLOOKUP($A245&amp;$B245&amp;$C245,盘货信息!$A:$A&amp;盘货信息!$B:$B&amp;盘货信息!$C:$C,盘货信息!$R:$R)&lt;1,"","【以旧换新】"&amp;"享补贴"&amp;ROUND(_xlfn.XLOOKUP($A245&amp;$B245&amp;$C245,盘货信息!$A:$A&amp;盘货信息!$B:$B&amp;盘货信息!$C:$C,盘货信息!$R:$R),0)&amp;"元（可无旧机换新）")</f>
        <v/>
      </c>
      <c r="U245" s="27" t="str">
        <f>IF(AND($N245="",$O245="",$P245="",$Q245="",$R245="",$S245="",$T245=""),"",固定信息!$B$1)</f>
        <v/>
      </c>
      <c r="V245" s="27" t="str" cm="1">
        <f t="array" ref="V245">IF(_xlfn.XLOOKUP($A245&amp;$B245&amp;$C245,盘货信息!$A:$A&amp;盘货信息!$B:$B&amp;盘货信息!$C:$C,盘货信息!$Y:$Y)="","","【卡萨帝送赠】活动指定时间"&amp;_xlfn.TEXTBEFORE(_xlfn.TEXTAFTER(_xlfn.XLOOKUP($A245&amp;$B245&amp;$C245,盘货信息!$A:$A&amp;盘货信息!$B:$B&amp;盘货信息!$C:$C,盘货信息!$Y:$Y),"点"),"（"))</f>
        <v/>
      </c>
      <c r="W245" s="27" t="str" cm="1">
        <f t="array" ref="W245">IF(COUNTIF(_xlfn.XLOOKUP($A245&amp;$B245&amp;$C245,盘货信息!$A:$A&amp;盘货信息!$B:$B&amp;盘货信息!$C:$C,盘货信息!$O:$O),"*是*"),"【折扣】指定型号满2类享96折，满3类享94折","")</f>
        <v/>
      </c>
      <c r="X245" s="27" t="str" cm="1">
        <f t="array" ref="X245">IF(固定信息!$B$7="","",IF(_xlfn.XLOOKUP($A245&amp;$B245&amp;$C245,盘货信息!$A:$A&amp;盘货信息!$B:$B&amp;盘货信息!$C:$C,盘货信息!$N:$N)="是","【瓜分】"&amp;固定信息!$B$7,""))</f>
        <v/>
      </c>
      <c r="Y245" s="27" t="str">
        <f>IF(AND($V245="",$W245="",$X245=""),"",固定信息!$B$1)</f>
        <v/>
      </c>
      <c r="Z245" s="27" t="str" cm="1">
        <f t="array" ref="Z245">IF($C245="","",_xlfn.XLOOKUP($A245&amp;$B245&amp;$C245,服务!$A:$A&amp;服务!$B:$B&amp;服务!$C:$C,服务!$D:$D))</f>
        <v/>
      </c>
    </row>
    <row r="246" customHeight="1" spans="1:26">
      <c r="A246" s="23" t="str">
        <f>IF(盘货信息!A246="","",盘货信息!A246)</f>
        <v/>
      </c>
      <c r="B246" s="26" t="str">
        <f>IF(盘货信息!B246="","",盘货信息!B246)</f>
        <v/>
      </c>
      <c r="C246" s="23" t="str">
        <f>IF(盘货信息!C246="","",盘货信息!C246)</f>
        <v/>
      </c>
      <c r="D246" s="27" t="str">
        <f ca="1" t="shared" si="3"/>
        <v/>
      </c>
      <c r="E246" s="27" t="str">
        <f>IF(C246="","",固定信息!$B$2)</f>
        <v/>
      </c>
      <c r="F246" s="27" t="str">
        <f>IF(C246="","","【"&amp;C246&amp;"】"&amp;固定信息!$B$4)</f>
        <v/>
      </c>
      <c r="G246" s="27" t="str">
        <f>IF(C246="","","【"&amp;"活动时间："&amp;固定信息!$B$3&amp;"】")</f>
        <v/>
      </c>
      <c r="H246" s="27" t="str">
        <f>IF($C246="","",固定信息!$B$1)</f>
        <v/>
      </c>
      <c r="I246" s="27" t="str">
        <f>IF(OR(C246="",固定信息!$B$5=""),"","【1元预约锁好礼】"&amp;固定信息!$B$5)</f>
        <v/>
      </c>
      <c r="J246" s="27" t="str" cm="1">
        <f t="array" ref="J246">_xlfn.XLOOKUP($A246&amp;$B246&amp;$C246,价格信息!$A:$A&amp;价格信息!$B:$B&amp;价格信息!$C:$C,价格信息!$D:$D)</f>
        <v/>
      </c>
      <c r="K246" s="27" t="str">
        <f>IF($C246="","",固定信息!$B$1)</f>
        <v/>
      </c>
      <c r="L246" s="27" t="str" cm="1">
        <f t="array" ref="L246">IF(_xlfn.XLOOKUP($A246&amp;$B246&amp;$C246,盘货信息!$A:$A&amp;盘货信息!$B:$B&amp;盘货信息!$C:$C,盘货信息!$T:$T)="","","【优惠券】领"&amp;_xlfn.XLOOKUP($A246&amp;$B246&amp;$C246,盘货信息!$A:$A&amp;盘货信息!$B:$B&amp;盘货信息!$C:$C,盘货信息!$T:$T)&amp;"元优惠卷下单更优惠，领券链接："&amp;_xlfn.XLOOKUP($A246&amp;$B246&amp;$C246,盘货信息!$A:$A&amp;盘货信息!$B:$B&amp;盘货信息!$C:$C,盘货信息!$U:$U))</f>
        <v/>
      </c>
      <c r="M246" s="27" t="str" cm="1">
        <f t="array" ref="M246">IF(_xlfn.XLOOKUP($A246&amp;$B246&amp;$C246,盘货信息!$A:$A&amp;盘货信息!$B:$B&amp;盘货信息!$C:$C,盘货信息!$P:$P)="","","【限时】"&amp;_xlfn.XLOOKUP($A246&amp;$B246&amp;$C246,盘货信息!$A:$A&amp;盘货信息!$B:$B&amp;盘货信息!$C:$C,盘货信息!$P:$P))</f>
        <v/>
      </c>
      <c r="N246" s="27" t="str" cm="1">
        <f t="array" ref="N246">IF(_xlfn.XLOOKUP($A246&amp;$B246&amp;$C246,盘货信息!$A:$A&amp;盘货信息!$B:$B&amp;盘货信息!$C:$C,盘货信息!$V:$V)="","","【"&amp;盘货信息!$V$1&amp;"】"&amp;_xlfn.XLOOKUP($A246&amp;$B246&amp;$C246,盘货信息!$A:$A&amp;盘货信息!$B:$B&amp;盘货信息!$C:$C,盘货信息!$V:$V))</f>
        <v/>
      </c>
      <c r="O246" s="27" t="str" cm="1">
        <f t="array" ref="O246">IF(_xlfn.XLOOKUP($A246&amp;$B246&amp;$C246,盘货信息!$A:$A&amp;盘货信息!$B:$B&amp;盘货信息!$C:$C,盘货信息!$W:$W)="","","【"&amp;盘货信息!$W$1&amp;"】"&amp;_xlfn.XLOOKUP($A246&amp;$B246&amp;$C246,盘货信息!$A:$A&amp;盘货信息!$B:$B&amp;盘货信息!$C:$C,盘货信息!$W:$W))</f>
        <v/>
      </c>
      <c r="P246" s="27" t="str" cm="1">
        <f t="array" ref="P246">IF(_xlfn.XLOOKUP($A246&amp;$B246&amp;$C246,盘货信息!$A:$A&amp;盘货信息!$B:$B&amp;盘货信息!$C:$C,盘货信息!$S:$S)&lt;1,"","【"&amp;盘货信息!$S$1&amp;"】"&amp;"后返"&amp;_xlfn.XLOOKUP($A246&amp;$B246&amp;$C246,盘货信息!$A:$A&amp;盘货信息!$B:$B&amp;盘货信息!$C:$C,盘货信息!$S:$S)&amp;"元")</f>
        <v/>
      </c>
      <c r="Q246" s="27" t="str" cm="1">
        <f t="array" ref="Q246">IF(_xlfn.XLOOKUP($A246&amp;$B246&amp;$C246,盘货信息!$A:$A&amp;盘货信息!$B:$B&amp;盘货信息!$C:$C,盘货信息!$X:$X)="","","【"&amp;盘货信息!$X$1&amp;"】"&amp;_xlfn.XLOOKUP($A246&amp;$B246&amp;$C246,盘货信息!$A:$A&amp;盘货信息!$B:$B&amp;盘货信息!$C:$C,盘货信息!$X:$X))</f>
        <v/>
      </c>
      <c r="R246" s="27" t="str" cm="1">
        <f t="array" ref="R246">IF(_xlfn.XLOOKUP($A246&amp;$B246&amp;$C246,盘货信息!$A:$A&amp;盘货信息!$B:$B&amp;盘货信息!$C:$C,盘货信息!$Z:$Z)="","","【"&amp;盘货信息!$Z$1&amp;"】"&amp;_xlfn.XLOOKUP($A246&amp;$B246&amp;$C246,盘货信息!$A:$A&amp;盘货信息!$B:$B&amp;盘货信息!$C:$C,盘货信息!$Z:$Z))</f>
        <v/>
      </c>
      <c r="S246" s="27" t="str" cm="1">
        <f t="array" ref="S246">IF(_xlfn.XLOOKUP($A246&amp;$B246&amp;$C246,盘货信息!$A:$A&amp;盘货信息!$B:$B&amp;盘货信息!$C:$C,盘货信息!$Q:$Q)="","","【种草】站外带指定话题种草后返"&amp;_xlfn.XLOOKUP($A246&amp;$B246&amp;$C246,盘货信息!$A:$A&amp;盘货信息!$B:$B&amp;盘货信息!$C:$C,盘货信息!$Q:$Q)&amp;"元红包（每个淘宝账号仅限对应一个站外种草账号，同一个种草账号不可对应多个淘宝账号）")</f>
        <v/>
      </c>
      <c r="T246" s="27" t="str" cm="1">
        <f t="array" ref="T246">IF(_xlfn.XLOOKUP($A246&amp;$B246&amp;$C246,盘货信息!$A:$A&amp;盘货信息!$B:$B&amp;盘货信息!$C:$C,盘货信息!$R:$R)&lt;1,"","【以旧换新】"&amp;"享补贴"&amp;ROUND(_xlfn.XLOOKUP($A246&amp;$B246&amp;$C246,盘货信息!$A:$A&amp;盘货信息!$B:$B&amp;盘货信息!$C:$C,盘货信息!$R:$R),0)&amp;"元（可无旧机换新）")</f>
        <v/>
      </c>
      <c r="U246" s="27" t="str">
        <f>IF(AND($N246="",$O246="",$P246="",$Q246="",$R246="",$S246="",$T246=""),"",固定信息!$B$1)</f>
        <v/>
      </c>
      <c r="V246" s="27" t="str" cm="1">
        <f t="array" ref="V246">IF(_xlfn.XLOOKUP($A246&amp;$B246&amp;$C246,盘货信息!$A:$A&amp;盘货信息!$B:$B&amp;盘货信息!$C:$C,盘货信息!$Y:$Y)="","","【卡萨帝送赠】活动指定时间"&amp;_xlfn.TEXTBEFORE(_xlfn.TEXTAFTER(_xlfn.XLOOKUP($A246&amp;$B246&amp;$C246,盘货信息!$A:$A&amp;盘货信息!$B:$B&amp;盘货信息!$C:$C,盘货信息!$Y:$Y),"点"),"（"))</f>
        <v/>
      </c>
      <c r="W246" s="27" t="str" cm="1">
        <f t="array" ref="W246">IF(COUNTIF(_xlfn.XLOOKUP($A246&amp;$B246&amp;$C246,盘货信息!$A:$A&amp;盘货信息!$B:$B&amp;盘货信息!$C:$C,盘货信息!$O:$O),"*是*"),"【折扣】指定型号满2类享96折，满3类享94折","")</f>
        <v/>
      </c>
      <c r="X246" s="27" t="str" cm="1">
        <f t="array" ref="X246">IF(固定信息!$B$7="","",IF(_xlfn.XLOOKUP($A246&amp;$B246&amp;$C246,盘货信息!$A:$A&amp;盘货信息!$B:$B&amp;盘货信息!$C:$C,盘货信息!$N:$N)="是","【瓜分】"&amp;固定信息!$B$7,""))</f>
        <v/>
      </c>
      <c r="Y246" s="27" t="str">
        <f>IF(AND($V246="",$W246="",$X246=""),"",固定信息!$B$1)</f>
        <v/>
      </c>
      <c r="Z246" s="27" t="str" cm="1">
        <f t="array" ref="Z246">IF($C246="","",_xlfn.XLOOKUP($A246&amp;$B246&amp;$C246,服务!$A:$A&amp;服务!$B:$B&amp;服务!$C:$C,服务!$D:$D))</f>
        <v/>
      </c>
    </row>
    <row r="247" customHeight="1" spans="1:26">
      <c r="A247" s="23" t="str">
        <f>IF(盘货信息!A247="","",盘货信息!A247)</f>
        <v/>
      </c>
      <c r="B247" s="26" t="str">
        <f>IF(盘货信息!B247="","",盘货信息!B247)</f>
        <v/>
      </c>
      <c r="C247" s="23" t="str">
        <f>IF(盘货信息!C247="","",盘货信息!C247)</f>
        <v/>
      </c>
      <c r="D247" s="27" t="str">
        <f ca="1" t="shared" si="3"/>
        <v/>
      </c>
      <c r="E247" s="27" t="str">
        <f>IF(C247="","",固定信息!$B$2)</f>
        <v/>
      </c>
      <c r="F247" s="27" t="str">
        <f>IF(C247="","","【"&amp;C247&amp;"】"&amp;固定信息!$B$4)</f>
        <v/>
      </c>
      <c r="G247" s="27" t="str">
        <f>IF(C247="","","【"&amp;"活动时间："&amp;固定信息!$B$3&amp;"】")</f>
        <v/>
      </c>
      <c r="H247" s="27" t="str">
        <f>IF($C247="","",固定信息!$B$1)</f>
        <v/>
      </c>
      <c r="I247" s="27" t="str">
        <f>IF(OR(C247="",固定信息!$B$5=""),"","【1元预约锁好礼】"&amp;固定信息!$B$5)</f>
        <v/>
      </c>
      <c r="J247" s="27" t="str" cm="1">
        <f t="array" ref="J247">_xlfn.XLOOKUP($A247&amp;$B247&amp;$C247,价格信息!$A:$A&amp;价格信息!$B:$B&amp;价格信息!$C:$C,价格信息!$D:$D)</f>
        <v/>
      </c>
      <c r="K247" s="27" t="str">
        <f>IF($C247="","",固定信息!$B$1)</f>
        <v/>
      </c>
      <c r="L247" s="27" t="str" cm="1">
        <f t="array" ref="L247">IF(_xlfn.XLOOKUP($A247&amp;$B247&amp;$C247,盘货信息!$A:$A&amp;盘货信息!$B:$B&amp;盘货信息!$C:$C,盘货信息!$T:$T)="","","【优惠券】领"&amp;_xlfn.XLOOKUP($A247&amp;$B247&amp;$C247,盘货信息!$A:$A&amp;盘货信息!$B:$B&amp;盘货信息!$C:$C,盘货信息!$T:$T)&amp;"元优惠卷下单更优惠，领券链接："&amp;_xlfn.XLOOKUP($A247&amp;$B247&amp;$C247,盘货信息!$A:$A&amp;盘货信息!$B:$B&amp;盘货信息!$C:$C,盘货信息!$U:$U))</f>
        <v/>
      </c>
      <c r="M247" s="27" t="str" cm="1">
        <f t="array" ref="M247">IF(_xlfn.XLOOKUP($A247&amp;$B247&amp;$C247,盘货信息!$A:$A&amp;盘货信息!$B:$B&amp;盘货信息!$C:$C,盘货信息!$P:$P)="","","【限时】"&amp;_xlfn.XLOOKUP($A247&amp;$B247&amp;$C247,盘货信息!$A:$A&amp;盘货信息!$B:$B&amp;盘货信息!$C:$C,盘货信息!$P:$P))</f>
        <v/>
      </c>
      <c r="N247" s="27" t="str" cm="1">
        <f t="array" ref="N247">IF(_xlfn.XLOOKUP($A247&amp;$B247&amp;$C247,盘货信息!$A:$A&amp;盘货信息!$B:$B&amp;盘货信息!$C:$C,盘货信息!$V:$V)="","","【"&amp;盘货信息!$V$1&amp;"】"&amp;_xlfn.XLOOKUP($A247&amp;$B247&amp;$C247,盘货信息!$A:$A&amp;盘货信息!$B:$B&amp;盘货信息!$C:$C,盘货信息!$V:$V))</f>
        <v/>
      </c>
      <c r="O247" s="27" t="str" cm="1">
        <f t="array" ref="O247">IF(_xlfn.XLOOKUP($A247&amp;$B247&amp;$C247,盘货信息!$A:$A&amp;盘货信息!$B:$B&amp;盘货信息!$C:$C,盘货信息!$W:$W)="","","【"&amp;盘货信息!$W$1&amp;"】"&amp;_xlfn.XLOOKUP($A247&amp;$B247&amp;$C247,盘货信息!$A:$A&amp;盘货信息!$B:$B&amp;盘货信息!$C:$C,盘货信息!$W:$W))</f>
        <v/>
      </c>
      <c r="P247" s="27" t="str" cm="1">
        <f t="array" ref="P247">IF(_xlfn.XLOOKUP($A247&amp;$B247&amp;$C247,盘货信息!$A:$A&amp;盘货信息!$B:$B&amp;盘货信息!$C:$C,盘货信息!$S:$S)&lt;1,"","【"&amp;盘货信息!$S$1&amp;"】"&amp;"后返"&amp;_xlfn.XLOOKUP($A247&amp;$B247&amp;$C247,盘货信息!$A:$A&amp;盘货信息!$B:$B&amp;盘货信息!$C:$C,盘货信息!$S:$S)&amp;"元")</f>
        <v/>
      </c>
      <c r="Q247" s="27" t="str" cm="1">
        <f t="array" ref="Q247">IF(_xlfn.XLOOKUP($A247&amp;$B247&amp;$C247,盘货信息!$A:$A&amp;盘货信息!$B:$B&amp;盘货信息!$C:$C,盘货信息!$X:$X)="","","【"&amp;盘货信息!$X$1&amp;"】"&amp;_xlfn.XLOOKUP($A247&amp;$B247&amp;$C247,盘货信息!$A:$A&amp;盘货信息!$B:$B&amp;盘货信息!$C:$C,盘货信息!$X:$X))</f>
        <v/>
      </c>
      <c r="R247" s="27" t="str" cm="1">
        <f t="array" ref="R247">IF(_xlfn.XLOOKUP($A247&amp;$B247&amp;$C247,盘货信息!$A:$A&amp;盘货信息!$B:$B&amp;盘货信息!$C:$C,盘货信息!$Z:$Z)="","","【"&amp;盘货信息!$Z$1&amp;"】"&amp;_xlfn.XLOOKUP($A247&amp;$B247&amp;$C247,盘货信息!$A:$A&amp;盘货信息!$B:$B&amp;盘货信息!$C:$C,盘货信息!$Z:$Z))</f>
        <v/>
      </c>
      <c r="S247" s="27" t="str" cm="1">
        <f t="array" ref="S247">IF(_xlfn.XLOOKUP($A247&amp;$B247&amp;$C247,盘货信息!$A:$A&amp;盘货信息!$B:$B&amp;盘货信息!$C:$C,盘货信息!$Q:$Q)="","","【种草】站外带指定话题种草后返"&amp;_xlfn.XLOOKUP($A247&amp;$B247&amp;$C247,盘货信息!$A:$A&amp;盘货信息!$B:$B&amp;盘货信息!$C:$C,盘货信息!$Q:$Q)&amp;"元红包（每个淘宝账号仅限对应一个站外种草账号，同一个种草账号不可对应多个淘宝账号）")</f>
        <v/>
      </c>
      <c r="T247" s="27" t="str" cm="1">
        <f t="array" ref="T247">IF(_xlfn.XLOOKUP($A247&amp;$B247&amp;$C247,盘货信息!$A:$A&amp;盘货信息!$B:$B&amp;盘货信息!$C:$C,盘货信息!$R:$R)&lt;1,"","【以旧换新】"&amp;"享补贴"&amp;ROUND(_xlfn.XLOOKUP($A247&amp;$B247&amp;$C247,盘货信息!$A:$A&amp;盘货信息!$B:$B&amp;盘货信息!$C:$C,盘货信息!$R:$R),0)&amp;"元（可无旧机换新）")</f>
        <v/>
      </c>
      <c r="U247" s="27" t="str">
        <f>IF(AND($N247="",$O247="",$P247="",$Q247="",$R247="",$S247="",$T247=""),"",固定信息!$B$1)</f>
        <v/>
      </c>
      <c r="V247" s="27" t="str" cm="1">
        <f t="array" ref="V247">IF(_xlfn.XLOOKUP($A247&amp;$B247&amp;$C247,盘货信息!$A:$A&amp;盘货信息!$B:$B&amp;盘货信息!$C:$C,盘货信息!$Y:$Y)="","","【卡萨帝送赠】活动指定时间"&amp;_xlfn.TEXTBEFORE(_xlfn.TEXTAFTER(_xlfn.XLOOKUP($A247&amp;$B247&amp;$C247,盘货信息!$A:$A&amp;盘货信息!$B:$B&amp;盘货信息!$C:$C,盘货信息!$Y:$Y),"点"),"（"))</f>
        <v/>
      </c>
      <c r="W247" s="27" t="str" cm="1">
        <f t="array" ref="W247">IF(COUNTIF(_xlfn.XLOOKUP($A247&amp;$B247&amp;$C247,盘货信息!$A:$A&amp;盘货信息!$B:$B&amp;盘货信息!$C:$C,盘货信息!$O:$O),"*是*"),"【折扣】指定型号满2类享96折，满3类享94折","")</f>
        <v/>
      </c>
      <c r="X247" s="27" t="str" cm="1">
        <f t="array" ref="X247">IF(固定信息!$B$7="","",IF(_xlfn.XLOOKUP($A247&amp;$B247&amp;$C247,盘货信息!$A:$A&amp;盘货信息!$B:$B&amp;盘货信息!$C:$C,盘货信息!$N:$N)="是","【瓜分】"&amp;固定信息!$B$7,""))</f>
        <v/>
      </c>
      <c r="Y247" s="27" t="str">
        <f>IF(AND($V247="",$W247="",$X247=""),"",固定信息!$B$1)</f>
        <v/>
      </c>
      <c r="Z247" s="27" t="str" cm="1">
        <f t="array" ref="Z247">IF($C247="","",_xlfn.XLOOKUP($A247&amp;$B247&amp;$C247,服务!$A:$A&amp;服务!$B:$B&amp;服务!$C:$C,服务!$D:$D))</f>
        <v/>
      </c>
    </row>
    <row r="248" customHeight="1" spans="1:26">
      <c r="A248" s="23" t="str">
        <f>IF(盘货信息!A248="","",盘货信息!A248)</f>
        <v/>
      </c>
      <c r="B248" s="26" t="str">
        <f>IF(盘货信息!B248="","",盘货信息!B248)</f>
        <v/>
      </c>
      <c r="C248" s="23" t="str">
        <f>IF(盘货信息!C248="","",盘货信息!C248)</f>
        <v/>
      </c>
      <c r="D248" s="27" t="str">
        <f ca="1" t="shared" si="3"/>
        <v/>
      </c>
      <c r="E248" s="27" t="str">
        <f>IF(C248="","",固定信息!$B$2)</f>
        <v/>
      </c>
      <c r="F248" s="27" t="str">
        <f>IF(C248="","","【"&amp;C248&amp;"】"&amp;固定信息!$B$4)</f>
        <v/>
      </c>
      <c r="G248" s="27" t="str">
        <f>IF(C248="","","【"&amp;"活动时间："&amp;固定信息!$B$3&amp;"】")</f>
        <v/>
      </c>
      <c r="H248" s="27" t="str">
        <f>IF($C248="","",固定信息!$B$1)</f>
        <v/>
      </c>
      <c r="I248" s="27" t="str">
        <f>IF(OR(C248="",固定信息!$B$5=""),"","【1元预约锁好礼】"&amp;固定信息!$B$5)</f>
        <v/>
      </c>
      <c r="J248" s="27" t="str" cm="1">
        <f t="array" ref="J248">_xlfn.XLOOKUP($A248&amp;$B248&amp;$C248,价格信息!$A:$A&amp;价格信息!$B:$B&amp;价格信息!$C:$C,价格信息!$D:$D)</f>
        <v/>
      </c>
      <c r="K248" s="27" t="str">
        <f>IF($C248="","",固定信息!$B$1)</f>
        <v/>
      </c>
      <c r="L248" s="27" t="str" cm="1">
        <f t="array" ref="L248">IF(_xlfn.XLOOKUP($A248&amp;$B248&amp;$C248,盘货信息!$A:$A&amp;盘货信息!$B:$B&amp;盘货信息!$C:$C,盘货信息!$T:$T)="","","【优惠券】领"&amp;_xlfn.XLOOKUP($A248&amp;$B248&amp;$C248,盘货信息!$A:$A&amp;盘货信息!$B:$B&amp;盘货信息!$C:$C,盘货信息!$T:$T)&amp;"元优惠卷下单更优惠，领券链接："&amp;_xlfn.XLOOKUP($A248&amp;$B248&amp;$C248,盘货信息!$A:$A&amp;盘货信息!$B:$B&amp;盘货信息!$C:$C,盘货信息!$U:$U))</f>
        <v/>
      </c>
      <c r="M248" s="27" t="str" cm="1">
        <f t="array" ref="M248">IF(_xlfn.XLOOKUP($A248&amp;$B248&amp;$C248,盘货信息!$A:$A&amp;盘货信息!$B:$B&amp;盘货信息!$C:$C,盘货信息!$P:$P)="","","【限时】"&amp;_xlfn.XLOOKUP($A248&amp;$B248&amp;$C248,盘货信息!$A:$A&amp;盘货信息!$B:$B&amp;盘货信息!$C:$C,盘货信息!$P:$P))</f>
        <v/>
      </c>
      <c r="N248" s="27" t="str" cm="1">
        <f t="array" ref="N248">IF(_xlfn.XLOOKUP($A248&amp;$B248&amp;$C248,盘货信息!$A:$A&amp;盘货信息!$B:$B&amp;盘货信息!$C:$C,盘货信息!$V:$V)="","","【"&amp;盘货信息!$V$1&amp;"】"&amp;_xlfn.XLOOKUP($A248&amp;$B248&amp;$C248,盘货信息!$A:$A&amp;盘货信息!$B:$B&amp;盘货信息!$C:$C,盘货信息!$V:$V))</f>
        <v/>
      </c>
      <c r="O248" s="27" t="str" cm="1">
        <f t="array" ref="O248">IF(_xlfn.XLOOKUP($A248&amp;$B248&amp;$C248,盘货信息!$A:$A&amp;盘货信息!$B:$B&amp;盘货信息!$C:$C,盘货信息!$W:$W)="","","【"&amp;盘货信息!$W$1&amp;"】"&amp;_xlfn.XLOOKUP($A248&amp;$B248&amp;$C248,盘货信息!$A:$A&amp;盘货信息!$B:$B&amp;盘货信息!$C:$C,盘货信息!$W:$W))</f>
        <v/>
      </c>
      <c r="P248" s="27" t="str" cm="1">
        <f t="array" ref="P248">IF(_xlfn.XLOOKUP($A248&amp;$B248&amp;$C248,盘货信息!$A:$A&amp;盘货信息!$B:$B&amp;盘货信息!$C:$C,盘货信息!$S:$S)&lt;1,"","【"&amp;盘货信息!$S$1&amp;"】"&amp;"后返"&amp;_xlfn.XLOOKUP($A248&amp;$B248&amp;$C248,盘货信息!$A:$A&amp;盘货信息!$B:$B&amp;盘货信息!$C:$C,盘货信息!$S:$S)&amp;"元")</f>
        <v/>
      </c>
      <c r="Q248" s="27" t="str" cm="1">
        <f t="array" ref="Q248">IF(_xlfn.XLOOKUP($A248&amp;$B248&amp;$C248,盘货信息!$A:$A&amp;盘货信息!$B:$B&amp;盘货信息!$C:$C,盘货信息!$X:$X)="","","【"&amp;盘货信息!$X$1&amp;"】"&amp;_xlfn.XLOOKUP($A248&amp;$B248&amp;$C248,盘货信息!$A:$A&amp;盘货信息!$B:$B&amp;盘货信息!$C:$C,盘货信息!$X:$X))</f>
        <v/>
      </c>
      <c r="R248" s="27" t="str" cm="1">
        <f t="array" ref="R248">IF(_xlfn.XLOOKUP($A248&amp;$B248&amp;$C248,盘货信息!$A:$A&amp;盘货信息!$B:$B&amp;盘货信息!$C:$C,盘货信息!$Z:$Z)="","","【"&amp;盘货信息!$Z$1&amp;"】"&amp;_xlfn.XLOOKUP($A248&amp;$B248&amp;$C248,盘货信息!$A:$A&amp;盘货信息!$B:$B&amp;盘货信息!$C:$C,盘货信息!$Z:$Z))</f>
        <v/>
      </c>
      <c r="S248" s="27" t="str" cm="1">
        <f t="array" ref="S248">IF(_xlfn.XLOOKUP($A248&amp;$B248&amp;$C248,盘货信息!$A:$A&amp;盘货信息!$B:$B&amp;盘货信息!$C:$C,盘货信息!$Q:$Q)="","","【种草】站外带指定话题种草后返"&amp;_xlfn.XLOOKUP($A248&amp;$B248&amp;$C248,盘货信息!$A:$A&amp;盘货信息!$B:$B&amp;盘货信息!$C:$C,盘货信息!$Q:$Q)&amp;"元红包（每个淘宝账号仅限对应一个站外种草账号，同一个种草账号不可对应多个淘宝账号）")</f>
        <v/>
      </c>
      <c r="T248" s="27" t="str" cm="1">
        <f t="array" ref="T248">IF(_xlfn.XLOOKUP($A248&amp;$B248&amp;$C248,盘货信息!$A:$A&amp;盘货信息!$B:$B&amp;盘货信息!$C:$C,盘货信息!$R:$R)&lt;1,"","【以旧换新】"&amp;"享补贴"&amp;ROUND(_xlfn.XLOOKUP($A248&amp;$B248&amp;$C248,盘货信息!$A:$A&amp;盘货信息!$B:$B&amp;盘货信息!$C:$C,盘货信息!$R:$R),0)&amp;"元（可无旧机换新）")</f>
        <v/>
      </c>
      <c r="U248" s="27" t="str">
        <f>IF(AND($N248="",$O248="",$P248="",$Q248="",$R248="",$S248="",$T248=""),"",固定信息!$B$1)</f>
        <v/>
      </c>
      <c r="V248" s="27" t="str" cm="1">
        <f t="array" ref="V248">IF(_xlfn.XLOOKUP($A248&amp;$B248&amp;$C248,盘货信息!$A:$A&amp;盘货信息!$B:$B&amp;盘货信息!$C:$C,盘货信息!$Y:$Y)="","","【卡萨帝送赠】活动指定时间"&amp;_xlfn.TEXTBEFORE(_xlfn.TEXTAFTER(_xlfn.XLOOKUP($A248&amp;$B248&amp;$C248,盘货信息!$A:$A&amp;盘货信息!$B:$B&amp;盘货信息!$C:$C,盘货信息!$Y:$Y),"点"),"（"))</f>
        <v/>
      </c>
      <c r="W248" s="27" t="str" cm="1">
        <f t="array" ref="W248">IF(COUNTIF(_xlfn.XLOOKUP($A248&amp;$B248&amp;$C248,盘货信息!$A:$A&amp;盘货信息!$B:$B&amp;盘货信息!$C:$C,盘货信息!$O:$O),"*是*"),"【折扣】指定型号满2类享96折，满3类享94折","")</f>
        <v/>
      </c>
      <c r="X248" s="27" t="str" cm="1">
        <f t="array" ref="X248">IF(固定信息!$B$7="","",IF(_xlfn.XLOOKUP($A248&amp;$B248&amp;$C248,盘货信息!$A:$A&amp;盘货信息!$B:$B&amp;盘货信息!$C:$C,盘货信息!$N:$N)="是","【瓜分】"&amp;固定信息!$B$7,""))</f>
        <v/>
      </c>
      <c r="Y248" s="27" t="str">
        <f>IF(AND($V248="",$W248="",$X248=""),"",固定信息!$B$1)</f>
        <v/>
      </c>
      <c r="Z248" s="27" t="str" cm="1">
        <f t="array" ref="Z248">IF($C248="","",_xlfn.XLOOKUP($A248&amp;$B248&amp;$C248,服务!$A:$A&amp;服务!$B:$B&amp;服务!$C:$C,服务!$D:$D))</f>
        <v/>
      </c>
    </row>
    <row r="249" customHeight="1" spans="1:26">
      <c r="A249" s="23" t="str">
        <f>IF(盘货信息!A249="","",盘货信息!A249)</f>
        <v/>
      </c>
      <c r="B249" s="26" t="str">
        <f>IF(盘货信息!B249="","",盘货信息!B249)</f>
        <v/>
      </c>
      <c r="C249" s="23" t="str">
        <f>IF(盘货信息!C249="","",盘货信息!C249)</f>
        <v/>
      </c>
      <c r="D249" s="27" t="str">
        <f ca="1" t="shared" si="3"/>
        <v/>
      </c>
      <c r="E249" s="27" t="str">
        <f>IF(C249="","",固定信息!$B$2)</f>
        <v/>
      </c>
      <c r="F249" s="27" t="str">
        <f>IF(C249="","","【"&amp;C249&amp;"】"&amp;固定信息!$B$4)</f>
        <v/>
      </c>
      <c r="G249" s="27" t="str">
        <f>IF(C249="","","【"&amp;"活动时间："&amp;固定信息!$B$3&amp;"】")</f>
        <v/>
      </c>
      <c r="H249" s="27" t="str">
        <f>IF($C249="","",固定信息!$B$1)</f>
        <v/>
      </c>
      <c r="I249" s="27" t="str">
        <f>IF(OR(C249="",固定信息!$B$5=""),"","【1元预约锁好礼】"&amp;固定信息!$B$5)</f>
        <v/>
      </c>
      <c r="J249" s="27" t="str" cm="1">
        <f t="array" ref="J249">_xlfn.XLOOKUP($A249&amp;$B249&amp;$C249,价格信息!$A:$A&amp;价格信息!$B:$B&amp;价格信息!$C:$C,价格信息!$D:$D)</f>
        <v/>
      </c>
      <c r="K249" s="27" t="str">
        <f>IF($C249="","",固定信息!$B$1)</f>
        <v/>
      </c>
      <c r="L249" s="27" t="str" cm="1">
        <f t="array" ref="L249">IF(_xlfn.XLOOKUP($A249&amp;$B249&amp;$C249,盘货信息!$A:$A&amp;盘货信息!$B:$B&amp;盘货信息!$C:$C,盘货信息!$T:$T)="","","【优惠券】领"&amp;_xlfn.XLOOKUP($A249&amp;$B249&amp;$C249,盘货信息!$A:$A&amp;盘货信息!$B:$B&amp;盘货信息!$C:$C,盘货信息!$T:$T)&amp;"元优惠卷下单更优惠，领券链接："&amp;_xlfn.XLOOKUP($A249&amp;$B249&amp;$C249,盘货信息!$A:$A&amp;盘货信息!$B:$B&amp;盘货信息!$C:$C,盘货信息!$U:$U))</f>
        <v/>
      </c>
      <c r="M249" s="27" t="str" cm="1">
        <f t="array" ref="M249">IF(_xlfn.XLOOKUP($A249&amp;$B249&amp;$C249,盘货信息!$A:$A&amp;盘货信息!$B:$B&amp;盘货信息!$C:$C,盘货信息!$P:$P)="","","【限时】"&amp;_xlfn.XLOOKUP($A249&amp;$B249&amp;$C249,盘货信息!$A:$A&amp;盘货信息!$B:$B&amp;盘货信息!$C:$C,盘货信息!$P:$P))</f>
        <v/>
      </c>
      <c r="N249" s="27" t="str" cm="1">
        <f t="array" ref="N249">IF(_xlfn.XLOOKUP($A249&amp;$B249&amp;$C249,盘货信息!$A:$A&amp;盘货信息!$B:$B&amp;盘货信息!$C:$C,盘货信息!$V:$V)="","","【"&amp;盘货信息!$V$1&amp;"】"&amp;_xlfn.XLOOKUP($A249&amp;$B249&amp;$C249,盘货信息!$A:$A&amp;盘货信息!$B:$B&amp;盘货信息!$C:$C,盘货信息!$V:$V))</f>
        <v/>
      </c>
      <c r="O249" s="27" t="str" cm="1">
        <f t="array" ref="O249">IF(_xlfn.XLOOKUP($A249&amp;$B249&amp;$C249,盘货信息!$A:$A&amp;盘货信息!$B:$B&amp;盘货信息!$C:$C,盘货信息!$W:$W)="","","【"&amp;盘货信息!$W$1&amp;"】"&amp;_xlfn.XLOOKUP($A249&amp;$B249&amp;$C249,盘货信息!$A:$A&amp;盘货信息!$B:$B&amp;盘货信息!$C:$C,盘货信息!$W:$W))</f>
        <v/>
      </c>
      <c r="P249" s="27" t="str" cm="1">
        <f t="array" ref="P249">IF(_xlfn.XLOOKUP($A249&amp;$B249&amp;$C249,盘货信息!$A:$A&amp;盘货信息!$B:$B&amp;盘货信息!$C:$C,盘货信息!$S:$S)&lt;1,"","【"&amp;盘货信息!$S$1&amp;"】"&amp;"后返"&amp;_xlfn.XLOOKUP($A249&amp;$B249&amp;$C249,盘货信息!$A:$A&amp;盘货信息!$B:$B&amp;盘货信息!$C:$C,盘货信息!$S:$S)&amp;"元")</f>
        <v/>
      </c>
      <c r="Q249" s="27" t="str" cm="1">
        <f t="array" ref="Q249">IF(_xlfn.XLOOKUP($A249&amp;$B249&amp;$C249,盘货信息!$A:$A&amp;盘货信息!$B:$B&amp;盘货信息!$C:$C,盘货信息!$X:$X)="","","【"&amp;盘货信息!$X$1&amp;"】"&amp;_xlfn.XLOOKUP($A249&amp;$B249&amp;$C249,盘货信息!$A:$A&amp;盘货信息!$B:$B&amp;盘货信息!$C:$C,盘货信息!$X:$X))</f>
        <v/>
      </c>
      <c r="R249" s="27" t="str" cm="1">
        <f t="array" ref="R249">IF(_xlfn.XLOOKUP($A249&amp;$B249&amp;$C249,盘货信息!$A:$A&amp;盘货信息!$B:$B&amp;盘货信息!$C:$C,盘货信息!$Z:$Z)="","","【"&amp;盘货信息!$Z$1&amp;"】"&amp;_xlfn.XLOOKUP($A249&amp;$B249&amp;$C249,盘货信息!$A:$A&amp;盘货信息!$B:$B&amp;盘货信息!$C:$C,盘货信息!$Z:$Z))</f>
        <v/>
      </c>
      <c r="S249" s="27" t="str" cm="1">
        <f t="array" ref="S249">IF(_xlfn.XLOOKUP($A249&amp;$B249&amp;$C249,盘货信息!$A:$A&amp;盘货信息!$B:$B&amp;盘货信息!$C:$C,盘货信息!$Q:$Q)="","","【种草】站外带指定话题种草后返"&amp;_xlfn.XLOOKUP($A249&amp;$B249&amp;$C249,盘货信息!$A:$A&amp;盘货信息!$B:$B&amp;盘货信息!$C:$C,盘货信息!$Q:$Q)&amp;"元红包（每个淘宝账号仅限对应一个站外种草账号，同一个种草账号不可对应多个淘宝账号）")</f>
        <v/>
      </c>
      <c r="T249" s="27" t="str" cm="1">
        <f t="array" ref="T249">IF(_xlfn.XLOOKUP($A249&amp;$B249&amp;$C249,盘货信息!$A:$A&amp;盘货信息!$B:$B&amp;盘货信息!$C:$C,盘货信息!$R:$R)&lt;1,"","【以旧换新】"&amp;"享补贴"&amp;ROUND(_xlfn.XLOOKUP($A249&amp;$B249&amp;$C249,盘货信息!$A:$A&amp;盘货信息!$B:$B&amp;盘货信息!$C:$C,盘货信息!$R:$R),0)&amp;"元（可无旧机换新）")</f>
        <v/>
      </c>
      <c r="U249" s="27" t="str">
        <f>IF(AND($N249="",$O249="",$P249="",$Q249="",$R249="",$S249="",$T249=""),"",固定信息!$B$1)</f>
        <v/>
      </c>
      <c r="V249" s="27" t="str" cm="1">
        <f t="array" ref="V249">IF(_xlfn.XLOOKUP($A249&amp;$B249&amp;$C249,盘货信息!$A:$A&amp;盘货信息!$B:$B&amp;盘货信息!$C:$C,盘货信息!$Y:$Y)="","","【卡萨帝送赠】活动指定时间"&amp;_xlfn.TEXTBEFORE(_xlfn.TEXTAFTER(_xlfn.XLOOKUP($A249&amp;$B249&amp;$C249,盘货信息!$A:$A&amp;盘货信息!$B:$B&amp;盘货信息!$C:$C,盘货信息!$Y:$Y),"点"),"（"))</f>
        <v/>
      </c>
      <c r="W249" s="27" t="str" cm="1">
        <f t="array" ref="W249">IF(COUNTIF(_xlfn.XLOOKUP($A249&amp;$B249&amp;$C249,盘货信息!$A:$A&amp;盘货信息!$B:$B&amp;盘货信息!$C:$C,盘货信息!$O:$O),"*是*"),"【折扣】指定型号满2类享96折，满3类享94折","")</f>
        <v/>
      </c>
      <c r="X249" s="27" t="str" cm="1">
        <f t="array" ref="X249">IF(固定信息!$B$7="","",IF(_xlfn.XLOOKUP($A249&amp;$B249&amp;$C249,盘货信息!$A:$A&amp;盘货信息!$B:$B&amp;盘货信息!$C:$C,盘货信息!$N:$N)="是","【瓜分】"&amp;固定信息!$B$7,""))</f>
        <v/>
      </c>
      <c r="Y249" s="27" t="str">
        <f>IF(AND($V249="",$W249="",$X249=""),"",固定信息!$B$1)</f>
        <v/>
      </c>
      <c r="Z249" s="27" t="str" cm="1">
        <f t="array" ref="Z249">IF($C249="","",_xlfn.XLOOKUP($A249&amp;$B249&amp;$C249,服务!$A:$A&amp;服务!$B:$B&amp;服务!$C:$C,服务!$D:$D))</f>
        <v/>
      </c>
    </row>
    <row r="250" customHeight="1" spans="1:26">
      <c r="A250" s="23" t="str">
        <f>IF(盘货信息!A250="","",盘货信息!A250)</f>
        <v/>
      </c>
      <c r="B250" s="26" t="str">
        <f>IF(盘货信息!B250="","",盘货信息!B250)</f>
        <v/>
      </c>
      <c r="C250" s="23" t="str">
        <f>IF(盘货信息!C250="","",盘货信息!C250)</f>
        <v/>
      </c>
      <c r="D250" s="27" t="str">
        <f ca="1" t="shared" si="3"/>
        <v/>
      </c>
      <c r="E250" s="27" t="str">
        <f>IF(C250="","",固定信息!$B$2)</f>
        <v/>
      </c>
      <c r="F250" s="27" t="str">
        <f>IF(C250="","","【"&amp;C250&amp;"】"&amp;固定信息!$B$4)</f>
        <v/>
      </c>
      <c r="G250" s="27" t="str">
        <f>IF(C250="","","【"&amp;"活动时间："&amp;固定信息!$B$3&amp;"】")</f>
        <v/>
      </c>
      <c r="H250" s="27" t="str">
        <f>IF($C250="","",固定信息!$B$1)</f>
        <v/>
      </c>
      <c r="I250" s="27" t="str">
        <f>IF(OR(C250="",固定信息!$B$5=""),"","【1元预约锁好礼】"&amp;固定信息!$B$5)</f>
        <v/>
      </c>
      <c r="J250" s="27" t="str" cm="1">
        <f t="array" ref="J250">_xlfn.XLOOKUP($A250&amp;$B250&amp;$C250,价格信息!$A:$A&amp;价格信息!$B:$B&amp;价格信息!$C:$C,价格信息!$D:$D)</f>
        <v/>
      </c>
      <c r="K250" s="27" t="str">
        <f>IF($C250="","",固定信息!$B$1)</f>
        <v/>
      </c>
      <c r="L250" s="27" t="str" cm="1">
        <f t="array" ref="L250">IF(_xlfn.XLOOKUP($A250&amp;$B250&amp;$C250,盘货信息!$A:$A&amp;盘货信息!$B:$B&amp;盘货信息!$C:$C,盘货信息!$T:$T)="","","【优惠券】领"&amp;_xlfn.XLOOKUP($A250&amp;$B250&amp;$C250,盘货信息!$A:$A&amp;盘货信息!$B:$B&amp;盘货信息!$C:$C,盘货信息!$T:$T)&amp;"元优惠卷下单更优惠，领券链接："&amp;_xlfn.XLOOKUP($A250&amp;$B250&amp;$C250,盘货信息!$A:$A&amp;盘货信息!$B:$B&amp;盘货信息!$C:$C,盘货信息!$U:$U))</f>
        <v/>
      </c>
      <c r="M250" s="27" t="str" cm="1">
        <f t="array" ref="M250">IF(_xlfn.XLOOKUP($A250&amp;$B250&amp;$C250,盘货信息!$A:$A&amp;盘货信息!$B:$B&amp;盘货信息!$C:$C,盘货信息!$P:$P)="","","【限时】"&amp;_xlfn.XLOOKUP($A250&amp;$B250&amp;$C250,盘货信息!$A:$A&amp;盘货信息!$B:$B&amp;盘货信息!$C:$C,盘货信息!$P:$P))</f>
        <v/>
      </c>
      <c r="N250" s="27" t="str" cm="1">
        <f t="array" ref="N250">IF(_xlfn.XLOOKUP($A250&amp;$B250&amp;$C250,盘货信息!$A:$A&amp;盘货信息!$B:$B&amp;盘货信息!$C:$C,盘货信息!$V:$V)="","","【"&amp;盘货信息!$V$1&amp;"】"&amp;_xlfn.XLOOKUP($A250&amp;$B250&amp;$C250,盘货信息!$A:$A&amp;盘货信息!$B:$B&amp;盘货信息!$C:$C,盘货信息!$V:$V))</f>
        <v/>
      </c>
      <c r="O250" s="27" t="str" cm="1">
        <f t="array" ref="O250">IF(_xlfn.XLOOKUP($A250&amp;$B250&amp;$C250,盘货信息!$A:$A&amp;盘货信息!$B:$B&amp;盘货信息!$C:$C,盘货信息!$W:$W)="","","【"&amp;盘货信息!$W$1&amp;"】"&amp;_xlfn.XLOOKUP($A250&amp;$B250&amp;$C250,盘货信息!$A:$A&amp;盘货信息!$B:$B&amp;盘货信息!$C:$C,盘货信息!$W:$W))</f>
        <v/>
      </c>
      <c r="P250" s="27" t="str" cm="1">
        <f t="array" ref="P250">IF(_xlfn.XLOOKUP($A250&amp;$B250&amp;$C250,盘货信息!$A:$A&amp;盘货信息!$B:$B&amp;盘货信息!$C:$C,盘货信息!$S:$S)&lt;1,"","【"&amp;盘货信息!$S$1&amp;"】"&amp;"后返"&amp;_xlfn.XLOOKUP($A250&amp;$B250&amp;$C250,盘货信息!$A:$A&amp;盘货信息!$B:$B&amp;盘货信息!$C:$C,盘货信息!$S:$S)&amp;"元")</f>
        <v/>
      </c>
      <c r="Q250" s="27" t="str" cm="1">
        <f t="array" ref="Q250">IF(_xlfn.XLOOKUP($A250&amp;$B250&amp;$C250,盘货信息!$A:$A&amp;盘货信息!$B:$B&amp;盘货信息!$C:$C,盘货信息!$X:$X)="","","【"&amp;盘货信息!$X$1&amp;"】"&amp;_xlfn.XLOOKUP($A250&amp;$B250&amp;$C250,盘货信息!$A:$A&amp;盘货信息!$B:$B&amp;盘货信息!$C:$C,盘货信息!$X:$X))</f>
        <v/>
      </c>
      <c r="R250" s="27" t="str" cm="1">
        <f t="array" ref="R250">IF(_xlfn.XLOOKUP($A250&amp;$B250&amp;$C250,盘货信息!$A:$A&amp;盘货信息!$B:$B&amp;盘货信息!$C:$C,盘货信息!$Z:$Z)="","","【"&amp;盘货信息!$Z$1&amp;"】"&amp;_xlfn.XLOOKUP($A250&amp;$B250&amp;$C250,盘货信息!$A:$A&amp;盘货信息!$B:$B&amp;盘货信息!$C:$C,盘货信息!$Z:$Z))</f>
        <v/>
      </c>
      <c r="S250" s="27" t="str" cm="1">
        <f t="array" ref="S250">IF(_xlfn.XLOOKUP($A250&amp;$B250&amp;$C250,盘货信息!$A:$A&amp;盘货信息!$B:$B&amp;盘货信息!$C:$C,盘货信息!$Q:$Q)="","","【种草】站外带指定话题种草后返"&amp;_xlfn.XLOOKUP($A250&amp;$B250&amp;$C250,盘货信息!$A:$A&amp;盘货信息!$B:$B&amp;盘货信息!$C:$C,盘货信息!$Q:$Q)&amp;"元红包（每个淘宝账号仅限对应一个站外种草账号，同一个种草账号不可对应多个淘宝账号）")</f>
        <v/>
      </c>
      <c r="T250" s="27" t="str" cm="1">
        <f t="array" ref="T250">IF(_xlfn.XLOOKUP($A250&amp;$B250&amp;$C250,盘货信息!$A:$A&amp;盘货信息!$B:$B&amp;盘货信息!$C:$C,盘货信息!$R:$R)&lt;1,"","【以旧换新】"&amp;"享补贴"&amp;ROUND(_xlfn.XLOOKUP($A250&amp;$B250&amp;$C250,盘货信息!$A:$A&amp;盘货信息!$B:$B&amp;盘货信息!$C:$C,盘货信息!$R:$R),0)&amp;"元（可无旧机换新）")</f>
        <v/>
      </c>
      <c r="U250" s="27" t="str">
        <f>IF(AND($N250="",$O250="",$P250="",$Q250="",$R250="",$S250="",$T250=""),"",固定信息!$B$1)</f>
        <v/>
      </c>
      <c r="V250" s="27" t="str" cm="1">
        <f t="array" ref="V250">IF(_xlfn.XLOOKUP($A250&amp;$B250&amp;$C250,盘货信息!$A:$A&amp;盘货信息!$B:$B&amp;盘货信息!$C:$C,盘货信息!$Y:$Y)="","","【卡萨帝送赠】活动指定时间"&amp;_xlfn.TEXTBEFORE(_xlfn.TEXTAFTER(_xlfn.XLOOKUP($A250&amp;$B250&amp;$C250,盘货信息!$A:$A&amp;盘货信息!$B:$B&amp;盘货信息!$C:$C,盘货信息!$Y:$Y),"点"),"（"))</f>
        <v/>
      </c>
      <c r="W250" s="27" t="str" cm="1">
        <f t="array" ref="W250">IF(COUNTIF(_xlfn.XLOOKUP($A250&amp;$B250&amp;$C250,盘货信息!$A:$A&amp;盘货信息!$B:$B&amp;盘货信息!$C:$C,盘货信息!$O:$O),"*是*"),"【折扣】指定型号满2类享96折，满3类享94折","")</f>
        <v/>
      </c>
      <c r="X250" s="27" t="str" cm="1">
        <f t="array" ref="X250">IF(固定信息!$B$7="","",IF(_xlfn.XLOOKUP($A250&amp;$B250&amp;$C250,盘货信息!$A:$A&amp;盘货信息!$B:$B&amp;盘货信息!$C:$C,盘货信息!$N:$N)="是","【瓜分】"&amp;固定信息!$B$7,""))</f>
        <v/>
      </c>
      <c r="Y250" s="27" t="str">
        <f>IF(AND($V250="",$W250="",$X250=""),"",固定信息!$B$1)</f>
        <v/>
      </c>
      <c r="Z250" s="27" t="str" cm="1">
        <f t="array" ref="Z250">IF($C250="","",_xlfn.XLOOKUP($A250&amp;$B250&amp;$C250,服务!$A:$A&amp;服务!$B:$B&amp;服务!$C:$C,服务!$D:$D))</f>
        <v/>
      </c>
    </row>
    <row r="251" customHeight="1" spans="1:26">
      <c r="A251" s="23" t="str">
        <f>IF(盘货信息!A251="","",盘货信息!A251)</f>
        <v/>
      </c>
      <c r="B251" s="26" t="str">
        <f>IF(盘货信息!B251="","",盘货信息!B251)</f>
        <v/>
      </c>
      <c r="C251" s="23" t="str">
        <f>IF(盘货信息!C251="","",盘货信息!C251)</f>
        <v/>
      </c>
      <c r="D251" s="27" t="str">
        <f ca="1" t="shared" si="3"/>
        <v/>
      </c>
      <c r="E251" s="27" t="str">
        <f>IF(C251="","",固定信息!$B$2)</f>
        <v/>
      </c>
      <c r="F251" s="27" t="str">
        <f>IF(C251="","","【"&amp;C251&amp;"】"&amp;固定信息!$B$4)</f>
        <v/>
      </c>
      <c r="G251" s="27" t="str">
        <f>IF(C251="","","【"&amp;"活动时间："&amp;固定信息!$B$3&amp;"】")</f>
        <v/>
      </c>
      <c r="H251" s="27" t="str">
        <f>IF($C251="","",固定信息!$B$1)</f>
        <v/>
      </c>
      <c r="I251" s="27" t="str">
        <f>IF(OR(C251="",固定信息!$B$5=""),"","【1元预约锁好礼】"&amp;固定信息!$B$5)</f>
        <v/>
      </c>
      <c r="J251" s="27" t="str" cm="1">
        <f t="array" ref="J251">_xlfn.XLOOKUP($A251&amp;$B251&amp;$C251,价格信息!$A:$A&amp;价格信息!$B:$B&amp;价格信息!$C:$C,价格信息!$D:$D)</f>
        <v/>
      </c>
      <c r="K251" s="27" t="str">
        <f>IF($C251="","",固定信息!$B$1)</f>
        <v/>
      </c>
      <c r="L251" s="27" t="str" cm="1">
        <f t="array" ref="L251">IF(_xlfn.XLOOKUP($A251&amp;$B251&amp;$C251,盘货信息!$A:$A&amp;盘货信息!$B:$B&amp;盘货信息!$C:$C,盘货信息!$T:$T)="","","【优惠券】领"&amp;_xlfn.XLOOKUP($A251&amp;$B251&amp;$C251,盘货信息!$A:$A&amp;盘货信息!$B:$B&amp;盘货信息!$C:$C,盘货信息!$T:$T)&amp;"元优惠卷下单更优惠，领券链接："&amp;_xlfn.XLOOKUP($A251&amp;$B251&amp;$C251,盘货信息!$A:$A&amp;盘货信息!$B:$B&amp;盘货信息!$C:$C,盘货信息!$U:$U))</f>
        <v/>
      </c>
      <c r="M251" s="27" t="str" cm="1">
        <f t="array" ref="M251">IF(_xlfn.XLOOKUP($A251&amp;$B251&amp;$C251,盘货信息!$A:$A&amp;盘货信息!$B:$B&amp;盘货信息!$C:$C,盘货信息!$P:$P)="","","【限时】"&amp;_xlfn.XLOOKUP($A251&amp;$B251&amp;$C251,盘货信息!$A:$A&amp;盘货信息!$B:$B&amp;盘货信息!$C:$C,盘货信息!$P:$P))</f>
        <v/>
      </c>
      <c r="N251" s="27" t="str" cm="1">
        <f t="array" ref="N251">IF(_xlfn.XLOOKUP($A251&amp;$B251&amp;$C251,盘货信息!$A:$A&amp;盘货信息!$B:$B&amp;盘货信息!$C:$C,盘货信息!$V:$V)="","","【"&amp;盘货信息!$V$1&amp;"】"&amp;_xlfn.XLOOKUP($A251&amp;$B251&amp;$C251,盘货信息!$A:$A&amp;盘货信息!$B:$B&amp;盘货信息!$C:$C,盘货信息!$V:$V))</f>
        <v/>
      </c>
      <c r="O251" s="27" t="str" cm="1">
        <f t="array" ref="O251">IF(_xlfn.XLOOKUP($A251&amp;$B251&amp;$C251,盘货信息!$A:$A&amp;盘货信息!$B:$B&amp;盘货信息!$C:$C,盘货信息!$W:$W)="","","【"&amp;盘货信息!$W$1&amp;"】"&amp;_xlfn.XLOOKUP($A251&amp;$B251&amp;$C251,盘货信息!$A:$A&amp;盘货信息!$B:$B&amp;盘货信息!$C:$C,盘货信息!$W:$W))</f>
        <v/>
      </c>
      <c r="P251" s="27" t="str" cm="1">
        <f t="array" ref="P251">IF(_xlfn.XLOOKUP($A251&amp;$B251&amp;$C251,盘货信息!$A:$A&amp;盘货信息!$B:$B&amp;盘货信息!$C:$C,盘货信息!$S:$S)&lt;1,"","【"&amp;盘货信息!$S$1&amp;"】"&amp;"后返"&amp;_xlfn.XLOOKUP($A251&amp;$B251&amp;$C251,盘货信息!$A:$A&amp;盘货信息!$B:$B&amp;盘货信息!$C:$C,盘货信息!$S:$S)&amp;"元")</f>
        <v/>
      </c>
      <c r="Q251" s="27" t="str" cm="1">
        <f t="array" ref="Q251">IF(_xlfn.XLOOKUP($A251&amp;$B251&amp;$C251,盘货信息!$A:$A&amp;盘货信息!$B:$B&amp;盘货信息!$C:$C,盘货信息!$X:$X)="","","【"&amp;盘货信息!$X$1&amp;"】"&amp;_xlfn.XLOOKUP($A251&amp;$B251&amp;$C251,盘货信息!$A:$A&amp;盘货信息!$B:$B&amp;盘货信息!$C:$C,盘货信息!$X:$X))</f>
        <v/>
      </c>
      <c r="R251" s="27" t="str" cm="1">
        <f t="array" ref="R251">IF(_xlfn.XLOOKUP($A251&amp;$B251&amp;$C251,盘货信息!$A:$A&amp;盘货信息!$B:$B&amp;盘货信息!$C:$C,盘货信息!$Z:$Z)="","","【"&amp;盘货信息!$Z$1&amp;"】"&amp;_xlfn.XLOOKUP($A251&amp;$B251&amp;$C251,盘货信息!$A:$A&amp;盘货信息!$B:$B&amp;盘货信息!$C:$C,盘货信息!$Z:$Z))</f>
        <v/>
      </c>
      <c r="S251" s="27" t="str" cm="1">
        <f t="array" ref="S251">IF(_xlfn.XLOOKUP($A251&amp;$B251&amp;$C251,盘货信息!$A:$A&amp;盘货信息!$B:$B&amp;盘货信息!$C:$C,盘货信息!$Q:$Q)="","","【种草】站外带指定话题种草后返"&amp;_xlfn.XLOOKUP($A251&amp;$B251&amp;$C251,盘货信息!$A:$A&amp;盘货信息!$B:$B&amp;盘货信息!$C:$C,盘货信息!$Q:$Q)&amp;"元红包（每个淘宝账号仅限对应一个站外种草账号，同一个种草账号不可对应多个淘宝账号）")</f>
        <v/>
      </c>
      <c r="T251" s="27" t="str" cm="1">
        <f t="array" ref="T251">IF(_xlfn.XLOOKUP($A251&amp;$B251&amp;$C251,盘货信息!$A:$A&amp;盘货信息!$B:$B&amp;盘货信息!$C:$C,盘货信息!$R:$R)&lt;1,"","【以旧换新】"&amp;"享补贴"&amp;ROUND(_xlfn.XLOOKUP($A251&amp;$B251&amp;$C251,盘货信息!$A:$A&amp;盘货信息!$B:$B&amp;盘货信息!$C:$C,盘货信息!$R:$R),0)&amp;"元（可无旧机换新）")</f>
        <v/>
      </c>
      <c r="U251" s="27" t="str">
        <f>IF(AND($N251="",$O251="",$P251="",$Q251="",$R251="",$S251="",$T251=""),"",固定信息!$B$1)</f>
        <v/>
      </c>
      <c r="V251" s="27" t="str" cm="1">
        <f t="array" ref="V251">IF(_xlfn.XLOOKUP($A251&amp;$B251&amp;$C251,盘货信息!$A:$A&amp;盘货信息!$B:$B&amp;盘货信息!$C:$C,盘货信息!$Y:$Y)="","","【卡萨帝送赠】活动指定时间"&amp;_xlfn.TEXTBEFORE(_xlfn.TEXTAFTER(_xlfn.XLOOKUP($A251&amp;$B251&amp;$C251,盘货信息!$A:$A&amp;盘货信息!$B:$B&amp;盘货信息!$C:$C,盘货信息!$Y:$Y),"点"),"（"))</f>
        <v/>
      </c>
      <c r="W251" s="27" t="str" cm="1">
        <f t="array" ref="W251">IF(COUNTIF(_xlfn.XLOOKUP($A251&amp;$B251&amp;$C251,盘货信息!$A:$A&amp;盘货信息!$B:$B&amp;盘货信息!$C:$C,盘货信息!$O:$O),"*是*"),"【折扣】指定型号满2类享96折，满3类享94折","")</f>
        <v/>
      </c>
      <c r="X251" s="27" t="str" cm="1">
        <f t="array" ref="X251">IF(固定信息!$B$7="","",IF(_xlfn.XLOOKUP($A251&amp;$B251&amp;$C251,盘货信息!$A:$A&amp;盘货信息!$B:$B&amp;盘货信息!$C:$C,盘货信息!$N:$N)="是","【瓜分】"&amp;固定信息!$B$7,""))</f>
        <v/>
      </c>
      <c r="Y251" s="27" t="str">
        <f>IF(AND($V251="",$W251="",$X251=""),"",固定信息!$B$1)</f>
        <v/>
      </c>
      <c r="Z251" s="27" t="str" cm="1">
        <f t="array" ref="Z251">IF($C251="","",_xlfn.XLOOKUP($A251&amp;$B251&amp;$C251,服务!$A:$A&amp;服务!$B:$B&amp;服务!$C:$C,服务!$D:$D))</f>
        <v/>
      </c>
    </row>
    <row r="252" customHeight="1" spans="1:26">
      <c r="A252" s="23" t="str">
        <f>IF(盘货信息!A252="","",盘货信息!A252)</f>
        <v/>
      </c>
      <c r="B252" s="26" t="str">
        <f>IF(盘货信息!B252="","",盘货信息!B252)</f>
        <v/>
      </c>
      <c r="C252" s="23" t="str">
        <f>IF(盘货信息!C252="","",盘货信息!C252)</f>
        <v/>
      </c>
      <c r="D252" s="27" t="str">
        <f ca="1" t="shared" si="3"/>
        <v/>
      </c>
      <c r="E252" s="27" t="str">
        <f>IF(C252="","",固定信息!$B$2)</f>
        <v/>
      </c>
      <c r="F252" s="27" t="str">
        <f>IF(C252="","","【"&amp;C252&amp;"】"&amp;固定信息!$B$4)</f>
        <v/>
      </c>
      <c r="G252" s="27" t="str">
        <f>IF(C252="","","【"&amp;"活动时间："&amp;固定信息!$B$3&amp;"】")</f>
        <v/>
      </c>
      <c r="H252" s="27" t="str">
        <f>IF($C252="","",固定信息!$B$1)</f>
        <v/>
      </c>
      <c r="I252" s="27" t="str">
        <f>IF(OR(C252="",固定信息!$B$5=""),"","【1元预约锁好礼】"&amp;固定信息!$B$5)</f>
        <v/>
      </c>
      <c r="J252" s="27" t="str" cm="1">
        <f t="array" ref="J252">_xlfn.XLOOKUP($A252&amp;$B252&amp;$C252,价格信息!$A:$A&amp;价格信息!$B:$B&amp;价格信息!$C:$C,价格信息!$D:$D)</f>
        <v/>
      </c>
      <c r="K252" s="27" t="str">
        <f>IF($C252="","",固定信息!$B$1)</f>
        <v/>
      </c>
      <c r="L252" s="27" t="str" cm="1">
        <f t="array" ref="L252">IF(_xlfn.XLOOKUP($A252&amp;$B252&amp;$C252,盘货信息!$A:$A&amp;盘货信息!$B:$B&amp;盘货信息!$C:$C,盘货信息!$T:$T)="","","【优惠券】领"&amp;_xlfn.XLOOKUP($A252&amp;$B252&amp;$C252,盘货信息!$A:$A&amp;盘货信息!$B:$B&amp;盘货信息!$C:$C,盘货信息!$T:$T)&amp;"元优惠卷下单更优惠，领券链接："&amp;_xlfn.XLOOKUP($A252&amp;$B252&amp;$C252,盘货信息!$A:$A&amp;盘货信息!$B:$B&amp;盘货信息!$C:$C,盘货信息!$U:$U))</f>
        <v/>
      </c>
      <c r="M252" s="27" t="str" cm="1">
        <f t="array" ref="M252">IF(_xlfn.XLOOKUP($A252&amp;$B252&amp;$C252,盘货信息!$A:$A&amp;盘货信息!$B:$B&amp;盘货信息!$C:$C,盘货信息!$P:$P)="","","【限时】"&amp;_xlfn.XLOOKUP($A252&amp;$B252&amp;$C252,盘货信息!$A:$A&amp;盘货信息!$B:$B&amp;盘货信息!$C:$C,盘货信息!$P:$P))</f>
        <v/>
      </c>
      <c r="N252" s="27" t="str" cm="1">
        <f t="array" ref="N252">IF(_xlfn.XLOOKUP($A252&amp;$B252&amp;$C252,盘货信息!$A:$A&amp;盘货信息!$B:$B&amp;盘货信息!$C:$C,盘货信息!$V:$V)="","","【"&amp;盘货信息!$V$1&amp;"】"&amp;_xlfn.XLOOKUP($A252&amp;$B252&amp;$C252,盘货信息!$A:$A&amp;盘货信息!$B:$B&amp;盘货信息!$C:$C,盘货信息!$V:$V))</f>
        <v/>
      </c>
      <c r="O252" s="27" t="str" cm="1">
        <f t="array" ref="O252">IF(_xlfn.XLOOKUP($A252&amp;$B252&amp;$C252,盘货信息!$A:$A&amp;盘货信息!$B:$B&amp;盘货信息!$C:$C,盘货信息!$W:$W)="","","【"&amp;盘货信息!$W$1&amp;"】"&amp;_xlfn.XLOOKUP($A252&amp;$B252&amp;$C252,盘货信息!$A:$A&amp;盘货信息!$B:$B&amp;盘货信息!$C:$C,盘货信息!$W:$W))</f>
        <v/>
      </c>
      <c r="P252" s="27" t="str" cm="1">
        <f t="array" ref="P252">IF(_xlfn.XLOOKUP($A252&amp;$B252&amp;$C252,盘货信息!$A:$A&amp;盘货信息!$B:$B&amp;盘货信息!$C:$C,盘货信息!$S:$S)&lt;1,"","【"&amp;盘货信息!$S$1&amp;"】"&amp;"后返"&amp;_xlfn.XLOOKUP($A252&amp;$B252&amp;$C252,盘货信息!$A:$A&amp;盘货信息!$B:$B&amp;盘货信息!$C:$C,盘货信息!$S:$S)&amp;"元")</f>
        <v/>
      </c>
      <c r="Q252" s="27" t="str" cm="1">
        <f t="array" ref="Q252">IF(_xlfn.XLOOKUP($A252&amp;$B252&amp;$C252,盘货信息!$A:$A&amp;盘货信息!$B:$B&amp;盘货信息!$C:$C,盘货信息!$X:$X)="","","【"&amp;盘货信息!$X$1&amp;"】"&amp;_xlfn.XLOOKUP($A252&amp;$B252&amp;$C252,盘货信息!$A:$A&amp;盘货信息!$B:$B&amp;盘货信息!$C:$C,盘货信息!$X:$X))</f>
        <v/>
      </c>
      <c r="R252" s="27" t="str" cm="1">
        <f t="array" ref="R252">IF(_xlfn.XLOOKUP($A252&amp;$B252&amp;$C252,盘货信息!$A:$A&amp;盘货信息!$B:$B&amp;盘货信息!$C:$C,盘货信息!$Z:$Z)="","","【"&amp;盘货信息!$Z$1&amp;"】"&amp;_xlfn.XLOOKUP($A252&amp;$B252&amp;$C252,盘货信息!$A:$A&amp;盘货信息!$B:$B&amp;盘货信息!$C:$C,盘货信息!$Z:$Z))</f>
        <v/>
      </c>
      <c r="S252" s="27" t="str" cm="1">
        <f t="array" ref="S252">IF(_xlfn.XLOOKUP($A252&amp;$B252&amp;$C252,盘货信息!$A:$A&amp;盘货信息!$B:$B&amp;盘货信息!$C:$C,盘货信息!$Q:$Q)="","","【种草】站外带指定话题种草后返"&amp;_xlfn.XLOOKUP($A252&amp;$B252&amp;$C252,盘货信息!$A:$A&amp;盘货信息!$B:$B&amp;盘货信息!$C:$C,盘货信息!$Q:$Q)&amp;"元红包（每个淘宝账号仅限对应一个站外种草账号，同一个种草账号不可对应多个淘宝账号）")</f>
        <v/>
      </c>
      <c r="T252" s="27" t="str" cm="1">
        <f t="array" ref="T252">IF(_xlfn.XLOOKUP($A252&amp;$B252&amp;$C252,盘货信息!$A:$A&amp;盘货信息!$B:$B&amp;盘货信息!$C:$C,盘货信息!$R:$R)&lt;1,"","【以旧换新】"&amp;"享补贴"&amp;ROUND(_xlfn.XLOOKUP($A252&amp;$B252&amp;$C252,盘货信息!$A:$A&amp;盘货信息!$B:$B&amp;盘货信息!$C:$C,盘货信息!$R:$R),0)&amp;"元（可无旧机换新）")</f>
        <v/>
      </c>
      <c r="U252" s="27" t="str">
        <f>IF(AND($N252="",$O252="",$P252="",$Q252="",$R252="",$S252="",$T252=""),"",固定信息!$B$1)</f>
        <v/>
      </c>
      <c r="V252" s="27" t="str" cm="1">
        <f t="array" ref="V252">IF(_xlfn.XLOOKUP($A252&amp;$B252&amp;$C252,盘货信息!$A:$A&amp;盘货信息!$B:$B&amp;盘货信息!$C:$C,盘货信息!$Y:$Y)="","","【卡萨帝送赠】活动指定时间"&amp;_xlfn.TEXTBEFORE(_xlfn.TEXTAFTER(_xlfn.XLOOKUP($A252&amp;$B252&amp;$C252,盘货信息!$A:$A&amp;盘货信息!$B:$B&amp;盘货信息!$C:$C,盘货信息!$Y:$Y),"点"),"（"))</f>
        <v/>
      </c>
      <c r="W252" s="27" t="str" cm="1">
        <f t="array" ref="W252">IF(COUNTIF(_xlfn.XLOOKUP($A252&amp;$B252&amp;$C252,盘货信息!$A:$A&amp;盘货信息!$B:$B&amp;盘货信息!$C:$C,盘货信息!$O:$O),"*是*"),"【折扣】指定型号满2类享96折，满3类享94折","")</f>
        <v/>
      </c>
      <c r="X252" s="27" t="str" cm="1">
        <f t="array" ref="X252">IF(固定信息!$B$7="","",IF(_xlfn.XLOOKUP($A252&amp;$B252&amp;$C252,盘货信息!$A:$A&amp;盘货信息!$B:$B&amp;盘货信息!$C:$C,盘货信息!$N:$N)="是","【瓜分】"&amp;固定信息!$B$7,""))</f>
        <v/>
      </c>
      <c r="Y252" s="27" t="str">
        <f>IF(AND($V252="",$W252="",$X252=""),"",固定信息!$B$1)</f>
        <v/>
      </c>
      <c r="Z252" s="27" t="str" cm="1">
        <f t="array" ref="Z252">IF($C252="","",_xlfn.XLOOKUP($A252&amp;$B252&amp;$C252,服务!$A:$A&amp;服务!$B:$B&amp;服务!$C:$C,服务!$D:$D))</f>
        <v/>
      </c>
    </row>
    <row r="253" customHeight="1" spans="1:26">
      <c r="A253" s="23" t="str">
        <f>IF(盘货信息!A253="","",盘货信息!A253)</f>
        <v/>
      </c>
      <c r="B253" s="26" t="str">
        <f>IF(盘货信息!B253="","",盘货信息!B253)</f>
        <v/>
      </c>
      <c r="C253" s="23" t="str">
        <f>IF(盘货信息!C253="","",盘货信息!C253)</f>
        <v/>
      </c>
      <c r="D253" s="27" t="str">
        <f ca="1" t="shared" si="3"/>
        <v/>
      </c>
      <c r="E253" s="27" t="str">
        <f>IF(C253="","",固定信息!$B$2)</f>
        <v/>
      </c>
      <c r="F253" s="27" t="str">
        <f>IF(C253="","","【"&amp;C253&amp;"】"&amp;固定信息!$B$4)</f>
        <v/>
      </c>
      <c r="G253" s="27" t="str">
        <f>IF(C253="","","【"&amp;"活动时间："&amp;固定信息!$B$3&amp;"】")</f>
        <v/>
      </c>
      <c r="H253" s="27" t="str">
        <f>IF($C253="","",固定信息!$B$1)</f>
        <v/>
      </c>
      <c r="I253" s="27" t="str">
        <f>IF(OR(C253="",固定信息!$B$5=""),"","【1元预约锁好礼】"&amp;固定信息!$B$5)</f>
        <v/>
      </c>
      <c r="J253" s="27" t="str" cm="1">
        <f t="array" ref="J253">_xlfn.XLOOKUP($A253&amp;$B253&amp;$C253,价格信息!$A:$A&amp;价格信息!$B:$B&amp;价格信息!$C:$C,价格信息!$D:$D)</f>
        <v/>
      </c>
      <c r="K253" s="27" t="str">
        <f>IF($C253="","",固定信息!$B$1)</f>
        <v/>
      </c>
      <c r="L253" s="27" t="str" cm="1">
        <f t="array" ref="L253">IF(_xlfn.XLOOKUP($A253&amp;$B253&amp;$C253,盘货信息!$A:$A&amp;盘货信息!$B:$B&amp;盘货信息!$C:$C,盘货信息!$T:$T)="","","【优惠券】领"&amp;_xlfn.XLOOKUP($A253&amp;$B253&amp;$C253,盘货信息!$A:$A&amp;盘货信息!$B:$B&amp;盘货信息!$C:$C,盘货信息!$T:$T)&amp;"元优惠卷下单更优惠，领券链接："&amp;_xlfn.XLOOKUP($A253&amp;$B253&amp;$C253,盘货信息!$A:$A&amp;盘货信息!$B:$B&amp;盘货信息!$C:$C,盘货信息!$U:$U))</f>
        <v/>
      </c>
      <c r="M253" s="27" t="str" cm="1">
        <f t="array" ref="M253">IF(_xlfn.XLOOKUP($A253&amp;$B253&amp;$C253,盘货信息!$A:$A&amp;盘货信息!$B:$B&amp;盘货信息!$C:$C,盘货信息!$P:$P)="","","【限时】"&amp;_xlfn.XLOOKUP($A253&amp;$B253&amp;$C253,盘货信息!$A:$A&amp;盘货信息!$B:$B&amp;盘货信息!$C:$C,盘货信息!$P:$P))</f>
        <v/>
      </c>
      <c r="N253" s="27" t="str" cm="1">
        <f t="array" ref="N253">IF(_xlfn.XLOOKUP($A253&amp;$B253&amp;$C253,盘货信息!$A:$A&amp;盘货信息!$B:$B&amp;盘货信息!$C:$C,盘货信息!$V:$V)="","","【"&amp;盘货信息!$V$1&amp;"】"&amp;_xlfn.XLOOKUP($A253&amp;$B253&amp;$C253,盘货信息!$A:$A&amp;盘货信息!$B:$B&amp;盘货信息!$C:$C,盘货信息!$V:$V))</f>
        <v/>
      </c>
      <c r="O253" s="27" t="str" cm="1">
        <f t="array" ref="O253">IF(_xlfn.XLOOKUP($A253&amp;$B253&amp;$C253,盘货信息!$A:$A&amp;盘货信息!$B:$B&amp;盘货信息!$C:$C,盘货信息!$W:$W)="","","【"&amp;盘货信息!$W$1&amp;"】"&amp;_xlfn.XLOOKUP($A253&amp;$B253&amp;$C253,盘货信息!$A:$A&amp;盘货信息!$B:$B&amp;盘货信息!$C:$C,盘货信息!$W:$W))</f>
        <v/>
      </c>
      <c r="P253" s="27" t="str" cm="1">
        <f t="array" ref="P253">IF(_xlfn.XLOOKUP($A253&amp;$B253&amp;$C253,盘货信息!$A:$A&amp;盘货信息!$B:$B&amp;盘货信息!$C:$C,盘货信息!$S:$S)&lt;1,"","【"&amp;盘货信息!$S$1&amp;"】"&amp;"后返"&amp;_xlfn.XLOOKUP($A253&amp;$B253&amp;$C253,盘货信息!$A:$A&amp;盘货信息!$B:$B&amp;盘货信息!$C:$C,盘货信息!$S:$S)&amp;"元")</f>
        <v/>
      </c>
      <c r="Q253" s="27" t="str" cm="1">
        <f t="array" ref="Q253">IF(_xlfn.XLOOKUP($A253&amp;$B253&amp;$C253,盘货信息!$A:$A&amp;盘货信息!$B:$B&amp;盘货信息!$C:$C,盘货信息!$X:$X)="","","【"&amp;盘货信息!$X$1&amp;"】"&amp;_xlfn.XLOOKUP($A253&amp;$B253&amp;$C253,盘货信息!$A:$A&amp;盘货信息!$B:$B&amp;盘货信息!$C:$C,盘货信息!$X:$X))</f>
        <v/>
      </c>
      <c r="R253" s="27" t="str" cm="1">
        <f t="array" ref="R253">IF(_xlfn.XLOOKUP($A253&amp;$B253&amp;$C253,盘货信息!$A:$A&amp;盘货信息!$B:$B&amp;盘货信息!$C:$C,盘货信息!$Z:$Z)="","","【"&amp;盘货信息!$Z$1&amp;"】"&amp;_xlfn.XLOOKUP($A253&amp;$B253&amp;$C253,盘货信息!$A:$A&amp;盘货信息!$B:$B&amp;盘货信息!$C:$C,盘货信息!$Z:$Z))</f>
        <v/>
      </c>
      <c r="S253" s="27" t="str" cm="1">
        <f t="array" ref="S253">IF(_xlfn.XLOOKUP($A253&amp;$B253&amp;$C253,盘货信息!$A:$A&amp;盘货信息!$B:$B&amp;盘货信息!$C:$C,盘货信息!$Q:$Q)="","","【种草】站外带指定话题种草后返"&amp;_xlfn.XLOOKUP($A253&amp;$B253&amp;$C253,盘货信息!$A:$A&amp;盘货信息!$B:$B&amp;盘货信息!$C:$C,盘货信息!$Q:$Q)&amp;"元红包（每个淘宝账号仅限对应一个站外种草账号，同一个种草账号不可对应多个淘宝账号）")</f>
        <v/>
      </c>
      <c r="T253" s="27" t="str" cm="1">
        <f t="array" ref="T253">IF(_xlfn.XLOOKUP($A253&amp;$B253&amp;$C253,盘货信息!$A:$A&amp;盘货信息!$B:$B&amp;盘货信息!$C:$C,盘货信息!$R:$R)&lt;1,"","【以旧换新】"&amp;"享补贴"&amp;ROUND(_xlfn.XLOOKUP($A253&amp;$B253&amp;$C253,盘货信息!$A:$A&amp;盘货信息!$B:$B&amp;盘货信息!$C:$C,盘货信息!$R:$R),0)&amp;"元（可无旧机换新）")</f>
        <v/>
      </c>
      <c r="U253" s="27" t="str">
        <f>IF(AND($N253="",$O253="",$P253="",$Q253="",$R253="",$S253="",$T253=""),"",固定信息!$B$1)</f>
        <v/>
      </c>
      <c r="V253" s="27" t="str" cm="1">
        <f t="array" ref="V253">IF(_xlfn.XLOOKUP($A253&amp;$B253&amp;$C253,盘货信息!$A:$A&amp;盘货信息!$B:$B&amp;盘货信息!$C:$C,盘货信息!$Y:$Y)="","","【卡萨帝送赠】活动指定时间"&amp;_xlfn.TEXTBEFORE(_xlfn.TEXTAFTER(_xlfn.XLOOKUP($A253&amp;$B253&amp;$C253,盘货信息!$A:$A&amp;盘货信息!$B:$B&amp;盘货信息!$C:$C,盘货信息!$Y:$Y),"点"),"（"))</f>
        <v/>
      </c>
      <c r="W253" s="27" t="str" cm="1">
        <f t="array" ref="W253">IF(COUNTIF(_xlfn.XLOOKUP($A253&amp;$B253&amp;$C253,盘货信息!$A:$A&amp;盘货信息!$B:$B&amp;盘货信息!$C:$C,盘货信息!$O:$O),"*是*"),"【折扣】指定型号满2类享96折，满3类享94折","")</f>
        <v/>
      </c>
      <c r="X253" s="27" t="str" cm="1">
        <f t="array" ref="X253">IF(固定信息!$B$7="","",IF(_xlfn.XLOOKUP($A253&amp;$B253&amp;$C253,盘货信息!$A:$A&amp;盘货信息!$B:$B&amp;盘货信息!$C:$C,盘货信息!$N:$N)="是","【瓜分】"&amp;固定信息!$B$7,""))</f>
        <v/>
      </c>
      <c r="Y253" s="27" t="str">
        <f>IF(AND($V253="",$W253="",$X253=""),"",固定信息!$B$1)</f>
        <v/>
      </c>
      <c r="Z253" s="27" t="str" cm="1">
        <f t="array" ref="Z253">IF($C253="","",_xlfn.XLOOKUP($A253&amp;$B253&amp;$C253,服务!$A:$A&amp;服务!$B:$B&amp;服务!$C:$C,服务!$D:$D))</f>
        <v/>
      </c>
    </row>
    <row r="254" customHeight="1" spans="1:26">
      <c r="A254" s="23" t="str">
        <f>IF(盘货信息!A254="","",盘货信息!A254)</f>
        <v/>
      </c>
      <c r="B254" s="26" t="str">
        <f>IF(盘货信息!B254="","",盘货信息!B254)</f>
        <v/>
      </c>
      <c r="C254" s="23" t="str">
        <f>IF(盘货信息!C254="","",盘货信息!C254)</f>
        <v/>
      </c>
      <c r="D254" s="27" t="str">
        <f ca="1" t="shared" si="3"/>
        <v/>
      </c>
      <c r="E254" s="27" t="str">
        <f>IF(C254="","",固定信息!$B$2)</f>
        <v/>
      </c>
      <c r="F254" s="27" t="str">
        <f>IF(C254="","","【"&amp;C254&amp;"】"&amp;固定信息!$B$4)</f>
        <v/>
      </c>
      <c r="G254" s="27" t="str">
        <f>IF(C254="","","【"&amp;"活动时间："&amp;固定信息!$B$3&amp;"】")</f>
        <v/>
      </c>
      <c r="H254" s="27" t="str">
        <f>IF($C254="","",固定信息!$B$1)</f>
        <v/>
      </c>
      <c r="I254" s="27" t="str">
        <f>IF(OR(C254="",固定信息!$B$5=""),"","【1元预约锁好礼】"&amp;固定信息!$B$5)</f>
        <v/>
      </c>
      <c r="J254" s="27" t="str" cm="1">
        <f t="array" ref="J254">_xlfn.XLOOKUP($A254&amp;$B254&amp;$C254,价格信息!$A:$A&amp;价格信息!$B:$B&amp;价格信息!$C:$C,价格信息!$D:$D)</f>
        <v/>
      </c>
      <c r="K254" s="27" t="str">
        <f>IF($C254="","",固定信息!$B$1)</f>
        <v/>
      </c>
      <c r="L254" s="27" t="str" cm="1">
        <f t="array" ref="L254">IF(_xlfn.XLOOKUP($A254&amp;$B254&amp;$C254,盘货信息!$A:$A&amp;盘货信息!$B:$B&amp;盘货信息!$C:$C,盘货信息!$T:$T)="","","【优惠券】领"&amp;_xlfn.XLOOKUP($A254&amp;$B254&amp;$C254,盘货信息!$A:$A&amp;盘货信息!$B:$B&amp;盘货信息!$C:$C,盘货信息!$T:$T)&amp;"元优惠卷下单更优惠，领券链接："&amp;_xlfn.XLOOKUP($A254&amp;$B254&amp;$C254,盘货信息!$A:$A&amp;盘货信息!$B:$B&amp;盘货信息!$C:$C,盘货信息!$U:$U))</f>
        <v/>
      </c>
      <c r="M254" s="27" t="str" cm="1">
        <f t="array" ref="M254">IF(_xlfn.XLOOKUP($A254&amp;$B254&amp;$C254,盘货信息!$A:$A&amp;盘货信息!$B:$B&amp;盘货信息!$C:$C,盘货信息!$P:$P)="","","【限时】"&amp;_xlfn.XLOOKUP($A254&amp;$B254&amp;$C254,盘货信息!$A:$A&amp;盘货信息!$B:$B&amp;盘货信息!$C:$C,盘货信息!$P:$P))</f>
        <v/>
      </c>
      <c r="N254" s="27" t="str" cm="1">
        <f t="array" ref="N254">IF(_xlfn.XLOOKUP($A254&amp;$B254&amp;$C254,盘货信息!$A:$A&amp;盘货信息!$B:$B&amp;盘货信息!$C:$C,盘货信息!$V:$V)="","","【"&amp;盘货信息!$V$1&amp;"】"&amp;_xlfn.XLOOKUP($A254&amp;$B254&amp;$C254,盘货信息!$A:$A&amp;盘货信息!$B:$B&amp;盘货信息!$C:$C,盘货信息!$V:$V))</f>
        <v/>
      </c>
      <c r="O254" s="27" t="str" cm="1">
        <f t="array" ref="O254">IF(_xlfn.XLOOKUP($A254&amp;$B254&amp;$C254,盘货信息!$A:$A&amp;盘货信息!$B:$B&amp;盘货信息!$C:$C,盘货信息!$W:$W)="","","【"&amp;盘货信息!$W$1&amp;"】"&amp;_xlfn.XLOOKUP($A254&amp;$B254&amp;$C254,盘货信息!$A:$A&amp;盘货信息!$B:$B&amp;盘货信息!$C:$C,盘货信息!$W:$W))</f>
        <v/>
      </c>
      <c r="P254" s="27" t="str" cm="1">
        <f t="array" ref="P254">IF(_xlfn.XLOOKUP($A254&amp;$B254&amp;$C254,盘货信息!$A:$A&amp;盘货信息!$B:$B&amp;盘货信息!$C:$C,盘货信息!$S:$S)&lt;1,"","【"&amp;盘货信息!$S$1&amp;"】"&amp;"后返"&amp;_xlfn.XLOOKUP($A254&amp;$B254&amp;$C254,盘货信息!$A:$A&amp;盘货信息!$B:$B&amp;盘货信息!$C:$C,盘货信息!$S:$S)&amp;"元")</f>
        <v/>
      </c>
      <c r="Q254" s="27" t="str" cm="1">
        <f t="array" ref="Q254">IF(_xlfn.XLOOKUP($A254&amp;$B254&amp;$C254,盘货信息!$A:$A&amp;盘货信息!$B:$B&amp;盘货信息!$C:$C,盘货信息!$X:$X)="","","【"&amp;盘货信息!$X$1&amp;"】"&amp;_xlfn.XLOOKUP($A254&amp;$B254&amp;$C254,盘货信息!$A:$A&amp;盘货信息!$B:$B&amp;盘货信息!$C:$C,盘货信息!$X:$X))</f>
        <v/>
      </c>
      <c r="R254" s="27" t="str" cm="1">
        <f t="array" ref="R254">IF(_xlfn.XLOOKUP($A254&amp;$B254&amp;$C254,盘货信息!$A:$A&amp;盘货信息!$B:$B&amp;盘货信息!$C:$C,盘货信息!$Z:$Z)="","","【"&amp;盘货信息!$Z$1&amp;"】"&amp;_xlfn.XLOOKUP($A254&amp;$B254&amp;$C254,盘货信息!$A:$A&amp;盘货信息!$B:$B&amp;盘货信息!$C:$C,盘货信息!$Z:$Z))</f>
        <v/>
      </c>
      <c r="S254" s="27" t="str" cm="1">
        <f t="array" ref="S254">IF(_xlfn.XLOOKUP($A254&amp;$B254&amp;$C254,盘货信息!$A:$A&amp;盘货信息!$B:$B&amp;盘货信息!$C:$C,盘货信息!$Q:$Q)="","","【种草】站外带指定话题种草后返"&amp;_xlfn.XLOOKUP($A254&amp;$B254&amp;$C254,盘货信息!$A:$A&amp;盘货信息!$B:$B&amp;盘货信息!$C:$C,盘货信息!$Q:$Q)&amp;"元红包（每个淘宝账号仅限对应一个站外种草账号，同一个种草账号不可对应多个淘宝账号）")</f>
        <v/>
      </c>
      <c r="T254" s="27" t="str" cm="1">
        <f t="array" ref="T254">IF(_xlfn.XLOOKUP($A254&amp;$B254&amp;$C254,盘货信息!$A:$A&amp;盘货信息!$B:$B&amp;盘货信息!$C:$C,盘货信息!$R:$R)&lt;1,"","【以旧换新】"&amp;"享补贴"&amp;ROUND(_xlfn.XLOOKUP($A254&amp;$B254&amp;$C254,盘货信息!$A:$A&amp;盘货信息!$B:$B&amp;盘货信息!$C:$C,盘货信息!$R:$R),0)&amp;"元（可无旧机换新）")</f>
        <v/>
      </c>
      <c r="U254" s="27" t="str">
        <f>IF(AND($N254="",$O254="",$P254="",$Q254="",$R254="",$S254="",$T254=""),"",固定信息!$B$1)</f>
        <v/>
      </c>
      <c r="V254" s="27" t="str" cm="1">
        <f t="array" ref="V254">IF(_xlfn.XLOOKUP($A254&amp;$B254&amp;$C254,盘货信息!$A:$A&amp;盘货信息!$B:$B&amp;盘货信息!$C:$C,盘货信息!$Y:$Y)="","","【卡萨帝送赠】活动指定时间"&amp;_xlfn.TEXTBEFORE(_xlfn.TEXTAFTER(_xlfn.XLOOKUP($A254&amp;$B254&amp;$C254,盘货信息!$A:$A&amp;盘货信息!$B:$B&amp;盘货信息!$C:$C,盘货信息!$Y:$Y),"点"),"（"))</f>
        <v/>
      </c>
      <c r="W254" s="27" t="str" cm="1">
        <f t="array" ref="W254">IF(COUNTIF(_xlfn.XLOOKUP($A254&amp;$B254&amp;$C254,盘货信息!$A:$A&amp;盘货信息!$B:$B&amp;盘货信息!$C:$C,盘货信息!$O:$O),"*是*"),"【折扣】指定型号满2类享96折，满3类享94折","")</f>
        <v/>
      </c>
      <c r="X254" s="27" t="str" cm="1">
        <f t="array" ref="X254">IF(固定信息!$B$7="","",IF(_xlfn.XLOOKUP($A254&amp;$B254&amp;$C254,盘货信息!$A:$A&amp;盘货信息!$B:$B&amp;盘货信息!$C:$C,盘货信息!$N:$N)="是","【瓜分】"&amp;固定信息!$B$7,""))</f>
        <v/>
      </c>
      <c r="Y254" s="27" t="str">
        <f>IF(AND($V254="",$W254="",$X254=""),"",固定信息!$B$1)</f>
        <v/>
      </c>
      <c r="Z254" s="27" t="str" cm="1">
        <f t="array" ref="Z254">IF($C254="","",_xlfn.XLOOKUP($A254&amp;$B254&amp;$C254,服务!$A:$A&amp;服务!$B:$B&amp;服务!$C:$C,服务!$D:$D))</f>
        <v/>
      </c>
    </row>
    <row r="255" customHeight="1" spans="1:26">
      <c r="A255" s="23" t="str">
        <f>IF(盘货信息!A255="","",盘货信息!A255)</f>
        <v/>
      </c>
      <c r="B255" s="26" t="str">
        <f>IF(盘货信息!B255="","",盘货信息!B255)</f>
        <v/>
      </c>
      <c r="C255" s="23" t="str">
        <f>IF(盘货信息!C255="","",盘货信息!C255)</f>
        <v/>
      </c>
      <c r="D255" s="27" t="str">
        <f ca="1" t="shared" si="3"/>
        <v/>
      </c>
      <c r="E255" s="27" t="str">
        <f>IF(C255="","",固定信息!$B$2)</f>
        <v/>
      </c>
      <c r="F255" s="27" t="str">
        <f>IF(C255="","","【"&amp;C255&amp;"】"&amp;固定信息!$B$4)</f>
        <v/>
      </c>
      <c r="G255" s="27" t="str">
        <f>IF(C255="","","【"&amp;"活动时间："&amp;固定信息!$B$3&amp;"】")</f>
        <v/>
      </c>
      <c r="H255" s="27" t="str">
        <f>IF($C255="","",固定信息!$B$1)</f>
        <v/>
      </c>
      <c r="I255" s="27" t="str">
        <f>IF(OR(C255="",固定信息!$B$5=""),"","【1元预约锁好礼】"&amp;固定信息!$B$5)</f>
        <v/>
      </c>
      <c r="J255" s="27" t="str" cm="1">
        <f t="array" ref="J255">_xlfn.XLOOKUP($A255&amp;$B255&amp;$C255,价格信息!$A:$A&amp;价格信息!$B:$B&amp;价格信息!$C:$C,价格信息!$D:$D)</f>
        <v/>
      </c>
      <c r="K255" s="27" t="str">
        <f>IF($C255="","",固定信息!$B$1)</f>
        <v/>
      </c>
      <c r="L255" s="27" t="str" cm="1">
        <f t="array" ref="L255">IF(_xlfn.XLOOKUP($A255&amp;$B255&amp;$C255,盘货信息!$A:$A&amp;盘货信息!$B:$B&amp;盘货信息!$C:$C,盘货信息!$T:$T)="","","【优惠券】领"&amp;_xlfn.XLOOKUP($A255&amp;$B255&amp;$C255,盘货信息!$A:$A&amp;盘货信息!$B:$B&amp;盘货信息!$C:$C,盘货信息!$T:$T)&amp;"元优惠卷下单更优惠，领券链接："&amp;_xlfn.XLOOKUP($A255&amp;$B255&amp;$C255,盘货信息!$A:$A&amp;盘货信息!$B:$B&amp;盘货信息!$C:$C,盘货信息!$U:$U))</f>
        <v/>
      </c>
      <c r="M255" s="27" t="str" cm="1">
        <f t="array" ref="M255">IF(_xlfn.XLOOKUP($A255&amp;$B255&amp;$C255,盘货信息!$A:$A&amp;盘货信息!$B:$B&amp;盘货信息!$C:$C,盘货信息!$P:$P)="","","【限时】"&amp;_xlfn.XLOOKUP($A255&amp;$B255&amp;$C255,盘货信息!$A:$A&amp;盘货信息!$B:$B&amp;盘货信息!$C:$C,盘货信息!$P:$P))</f>
        <v/>
      </c>
      <c r="N255" s="27" t="str" cm="1">
        <f t="array" ref="N255">IF(_xlfn.XLOOKUP($A255&amp;$B255&amp;$C255,盘货信息!$A:$A&amp;盘货信息!$B:$B&amp;盘货信息!$C:$C,盘货信息!$V:$V)="","","【"&amp;盘货信息!$V$1&amp;"】"&amp;_xlfn.XLOOKUP($A255&amp;$B255&amp;$C255,盘货信息!$A:$A&amp;盘货信息!$B:$B&amp;盘货信息!$C:$C,盘货信息!$V:$V))</f>
        <v/>
      </c>
      <c r="O255" s="27" t="str" cm="1">
        <f t="array" ref="O255">IF(_xlfn.XLOOKUP($A255&amp;$B255&amp;$C255,盘货信息!$A:$A&amp;盘货信息!$B:$B&amp;盘货信息!$C:$C,盘货信息!$W:$W)="","","【"&amp;盘货信息!$W$1&amp;"】"&amp;_xlfn.XLOOKUP($A255&amp;$B255&amp;$C255,盘货信息!$A:$A&amp;盘货信息!$B:$B&amp;盘货信息!$C:$C,盘货信息!$W:$W))</f>
        <v/>
      </c>
      <c r="P255" s="27" t="str" cm="1">
        <f t="array" ref="P255">IF(_xlfn.XLOOKUP($A255&amp;$B255&amp;$C255,盘货信息!$A:$A&amp;盘货信息!$B:$B&amp;盘货信息!$C:$C,盘货信息!$S:$S)&lt;1,"","【"&amp;盘货信息!$S$1&amp;"】"&amp;"后返"&amp;_xlfn.XLOOKUP($A255&amp;$B255&amp;$C255,盘货信息!$A:$A&amp;盘货信息!$B:$B&amp;盘货信息!$C:$C,盘货信息!$S:$S)&amp;"元")</f>
        <v/>
      </c>
      <c r="Q255" s="27" t="str" cm="1">
        <f t="array" ref="Q255">IF(_xlfn.XLOOKUP($A255&amp;$B255&amp;$C255,盘货信息!$A:$A&amp;盘货信息!$B:$B&amp;盘货信息!$C:$C,盘货信息!$X:$X)="","","【"&amp;盘货信息!$X$1&amp;"】"&amp;_xlfn.XLOOKUP($A255&amp;$B255&amp;$C255,盘货信息!$A:$A&amp;盘货信息!$B:$B&amp;盘货信息!$C:$C,盘货信息!$X:$X))</f>
        <v/>
      </c>
      <c r="R255" s="27" t="str" cm="1">
        <f t="array" ref="R255">IF(_xlfn.XLOOKUP($A255&amp;$B255&amp;$C255,盘货信息!$A:$A&amp;盘货信息!$B:$B&amp;盘货信息!$C:$C,盘货信息!$Z:$Z)="","","【"&amp;盘货信息!$Z$1&amp;"】"&amp;_xlfn.XLOOKUP($A255&amp;$B255&amp;$C255,盘货信息!$A:$A&amp;盘货信息!$B:$B&amp;盘货信息!$C:$C,盘货信息!$Z:$Z))</f>
        <v/>
      </c>
      <c r="S255" s="27" t="str" cm="1">
        <f t="array" ref="S255">IF(_xlfn.XLOOKUP($A255&amp;$B255&amp;$C255,盘货信息!$A:$A&amp;盘货信息!$B:$B&amp;盘货信息!$C:$C,盘货信息!$Q:$Q)="","","【种草】站外带指定话题种草后返"&amp;_xlfn.XLOOKUP($A255&amp;$B255&amp;$C255,盘货信息!$A:$A&amp;盘货信息!$B:$B&amp;盘货信息!$C:$C,盘货信息!$Q:$Q)&amp;"元红包（每个淘宝账号仅限对应一个站外种草账号，同一个种草账号不可对应多个淘宝账号）")</f>
        <v/>
      </c>
      <c r="T255" s="27" t="str" cm="1">
        <f t="array" ref="T255">IF(_xlfn.XLOOKUP($A255&amp;$B255&amp;$C255,盘货信息!$A:$A&amp;盘货信息!$B:$B&amp;盘货信息!$C:$C,盘货信息!$R:$R)&lt;1,"","【以旧换新】"&amp;"享补贴"&amp;ROUND(_xlfn.XLOOKUP($A255&amp;$B255&amp;$C255,盘货信息!$A:$A&amp;盘货信息!$B:$B&amp;盘货信息!$C:$C,盘货信息!$R:$R),0)&amp;"元（可无旧机换新）")</f>
        <v/>
      </c>
      <c r="U255" s="27" t="str">
        <f>IF(AND($N255="",$O255="",$P255="",$Q255="",$R255="",$S255="",$T255=""),"",固定信息!$B$1)</f>
        <v/>
      </c>
      <c r="V255" s="27" t="str" cm="1">
        <f t="array" ref="V255">IF(_xlfn.XLOOKUP($A255&amp;$B255&amp;$C255,盘货信息!$A:$A&amp;盘货信息!$B:$B&amp;盘货信息!$C:$C,盘货信息!$Y:$Y)="","","【卡萨帝送赠】活动指定时间"&amp;_xlfn.TEXTBEFORE(_xlfn.TEXTAFTER(_xlfn.XLOOKUP($A255&amp;$B255&amp;$C255,盘货信息!$A:$A&amp;盘货信息!$B:$B&amp;盘货信息!$C:$C,盘货信息!$Y:$Y),"点"),"（"))</f>
        <v/>
      </c>
      <c r="W255" s="27" t="str" cm="1">
        <f t="array" ref="W255">IF(COUNTIF(_xlfn.XLOOKUP($A255&amp;$B255&amp;$C255,盘货信息!$A:$A&amp;盘货信息!$B:$B&amp;盘货信息!$C:$C,盘货信息!$O:$O),"*是*"),"【折扣】指定型号满2类享96折，满3类享94折","")</f>
        <v/>
      </c>
      <c r="X255" s="27" t="str" cm="1">
        <f t="array" ref="X255">IF(固定信息!$B$7="","",IF(_xlfn.XLOOKUP($A255&amp;$B255&amp;$C255,盘货信息!$A:$A&amp;盘货信息!$B:$B&amp;盘货信息!$C:$C,盘货信息!$N:$N)="是","【瓜分】"&amp;固定信息!$B$7,""))</f>
        <v/>
      </c>
      <c r="Y255" s="27" t="str">
        <f>IF(AND($V255="",$W255="",$X255=""),"",固定信息!$B$1)</f>
        <v/>
      </c>
      <c r="Z255" s="27" t="str" cm="1">
        <f t="array" ref="Z255">IF($C255="","",_xlfn.XLOOKUP($A255&amp;$B255&amp;$C255,服务!$A:$A&amp;服务!$B:$B&amp;服务!$C:$C,服务!$D:$D))</f>
        <v/>
      </c>
    </row>
    <row r="256" customHeight="1" spans="1:26">
      <c r="A256" s="23" t="str">
        <f>IF(盘货信息!A256="","",盘货信息!A256)</f>
        <v/>
      </c>
      <c r="B256" s="26" t="str">
        <f>IF(盘货信息!B256="","",盘货信息!B256)</f>
        <v/>
      </c>
      <c r="C256" s="23" t="str">
        <f>IF(盘货信息!C256="","",盘货信息!C256)</f>
        <v/>
      </c>
      <c r="D256" s="27" t="str">
        <f ca="1" t="shared" si="3"/>
        <v/>
      </c>
      <c r="E256" s="27" t="str">
        <f>IF(C256="","",固定信息!$B$2)</f>
        <v/>
      </c>
      <c r="F256" s="27" t="str">
        <f>IF(C256="","","【"&amp;C256&amp;"】"&amp;固定信息!$B$4)</f>
        <v/>
      </c>
      <c r="G256" s="27" t="str">
        <f>IF(C256="","","【"&amp;"活动时间："&amp;固定信息!$B$3&amp;"】")</f>
        <v/>
      </c>
      <c r="H256" s="27" t="str">
        <f>IF($C256="","",固定信息!$B$1)</f>
        <v/>
      </c>
      <c r="I256" s="27" t="str">
        <f>IF(OR(C256="",固定信息!$B$5=""),"","【1元预约锁好礼】"&amp;固定信息!$B$5)</f>
        <v/>
      </c>
      <c r="J256" s="27" t="str" cm="1">
        <f t="array" ref="J256">_xlfn.XLOOKUP($A256&amp;$B256&amp;$C256,价格信息!$A:$A&amp;价格信息!$B:$B&amp;价格信息!$C:$C,价格信息!$D:$D)</f>
        <v/>
      </c>
      <c r="K256" s="27" t="str">
        <f>IF($C256="","",固定信息!$B$1)</f>
        <v/>
      </c>
      <c r="L256" s="27" t="str" cm="1">
        <f t="array" ref="L256">IF(_xlfn.XLOOKUP($A256&amp;$B256&amp;$C256,盘货信息!$A:$A&amp;盘货信息!$B:$B&amp;盘货信息!$C:$C,盘货信息!$T:$T)="","","【优惠券】领"&amp;_xlfn.XLOOKUP($A256&amp;$B256&amp;$C256,盘货信息!$A:$A&amp;盘货信息!$B:$B&amp;盘货信息!$C:$C,盘货信息!$T:$T)&amp;"元优惠卷下单更优惠，领券链接："&amp;_xlfn.XLOOKUP($A256&amp;$B256&amp;$C256,盘货信息!$A:$A&amp;盘货信息!$B:$B&amp;盘货信息!$C:$C,盘货信息!$U:$U))</f>
        <v/>
      </c>
      <c r="M256" s="27" t="str" cm="1">
        <f t="array" ref="M256">IF(_xlfn.XLOOKUP($A256&amp;$B256&amp;$C256,盘货信息!$A:$A&amp;盘货信息!$B:$B&amp;盘货信息!$C:$C,盘货信息!$P:$P)="","","【限时】"&amp;_xlfn.XLOOKUP($A256&amp;$B256&amp;$C256,盘货信息!$A:$A&amp;盘货信息!$B:$B&amp;盘货信息!$C:$C,盘货信息!$P:$P))</f>
        <v/>
      </c>
      <c r="N256" s="27" t="str" cm="1">
        <f t="array" ref="N256">IF(_xlfn.XLOOKUP($A256&amp;$B256&amp;$C256,盘货信息!$A:$A&amp;盘货信息!$B:$B&amp;盘货信息!$C:$C,盘货信息!$V:$V)="","","【"&amp;盘货信息!$V$1&amp;"】"&amp;_xlfn.XLOOKUP($A256&amp;$B256&amp;$C256,盘货信息!$A:$A&amp;盘货信息!$B:$B&amp;盘货信息!$C:$C,盘货信息!$V:$V))</f>
        <v/>
      </c>
      <c r="O256" s="27" t="str" cm="1">
        <f t="array" ref="O256">IF(_xlfn.XLOOKUP($A256&amp;$B256&amp;$C256,盘货信息!$A:$A&amp;盘货信息!$B:$B&amp;盘货信息!$C:$C,盘货信息!$W:$W)="","","【"&amp;盘货信息!$W$1&amp;"】"&amp;_xlfn.XLOOKUP($A256&amp;$B256&amp;$C256,盘货信息!$A:$A&amp;盘货信息!$B:$B&amp;盘货信息!$C:$C,盘货信息!$W:$W))</f>
        <v/>
      </c>
      <c r="P256" s="27" t="str" cm="1">
        <f t="array" ref="P256">IF(_xlfn.XLOOKUP($A256&amp;$B256&amp;$C256,盘货信息!$A:$A&amp;盘货信息!$B:$B&amp;盘货信息!$C:$C,盘货信息!$S:$S)&lt;1,"","【"&amp;盘货信息!$S$1&amp;"】"&amp;"后返"&amp;_xlfn.XLOOKUP($A256&amp;$B256&amp;$C256,盘货信息!$A:$A&amp;盘货信息!$B:$B&amp;盘货信息!$C:$C,盘货信息!$S:$S)&amp;"元")</f>
        <v/>
      </c>
      <c r="Q256" s="27" t="str" cm="1">
        <f t="array" ref="Q256">IF(_xlfn.XLOOKUP($A256&amp;$B256&amp;$C256,盘货信息!$A:$A&amp;盘货信息!$B:$B&amp;盘货信息!$C:$C,盘货信息!$X:$X)="","","【"&amp;盘货信息!$X$1&amp;"】"&amp;_xlfn.XLOOKUP($A256&amp;$B256&amp;$C256,盘货信息!$A:$A&amp;盘货信息!$B:$B&amp;盘货信息!$C:$C,盘货信息!$X:$X))</f>
        <v/>
      </c>
      <c r="R256" s="27" t="str" cm="1">
        <f t="array" ref="R256">IF(_xlfn.XLOOKUP($A256&amp;$B256&amp;$C256,盘货信息!$A:$A&amp;盘货信息!$B:$B&amp;盘货信息!$C:$C,盘货信息!$Z:$Z)="","","【"&amp;盘货信息!$Z$1&amp;"】"&amp;_xlfn.XLOOKUP($A256&amp;$B256&amp;$C256,盘货信息!$A:$A&amp;盘货信息!$B:$B&amp;盘货信息!$C:$C,盘货信息!$Z:$Z))</f>
        <v/>
      </c>
      <c r="S256" s="27" t="str" cm="1">
        <f t="array" ref="S256">IF(_xlfn.XLOOKUP($A256&amp;$B256&amp;$C256,盘货信息!$A:$A&amp;盘货信息!$B:$B&amp;盘货信息!$C:$C,盘货信息!$Q:$Q)="","","【种草】站外带指定话题种草后返"&amp;_xlfn.XLOOKUP($A256&amp;$B256&amp;$C256,盘货信息!$A:$A&amp;盘货信息!$B:$B&amp;盘货信息!$C:$C,盘货信息!$Q:$Q)&amp;"元红包（每个淘宝账号仅限对应一个站外种草账号，同一个种草账号不可对应多个淘宝账号）")</f>
        <v/>
      </c>
      <c r="T256" s="27" t="str" cm="1">
        <f t="array" ref="T256">IF(_xlfn.XLOOKUP($A256&amp;$B256&amp;$C256,盘货信息!$A:$A&amp;盘货信息!$B:$B&amp;盘货信息!$C:$C,盘货信息!$R:$R)&lt;1,"","【以旧换新】"&amp;"享补贴"&amp;ROUND(_xlfn.XLOOKUP($A256&amp;$B256&amp;$C256,盘货信息!$A:$A&amp;盘货信息!$B:$B&amp;盘货信息!$C:$C,盘货信息!$R:$R),0)&amp;"元（可无旧机换新）")</f>
        <v/>
      </c>
      <c r="U256" s="27" t="str">
        <f>IF(AND($N256="",$O256="",$P256="",$Q256="",$R256="",$S256="",$T256=""),"",固定信息!$B$1)</f>
        <v/>
      </c>
      <c r="V256" s="27" t="str" cm="1">
        <f t="array" ref="V256">IF(_xlfn.XLOOKUP($A256&amp;$B256&amp;$C256,盘货信息!$A:$A&amp;盘货信息!$B:$B&amp;盘货信息!$C:$C,盘货信息!$Y:$Y)="","","【卡萨帝送赠】活动指定时间"&amp;_xlfn.TEXTBEFORE(_xlfn.TEXTAFTER(_xlfn.XLOOKUP($A256&amp;$B256&amp;$C256,盘货信息!$A:$A&amp;盘货信息!$B:$B&amp;盘货信息!$C:$C,盘货信息!$Y:$Y),"点"),"（"))</f>
        <v/>
      </c>
      <c r="W256" s="27" t="str" cm="1">
        <f t="array" ref="W256">IF(COUNTIF(_xlfn.XLOOKUP($A256&amp;$B256&amp;$C256,盘货信息!$A:$A&amp;盘货信息!$B:$B&amp;盘货信息!$C:$C,盘货信息!$O:$O),"*是*"),"【折扣】指定型号满2类享96折，满3类享94折","")</f>
        <v/>
      </c>
      <c r="X256" s="27" t="str" cm="1">
        <f t="array" ref="X256">IF(固定信息!$B$7="","",IF(_xlfn.XLOOKUP($A256&amp;$B256&amp;$C256,盘货信息!$A:$A&amp;盘货信息!$B:$B&amp;盘货信息!$C:$C,盘货信息!$N:$N)="是","【瓜分】"&amp;固定信息!$B$7,""))</f>
        <v/>
      </c>
      <c r="Y256" s="27" t="str">
        <f>IF(AND($V256="",$W256="",$X256=""),"",固定信息!$B$1)</f>
        <v/>
      </c>
      <c r="Z256" s="27" t="str" cm="1">
        <f t="array" ref="Z256">IF($C256="","",_xlfn.XLOOKUP($A256&amp;$B256&amp;$C256,服务!$A:$A&amp;服务!$B:$B&amp;服务!$C:$C,服务!$D:$D))</f>
        <v/>
      </c>
    </row>
    <row r="257" customHeight="1" spans="1:26">
      <c r="A257" s="23" t="str">
        <f>IF(盘货信息!A257="","",盘货信息!A257)</f>
        <v/>
      </c>
      <c r="B257" s="26" t="str">
        <f>IF(盘货信息!B257="","",盘货信息!B257)</f>
        <v/>
      </c>
      <c r="C257" s="23" t="str">
        <f>IF(盘货信息!C257="","",盘货信息!C257)</f>
        <v/>
      </c>
      <c r="D257" s="27" t="str">
        <f ca="1" t="shared" si="3"/>
        <v/>
      </c>
      <c r="E257" s="27" t="str">
        <f>IF(C257="","",固定信息!$B$2)</f>
        <v/>
      </c>
      <c r="F257" s="27" t="str">
        <f>IF(C257="","","【"&amp;C257&amp;"】"&amp;固定信息!$B$4)</f>
        <v/>
      </c>
      <c r="G257" s="27" t="str">
        <f>IF(C257="","","【"&amp;"活动时间："&amp;固定信息!$B$3&amp;"】")</f>
        <v/>
      </c>
      <c r="H257" s="27" t="str">
        <f>IF($C257="","",固定信息!$B$1)</f>
        <v/>
      </c>
      <c r="I257" s="27" t="str">
        <f>IF(OR(C257="",固定信息!$B$5=""),"","【1元预约锁好礼】"&amp;固定信息!$B$5)</f>
        <v/>
      </c>
      <c r="J257" s="27" t="str" cm="1">
        <f t="array" ref="J257">_xlfn.XLOOKUP($A257&amp;$B257&amp;$C257,价格信息!$A:$A&amp;价格信息!$B:$B&amp;价格信息!$C:$C,价格信息!$D:$D)</f>
        <v/>
      </c>
      <c r="K257" s="27" t="str">
        <f>IF($C257="","",固定信息!$B$1)</f>
        <v/>
      </c>
      <c r="L257" s="27" t="str" cm="1">
        <f t="array" ref="L257">IF(_xlfn.XLOOKUP($A257&amp;$B257&amp;$C257,盘货信息!$A:$A&amp;盘货信息!$B:$B&amp;盘货信息!$C:$C,盘货信息!$T:$T)="","","【优惠券】领"&amp;_xlfn.XLOOKUP($A257&amp;$B257&amp;$C257,盘货信息!$A:$A&amp;盘货信息!$B:$B&amp;盘货信息!$C:$C,盘货信息!$T:$T)&amp;"元优惠卷下单更优惠，领券链接："&amp;_xlfn.XLOOKUP($A257&amp;$B257&amp;$C257,盘货信息!$A:$A&amp;盘货信息!$B:$B&amp;盘货信息!$C:$C,盘货信息!$U:$U))</f>
        <v/>
      </c>
      <c r="M257" s="27" t="str" cm="1">
        <f t="array" ref="M257">IF(_xlfn.XLOOKUP($A257&amp;$B257&amp;$C257,盘货信息!$A:$A&amp;盘货信息!$B:$B&amp;盘货信息!$C:$C,盘货信息!$P:$P)="","","【限时】"&amp;_xlfn.XLOOKUP($A257&amp;$B257&amp;$C257,盘货信息!$A:$A&amp;盘货信息!$B:$B&amp;盘货信息!$C:$C,盘货信息!$P:$P))</f>
        <v/>
      </c>
      <c r="N257" s="27" t="str" cm="1">
        <f t="array" ref="N257">IF(_xlfn.XLOOKUP($A257&amp;$B257&amp;$C257,盘货信息!$A:$A&amp;盘货信息!$B:$B&amp;盘货信息!$C:$C,盘货信息!$V:$V)="","","【"&amp;盘货信息!$V$1&amp;"】"&amp;_xlfn.XLOOKUP($A257&amp;$B257&amp;$C257,盘货信息!$A:$A&amp;盘货信息!$B:$B&amp;盘货信息!$C:$C,盘货信息!$V:$V))</f>
        <v/>
      </c>
      <c r="O257" s="27" t="str" cm="1">
        <f t="array" ref="O257">IF(_xlfn.XLOOKUP($A257&amp;$B257&amp;$C257,盘货信息!$A:$A&amp;盘货信息!$B:$B&amp;盘货信息!$C:$C,盘货信息!$W:$W)="","","【"&amp;盘货信息!$W$1&amp;"】"&amp;_xlfn.XLOOKUP($A257&amp;$B257&amp;$C257,盘货信息!$A:$A&amp;盘货信息!$B:$B&amp;盘货信息!$C:$C,盘货信息!$W:$W))</f>
        <v/>
      </c>
      <c r="P257" s="27" t="str" cm="1">
        <f t="array" ref="P257">IF(_xlfn.XLOOKUP($A257&amp;$B257&amp;$C257,盘货信息!$A:$A&amp;盘货信息!$B:$B&amp;盘货信息!$C:$C,盘货信息!$S:$S)&lt;1,"","【"&amp;盘货信息!$S$1&amp;"】"&amp;"后返"&amp;_xlfn.XLOOKUP($A257&amp;$B257&amp;$C257,盘货信息!$A:$A&amp;盘货信息!$B:$B&amp;盘货信息!$C:$C,盘货信息!$S:$S)&amp;"元")</f>
        <v/>
      </c>
      <c r="Q257" s="27" t="str" cm="1">
        <f t="array" ref="Q257">IF(_xlfn.XLOOKUP($A257&amp;$B257&amp;$C257,盘货信息!$A:$A&amp;盘货信息!$B:$B&amp;盘货信息!$C:$C,盘货信息!$X:$X)="","","【"&amp;盘货信息!$X$1&amp;"】"&amp;_xlfn.XLOOKUP($A257&amp;$B257&amp;$C257,盘货信息!$A:$A&amp;盘货信息!$B:$B&amp;盘货信息!$C:$C,盘货信息!$X:$X))</f>
        <v/>
      </c>
      <c r="R257" s="27" t="str" cm="1">
        <f t="array" ref="R257">IF(_xlfn.XLOOKUP($A257&amp;$B257&amp;$C257,盘货信息!$A:$A&amp;盘货信息!$B:$B&amp;盘货信息!$C:$C,盘货信息!$Z:$Z)="","","【"&amp;盘货信息!$Z$1&amp;"】"&amp;_xlfn.XLOOKUP($A257&amp;$B257&amp;$C257,盘货信息!$A:$A&amp;盘货信息!$B:$B&amp;盘货信息!$C:$C,盘货信息!$Z:$Z))</f>
        <v/>
      </c>
      <c r="S257" s="27" t="str" cm="1">
        <f t="array" ref="S257">IF(_xlfn.XLOOKUP($A257&amp;$B257&amp;$C257,盘货信息!$A:$A&amp;盘货信息!$B:$B&amp;盘货信息!$C:$C,盘货信息!$Q:$Q)="","","【种草】站外带指定话题种草后返"&amp;_xlfn.XLOOKUP($A257&amp;$B257&amp;$C257,盘货信息!$A:$A&amp;盘货信息!$B:$B&amp;盘货信息!$C:$C,盘货信息!$Q:$Q)&amp;"元红包（每个淘宝账号仅限对应一个站外种草账号，同一个种草账号不可对应多个淘宝账号）")</f>
        <v/>
      </c>
      <c r="T257" s="27" t="str" cm="1">
        <f t="array" ref="T257">IF(_xlfn.XLOOKUP($A257&amp;$B257&amp;$C257,盘货信息!$A:$A&amp;盘货信息!$B:$B&amp;盘货信息!$C:$C,盘货信息!$R:$R)&lt;1,"","【以旧换新】"&amp;"享补贴"&amp;ROUND(_xlfn.XLOOKUP($A257&amp;$B257&amp;$C257,盘货信息!$A:$A&amp;盘货信息!$B:$B&amp;盘货信息!$C:$C,盘货信息!$R:$R),0)&amp;"元（可无旧机换新）")</f>
        <v/>
      </c>
      <c r="U257" s="27" t="str">
        <f>IF(AND($N257="",$O257="",$P257="",$Q257="",$R257="",$S257="",$T257=""),"",固定信息!$B$1)</f>
        <v/>
      </c>
      <c r="V257" s="27" t="str" cm="1">
        <f t="array" ref="V257">IF(_xlfn.XLOOKUP($A257&amp;$B257&amp;$C257,盘货信息!$A:$A&amp;盘货信息!$B:$B&amp;盘货信息!$C:$C,盘货信息!$Y:$Y)="","","【卡萨帝送赠】活动指定时间"&amp;_xlfn.TEXTBEFORE(_xlfn.TEXTAFTER(_xlfn.XLOOKUP($A257&amp;$B257&amp;$C257,盘货信息!$A:$A&amp;盘货信息!$B:$B&amp;盘货信息!$C:$C,盘货信息!$Y:$Y),"点"),"（"))</f>
        <v/>
      </c>
      <c r="W257" s="27" t="str" cm="1">
        <f t="array" ref="W257">IF(COUNTIF(_xlfn.XLOOKUP($A257&amp;$B257&amp;$C257,盘货信息!$A:$A&amp;盘货信息!$B:$B&amp;盘货信息!$C:$C,盘货信息!$O:$O),"*是*"),"【折扣】指定型号满2类享96折，满3类享94折","")</f>
        <v/>
      </c>
      <c r="X257" s="27" t="str" cm="1">
        <f t="array" ref="X257">IF(固定信息!$B$7="","",IF(_xlfn.XLOOKUP($A257&amp;$B257&amp;$C257,盘货信息!$A:$A&amp;盘货信息!$B:$B&amp;盘货信息!$C:$C,盘货信息!$N:$N)="是","【瓜分】"&amp;固定信息!$B$7,""))</f>
        <v/>
      </c>
      <c r="Y257" s="27" t="str">
        <f>IF(AND($V257="",$W257="",$X257=""),"",固定信息!$B$1)</f>
        <v/>
      </c>
      <c r="Z257" s="27" t="str" cm="1">
        <f t="array" ref="Z257">IF($C257="","",_xlfn.XLOOKUP($A257&amp;$B257&amp;$C257,服务!$A:$A&amp;服务!$B:$B&amp;服务!$C:$C,服务!$D:$D))</f>
        <v/>
      </c>
    </row>
    <row r="258" customHeight="1" spans="1:26">
      <c r="A258" s="23" t="str">
        <f>IF(盘货信息!A258="","",盘货信息!A258)</f>
        <v/>
      </c>
      <c r="B258" s="26" t="str">
        <f>IF(盘货信息!B258="","",盘货信息!B258)</f>
        <v/>
      </c>
      <c r="C258" s="23" t="str">
        <f>IF(盘货信息!C258="","",盘货信息!C258)</f>
        <v/>
      </c>
      <c r="D258" s="27" t="str">
        <f ca="1" t="shared" si="3"/>
        <v/>
      </c>
      <c r="E258" s="27" t="str">
        <f>IF(C258="","",固定信息!$B$2)</f>
        <v/>
      </c>
      <c r="F258" s="27" t="str">
        <f>IF(C258="","","【"&amp;C258&amp;"】"&amp;固定信息!$B$4)</f>
        <v/>
      </c>
      <c r="G258" s="27" t="str">
        <f>IF(C258="","","【"&amp;"活动时间："&amp;固定信息!$B$3&amp;"】")</f>
        <v/>
      </c>
      <c r="H258" s="27" t="str">
        <f>IF($C258="","",固定信息!$B$1)</f>
        <v/>
      </c>
      <c r="I258" s="27" t="str">
        <f>IF(OR(C258="",固定信息!$B$5=""),"","【1元预约锁好礼】"&amp;固定信息!$B$5)</f>
        <v/>
      </c>
      <c r="J258" s="27" t="str" cm="1">
        <f t="array" ref="J258">_xlfn.XLOOKUP($A258&amp;$B258&amp;$C258,价格信息!$A:$A&amp;价格信息!$B:$B&amp;价格信息!$C:$C,价格信息!$D:$D)</f>
        <v/>
      </c>
      <c r="K258" s="27" t="str">
        <f>IF($C258="","",固定信息!$B$1)</f>
        <v/>
      </c>
      <c r="L258" s="27" t="str" cm="1">
        <f t="array" ref="L258">IF(_xlfn.XLOOKUP($A258&amp;$B258&amp;$C258,盘货信息!$A:$A&amp;盘货信息!$B:$B&amp;盘货信息!$C:$C,盘货信息!$T:$T)="","","【优惠券】领"&amp;_xlfn.XLOOKUP($A258&amp;$B258&amp;$C258,盘货信息!$A:$A&amp;盘货信息!$B:$B&amp;盘货信息!$C:$C,盘货信息!$T:$T)&amp;"元优惠卷下单更优惠，领券链接："&amp;_xlfn.XLOOKUP($A258&amp;$B258&amp;$C258,盘货信息!$A:$A&amp;盘货信息!$B:$B&amp;盘货信息!$C:$C,盘货信息!$U:$U))</f>
        <v/>
      </c>
      <c r="M258" s="27" t="str" cm="1">
        <f t="array" ref="M258">IF(_xlfn.XLOOKUP($A258&amp;$B258&amp;$C258,盘货信息!$A:$A&amp;盘货信息!$B:$B&amp;盘货信息!$C:$C,盘货信息!$P:$P)="","","【限时】"&amp;_xlfn.XLOOKUP($A258&amp;$B258&amp;$C258,盘货信息!$A:$A&amp;盘货信息!$B:$B&amp;盘货信息!$C:$C,盘货信息!$P:$P))</f>
        <v/>
      </c>
      <c r="N258" s="27" t="str" cm="1">
        <f t="array" ref="N258">IF(_xlfn.XLOOKUP($A258&amp;$B258&amp;$C258,盘货信息!$A:$A&amp;盘货信息!$B:$B&amp;盘货信息!$C:$C,盘货信息!$V:$V)="","","【"&amp;盘货信息!$V$1&amp;"】"&amp;_xlfn.XLOOKUP($A258&amp;$B258&amp;$C258,盘货信息!$A:$A&amp;盘货信息!$B:$B&amp;盘货信息!$C:$C,盘货信息!$V:$V))</f>
        <v/>
      </c>
      <c r="O258" s="27" t="str" cm="1">
        <f t="array" ref="O258">IF(_xlfn.XLOOKUP($A258&amp;$B258&amp;$C258,盘货信息!$A:$A&amp;盘货信息!$B:$B&amp;盘货信息!$C:$C,盘货信息!$W:$W)="","","【"&amp;盘货信息!$W$1&amp;"】"&amp;_xlfn.XLOOKUP($A258&amp;$B258&amp;$C258,盘货信息!$A:$A&amp;盘货信息!$B:$B&amp;盘货信息!$C:$C,盘货信息!$W:$W))</f>
        <v/>
      </c>
      <c r="P258" s="27" t="str" cm="1">
        <f t="array" ref="P258">IF(_xlfn.XLOOKUP($A258&amp;$B258&amp;$C258,盘货信息!$A:$A&amp;盘货信息!$B:$B&amp;盘货信息!$C:$C,盘货信息!$S:$S)&lt;1,"","【"&amp;盘货信息!$S$1&amp;"】"&amp;"后返"&amp;_xlfn.XLOOKUP($A258&amp;$B258&amp;$C258,盘货信息!$A:$A&amp;盘货信息!$B:$B&amp;盘货信息!$C:$C,盘货信息!$S:$S)&amp;"元")</f>
        <v/>
      </c>
      <c r="Q258" s="27" t="str" cm="1">
        <f t="array" ref="Q258">IF(_xlfn.XLOOKUP($A258&amp;$B258&amp;$C258,盘货信息!$A:$A&amp;盘货信息!$B:$B&amp;盘货信息!$C:$C,盘货信息!$X:$X)="","","【"&amp;盘货信息!$X$1&amp;"】"&amp;_xlfn.XLOOKUP($A258&amp;$B258&amp;$C258,盘货信息!$A:$A&amp;盘货信息!$B:$B&amp;盘货信息!$C:$C,盘货信息!$X:$X))</f>
        <v/>
      </c>
      <c r="R258" s="27" t="str" cm="1">
        <f t="array" ref="R258">IF(_xlfn.XLOOKUP($A258&amp;$B258&amp;$C258,盘货信息!$A:$A&amp;盘货信息!$B:$B&amp;盘货信息!$C:$C,盘货信息!$Z:$Z)="","","【"&amp;盘货信息!$Z$1&amp;"】"&amp;_xlfn.XLOOKUP($A258&amp;$B258&amp;$C258,盘货信息!$A:$A&amp;盘货信息!$B:$B&amp;盘货信息!$C:$C,盘货信息!$Z:$Z))</f>
        <v/>
      </c>
      <c r="S258" s="27" t="str" cm="1">
        <f t="array" ref="S258">IF(_xlfn.XLOOKUP($A258&amp;$B258&amp;$C258,盘货信息!$A:$A&amp;盘货信息!$B:$B&amp;盘货信息!$C:$C,盘货信息!$Q:$Q)="","","【种草】站外带指定话题种草后返"&amp;_xlfn.XLOOKUP($A258&amp;$B258&amp;$C258,盘货信息!$A:$A&amp;盘货信息!$B:$B&amp;盘货信息!$C:$C,盘货信息!$Q:$Q)&amp;"元红包（每个淘宝账号仅限对应一个站外种草账号，同一个种草账号不可对应多个淘宝账号）")</f>
        <v/>
      </c>
      <c r="T258" s="27" t="str" cm="1">
        <f t="array" ref="T258">IF(_xlfn.XLOOKUP($A258&amp;$B258&amp;$C258,盘货信息!$A:$A&amp;盘货信息!$B:$B&amp;盘货信息!$C:$C,盘货信息!$R:$R)&lt;1,"","【以旧换新】"&amp;"享补贴"&amp;ROUND(_xlfn.XLOOKUP($A258&amp;$B258&amp;$C258,盘货信息!$A:$A&amp;盘货信息!$B:$B&amp;盘货信息!$C:$C,盘货信息!$R:$R),0)&amp;"元（可无旧机换新）")</f>
        <v/>
      </c>
      <c r="U258" s="27" t="str">
        <f>IF(AND($N258="",$O258="",$P258="",$Q258="",$R258="",$S258="",$T258=""),"",固定信息!$B$1)</f>
        <v/>
      </c>
      <c r="V258" s="27" t="str" cm="1">
        <f t="array" ref="V258">IF(_xlfn.XLOOKUP($A258&amp;$B258&amp;$C258,盘货信息!$A:$A&amp;盘货信息!$B:$B&amp;盘货信息!$C:$C,盘货信息!$Y:$Y)="","","【卡萨帝送赠】活动指定时间"&amp;_xlfn.TEXTBEFORE(_xlfn.TEXTAFTER(_xlfn.XLOOKUP($A258&amp;$B258&amp;$C258,盘货信息!$A:$A&amp;盘货信息!$B:$B&amp;盘货信息!$C:$C,盘货信息!$Y:$Y),"点"),"（"))</f>
        <v/>
      </c>
      <c r="W258" s="27" t="str" cm="1">
        <f t="array" ref="W258">IF(COUNTIF(_xlfn.XLOOKUP($A258&amp;$B258&amp;$C258,盘货信息!$A:$A&amp;盘货信息!$B:$B&amp;盘货信息!$C:$C,盘货信息!$O:$O),"*是*"),"【折扣】指定型号满2类享96折，满3类享94折","")</f>
        <v/>
      </c>
      <c r="X258" s="27" t="str" cm="1">
        <f t="array" ref="X258">IF(固定信息!$B$7="","",IF(_xlfn.XLOOKUP($A258&amp;$B258&amp;$C258,盘货信息!$A:$A&amp;盘货信息!$B:$B&amp;盘货信息!$C:$C,盘货信息!$N:$N)="是","【瓜分】"&amp;固定信息!$B$7,""))</f>
        <v/>
      </c>
      <c r="Y258" s="27" t="str">
        <f>IF(AND($V258="",$W258="",$X258=""),"",固定信息!$B$1)</f>
        <v/>
      </c>
      <c r="Z258" s="27" t="str" cm="1">
        <f t="array" ref="Z258">IF($C258="","",_xlfn.XLOOKUP($A258&amp;$B258&amp;$C258,服务!$A:$A&amp;服务!$B:$B&amp;服务!$C:$C,服务!$D:$D))</f>
        <v/>
      </c>
    </row>
    <row r="259" customHeight="1" spans="1:26">
      <c r="A259" s="23" t="str">
        <f>IF(盘货信息!A259="","",盘货信息!A259)</f>
        <v/>
      </c>
      <c r="B259" s="26" t="str">
        <f>IF(盘货信息!B259="","",盘货信息!B259)</f>
        <v/>
      </c>
      <c r="C259" s="23" t="str">
        <f>IF(盘货信息!C259="","",盘货信息!C259)</f>
        <v/>
      </c>
      <c r="D259" s="27" t="str">
        <f ca="1" t="shared" ref="D259:D322" si="4">_xlfn.TEXTJOIN(CHAR(10),TRUE,OFFSET(INDIRECT("RC",FALSE),0,1,1,30))</f>
        <v/>
      </c>
      <c r="E259" s="27" t="str">
        <f>IF(C259="","",固定信息!$B$2)</f>
        <v/>
      </c>
      <c r="F259" s="27" t="str">
        <f>IF(C259="","","【"&amp;C259&amp;"】"&amp;固定信息!$B$4)</f>
        <v/>
      </c>
      <c r="G259" s="27" t="str">
        <f>IF(C259="","","【"&amp;"活动时间："&amp;固定信息!$B$3&amp;"】")</f>
        <v/>
      </c>
      <c r="H259" s="27" t="str">
        <f>IF($C259="","",固定信息!$B$1)</f>
        <v/>
      </c>
      <c r="I259" s="27" t="str">
        <f>IF(OR(C259="",固定信息!$B$5=""),"","【1元预约锁好礼】"&amp;固定信息!$B$5)</f>
        <v/>
      </c>
      <c r="J259" s="27" t="str" cm="1">
        <f t="array" ref="J259">_xlfn.XLOOKUP($A259&amp;$B259&amp;$C259,价格信息!$A:$A&amp;价格信息!$B:$B&amp;价格信息!$C:$C,价格信息!$D:$D)</f>
        <v/>
      </c>
      <c r="K259" s="27" t="str">
        <f>IF($C259="","",固定信息!$B$1)</f>
        <v/>
      </c>
      <c r="L259" s="27" t="str" cm="1">
        <f t="array" ref="L259">IF(_xlfn.XLOOKUP($A259&amp;$B259&amp;$C259,盘货信息!$A:$A&amp;盘货信息!$B:$B&amp;盘货信息!$C:$C,盘货信息!$T:$T)="","","【优惠券】领"&amp;_xlfn.XLOOKUP($A259&amp;$B259&amp;$C259,盘货信息!$A:$A&amp;盘货信息!$B:$B&amp;盘货信息!$C:$C,盘货信息!$T:$T)&amp;"元优惠卷下单更优惠，领券链接："&amp;_xlfn.XLOOKUP($A259&amp;$B259&amp;$C259,盘货信息!$A:$A&amp;盘货信息!$B:$B&amp;盘货信息!$C:$C,盘货信息!$U:$U))</f>
        <v/>
      </c>
      <c r="M259" s="27" t="str" cm="1">
        <f t="array" ref="M259">IF(_xlfn.XLOOKUP($A259&amp;$B259&amp;$C259,盘货信息!$A:$A&amp;盘货信息!$B:$B&amp;盘货信息!$C:$C,盘货信息!$P:$P)="","","【限时】"&amp;_xlfn.XLOOKUP($A259&amp;$B259&amp;$C259,盘货信息!$A:$A&amp;盘货信息!$B:$B&amp;盘货信息!$C:$C,盘货信息!$P:$P))</f>
        <v/>
      </c>
      <c r="N259" s="27" t="str" cm="1">
        <f t="array" ref="N259">IF(_xlfn.XLOOKUP($A259&amp;$B259&amp;$C259,盘货信息!$A:$A&amp;盘货信息!$B:$B&amp;盘货信息!$C:$C,盘货信息!$V:$V)="","","【"&amp;盘货信息!$V$1&amp;"】"&amp;_xlfn.XLOOKUP($A259&amp;$B259&amp;$C259,盘货信息!$A:$A&amp;盘货信息!$B:$B&amp;盘货信息!$C:$C,盘货信息!$V:$V))</f>
        <v/>
      </c>
      <c r="O259" s="27" t="str" cm="1">
        <f t="array" ref="O259">IF(_xlfn.XLOOKUP($A259&amp;$B259&amp;$C259,盘货信息!$A:$A&amp;盘货信息!$B:$B&amp;盘货信息!$C:$C,盘货信息!$W:$W)="","","【"&amp;盘货信息!$W$1&amp;"】"&amp;_xlfn.XLOOKUP($A259&amp;$B259&amp;$C259,盘货信息!$A:$A&amp;盘货信息!$B:$B&amp;盘货信息!$C:$C,盘货信息!$W:$W))</f>
        <v/>
      </c>
      <c r="P259" s="27" t="str" cm="1">
        <f t="array" ref="P259">IF(_xlfn.XLOOKUP($A259&amp;$B259&amp;$C259,盘货信息!$A:$A&amp;盘货信息!$B:$B&amp;盘货信息!$C:$C,盘货信息!$S:$S)&lt;1,"","【"&amp;盘货信息!$S$1&amp;"】"&amp;"后返"&amp;_xlfn.XLOOKUP($A259&amp;$B259&amp;$C259,盘货信息!$A:$A&amp;盘货信息!$B:$B&amp;盘货信息!$C:$C,盘货信息!$S:$S)&amp;"元")</f>
        <v/>
      </c>
      <c r="Q259" s="27" t="str" cm="1">
        <f t="array" ref="Q259">IF(_xlfn.XLOOKUP($A259&amp;$B259&amp;$C259,盘货信息!$A:$A&amp;盘货信息!$B:$B&amp;盘货信息!$C:$C,盘货信息!$X:$X)="","","【"&amp;盘货信息!$X$1&amp;"】"&amp;_xlfn.XLOOKUP($A259&amp;$B259&amp;$C259,盘货信息!$A:$A&amp;盘货信息!$B:$B&amp;盘货信息!$C:$C,盘货信息!$X:$X))</f>
        <v/>
      </c>
      <c r="R259" s="27" t="str" cm="1">
        <f t="array" ref="R259">IF(_xlfn.XLOOKUP($A259&amp;$B259&amp;$C259,盘货信息!$A:$A&amp;盘货信息!$B:$B&amp;盘货信息!$C:$C,盘货信息!$Z:$Z)="","","【"&amp;盘货信息!$Z$1&amp;"】"&amp;_xlfn.XLOOKUP($A259&amp;$B259&amp;$C259,盘货信息!$A:$A&amp;盘货信息!$B:$B&amp;盘货信息!$C:$C,盘货信息!$Z:$Z))</f>
        <v/>
      </c>
      <c r="S259" s="27" t="str" cm="1">
        <f t="array" ref="S259">IF(_xlfn.XLOOKUP($A259&amp;$B259&amp;$C259,盘货信息!$A:$A&amp;盘货信息!$B:$B&amp;盘货信息!$C:$C,盘货信息!$Q:$Q)="","","【种草】站外带指定话题种草后返"&amp;_xlfn.XLOOKUP($A259&amp;$B259&amp;$C259,盘货信息!$A:$A&amp;盘货信息!$B:$B&amp;盘货信息!$C:$C,盘货信息!$Q:$Q)&amp;"元红包（每个淘宝账号仅限对应一个站外种草账号，同一个种草账号不可对应多个淘宝账号）")</f>
        <v/>
      </c>
      <c r="T259" s="27" t="str" cm="1">
        <f t="array" ref="T259">IF(_xlfn.XLOOKUP($A259&amp;$B259&amp;$C259,盘货信息!$A:$A&amp;盘货信息!$B:$B&amp;盘货信息!$C:$C,盘货信息!$R:$R)&lt;1,"","【以旧换新】"&amp;"享补贴"&amp;ROUND(_xlfn.XLOOKUP($A259&amp;$B259&amp;$C259,盘货信息!$A:$A&amp;盘货信息!$B:$B&amp;盘货信息!$C:$C,盘货信息!$R:$R),0)&amp;"元（可无旧机换新）")</f>
        <v/>
      </c>
      <c r="U259" s="27" t="str">
        <f>IF(AND($N259="",$O259="",$P259="",$Q259="",$R259="",$S259="",$T259=""),"",固定信息!$B$1)</f>
        <v/>
      </c>
      <c r="V259" s="27" t="str" cm="1">
        <f t="array" ref="V259">IF(_xlfn.XLOOKUP($A259&amp;$B259&amp;$C259,盘货信息!$A:$A&amp;盘货信息!$B:$B&amp;盘货信息!$C:$C,盘货信息!$Y:$Y)="","","【卡萨帝送赠】活动指定时间"&amp;_xlfn.TEXTBEFORE(_xlfn.TEXTAFTER(_xlfn.XLOOKUP($A259&amp;$B259&amp;$C259,盘货信息!$A:$A&amp;盘货信息!$B:$B&amp;盘货信息!$C:$C,盘货信息!$Y:$Y),"点"),"（"))</f>
        <v/>
      </c>
      <c r="W259" s="27" t="str" cm="1">
        <f t="array" ref="W259">IF(COUNTIF(_xlfn.XLOOKUP($A259&amp;$B259&amp;$C259,盘货信息!$A:$A&amp;盘货信息!$B:$B&amp;盘货信息!$C:$C,盘货信息!$O:$O),"*是*"),"【折扣】指定型号满2类享96折，满3类享94折","")</f>
        <v/>
      </c>
      <c r="X259" s="27" t="str" cm="1">
        <f t="array" ref="X259">IF(固定信息!$B$7="","",IF(_xlfn.XLOOKUP($A259&amp;$B259&amp;$C259,盘货信息!$A:$A&amp;盘货信息!$B:$B&amp;盘货信息!$C:$C,盘货信息!$N:$N)="是","【瓜分】"&amp;固定信息!$B$7,""))</f>
        <v/>
      </c>
      <c r="Y259" s="27" t="str">
        <f>IF(AND($V259="",$W259="",$X259=""),"",固定信息!$B$1)</f>
        <v/>
      </c>
      <c r="Z259" s="27" t="str" cm="1">
        <f t="array" ref="Z259">IF($C259="","",_xlfn.XLOOKUP($A259&amp;$B259&amp;$C259,服务!$A:$A&amp;服务!$B:$B&amp;服务!$C:$C,服务!$D:$D))</f>
        <v/>
      </c>
    </row>
    <row r="260" customHeight="1" spans="1:26">
      <c r="A260" s="23" t="str">
        <f>IF(盘货信息!A260="","",盘货信息!A260)</f>
        <v/>
      </c>
      <c r="B260" s="26" t="str">
        <f>IF(盘货信息!B260="","",盘货信息!B260)</f>
        <v/>
      </c>
      <c r="C260" s="23" t="str">
        <f>IF(盘货信息!C260="","",盘货信息!C260)</f>
        <v/>
      </c>
      <c r="D260" s="27" t="str">
        <f ca="1" t="shared" si="4"/>
        <v/>
      </c>
      <c r="E260" s="27" t="str">
        <f>IF(C260="","",固定信息!$B$2)</f>
        <v/>
      </c>
      <c r="F260" s="27" t="str">
        <f>IF(C260="","","【"&amp;C260&amp;"】"&amp;固定信息!$B$4)</f>
        <v/>
      </c>
      <c r="G260" s="27" t="str">
        <f>IF(C260="","","【"&amp;"活动时间："&amp;固定信息!$B$3&amp;"】")</f>
        <v/>
      </c>
      <c r="H260" s="27" t="str">
        <f>IF($C260="","",固定信息!$B$1)</f>
        <v/>
      </c>
      <c r="I260" s="27" t="str">
        <f>IF(OR(C260="",固定信息!$B$5=""),"","【1元预约锁好礼】"&amp;固定信息!$B$5)</f>
        <v/>
      </c>
      <c r="J260" s="27" t="str" cm="1">
        <f t="array" ref="J260">_xlfn.XLOOKUP($A260&amp;$B260&amp;$C260,价格信息!$A:$A&amp;价格信息!$B:$B&amp;价格信息!$C:$C,价格信息!$D:$D)</f>
        <v/>
      </c>
      <c r="K260" s="27" t="str">
        <f>IF($C260="","",固定信息!$B$1)</f>
        <v/>
      </c>
      <c r="L260" s="27" t="str" cm="1">
        <f t="array" ref="L260">IF(_xlfn.XLOOKUP($A260&amp;$B260&amp;$C260,盘货信息!$A:$A&amp;盘货信息!$B:$B&amp;盘货信息!$C:$C,盘货信息!$T:$T)="","","【优惠券】领"&amp;_xlfn.XLOOKUP($A260&amp;$B260&amp;$C260,盘货信息!$A:$A&amp;盘货信息!$B:$B&amp;盘货信息!$C:$C,盘货信息!$T:$T)&amp;"元优惠卷下单更优惠，领券链接："&amp;_xlfn.XLOOKUP($A260&amp;$B260&amp;$C260,盘货信息!$A:$A&amp;盘货信息!$B:$B&amp;盘货信息!$C:$C,盘货信息!$U:$U))</f>
        <v/>
      </c>
      <c r="M260" s="27" t="str" cm="1">
        <f t="array" ref="M260">IF(_xlfn.XLOOKUP($A260&amp;$B260&amp;$C260,盘货信息!$A:$A&amp;盘货信息!$B:$B&amp;盘货信息!$C:$C,盘货信息!$P:$P)="","","【限时】"&amp;_xlfn.XLOOKUP($A260&amp;$B260&amp;$C260,盘货信息!$A:$A&amp;盘货信息!$B:$B&amp;盘货信息!$C:$C,盘货信息!$P:$P))</f>
        <v/>
      </c>
      <c r="N260" s="27" t="str" cm="1">
        <f t="array" ref="N260">IF(_xlfn.XLOOKUP($A260&amp;$B260&amp;$C260,盘货信息!$A:$A&amp;盘货信息!$B:$B&amp;盘货信息!$C:$C,盘货信息!$V:$V)="","","【"&amp;盘货信息!$V$1&amp;"】"&amp;_xlfn.XLOOKUP($A260&amp;$B260&amp;$C260,盘货信息!$A:$A&amp;盘货信息!$B:$B&amp;盘货信息!$C:$C,盘货信息!$V:$V))</f>
        <v/>
      </c>
      <c r="O260" s="27" t="str" cm="1">
        <f t="array" ref="O260">IF(_xlfn.XLOOKUP($A260&amp;$B260&amp;$C260,盘货信息!$A:$A&amp;盘货信息!$B:$B&amp;盘货信息!$C:$C,盘货信息!$W:$W)="","","【"&amp;盘货信息!$W$1&amp;"】"&amp;_xlfn.XLOOKUP($A260&amp;$B260&amp;$C260,盘货信息!$A:$A&amp;盘货信息!$B:$B&amp;盘货信息!$C:$C,盘货信息!$W:$W))</f>
        <v/>
      </c>
      <c r="P260" s="27" t="str" cm="1">
        <f t="array" ref="P260">IF(_xlfn.XLOOKUP($A260&amp;$B260&amp;$C260,盘货信息!$A:$A&amp;盘货信息!$B:$B&amp;盘货信息!$C:$C,盘货信息!$S:$S)&lt;1,"","【"&amp;盘货信息!$S$1&amp;"】"&amp;"后返"&amp;_xlfn.XLOOKUP($A260&amp;$B260&amp;$C260,盘货信息!$A:$A&amp;盘货信息!$B:$B&amp;盘货信息!$C:$C,盘货信息!$S:$S)&amp;"元")</f>
        <v/>
      </c>
      <c r="Q260" s="27" t="str" cm="1">
        <f t="array" ref="Q260">IF(_xlfn.XLOOKUP($A260&amp;$B260&amp;$C260,盘货信息!$A:$A&amp;盘货信息!$B:$B&amp;盘货信息!$C:$C,盘货信息!$X:$X)="","","【"&amp;盘货信息!$X$1&amp;"】"&amp;_xlfn.XLOOKUP($A260&amp;$B260&amp;$C260,盘货信息!$A:$A&amp;盘货信息!$B:$B&amp;盘货信息!$C:$C,盘货信息!$X:$X))</f>
        <v/>
      </c>
      <c r="R260" s="27" t="str" cm="1">
        <f t="array" ref="R260">IF(_xlfn.XLOOKUP($A260&amp;$B260&amp;$C260,盘货信息!$A:$A&amp;盘货信息!$B:$B&amp;盘货信息!$C:$C,盘货信息!$Z:$Z)="","","【"&amp;盘货信息!$Z$1&amp;"】"&amp;_xlfn.XLOOKUP($A260&amp;$B260&amp;$C260,盘货信息!$A:$A&amp;盘货信息!$B:$B&amp;盘货信息!$C:$C,盘货信息!$Z:$Z))</f>
        <v/>
      </c>
      <c r="S260" s="27" t="str" cm="1">
        <f t="array" ref="S260">IF(_xlfn.XLOOKUP($A260&amp;$B260&amp;$C260,盘货信息!$A:$A&amp;盘货信息!$B:$B&amp;盘货信息!$C:$C,盘货信息!$Q:$Q)="","","【种草】站外带指定话题种草后返"&amp;_xlfn.XLOOKUP($A260&amp;$B260&amp;$C260,盘货信息!$A:$A&amp;盘货信息!$B:$B&amp;盘货信息!$C:$C,盘货信息!$Q:$Q)&amp;"元红包（每个淘宝账号仅限对应一个站外种草账号，同一个种草账号不可对应多个淘宝账号）")</f>
        <v/>
      </c>
      <c r="T260" s="27" t="str" cm="1">
        <f t="array" ref="T260">IF(_xlfn.XLOOKUP($A260&amp;$B260&amp;$C260,盘货信息!$A:$A&amp;盘货信息!$B:$B&amp;盘货信息!$C:$C,盘货信息!$R:$R)&lt;1,"","【以旧换新】"&amp;"享补贴"&amp;ROUND(_xlfn.XLOOKUP($A260&amp;$B260&amp;$C260,盘货信息!$A:$A&amp;盘货信息!$B:$B&amp;盘货信息!$C:$C,盘货信息!$R:$R),0)&amp;"元（可无旧机换新）")</f>
        <v/>
      </c>
      <c r="U260" s="27" t="str">
        <f>IF(AND($N260="",$O260="",$P260="",$Q260="",$R260="",$S260="",$T260=""),"",固定信息!$B$1)</f>
        <v/>
      </c>
      <c r="V260" s="27" t="str" cm="1">
        <f t="array" ref="V260">IF(_xlfn.XLOOKUP($A260&amp;$B260&amp;$C260,盘货信息!$A:$A&amp;盘货信息!$B:$B&amp;盘货信息!$C:$C,盘货信息!$Y:$Y)="","","【卡萨帝送赠】活动指定时间"&amp;_xlfn.TEXTBEFORE(_xlfn.TEXTAFTER(_xlfn.XLOOKUP($A260&amp;$B260&amp;$C260,盘货信息!$A:$A&amp;盘货信息!$B:$B&amp;盘货信息!$C:$C,盘货信息!$Y:$Y),"点"),"（"))</f>
        <v/>
      </c>
      <c r="W260" s="27" t="str" cm="1">
        <f t="array" ref="W260">IF(COUNTIF(_xlfn.XLOOKUP($A260&amp;$B260&amp;$C260,盘货信息!$A:$A&amp;盘货信息!$B:$B&amp;盘货信息!$C:$C,盘货信息!$O:$O),"*是*"),"【折扣】指定型号满2类享96折，满3类享94折","")</f>
        <v/>
      </c>
      <c r="X260" s="27" t="str" cm="1">
        <f t="array" ref="X260">IF(固定信息!$B$7="","",IF(_xlfn.XLOOKUP($A260&amp;$B260&amp;$C260,盘货信息!$A:$A&amp;盘货信息!$B:$B&amp;盘货信息!$C:$C,盘货信息!$N:$N)="是","【瓜分】"&amp;固定信息!$B$7,""))</f>
        <v/>
      </c>
      <c r="Y260" s="27" t="str">
        <f>IF(AND($V260="",$W260="",$X260=""),"",固定信息!$B$1)</f>
        <v/>
      </c>
      <c r="Z260" s="27" t="str" cm="1">
        <f t="array" ref="Z260">IF($C260="","",_xlfn.XLOOKUP($A260&amp;$B260&amp;$C260,服务!$A:$A&amp;服务!$B:$B&amp;服务!$C:$C,服务!$D:$D))</f>
        <v/>
      </c>
    </row>
    <row r="261" customHeight="1" spans="1:26">
      <c r="A261" s="23" t="str">
        <f>IF(盘货信息!A261="","",盘货信息!A261)</f>
        <v/>
      </c>
      <c r="B261" s="26" t="str">
        <f>IF(盘货信息!B261="","",盘货信息!B261)</f>
        <v/>
      </c>
      <c r="C261" s="23" t="str">
        <f>IF(盘货信息!C261="","",盘货信息!C261)</f>
        <v/>
      </c>
      <c r="D261" s="27" t="str">
        <f ca="1" t="shared" si="4"/>
        <v/>
      </c>
      <c r="E261" s="27" t="str">
        <f>IF(C261="","",固定信息!$B$2)</f>
        <v/>
      </c>
      <c r="F261" s="27" t="str">
        <f>IF(C261="","","【"&amp;C261&amp;"】"&amp;固定信息!$B$4)</f>
        <v/>
      </c>
      <c r="G261" s="27" t="str">
        <f>IF(C261="","","【"&amp;"活动时间："&amp;固定信息!$B$3&amp;"】")</f>
        <v/>
      </c>
      <c r="H261" s="27" t="str">
        <f>IF($C261="","",固定信息!$B$1)</f>
        <v/>
      </c>
      <c r="I261" s="27" t="str">
        <f>IF(OR(C261="",固定信息!$B$5=""),"","【1元预约锁好礼】"&amp;固定信息!$B$5)</f>
        <v/>
      </c>
      <c r="J261" s="27" t="str" cm="1">
        <f t="array" ref="J261">_xlfn.XLOOKUP($A261&amp;$B261&amp;$C261,价格信息!$A:$A&amp;价格信息!$B:$B&amp;价格信息!$C:$C,价格信息!$D:$D)</f>
        <v/>
      </c>
      <c r="K261" s="27" t="str">
        <f>IF($C261="","",固定信息!$B$1)</f>
        <v/>
      </c>
      <c r="L261" s="27" t="str" cm="1">
        <f t="array" ref="L261">IF(_xlfn.XLOOKUP($A261&amp;$B261&amp;$C261,盘货信息!$A:$A&amp;盘货信息!$B:$B&amp;盘货信息!$C:$C,盘货信息!$T:$T)="","","【优惠券】领"&amp;_xlfn.XLOOKUP($A261&amp;$B261&amp;$C261,盘货信息!$A:$A&amp;盘货信息!$B:$B&amp;盘货信息!$C:$C,盘货信息!$T:$T)&amp;"元优惠卷下单更优惠，领券链接："&amp;_xlfn.XLOOKUP($A261&amp;$B261&amp;$C261,盘货信息!$A:$A&amp;盘货信息!$B:$B&amp;盘货信息!$C:$C,盘货信息!$U:$U))</f>
        <v/>
      </c>
      <c r="M261" s="27" t="str" cm="1">
        <f t="array" ref="M261">IF(_xlfn.XLOOKUP($A261&amp;$B261&amp;$C261,盘货信息!$A:$A&amp;盘货信息!$B:$B&amp;盘货信息!$C:$C,盘货信息!$P:$P)="","","【限时】"&amp;_xlfn.XLOOKUP($A261&amp;$B261&amp;$C261,盘货信息!$A:$A&amp;盘货信息!$B:$B&amp;盘货信息!$C:$C,盘货信息!$P:$P))</f>
        <v/>
      </c>
      <c r="N261" s="27" t="str" cm="1">
        <f t="array" ref="N261">IF(_xlfn.XLOOKUP($A261&amp;$B261&amp;$C261,盘货信息!$A:$A&amp;盘货信息!$B:$B&amp;盘货信息!$C:$C,盘货信息!$V:$V)="","","【"&amp;盘货信息!$V$1&amp;"】"&amp;_xlfn.XLOOKUP($A261&amp;$B261&amp;$C261,盘货信息!$A:$A&amp;盘货信息!$B:$B&amp;盘货信息!$C:$C,盘货信息!$V:$V))</f>
        <v/>
      </c>
      <c r="O261" s="27" t="str" cm="1">
        <f t="array" ref="O261">IF(_xlfn.XLOOKUP($A261&amp;$B261&amp;$C261,盘货信息!$A:$A&amp;盘货信息!$B:$B&amp;盘货信息!$C:$C,盘货信息!$W:$W)="","","【"&amp;盘货信息!$W$1&amp;"】"&amp;_xlfn.XLOOKUP($A261&amp;$B261&amp;$C261,盘货信息!$A:$A&amp;盘货信息!$B:$B&amp;盘货信息!$C:$C,盘货信息!$W:$W))</f>
        <v/>
      </c>
      <c r="P261" s="27" t="str" cm="1">
        <f t="array" ref="P261">IF(_xlfn.XLOOKUP($A261&amp;$B261&amp;$C261,盘货信息!$A:$A&amp;盘货信息!$B:$B&amp;盘货信息!$C:$C,盘货信息!$S:$S)&lt;1,"","【"&amp;盘货信息!$S$1&amp;"】"&amp;"后返"&amp;_xlfn.XLOOKUP($A261&amp;$B261&amp;$C261,盘货信息!$A:$A&amp;盘货信息!$B:$B&amp;盘货信息!$C:$C,盘货信息!$S:$S)&amp;"元")</f>
        <v/>
      </c>
      <c r="Q261" s="27" t="str" cm="1">
        <f t="array" ref="Q261">IF(_xlfn.XLOOKUP($A261&amp;$B261&amp;$C261,盘货信息!$A:$A&amp;盘货信息!$B:$B&amp;盘货信息!$C:$C,盘货信息!$X:$X)="","","【"&amp;盘货信息!$X$1&amp;"】"&amp;_xlfn.XLOOKUP($A261&amp;$B261&amp;$C261,盘货信息!$A:$A&amp;盘货信息!$B:$B&amp;盘货信息!$C:$C,盘货信息!$X:$X))</f>
        <v/>
      </c>
      <c r="R261" s="27" t="str" cm="1">
        <f t="array" ref="R261">IF(_xlfn.XLOOKUP($A261&amp;$B261&amp;$C261,盘货信息!$A:$A&amp;盘货信息!$B:$B&amp;盘货信息!$C:$C,盘货信息!$Z:$Z)="","","【"&amp;盘货信息!$Z$1&amp;"】"&amp;_xlfn.XLOOKUP($A261&amp;$B261&amp;$C261,盘货信息!$A:$A&amp;盘货信息!$B:$B&amp;盘货信息!$C:$C,盘货信息!$Z:$Z))</f>
        <v/>
      </c>
      <c r="S261" s="27" t="str" cm="1">
        <f t="array" ref="S261">IF(_xlfn.XLOOKUP($A261&amp;$B261&amp;$C261,盘货信息!$A:$A&amp;盘货信息!$B:$B&amp;盘货信息!$C:$C,盘货信息!$Q:$Q)="","","【种草】站外带指定话题种草后返"&amp;_xlfn.XLOOKUP($A261&amp;$B261&amp;$C261,盘货信息!$A:$A&amp;盘货信息!$B:$B&amp;盘货信息!$C:$C,盘货信息!$Q:$Q)&amp;"元红包（每个淘宝账号仅限对应一个站外种草账号，同一个种草账号不可对应多个淘宝账号）")</f>
        <v/>
      </c>
      <c r="T261" s="27" t="str" cm="1">
        <f t="array" ref="T261">IF(_xlfn.XLOOKUP($A261&amp;$B261&amp;$C261,盘货信息!$A:$A&amp;盘货信息!$B:$B&amp;盘货信息!$C:$C,盘货信息!$R:$R)&lt;1,"","【以旧换新】"&amp;"享补贴"&amp;ROUND(_xlfn.XLOOKUP($A261&amp;$B261&amp;$C261,盘货信息!$A:$A&amp;盘货信息!$B:$B&amp;盘货信息!$C:$C,盘货信息!$R:$R),0)&amp;"元（可无旧机换新）")</f>
        <v/>
      </c>
      <c r="U261" s="27" t="str">
        <f>IF(AND($N261="",$O261="",$P261="",$Q261="",$R261="",$S261="",$T261=""),"",固定信息!$B$1)</f>
        <v/>
      </c>
      <c r="V261" s="27" t="str" cm="1">
        <f t="array" ref="V261">IF(_xlfn.XLOOKUP($A261&amp;$B261&amp;$C261,盘货信息!$A:$A&amp;盘货信息!$B:$B&amp;盘货信息!$C:$C,盘货信息!$Y:$Y)="","","【卡萨帝送赠】活动指定时间"&amp;_xlfn.TEXTBEFORE(_xlfn.TEXTAFTER(_xlfn.XLOOKUP($A261&amp;$B261&amp;$C261,盘货信息!$A:$A&amp;盘货信息!$B:$B&amp;盘货信息!$C:$C,盘货信息!$Y:$Y),"点"),"（"))</f>
        <v/>
      </c>
      <c r="W261" s="27" t="str" cm="1">
        <f t="array" ref="W261">IF(COUNTIF(_xlfn.XLOOKUP($A261&amp;$B261&amp;$C261,盘货信息!$A:$A&amp;盘货信息!$B:$B&amp;盘货信息!$C:$C,盘货信息!$O:$O),"*是*"),"【折扣】指定型号满2类享96折，满3类享94折","")</f>
        <v/>
      </c>
      <c r="X261" s="27" t="str" cm="1">
        <f t="array" ref="X261">IF(固定信息!$B$7="","",IF(_xlfn.XLOOKUP($A261&amp;$B261&amp;$C261,盘货信息!$A:$A&amp;盘货信息!$B:$B&amp;盘货信息!$C:$C,盘货信息!$N:$N)="是","【瓜分】"&amp;固定信息!$B$7,""))</f>
        <v/>
      </c>
      <c r="Y261" s="27" t="str">
        <f>IF(AND($V261="",$W261="",$X261=""),"",固定信息!$B$1)</f>
        <v/>
      </c>
      <c r="Z261" s="27" t="str" cm="1">
        <f t="array" ref="Z261">IF($C261="","",_xlfn.XLOOKUP($A261&amp;$B261&amp;$C261,服务!$A:$A&amp;服务!$B:$B&amp;服务!$C:$C,服务!$D:$D))</f>
        <v/>
      </c>
    </row>
    <row r="262" customHeight="1" spans="1:26">
      <c r="A262" s="23" t="str">
        <f>IF(盘货信息!A262="","",盘货信息!A262)</f>
        <v/>
      </c>
      <c r="B262" s="26" t="str">
        <f>IF(盘货信息!B262="","",盘货信息!B262)</f>
        <v/>
      </c>
      <c r="C262" s="23" t="str">
        <f>IF(盘货信息!C262="","",盘货信息!C262)</f>
        <v/>
      </c>
      <c r="D262" s="27" t="str">
        <f ca="1" t="shared" si="4"/>
        <v/>
      </c>
      <c r="E262" s="27" t="str">
        <f>IF(C262="","",固定信息!$B$2)</f>
        <v/>
      </c>
      <c r="F262" s="27" t="str">
        <f>IF(C262="","","【"&amp;C262&amp;"】"&amp;固定信息!$B$4)</f>
        <v/>
      </c>
      <c r="G262" s="27" t="str">
        <f>IF(C262="","","【"&amp;"活动时间："&amp;固定信息!$B$3&amp;"】")</f>
        <v/>
      </c>
      <c r="H262" s="27" t="str">
        <f>IF($C262="","",固定信息!$B$1)</f>
        <v/>
      </c>
      <c r="I262" s="27" t="str">
        <f>IF(OR(C262="",固定信息!$B$5=""),"","【1元预约锁好礼】"&amp;固定信息!$B$5)</f>
        <v/>
      </c>
      <c r="J262" s="27" t="str" cm="1">
        <f t="array" ref="J262">_xlfn.XLOOKUP($A262&amp;$B262&amp;$C262,价格信息!$A:$A&amp;价格信息!$B:$B&amp;价格信息!$C:$C,价格信息!$D:$D)</f>
        <v/>
      </c>
      <c r="K262" s="27" t="str">
        <f>IF($C262="","",固定信息!$B$1)</f>
        <v/>
      </c>
      <c r="L262" s="27" t="str" cm="1">
        <f t="array" ref="L262">IF(_xlfn.XLOOKUP($A262&amp;$B262&amp;$C262,盘货信息!$A:$A&amp;盘货信息!$B:$B&amp;盘货信息!$C:$C,盘货信息!$T:$T)="","","【优惠券】领"&amp;_xlfn.XLOOKUP($A262&amp;$B262&amp;$C262,盘货信息!$A:$A&amp;盘货信息!$B:$B&amp;盘货信息!$C:$C,盘货信息!$T:$T)&amp;"元优惠卷下单更优惠，领券链接："&amp;_xlfn.XLOOKUP($A262&amp;$B262&amp;$C262,盘货信息!$A:$A&amp;盘货信息!$B:$B&amp;盘货信息!$C:$C,盘货信息!$U:$U))</f>
        <v/>
      </c>
      <c r="M262" s="27" t="str" cm="1">
        <f t="array" ref="M262">IF(_xlfn.XLOOKUP($A262&amp;$B262&amp;$C262,盘货信息!$A:$A&amp;盘货信息!$B:$B&amp;盘货信息!$C:$C,盘货信息!$P:$P)="","","【限时】"&amp;_xlfn.XLOOKUP($A262&amp;$B262&amp;$C262,盘货信息!$A:$A&amp;盘货信息!$B:$B&amp;盘货信息!$C:$C,盘货信息!$P:$P))</f>
        <v/>
      </c>
      <c r="N262" s="27" t="str" cm="1">
        <f t="array" ref="N262">IF(_xlfn.XLOOKUP($A262&amp;$B262&amp;$C262,盘货信息!$A:$A&amp;盘货信息!$B:$B&amp;盘货信息!$C:$C,盘货信息!$V:$V)="","","【"&amp;盘货信息!$V$1&amp;"】"&amp;_xlfn.XLOOKUP($A262&amp;$B262&amp;$C262,盘货信息!$A:$A&amp;盘货信息!$B:$B&amp;盘货信息!$C:$C,盘货信息!$V:$V))</f>
        <v/>
      </c>
      <c r="O262" s="27" t="str" cm="1">
        <f t="array" ref="O262">IF(_xlfn.XLOOKUP($A262&amp;$B262&amp;$C262,盘货信息!$A:$A&amp;盘货信息!$B:$B&amp;盘货信息!$C:$C,盘货信息!$W:$W)="","","【"&amp;盘货信息!$W$1&amp;"】"&amp;_xlfn.XLOOKUP($A262&amp;$B262&amp;$C262,盘货信息!$A:$A&amp;盘货信息!$B:$B&amp;盘货信息!$C:$C,盘货信息!$W:$W))</f>
        <v/>
      </c>
      <c r="P262" s="27" t="str" cm="1">
        <f t="array" ref="P262">IF(_xlfn.XLOOKUP($A262&amp;$B262&amp;$C262,盘货信息!$A:$A&amp;盘货信息!$B:$B&amp;盘货信息!$C:$C,盘货信息!$S:$S)&lt;1,"","【"&amp;盘货信息!$S$1&amp;"】"&amp;"后返"&amp;_xlfn.XLOOKUP($A262&amp;$B262&amp;$C262,盘货信息!$A:$A&amp;盘货信息!$B:$B&amp;盘货信息!$C:$C,盘货信息!$S:$S)&amp;"元")</f>
        <v/>
      </c>
      <c r="Q262" s="27" t="str" cm="1">
        <f t="array" ref="Q262">IF(_xlfn.XLOOKUP($A262&amp;$B262&amp;$C262,盘货信息!$A:$A&amp;盘货信息!$B:$B&amp;盘货信息!$C:$C,盘货信息!$X:$X)="","","【"&amp;盘货信息!$X$1&amp;"】"&amp;_xlfn.XLOOKUP($A262&amp;$B262&amp;$C262,盘货信息!$A:$A&amp;盘货信息!$B:$B&amp;盘货信息!$C:$C,盘货信息!$X:$X))</f>
        <v/>
      </c>
      <c r="R262" s="27" t="str" cm="1">
        <f t="array" ref="R262">IF(_xlfn.XLOOKUP($A262&amp;$B262&amp;$C262,盘货信息!$A:$A&amp;盘货信息!$B:$B&amp;盘货信息!$C:$C,盘货信息!$Z:$Z)="","","【"&amp;盘货信息!$Z$1&amp;"】"&amp;_xlfn.XLOOKUP($A262&amp;$B262&amp;$C262,盘货信息!$A:$A&amp;盘货信息!$B:$B&amp;盘货信息!$C:$C,盘货信息!$Z:$Z))</f>
        <v/>
      </c>
      <c r="S262" s="27" t="str" cm="1">
        <f t="array" ref="S262">IF(_xlfn.XLOOKUP($A262&amp;$B262&amp;$C262,盘货信息!$A:$A&amp;盘货信息!$B:$B&amp;盘货信息!$C:$C,盘货信息!$Q:$Q)="","","【种草】站外带指定话题种草后返"&amp;_xlfn.XLOOKUP($A262&amp;$B262&amp;$C262,盘货信息!$A:$A&amp;盘货信息!$B:$B&amp;盘货信息!$C:$C,盘货信息!$Q:$Q)&amp;"元红包（每个淘宝账号仅限对应一个站外种草账号，同一个种草账号不可对应多个淘宝账号）")</f>
        <v/>
      </c>
      <c r="T262" s="27" t="str" cm="1">
        <f t="array" ref="T262">IF(_xlfn.XLOOKUP($A262&amp;$B262&amp;$C262,盘货信息!$A:$A&amp;盘货信息!$B:$B&amp;盘货信息!$C:$C,盘货信息!$R:$R)&lt;1,"","【以旧换新】"&amp;"享补贴"&amp;ROUND(_xlfn.XLOOKUP($A262&amp;$B262&amp;$C262,盘货信息!$A:$A&amp;盘货信息!$B:$B&amp;盘货信息!$C:$C,盘货信息!$R:$R),0)&amp;"元（可无旧机换新）")</f>
        <v/>
      </c>
      <c r="U262" s="27" t="str">
        <f>IF(AND($N262="",$O262="",$P262="",$Q262="",$R262="",$S262="",$T262=""),"",固定信息!$B$1)</f>
        <v/>
      </c>
      <c r="V262" s="27" t="str" cm="1">
        <f t="array" ref="V262">IF(_xlfn.XLOOKUP($A262&amp;$B262&amp;$C262,盘货信息!$A:$A&amp;盘货信息!$B:$B&amp;盘货信息!$C:$C,盘货信息!$Y:$Y)="","","【卡萨帝送赠】活动指定时间"&amp;_xlfn.TEXTBEFORE(_xlfn.TEXTAFTER(_xlfn.XLOOKUP($A262&amp;$B262&amp;$C262,盘货信息!$A:$A&amp;盘货信息!$B:$B&amp;盘货信息!$C:$C,盘货信息!$Y:$Y),"点"),"（"))</f>
        <v/>
      </c>
      <c r="W262" s="27" t="str" cm="1">
        <f t="array" ref="W262">IF(COUNTIF(_xlfn.XLOOKUP($A262&amp;$B262&amp;$C262,盘货信息!$A:$A&amp;盘货信息!$B:$B&amp;盘货信息!$C:$C,盘货信息!$O:$O),"*是*"),"【折扣】指定型号满2类享96折，满3类享94折","")</f>
        <v/>
      </c>
      <c r="X262" s="27" t="str" cm="1">
        <f t="array" ref="X262">IF(固定信息!$B$7="","",IF(_xlfn.XLOOKUP($A262&amp;$B262&amp;$C262,盘货信息!$A:$A&amp;盘货信息!$B:$B&amp;盘货信息!$C:$C,盘货信息!$N:$N)="是","【瓜分】"&amp;固定信息!$B$7,""))</f>
        <v/>
      </c>
      <c r="Y262" s="27" t="str">
        <f>IF(AND($V262="",$W262="",$X262=""),"",固定信息!$B$1)</f>
        <v/>
      </c>
      <c r="Z262" s="27" t="str" cm="1">
        <f t="array" ref="Z262">IF($C262="","",_xlfn.XLOOKUP($A262&amp;$B262&amp;$C262,服务!$A:$A&amp;服务!$B:$B&amp;服务!$C:$C,服务!$D:$D))</f>
        <v/>
      </c>
    </row>
    <row r="263" customHeight="1" spans="1:26">
      <c r="A263" s="23" t="str">
        <f>IF(盘货信息!A263="","",盘货信息!A263)</f>
        <v/>
      </c>
      <c r="B263" s="26" t="str">
        <f>IF(盘货信息!B263="","",盘货信息!B263)</f>
        <v/>
      </c>
      <c r="C263" s="23" t="str">
        <f>IF(盘货信息!C263="","",盘货信息!C263)</f>
        <v/>
      </c>
      <c r="D263" s="27" t="str">
        <f ca="1" t="shared" si="4"/>
        <v/>
      </c>
      <c r="E263" s="27" t="str">
        <f>IF(C263="","",固定信息!$B$2)</f>
        <v/>
      </c>
      <c r="F263" s="27" t="str">
        <f>IF(C263="","","【"&amp;C263&amp;"】"&amp;固定信息!$B$4)</f>
        <v/>
      </c>
      <c r="G263" s="27" t="str">
        <f>IF(C263="","","【"&amp;"活动时间："&amp;固定信息!$B$3&amp;"】")</f>
        <v/>
      </c>
      <c r="H263" s="27" t="str">
        <f>IF($C263="","",固定信息!$B$1)</f>
        <v/>
      </c>
      <c r="I263" s="27" t="str">
        <f>IF(OR(C263="",固定信息!$B$5=""),"","【1元预约锁好礼】"&amp;固定信息!$B$5)</f>
        <v/>
      </c>
      <c r="J263" s="27" t="str" cm="1">
        <f t="array" ref="J263">_xlfn.XLOOKUP($A263&amp;$B263&amp;$C263,价格信息!$A:$A&amp;价格信息!$B:$B&amp;价格信息!$C:$C,价格信息!$D:$D)</f>
        <v/>
      </c>
      <c r="K263" s="27" t="str">
        <f>IF($C263="","",固定信息!$B$1)</f>
        <v/>
      </c>
      <c r="L263" s="27" t="str" cm="1">
        <f t="array" ref="L263">IF(_xlfn.XLOOKUP($A263&amp;$B263&amp;$C263,盘货信息!$A:$A&amp;盘货信息!$B:$B&amp;盘货信息!$C:$C,盘货信息!$T:$T)="","","【优惠券】领"&amp;_xlfn.XLOOKUP($A263&amp;$B263&amp;$C263,盘货信息!$A:$A&amp;盘货信息!$B:$B&amp;盘货信息!$C:$C,盘货信息!$T:$T)&amp;"元优惠卷下单更优惠，领券链接："&amp;_xlfn.XLOOKUP($A263&amp;$B263&amp;$C263,盘货信息!$A:$A&amp;盘货信息!$B:$B&amp;盘货信息!$C:$C,盘货信息!$U:$U))</f>
        <v/>
      </c>
      <c r="M263" s="27" t="str" cm="1">
        <f t="array" ref="M263">IF(_xlfn.XLOOKUP($A263&amp;$B263&amp;$C263,盘货信息!$A:$A&amp;盘货信息!$B:$B&amp;盘货信息!$C:$C,盘货信息!$P:$P)="","","【限时】"&amp;_xlfn.XLOOKUP($A263&amp;$B263&amp;$C263,盘货信息!$A:$A&amp;盘货信息!$B:$B&amp;盘货信息!$C:$C,盘货信息!$P:$P))</f>
        <v/>
      </c>
      <c r="N263" s="27" t="str" cm="1">
        <f t="array" ref="N263">IF(_xlfn.XLOOKUP($A263&amp;$B263&amp;$C263,盘货信息!$A:$A&amp;盘货信息!$B:$B&amp;盘货信息!$C:$C,盘货信息!$V:$V)="","","【"&amp;盘货信息!$V$1&amp;"】"&amp;_xlfn.XLOOKUP($A263&amp;$B263&amp;$C263,盘货信息!$A:$A&amp;盘货信息!$B:$B&amp;盘货信息!$C:$C,盘货信息!$V:$V))</f>
        <v/>
      </c>
      <c r="O263" s="27" t="str" cm="1">
        <f t="array" ref="O263">IF(_xlfn.XLOOKUP($A263&amp;$B263&amp;$C263,盘货信息!$A:$A&amp;盘货信息!$B:$B&amp;盘货信息!$C:$C,盘货信息!$W:$W)="","","【"&amp;盘货信息!$W$1&amp;"】"&amp;_xlfn.XLOOKUP($A263&amp;$B263&amp;$C263,盘货信息!$A:$A&amp;盘货信息!$B:$B&amp;盘货信息!$C:$C,盘货信息!$W:$W))</f>
        <v/>
      </c>
      <c r="P263" s="27" t="str" cm="1">
        <f t="array" ref="P263">IF(_xlfn.XLOOKUP($A263&amp;$B263&amp;$C263,盘货信息!$A:$A&amp;盘货信息!$B:$B&amp;盘货信息!$C:$C,盘货信息!$S:$S)&lt;1,"","【"&amp;盘货信息!$S$1&amp;"】"&amp;"后返"&amp;_xlfn.XLOOKUP($A263&amp;$B263&amp;$C263,盘货信息!$A:$A&amp;盘货信息!$B:$B&amp;盘货信息!$C:$C,盘货信息!$S:$S)&amp;"元")</f>
        <v/>
      </c>
      <c r="Q263" s="27" t="str" cm="1">
        <f t="array" ref="Q263">IF(_xlfn.XLOOKUP($A263&amp;$B263&amp;$C263,盘货信息!$A:$A&amp;盘货信息!$B:$B&amp;盘货信息!$C:$C,盘货信息!$X:$X)="","","【"&amp;盘货信息!$X$1&amp;"】"&amp;_xlfn.XLOOKUP($A263&amp;$B263&amp;$C263,盘货信息!$A:$A&amp;盘货信息!$B:$B&amp;盘货信息!$C:$C,盘货信息!$X:$X))</f>
        <v/>
      </c>
      <c r="R263" s="27" t="str" cm="1">
        <f t="array" ref="R263">IF(_xlfn.XLOOKUP($A263&amp;$B263&amp;$C263,盘货信息!$A:$A&amp;盘货信息!$B:$B&amp;盘货信息!$C:$C,盘货信息!$Z:$Z)="","","【"&amp;盘货信息!$Z$1&amp;"】"&amp;_xlfn.XLOOKUP($A263&amp;$B263&amp;$C263,盘货信息!$A:$A&amp;盘货信息!$B:$B&amp;盘货信息!$C:$C,盘货信息!$Z:$Z))</f>
        <v/>
      </c>
      <c r="S263" s="27" t="str" cm="1">
        <f t="array" ref="S263">IF(_xlfn.XLOOKUP($A263&amp;$B263&amp;$C263,盘货信息!$A:$A&amp;盘货信息!$B:$B&amp;盘货信息!$C:$C,盘货信息!$Q:$Q)="","","【种草】站外带指定话题种草后返"&amp;_xlfn.XLOOKUP($A263&amp;$B263&amp;$C263,盘货信息!$A:$A&amp;盘货信息!$B:$B&amp;盘货信息!$C:$C,盘货信息!$Q:$Q)&amp;"元红包（每个淘宝账号仅限对应一个站外种草账号，同一个种草账号不可对应多个淘宝账号）")</f>
        <v/>
      </c>
      <c r="T263" s="27" t="str" cm="1">
        <f t="array" ref="T263">IF(_xlfn.XLOOKUP($A263&amp;$B263&amp;$C263,盘货信息!$A:$A&amp;盘货信息!$B:$B&amp;盘货信息!$C:$C,盘货信息!$R:$R)&lt;1,"","【以旧换新】"&amp;"享补贴"&amp;ROUND(_xlfn.XLOOKUP($A263&amp;$B263&amp;$C263,盘货信息!$A:$A&amp;盘货信息!$B:$B&amp;盘货信息!$C:$C,盘货信息!$R:$R),0)&amp;"元（可无旧机换新）")</f>
        <v/>
      </c>
      <c r="U263" s="27" t="str">
        <f>IF(AND($N263="",$O263="",$P263="",$Q263="",$R263="",$S263="",$T263=""),"",固定信息!$B$1)</f>
        <v/>
      </c>
      <c r="V263" s="27" t="str" cm="1">
        <f t="array" ref="V263">IF(_xlfn.XLOOKUP($A263&amp;$B263&amp;$C263,盘货信息!$A:$A&amp;盘货信息!$B:$B&amp;盘货信息!$C:$C,盘货信息!$Y:$Y)="","","【卡萨帝送赠】活动指定时间"&amp;_xlfn.TEXTBEFORE(_xlfn.TEXTAFTER(_xlfn.XLOOKUP($A263&amp;$B263&amp;$C263,盘货信息!$A:$A&amp;盘货信息!$B:$B&amp;盘货信息!$C:$C,盘货信息!$Y:$Y),"点"),"（"))</f>
        <v/>
      </c>
      <c r="W263" s="27" t="str" cm="1">
        <f t="array" ref="W263">IF(COUNTIF(_xlfn.XLOOKUP($A263&amp;$B263&amp;$C263,盘货信息!$A:$A&amp;盘货信息!$B:$B&amp;盘货信息!$C:$C,盘货信息!$O:$O),"*是*"),"【折扣】指定型号满2类享96折，满3类享94折","")</f>
        <v/>
      </c>
      <c r="X263" s="27" t="str" cm="1">
        <f t="array" ref="X263">IF(固定信息!$B$7="","",IF(_xlfn.XLOOKUP($A263&amp;$B263&amp;$C263,盘货信息!$A:$A&amp;盘货信息!$B:$B&amp;盘货信息!$C:$C,盘货信息!$N:$N)="是","【瓜分】"&amp;固定信息!$B$7,""))</f>
        <v/>
      </c>
      <c r="Y263" s="27" t="str">
        <f>IF(AND($V263="",$W263="",$X263=""),"",固定信息!$B$1)</f>
        <v/>
      </c>
      <c r="Z263" s="27" t="str" cm="1">
        <f t="array" ref="Z263">IF($C263="","",_xlfn.XLOOKUP($A263&amp;$B263&amp;$C263,服务!$A:$A&amp;服务!$B:$B&amp;服务!$C:$C,服务!$D:$D))</f>
        <v/>
      </c>
    </row>
    <row r="264" customHeight="1" spans="1:26">
      <c r="A264" s="23" t="str">
        <f>IF(盘货信息!A264="","",盘货信息!A264)</f>
        <v/>
      </c>
      <c r="B264" s="26" t="str">
        <f>IF(盘货信息!B264="","",盘货信息!B264)</f>
        <v/>
      </c>
      <c r="C264" s="23" t="str">
        <f>IF(盘货信息!C264="","",盘货信息!C264)</f>
        <v/>
      </c>
      <c r="D264" s="27" t="str">
        <f ca="1" t="shared" si="4"/>
        <v/>
      </c>
      <c r="E264" s="27" t="str">
        <f>IF(C264="","",固定信息!$B$2)</f>
        <v/>
      </c>
      <c r="F264" s="27" t="str">
        <f>IF(C264="","","【"&amp;C264&amp;"】"&amp;固定信息!$B$4)</f>
        <v/>
      </c>
      <c r="G264" s="27" t="str">
        <f>IF(C264="","","【"&amp;"活动时间："&amp;固定信息!$B$3&amp;"】")</f>
        <v/>
      </c>
      <c r="H264" s="27" t="str">
        <f>IF($C264="","",固定信息!$B$1)</f>
        <v/>
      </c>
      <c r="I264" s="27" t="str">
        <f>IF(OR(C264="",固定信息!$B$5=""),"","【1元预约锁好礼】"&amp;固定信息!$B$5)</f>
        <v/>
      </c>
      <c r="J264" s="27" t="str" cm="1">
        <f t="array" ref="J264">_xlfn.XLOOKUP($A264&amp;$B264&amp;$C264,价格信息!$A:$A&amp;价格信息!$B:$B&amp;价格信息!$C:$C,价格信息!$D:$D)</f>
        <v/>
      </c>
      <c r="K264" s="27" t="str">
        <f>IF($C264="","",固定信息!$B$1)</f>
        <v/>
      </c>
      <c r="L264" s="27" t="str" cm="1">
        <f t="array" ref="L264">IF(_xlfn.XLOOKUP($A264&amp;$B264&amp;$C264,盘货信息!$A:$A&amp;盘货信息!$B:$B&amp;盘货信息!$C:$C,盘货信息!$T:$T)="","","【优惠券】领"&amp;_xlfn.XLOOKUP($A264&amp;$B264&amp;$C264,盘货信息!$A:$A&amp;盘货信息!$B:$B&amp;盘货信息!$C:$C,盘货信息!$T:$T)&amp;"元优惠卷下单更优惠，领券链接："&amp;_xlfn.XLOOKUP($A264&amp;$B264&amp;$C264,盘货信息!$A:$A&amp;盘货信息!$B:$B&amp;盘货信息!$C:$C,盘货信息!$U:$U))</f>
        <v/>
      </c>
      <c r="M264" s="27" t="str" cm="1">
        <f t="array" ref="M264">IF(_xlfn.XLOOKUP($A264&amp;$B264&amp;$C264,盘货信息!$A:$A&amp;盘货信息!$B:$B&amp;盘货信息!$C:$C,盘货信息!$P:$P)="","","【限时】"&amp;_xlfn.XLOOKUP($A264&amp;$B264&amp;$C264,盘货信息!$A:$A&amp;盘货信息!$B:$B&amp;盘货信息!$C:$C,盘货信息!$P:$P))</f>
        <v/>
      </c>
      <c r="N264" s="27" t="str" cm="1">
        <f t="array" ref="N264">IF(_xlfn.XLOOKUP($A264&amp;$B264&amp;$C264,盘货信息!$A:$A&amp;盘货信息!$B:$B&amp;盘货信息!$C:$C,盘货信息!$V:$V)="","","【"&amp;盘货信息!$V$1&amp;"】"&amp;_xlfn.XLOOKUP($A264&amp;$B264&amp;$C264,盘货信息!$A:$A&amp;盘货信息!$B:$B&amp;盘货信息!$C:$C,盘货信息!$V:$V))</f>
        <v/>
      </c>
      <c r="O264" s="27" t="str" cm="1">
        <f t="array" ref="O264">IF(_xlfn.XLOOKUP($A264&amp;$B264&amp;$C264,盘货信息!$A:$A&amp;盘货信息!$B:$B&amp;盘货信息!$C:$C,盘货信息!$W:$W)="","","【"&amp;盘货信息!$W$1&amp;"】"&amp;_xlfn.XLOOKUP($A264&amp;$B264&amp;$C264,盘货信息!$A:$A&amp;盘货信息!$B:$B&amp;盘货信息!$C:$C,盘货信息!$W:$W))</f>
        <v/>
      </c>
      <c r="P264" s="27" t="str" cm="1">
        <f t="array" ref="P264">IF(_xlfn.XLOOKUP($A264&amp;$B264&amp;$C264,盘货信息!$A:$A&amp;盘货信息!$B:$B&amp;盘货信息!$C:$C,盘货信息!$S:$S)&lt;1,"","【"&amp;盘货信息!$S$1&amp;"】"&amp;"后返"&amp;_xlfn.XLOOKUP($A264&amp;$B264&amp;$C264,盘货信息!$A:$A&amp;盘货信息!$B:$B&amp;盘货信息!$C:$C,盘货信息!$S:$S)&amp;"元")</f>
        <v/>
      </c>
      <c r="Q264" s="27" t="str" cm="1">
        <f t="array" ref="Q264">IF(_xlfn.XLOOKUP($A264&amp;$B264&amp;$C264,盘货信息!$A:$A&amp;盘货信息!$B:$B&amp;盘货信息!$C:$C,盘货信息!$X:$X)="","","【"&amp;盘货信息!$X$1&amp;"】"&amp;_xlfn.XLOOKUP($A264&amp;$B264&amp;$C264,盘货信息!$A:$A&amp;盘货信息!$B:$B&amp;盘货信息!$C:$C,盘货信息!$X:$X))</f>
        <v/>
      </c>
      <c r="R264" s="27" t="str" cm="1">
        <f t="array" ref="R264">IF(_xlfn.XLOOKUP($A264&amp;$B264&amp;$C264,盘货信息!$A:$A&amp;盘货信息!$B:$B&amp;盘货信息!$C:$C,盘货信息!$Z:$Z)="","","【"&amp;盘货信息!$Z$1&amp;"】"&amp;_xlfn.XLOOKUP($A264&amp;$B264&amp;$C264,盘货信息!$A:$A&amp;盘货信息!$B:$B&amp;盘货信息!$C:$C,盘货信息!$Z:$Z))</f>
        <v/>
      </c>
      <c r="S264" s="27" t="str" cm="1">
        <f t="array" ref="S264">IF(_xlfn.XLOOKUP($A264&amp;$B264&amp;$C264,盘货信息!$A:$A&amp;盘货信息!$B:$B&amp;盘货信息!$C:$C,盘货信息!$Q:$Q)="","","【种草】站外带指定话题种草后返"&amp;_xlfn.XLOOKUP($A264&amp;$B264&amp;$C264,盘货信息!$A:$A&amp;盘货信息!$B:$B&amp;盘货信息!$C:$C,盘货信息!$Q:$Q)&amp;"元红包（每个淘宝账号仅限对应一个站外种草账号，同一个种草账号不可对应多个淘宝账号）")</f>
        <v/>
      </c>
      <c r="T264" s="27" t="str" cm="1">
        <f t="array" ref="T264">IF(_xlfn.XLOOKUP($A264&amp;$B264&amp;$C264,盘货信息!$A:$A&amp;盘货信息!$B:$B&amp;盘货信息!$C:$C,盘货信息!$R:$R)&lt;1,"","【以旧换新】"&amp;"享补贴"&amp;ROUND(_xlfn.XLOOKUP($A264&amp;$B264&amp;$C264,盘货信息!$A:$A&amp;盘货信息!$B:$B&amp;盘货信息!$C:$C,盘货信息!$R:$R),0)&amp;"元（可无旧机换新）")</f>
        <v/>
      </c>
      <c r="U264" s="27" t="str">
        <f>IF(AND($N264="",$O264="",$P264="",$Q264="",$R264="",$S264="",$T264=""),"",固定信息!$B$1)</f>
        <v/>
      </c>
      <c r="V264" s="27" t="str" cm="1">
        <f t="array" ref="V264">IF(_xlfn.XLOOKUP($A264&amp;$B264&amp;$C264,盘货信息!$A:$A&amp;盘货信息!$B:$B&amp;盘货信息!$C:$C,盘货信息!$Y:$Y)="","","【卡萨帝送赠】活动指定时间"&amp;_xlfn.TEXTBEFORE(_xlfn.TEXTAFTER(_xlfn.XLOOKUP($A264&amp;$B264&amp;$C264,盘货信息!$A:$A&amp;盘货信息!$B:$B&amp;盘货信息!$C:$C,盘货信息!$Y:$Y),"点"),"（"))</f>
        <v/>
      </c>
      <c r="W264" s="27" t="str" cm="1">
        <f t="array" ref="W264">IF(COUNTIF(_xlfn.XLOOKUP($A264&amp;$B264&amp;$C264,盘货信息!$A:$A&amp;盘货信息!$B:$B&amp;盘货信息!$C:$C,盘货信息!$O:$O),"*是*"),"【折扣】指定型号满2类享96折，满3类享94折","")</f>
        <v/>
      </c>
      <c r="X264" s="27" t="str" cm="1">
        <f t="array" ref="X264">IF(固定信息!$B$7="","",IF(_xlfn.XLOOKUP($A264&amp;$B264&amp;$C264,盘货信息!$A:$A&amp;盘货信息!$B:$B&amp;盘货信息!$C:$C,盘货信息!$N:$N)="是","【瓜分】"&amp;固定信息!$B$7,""))</f>
        <v/>
      </c>
      <c r="Y264" s="27" t="str">
        <f>IF(AND($V264="",$W264="",$X264=""),"",固定信息!$B$1)</f>
        <v/>
      </c>
      <c r="Z264" s="27" t="str" cm="1">
        <f t="array" ref="Z264">IF($C264="","",_xlfn.XLOOKUP($A264&amp;$B264&amp;$C264,服务!$A:$A&amp;服务!$B:$B&amp;服务!$C:$C,服务!$D:$D))</f>
        <v/>
      </c>
    </row>
    <row r="265" customHeight="1" spans="1:26">
      <c r="A265" s="23" t="str">
        <f>IF(盘货信息!A265="","",盘货信息!A265)</f>
        <v/>
      </c>
      <c r="B265" s="26" t="str">
        <f>IF(盘货信息!B265="","",盘货信息!B265)</f>
        <v/>
      </c>
      <c r="C265" s="23" t="str">
        <f>IF(盘货信息!C265="","",盘货信息!C265)</f>
        <v/>
      </c>
      <c r="D265" s="27" t="str">
        <f ca="1" t="shared" si="4"/>
        <v/>
      </c>
      <c r="E265" s="27" t="str">
        <f>IF(C265="","",固定信息!$B$2)</f>
        <v/>
      </c>
      <c r="F265" s="27" t="str">
        <f>IF(C265="","","【"&amp;C265&amp;"】"&amp;固定信息!$B$4)</f>
        <v/>
      </c>
      <c r="G265" s="27" t="str">
        <f>IF(C265="","","【"&amp;"活动时间："&amp;固定信息!$B$3&amp;"】")</f>
        <v/>
      </c>
      <c r="H265" s="27" t="str">
        <f>IF($C265="","",固定信息!$B$1)</f>
        <v/>
      </c>
      <c r="I265" s="27" t="str">
        <f>IF(OR(C265="",固定信息!$B$5=""),"","【1元预约锁好礼】"&amp;固定信息!$B$5)</f>
        <v/>
      </c>
      <c r="J265" s="27" t="str" cm="1">
        <f t="array" ref="J265">_xlfn.XLOOKUP($A265&amp;$B265&amp;$C265,价格信息!$A:$A&amp;价格信息!$B:$B&amp;价格信息!$C:$C,价格信息!$D:$D)</f>
        <v/>
      </c>
      <c r="K265" s="27" t="str">
        <f>IF($C265="","",固定信息!$B$1)</f>
        <v/>
      </c>
      <c r="L265" s="27" t="str" cm="1">
        <f t="array" ref="L265">IF(_xlfn.XLOOKUP($A265&amp;$B265&amp;$C265,盘货信息!$A:$A&amp;盘货信息!$B:$B&amp;盘货信息!$C:$C,盘货信息!$T:$T)="","","【优惠券】领"&amp;_xlfn.XLOOKUP($A265&amp;$B265&amp;$C265,盘货信息!$A:$A&amp;盘货信息!$B:$B&amp;盘货信息!$C:$C,盘货信息!$T:$T)&amp;"元优惠卷下单更优惠，领券链接："&amp;_xlfn.XLOOKUP($A265&amp;$B265&amp;$C265,盘货信息!$A:$A&amp;盘货信息!$B:$B&amp;盘货信息!$C:$C,盘货信息!$U:$U))</f>
        <v/>
      </c>
      <c r="M265" s="27" t="str" cm="1">
        <f t="array" ref="M265">IF(_xlfn.XLOOKUP($A265&amp;$B265&amp;$C265,盘货信息!$A:$A&amp;盘货信息!$B:$B&amp;盘货信息!$C:$C,盘货信息!$P:$P)="","","【限时】"&amp;_xlfn.XLOOKUP($A265&amp;$B265&amp;$C265,盘货信息!$A:$A&amp;盘货信息!$B:$B&amp;盘货信息!$C:$C,盘货信息!$P:$P))</f>
        <v/>
      </c>
      <c r="N265" s="27" t="str" cm="1">
        <f t="array" ref="N265">IF(_xlfn.XLOOKUP($A265&amp;$B265&amp;$C265,盘货信息!$A:$A&amp;盘货信息!$B:$B&amp;盘货信息!$C:$C,盘货信息!$V:$V)="","","【"&amp;盘货信息!$V$1&amp;"】"&amp;_xlfn.XLOOKUP($A265&amp;$B265&amp;$C265,盘货信息!$A:$A&amp;盘货信息!$B:$B&amp;盘货信息!$C:$C,盘货信息!$V:$V))</f>
        <v/>
      </c>
      <c r="O265" s="27" t="str" cm="1">
        <f t="array" ref="O265">IF(_xlfn.XLOOKUP($A265&amp;$B265&amp;$C265,盘货信息!$A:$A&amp;盘货信息!$B:$B&amp;盘货信息!$C:$C,盘货信息!$W:$W)="","","【"&amp;盘货信息!$W$1&amp;"】"&amp;_xlfn.XLOOKUP($A265&amp;$B265&amp;$C265,盘货信息!$A:$A&amp;盘货信息!$B:$B&amp;盘货信息!$C:$C,盘货信息!$W:$W))</f>
        <v/>
      </c>
      <c r="P265" s="27" t="str" cm="1">
        <f t="array" ref="P265">IF(_xlfn.XLOOKUP($A265&amp;$B265&amp;$C265,盘货信息!$A:$A&amp;盘货信息!$B:$B&amp;盘货信息!$C:$C,盘货信息!$S:$S)&lt;1,"","【"&amp;盘货信息!$S$1&amp;"】"&amp;"后返"&amp;_xlfn.XLOOKUP($A265&amp;$B265&amp;$C265,盘货信息!$A:$A&amp;盘货信息!$B:$B&amp;盘货信息!$C:$C,盘货信息!$S:$S)&amp;"元")</f>
        <v/>
      </c>
      <c r="Q265" s="27" t="str" cm="1">
        <f t="array" ref="Q265">IF(_xlfn.XLOOKUP($A265&amp;$B265&amp;$C265,盘货信息!$A:$A&amp;盘货信息!$B:$B&amp;盘货信息!$C:$C,盘货信息!$X:$X)="","","【"&amp;盘货信息!$X$1&amp;"】"&amp;_xlfn.XLOOKUP($A265&amp;$B265&amp;$C265,盘货信息!$A:$A&amp;盘货信息!$B:$B&amp;盘货信息!$C:$C,盘货信息!$X:$X))</f>
        <v/>
      </c>
      <c r="R265" s="27" t="str" cm="1">
        <f t="array" ref="R265">IF(_xlfn.XLOOKUP($A265&amp;$B265&amp;$C265,盘货信息!$A:$A&amp;盘货信息!$B:$B&amp;盘货信息!$C:$C,盘货信息!$Z:$Z)="","","【"&amp;盘货信息!$Z$1&amp;"】"&amp;_xlfn.XLOOKUP($A265&amp;$B265&amp;$C265,盘货信息!$A:$A&amp;盘货信息!$B:$B&amp;盘货信息!$C:$C,盘货信息!$Z:$Z))</f>
        <v/>
      </c>
      <c r="S265" s="27" t="str" cm="1">
        <f t="array" ref="S265">IF(_xlfn.XLOOKUP($A265&amp;$B265&amp;$C265,盘货信息!$A:$A&amp;盘货信息!$B:$B&amp;盘货信息!$C:$C,盘货信息!$Q:$Q)="","","【种草】站外带指定话题种草后返"&amp;_xlfn.XLOOKUP($A265&amp;$B265&amp;$C265,盘货信息!$A:$A&amp;盘货信息!$B:$B&amp;盘货信息!$C:$C,盘货信息!$Q:$Q)&amp;"元红包（每个淘宝账号仅限对应一个站外种草账号，同一个种草账号不可对应多个淘宝账号）")</f>
        <v/>
      </c>
      <c r="T265" s="27" t="str" cm="1">
        <f t="array" ref="T265">IF(_xlfn.XLOOKUP($A265&amp;$B265&amp;$C265,盘货信息!$A:$A&amp;盘货信息!$B:$B&amp;盘货信息!$C:$C,盘货信息!$R:$R)&lt;1,"","【以旧换新】"&amp;"享补贴"&amp;ROUND(_xlfn.XLOOKUP($A265&amp;$B265&amp;$C265,盘货信息!$A:$A&amp;盘货信息!$B:$B&amp;盘货信息!$C:$C,盘货信息!$R:$R),0)&amp;"元（可无旧机换新）")</f>
        <v/>
      </c>
      <c r="U265" s="27" t="str">
        <f>IF(AND($N265="",$O265="",$P265="",$Q265="",$R265="",$S265="",$T265=""),"",固定信息!$B$1)</f>
        <v/>
      </c>
      <c r="V265" s="27" t="str" cm="1">
        <f t="array" ref="V265">IF(_xlfn.XLOOKUP($A265&amp;$B265&amp;$C265,盘货信息!$A:$A&amp;盘货信息!$B:$B&amp;盘货信息!$C:$C,盘货信息!$Y:$Y)="","","【卡萨帝送赠】活动指定时间"&amp;_xlfn.TEXTBEFORE(_xlfn.TEXTAFTER(_xlfn.XLOOKUP($A265&amp;$B265&amp;$C265,盘货信息!$A:$A&amp;盘货信息!$B:$B&amp;盘货信息!$C:$C,盘货信息!$Y:$Y),"点"),"（"))</f>
        <v/>
      </c>
      <c r="W265" s="27" t="str" cm="1">
        <f t="array" ref="W265">IF(COUNTIF(_xlfn.XLOOKUP($A265&amp;$B265&amp;$C265,盘货信息!$A:$A&amp;盘货信息!$B:$B&amp;盘货信息!$C:$C,盘货信息!$O:$O),"*是*"),"【折扣】指定型号满2类享96折，满3类享94折","")</f>
        <v/>
      </c>
      <c r="X265" s="27" t="str" cm="1">
        <f t="array" ref="X265">IF(固定信息!$B$7="","",IF(_xlfn.XLOOKUP($A265&amp;$B265&amp;$C265,盘货信息!$A:$A&amp;盘货信息!$B:$B&amp;盘货信息!$C:$C,盘货信息!$N:$N)="是","【瓜分】"&amp;固定信息!$B$7,""))</f>
        <v/>
      </c>
      <c r="Y265" s="27" t="str">
        <f>IF(AND($V265="",$W265="",$X265=""),"",固定信息!$B$1)</f>
        <v/>
      </c>
      <c r="Z265" s="27" t="str" cm="1">
        <f t="array" ref="Z265">IF($C265="","",_xlfn.XLOOKUP($A265&amp;$B265&amp;$C265,服务!$A:$A&amp;服务!$B:$B&amp;服务!$C:$C,服务!$D:$D))</f>
        <v/>
      </c>
    </row>
    <row r="266" customHeight="1" spans="1:26">
      <c r="A266" s="23" t="str">
        <f>IF(盘货信息!A266="","",盘货信息!A266)</f>
        <v/>
      </c>
      <c r="B266" s="26" t="str">
        <f>IF(盘货信息!B266="","",盘货信息!B266)</f>
        <v/>
      </c>
      <c r="C266" s="23" t="str">
        <f>IF(盘货信息!C266="","",盘货信息!C266)</f>
        <v/>
      </c>
      <c r="D266" s="27" t="str">
        <f ca="1" t="shared" si="4"/>
        <v/>
      </c>
      <c r="E266" s="27" t="str">
        <f>IF(C266="","",固定信息!$B$2)</f>
        <v/>
      </c>
      <c r="F266" s="27" t="str">
        <f>IF(C266="","","【"&amp;C266&amp;"】"&amp;固定信息!$B$4)</f>
        <v/>
      </c>
      <c r="G266" s="27" t="str">
        <f>IF(C266="","","【"&amp;"活动时间："&amp;固定信息!$B$3&amp;"】")</f>
        <v/>
      </c>
      <c r="H266" s="27" t="str">
        <f>IF($C266="","",固定信息!$B$1)</f>
        <v/>
      </c>
      <c r="I266" s="27" t="str">
        <f>IF(OR(C266="",固定信息!$B$5=""),"","【1元预约锁好礼】"&amp;固定信息!$B$5)</f>
        <v/>
      </c>
      <c r="J266" s="27" t="str" cm="1">
        <f t="array" ref="J266">_xlfn.XLOOKUP($A266&amp;$B266&amp;$C266,价格信息!$A:$A&amp;价格信息!$B:$B&amp;价格信息!$C:$C,价格信息!$D:$D)</f>
        <v/>
      </c>
      <c r="K266" s="27" t="str">
        <f>IF($C266="","",固定信息!$B$1)</f>
        <v/>
      </c>
      <c r="L266" s="27" t="str" cm="1">
        <f t="array" ref="L266">IF(_xlfn.XLOOKUP($A266&amp;$B266&amp;$C266,盘货信息!$A:$A&amp;盘货信息!$B:$B&amp;盘货信息!$C:$C,盘货信息!$T:$T)="","","【优惠券】领"&amp;_xlfn.XLOOKUP($A266&amp;$B266&amp;$C266,盘货信息!$A:$A&amp;盘货信息!$B:$B&amp;盘货信息!$C:$C,盘货信息!$T:$T)&amp;"元优惠卷下单更优惠，领券链接："&amp;_xlfn.XLOOKUP($A266&amp;$B266&amp;$C266,盘货信息!$A:$A&amp;盘货信息!$B:$B&amp;盘货信息!$C:$C,盘货信息!$U:$U))</f>
        <v/>
      </c>
      <c r="M266" s="27" t="str" cm="1">
        <f t="array" ref="M266">IF(_xlfn.XLOOKUP($A266&amp;$B266&amp;$C266,盘货信息!$A:$A&amp;盘货信息!$B:$B&amp;盘货信息!$C:$C,盘货信息!$P:$P)="","","【限时】"&amp;_xlfn.XLOOKUP($A266&amp;$B266&amp;$C266,盘货信息!$A:$A&amp;盘货信息!$B:$B&amp;盘货信息!$C:$C,盘货信息!$P:$P))</f>
        <v/>
      </c>
      <c r="N266" s="27" t="str" cm="1">
        <f t="array" ref="N266">IF(_xlfn.XLOOKUP($A266&amp;$B266&amp;$C266,盘货信息!$A:$A&amp;盘货信息!$B:$B&amp;盘货信息!$C:$C,盘货信息!$V:$V)="","","【"&amp;盘货信息!$V$1&amp;"】"&amp;_xlfn.XLOOKUP($A266&amp;$B266&amp;$C266,盘货信息!$A:$A&amp;盘货信息!$B:$B&amp;盘货信息!$C:$C,盘货信息!$V:$V))</f>
        <v/>
      </c>
      <c r="O266" s="27" t="str" cm="1">
        <f t="array" ref="O266">IF(_xlfn.XLOOKUP($A266&amp;$B266&amp;$C266,盘货信息!$A:$A&amp;盘货信息!$B:$B&amp;盘货信息!$C:$C,盘货信息!$W:$W)="","","【"&amp;盘货信息!$W$1&amp;"】"&amp;_xlfn.XLOOKUP($A266&amp;$B266&amp;$C266,盘货信息!$A:$A&amp;盘货信息!$B:$B&amp;盘货信息!$C:$C,盘货信息!$W:$W))</f>
        <v/>
      </c>
      <c r="P266" s="27" t="str" cm="1">
        <f t="array" ref="P266">IF(_xlfn.XLOOKUP($A266&amp;$B266&amp;$C266,盘货信息!$A:$A&amp;盘货信息!$B:$B&amp;盘货信息!$C:$C,盘货信息!$S:$S)&lt;1,"","【"&amp;盘货信息!$S$1&amp;"】"&amp;"后返"&amp;_xlfn.XLOOKUP($A266&amp;$B266&amp;$C266,盘货信息!$A:$A&amp;盘货信息!$B:$B&amp;盘货信息!$C:$C,盘货信息!$S:$S)&amp;"元")</f>
        <v/>
      </c>
      <c r="Q266" s="27" t="str" cm="1">
        <f t="array" ref="Q266">IF(_xlfn.XLOOKUP($A266&amp;$B266&amp;$C266,盘货信息!$A:$A&amp;盘货信息!$B:$B&amp;盘货信息!$C:$C,盘货信息!$X:$X)="","","【"&amp;盘货信息!$X$1&amp;"】"&amp;_xlfn.XLOOKUP($A266&amp;$B266&amp;$C266,盘货信息!$A:$A&amp;盘货信息!$B:$B&amp;盘货信息!$C:$C,盘货信息!$X:$X))</f>
        <v/>
      </c>
      <c r="R266" s="27" t="str" cm="1">
        <f t="array" ref="R266">IF(_xlfn.XLOOKUP($A266&amp;$B266&amp;$C266,盘货信息!$A:$A&amp;盘货信息!$B:$B&amp;盘货信息!$C:$C,盘货信息!$Z:$Z)="","","【"&amp;盘货信息!$Z$1&amp;"】"&amp;_xlfn.XLOOKUP($A266&amp;$B266&amp;$C266,盘货信息!$A:$A&amp;盘货信息!$B:$B&amp;盘货信息!$C:$C,盘货信息!$Z:$Z))</f>
        <v/>
      </c>
      <c r="S266" s="27" t="str" cm="1">
        <f t="array" ref="S266">IF(_xlfn.XLOOKUP($A266&amp;$B266&amp;$C266,盘货信息!$A:$A&amp;盘货信息!$B:$B&amp;盘货信息!$C:$C,盘货信息!$Q:$Q)="","","【种草】站外带指定话题种草后返"&amp;_xlfn.XLOOKUP($A266&amp;$B266&amp;$C266,盘货信息!$A:$A&amp;盘货信息!$B:$B&amp;盘货信息!$C:$C,盘货信息!$Q:$Q)&amp;"元红包（每个淘宝账号仅限对应一个站外种草账号，同一个种草账号不可对应多个淘宝账号）")</f>
        <v/>
      </c>
      <c r="T266" s="27" t="str" cm="1">
        <f t="array" ref="T266">IF(_xlfn.XLOOKUP($A266&amp;$B266&amp;$C266,盘货信息!$A:$A&amp;盘货信息!$B:$B&amp;盘货信息!$C:$C,盘货信息!$R:$R)&lt;1,"","【以旧换新】"&amp;"享补贴"&amp;ROUND(_xlfn.XLOOKUP($A266&amp;$B266&amp;$C266,盘货信息!$A:$A&amp;盘货信息!$B:$B&amp;盘货信息!$C:$C,盘货信息!$R:$R),0)&amp;"元（可无旧机换新）")</f>
        <v/>
      </c>
      <c r="U266" s="27" t="str">
        <f>IF(AND($N266="",$O266="",$P266="",$Q266="",$R266="",$S266="",$T266=""),"",固定信息!$B$1)</f>
        <v/>
      </c>
      <c r="V266" s="27" t="str" cm="1">
        <f t="array" ref="V266">IF(_xlfn.XLOOKUP($A266&amp;$B266&amp;$C266,盘货信息!$A:$A&amp;盘货信息!$B:$B&amp;盘货信息!$C:$C,盘货信息!$Y:$Y)="","","【卡萨帝送赠】活动指定时间"&amp;_xlfn.TEXTBEFORE(_xlfn.TEXTAFTER(_xlfn.XLOOKUP($A266&amp;$B266&amp;$C266,盘货信息!$A:$A&amp;盘货信息!$B:$B&amp;盘货信息!$C:$C,盘货信息!$Y:$Y),"点"),"（"))</f>
        <v/>
      </c>
      <c r="W266" s="27" t="str" cm="1">
        <f t="array" ref="W266">IF(COUNTIF(_xlfn.XLOOKUP($A266&amp;$B266&amp;$C266,盘货信息!$A:$A&amp;盘货信息!$B:$B&amp;盘货信息!$C:$C,盘货信息!$O:$O),"*是*"),"【折扣】指定型号满2类享96折，满3类享94折","")</f>
        <v/>
      </c>
      <c r="X266" s="27" t="str" cm="1">
        <f t="array" ref="X266">IF(固定信息!$B$7="","",IF(_xlfn.XLOOKUP($A266&amp;$B266&amp;$C266,盘货信息!$A:$A&amp;盘货信息!$B:$B&amp;盘货信息!$C:$C,盘货信息!$N:$N)="是","【瓜分】"&amp;固定信息!$B$7,""))</f>
        <v/>
      </c>
      <c r="Y266" s="27" t="str">
        <f>IF(AND($V266="",$W266="",$X266=""),"",固定信息!$B$1)</f>
        <v/>
      </c>
      <c r="Z266" s="27" t="str" cm="1">
        <f t="array" ref="Z266">IF($C266="","",_xlfn.XLOOKUP($A266&amp;$B266&amp;$C266,服务!$A:$A&amp;服务!$B:$B&amp;服务!$C:$C,服务!$D:$D))</f>
        <v/>
      </c>
    </row>
    <row r="267" customHeight="1" spans="1:26">
      <c r="A267" s="23" t="str">
        <f>IF(盘货信息!A267="","",盘货信息!A267)</f>
        <v/>
      </c>
      <c r="B267" s="26" t="str">
        <f>IF(盘货信息!B267="","",盘货信息!B267)</f>
        <v/>
      </c>
      <c r="C267" s="23" t="str">
        <f>IF(盘货信息!C267="","",盘货信息!C267)</f>
        <v/>
      </c>
      <c r="D267" s="27" t="str">
        <f ca="1" t="shared" si="4"/>
        <v/>
      </c>
      <c r="E267" s="27" t="str">
        <f>IF(C267="","",固定信息!$B$2)</f>
        <v/>
      </c>
      <c r="F267" s="27" t="str">
        <f>IF(C267="","","【"&amp;C267&amp;"】"&amp;固定信息!$B$4)</f>
        <v/>
      </c>
      <c r="G267" s="27" t="str">
        <f>IF(C267="","","【"&amp;"活动时间："&amp;固定信息!$B$3&amp;"】")</f>
        <v/>
      </c>
      <c r="H267" s="27" t="str">
        <f>IF($C267="","",固定信息!$B$1)</f>
        <v/>
      </c>
      <c r="I267" s="27" t="str">
        <f>IF(OR(C267="",固定信息!$B$5=""),"","【1元预约锁好礼】"&amp;固定信息!$B$5)</f>
        <v/>
      </c>
      <c r="J267" s="27" t="str" cm="1">
        <f t="array" ref="J267">_xlfn.XLOOKUP($A267&amp;$B267&amp;$C267,价格信息!$A:$A&amp;价格信息!$B:$B&amp;价格信息!$C:$C,价格信息!$D:$D)</f>
        <v/>
      </c>
      <c r="K267" s="27" t="str">
        <f>IF($C267="","",固定信息!$B$1)</f>
        <v/>
      </c>
      <c r="L267" s="27" t="str" cm="1">
        <f t="array" ref="L267">IF(_xlfn.XLOOKUP($A267&amp;$B267&amp;$C267,盘货信息!$A:$A&amp;盘货信息!$B:$B&amp;盘货信息!$C:$C,盘货信息!$T:$T)="","","【优惠券】领"&amp;_xlfn.XLOOKUP($A267&amp;$B267&amp;$C267,盘货信息!$A:$A&amp;盘货信息!$B:$B&amp;盘货信息!$C:$C,盘货信息!$T:$T)&amp;"元优惠卷下单更优惠，领券链接："&amp;_xlfn.XLOOKUP($A267&amp;$B267&amp;$C267,盘货信息!$A:$A&amp;盘货信息!$B:$B&amp;盘货信息!$C:$C,盘货信息!$U:$U))</f>
        <v/>
      </c>
      <c r="M267" s="27" t="str" cm="1">
        <f t="array" ref="M267">IF(_xlfn.XLOOKUP($A267&amp;$B267&amp;$C267,盘货信息!$A:$A&amp;盘货信息!$B:$B&amp;盘货信息!$C:$C,盘货信息!$P:$P)="","","【限时】"&amp;_xlfn.XLOOKUP($A267&amp;$B267&amp;$C267,盘货信息!$A:$A&amp;盘货信息!$B:$B&amp;盘货信息!$C:$C,盘货信息!$P:$P))</f>
        <v/>
      </c>
      <c r="N267" s="27" t="str" cm="1">
        <f t="array" ref="N267">IF(_xlfn.XLOOKUP($A267&amp;$B267&amp;$C267,盘货信息!$A:$A&amp;盘货信息!$B:$B&amp;盘货信息!$C:$C,盘货信息!$V:$V)="","","【"&amp;盘货信息!$V$1&amp;"】"&amp;_xlfn.XLOOKUP($A267&amp;$B267&amp;$C267,盘货信息!$A:$A&amp;盘货信息!$B:$B&amp;盘货信息!$C:$C,盘货信息!$V:$V))</f>
        <v/>
      </c>
      <c r="O267" s="27" t="str" cm="1">
        <f t="array" ref="O267">IF(_xlfn.XLOOKUP($A267&amp;$B267&amp;$C267,盘货信息!$A:$A&amp;盘货信息!$B:$B&amp;盘货信息!$C:$C,盘货信息!$W:$W)="","","【"&amp;盘货信息!$W$1&amp;"】"&amp;_xlfn.XLOOKUP($A267&amp;$B267&amp;$C267,盘货信息!$A:$A&amp;盘货信息!$B:$B&amp;盘货信息!$C:$C,盘货信息!$W:$W))</f>
        <v/>
      </c>
      <c r="P267" s="27" t="str" cm="1">
        <f t="array" ref="P267">IF(_xlfn.XLOOKUP($A267&amp;$B267&amp;$C267,盘货信息!$A:$A&amp;盘货信息!$B:$B&amp;盘货信息!$C:$C,盘货信息!$S:$S)&lt;1,"","【"&amp;盘货信息!$S$1&amp;"】"&amp;"后返"&amp;_xlfn.XLOOKUP($A267&amp;$B267&amp;$C267,盘货信息!$A:$A&amp;盘货信息!$B:$B&amp;盘货信息!$C:$C,盘货信息!$S:$S)&amp;"元")</f>
        <v/>
      </c>
      <c r="Q267" s="27" t="str" cm="1">
        <f t="array" ref="Q267">IF(_xlfn.XLOOKUP($A267&amp;$B267&amp;$C267,盘货信息!$A:$A&amp;盘货信息!$B:$B&amp;盘货信息!$C:$C,盘货信息!$X:$X)="","","【"&amp;盘货信息!$X$1&amp;"】"&amp;_xlfn.XLOOKUP($A267&amp;$B267&amp;$C267,盘货信息!$A:$A&amp;盘货信息!$B:$B&amp;盘货信息!$C:$C,盘货信息!$X:$X))</f>
        <v/>
      </c>
      <c r="R267" s="27" t="str" cm="1">
        <f t="array" ref="R267">IF(_xlfn.XLOOKUP($A267&amp;$B267&amp;$C267,盘货信息!$A:$A&amp;盘货信息!$B:$B&amp;盘货信息!$C:$C,盘货信息!$Z:$Z)="","","【"&amp;盘货信息!$Z$1&amp;"】"&amp;_xlfn.XLOOKUP($A267&amp;$B267&amp;$C267,盘货信息!$A:$A&amp;盘货信息!$B:$B&amp;盘货信息!$C:$C,盘货信息!$Z:$Z))</f>
        <v/>
      </c>
      <c r="S267" s="27" t="str" cm="1">
        <f t="array" ref="S267">IF(_xlfn.XLOOKUP($A267&amp;$B267&amp;$C267,盘货信息!$A:$A&amp;盘货信息!$B:$B&amp;盘货信息!$C:$C,盘货信息!$Q:$Q)="","","【种草】站外带指定话题种草后返"&amp;_xlfn.XLOOKUP($A267&amp;$B267&amp;$C267,盘货信息!$A:$A&amp;盘货信息!$B:$B&amp;盘货信息!$C:$C,盘货信息!$Q:$Q)&amp;"元红包（每个淘宝账号仅限对应一个站外种草账号，同一个种草账号不可对应多个淘宝账号）")</f>
        <v/>
      </c>
      <c r="T267" s="27" t="str" cm="1">
        <f t="array" ref="T267">IF(_xlfn.XLOOKUP($A267&amp;$B267&amp;$C267,盘货信息!$A:$A&amp;盘货信息!$B:$B&amp;盘货信息!$C:$C,盘货信息!$R:$R)&lt;1,"","【以旧换新】"&amp;"享补贴"&amp;ROUND(_xlfn.XLOOKUP($A267&amp;$B267&amp;$C267,盘货信息!$A:$A&amp;盘货信息!$B:$B&amp;盘货信息!$C:$C,盘货信息!$R:$R),0)&amp;"元（可无旧机换新）")</f>
        <v/>
      </c>
      <c r="U267" s="27" t="str">
        <f>IF(AND($N267="",$O267="",$P267="",$Q267="",$R267="",$S267="",$T267=""),"",固定信息!$B$1)</f>
        <v/>
      </c>
      <c r="V267" s="27" t="str" cm="1">
        <f t="array" ref="V267">IF(_xlfn.XLOOKUP($A267&amp;$B267&amp;$C267,盘货信息!$A:$A&amp;盘货信息!$B:$B&amp;盘货信息!$C:$C,盘货信息!$Y:$Y)="","","【卡萨帝送赠】活动指定时间"&amp;_xlfn.TEXTBEFORE(_xlfn.TEXTAFTER(_xlfn.XLOOKUP($A267&amp;$B267&amp;$C267,盘货信息!$A:$A&amp;盘货信息!$B:$B&amp;盘货信息!$C:$C,盘货信息!$Y:$Y),"点"),"（"))</f>
        <v/>
      </c>
      <c r="W267" s="27" t="str" cm="1">
        <f t="array" ref="W267">IF(COUNTIF(_xlfn.XLOOKUP($A267&amp;$B267&amp;$C267,盘货信息!$A:$A&amp;盘货信息!$B:$B&amp;盘货信息!$C:$C,盘货信息!$O:$O),"*是*"),"【折扣】指定型号满2类享96折，满3类享94折","")</f>
        <v/>
      </c>
      <c r="X267" s="27" t="str" cm="1">
        <f t="array" ref="X267">IF(固定信息!$B$7="","",IF(_xlfn.XLOOKUP($A267&amp;$B267&amp;$C267,盘货信息!$A:$A&amp;盘货信息!$B:$B&amp;盘货信息!$C:$C,盘货信息!$N:$N)="是","【瓜分】"&amp;固定信息!$B$7,""))</f>
        <v/>
      </c>
      <c r="Y267" s="27" t="str">
        <f>IF(AND($V267="",$W267="",$X267=""),"",固定信息!$B$1)</f>
        <v/>
      </c>
      <c r="Z267" s="27" t="str" cm="1">
        <f t="array" ref="Z267">IF($C267="","",_xlfn.XLOOKUP($A267&amp;$B267&amp;$C267,服务!$A:$A&amp;服务!$B:$B&amp;服务!$C:$C,服务!$D:$D))</f>
        <v/>
      </c>
    </row>
    <row r="268" customHeight="1" spans="1:26">
      <c r="A268" s="23" t="str">
        <f>IF(盘货信息!A268="","",盘货信息!A268)</f>
        <v/>
      </c>
      <c r="B268" s="26" t="str">
        <f>IF(盘货信息!B268="","",盘货信息!B268)</f>
        <v/>
      </c>
      <c r="C268" s="23" t="str">
        <f>IF(盘货信息!C268="","",盘货信息!C268)</f>
        <v/>
      </c>
      <c r="D268" s="27" t="str">
        <f ca="1" t="shared" si="4"/>
        <v/>
      </c>
      <c r="E268" s="27" t="str">
        <f>IF(C268="","",固定信息!$B$2)</f>
        <v/>
      </c>
      <c r="F268" s="27" t="str">
        <f>IF(C268="","","【"&amp;C268&amp;"】"&amp;固定信息!$B$4)</f>
        <v/>
      </c>
      <c r="G268" s="27" t="str">
        <f>IF(C268="","","【"&amp;"活动时间："&amp;固定信息!$B$3&amp;"】")</f>
        <v/>
      </c>
      <c r="H268" s="27" t="str">
        <f>IF($C268="","",固定信息!$B$1)</f>
        <v/>
      </c>
      <c r="I268" s="27" t="str">
        <f>IF(OR(C268="",固定信息!$B$5=""),"","【1元预约锁好礼】"&amp;固定信息!$B$5)</f>
        <v/>
      </c>
      <c r="J268" s="27" t="str" cm="1">
        <f t="array" ref="J268">_xlfn.XLOOKUP($A268&amp;$B268&amp;$C268,价格信息!$A:$A&amp;价格信息!$B:$B&amp;价格信息!$C:$C,价格信息!$D:$D)</f>
        <v/>
      </c>
      <c r="K268" s="27" t="str">
        <f>IF($C268="","",固定信息!$B$1)</f>
        <v/>
      </c>
      <c r="L268" s="27" t="str" cm="1">
        <f t="array" ref="L268">IF(_xlfn.XLOOKUP($A268&amp;$B268&amp;$C268,盘货信息!$A:$A&amp;盘货信息!$B:$B&amp;盘货信息!$C:$C,盘货信息!$T:$T)="","","【优惠券】领"&amp;_xlfn.XLOOKUP($A268&amp;$B268&amp;$C268,盘货信息!$A:$A&amp;盘货信息!$B:$B&amp;盘货信息!$C:$C,盘货信息!$T:$T)&amp;"元优惠卷下单更优惠，领券链接："&amp;_xlfn.XLOOKUP($A268&amp;$B268&amp;$C268,盘货信息!$A:$A&amp;盘货信息!$B:$B&amp;盘货信息!$C:$C,盘货信息!$U:$U))</f>
        <v/>
      </c>
      <c r="M268" s="27" t="str" cm="1">
        <f t="array" ref="M268">IF(_xlfn.XLOOKUP($A268&amp;$B268&amp;$C268,盘货信息!$A:$A&amp;盘货信息!$B:$B&amp;盘货信息!$C:$C,盘货信息!$P:$P)="","","【限时】"&amp;_xlfn.XLOOKUP($A268&amp;$B268&amp;$C268,盘货信息!$A:$A&amp;盘货信息!$B:$B&amp;盘货信息!$C:$C,盘货信息!$P:$P))</f>
        <v/>
      </c>
      <c r="N268" s="27" t="str" cm="1">
        <f t="array" ref="N268">IF(_xlfn.XLOOKUP($A268&amp;$B268&amp;$C268,盘货信息!$A:$A&amp;盘货信息!$B:$B&amp;盘货信息!$C:$C,盘货信息!$V:$V)="","","【"&amp;盘货信息!$V$1&amp;"】"&amp;_xlfn.XLOOKUP($A268&amp;$B268&amp;$C268,盘货信息!$A:$A&amp;盘货信息!$B:$B&amp;盘货信息!$C:$C,盘货信息!$V:$V))</f>
        <v/>
      </c>
      <c r="O268" s="27" t="str" cm="1">
        <f t="array" ref="O268">IF(_xlfn.XLOOKUP($A268&amp;$B268&amp;$C268,盘货信息!$A:$A&amp;盘货信息!$B:$B&amp;盘货信息!$C:$C,盘货信息!$W:$W)="","","【"&amp;盘货信息!$W$1&amp;"】"&amp;_xlfn.XLOOKUP($A268&amp;$B268&amp;$C268,盘货信息!$A:$A&amp;盘货信息!$B:$B&amp;盘货信息!$C:$C,盘货信息!$W:$W))</f>
        <v/>
      </c>
      <c r="P268" s="27" t="str" cm="1">
        <f t="array" ref="P268">IF(_xlfn.XLOOKUP($A268&amp;$B268&amp;$C268,盘货信息!$A:$A&amp;盘货信息!$B:$B&amp;盘货信息!$C:$C,盘货信息!$S:$S)&lt;1,"","【"&amp;盘货信息!$S$1&amp;"】"&amp;"后返"&amp;_xlfn.XLOOKUP($A268&amp;$B268&amp;$C268,盘货信息!$A:$A&amp;盘货信息!$B:$B&amp;盘货信息!$C:$C,盘货信息!$S:$S)&amp;"元")</f>
        <v/>
      </c>
      <c r="Q268" s="27" t="str" cm="1">
        <f t="array" ref="Q268">IF(_xlfn.XLOOKUP($A268&amp;$B268&amp;$C268,盘货信息!$A:$A&amp;盘货信息!$B:$B&amp;盘货信息!$C:$C,盘货信息!$X:$X)="","","【"&amp;盘货信息!$X$1&amp;"】"&amp;_xlfn.XLOOKUP($A268&amp;$B268&amp;$C268,盘货信息!$A:$A&amp;盘货信息!$B:$B&amp;盘货信息!$C:$C,盘货信息!$X:$X))</f>
        <v/>
      </c>
      <c r="R268" s="27" t="str" cm="1">
        <f t="array" ref="R268">IF(_xlfn.XLOOKUP($A268&amp;$B268&amp;$C268,盘货信息!$A:$A&amp;盘货信息!$B:$B&amp;盘货信息!$C:$C,盘货信息!$Z:$Z)="","","【"&amp;盘货信息!$Z$1&amp;"】"&amp;_xlfn.XLOOKUP($A268&amp;$B268&amp;$C268,盘货信息!$A:$A&amp;盘货信息!$B:$B&amp;盘货信息!$C:$C,盘货信息!$Z:$Z))</f>
        <v/>
      </c>
      <c r="S268" s="27" t="str" cm="1">
        <f t="array" ref="S268">IF(_xlfn.XLOOKUP($A268&amp;$B268&amp;$C268,盘货信息!$A:$A&amp;盘货信息!$B:$B&amp;盘货信息!$C:$C,盘货信息!$Q:$Q)="","","【种草】站外带指定话题种草后返"&amp;_xlfn.XLOOKUP($A268&amp;$B268&amp;$C268,盘货信息!$A:$A&amp;盘货信息!$B:$B&amp;盘货信息!$C:$C,盘货信息!$Q:$Q)&amp;"元红包（每个淘宝账号仅限对应一个站外种草账号，同一个种草账号不可对应多个淘宝账号）")</f>
        <v/>
      </c>
      <c r="T268" s="27" t="str" cm="1">
        <f t="array" ref="T268">IF(_xlfn.XLOOKUP($A268&amp;$B268&amp;$C268,盘货信息!$A:$A&amp;盘货信息!$B:$B&amp;盘货信息!$C:$C,盘货信息!$R:$R)&lt;1,"","【以旧换新】"&amp;"享补贴"&amp;ROUND(_xlfn.XLOOKUP($A268&amp;$B268&amp;$C268,盘货信息!$A:$A&amp;盘货信息!$B:$B&amp;盘货信息!$C:$C,盘货信息!$R:$R),0)&amp;"元（可无旧机换新）")</f>
        <v/>
      </c>
      <c r="U268" s="27" t="str">
        <f>IF(AND($N268="",$O268="",$P268="",$Q268="",$R268="",$S268="",$T268=""),"",固定信息!$B$1)</f>
        <v/>
      </c>
      <c r="V268" s="27" t="str" cm="1">
        <f t="array" ref="V268">IF(_xlfn.XLOOKUP($A268&amp;$B268&amp;$C268,盘货信息!$A:$A&amp;盘货信息!$B:$B&amp;盘货信息!$C:$C,盘货信息!$Y:$Y)="","","【卡萨帝送赠】活动指定时间"&amp;_xlfn.TEXTBEFORE(_xlfn.TEXTAFTER(_xlfn.XLOOKUP($A268&amp;$B268&amp;$C268,盘货信息!$A:$A&amp;盘货信息!$B:$B&amp;盘货信息!$C:$C,盘货信息!$Y:$Y),"点"),"（"))</f>
        <v/>
      </c>
      <c r="W268" s="27" t="str" cm="1">
        <f t="array" ref="W268">IF(COUNTIF(_xlfn.XLOOKUP($A268&amp;$B268&amp;$C268,盘货信息!$A:$A&amp;盘货信息!$B:$B&amp;盘货信息!$C:$C,盘货信息!$O:$O),"*是*"),"【折扣】指定型号满2类享96折，满3类享94折","")</f>
        <v/>
      </c>
      <c r="X268" s="27" t="str" cm="1">
        <f t="array" ref="X268">IF(固定信息!$B$7="","",IF(_xlfn.XLOOKUP($A268&amp;$B268&amp;$C268,盘货信息!$A:$A&amp;盘货信息!$B:$B&amp;盘货信息!$C:$C,盘货信息!$N:$N)="是","【瓜分】"&amp;固定信息!$B$7,""))</f>
        <v/>
      </c>
      <c r="Y268" s="27" t="str">
        <f>IF(AND($V268="",$W268="",$X268=""),"",固定信息!$B$1)</f>
        <v/>
      </c>
      <c r="Z268" s="27" t="str" cm="1">
        <f t="array" ref="Z268">IF($C268="","",_xlfn.XLOOKUP($A268&amp;$B268&amp;$C268,服务!$A:$A&amp;服务!$B:$B&amp;服务!$C:$C,服务!$D:$D))</f>
        <v/>
      </c>
    </row>
    <row r="269" customHeight="1" spans="1:26">
      <c r="A269" s="23" t="str">
        <f>IF(盘货信息!A269="","",盘货信息!A269)</f>
        <v/>
      </c>
      <c r="B269" s="26" t="str">
        <f>IF(盘货信息!B269="","",盘货信息!B269)</f>
        <v/>
      </c>
      <c r="C269" s="23" t="str">
        <f>IF(盘货信息!C269="","",盘货信息!C269)</f>
        <v/>
      </c>
      <c r="D269" s="27" t="str">
        <f ca="1" t="shared" si="4"/>
        <v/>
      </c>
      <c r="E269" s="27" t="str">
        <f>IF(C269="","",固定信息!$B$2)</f>
        <v/>
      </c>
      <c r="F269" s="27" t="str">
        <f>IF(C269="","","【"&amp;C269&amp;"】"&amp;固定信息!$B$4)</f>
        <v/>
      </c>
      <c r="G269" s="27" t="str">
        <f>IF(C269="","","【"&amp;"活动时间："&amp;固定信息!$B$3&amp;"】")</f>
        <v/>
      </c>
      <c r="H269" s="27" t="str">
        <f>IF($C269="","",固定信息!$B$1)</f>
        <v/>
      </c>
      <c r="I269" s="27" t="str">
        <f>IF(OR(C269="",固定信息!$B$5=""),"","【1元预约锁好礼】"&amp;固定信息!$B$5)</f>
        <v/>
      </c>
      <c r="J269" s="27" t="str" cm="1">
        <f t="array" ref="J269">_xlfn.XLOOKUP($A269&amp;$B269&amp;$C269,价格信息!$A:$A&amp;价格信息!$B:$B&amp;价格信息!$C:$C,价格信息!$D:$D)</f>
        <v/>
      </c>
      <c r="K269" s="27" t="str">
        <f>IF($C269="","",固定信息!$B$1)</f>
        <v/>
      </c>
      <c r="L269" s="27" t="str" cm="1">
        <f t="array" ref="L269">IF(_xlfn.XLOOKUP($A269&amp;$B269&amp;$C269,盘货信息!$A:$A&amp;盘货信息!$B:$B&amp;盘货信息!$C:$C,盘货信息!$T:$T)="","","【优惠券】领"&amp;_xlfn.XLOOKUP($A269&amp;$B269&amp;$C269,盘货信息!$A:$A&amp;盘货信息!$B:$B&amp;盘货信息!$C:$C,盘货信息!$T:$T)&amp;"元优惠卷下单更优惠，领券链接："&amp;_xlfn.XLOOKUP($A269&amp;$B269&amp;$C269,盘货信息!$A:$A&amp;盘货信息!$B:$B&amp;盘货信息!$C:$C,盘货信息!$U:$U))</f>
        <v/>
      </c>
      <c r="M269" s="27" t="str" cm="1">
        <f t="array" ref="M269">IF(_xlfn.XLOOKUP($A269&amp;$B269&amp;$C269,盘货信息!$A:$A&amp;盘货信息!$B:$B&amp;盘货信息!$C:$C,盘货信息!$P:$P)="","","【限时】"&amp;_xlfn.XLOOKUP($A269&amp;$B269&amp;$C269,盘货信息!$A:$A&amp;盘货信息!$B:$B&amp;盘货信息!$C:$C,盘货信息!$P:$P))</f>
        <v/>
      </c>
      <c r="N269" s="27" t="str" cm="1">
        <f t="array" ref="N269">IF(_xlfn.XLOOKUP($A269&amp;$B269&amp;$C269,盘货信息!$A:$A&amp;盘货信息!$B:$B&amp;盘货信息!$C:$C,盘货信息!$V:$V)="","","【"&amp;盘货信息!$V$1&amp;"】"&amp;_xlfn.XLOOKUP($A269&amp;$B269&amp;$C269,盘货信息!$A:$A&amp;盘货信息!$B:$B&amp;盘货信息!$C:$C,盘货信息!$V:$V))</f>
        <v/>
      </c>
      <c r="O269" s="27" t="str" cm="1">
        <f t="array" ref="O269">IF(_xlfn.XLOOKUP($A269&amp;$B269&amp;$C269,盘货信息!$A:$A&amp;盘货信息!$B:$B&amp;盘货信息!$C:$C,盘货信息!$W:$W)="","","【"&amp;盘货信息!$W$1&amp;"】"&amp;_xlfn.XLOOKUP($A269&amp;$B269&amp;$C269,盘货信息!$A:$A&amp;盘货信息!$B:$B&amp;盘货信息!$C:$C,盘货信息!$W:$W))</f>
        <v/>
      </c>
      <c r="P269" s="27" t="str" cm="1">
        <f t="array" ref="P269">IF(_xlfn.XLOOKUP($A269&amp;$B269&amp;$C269,盘货信息!$A:$A&amp;盘货信息!$B:$B&amp;盘货信息!$C:$C,盘货信息!$S:$S)&lt;1,"","【"&amp;盘货信息!$S$1&amp;"】"&amp;"后返"&amp;_xlfn.XLOOKUP($A269&amp;$B269&amp;$C269,盘货信息!$A:$A&amp;盘货信息!$B:$B&amp;盘货信息!$C:$C,盘货信息!$S:$S)&amp;"元")</f>
        <v/>
      </c>
      <c r="Q269" s="27" t="str" cm="1">
        <f t="array" ref="Q269">IF(_xlfn.XLOOKUP($A269&amp;$B269&amp;$C269,盘货信息!$A:$A&amp;盘货信息!$B:$B&amp;盘货信息!$C:$C,盘货信息!$X:$X)="","","【"&amp;盘货信息!$X$1&amp;"】"&amp;_xlfn.XLOOKUP($A269&amp;$B269&amp;$C269,盘货信息!$A:$A&amp;盘货信息!$B:$B&amp;盘货信息!$C:$C,盘货信息!$X:$X))</f>
        <v/>
      </c>
      <c r="R269" s="27" t="str" cm="1">
        <f t="array" ref="R269">IF(_xlfn.XLOOKUP($A269&amp;$B269&amp;$C269,盘货信息!$A:$A&amp;盘货信息!$B:$B&amp;盘货信息!$C:$C,盘货信息!$Z:$Z)="","","【"&amp;盘货信息!$Z$1&amp;"】"&amp;_xlfn.XLOOKUP($A269&amp;$B269&amp;$C269,盘货信息!$A:$A&amp;盘货信息!$B:$B&amp;盘货信息!$C:$C,盘货信息!$Z:$Z))</f>
        <v/>
      </c>
      <c r="S269" s="27" t="str" cm="1">
        <f t="array" ref="S269">IF(_xlfn.XLOOKUP($A269&amp;$B269&amp;$C269,盘货信息!$A:$A&amp;盘货信息!$B:$B&amp;盘货信息!$C:$C,盘货信息!$Q:$Q)="","","【种草】站外带指定话题种草后返"&amp;_xlfn.XLOOKUP($A269&amp;$B269&amp;$C269,盘货信息!$A:$A&amp;盘货信息!$B:$B&amp;盘货信息!$C:$C,盘货信息!$Q:$Q)&amp;"元红包（每个淘宝账号仅限对应一个站外种草账号，同一个种草账号不可对应多个淘宝账号）")</f>
        <v/>
      </c>
      <c r="T269" s="27" t="str" cm="1">
        <f t="array" ref="T269">IF(_xlfn.XLOOKUP($A269&amp;$B269&amp;$C269,盘货信息!$A:$A&amp;盘货信息!$B:$B&amp;盘货信息!$C:$C,盘货信息!$R:$R)&lt;1,"","【以旧换新】"&amp;"享补贴"&amp;ROUND(_xlfn.XLOOKUP($A269&amp;$B269&amp;$C269,盘货信息!$A:$A&amp;盘货信息!$B:$B&amp;盘货信息!$C:$C,盘货信息!$R:$R),0)&amp;"元（可无旧机换新）")</f>
        <v/>
      </c>
      <c r="U269" s="27" t="str">
        <f>IF(AND($N269="",$O269="",$P269="",$Q269="",$R269="",$S269="",$T269=""),"",固定信息!$B$1)</f>
        <v/>
      </c>
      <c r="V269" s="27" t="str" cm="1">
        <f t="array" ref="V269">IF(_xlfn.XLOOKUP($A269&amp;$B269&amp;$C269,盘货信息!$A:$A&amp;盘货信息!$B:$B&amp;盘货信息!$C:$C,盘货信息!$Y:$Y)="","","【卡萨帝送赠】活动指定时间"&amp;_xlfn.TEXTBEFORE(_xlfn.TEXTAFTER(_xlfn.XLOOKUP($A269&amp;$B269&amp;$C269,盘货信息!$A:$A&amp;盘货信息!$B:$B&amp;盘货信息!$C:$C,盘货信息!$Y:$Y),"点"),"（"))</f>
        <v/>
      </c>
      <c r="W269" s="27" t="str" cm="1">
        <f t="array" ref="W269">IF(COUNTIF(_xlfn.XLOOKUP($A269&amp;$B269&amp;$C269,盘货信息!$A:$A&amp;盘货信息!$B:$B&amp;盘货信息!$C:$C,盘货信息!$O:$O),"*是*"),"【折扣】指定型号满2类享96折，满3类享94折","")</f>
        <v/>
      </c>
      <c r="X269" s="27" t="str" cm="1">
        <f t="array" ref="X269">IF(固定信息!$B$7="","",IF(_xlfn.XLOOKUP($A269&amp;$B269&amp;$C269,盘货信息!$A:$A&amp;盘货信息!$B:$B&amp;盘货信息!$C:$C,盘货信息!$N:$N)="是","【瓜分】"&amp;固定信息!$B$7,""))</f>
        <v/>
      </c>
      <c r="Y269" s="27" t="str">
        <f>IF(AND($V269="",$W269="",$X269=""),"",固定信息!$B$1)</f>
        <v/>
      </c>
      <c r="Z269" s="27" t="str" cm="1">
        <f t="array" ref="Z269">IF($C269="","",_xlfn.XLOOKUP($A269&amp;$B269&amp;$C269,服务!$A:$A&amp;服务!$B:$B&amp;服务!$C:$C,服务!$D:$D))</f>
        <v/>
      </c>
    </row>
    <row r="270" customHeight="1" spans="1:26">
      <c r="A270" s="23" t="str">
        <f>IF(盘货信息!A270="","",盘货信息!A270)</f>
        <v/>
      </c>
      <c r="B270" s="26" t="str">
        <f>IF(盘货信息!B270="","",盘货信息!B270)</f>
        <v/>
      </c>
      <c r="C270" s="23" t="str">
        <f>IF(盘货信息!C270="","",盘货信息!C270)</f>
        <v/>
      </c>
      <c r="D270" s="27" t="str">
        <f ca="1" t="shared" si="4"/>
        <v/>
      </c>
      <c r="E270" s="27" t="str">
        <f>IF(C270="","",固定信息!$B$2)</f>
        <v/>
      </c>
      <c r="F270" s="27" t="str">
        <f>IF(C270="","","【"&amp;C270&amp;"】"&amp;固定信息!$B$4)</f>
        <v/>
      </c>
      <c r="G270" s="27" t="str">
        <f>IF(C270="","","【"&amp;"活动时间："&amp;固定信息!$B$3&amp;"】")</f>
        <v/>
      </c>
      <c r="H270" s="27" t="str">
        <f>IF($C270="","",固定信息!$B$1)</f>
        <v/>
      </c>
      <c r="I270" s="27" t="str">
        <f>IF(OR(C270="",固定信息!$B$5=""),"","【1元预约锁好礼】"&amp;固定信息!$B$5)</f>
        <v/>
      </c>
      <c r="J270" s="27" t="str" cm="1">
        <f t="array" ref="J270">_xlfn.XLOOKUP($A270&amp;$B270&amp;$C270,价格信息!$A:$A&amp;价格信息!$B:$B&amp;价格信息!$C:$C,价格信息!$D:$D)</f>
        <v/>
      </c>
      <c r="K270" s="27" t="str">
        <f>IF($C270="","",固定信息!$B$1)</f>
        <v/>
      </c>
      <c r="L270" s="27" t="str" cm="1">
        <f t="array" ref="L270">IF(_xlfn.XLOOKUP($A270&amp;$B270&amp;$C270,盘货信息!$A:$A&amp;盘货信息!$B:$B&amp;盘货信息!$C:$C,盘货信息!$T:$T)="","","【优惠券】领"&amp;_xlfn.XLOOKUP($A270&amp;$B270&amp;$C270,盘货信息!$A:$A&amp;盘货信息!$B:$B&amp;盘货信息!$C:$C,盘货信息!$T:$T)&amp;"元优惠卷下单更优惠，领券链接："&amp;_xlfn.XLOOKUP($A270&amp;$B270&amp;$C270,盘货信息!$A:$A&amp;盘货信息!$B:$B&amp;盘货信息!$C:$C,盘货信息!$U:$U))</f>
        <v/>
      </c>
      <c r="M270" s="27" t="str" cm="1">
        <f t="array" ref="M270">IF(_xlfn.XLOOKUP($A270&amp;$B270&amp;$C270,盘货信息!$A:$A&amp;盘货信息!$B:$B&amp;盘货信息!$C:$C,盘货信息!$P:$P)="","","【限时】"&amp;_xlfn.XLOOKUP($A270&amp;$B270&amp;$C270,盘货信息!$A:$A&amp;盘货信息!$B:$B&amp;盘货信息!$C:$C,盘货信息!$P:$P))</f>
        <v/>
      </c>
      <c r="N270" s="27" t="str" cm="1">
        <f t="array" ref="N270">IF(_xlfn.XLOOKUP($A270&amp;$B270&amp;$C270,盘货信息!$A:$A&amp;盘货信息!$B:$B&amp;盘货信息!$C:$C,盘货信息!$V:$V)="","","【"&amp;盘货信息!$V$1&amp;"】"&amp;_xlfn.XLOOKUP($A270&amp;$B270&amp;$C270,盘货信息!$A:$A&amp;盘货信息!$B:$B&amp;盘货信息!$C:$C,盘货信息!$V:$V))</f>
        <v/>
      </c>
      <c r="O270" s="27" t="str" cm="1">
        <f t="array" ref="O270">IF(_xlfn.XLOOKUP($A270&amp;$B270&amp;$C270,盘货信息!$A:$A&amp;盘货信息!$B:$B&amp;盘货信息!$C:$C,盘货信息!$W:$W)="","","【"&amp;盘货信息!$W$1&amp;"】"&amp;_xlfn.XLOOKUP($A270&amp;$B270&amp;$C270,盘货信息!$A:$A&amp;盘货信息!$B:$B&amp;盘货信息!$C:$C,盘货信息!$W:$W))</f>
        <v/>
      </c>
      <c r="P270" s="27" t="str" cm="1">
        <f t="array" ref="P270">IF(_xlfn.XLOOKUP($A270&amp;$B270&amp;$C270,盘货信息!$A:$A&amp;盘货信息!$B:$B&amp;盘货信息!$C:$C,盘货信息!$S:$S)&lt;1,"","【"&amp;盘货信息!$S$1&amp;"】"&amp;"后返"&amp;_xlfn.XLOOKUP($A270&amp;$B270&amp;$C270,盘货信息!$A:$A&amp;盘货信息!$B:$B&amp;盘货信息!$C:$C,盘货信息!$S:$S)&amp;"元")</f>
        <v/>
      </c>
      <c r="Q270" s="27" t="str" cm="1">
        <f t="array" ref="Q270">IF(_xlfn.XLOOKUP($A270&amp;$B270&amp;$C270,盘货信息!$A:$A&amp;盘货信息!$B:$B&amp;盘货信息!$C:$C,盘货信息!$X:$X)="","","【"&amp;盘货信息!$X$1&amp;"】"&amp;_xlfn.XLOOKUP($A270&amp;$B270&amp;$C270,盘货信息!$A:$A&amp;盘货信息!$B:$B&amp;盘货信息!$C:$C,盘货信息!$X:$X))</f>
        <v/>
      </c>
      <c r="R270" s="27" t="str" cm="1">
        <f t="array" ref="R270">IF(_xlfn.XLOOKUP($A270&amp;$B270&amp;$C270,盘货信息!$A:$A&amp;盘货信息!$B:$B&amp;盘货信息!$C:$C,盘货信息!$Z:$Z)="","","【"&amp;盘货信息!$Z$1&amp;"】"&amp;_xlfn.XLOOKUP($A270&amp;$B270&amp;$C270,盘货信息!$A:$A&amp;盘货信息!$B:$B&amp;盘货信息!$C:$C,盘货信息!$Z:$Z))</f>
        <v/>
      </c>
      <c r="S270" s="27" t="str" cm="1">
        <f t="array" ref="S270">IF(_xlfn.XLOOKUP($A270&amp;$B270&amp;$C270,盘货信息!$A:$A&amp;盘货信息!$B:$B&amp;盘货信息!$C:$C,盘货信息!$Q:$Q)="","","【种草】站外带指定话题种草后返"&amp;_xlfn.XLOOKUP($A270&amp;$B270&amp;$C270,盘货信息!$A:$A&amp;盘货信息!$B:$B&amp;盘货信息!$C:$C,盘货信息!$Q:$Q)&amp;"元红包（每个淘宝账号仅限对应一个站外种草账号，同一个种草账号不可对应多个淘宝账号）")</f>
        <v/>
      </c>
      <c r="T270" s="27" t="str" cm="1">
        <f t="array" ref="T270">IF(_xlfn.XLOOKUP($A270&amp;$B270&amp;$C270,盘货信息!$A:$A&amp;盘货信息!$B:$B&amp;盘货信息!$C:$C,盘货信息!$R:$R)&lt;1,"","【以旧换新】"&amp;"享补贴"&amp;ROUND(_xlfn.XLOOKUP($A270&amp;$B270&amp;$C270,盘货信息!$A:$A&amp;盘货信息!$B:$B&amp;盘货信息!$C:$C,盘货信息!$R:$R),0)&amp;"元（可无旧机换新）")</f>
        <v/>
      </c>
      <c r="U270" s="27" t="str">
        <f>IF(AND($N270="",$O270="",$P270="",$Q270="",$R270="",$S270="",$T270=""),"",固定信息!$B$1)</f>
        <v/>
      </c>
      <c r="V270" s="27" t="str" cm="1">
        <f t="array" ref="V270">IF(_xlfn.XLOOKUP($A270&amp;$B270&amp;$C270,盘货信息!$A:$A&amp;盘货信息!$B:$B&amp;盘货信息!$C:$C,盘货信息!$Y:$Y)="","","【卡萨帝送赠】活动指定时间"&amp;_xlfn.TEXTBEFORE(_xlfn.TEXTAFTER(_xlfn.XLOOKUP($A270&amp;$B270&amp;$C270,盘货信息!$A:$A&amp;盘货信息!$B:$B&amp;盘货信息!$C:$C,盘货信息!$Y:$Y),"点"),"（"))</f>
        <v/>
      </c>
      <c r="W270" s="27" t="str" cm="1">
        <f t="array" ref="W270">IF(COUNTIF(_xlfn.XLOOKUP($A270&amp;$B270&amp;$C270,盘货信息!$A:$A&amp;盘货信息!$B:$B&amp;盘货信息!$C:$C,盘货信息!$O:$O),"*是*"),"【折扣】指定型号满2类享96折，满3类享94折","")</f>
        <v/>
      </c>
      <c r="X270" s="27" t="str" cm="1">
        <f t="array" ref="X270">IF(固定信息!$B$7="","",IF(_xlfn.XLOOKUP($A270&amp;$B270&amp;$C270,盘货信息!$A:$A&amp;盘货信息!$B:$B&amp;盘货信息!$C:$C,盘货信息!$N:$N)="是","【瓜分】"&amp;固定信息!$B$7,""))</f>
        <v/>
      </c>
      <c r="Y270" s="27" t="str">
        <f>IF(AND($V270="",$W270="",$X270=""),"",固定信息!$B$1)</f>
        <v/>
      </c>
      <c r="Z270" s="27" t="str" cm="1">
        <f t="array" ref="Z270">IF($C270="","",_xlfn.XLOOKUP($A270&amp;$B270&amp;$C270,服务!$A:$A&amp;服务!$B:$B&amp;服务!$C:$C,服务!$D:$D))</f>
        <v/>
      </c>
    </row>
    <row r="271" customHeight="1" spans="1:26">
      <c r="A271" s="23" t="str">
        <f>IF(盘货信息!A271="","",盘货信息!A271)</f>
        <v/>
      </c>
      <c r="B271" s="26" t="str">
        <f>IF(盘货信息!B271="","",盘货信息!B271)</f>
        <v/>
      </c>
      <c r="C271" s="23" t="str">
        <f>IF(盘货信息!C271="","",盘货信息!C271)</f>
        <v/>
      </c>
      <c r="D271" s="27" t="str">
        <f ca="1" t="shared" si="4"/>
        <v/>
      </c>
      <c r="E271" s="27" t="str">
        <f>IF(C271="","",固定信息!$B$2)</f>
        <v/>
      </c>
      <c r="F271" s="27" t="str">
        <f>IF(C271="","","【"&amp;C271&amp;"】"&amp;固定信息!$B$4)</f>
        <v/>
      </c>
      <c r="G271" s="27" t="str">
        <f>IF(C271="","","【"&amp;"活动时间："&amp;固定信息!$B$3&amp;"】")</f>
        <v/>
      </c>
      <c r="H271" s="27" t="str">
        <f>IF($C271="","",固定信息!$B$1)</f>
        <v/>
      </c>
      <c r="I271" s="27" t="str">
        <f>IF(OR(C271="",固定信息!$B$5=""),"","【1元预约锁好礼】"&amp;固定信息!$B$5)</f>
        <v/>
      </c>
      <c r="J271" s="27" t="str" cm="1">
        <f t="array" ref="J271">_xlfn.XLOOKUP($A271&amp;$B271&amp;$C271,价格信息!$A:$A&amp;价格信息!$B:$B&amp;价格信息!$C:$C,价格信息!$D:$D)</f>
        <v/>
      </c>
      <c r="K271" s="27" t="str">
        <f>IF($C271="","",固定信息!$B$1)</f>
        <v/>
      </c>
      <c r="L271" s="27" t="str" cm="1">
        <f t="array" ref="L271">IF(_xlfn.XLOOKUP($A271&amp;$B271&amp;$C271,盘货信息!$A:$A&amp;盘货信息!$B:$B&amp;盘货信息!$C:$C,盘货信息!$T:$T)="","","【优惠券】领"&amp;_xlfn.XLOOKUP($A271&amp;$B271&amp;$C271,盘货信息!$A:$A&amp;盘货信息!$B:$B&amp;盘货信息!$C:$C,盘货信息!$T:$T)&amp;"元优惠卷下单更优惠，领券链接："&amp;_xlfn.XLOOKUP($A271&amp;$B271&amp;$C271,盘货信息!$A:$A&amp;盘货信息!$B:$B&amp;盘货信息!$C:$C,盘货信息!$U:$U))</f>
        <v/>
      </c>
      <c r="M271" s="27" t="str" cm="1">
        <f t="array" ref="M271">IF(_xlfn.XLOOKUP($A271&amp;$B271&amp;$C271,盘货信息!$A:$A&amp;盘货信息!$B:$B&amp;盘货信息!$C:$C,盘货信息!$P:$P)="","","【限时】"&amp;_xlfn.XLOOKUP($A271&amp;$B271&amp;$C271,盘货信息!$A:$A&amp;盘货信息!$B:$B&amp;盘货信息!$C:$C,盘货信息!$P:$P))</f>
        <v/>
      </c>
      <c r="N271" s="27" t="str" cm="1">
        <f t="array" ref="N271">IF(_xlfn.XLOOKUP($A271&amp;$B271&amp;$C271,盘货信息!$A:$A&amp;盘货信息!$B:$B&amp;盘货信息!$C:$C,盘货信息!$V:$V)="","","【"&amp;盘货信息!$V$1&amp;"】"&amp;_xlfn.XLOOKUP($A271&amp;$B271&amp;$C271,盘货信息!$A:$A&amp;盘货信息!$B:$B&amp;盘货信息!$C:$C,盘货信息!$V:$V))</f>
        <v/>
      </c>
      <c r="O271" s="27" t="str" cm="1">
        <f t="array" ref="O271">IF(_xlfn.XLOOKUP($A271&amp;$B271&amp;$C271,盘货信息!$A:$A&amp;盘货信息!$B:$B&amp;盘货信息!$C:$C,盘货信息!$W:$W)="","","【"&amp;盘货信息!$W$1&amp;"】"&amp;_xlfn.XLOOKUP($A271&amp;$B271&amp;$C271,盘货信息!$A:$A&amp;盘货信息!$B:$B&amp;盘货信息!$C:$C,盘货信息!$W:$W))</f>
        <v/>
      </c>
      <c r="P271" s="27" t="str" cm="1">
        <f t="array" ref="P271">IF(_xlfn.XLOOKUP($A271&amp;$B271&amp;$C271,盘货信息!$A:$A&amp;盘货信息!$B:$B&amp;盘货信息!$C:$C,盘货信息!$S:$S)&lt;1,"","【"&amp;盘货信息!$S$1&amp;"】"&amp;"后返"&amp;_xlfn.XLOOKUP($A271&amp;$B271&amp;$C271,盘货信息!$A:$A&amp;盘货信息!$B:$B&amp;盘货信息!$C:$C,盘货信息!$S:$S)&amp;"元")</f>
        <v/>
      </c>
      <c r="Q271" s="27" t="str" cm="1">
        <f t="array" ref="Q271">IF(_xlfn.XLOOKUP($A271&amp;$B271&amp;$C271,盘货信息!$A:$A&amp;盘货信息!$B:$B&amp;盘货信息!$C:$C,盘货信息!$X:$X)="","","【"&amp;盘货信息!$X$1&amp;"】"&amp;_xlfn.XLOOKUP($A271&amp;$B271&amp;$C271,盘货信息!$A:$A&amp;盘货信息!$B:$B&amp;盘货信息!$C:$C,盘货信息!$X:$X))</f>
        <v/>
      </c>
      <c r="R271" s="27" t="str" cm="1">
        <f t="array" ref="R271">IF(_xlfn.XLOOKUP($A271&amp;$B271&amp;$C271,盘货信息!$A:$A&amp;盘货信息!$B:$B&amp;盘货信息!$C:$C,盘货信息!$Z:$Z)="","","【"&amp;盘货信息!$Z$1&amp;"】"&amp;_xlfn.XLOOKUP($A271&amp;$B271&amp;$C271,盘货信息!$A:$A&amp;盘货信息!$B:$B&amp;盘货信息!$C:$C,盘货信息!$Z:$Z))</f>
        <v/>
      </c>
      <c r="S271" s="27" t="str" cm="1">
        <f t="array" ref="S271">IF(_xlfn.XLOOKUP($A271&amp;$B271&amp;$C271,盘货信息!$A:$A&amp;盘货信息!$B:$B&amp;盘货信息!$C:$C,盘货信息!$Q:$Q)="","","【种草】站外带指定话题种草后返"&amp;_xlfn.XLOOKUP($A271&amp;$B271&amp;$C271,盘货信息!$A:$A&amp;盘货信息!$B:$B&amp;盘货信息!$C:$C,盘货信息!$Q:$Q)&amp;"元红包（每个淘宝账号仅限对应一个站外种草账号，同一个种草账号不可对应多个淘宝账号）")</f>
        <v/>
      </c>
      <c r="T271" s="27" t="str" cm="1">
        <f t="array" ref="T271">IF(_xlfn.XLOOKUP($A271&amp;$B271&amp;$C271,盘货信息!$A:$A&amp;盘货信息!$B:$B&amp;盘货信息!$C:$C,盘货信息!$R:$R)&lt;1,"","【以旧换新】"&amp;"享补贴"&amp;ROUND(_xlfn.XLOOKUP($A271&amp;$B271&amp;$C271,盘货信息!$A:$A&amp;盘货信息!$B:$B&amp;盘货信息!$C:$C,盘货信息!$R:$R),0)&amp;"元（可无旧机换新）")</f>
        <v/>
      </c>
      <c r="U271" s="27" t="str">
        <f>IF(AND($N271="",$O271="",$P271="",$Q271="",$R271="",$S271="",$T271=""),"",固定信息!$B$1)</f>
        <v/>
      </c>
      <c r="V271" s="27" t="str" cm="1">
        <f t="array" ref="V271">IF(_xlfn.XLOOKUP($A271&amp;$B271&amp;$C271,盘货信息!$A:$A&amp;盘货信息!$B:$B&amp;盘货信息!$C:$C,盘货信息!$Y:$Y)="","","【卡萨帝送赠】活动指定时间"&amp;_xlfn.TEXTBEFORE(_xlfn.TEXTAFTER(_xlfn.XLOOKUP($A271&amp;$B271&amp;$C271,盘货信息!$A:$A&amp;盘货信息!$B:$B&amp;盘货信息!$C:$C,盘货信息!$Y:$Y),"点"),"（"))</f>
        <v/>
      </c>
      <c r="W271" s="27" t="str" cm="1">
        <f t="array" ref="W271">IF(COUNTIF(_xlfn.XLOOKUP($A271&amp;$B271&amp;$C271,盘货信息!$A:$A&amp;盘货信息!$B:$B&amp;盘货信息!$C:$C,盘货信息!$O:$O),"*是*"),"【折扣】指定型号满2类享96折，满3类享94折","")</f>
        <v/>
      </c>
      <c r="X271" s="27" t="str" cm="1">
        <f t="array" ref="X271">IF(固定信息!$B$7="","",IF(_xlfn.XLOOKUP($A271&amp;$B271&amp;$C271,盘货信息!$A:$A&amp;盘货信息!$B:$B&amp;盘货信息!$C:$C,盘货信息!$N:$N)="是","【瓜分】"&amp;固定信息!$B$7,""))</f>
        <v/>
      </c>
      <c r="Y271" s="27" t="str">
        <f>IF(AND($V271="",$W271="",$X271=""),"",固定信息!$B$1)</f>
        <v/>
      </c>
      <c r="Z271" s="27" t="str" cm="1">
        <f t="array" ref="Z271">IF($C271="","",_xlfn.XLOOKUP($A271&amp;$B271&amp;$C271,服务!$A:$A&amp;服务!$B:$B&amp;服务!$C:$C,服务!$D:$D))</f>
        <v/>
      </c>
    </row>
    <row r="272" customHeight="1" spans="1:26">
      <c r="A272" s="23" t="str">
        <f>IF(盘货信息!A272="","",盘货信息!A272)</f>
        <v/>
      </c>
      <c r="B272" s="26" t="str">
        <f>IF(盘货信息!B272="","",盘货信息!B272)</f>
        <v/>
      </c>
      <c r="C272" s="23" t="str">
        <f>IF(盘货信息!C272="","",盘货信息!C272)</f>
        <v/>
      </c>
      <c r="D272" s="27" t="str">
        <f ca="1" t="shared" si="4"/>
        <v/>
      </c>
      <c r="E272" s="27" t="str">
        <f>IF(C272="","",固定信息!$B$2)</f>
        <v/>
      </c>
      <c r="F272" s="27" t="str">
        <f>IF(C272="","","【"&amp;C272&amp;"】"&amp;固定信息!$B$4)</f>
        <v/>
      </c>
      <c r="G272" s="27" t="str">
        <f>IF(C272="","","【"&amp;"活动时间："&amp;固定信息!$B$3&amp;"】")</f>
        <v/>
      </c>
      <c r="H272" s="27" t="str">
        <f>IF($C272="","",固定信息!$B$1)</f>
        <v/>
      </c>
      <c r="I272" s="27" t="str">
        <f>IF(OR(C272="",固定信息!$B$5=""),"","【1元预约锁好礼】"&amp;固定信息!$B$5)</f>
        <v/>
      </c>
      <c r="J272" s="27" t="str" cm="1">
        <f t="array" ref="J272">_xlfn.XLOOKUP($A272&amp;$B272&amp;$C272,价格信息!$A:$A&amp;价格信息!$B:$B&amp;价格信息!$C:$C,价格信息!$D:$D)</f>
        <v/>
      </c>
      <c r="K272" s="27" t="str">
        <f>IF($C272="","",固定信息!$B$1)</f>
        <v/>
      </c>
      <c r="L272" s="27" t="str" cm="1">
        <f t="array" ref="L272">IF(_xlfn.XLOOKUP($A272&amp;$B272&amp;$C272,盘货信息!$A:$A&amp;盘货信息!$B:$B&amp;盘货信息!$C:$C,盘货信息!$T:$T)="","","【优惠券】领"&amp;_xlfn.XLOOKUP($A272&amp;$B272&amp;$C272,盘货信息!$A:$A&amp;盘货信息!$B:$B&amp;盘货信息!$C:$C,盘货信息!$T:$T)&amp;"元优惠卷下单更优惠，领券链接："&amp;_xlfn.XLOOKUP($A272&amp;$B272&amp;$C272,盘货信息!$A:$A&amp;盘货信息!$B:$B&amp;盘货信息!$C:$C,盘货信息!$U:$U))</f>
        <v/>
      </c>
      <c r="M272" s="27" t="str" cm="1">
        <f t="array" ref="M272">IF(_xlfn.XLOOKUP($A272&amp;$B272&amp;$C272,盘货信息!$A:$A&amp;盘货信息!$B:$B&amp;盘货信息!$C:$C,盘货信息!$P:$P)="","","【限时】"&amp;_xlfn.XLOOKUP($A272&amp;$B272&amp;$C272,盘货信息!$A:$A&amp;盘货信息!$B:$B&amp;盘货信息!$C:$C,盘货信息!$P:$P))</f>
        <v/>
      </c>
      <c r="N272" s="27" t="str" cm="1">
        <f t="array" ref="N272">IF(_xlfn.XLOOKUP($A272&amp;$B272&amp;$C272,盘货信息!$A:$A&amp;盘货信息!$B:$B&amp;盘货信息!$C:$C,盘货信息!$V:$V)="","","【"&amp;盘货信息!$V$1&amp;"】"&amp;_xlfn.XLOOKUP($A272&amp;$B272&amp;$C272,盘货信息!$A:$A&amp;盘货信息!$B:$B&amp;盘货信息!$C:$C,盘货信息!$V:$V))</f>
        <v/>
      </c>
      <c r="O272" s="27" t="str" cm="1">
        <f t="array" ref="O272">IF(_xlfn.XLOOKUP($A272&amp;$B272&amp;$C272,盘货信息!$A:$A&amp;盘货信息!$B:$B&amp;盘货信息!$C:$C,盘货信息!$W:$W)="","","【"&amp;盘货信息!$W$1&amp;"】"&amp;_xlfn.XLOOKUP($A272&amp;$B272&amp;$C272,盘货信息!$A:$A&amp;盘货信息!$B:$B&amp;盘货信息!$C:$C,盘货信息!$W:$W))</f>
        <v/>
      </c>
      <c r="P272" s="27" t="str" cm="1">
        <f t="array" ref="P272">IF(_xlfn.XLOOKUP($A272&amp;$B272&amp;$C272,盘货信息!$A:$A&amp;盘货信息!$B:$B&amp;盘货信息!$C:$C,盘货信息!$S:$S)&lt;1,"","【"&amp;盘货信息!$S$1&amp;"】"&amp;"后返"&amp;_xlfn.XLOOKUP($A272&amp;$B272&amp;$C272,盘货信息!$A:$A&amp;盘货信息!$B:$B&amp;盘货信息!$C:$C,盘货信息!$S:$S)&amp;"元")</f>
        <v/>
      </c>
      <c r="Q272" s="27" t="str" cm="1">
        <f t="array" ref="Q272">IF(_xlfn.XLOOKUP($A272&amp;$B272&amp;$C272,盘货信息!$A:$A&amp;盘货信息!$B:$B&amp;盘货信息!$C:$C,盘货信息!$X:$X)="","","【"&amp;盘货信息!$X$1&amp;"】"&amp;_xlfn.XLOOKUP($A272&amp;$B272&amp;$C272,盘货信息!$A:$A&amp;盘货信息!$B:$B&amp;盘货信息!$C:$C,盘货信息!$X:$X))</f>
        <v/>
      </c>
      <c r="R272" s="27" t="str" cm="1">
        <f t="array" ref="R272">IF(_xlfn.XLOOKUP($A272&amp;$B272&amp;$C272,盘货信息!$A:$A&amp;盘货信息!$B:$B&amp;盘货信息!$C:$C,盘货信息!$Z:$Z)="","","【"&amp;盘货信息!$Z$1&amp;"】"&amp;_xlfn.XLOOKUP($A272&amp;$B272&amp;$C272,盘货信息!$A:$A&amp;盘货信息!$B:$B&amp;盘货信息!$C:$C,盘货信息!$Z:$Z))</f>
        <v/>
      </c>
      <c r="S272" s="27" t="str" cm="1">
        <f t="array" ref="S272">IF(_xlfn.XLOOKUP($A272&amp;$B272&amp;$C272,盘货信息!$A:$A&amp;盘货信息!$B:$B&amp;盘货信息!$C:$C,盘货信息!$Q:$Q)="","","【种草】站外带指定话题种草后返"&amp;_xlfn.XLOOKUP($A272&amp;$B272&amp;$C272,盘货信息!$A:$A&amp;盘货信息!$B:$B&amp;盘货信息!$C:$C,盘货信息!$Q:$Q)&amp;"元红包（每个淘宝账号仅限对应一个站外种草账号，同一个种草账号不可对应多个淘宝账号）")</f>
        <v/>
      </c>
      <c r="T272" s="27" t="str" cm="1">
        <f t="array" ref="T272">IF(_xlfn.XLOOKUP($A272&amp;$B272&amp;$C272,盘货信息!$A:$A&amp;盘货信息!$B:$B&amp;盘货信息!$C:$C,盘货信息!$R:$R)&lt;1,"","【以旧换新】"&amp;"享补贴"&amp;ROUND(_xlfn.XLOOKUP($A272&amp;$B272&amp;$C272,盘货信息!$A:$A&amp;盘货信息!$B:$B&amp;盘货信息!$C:$C,盘货信息!$R:$R),0)&amp;"元（可无旧机换新）")</f>
        <v/>
      </c>
      <c r="U272" s="27" t="str">
        <f>IF(AND($N272="",$O272="",$P272="",$Q272="",$R272="",$S272="",$T272=""),"",固定信息!$B$1)</f>
        <v/>
      </c>
      <c r="V272" s="27" t="str" cm="1">
        <f t="array" ref="V272">IF(_xlfn.XLOOKUP($A272&amp;$B272&amp;$C272,盘货信息!$A:$A&amp;盘货信息!$B:$B&amp;盘货信息!$C:$C,盘货信息!$Y:$Y)="","","【卡萨帝送赠】活动指定时间"&amp;_xlfn.TEXTBEFORE(_xlfn.TEXTAFTER(_xlfn.XLOOKUP($A272&amp;$B272&amp;$C272,盘货信息!$A:$A&amp;盘货信息!$B:$B&amp;盘货信息!$C:$C,盘货信息!$Y:$Y),"点"),"（"))</f>
        <v/>
      </c>
      <c r="W272" s="27" t="str" cm="1">
        <f t="array" ref="W272">IF(COUNTIF(_xlfn.XLOOKUP($A272&amp;$B272&amp;$C272,盘货信息!$A:$A&amp;盘货信息!$B:$B&amp;盘货信息!$C:$C,盘货信息!$O:$O),"*是*"),"【折扣】指定型号满2类享96折，满3类享94折","")</f>
        <v/>
      </c>
      <c r="X272" s="27" t="str" cm="1">
        <f t="array" ref="X272">IF(固定信息!$B$7="","",IF(_xlfn.XLOOKUP($A272&amp;$B272&amp;$C272,盘货信息!$A:$A&amp;盘货信息!$B:$B&amp;盘货信息!$C:$C,盘货信息!$N:$N)="是","【瓜分】"&amp;固定信息!$B$7,""))</f>
        <v/>
      </c>
      <c r="Y272" s="27" t="str">
        <f>IF(AND($V272="",$W272="",$X272=""),"",固定信息!$B$1)</f>
        <v/>
      </c>
      <c r="Z272" s="27" t="str" cm="1">
        <f t="array" ref="Z272">IF($C272="","",_xlfn.XLOOKUP($A272&amp;$B272&amp;$C272,服务!$A:$A&amp;服务!$B:$B&amp;服务!$C:$C,服务!$D:$D))</f>
        <v/>
      </c>
    </row>
    <row r="273" customHeight="1" spans="1:26">
      <c r="A273" s="23" t="str">
        <f>IF(盘货信息!A273="","",盘货信息!A273)</f>
        <v/>
      </c>
      <c r="B273" s="26" t="str">
        <f>IF(盘货信息!B273="","",盘货信息!B273)</f>
        <v/>
      </c>
      <c r="C273" s="23" t="str">
        <f>IF(盘货信息!C273="","",盘货信息!C273)</f>
        <v/>
      </c>
      <c r="D273" s="27" t="str">
        <f ca="1" t="shared" si="4"/>
        <v/>
      </c>
      <c r="E273" s="27" t="str">
        <f>IF(C273="","",固定信息!$B$2)</f>
        <v/>
      </c>
      <c r="F273" s="27" t="str">
        <f>IF(C273="","","【"&amp;C273&amp;"】"&amp;固定信息!$B$4)</f>
        <v/>
      </c>
      <c r="G273" s="27" t="str">
        <f>IF(C273="","","【"&amp;"活动时间："&amp;固定信息!$B$3&amp;"】")</f>
        <v/>
      </c>
      <c r="H273" s="27" t="str">
        <f>IF($C273="","",固定信息!$B$1)</f>
        <v/>
      </c>
      <c r="I273" s="27" t="str">
        <f>IF(OR(C273="",固定信息!$B$5=""),"","【1元预约锁好礼】"&amp;固定信息!$B$5)</f>
        <v/>
      </c>
      <c r="J273" s="27" t="str" cm="1">
        <f t="array" ref="J273">_xlfn.XLOOKUP($A273&amp;$B273&amp;$C273,价格信息!$A:$A&amp;价格信息!$B:$B&amp;价格信息!$C:$C,价格信息!$D:$D)</f>
        <v/>
      </c>
      <c r="K273" s="27" t="str">
        <f>IF($C273="","",固定信息!$B$1)</f>
        <v/>
      </c>
      <c r="L273" s="27" t="str" cm="1">
        <f t="array" ref="L273">IF(_xlfn.XLOOKUP($A273&amp;$B273&amp;$C273,盘货信息!$A:$A&amp;盘货信息!$B:$B&amp;盘货信息!$C:$C,盘货信息!$T:$T)="","","【优惠券】领"&amp;_xlfn.XLOOKUP($A273&amp;$B273&amp;$C273,盘货信息!$A:$A&amp;盘货信息!$B:$B&amp;盘货信息!$C:$C,盘货信息!$T:$T)&amp;"元优惠卷下单更优惠，领券链接："&amp;_xlfn.XLOOKUP($A273&amp;$B273&amp;$C273,盘货信息!$A:$A&amp;盘货信息!$B:$B&amp;盘货信息!$C:$C,盘货信息!$U:$U))</f>
        <v/>
      </c>
      <c r="M273" s="27" t="str" cm="1">
        <f t="array" ref="M273">IF(_xlfn.XLOOKUP($A273&amp;$B273&amp;$C273,盘货信息!$A:$A&amp;盘货信息!$B:$B&amp;盘货信息!$C:$C,盘货信息!$P:$P)="","","【限时】"&amp;_xlfn.XLOOKUP($A273&amp;$B273&amp;$C273,盘货信息!$A:$A&amp;盘货信息!$B:$B&amp;盘货信息!$C:$C,盘货信息!$P:$P))</f>
        <v/>
      </c>
      <c r="N273" s="27" t="str" cm="1">
        <f t="array" ref="N273">IF(_xlfn.XLOOKUP($A273&amp;$B273&amp;$C273,盘货信息!$A:$A&amp;盘货信息!$B:$B&amp;盘货信息!$C:$C,盘货信息!$V:$V)="","","【"&amp;盘货信息!$V$1&amp;"】"&amp;_xlfn.XLOOKUP($A273&amp;$B273&amp;$C273,盘货信息!$A:$A&amp;盘货信息!$B:$B&amp;盘货信息!$C:$C,盘货信息!$V:$V))</f>
        <v/>
      </c>
      <c r="O273" s="27" t="str" cm="1">
        <f t="array" ref="O273">IF(_xlfn.XLOOKUP($A273&amp;$B273&amp;$C273,盘货信息!$A:$A&amp;盘货信息!$B:$B&amp;盘货信息!$C:$C,盘货信息!$W:$W)="","","【"&amp;盘货信息!$W$1&amp;"】"&amp;_xlfn.XLOOKUP($A273&amp;$B273&amp;$C273,盘货信息!$A:$A&amp;盘货信息!$B:$B&amp;盘货信息!$C:$C,盘货信息!$W:$W))</f>
        <v/>
      </c>
      <c r="P273" s="27" t="str" cm="1">
        <f t="array" ref="P273">IF(_xlfn.XLOOKUP($A273&amp;$B273&amp;$C273,盘货信息!$A:$A&amp;盘货信息!$B:$B&amp;盘货信息!$C:$C,盘货信息!$S:$S)&lt;1,"","【"&amp;盘货信息!$S$1&amp;"】"&amp;"后返"&amp;_xlfn.XLOOKUP($A273&amp;$B273&amp;$C273,盘货信息!$A:$A&amp;盘货信息!$B:$B&amp;盘货信息!$C:$C,盘货信息!$S:$S)&amp;"元")</f>
        <v/>
      </c>
      <c r="Q273" s="27" t="str" cm="1">
        <f t="array" ref="Q273">IF(_xlfn.XLOOKUP($A273&amp;$B273&amp;$C273,盘货信息!$A:$A&amp;盘货信息!$B:$B&amp;盘货信息!$C:$C,盘货信息!$X:$X)="","","【"&amp;盘货信息!$X$1&amp;"】"&amp;_xlfn.XLOOKUP($A273&amp;$B273&amp;$C273,盘货信息!$A:$A&amp;盘货信息!$B:$B&amp;盘货信息!$C:$C,盘货信息!$X:$X))</f>
        <v/>
      </c>
      <c r="R273" s="27" t="str" cm="1">
        <f t="array" ref="R273">IF(_xlfn.XLOOKUP($A273&amp;$B273&amp;$C273,盘货信息!$A:$A&amp;盘货信息!$B:$B&amp;盘货信息!$C:$C,盘货信息!$Z:$Z)="","","【"&amp;盘货信息!$Z$1&amp;"】"&amp;_xlfn.XLOOKUP($A273&amp;$B273&amp;$C273,盘货信息!$A:$A&amp;盘货信息!$B:$B&amp;盘货信息!$C:$C,盘货信息!$Z:$Z))</f>
        <v/>
      </c>
      <c r="S273" s="27" t="str" cm="1">
        <f t="array" ref="S273">IF(_xlfn.XLOOKUP($A273&amp;$B273&amp;$C273,盘货信息!$A:$A&amp;盘货信息!$B:$B&amp;盘货信息!$C:$C,盘货信息!$Q:$Q)="","","【种草】站外带指定话题种草后返"&amp;_xlfn.XLOOKUP($A273&amp;$B273&amp;$C273,盘货信息!$A:$A&amp;盘货信息!$B:$B&amp;盘货信息!$C:$C,盘货信息!$Q:$Q)&amp;"元红包（每个淘宝账号仅限对应一个站外种草账号，同一个种草账号不可对应多个淘宝账号）")</f>
        <v/>
      </c>
      <c r="T273" s="27" t="str" cm="1">
        <f t="array" ref="T273">IF(_xlfn.XLOOKUP($A273&amp;$B273&amp;$C273,盘货信息!$A:$A&amp;盘货信息!$B:$B&amp;盘货信息!$C:$C,盘货信息!$R:$R)&lt;1,"","【以旧换新】"&amp;"享补贴"&amp;ROUND(_xlfn.XLOOKUP($A273&amp;$B273&amp;$C273,盘货信息!$A:$A&amp;盘货信息!$B:$B&amp;盘货信息!$C:$C,盘货信息!$R:$R),0)&amp;"元（可无旧机换新）")</f>
        <v/>
      </c>
      <c r="U273" s="27" t="str">
        <f>IF(AND($N273="",$O273="",$P273="",$Q273="",$R273="",$S273="",$T273=""),"",固定信息!$B$1)</f>
        <v/>
      </c>
      <c r="V273" s="27" t="str" cm="1">
        <f t="array" ref="V273">IF(_xlfn.XLOOKUP($A273&amp;$B273&amp;$C273,盘货信息!$A:$A&amp;盘货信息!$B:$B&amp;盘货信息!$C:$C,盘货信息!$Y:$Y)="","","【卡萨帝送赠】活动指定时间"&amp;_xlfn.TEXTBEFORE(_xlfn.TEXTAFTER(_xlfn.XLOOKUP($A273&amp;$B273&amp;$C273,盘货信息!$A:$A&amp;盘货信息!$B:$B&amp;盘货信息!$C:$C,盘货信息!$Y:$Y),"点"),"（"))</f>
        <v/>
      </c>
      <c r="W273" s="27" t="str" cm="1">
        <f t="array" ref="W273">IF(COUNTIF(_xlfn.XLOOKUP($A273&amp;$B273&amp;$C273,盘货信息!$A:$A&amp;盘货信息!$B:$B&amp;盘货信息!$C:$C,盘货信息!$O:$O),"*是*"),"【折扣】指定型号满2类享96折，满3类享94折","")</f>
        <v/>
      </c>
      <c r="X273" s="27" t="str" cm="1">
        <f t="array" ref="X273">IF(固定信息!$B$7="","",IF(_xlfn.XLOOKUP($A273&amp;$B273&amp;$C273,盘货信息!$A:$A&amp;盘货信息!$B:$B&amp;盘货信息!$C:$C,盘货信息!$N:$N)="是","【瓜分】"&amp;固定信息!$B$7,""))</f>
        <v/>
      </c>
      <c r="Y273" s="27" t="str">
        <f>IF(AND($V273="",$W273="",$X273=""),"",固定信息!$B$1)</f>
        <v/>
      </c>
      <c r="Z273" s="27" t="str" cm="1">
        <f t="array" ref="Z273">IF($C273="","",_xlfn.XLOOKUP($A273&amp;$B273&amp;$C273,服务!$A:$A&amp;服务!$B:$B&amp;服务!$C:$C,服务!$D:$D))</f>
        <v/>
      </c>
    </row>
    <row r="274" customHeight="1" spans="1:26">
      <c r="A274" s="23" t="str">
        <f>IF(盘货信息!A274="","",盘货信息!A274)</f>
        <v/>
      </c>
      <c r="B274" s="26" t="str">
        <f>IF(盘货信息!B274="","",盘货信息!B274)</f>
        <v/>
      </c>
      <c r="C274" s="23" t="str">
        <f>IF(盘货信息!C274="","",盘货信息!C274)</f>
        <v/>
      </c>
      <c r="D274" s="27" t="str">
        <f ca="1" t="shared" si="4"/>
        <v/>
      </c>
      <c r="E274" s="27" t="str">
        <f>IF(C274="","",固定信息!$B$2)</f>
        <v/>
      </c>
      <c r="F274" s="27" t="str">
        <f>IF(C274="","","【"&amp;C274&amp;"】"&amp;固定信息!$B$4)</f>
        <v/>
      </c>
      <c r="G274" s="27" t="str">
        <f>IF(C274="","","【"&amp;"活动时间："&amp;固定信息!$B$3&amp;"】")</f>
        <v/>
      </c>
      <c r="H274" s="27" t="str">
        <f>IF($C274="","",固定信息!$B$1)</f>
        <v/>
      </c>
      <c r="I274" s="27" t="str">
        <f>IF(OR(C274="",固定信息!$B$5=""),"","【1元预约锁好礼】"&amp;固定信息!$B$5)</f>
        <v/>
      </c>
      <c r="J274" s="27" t="str" cm="1">
        <f t="array" ref="J274">_xlfn.XLOOKUP($A274&amp;$B274&amp;$C274,价格信息!$A:$A&amp;价格信息!$B:$B&amp;价格信息!$C:$C,价格信息!$D:$D)</f>
        <v/>
      </c>
      <c r="K274" s="27" t="str">
        <f>IF($C274="","",固定信息!$B$1)</f>
        <v/>
      </c>
      <c r="L274" s="27" t="str" cm="1">
        <f t="array" ref="L274">IF(_xlfn.XLOOKUP($A274&amp;$B274&amp;$C274,盘货信息!$A:$A&amp;盘货信息!$B:$B&amp;盘货信息!$C:$C,盘货信息!$T:$T)="","","【优惠券】领"&amp;_xlfn.XLOOKUP($A274&amp;$B274&amp;$C274,盘货信息!$A:$A&amp;盘货信息!$B:$B&amp;盘货信息!$C:$C,盘货信息!$T:$T)&amp;"元优惠卷下单更优惠，领券链接："&amp;_xlfn.XLOOKUP($A274&amp;$B274&amp;$C274,盘货信息!$A:$A&amp;盘货信息!$B:$B&amp;盘货信息!$C:$C,盘货信息!$U:$U))</f>
        <v/>
      </c>
      <c r="M274" s="27" t="str" cm="1">
        <f t="array" ref="M274">IF(_xlfn.XLOOKUP($A274&amp;$B274&amp;$C274,盘货信息!$A:$A&amp;盘货信息!$B:$B&amp;盘货信息!$C:$C,盘货信息!$P:$P)="","","【限时】"&amp;_xlfn.XLOOKUP($A274&amp;$B274&amp;$C274,盘货信息!$A:$A&amp;盘货信息!$B:$B&amp;盘货信息!$C:$C,盘货信息!$P:$P))</f>
        <v/>
      </c>
      <c r="N274" s="27" t="str" cm="1">
        <f t="array" ref="N274">IF(_xlfn.XLOOKUP($A274&amp;$B274&amp;$C274,盘货信息!$A:$A&amp;盘货信息!$B:$B&amp;盘货信息!$C:$C,盘货信息!$V:$V)="","","【"&amp;盘货信息!$V$1&amp;"】"&amp;_xlfn.XLOOKUP($A274&amp;$B274&amp;$C274,盘货信息!$A:$A&amp;盘货信息!$B:$B&amp;盘货信息!$C:$C,盘货信息!$V:$V))</f>
        <v/>
      </c>
      <c r="O274" s="27" t="str" cm="1">
        <f t="array" ref="O274">IF(_xlfn.XLOOKUP($A274&amp;$B274&amp;$C274,盘货信息!$A:$A&amp;盘货信息!$B:$B&amp;盘货信息!$C:$C,盘货信息!$W:$W)="","","【"&amp;盘货信息!$W$1&amp;"】"&amp;_xlfn.XLOOKUP($A274&amp;$B274&amp;$C274,盘货信息!$A:$A&amp;盘货信息!$B:$B&amp;盘货信息!$C:$C,盘货信息!$W:$W))</f>
        <v/>
      </c>
      <c r="P274" s="27" t="str" cm="1">
        <f t="array" ref="P274">IF(_xlfn.XLOOKUP($A274&amp;$B274&amp;$C274,盘货信息!$A:$A&amp;盘货信息!$B:$B&amp;盘货信息!$C:$C,盘货信息!$S:$S)&lt;1,"","【"&amp;盘货信息!$S$1&amp;"】"&amp;"后返"&amp;_xlfn.XLOOKUP($A274&amp;$B274&amp;$C274,盘货信息!$A:$A&amp;盘货信息!$B:$B&amp;盘货信息!$C:$C,盘货信息!$S:$S)&amp;"元")</f>
        <v/>
      </c>
      <c r="Q274" s="27" t="str" cm="1">
        <f t="array" ref="Q274">IF(_xlfn.XLOOKUP($A274&amp;$B274&amp;$C274,盘货信息!$A:$A&amp;盘货信息!$B:$B&amp;盘货信息!$C:$C,盘货信息!$X:$X)="","","【"&amp;盘货信息!$X$1&amp;"】"&amp;_xlfn.XLOOKUP($A274&amp;$B274&amp;$C274,盘货信息!$A:$A&amp;盘货信息!$B:$B&amp;盘货信息!$C:$C,盘货信息!$X:$X))</f>
        <v/>
      </c>
      <c r="R274" s="27" t="str" cm="1">
        <f t="array" ref="R274">IF(_xlfn.XLOOKUP($A274&amp;$B274&amp;$C274,盘货信息!$A:$A&amp;盘货信息!$B:$B&amp;盘货信息!$C:$C,盘货信息!$Z:$Z)="","","【"&amp;盘货信息!$Z$1&amp;"】"&amp;_xlfn.XLOOKUP($A274&amp;$B274&amp;$C274,盘货信息!$A:$A&amp;盘货信息!$B:$B&amp;盘货信息!$C:$C,盘货信息!$Z:$Z))</f>
        <v/>
      </c>
      <c r="S274" s="27" t="str" cm="1">
        <f t="array" ref="S274">IF(_xlfn.XLOOKUP($A274&amp;$B274&amp;$C274,盘货信息!$A:$A&amp;盘货信息!$B:$B&amp;盘货信息!$C:$C,盘货信息!$Q:$Q)="","","【种草】站外带指定话题种草后返"&amp;_xlfn.XLOOKUP($A274&amp;$B274&amp;$C274,盘货信息!$A:$A&amp;盘货信息!$B:$B&amp;盘货信息!$C:$C,盘货信息!$Q:$Q)&amp;"元红包（每个淘宝账号仅限对应一个站外种草账号，同一个种草账号不可对应多个淘宝账号）")</f>
        <v/>
      </c>
      <c r="T274" s="27" t="str" cm="1">
        <f t="array" ref="T274">IF(_xlfn.XLOOKUP($A274&amp;$B274&amp;$C274,盘货信息!$A:$A&amp;盘货信息!$B:$B&amp;盘货信息!$C:$C,盘货信息!$R:$R)&lt;1,"","【以旧换新】"&amp;"享补贴"&amp;ROUND(_xlfn.XLOOKUP($A274&amp;$B274&amp;$C274,盘货信息!$A:$A&amp;盘货信息!$B:$B&amp;盘货信息!$C:$C,盘货信息!$R:$R),0)&amp;"元（可无旧机换新）")</f>
        <v/>
      </c>
      <c r="U274" s="27" t="str">
        <f>IF(AND($N274="",$O274="",$P274="",$Q274="",$R274="",$S274="",$T274=""),"",固定信息!$B$1)</f>
        <v/>
      </c>
      <c r="V274" s="27" t="str" cm="1">
        <f t="array" ref="V274">IF(_xlfn.XLOOKUP($A274&amp;$B274&amp;$C274,盘货信息!$A:$A&amp;盘货信息!$B:$B&amp;盘货信息!$C:$C,盘货信息!$Y:$Y)="","","【卡萨帝送赠】活动指定时间"&amp;_xlfn.TEXTBEFORE(_xlfn.TEXTAFTER(_xlfn.XLOOKUP($A274&amp;$B274&amp;$C274,盘货信息!$A:$A&amp;盘货信息!$B:$B&amp;盘货信息!$C:$C,盘货信息!$Y:$Y),"点"),"（"))</f>
        <v/>
      </c>
      <c r="W274" s="27" t="str" cm="1">
        <f t="array" ref="W274">IF(COUNTIF(_xlfn.XLOOKUP($A274&amp;$B274&amp;$C274,盘货信息!$A:$A&amp;盘货信息!$B:$B&amp;盘货信息!$C:$C,盘货信息!$O:$O),"*是*"),"【折扣】指定型号满2类享96折，满3类享94折","")</f>
        <v/>
      </c>
      <c r="X274" s="27" t="str" cm="1">
        <f t="array" ref="X274">IF(固定信息!$B$7="","",IF(_xlfn.XLOOKUP($A274&amp;$B274&amp;$C274,盘货信息!$A:$A&amp;盘货信息!$B:$B&amp;盘货信息!$C:$C,盘货信息!$N:$N)="是","【瓜分】"&amp;固定信息!$B$7,""))</f>
        <v/>
      </c>
      <c r="Y274" s="27" t="str">
        <f>IF(AND($V274="",$W274="",$X274=""),"",固定信息!$B$1)</f>
        <v/>
      </c>
      <c r="Z274" s="27" t="str" cm="1">
        <f t="array" ref="Z274">IF($C274="","",_xlfn.XLOOKUP($A274&amp;$B274&amp;$C274,服务!$A:$A&amp;服务!$B:$B&amp;服务!$C:$C,服务!$D:$D))</f>
        <v/>
      </c>
    </row>
    <row r="275" customHeight="1" spans="1:26">
      <c r="A275" s="23" t="str">
        <f>IF(盘货信息!A275="","",盘货信息!A275)</f>
        <v/>
      </c>
      <c r="B275" s="26" t="str">
        <f>IF(盘货信息!B275="","",盘货信息!B275)</f>
        <v/>
      </c>
      <c r="C275" s="23" t="str">
        <f>IF(盘货信息!C275="","",盘货信息!C275)</f>
        <v/>
      </c>
      <c r="D275" s="27" t="str">
        <f ca="1" t="shared" si="4"/>
        <v/>
      </c>
      <c r="E275" s="27" t="str">
        <f>IF(C275="","",固定信息!$B$2)</f>
        <v/>
      </c>
      <c r="F275" s="27" t="str">
        <f>IF(C275="","","【"&amp;C275&amp;"】"&amp;固定信息!$B$4)</f>
        <v/>
      </c>
      <c r="G275" s="27" t="str">
        <f>IF(C275="","","【"&amp;"活动时间："&amp;固定信息!$B$3&amp;"】")</f>
        <v/>
      </c>
      <c r="H275" s="27" t="str">
        <f>IF($C275="","",固定信息!$B$1)</f>
        <v/>
      </c>
      <c r="I275" s="27" t="str">
        <f>IF(OR(C275="",固定信息!$B$5=""),"","【1元预约锁好礼】"&amp;固定信息!$B$5)</f>
        <v/>
      </c>
      <c r="J275" s="27" t="str" cm="1">
        <f t="array" ref="J275">_xlfn.XLOOKUP($A275&amp;$B275&amp;$C275,价格信息!$A:$A&amp;价格信息!$B:$B&amp;价格信息!$C:$C,价格信息!$D:$D)</f>
        <v/>
      </c>
      <c r="K275" s="27" t="str">
        <f>IF($C275="","",固定信息!$B$1)</f>
        <v/>
      </c>
      <c r="L275" s="27" t="str" cm="1">
        <f t="array" ref="L275">IF(_xlfn.XLOOKUP($A275&amp;$B275&amp;$C275,盘货信息!$A:$A&amp;盘货信息!$B:$B&amp;盘货信息!$C:$C,盘货信息!$T:$T)="","","【优惠券】领"&amp;_xlfn.XLOOKUP($A275&amp;$B275&amp;$C275,盘货信息!$A:$A&amp;盘货信息!$B:$B&amp;盘货信息!$C:$C,盘货信息!$T:$T)&amp;"元优惠卷下单更优惠，领券链接："&amp;_xlfn.XLOOKUP($A275&amp;$B275&amp;$C275,盘货信息!$A:$A&amp;盘货信息!$B:$B&amp;盘货信息!$C:$C,盘货信息!$U:$U))</f>
        <v/>
      </c>
      <c r="M275" s="27" t="str" cm="1">
        <f t="array" ref="M275">IF(_xlfn.XLOOKUP($A275&amp;$B275&amp;$C275,盘货信息!$A:$A&amp;盘货信息!$B:$B&amp;盘货信息!$C:$C,盘货信息!$P:$P)="","","【限时】"&amp;_xlfn.XLOOKUP($A275&amp;$B275&amp;$C275,盘货信息!$A:$A&amp;盘货信息!$B:$B&amp;盘货信息!$C:$C,盘货信息!$P:$P))</f>
        <v/>
      </c>
      <c r="N275" s="27" t="str" cm="1">
        <f t="array" ref="N275">IF(_xlfn.XLOOKUP($A275&amp;$B275&amp;$C275,盘货信息!$A:$A&amp;盘货信息!$B:$B&amp;盘货信息!$C:$C,盘货信息!$V:$V)="","","【"&amp;盘货信息!$V$1&amp;"】"&amp;_xlfn.XLOOKUP($A275&amp;$B275&amp;$C275,盘货信息!$A:$A&amp;盘货信息!$B:$B&amp;盘货信息!$C:$C,盘货信息!$V:$V))</f>
        <v/>
      </c>
      <c r="O275" s="27" t="str" cm="1">
        <f t="array" ref="O275">IF(_xlfn.XLOOKUP($A275&amp;$B275&amp;$C275,盘货信息!$A:$A&amp;盘货信息!$B:$B&amp;盘货信息!$C:$C,盘货信息!$W:$W)="","","【"&amp;盘货信息!$W$1&amp;"】"&amp;_xlfn.XLOOKUP($A275&amp;$B275&amp;$C275,盘货信息!$A:$A&amp;盘货信息!$B:$B&amp;盘货信息!$C:$C,盘货信息!$W:$W))</f>
        <v/>
      </c>
      <c r="P275" s="27" t="str" cm="1">
        <f t="array" ref="P275">IF(_xlfn.XLOOKUP($A275&amp;$B275&amp;$C275,盘货信息!$A:$A&amp;盘货信息!$B:$B&amp;盘货信息!$C:$C,盘货信息!$S:$S)&lt;1,"","【"&amp;盘货信息!$S$1&amp;"】"&amp;"后返"&amp;_xlfn.XLOOKUP($A275&amp;$B275&amp;$C275,盘货信息!$A:$A&amp;盘货信息!$B:$B&amp;盘货信息!$C:$C,盘货信息!$S:$S)&amp;"元")</f>
        <v/>
      </c>
      <c r="Q275" s="27" t="str" cm="1">
        <f t="array" ref="Q275">IF(_xlfn.XLOOKUP($A275&amp;$B275&amp;$C275,盘货信息!$A:$A&amp;盘货信息!$B:$B&amp;盘货信息!$C:$C,盘货信息!$X:$X)="","","【"&amp;盘货信息!$X$1&amp;"】"&amp;_xlfn.XLOOKUP($A275&amp;$B275&amp;$C275,盘货信息!$A:$A&amp;盘货信息!$B:$B&amp;盘货信息!$C:$C,盘货信息!$X:$X))</f>
        <v/>
      </c>
      <c r="R275" s="27" t="str" cm="1">
        <f t="array" ref="R275">IF(_xlfn.XLOOKUP($A275&amp;$B275&amp;$C275,盘货信息!$A:$A&amp;盘货信息!$B:$B&amp;盘货信息!$C:$C,盘货信息!$Z:$Z)="","","【"&amp;盘货信息!$Z$1&amp;"】"&amp;_xlfn.XLOOKUP($A275&amp;$B275&amp;$C275,盘货信息!$A:$A&amp;盘货信息!$B:$B&amp;盘货信息!$C:$C,盘货信息!$Z:$Z))</f>
        <v/>
      </c>
      <c r="S275" s="27" t="str" cm="1">
        <f t="array" ref="S275">IF(_xlfn.XLOOKUP($A275&amp;$B275&amp;$C275,盘货信息!$A:$A&amp;盘货信息!$B:$B&amp;盘货信息!$C:$C,盘货信息!$Q:$Q)="","","【种草】站外带指定话题种草后返"&amp;_xlfn.XLOOKUP($A275&amp;$B275&amp;$C275,盘货信息!$A:$A&amp;盘货信息!$B:$B&amp;盘货信息!$C:$C,盘货信息!$Q:$Q)&amp;"元红包（每个淘宝账号仅限对应一个站外种草账号，同一个种草账号不可对应多个淘宝账号）")</f>
        <v/>
      </c>
      <c r="T275" s="27" t="str" cm="1">
        <f t="array" ref="T275">IF(_xlfn.XLOOKUP($A275&amp;$B275&amp;$C275,盘货信息!$A:$A&amp;盘货信息!$B:$B&amp;盘货信息!$C:$C,盘货信息!$R:$R)&lt;1,"","【以旧换新】"&amp;"享补贴"&amp;ROUND(_xlfn.XLOOKUP($A275&amp;$B275&amp;$C275,盘货信息!$A:$A&amp;盘货信息!$B:$B&amp;盘货信息!$C:$C,盘货信息!$R:$R),0)&amp;"元（可无旧机换新）")</f>
        <v/>
      </c>
      <c r="U275" s="27" t="str">
        <f>IF(AND($N275="",$O275="",$P275="",$Q275="",$R275="",$S275="",$T275=""),"",固定信息!$B$1)</f>
        <v/>
      </c>
      <c r="V275" s="27" t="str" cm="1">
        <f t="array" ref="V275">IF(_xlfn.XLOOKUP($A275&amp;$B275&amp;$C275,盘货信息!$A:$A&amp;盘货信息!$B:$B&amp;盘货信息!$C:$C,盘货信息!$Y:$Y)="","","【卡萨帝送赠】活动指定时间"&amp;_xlfn.TEXTBEFORE(_xlfn.TEXTAFTER(_xlfn.XLOOKUP($A275&amp;$B275&amp;$C275,盘货信息!$A:$A&amp;盘货信息!$B:$B&amp;盘货信息!$C:$C,盘货信息!$Y:$Y),"点"),"（"))</f>
        <v/>
      </c>
      <c r="W275" s="27" t="str" cm="1">
        <f t="array" ref="W275">IF(COUNTIF(_xlfn.XLOOKUP($A275&amp;$B275&amp;$C275,盘货信息!$A:$A&amp;盘货信息!$B:$B&amp;盘货信息!$C:$C,盘货信息!$O:$O),"*是*"),"【折扣】指定型号满2类享96折，满3类享94折","")</f>
        <v/>
      </c>
      <c r="X275" s="27" t="str" cm="1">
        <f t="array" ref="X275">IF(固定信息!$B$7="","",IF(_xlfn.XLOOKUP($A275&amp;$B275&amp;$C275,盘货信息!$A:$A&amp;盘货信息!$B:$B&amp;盘货信息!$C:$C,盘货信息!$N:$N)="是","【瓜分】"&amp;固定信息!$B$7,""))</f>
        <v/>
      </c>
      <c r="Y275" s="27" t="str">
        <f>IF(AND($V275="",$W275="",$X275=""),"",固定信息!$B$1)</f>
        <v/>
      </c>
      <c r="Z275" s="27" t="str" cm="1">
        <f t="array" ref="Z275">IF($C275="","",_xlfn.XLOOKUP($A275&amp;$B275&amp;$C275,服务!$A:$A&amp;服务!$B:$B&amp;服务!$C:$C,服务!$D:$D))</f>
        <v/>
      </c>
    </row>
    <row r="276" customHeight="1" spans="1:26">
      <c r="A276" s="23" t="str">
        <f>IF(盘货信息!A276="","",盘货信息!A276)</f>
        <v/>
      </c>
      <c r="B276" s="26" t="str">
        <f>IF(盘货信息!B276="","",盘货信息!B276)</f>
        <v/>
      </c>
      <c r="C276" s="23" t="str">
        <f>IF(盘货信息!C276="","",盘货信息!C276)</f>
        <v/>
      </c>
      <c r="D276" s="27" t="str">
        <f ca="1" t="shared" si="4"/>
        <v/>
      </c>
      <c r="E276" s="27" t="str">
        <f>IF(C276="","",固定信息!$B$2)</f>
        <v/>
      </c>
      <c r="F276" s="27" t="str">
        <f>IF(C276="","","【"&amp;C276&amp;"】"&amp;固定信息!$B$4)</f>
        <v/>
      </c>
      <c r="G276" s="27" t="str">
        <f>IF(C276="","","【"&amp;"活动时间："&amp;固定信息!$B$3&amp;"】")</f>
        <v/>
      </c>
      <c r="H276" s="27" t="str">
        <f>IF($C276="","",固定信息!$B$1)</f>
        <v/>
      </c>
      <c r="I276" s="27" t="str">
        <f>IF(OR(C276="",固定信息!$B$5=""),"","【1元预约锁好礼】"&amp;固定信息!$B$5)</f>
        <v/>
      </c>
      <c r="J276" s="27" t="str" cm="1">
        <f t="array" ref="J276">_xlfn.XLOOKUP($A276&amp;$B276&amp;$C276,价格信息!$A:$A&amp;价格信息!$B:$B&amp;价格信息!$C:$C,价格信息!$D:$D)</f>
        <v/>
      </c>
      <c r="K276" s="27" t="str">
        <f>IF($C276="","",固定信息!$B$1)</f>
        <v/>
      </c>
      <c r="L276" s="27" t="str" cm="1">
        <f t="array" ref="L276">IF(_xlfn.XLOOKUP($A276&amp;$B276&amp;$C276,盘货信息!$A:$A&amp;盘货信息!$B:$B&amp;盘货信息!$C:$C,盘货信息!$T:$T)="","","【优惠券】领"&amp;_xlfn.XLOOKUP($A276&amp;$B276&amp;$C276,盘货信息!$A:$A&amp;盘货信息!$B:$B&amp;盘货信息!$C:$C,盘货信息!$T:$T)&amp;"元优惠卷下单更优惠，领券链接："&amp;_xlfn.XLOOKUP($A276&amp;$B276&amp;$C276,盘货信息!$A:$A&amp;盘货信息!$B:$B&amp;盘货信息!$C:$C,盘货信息!$U:$U))</f>
        <v/>
      </c>
      <c r="M276" s="27" t="str" cm="1">
        <f t="array" ref="M276">IF(_xlfn.XLOOKUP($A276&amp;$B276&amp;$C276,盘货信息!$A:$A&amp;盘货信息!$B:$B&amp;盘货信息!$C:$C,盘货信息!$P:$P)="","","【限时】"&amp;_xlfn.XLOOKUP($A276&amp;$B276&amp;$C276,盘货信息!$A:$A&amp;盘货信息!$B:$B&amp;盘货信息!$C:$C,盘货信息!$P:$P))</f>
        <v/>
      </c>
      <c r="N276" s="27" t="str" cm="1">
        <f t="array" ref="N276">IF(_xlfn.XLOOKUP($A276&amp;$B276&amp;$C276,盘货信息!$A:$A&amp;盘货信息!$B:$B&amp;盘货信息!$C:$C,盘货信息!$V:$V)="","","【"&amp;盘货信息!$V$1&amp;"】"&amp;_xlfn.XLOOKUP($A276&amp;$B276&amp;$C276,盘货信息!$A:$A&amp;盘货信息!$B:$B&amp;盘货信息!$C:$C,盘货信息!$V:$V))</f>
        <v/>
      </c>
      <c r="O276" s="27" t="str" cm="1">
        <f t="array" ref="O276">IF(_xlfn.XLOOKUP($A276&amp;$B276&amp;$C276,盘货信息!$A:$A&amp;盘货信息!$B:$B&amp;盘货信息!$C:$C,盘货信息!$W:$W)="","","【"&amp;盘货信息!$W$1&amp;"】"&amp;_xlfn.XLOOKUP($A276&amp;$B276&amp;$C276,盘货信息!$A:$A&amp;盘货信息!$B:$B&amp;盘货信息!$C:$C,盘货信息!$W:$W))</f>
        <v/>
      </c>
      <c r="P276" s="27" t="str" cm="1">
        <f t="array" ref="P276">IF(_xlfn.XLOOKUP($A276&amp;$B276&amp;$C276,盘货信息!$A:$A&amp;盘货信息!$B:$B&amp;盘货信息!$C:$C,盘货信息!$S:$S)&lt;1,"","【"&amp;盘货信息!$S$1&amp;"】"&amp;"后返"&amp;_xlfn.XLOOKUP($A276&amp;$B276&amp;$C276,盘货信息!$A:$A&amp;盘货信息!$B:$B&amp;盘货信息!$C:$C,盘货信息!$S:$S)&amp;"元")</f>
        <v/>
      </c>
      <c r="Q276" s="27" t="str" cm="1">
        <f t="array" ref="Q276">IF(_xlfn.XLOOKUP($A276&amp;$B276&amp;$C276,盘货信息!$A:$A&amp;盘货信息!$B:$B&amp;盘货信息!$C:$C,盘货信息!$X:$X)="","","【"&amp;盘货信息!$X$1&amp;"】"&amp;_xlfn.XLOOKUP($A276&amp;$B276&amp;$C276,盘货信息!$A:$A&amp;盘货信息!$B:$B&amp;盘货信息!$C:$C,盘货信息!$X:$X))</f>
        <v/>
      </c>
      <c r="R276" s="27" t="str" cm="1">
        <f t="array" ref="R276">IF(_xlfn.XLOOKUP($A276&amp;$B276&amp;$C276,盘货信息!$A:$A&amp;盘货信息!$B:$B&amp;盘货信息!$C:$C,盘货信息!$Z:$Z)="","","【"&amp;盘货信息!$Z$1&amp;"】"&amp;_xlfn.XLOOKUP($A276&amp;$B276&amp;$C276,盘货信息!$A:$A&amp;盘货信息!$B:$B&amp;盘货信息!$C:$C,盘货信息!$Z:$Z))</f>
        <v/>
      </c>
      <c r="S276" s="27" t="str" cm="1">
        <f t="array" ref="S276">IF(_xlfn.XLOOKUP($A276&amp;$B276&amp;$C276,盘货信息!$A:$A&amp;盘货信息!$B:$B&amp;盘货信息!$C:$C,盘货信息!$Q:$Q)="","","【种草】站外带指定话题种草后返"&amp;_xlfn.XLOOKUP($A276&amp;$B276&amp;$C276,盘货信息!$A:$A&amp;盘货信息!$B:$B&amp;盘货信息!$C:$C,盘货信息!$Q:$Q)&amp;"元红包（每个淘宝账号仅限对应一个站外种草账号，同一个种草账号不可对应多个淘宝账号）")</f>
        <v/>
      </c>
      <c r="T276" s="27" t="str" cm="1">
        <f t="array" ref="T276">IF(_xlfn.XLOOKUP($A276&amp;$B276&amp;$C276,盘货信息!$A:$A&amp;盘货信息!$B:$B&amp;盘货信息!$C:$C,盘货信息!$R:$R)&lt;1,"","【以旧换新】"&amp;"享补贴"&amp;ROUND(_xlfn.XLOOKUP($A276&amp;$B276&amp;$C276,盘货信息!$A:$A&amp;盘货信息!$B:$B&amp;盘货信息!$C:$C,盘货信息!$R:$R),0)&amp;"元（可无旧机换新）")</f>
        <v/>
      </c>
      <c r="U276" s="27" t="str">
        <f>IF(AND($N276="",$O276="",$P276="",$Q276="",$R276="",$S276="",$T276=""),"",固定信息!$B$1)</f>
        <v/>
      </c>
      <c r="V276" s="27" t="str" cm="1">
        <f t="array" ref="V276">IF(_xlfn.XLOOKUP($A276&amp;$B276&amp;$C276,盘货信息!$A:$A&amp;盘货信息!$B:$B&amp;盘货信息!$C:$C,盘货信息!$Y:$Y)="","","【卡萨帝送赠】活动指定时间"&amp;_xlfn.TEXTBEFORE(_xlfn.TEXTAFTER(_xlfn.XLOOKUP($A276&amp;$B276&amp;$C276,盘货信息!$A:$A&amp;盘货信息!$B:$B&amp;盘货信息!$C:$C,盘货信息!$Y:$Y),"点"),"（"))</f>
        <v/>
      </c>
      <c r="W276" s="27" t="str" cm="1">
        <f t="array" ref="W276">IF(COUNTIF(_xlfn.XLOOKUP($A276&amp;$B276&amp;$C276,盘货信息!$A:$A&amp;盘货信息!$B:$B&amp;盘货信息!$C:$C,盘货信息!$O:$O),"*是*"),"【折扣】指定型号满2类享96折，满3类享94折","")</f>
        <v/>
      </c>
      <c r="X276" s="27" t="str" cm="1">
        <f t="array" ref="X276">IF(固定信息!$B$7="","",IF(_xlfn.XLOOKUP($A276&amp;$B276&amp;$C276,盘货信息!$A:$A&amp;盘货信息!$B:$B&amp;盘货信息!$C:$C,盘货信息!$N:$N)="是","【瓜分】"&amp;固定信息!$B$7,""))</f>
        <v/>
      </c>
      <c r="Y276" s="27" t="str">
        <f>IF(AND($V276="",$W276="",$X276=""),"",固定信息!$B$1)</f>
        <v/>
      </c>
      <c r="Z276" s="27" t="str" cm="1">
        <f t="array" ref="Z276">IF($C276="","",_xlfn.XLOOKUP($A276&amp;$B276&amp;$C276,服务!$A:$A&amp;服务!$B:$B&amp;服务!$C:$C,服务!$D:$D))</f>
        <v/>
      </c>
    </row>
    <row r="277" customHeight="1" spans="1:26">
      <c r="A277" s="23" t="str">
        <f>IF(盘货信息!A277="","",盘货信息!A277)</f>
        <v/>
      </c>
      <c r="B277" s="26" t="str">
        <f>IF(盘货信息!B277="","",盘货信息!B277)</f>
        <v/>
      </c>
      <c r="C277" s="23" t="str">
        <f>IF(盘货信息!C277="","",盘货信息!C277)</f>
        <v/>
      </c>
      <c r="D277" s="27" t="str">
        <f ca="1" t="shared" si="4"/>
        <v/>
      </c>
      <c r="E277" s="27" t="str">
        <f>IF(C277="","",固定信息!$B$2)</f>
        <v/>
      </c>
      <c r="F277" s="27" t="str">
        <f>IF(C277="","","【"&amp;C277&amp;"】"&amp;固定信息!$B$4)</f>
        <v/>
      </c>
      <c r="G277" s="27" t="str">
        <f>IF(C277="","","【"&amp;"活动时间："&amp;固定信息!$B$3&amp;"】")</f>
        <v/>
      </c>
      <c r="H277" s="27" t="str">
        <f>IF($C277="","",固定信息!$B$1)</f>
        <v/>
      </c>
      <c r="I277" s="27" t="str">
        <f>IF(OR(C277="",固定信息!$B$5=""),"","【1元预约锁好礼】"&amp;固定信息!$B$5)</f>
        <v/>
      </c>
      <c r="J277" s="27" t="str" cm="1">
        <f t="array" ref="J277">_xlfn.XLOOKUP($A277&amp;$B277&amp;$C277,价格信息!$A:$A&amp;价格信息!$B:$B&amp;价格信息!$C:$C,价格信息!$D:$D)</f>
        <v/>
      </c>
      <c r="K277" s="27" t="str">
        <f>IF($C277="","",固定信息!$B$1)</f>
        <v/>
      </c>
      <c r="L277" s="27" t="str" cm="1">
        <f t="array" ref="L277">IF(_xlfn.XLOOKUP($A277&amp;$B277&amp;$C277,盘货信息!$A:$A&amp;盘货信息!$B:$B&amp;盘货信息!$C:$C,盘货信息!$T:$T)="","","【优惠券】领"&amp;_xlfn.XLOOKUP($A277&amp;$B277&amp;$C277,盘货信息!$A:$A&amp;盘货信息!$B:$B&amp;盘货信息!$C:$C,盘货信息!$T:$T)&amp;"元优惠卷下单更优惠，领券链接："&amp;_xlfn.XLOOKUP($A277&amp;$B277&amp;$C277,盘货信息!$A:$A&amp;盘货信息!$B:$B&amp;盘货信息!$C:$C,盘货信息!$U:$U))</f>
        <v/>
      </c>
      <c r="M277" s="27" t="str" cm="1">
        <f t="array" ref="M277">IF(_xlfn.XLOOKUP($A277&amp;$B277&amp;$C277,盘货信息!$A:$A&amp;盘货信息!$B:$B&amp;盘货信息!$C:$C,盘货信息!$P:$P)="","","【限时】"&amp;_xlfn.XLOOKUP($A277&amp;$B277&amp;$C277,盘货信息!$A:$A&amp;盘货信息!$B:$B&amp;盘货信息!$C:$C,盘货信息!$P:$P))</f>
        <v/>
      </c>
      <c r="N277" s="27" t="str" cm="1">
        <f t="array" ref="N277">IF(_xlfn.XLOOKUP($A277&amp;$B277&amp;$C277,盘货信息!$A:$A&amp;盘货信息!$B:$B&amp;盘货信息!$C:$C,盘货信息!$V:$V)="","","【"&amp;盘货信息!$V$1&amp;"】"&amp;_xlfn.XLOOKUP($A277&amp;$B277&amp;$C277,盘货信息!$A:$A&amp;盘货信息!$B:$B&amp;盘货信息!$C:$C,盘货信息!$V:$V))</f>
        <v/>
      </c>
      <c r="O277" s="27" t="str" cm="1">
        <f t="array" ref="O277">IF(_xlfn.XLOOKUP($A277&amp;$B277&amp;$C277,盘货信息!$A:$A&amp;盘货信息!$B:$B&amp;盘货信息!$C:$C,盘货信息!$W:$W)="","","【"&amp;盘货信息!$W$1&amp;"】"&amp;_xlfn.XLOOKUP($A277&amp;$B277&amp;$C277,盘货信息!$A:$A&amp;盘货信息!$B:$B&amp;盘货信息!$C:$C,盘货信息!$W:$W))</f>
        <v/>
      </c>
      <c r="P277" s="27" t="str" cm="1">
        <f t="array" ref="P277">IF(_xlfn.XLOOKUP($A277&amp;$B277&amp;$C277,盘货信息!$A:$A&amp;盘货信息!$B:$B&amp;盘货信息!$C:$C,盘货信息!$S:$S)&lt;1,"","【"&amp;盘货信息!$S$1&amp;"】"&amp;"后返"&amp;_xlfn.XLOOKUP($A277&amp;$B277&amp;$C277,盘货信息!$A:$A&amp;盘货信息!$B:$B&amp;盘货信息!$C:$C,盘货信息!$S:$S)&amp;"元")</f>
        <v/>
      </c>
      <c r="Q277" s="27" t="str" cm="1">
        <f t="array" ref="Q277">IF(_xlfn.XLOOKUP($A277&amp;$B277&amp;$C277,盘货信息!$A:$A&amp;盘货信息!$B:$B&amp;盘货信息!$C:$C,盘货信息!$X:$X)="","","【"&amp;盘货信息!$X$1&amp;"】"&amp;_xlfn.XLOOKUP($A277&amp;$B277&amp;$C277,盘货信息!$A:$A&amp;盘货信息!$B:$B&amp;盘货信息!$C:$C,盘货信息!$X:$X))</f>
        <v/>
      </c>
      <c r="R277" s="27" t="str" cm="1">
        <f t="array" ref="R277">IF(_xlfn.XLOOKUP($A277&amp;$B277&amp;$C277,盘货信息!$A:$A&amp;盘货信息!$B:$B&amp;盘货信息!$C:$C,盘货信息!$Z:$Z)="","","【"&amp;盘货信息!$Z$1&amp;"】"&amp;_xlfn.XLOOKUP($A277&amp;$B277&amp;$C277,盘货信息!$A:$A&amp;盘货信息!$B:$B&amp;盘货信息!$C:$C,盘货信息!$Z:$Z))</f>
        <v/>
      </c>
      <c r="S277" s="27" t="str" cm="1">
        <f t="array" ref="S277">IF(_xlfn.XLOOKUP($A277&amp;$B277&amp;$C277,盘货信息!$A:$A&amp;盘货信息!$B:$B&amp;盘货信息!$C:$C,盘货信息!$Q:$Q)="","","【种草】站外带指定话题种草后返"&amp;_xlfn.XLOOKUP($A277&amp;$B277&amp;$C277,盘货信息!$A:$A&amp;盘货信息!$B:$B&amp;盘货信息!$C:$C,盘货信息!$Q:$Q)&amp;"元红包（每个淘宝账号仅限对应一个站外种草账号，同一个种草账号不可对应多个淘宝账号）")</f>
        <v/>
      </c>
      <c r="T277" s="27" t="str" cm="1">
        <f t="array" ref="T277">IF(_xlfn.XLOOKUP($A277&amp;$B277&amp;$C277,盘货信息!$A:$A&amp;盘货信息!$B:$B&amp;盘货信息!$C:$C,盘货信息!$R:$R)&lt;1,"","【以旧换新】"&amp;"享补贴"&amp;ROUND(_xlfn.XLOOKUP($A277&amp;$B277&amp;$C277,盘货信息!$A:$A&amp;盘货信息!$B:$B&amp;盘货信息!$C:$C,盘货信息!$R:$R),0)&amp;"元（可无旧机换新）")</f>
        <v/>
      </c>
      <c r="U277" s="27" t="str">
        <f>IF(AND($N277="",$O277="",$P277="",$Q277="",$R277="",$S277="",$T277=""),"",固定信息!$B$1)</f>
        <v/>
      </c>
      <c r="V277" s="27" t="str" cm="1">
        <f t="array" ref="V277">IF(_xlfn.XLOOKUP($A277&amp;$B277&amp;$C277,盘货信息!$A:$A&amp;盘货信息!$B:$B&amp;盘货信息!$C:$C,盘货信息!$Y:$Y)="","","【卡萨帝送赠】活动指定时间"&amp;_xlfn.TEXTBEFORE(_xlfn.TEXTAFTER(_xlfn.XLOOKUP($A277&amp;$B277&amp;$C277,盘货信息!$A:$A&amp;盘货信息!$B:$B&amp;盘货信息!$C:$C,盘货信息!$Y:$Y),"点"),"（"))</f>
        <v/>
      </c>
      <c r="W277" s="27" t="str" cm="1">
        <f t="array" ref="W277">IF(COUNTIF(_xlfn.XLOOKUP($A277&amp;$B277&amp;$C277,盘货信息!$A:$A&amp;盘货信息!$B:$B&amp;盘货信息!$C:$C,盘货信息!$O:$O),"*是*"),"【折扣】指定型号满2类享96折，满3类享94折","")</f>
        <v/>
      </c>
      <c r="X277" s="27" t="str" cm="1">
        <f t="array" ref="X277">IF(固定信息!$B$7="","",IF(_xlfn.XLOOKUP($A277&amp;$B277&amp;$C277,盘货信息!$A:$A&amp;盘货信息!$B:$B&amp;盘货信息!$C:$C,盘货信息!$N:$N)="是","【瓜分】"&amp;固定信息!$B$7,""))</f>
        <v/>
      </c>
      <c r="Y277" s="27" t="str">
        <f>IF(AND($V277="",$W277="",$X277=""),"",固定信息!$B$1)</f>
        <v/>
      </c>
      <c r="Z277" s="27" t="str" cm="1">
        <f t="array" ref="Z277">IF($C277="","",_xlfn.XLOOKUP($A277&amp;$B277&amp;$C277,服务!$A:$A&amp;服务!$B:$B&amp;服务!$C:$C,服务!$D:$D))</f>
        <v/>
      </c>
    </row>
    <row r="278" customHeight="1" spans="1:26">
      <c r="A278" s="23" t="str">
        <f>IF(盘货信息!A278="","",盘货信息!A278)</f>
        <v/>
      </c>
      <c r="B278" s="26" t="str">
        <f>IF(盘货信息!B278="","",盘货信息!B278)</f>
        <v/>
      </c>
      <c r="C278" s="23" t="str">
        <f>IF(盘货信息!C278="","",盘货信息!C278)</f>
        <v/>
      </c>
      <c r="D278" s="27" t="str">
        <f ca="1" t="shared" si="4"/>
        <v/>
      </c>
      <c r="E278" s="27" t="str">
        <f>IF(C278="","",固定信息!$B$2)</f>
        <v/>
      </c>
      <c r="F278" s="27" t="str">
        <f>IF(C278="","","【"&amp;C278&amp;"】"&amp;固定信息!$B$4)</f>
        <v/>
      </c>
      <c r="G278" s="27" t="str">
        <f>IF(C278="","","【"&amp;"活动时间："&amp;固定信息!$B$3&amp;"】")</f>
        <v/>
      </c>
      <c r="H278" s="27" t="str">
        <f>IF($C278="","",固定信息!$B$1)</f>
        <v/>
      </c>
      <c r="I278" s="27" t="str">
        <f>IF(OR(C278="",固定信息!$B$5=""),"","【1元预约锁好礼】"&amp;固定信息!$B$5)</f>
        <v/>
      </c>
      <c r="J278" s="27" t="str" cm="1">
        <f t="array" ref="J278">_xlfn.XLOOKUP($A278&amp;$B278&amp;$C278,价格信息!$A:$A&amp;价格信息!$B:$B&amp;价格信息!$C:$C,价格信息!$D:$D)</f>
        <v/>
      </c>
      <c r="K278" s="27" t="str">
        <f>IF($C278="","",固定信息!$B$1)</f>
        <v/>
      </c>
      <c r="L278" s="27" t="str" cm="1">
        <f t="array" ref="L278">IF(_xlfn.XLOOKUP($A278&amp;$B278&amp;$C278,盘货信息!$A:$A&amp;盘货信息!$B:$B&amp;盘货信息!$C:$C,盘货信息!$T:$T)="","","【优惠券】领"&amp;_xlfn.XLOOKUP($A278&amp;$B278&amp;$C278,盘货信息!$A:$A&amp;盘货信息!$B:$B&amp;盘货信息!$C:$C,盘货信息!$T:$T)&amp;"元优惠卷下单更优惠，领券链接："&amp;_xlfn.XLOOKUP($A278&amp;$B278&amp;$C278,盘货信息!$A:$A&amp;盘货信息!$B:$B&amp;盘货信息!$C:$C,盘货信息!$U:$U))</f>
        <v/>
      </c>
      <c r="M278" s="27" t="str" cm="1">
        <f t="array" ref="M278">IF(_xlfn.XLOOKUP($A278&amp;$B278&amp;$C278,盘货信息!$A:$A&amp;盘货信息!$B:$B&amp;盘货信息!$C:$C,盘货信息!$P:$P)="","","【限时】"&amp;_xlfn.XLOOKUP($A278&amp;$B278&amp;$C278,盘货信息!$A:$A&amp;盘货信息!$B:$B&amp;盘货信息!$C:$C,盘货信息!$P:$P))</f>
        <v/>
      </c>
      <c r="N278" s="27" t="str" cm="1">
        <f t="array" ref="N278">IF(_xlfn.XLOOKUP($A278&amp;$B278&amp;$C278,盘货信息!$A:$A&amp;盘货信息!$B:$B&amp;盘货信息!$C:$C,盘货信息!$V:$V)="","","【"&amp;盘货信息!$V$1&amp;"】"&amp;_xlfn.XLOOKUP($A278&amp;$B278&amp;$C278,盘货信息!$A:$A&amp;盘货信息!$B:$B&amp;盘货信息!$C:$C,盘货信息!$V:$V))</f>
        <v/>
      </c>
      <c r="O278" s="27" t="str" cm="1">
        <f t="array" ref="O278">IF(_xlfn.XLOOKUP($A278&amp;$B278&amp;$C278,盘货信息!$A:$A&amp;盘货信息!$B:$B&amp;盘货信息!$C:$C,盘货信息!$W:$W)="","","【"&amp;盘货信息!$W$1&amp;"】"&amp;_xlfn.XLOOKUP($A278&amp;$B278&amp;$C278,盘货信息!$A:$A&amp;盘货信息!$B:$B&amp;盘货信息!$C:$C,盘货信息!$W:$W))</f>
        <v/>
      </c>
      <c r="P278" s="27" t="str" cm="1">
        <f t="array" ref="P278">IF(_xlfn.XLOOKUP($A278&amp;$B278&amp;$C278,盘货信息!$A:$A&amp;盘货信息!$B:$B&amp;盘货信息!$C:$C,盘货信息!$S:$S)&lt;1,"","【"&amp;盘货信息!$S$1&amp;"】"&amp;"后返"&amp;_xlfn.XLOOKUP($A278&amp;$B278&amp;$C278,盘货信息!$A:$A&amp;盘货信息!$B:$B&amp;盘货信息!$C:$C,盘货信息!$S:$S)&amp;"元")</f>
        <v/>
      </c>
      <c r="Q278" s="27" t="str" cm="1">
        <f t="array" ref="Q278">IF(_xlfn.XLOOKUP($A278&amp;$B278&amp;$C278,盘货信息!$A:$A&amp;盘货信息!$B:$B&amp;盘货信息!$C:$C,盘货信息!$X:$X)="","","【"&amp;盘货信息!$X$1&amp;"】"&amp;_xlfn.XLOOKUP($A278&amp;$B278&amp;$C278,盘货信息!$A:$A&amp;盘货信息!$B:$B&amp;盘货信息!$C:$C,盘货信息!$X:$X))</f>
        <v/>
      </c>
      <c r="R278" s="27" t="str" cm="1">
        <f t="array" ref="R278">IF(_xlfn.XLOOKUP($A278&amp;$B278&amp;$C278,盘货信息!$A:$A&amp;盘货信息!$B:$B&amp;盘货信息!$C:$C,盘货信息!$Z:$Z)="","","【"&amp;盘货信息!$Z$1&amp;"】"&amp;_xlfn.XLOOKUP($A278&amp;$B278&amp;$C278,盘货信息!$A:$A&amp;盘货信息!$B:$B&amp;盘货信息!$C:$C,盘货信息!$Z:$Z))</f>
        <v/>
      </c>
      <c r="S278" s="27" t="str" cm="1">
        <f t="array" ref="S278">IF(_xlfn.XLOOKUP($A278&amp;$B278&amp;$C278,盘货信息!$A:$A&amp;盘货信息!$B:$B&amp;盘货信息!$C:$C,盘货信息!$Q:$Q)="","","【种草】站外带指定话题种草后返"&amp;_xlfn.XLOOKUP($A278&amp;$B278&amp;$C278,盘货信息!$A:$A&amp;盘货信息!$B:$B&amp;盘货信息!$C:$C,盘货信息!$Q:$Q)&amp;"元红包（每个淘宝账号仅限对应一个站外种草账号，同一个种草账号不可对应多个淘宝账号）")</f>
        <v/>
      </c>
      <c r="T278" s="27" t="str" cm="1">
        <f t="array" ref="T278">IF(_xlfn.XLOOKUP($A278&amp;$B278&amp;$C278,盘货信息!$A:$A&amp;盘货信息!$B:$B&amp;盘货信息!$C:$C,盘货信息!$R:$R)&lt;1,"","【以旧换新】"&amp;"享补贴"&amp;ROUND(_xlfn.XLOOKUP($A278&amp;$B278&amp;$C278,盘货信息!$A:$A&amp;盘货信息!$B:$B&amp;盘货信息!$C:$C,盘货信息!$R:$R),0)&amp;"元（可无旧机换新）")</f>
        <v/>
      </c>
      <c r="U278" s="27" t="str">
        <f>IF(AND($N278="",$O278="",$P278="",$Q278="",$R278="",$S278="",$T278=""),"",固定信息!$B$1)</f>
        <v/>
      </c>
      <c r="V278" s="27" t="str" cm="1">
        <f t="array" ref="V278">IF(_xlfn.XLOOKUP($A278&amp;$B278&amp;$C278,盘货信息!$A:$A&amp;盘货信息!$B:$B&amp;盘货信息!$C:$C,盘货信息!$Y:$Y)="","","【卡萨帝送赠】活动指定时间"&amp;_xlfn.TEXTBEFORE(_xlfn.TEXTAFTER(_xlfn.XLOOKUP($A278&amp;$B278&amp;$C278,盘货信息!$A:$A&amp;盘货信息!$B:$B&amp;盘货信息!$C:$C,盘货信息!$Y:$Y),"点"),"（"))</f>
        <v/>
      </c>
      <c r="W278" s="27" t="str" cm="1">
        <f t="array" ref="W278">IF(COUNTIF(_xlfn.XLOOKUP($A278&amp;$B278&amp;$C278,盘货信息!$A:$A&amp;盘货信息!$B:$B&amp;盘货信息!$C:$C,盘货信息!$O:$O),"*是*"),"【折扣】指定型号满2类享96折，满3类享94折","")</f>
        <v/>
      </c>
      <c r="X278" s="27" t="str" cm="1">
        <f t="array" ref="X278">IF(固定信息!$B$7="","",IF(_xlfn.XLOOKUP($A278&amp;$B278&amp;$C278,盘货信息!$A:$A&amp;盘货信息!$B:$B&amp;盘货信息!$C:$C,盘货信息!$N:$N)="是","【瓜分】"&amp;固定信息!$B$7,""))</f>
        <v/>
      </c>
      <c r="Y278" s="27" t="str">
        <f>IF(AND($V278="",$W278="",$X278=""),"",固定信息!$B$1)</f>
        <v/>
      </c>
      <c r="Z278" s="27" t="str" cm="1">
        <f t="array" ref="Z278">IF($C278="","",_xlfn.XLOOKUP($A278&amp;$B278&amp;$C278,服务!$A:$A&amp;服务!$B:$B&amp;服务!$C:$C,服务!$D:$D))</f>
        <v/>
      </c>
    </row>
    <row r="279" customHeight="1" spans="1:26">
      <c r="A279" s="23" t="str">
        <f>IF(盘货信息!A279="","",盘货信息!A279)</f>
        <v/>
      </c>
      <c r="B279" s="26" t="str">
        <f>IF(盘货信息!B279="","",盘货信息!B279)</f>
        <v/>
      </c>
      <c r="C279" s="23" t="str">
        <f>IF(盘货信息!C279="","",盘货信息!C279)</f>
        <v/>
      </c>
      <c r="D279" s="27" t="str">
        <f ca="1" t="shared" si="4"/>
        <v/>
      </c>
      <c r="E279" s="27" t="str">
        <f>IF(C279="","",固定信息!$B$2)</f>
        <v/>
      </c>
      <c r="F279" s="27" t="str">
        <f>IF(C279="","","【"&amp;C279&amp;"】"&amp;固定信息!$B$4)</f>
        <v/>
      </c>
      <c r="G279" s="27" t="str">
        <f>IF(C279="","","【"&amp;"活动时间："&amp;固定信息!$B$3&amp;"】")</f>
        <v/>
      </c>
      <c r="H279" s="27" t="str">
        <f>IF($C279="","",固定信息!$B$1)</f>
        <v/>
      </c>
      <c r="I279" s="27" t="str">
        <f>IF(OR(C279="",固定信息!$B$5=""),"","【1元预约锁好礼】"&amp;固定信息!$B$5)</f>
        <v/>
      </c>
      <c r="J279" s="27" t="str" cm="1">
        <f t="array" ref="J279">_xlfn.XLOOKUP($A279&amp;$B279&amp;$C279,价格信息!$A:$A&amp;价格信息!$B:$B&amp;价格信息!$C:$C,价格信息!$D:$D)</f>
        <v/>
      </c>
      <c r="K279" s="27" t="str">
        <f>IF($C279="","",固定信息!$B$1)</f>
        <v/>
      </c>
      <c r="L279" s="27" t="str" cm="1">
        <f t="array" ref="L279">IF(_xlfn.XLOOKUP($A279&amp;$B279&amp;$C279,盘货信息!$A:$A&amp;盘货信息!$B:$B&amp;盘货信息!$C:$C,盘货信息!$T:$T)="","","【优惠券】领"&amp;_xlfn.XLOOKUP($A279&amp;$B279&amp;$C279,盘货信息!$A:$A&amp;盘货信息!$B:$B&amp;盘货信息!$C:$C,盘货信息!$T:$T)&amp;"元优惠卷下单更优惠，领券链接："&amp;_xlfn.XLOOKUP($A279&amp;$B279&amp;$C279,盘货信息!$A:$A&amp;盘货信息!$B:$B&amp;盘货信息!$C:$C,盘货信息!$U:$U))</f>
        <v/>
      </c>
      <c r="M279" s="27" t="str" cm="1">
        <f t="array" ref="M279">IF(_xlfn.XLOOKUP($A279&amp;$B279&amp;$C279,盘货信息!$A:$A&amp;盘货信息!$B:$B&amp;盘货信息!$C:$C,盘货信息!$P:$P)="","","【限时】"&amp;_xlfn.XLOOKUP($A279&amp;$B279&amp;$C279,盘货信息!$A:$A&amp;盘货信息!$B:$B&amp;盘货信息!$C:$C,盘货信息!$P:$P))</f>
        <v/>
      </c>
      <c r="N279" s="27" t="str" cm="1">
        <f t="array" ref="N279">IF(_xlfn.XLOOKUP($A279&amp;$B279&amp;$C279,盘货信息!$A:$A&amp;盘货信息!$B:$B&amp;盘货信息!$C:$C,盘货信息!$V:$V)="","","【"&amp;盘货信息!$V$1&amp;"】"&amp;_xlfn.XLOOKUP($A279&amp;$B279&amp;$C279,盘货信息!$A:$A&amp;盘货信息!$B:$B&amp;盘货信息!$C:$C,盘货信息!$V:$V))</f>
        <v/>
      </c>
      <c r="O279" s="27" t="str" cm="1">
        <f t="array" ref="O279">IF(_xlfn.XLOOKUP($A279&amp;$B279&amp;$C279,盘货信息!$A:$A&amp;盘货信息!$B:$B&amp;盘货信息!$C:$C,盘货信息!$W:$W)="","","【"&amp;盘货信息!$W$1&amp;"】"&amp;_xlfn.XLOOKUP($A279&amp;$B279&amp;$C279,盘货信息!$A:$A&amp;盘货信息!$B:$B&amp;盘货信息!$C:$C,盘货信息!$W:$W))</f>
        <v/>
      </c>
      <c r="P279" s="27" t="str" cm="1">
        <f t="array" ref="P279">IF(_xlfn.XLOOKUP($A279&amp;$B279&amp;$C279,盘货信息!$A:$A&amp;盘货信息!$B:$B&amp;盘货信息!$C:$C,盘货信息!$S:$S)&lt;1,"","【"&amp;盘货信息!$S$1&amp;"】"&amp;"后返"&amp;_xlfn.XLOOKUP($A279&amp;$B279&amp;$C279,盘货信息!$A:$A&amp;盘货信息!$B:$B&amp;盘货信息!$C:$C,盘货信息!$S:$S)&amp;"元")</f>
        <v/>
      </c>
      <c r="Q279" s="27" t="str" cm="1">
        <f t="array" ref="Q279">IF(_xlfn.XLOOKUP($A279&amp;$B279&amp;$C279,盘货信息!$A:$A&amp;盘货信息!$B:$B&amp;盘货信息!$C:$C,盘货信息!$X:$X)="","","【"&amp;盘货信息!$X$1&amp;"】"&amp;_xlfn.XLOOKUP($A279&amp;$B279&amp;$C279,盘货信息!$A:$A&amp;盘货信息!$B:$B&amp;盘货信息!$C:$C,盘货信息!$X:$X))</f>
        <v/>
      </c>
      <c r="R279" s="27" t="str" cm="1">
        <f t="array" ref="R279">IF(_xlfn.XLOOKUP($A279&amp;$B279&amp;$C279,盘货信息!$A:$A&amp;盘货信息!$B:$B&amp;盘货信息!$C:$C,盘货信息!$Z:$Z)="","","【"&amp;盘货信息!$Z$1&amp;"】"&amp;_xlfn.XLOOKUP($A279&amp;$B279&amp;$C279,盘货信息!$A:$A&amp;盘货信息!$B:$B&amp;盘货信息!$C:$C,盘货信息!$Z:$Z))</f>
        <v/>
      </c>
      <c r="S279" s="27" t="str" cm="1">
        <f t="array" ref="S279">IF(_xlfn.XLOOKUP($A279&amp;$B279&amp;$C279,盘货信息!$A:$A&amp;盘货信息!$B:$B&amp;盘货信息!$C:$C,盘货信息!$Q:$Q)="","","【种草】站外带指定话题种草后返"&amp;_xlfn.XLOOKUP($A279&amp;$B279&amp;$C279,盘货信息!$A:$A&amp;盘货信息!$B:$B&amp;盘货信息!$C:$C,盘货信息!$Q:$Q)&amp;"元红包（每个淘宝账号仅限对应一个站外种草账号，同一个种草账号不可对应多个淘宝账号）")</f>
        <v/>
      </c>
      <c r="T279" s="27" t="str" cm="1">
        <f t="array" ref="T279">IF(_xlfn.XLOOKUP($A279&amp;$B279&amp;$C279,盘货信息!$A:$A&amp;盘货信息!$B:$B&amp;盘货信息!$C:$C,盘货信息!$R:$R)&lt;1,"","【以旧换新】"&amp;"享补贴"&amp;ROUND(_xlfn.XLOOKUP($A279&amp;$B279&amp;$C279,盘货信息!$A:$A&amp;盘货信息!$B:$B&amp;盘货信息!$C:$C,盘货信息!$R:$R),0)&amp;"元（可无旧机换新）")</f>
        <v/>
      </c>
      <c r="U279" s="27" t="str">
        <f>IF(AND($N279="",$O279="",$P279="",$Q279="",$R279="",$S279="",$T279=""),"",固定信息!$B$1)</f>
        <v/>
      </c>
      <c r="V279" s="27" t="str" cm="1">
        <f t="array" ref="V279">IF(_xlfn.XLOOKUP($A279&amp;$B279&amp;$C279,盘货信息!$A:$A&amp;盘货信息!$B:$B&amp;盘货信息!$C:$C,盘货信息!$Y:$Y)="","","【卡萨帝送赠】活动指定时间"&amp;_xlfn.TEXTBEFORE(_xlfn.TEXTAFTER(_xlfn.XLOOKUP($A279&amp;$B279&amp;$C279,盘货信息!$A:$A&amp;盘货信息!$B:$B&amp;盘货信息!$C:$C,盘货信息!$Y:$Y),"点"),"（"))</f>
        <v/>
      </c>
      <c r="W279" s="27" t="str" cm="1">
        <f t="array" ref="W279">IF(COUNTIF(_xlfn.XLOOKUP($A279&amp;$B279&amp;$C279,盘货信息!$A:$A&amp;盘货信息!$B:$B&amp;盘货信息!$C:$C,盘货信息!$O:$O),"*是*"),"【折扣】指定型号满2类享96折，满3类享94折","")</f>
        <v/>
      </c>
      <c r="X279" s="27" t="str" cm="1">
        <f t="array" ref="X279">IF(固定信息!$B$7="","",IF(_xlfn.XLOOKUP($A279&amp;$B279&amp;$C279,盘货信息!$A:$A&amp;盘货信息!$B:$B&amp;盘货信息!$C:$C,盘货信息!$N:$N)="是","【瓜分】"&amp;固定信息!$B$7,""))</f>
        <v/>
      </c>
      <c r="Y279" s="27" t="str">
        <f>IF(AND($V279="",$W279="",$X279=""),"",固定信息!$B$1)</f>
        <v/>
      </c>
      <c r="Z279" s="27" t="str" cm="1">
        <f t="array" ref="Z279">IF($C279="","",_xlfn.XLOOKUP($A279&amp;$B279&amp;$C279,服务!$A:$A&amp;服务!$B:$B&amp;服务!$C:$C,服务!$D:$D))</f>
        <v/>
      </c>
    </row>
    <row r="280" customHeight="1" spans="1:26">
      <c r="A280" s="23" t="str">
        <f>IF(盘货信息!A280="","",盘货信息!A280)</f>
        <v/>
      </c>
      <c r="B280" s="26" t="str">
        <f>IF(盘货信息!B280="","",盘货信息!B280)</f>
        <v/>
      </c>
      <c r="C280" s="23" t="str">
        <f>IF(盘货信息!C280="","",盘货信息!C280)</f>
        <v/>
      </c>
      <c r="D280" s="27" t="str">
        <f ca="1" t="shared" si="4"/>
        <v/>
      </c>
      <c r="E280" s="27" t="str">
        <f>IF(C280="","",固定信息!$B$2)</f>
        <v/>
      </c>
      <c r="F280" s="27" t="str">
        <f>IF(C280="","","【"&amp;C280&amp;"】"&amp;固定信息!$B$4)</f>
        <v/>
      </c>
      <c r="G280" s="27" t="str">
        <f>IF(C280="","","【"&amp;"活动时间："&amp;固定信息!$B$3&amp;"】")</f>
        <v/>
      </c>
      <c r="H280" s="27" t="str">
        <f>IF($C280="","",固定信息!$B$1)</f>
        <v/>
      </c>
      <c r="I280" s="27" t="str">
        <f>IF(OR(C280="",固定信息!$B$5=""),"","【1元预约锁好礼】"&amp;固定信息!$B$5)</f>
        <v/>
      </c>
      <c r="J280" s="27" t="str" cm="1">
        <f t="array" ref="J280">_xlfn.XLOOKUP($A280&amp;$B280&amp;$C280,价格信息!$A:$A&amp;价格信息!$B:$B&amp;价格信息!$C:$C,价格信息!$D:$D)</f>
        <v/>
      </c>
      <c r="K280" s="27" t="str">
        <f>IF($C280="","",固定信息!$B$1)</f>
        <v/>
      </c>
      <c r="L280" s="27" t="str" cm="1">
        <f t="array" ref="L280">IF(_xlfn.XLOOKUP($A280&amp;$B280&amp;$C280,盘货信息!$A:$A&amp;盘货信息!$B:$B&amp;盘货信息!$C:$C,盘货信息!$T:$T)="","","【优惠券】领"&amp;_xlfn.XLOOKUP($A280&amp;$B280&amp;$C280,盘货信息!$A:$A&amp;盘货信息!$B:$B&amp;盘货信息!$C:$C,盘货信息!$T:$T)&amp;"元优惠卷下单更优惠，领券链接："&amp;_xlfn.XLOOKUP($A280&amp;$B280&amp;$C280,盘货信息!$A:$A&amp;盘货信息!$B:$B&amp;盘货信息!$C:$C,盘货信息!$U:$U))</f>
        <v/>
      </c>
      <c r="M280" s="27" t="str" cm="1">
        <f t="array" ref="M280">IF(_xlfn.XLOOKUP($A280&amp;$B280&amp;$C280,盘货信息!$A:$A&amp;盘货信息!$B:$B&amp;盘货信息!$C:$C,盘货信息!$P:$P)="","","【限时】"&amp;_xlfn.XLOOKUP($A280&amp;$B280&amp;$C280,盘货信息!$A:$A&amp;盘货信息!$B:$B&amp;盘货信息!$C:$C,盘货信息!$P:$P))</f>
        <v/>
      </c>
      <c r="N280" s="27" t="str" cm="1">
        <f t="array" ref="N280">IF(_xlfn.XLOOKUP($A280&amp;$B280&amp;$C280,盘货信息!$A:$A&amp;盘货信息!$B:$B&amp;盘货信息!$C:$C,盘货信息!$V:$V)="","","【"&amp;盘货信息!$V$1&amp;"】"&amp;_xlfn.XLOOKUP($A280&amp;$B280&amp;$C280,盘货信息!$A:$A&amp;盘货信息!$B:$B&amp;盘货信息!$C:$C,盘货信息!$V:$V))</f>
        <v/>
      </c>
      <c r="O280" s="27" t="str" cm="1">
        <f t="array" ref="O280">IF(_xlfn.XLOOKUP($A280&amp;$B280&amp;$C280,盘货信息!$A:$A&amp;盘货信息!$B:$B&amp;盘货信息!$C:$C,盘货信息!$W:$W)="","","【"&amp;盘货信息!$W$1&amp;"】"&amp;_xlfn.XLOOKUP($A280&amp;$B280&amp;$C280,盘货信息!$A:$A&amp;盘货信息!$B:$B&amp;盘货信息!$C:$C,盘货信息!$W:$W))</f>
        <v/>
      </c>
      <c r="P280" s="27" t="str" cm="1">
        <f t="array" ref="P280">IF(_xlfn.XLOOKUP($A280&amp;$B280&amp;$C280,盘货信息!$A:$A&amp;盘货信息!$B:$B&amp;盘货信息!$C:$C,盘货信息!$S:$S)&lt;1,"","【"&amp;盘货信息!$S$1&amp;"】"&amp;"后返"&amp;_xlfn.XLOOKUP($A280&amp;$B280&amp;$C280,盘货信息!$A:$A&amp;盘货信息!$B:$B&amp;盘货信息!$C:$C,盘货信息!$S:$S)&amp;"元")</f>
        <v/>
      </c>
      <c r="Q280" s="27" t="str" cm="1">
        <f t="array" ref="Q280">IF(_xlfn.XLOOKUP($A280&amp;$B280&amp;$C280,盘货信息!$A:$A&amp;盘货信息!$B:$B&amp;盘货信息!$C:$C,盘货信息!$X:$X)="","","【"&amp;盘货信息!$X$1&amp;"】"&amp;_xlfn.XLOOKUP($A280&amp;$B280&amp;$C280,盘货信息!$A:$A&amp;盘货信息!$B:$B&amp;盘货信息!$C:$C,盘货信息!$X:$X))</f>
        <v/>
      </c>
      <c r="R280" s="27" t="str" cm="1">
        <f t="array" ref="R280">IF(_xlfn.XLOOKUP($A280&amp;$B280&amp;$C280,盘货信息!$A:$A&amp;盘货信息!$B:$B&amp;盘货信息!$C:$C,盘货信息!$Z:$Z)="","","【"&amp;盘货信息!$Z$1&amp;"】"&amp;_xlfn.XLOOKUP($A280&amp;$B280&amp;$C280,盘货信息!$A:$A&amp;盘货信息!$B:$B&amp;盘货信息!$C:$C,盘货信息!$Z:$Z))</f>
        <v/>
      </c>
      <c r="S280" s="27" t="str" cm="1">
        <f t="array" ref="S280">IF(_xlfn.XLOOKUP($A280&amp;$B280&amp;$C280,盘货信息!$A:$A&amp;盘货信息!$B:$B&amp;盘货信息!$C:$C,盘货信息!$Q:$Q)="","","【种草】站外带指定话题种草后返"&amp;_xlfn.XLOOKUP($A280&amp;$B280&amp;$C280,盘货信息!$A:$A&amp;盘货信息!$B:$B&amp;盘货信息!$C:$C,盘货信息!$Q:$Q)&amp;"元红包（每个淘宝账号仅限对应一个站外种草账号，同一个种草账号不可对应多个淘宝账号）")</f>
        <v/>
      </c>
      <c r="T280" s="27" t="str" cm="1">
        <f t="array" ref="T280">IF(_xlfn.XLOOKUP($A280&amp;$B280&amp;$C280,盘货信息!$A:$A&amp;盘货信息!$B:$B&amp;盘货信息!$C:$C,盘货信息!$R:$R)&lt;1,"","【以旧换新】"&amp;"享补贴"&amp;ROUND(_xlfn.XLOOKUP($A280&amp;$B280&amp;$C280,盘货信息!$A:$A&amp;盘货信息!$B:$B&amp;盘货信息!$C:$C,盘货信息!$R:$R),0)&amp;"元（可无旧机换新）")</f>
        <v/>
      </c>
      <c r="U280" s="27" t="str">
        <f>IF(AND($N280="",$O280="",$P280="",$Q280="",$R280="",$S280="",$T280=""),"",固定信息!$B$1)</f>
        <v/>
      </c>
      <c r="V280" s="27" t="str" cm="1">
        <f t="array" ref="V280">IF(_xlfn.XLOOKUP($A280&amp;$B280&amp;$C280,盘货信息!$A:$A&amp;盘货信息!$B:$B&amp;盘货信息!$C:$C,盘货信息!$Y:$Y)="","","【卡萨帝送赠】活动指定时间"&amp;_xlfn.TEXTBEFORE(_xlfn.TEXTAFTER(_xlfn.XLOOKUP($A280&amp;$B280&amp;$C280,盘货信息!$A:$A&amp;盘货信息!$B:$B&amp;盘货信息!$C:$C,盘货信息!$Y:$Y),"点"),"（"))</f>
        <v/>
      </c>
      <c r="W280" s="27" t="str" cm="1">
        <f t="array" ref="W280">IF(COUNTIF(_xlfn.XLOOKUP($A280&amp;$B280&amp;$C280,盘货信息!$A:$A&amp;盘货信息!$B:$B&amp;盘货信息!$C:$C,盘货信息!$O:$O),"*是*"),"【折扣】指定型号满2类享96折，满3类享94折","")</f>
        <v/>
      </c>
      <c r="X280" s="27" t="str" cm="1">
        <f t="array" ref="X280">IF(固定信息!$B$7="","",IF(_xlfn.XLOOKUP($A280&amp;$B280&amp;$C280,盘货信息!$A:$A&amp;盘货信息!$B:$B&amp;盘货信息!$C:$C,盘货信息!$N:$N)="是","【瓜分】"&amp;固定信息!$B$7,""))</f>
        <v/>
      </c>
      <c r="Y280" s="27" t="str">
        <f>IF(AND($V280="",$W280="",$X280=""),"",固定信息!$B$1)</f>
        <v/>
      </c>
      <c r="Z280" s="27" t="str" cm="1">
        <f t="array" ref="Z280">IF($C280="","",_xlfn.XLOOKUP($A280&amp;$B280&amp;$C280,服务!$A:$A&amp;服务!$B:$B&amp;服务!$C:$C,服务!$D:$D))</f>
        <v/>
      </c>
    </row>
    <row r="281" customHeight="1" spans="1:26">
      <c r="A281" s="23" t="str">
        <f>IF(盘货信息!A281="","",盘货信息!A281)</f>
        <v/>
      </c>
      <c r="B281" s="26" t="str">
        <f>IF(盘货信息!B281="","",盘货信息!B281)</f>
        <v/>
      </c>
      <c r="C281" s="23" t="str">
        <f>IF(盘货信息!C281="","",盘货信息!C281)</f>
        <v/>
      </c>
      <c r="D281" s="27" t="str">
        <f ca="1" t="shared" si="4"/>
        <v/>
      </c>
      <c r="E281" s="27" t="str">
        <f>IF(C281="","",固定信息!$B$2)</f>
        <v/>
      </c>
      <c r="F281" s="27" t="str">
        <f>IF(C281="","","【"&amp;C281&amp;"】"&amp;固定信息!$B$4)</f>
        <v/>
      </c>
      <c r="G281" s="27" t="str">
        <f>IF(C281="","","【"&amp;"活动时间："&amp;固定信息!$B$3&amp;"】")</f>
        <v/>
      </c>
      <c r="H281" s="27" t="str">
        <f>IF($C281="","",固定信息!$B$1)</f>
        <v/>
      </c>
      <c r="I281" s="27" t="str">
        <f>IF(OR(C281="",固定信息!$B$5=""),"","【1元预约锁好礼】"&amp;固定信息!$B$5)</f>
        <v/>
      </c>
      <c r="J281" s="27" t="str" cm="1">
        <f t="array" ref="J281">_xlfn.XLOOKUP($A281&amp;$B281&amp;$C281,价格信息!$A:$A&amp;价格信息!$B:$B&amp;价格信息!$C:$C,价格信息!$D:$D)</f>
        <v/>
      </c>
      <c r="K281" s="27" t="str">
        <f>IF($C281="","",固定信息!$B$1)</f>
        <v/>
      </c>
      <c r="L281" s="27" t="str" cm="1">
        <f t="array" ref="L281">IF(_xlfn.XLOOKUP($A281&amp;$B281&amp;$C281,盘货信息!$A:$A&amp;盘货信息!$B:$B&amp;盘货信息!$C:$C,盘货信息!$T:$T)="","","【优惠券】领"&amp;_xlfn.XLOOKUP($A281&amp;$B281&amp;$C281,盘货信息!$A:$A&amp;盘货信息!$B:$B&amp;盘货信息!$C:$C,盘货信息!$T:$T)&amp;"元优惠卷下单更优惠，领券链接："&amp;_xlfn.XLOOKUP($A281&amp;$B281&amp;$C281,盘货信息!$A:$A&amp;盘货信息!$B:$B&amp;盘货信息!$C:$C,盘货信息!$U:$U))</f>
        <v/>
      </c>
      <c r="M281" s="27" t="str" cm="1">
        <f t="array" ref="M281">IF(_xlfn.XLOOKUP($A281&amp;$B281&amp;$C281,盘货信息!$A:$A&amp;盘货信息!$B:$B&amp;盘货信息!$C:$C,盘货信息!$P:$P)="","","【限时】"&amp;_xlfn.XLOOKUP($A281&amp;$B281&amp;$C281,盘货信息!$A:$A&amp;盘货信息!$B:$B&amp;盘货信息!$C:$C,盘货信息!$P:$P))</f>
        <v/>
      </c>
      <c r="N281" s="27" t="str" cm="1">
        <f t="array" ref="N281">IF(_xlfn.XLOOKUP($A281&amp;$B281&amp;$C281,盘货信息!$A:$A&amp;盘货信息!$B:$B&amp;盘货信息!$C:$C,盘货信息!$V:$V)="","","【"&amp;盘货信息!$V$1&amp;"】"&amp;_xlfn.XLOOKUP($A281&amp;$B281&amp;$C281,盘货信息!$A:$A&amp;盘货信息!$B:$B&amp;盘货信息!$C:$C,盘货信息!$V:$V))</f>
        <v/>
      </c>
      <c r="O281" s="27" t="str" cm="1">
        <f t="array" ref="O281">IF(_xlfn.XLOOKUP($A281&amp;$B281&amp;$C281,盘货信息!$A:$A&amp;盘货信息!$B:$B&amp;盘货信息!$C:$C,盘货信息!$W:$W)="","","【"&amp;盘货信息!$W$1&amp;"】"&amp;_xlfn.XLOOKUP($A281&amp;$B281&amp;$C281,盘货信息!$A:$A&amp;盘货信息!$B:$B&amp;盘货信息!$C:$C,盘货信息!$W:$W))</f>
        <v/>
      </c>
      <c r="P281" s="27" t="str" cm="1">
        <f t="array" ref="P281">IF(_xlfn.XLOOKUP($A281&amp;$B281&amp;$C281,盘货信息!$A:$A&amp;盘货信息!$B:$B&amp;盘货信息!$C:$C,盘货信息!$S:$S)&lt;1,"","【"&amp;盘货信息!$S$1&amp;"】"&amp;"后返"&amp;_xlfn.XLOOKUP($A281&amp;$B281&amp;$C281,盘货信息!$A:$A&amp;盘货信息!$B:$B&amp;盘货信息!$C:$C,盘货信息!$S:$S)&amp;"元")</f>
        <v/>
      </c>
      <c r="Q281" s="27" t="str" cm="1">
        <f t="array" ref="Q281">IF(_xlfn.XLOOKUP($A281&amp;$B281&amp;$C281,盘货信息!$A:$A&amp;盘货信息!$B:$B&amp;盘货信息!$C:$C,盘货信息!$X:$X)="","","【"&amp;盘货信息!$X$1&amp;"】"&amp;_xlfn.XLOOKUP($A281&amp;$B281&amp;$C281,盘货信息!$A:$A&amp;盘货信息!$B:$B&amp;盘货信息!$C:$C,盘货信息!$X:$X))</f>
        <v/>
      </c>
      <c r="R281" s="27" t="str" cm="1">
        <f t="array" ref="R281">IF(_xlfn.XLOOKUP($A281&amp;$B281&amp;$C281,盘货信息!$A:$A&amp;盘货信息!$B:$B&amp;盘货信息!$C:$C,盘货信息!$Z:$Z)="","","【"&amp;盘货信息!$Z$1&amp;"】"&amp;_xlfn.XLOOKUP($A281&amp;$B281&amp;$C281,盘货信息!$A:$A&amp;盘货信息!$B:$B&amp;盘货信息!$C:$C,盘货信息!$Z:$Z))</f>
        <v/>
      </c>
      <c r="S281" s="27" t="str" cm="1">
        <f t="array" ref="S281">IF(_xlfn.XLOOKUP($A281&amp;$B281&amp;$C281,盘货信息!$A:$A&amp;盘货信息!$B:$B&amp;盘货信息!$C:$C,盘货信息!$Q:$Q)="","","【种草】站外带指定话题种草后返"&amp;_xlfn.XLOOKUP($A281&amp;$B281&amp;$C281,盘货信息!$A:$A&amp;盘货信息!$B:$B&amp;盘货信息!$C:$C,盘货信息!$Q:$Q)&amp;"元红包（每个淘宝账号仅限对应一个站外种草账号，同一个种草账号不可对应多个淘宝账号）")</f>
        <v/>
      </c>
      <c r="T281" s="27" t="str" cm="1">
        <f t="array" ref="T281">IF(_xlfn.XLOOKUP($A281&amp;$B281&amp;$C281,盘货信息!$A:$A&amp;盘货信息!$B:$B&amp;盘货信息!$C:$C,盘货信息!$R:$R)&lt;1,"","【以旧换新】"&amp;"享补贴"&amp;ROUND(_xlfn.XLOOKUP($A281&amp;$B281&amp;$C281,盘货信息!$A:$A&amp;盘货信息!$B:$B&amp;盘货信息!$C:$C,盘货信息!$R:$R),0)&amp;"元（可无旧机换新）")</f>
        <v/>
      </c>
      <c r="U281" s="27" t="str">
        <f>IF(AND($N281="",$O281="",$P281="",$Q281="",$R281="",$S281="",$T281=""),"",固定信息!$B$1)</f>
        <v/>
      </c>
      <c r="V281" s="27" t="str" cm="1">
        <f t="array" ref="V281">IF(_xlfn.XLOOKUP($A281&amp;$B281&amp;$C281,盘货信息!$A:$A&amp;盘货信息!$B:$B&amp;盘货信息!$C:$C,盘货信息!$Y:$Y)="","","【卡萨帝送赠】活动指定时间"&amp;_xlfn.TEXTBEFORE(_xlfn.TEXTAFTER(_xlfn.XLOOKUP($A281&amp;$B281&amp;$C281,盘货信息!$A:$A&amp;盘货信息!$B:$B&amp;盘货信息!$C:$C,盘货信息!$Y:$Y),"点"),"（"))</f>
        <v/>
      </c>
      <c r="W281" s="27" t="str" cm="1">
        <f t="array" ref="W281">IF(COUNTIF(_xlfn.XLOOKUP($A281&amp;$B281&amp;$C281,盘货信息!$A:$A&amp;盘货信息!$B:$B&amp;盘货信息!$C:$C,盘货信息!$O:$O),"*是*"),"【折扣】指定型号满2类享96折，满3类享94折","")</f>
        <v/>
      </c>
      <c r="X281" s="27" t="str" cm="1">
        <f t="array" ref="X281">IF(固定信息!$B$7="","",IF(_xlfn.XLOOKUP($A281&amp;$B281&amp;$C281,盘货信息!$A:$A&amp;盘货信息!$B:$B&amp;盘货信息!$C:$C,盘货信息!$N:$N)="是","【瓜分】"&amp;固定信息!$B$7,""))</f>
        <v/>
      </c>
      <c r="Y281" s="27" t="str">
        <f>IF(AND($V281="",$W281="",$X281=""),"",固定信息!$B$1)</f>
        <v/>
      </c>
      <c r="Z281" s="27" t="str" cm="1">
        <f t="array" ref="Z281">IF($C281="","",_xlfn.XLOOKUP($A281&amp;$B281&amp;$C281,服务!$A:$A&amp;服务!$B:$B&amp;服务!$C:$C,服务!$D:$D))</f>
        <v/>
      </c>
    </row>
    <row r="282" customHeight="1" spans="1:26">
      <c r="A282" s="23" t="str">
        <f>IF(盘货信息!A282="","",盘货信息!A282)</f>
        <v/>
      </c>
      <c r="B282" s="26" t="str">
        <f>IF(盘货信息!B282="","",盘货信息!B282)</f>
        <v/>
      </c>
      <c r="C282" s="23" t="str">
        <f>IF(盘货信息!C282="","",盘货信息!C282)</f>
        <v/>
      </c>
      <c r="D282" s="27" t="str">
        <f ca="1" t="shared" si="4"/>
        <v/>
      </c>
      <c r="E282" s="27" t="str">
        <f>IF(C282="","",固定信息!$B$2)</f>
        <v/>
      </c>
      <c r="F282" s="27" t="str">
        <f>IF(C282="","","【"&amp;C282&amp;"】"&amp;固定信息!$B$4)</f>
        <v/>
      </c>
      <c r="G282" s="27" t="str">
        <f>IF(C282="","","【"&amp;"活动时间："&amp;固定信息!$B$3&amp;"】")</f>
        <v/>
      </c>
      <c r="H282" s="27" t="str">
        <f>IF($C282="","",固定信息!$B$1)</f>
        <v/>
      </c>
      <c r="I282" s="27" t="str">
        <f>IF(OR(C282="",固定信息!$B$5=""),"","【1元预约锁好礼】"&amp;固定信息!$B$5)</f>
        <v/>
      </c>
      <c r="J282" s="27" t="str" cm="1">
        <f t="array" ref="J282">_xlfn.XLOOKUP($A282&amp;$B282&amp;$C282,价格信息!$A:$A&amp;价格信息!$B:$B&amp;价格信息!$C:$C,价格信息!$D:$D)</f>
        <v/>
      </c>
      <c r="K282" s="27" t="str">
        <f>IF($C282="","",固定信息!$B$1)</f>
        <v/>
      </c>
      <c r="L282" s="27" t="str" cm="1">
        <f t="array" ref="L282">IF(_xlfn.XLOOKUP($A282&amp;$B282&amp;$C282,盘货信息!$A:$A&amp;盘货信息!$B:$B&amp;盘货信息!$C:$C,盘货信息!$T:$T)="","","【优惠券】领"&amp;_xlfn.XLOOKUP($A282&amp;$B282&amp;$C282,盘货信息!$A:$A&amp;盘货信息!$B:$B&amp;盘货信息!$C:$C,盘货信息!$T:$T)&amp;"元优惠卷下单更优惠，领券链接："&amp;_xlfn.XLOOKUP($A282&amp;$B282&amp;$C282,盘货信息!$A:$A&amp;盘货信息!$B:$B&amp;盘货信息!$C:$C,盘货信息!$U:$U))</f>
        <v/>
      </c>
      <c r="M282" s="27" t="str" cm="1">
        <f t="array" ref="M282">IF(_xlfn.XLOOKUP($A282&amp;$B282&amp;$C282,盘货信息!$A:$A&amp;盘货信息!$B:$B&amp;盘货信息!$C:$C,盘货信息!$P:$P)="","","【限时】"&amp;_xlfn.XLOOKUP($A282&amp;$B282&amp;$C282,盘货信息!$A:$A&amp;盘货信息!$B:$B&amp;盘货信息!$C:$C,盘货信息!$P:$P))</f>
        <v/>
      </c>
      <c r="N282" s="27" t="str" cm="1">
        <f t="array" ref="N282">IF(_xlfn.XLOOKUP($A282&amp;$B282&amp;$C282,盘货信息!$A:$A&amp;盘货信息!$B:$B&amp;盘货信息!$C:$C,盘货信息!$V:$V)="","","【"&amp;盘货信息!$V$1&amp;"】"&amp;_xlfn.XLOOKUP($A282&amp;$B282&amp;$C282,盘货信息!$A:$A&amp;盘货信息!$B:$B&amp;盘货信息!$C:$C,盘货信息!$V:$V))</f>
        <v/>
      </c>
      <c r="O282" s="27" t="str" cm="1">
        <f t="array" ref="O282">IF(_xlfn.XLOOKUP($A282&amp;$B282&amp;$C282,盘货信息!$A:$A&amp;盘货信息!$B:$B&amp;盘货信息!$C:$C,盘货信息!$W:$W)="","","【"&amp;盘货信息!$W$1&amp;"】"&amp;_xlfn.XLOOKUP($A282&amp;$B282&amp;$C282,盘货信息!$A:$A&amp;盘货信息!$B:$B&amp;盘货信息!$C:$C,盘货信息!$W:$W))</f>
        <v/>
      </c>
      <c r="P282" s="27" t="str" cm="1">
        <f t="array" ref="P282">IF(_xlfn.XLOOKUP($A282&amp;$B282&amp;$C282,盘货信息!$A:$A&amp;盘货信息!$B:$B&amp;盘货信息!$C:$C,盘货信息!$S:$S)&lt;1,"","【"&amp;盘货信息!$S$1&amp;"】"&amp;"后返"&amp;_xlfn.XLOOKUP($A282&amp;$B282&amp;$C282,盘货信息!$A:$A&amp;盘货信息!$B:$B&amp;盘货信息!$C:$C,盘货信息!$S:$S)&amp;"元")</f>
        <v/>
      </c>
      <c r="Q282" s="27" t="str" cm="1">
        <f t="array" ref="Q282">IF(_xlfn.XLOOKUP($A282&amp;$B282&amp;$C282,盘货信息!$A:$A&amp;盘货信息!$B:$B&amp;盘货信息!$C:$C,盘货信息!$X:$X)="","","【"&amp;盘货信息!$X$1&amp;"】"&amp;_xlfn.XLOOKUP($A282&amp;$B282&amp;$C282,盘货信息!$A:$A&amp;盘货信息!$B:$B&amp;盘货信息!$C:$C,盘货信息!$X:$X))</f>
        <v/>
      </c>
      <c r="R282" s="27" t="str" cm="1">
        <f t="array" ref="R282">IF(_xlfn.XLOOKUP($A282&amp;$B282&amp;$C282,盘货信息!$A:$A&amp;盘货信息!$B:$B&amp;盘货信息!$C:$C,盘货信息!$Z:$Z)="","","【"&amp;盘货信息!$Z$1&amp;"】"&amp;_xlfn.XLOOKUP($A282&amp;$B282&amp;$C282,盘货信息!$A:$A&amp;盘货信息!$B:$B&amp;盘货信息!$C:$C,盘货信息!$Z:$Z))</f>
        <v/>
      </c>
      <c r="S282" s="27" t="str" cm="1">
        <f t="array" ref="S282">IF(_xlfn.XLOOKUP($A282&amp;$B282&amp;$C282,盘货信息!$A:$A&amp;盘货信息!$B:$B&amp;盘货信息!$C:$C,盘货信息!$Q:$Q)="","","【种草】站外带指定话题种草后返"&amp;_xlfn.XLOOKUP($A282&amp;$B282&amp;$C282,盘货信息!$A:$A&amp;盘货信息!$B:$B&amp;盘货信息!$C:$C,盘货信息!$Q:$Q)&amp;"元红包（每个淘宝账号仅限对应一个站外种草账号，同一个种草账号不可对应多个淘宝账号）")</f>
        <v/>
      </c>
      <c r="T282" s="27" t="str" cm="1">
        <f t="array" ref="T282">IF(_xlfn.XLOOKUP($A282&amp;$B282&amp;$C282,盘货信息!$A:$A&amp;盘货信息!$B:$B&amp;盘货信息!$C:$C,盘货信息!$R:$R)&lt;1,"","【以旧换新】"&amp;"享补贴"&amp;ROUND(_xlfn.XLOOKUP($A282&amp;$B282&amp;$C282,盘货信息!$A:$A&amp;盘货信息!$B:$B&amp;盘货信息!$C:$C,盘货信息!$R:$R),0)&amp;"元（可无旧机换新）")</f>
        <v/>
      </c>
      <c r="U282" s="27" t="str">
        <f>IF(AND($N282="",$O282="",$P282="",$Q282="",$R282="",$S282="",$T282=""),"",固定信息!$B$1)</f>
        <v/>
      </c>
      <c r="V282" s="27" t="str" cm="1">
        <f t="array" ref="V282">IF(_xlfn.XLOOKUP($A282&amp;$B282&amp;$C282,盘货信息!$A:$A&amp;盘货信息!$B:$B&amp;盘货信息!$C:$C,盘货信息!$Y:$Y)="","","【卡萨帝送赠】活动指定时间"&amp;_xlfn.TEXTBEFORE(_xlfn.TEXTAFTER(_xlfn.XLOOKUP($A282&amp;$B282&amp;$C282,盘货信息!$A:$A&amp;盘货信息!$B:$B&amp;盘货信息!$C:$C,盘货信息!$Y:$Y),"点"),"（"))</f>
        <v/>
      </c>
      <c r="W282" s="27" t="str" cm="1">
        <f t="array" ref="W282">IF(COUNTIF(_xlfn.XLOOKUP($A282&amp;$B282&amp;$C282,盘货信息!$A:$A&amp;盘货信息!$B:$B&amp;盘货信息!$C:$C,盘货信息!$O:$O),"*是*"),"【折扣】指定型号满2类享96折，满3类享94折","")</f>
        <v/>
      </c>
      <c r="X282" s="27" t="str" cm="1">
        <f t="array" ref="X282">IF(固定信息!$B$7="","",IF(_xlfn.XLOOKUP($A282&amp;$B282&amp;$C282,盘货信息!$A:$A&amp;盘货信息!$B:$B&amp;盘货信息!$C:$C,盘货信息!$N:$N)="是","【瓜分】"&amp;固定信息!$B$7,""))</f>
        <v/>
      </c>
      <c r="Y282" s="27" t="str">
        <f>IF(AND($V282="",$W282="",$X282=""),"",固定信息!$B$1)</f>
        <v/>
      </c>
      <c r="Z282" s="27" t="str" cm="1">
        <f t="array" ref="Z282">IF($C282="","",_xlfn.XLOOKUP($A282&amp;$B282&amp;$C282,服务!$A:$A&amp;服务!$B:$B&amp;服务!$C:$C,服务!$D:$D))</f>
        <v/>
      </c>
    </row>
    <row r="283" customHeight="1" spans="1:26">
      <c r="A283" s="23" t="str">
        <f>IF(盘货信息!A283="","",盘货信息!A283)</f>
        <v/>
      </c>
      <c r="B283" s="26" t="str">
        <f>IF(盘货信息!B283="","",盘货信息!B283)</f>
        <v/>
      </c>
      <c r="C283" s="23" t="str">
        <f>IF(盘货信息!C283="","",盘货信息!C283)</f>
        <v/>
      </c>
      <c r="D283" s="27" t="str">
        <f ca="1" t="shared" si="4"/>
        <v/>
      </c>
      <c r="E283" s="27" t="str">
        <f>IF(C283="","",固定信息!$B$2)</f>
        <v/>
      </c>
      <c r="F283" s="27" t="str">
        <f>IF(C283="","","【"&amp;C283&amp;"】"&amp;固定信息!$B$4)</f>
        <v/>
      </c>
      <c r="G283" s="27" t="str">
        <f>IF(C283="","","【"&amp;"活动时间："&amp;固定信息!$B$3&amp;"】")</f>
        <v/>
      </c>
      <c r="H283" s="27" t="str">
        <f>IF($C283="","",固定信息!$B$1)</f>
        <v/>
      </c>
      <c r="I283" s="27" t="str">
        <f>IF(OR(C283="",固定信息!$B$5=""),"","【1元预约锁好礼】"&amp;固定信息!$B$5)</f>
        <v/>
      </c>
      <c r="J283" s="27" t="str" cm="1">
        <f t="array" ref="J283">_xlfn.XLOOKUP($A283&amp;$B283&amp;$C283,价格信息!$A:$A&amp;价格信息!$B:$B&amp;价格信息!$C:$C,价格信息!$D:$D)</f>
        <v/>
      </c>
      <c r="K283" s="27" t="str">
        <f>IF($C283="","",固定信息!$B$1)</f>
        <v/>
      </c>
      <c r="L283" s="27" t="str" cm="1">
        <f t="array" ref="L283">IF(_xlfn.XLOOKUP($A283&amp;$B283&amp;$C283,盘货信息!$A:$A&amp;盘货信息!$B:$B&amp;盘货信息!$C:$C,盘货信息!$T:$T)="","","【优惠券】领"&amp;_xlfn.XLOOKUP($A283&amp;$B283&amp;$C283,盘货信息!$A:$A&amp;盘货信息!$B:$B&amp;盘货信息!$C:$C,盘货信息!$T:$T)&amp;"元优惠卷下单更优惠，领券链接："&amp;_xlfn.XLOOKUP($A283&amp;$B283&amp;$C283,盘货信息!$A:$A&amp;盘货信息!$B:$B&amp;盘货信息!$C:$C,盘货信息!$U:$U))</f>
        <v/>
      </c>
      <c r="M283" s="27" t="str" cm="1">
        <f t="array" ref="M283">IF(_xlfn.XLOOKUP($A283&amp;$B283&amp;$C283,盘货信息!$A:$A&amp;盘货信息!$B:$B&amp;盘货信息!$C:$C,盘货信息!$P:$P)="","","【限时】"&amp;_xlfn.XLOOKUP($A283&amp;$B283&amp;$C283,盘货信息!$A:$A&amp;盘货信息!$B:$B&amp;盘货信息!$C:$C,盘货信息!$P:$P))</f>
        <v/>
      </c>
      <c r="N283" s="27" t="str" cm="1">
        <f t="array" ref="N283">IF(_xlfn.XLOOKUP($A283&amp;$B283&amp;$C283,盘货信息!$A:$A&amp;盘货信息!$B:$B&amp;盘货信息!$C:$C,盘货信息!$V:$V)="","","【"&amp;盘货信息!$V$1&amp;"】"&amp;_xlfn.XLOOKUP($A283&amp;$B283&amp;$C283,盘货信息!$A:$A&amp;盘货信息!$B:$B&amp;盘货信息!$C:$C,盘货信息!$V:$V))</f>
        <v/>
      </c>
      <c r="O283" s="27" t="str" cm="1">
        <f t="array" ref="O283">IF(_xlfn.XLOOKUP($A283&amp;$B283&amp;$C283,盘货信息!$A:$A&amp;盘货信息!$B:$B&amp;盘货信息!$C:$C,盘货信息!$W:$W)="","","【"&amp;盘货信息!$W$1&amp;"】"&amp;_xlfn.XLOOKUP($A283&amp;$B283&amp;$C283,盘货信息!$A:$A&amp;盘货信息!$B:$B&amp;盘货信息!$C:$C,盘货信息!$W:$W))</f>
        <v/>
      </c>
      <c r="P283" s="27" t="str" cm="1">
        <f t="array" ref="P283">IF(_xlfn.XLOOKUP($A283&amp;$B283&amp;$C283,盘货信息!$A:$A&amp;盘货信息!$B:$B&amp;盘货信息!$C:$C,盘货信息!$S:$S)&lt;1,"","【"&amp;盘货信息!$S$1&amp;"】"&amp;"后返"&amp;_xlfn.XLOOKUP($A283&amp;$B283&amp;$C283,盘货信息!$A:$A&amp;盘货信息!$B:$B&amp;盘货信息!$C:$C,盘货信息!$S:$S)&amp;"元")</f>
        <v/>
      </c>
      <c r="Q283" s="27" t="str" cm="1">
        <f t="array" ref="Q283">IF(_xlfn.XLOOKUP($A283&amp;$B283&amp;$C283,盘货信息!$A:$A&amp;盘货信息!$B:$B&amp;盘货信息!$C:$C,盘货信息!$X:$X)="","","【"&amp;盘货信息!$X$1&amp;"】"&amp;_xlfn.XLOOKUP($A283&amp;$B283&amp;$C283,盘货信息!$A:$A&amp;盘货信息!$B:$B&amp;盘货信息!$C:$C,盘货信息!$X:$X))</f>
        <v/>
      </c>
      <c r="R283" s="27" t="str" cm="1">
        <f t="array" ref="R283">IF(_xlfn.XLOOKUP($A283&amp;$B283&amp;$C283,盘货信息!$A:$A&amp;盘货信息!$B:$B&amp;盘货信息!$C:$C,盘货信息!$Z:$Z)="","","【"&amp;盘货信息!$Z$1&amp;"】"&amp;_xlfn.XLOOKUP($A283&amp;$B283&amp;$C283,盘货信息!$A:$A&amp;盘货信息!$B:$B&amp;盘货信息!$C:$C,盘货信息!$Z:$Z))</f>
        <v/>
      </c>
      <c r="S283" s="27" t="str" cm="1">
        <f t="array" ref="S283">IF(_xlfn.XLOOKUP($A283&amp;$B283&amp;$C283,盘货信息!$A:$A&amp;盘货信息!$B:$B&amp;盘货信息!$C:$C,盘货信息!$Q:$Q)="","","【种草】站外带指定话题种草后返"&amp;_xlfn.XLOOKUP($A283&amp;$B283&amp;$C283,盘货信息!$A:$A&amp;盘货信息!$B:$B&amp;盘货信息!$C:$C,盘货信息!$Q:$Q)&amp;"元红包（每个淘宝账号仅限对应一个站外种草账号，同一个种草账号不可对应多个淘宝账号）")</f>
        <v/>
      </c>
      <c r="T283" s="27" t="str" cm="1">
        <f t="array" ref="T283">IF(_xlfn.XLOOKUP($A283&amp;$B283&amp;$C283,盘货信息!$A:$A&amp;盘货信息!$B:$B&amp;盘货信息!$C:$C,盘货信息!$R:$R)&lt;1,"","【以旧换新】"&amp;"享补贴"&amp;ROUND(_xlfn.XLOOKUP($A283&amp;$B283&amp;$C283,盘货信息!$A:$A&amp;盘货信息!$B:$B&amp;盘货信息!$C:$C,盘货信息!$R:$R),0)&amp;"元（可无旧机换新）")</f>
        <v/>
      </c>
      <c r="U283" s="27" t="str">
        <f>IF(AND($N283="",$O283="",$P283="",$Q283="",$R283="",$S283="",$T283=""),"",固定信息!$B$1)</f>
        <v/>
      </c>
      <c r="V283" s="27" t="str" cm="1">
        <f t="array" ref="V283">IF(_xlfn.XLOOKUP($A283&amp;$B283&amp;$C283,盘货信息!$A:$A&amp;盘货信息!$B:$B&amp;盘货信息!$C:$C,盘货信息!$Y:$Y)="","","【卡萨帝送赠】活动指定时间"&amp;_xlfn.TEXTBEFORE(_xlfn.TEXTAFTER(_xlfn.XLOOKUP($A283&amp;$B283&amp;$C283,盘货信息!$A:$A&amp;盘货信息!$B:$B&amp;盘货信息!$C:$C,盘货信息!$Y:$Y),"点"),"（"))</f>
        <v/>
      </c>
      <c r="W283" s="27" t="str" cm="1">
        <f t="array" ref="W283">IF(COUNTIF(_xlfn.XLOOKUP($A283&amp;$B283&amp;$C283,盘货信息!$A:$A&amp;盘货信息!$B:$B&amp;盘货信息!$C:$C,盘货信息!$O:$O),"*是*"),"【折扣】指定型号满2类享96折，满3类享94折","")</f>
        <v/>
      </c>
      <c r="X283" s="27" t="str" cm="1">
        <f t="array" ref="X283">IF(固定信息!$B$7="","",IF(_xlfn.XLOOKUP($A283&amp;$B283&amp;$C283,盘货信息!$A:$A&amp;盘货信息!$B:$B&amp;盘货信息!$C:$C,盘货信息!$N:$N)="是","【瓜分】"&amp;固定信息!$B$7,""))</f>
        <v/>
      </c>
      <c r="Y283" s="27" t="str">
        <f>IF(AND($V283="",$W283="",$X283=""),"",固定信息!$B$1)</f>
        <v/>
      </c>
      <c r="Z283" s="27" t="str" cm="1">
        <f t="array" ref="Z283">IF($C283="","",_xlfn.XLOOKUP($A283&amp;$B283&amp;$C283,服务!$A:$A&amp;服务!$B:$B&amp;服务!$C:$C,服务!$D:$D))</f>
        <v/>
      </c>
    </row>
    <row r="284" customHeight="1" spans="1:26">
      <c r="A284" s="23" t="str">
        <f>IF(盘货信息!A284="","",盘货信息!A284)</f>
        <v/>
      </c>
      <c r="B284" s="26" t="str">
        <f>IF(盘货信息!B284="","",盘货信息!B284)</f>
        <v/>
      </c>
      <c r="C284" s="23" t="str">
        <f>IF(盘货信息!C284="","",盘货信息!C284)</f>
        <v/>
      </c>
      <c r="D284" s="27" t="str">
        <f ca="1" t="shared" si="4"/>
        <v/>
      </c>
      <c r="E284" s="27" t="str">
        <f>IF(C284="","",固定信息!$B$2)</f>
        <v/>
      </c>
      <c r="F284" s="27" t="str">
        <f>IF(C284="","","【"&amp;C284&amp;"】"&amp;固定信息!$B$4)</f>
        <v/>
      </c>
      <c r="G284" s="27" t="str">
        <f>IF(C284="","","【"&amp;"活动时间："&amp;固定信息!$B$3&amp;"】")</f>
        <v/>
      </c>
      <c r="H284" s="27" t="str">
        <f>IF($C284="","",固定信息!$B$1)</f>
        <v/>
      </c>
      <c r="I284" s="27" t="str">
        <f>IF(OR(C284="",固定信息!$B$5=""),"","【1元预约锁好礼】"&amp;固定信息!$B$5)</f>
        <v/>
      </c>
      <c r="J284" s="27" t="str" cm="1">
        <f t="array" ref="J284">_xlfn.XLOOKUP($A284&amp;$B284&amp;$C284,价格信息!$A:$A&amp;价格信息!$B:$B&amp;价格信息!$C:$C,价格信息!$D:$D)</f>
        <v/>
      </c>
      <c r="K284" s="27" t="str">
        <f>IF($C284="","",固定信息!$B$1)</f>
        <v/>
      </c>
      <c r="L284" s="27" t="str" cm="1">
        <f t="array" ref="L284">IF(_xlfn.XLOOKUP($A284&amp;$B284&amp;$C284,盘货信息!$A:$A&amp;盘货信息!$B:$B&amp;盘货信息!$C:$C,盘货信息!$T:$T)="","","【优惠券】领"&amp;_xlfn.XLOOKUP($A284&amp;$B284&amp;$C284,盘货信息!$A:$A&amp;盘货信息!$B:$B&amp;盘货信息!$C:$C,盘货信息!$T:$T)&amp;"元优惠卷下单更优惠，领券链接："&amp;_xlfn.XLOOKUP($A284&amp;$B284&amp;$C284,盘货信息!$A:$A&amp;盘货信息!$B:$B&amp;盘货信息!$C:$C,盘货信息!$U:$U))</f>
        <v/>
      </c>
      <c r="M284" s="27" t="str" cm="1">
        <f t="array" ref="M284">IF(_xlfn.XLOOKUP($A284&amp;$B284&amp;$C284,盘货信息!$A:$A&amp;盘货信息!$B:$B&amp;盘货信息!$C:$C,盘货信息!$P:$P)="","","【限时】"&amp;_xlfn.XLOOKUP($A284&amp;$B284&amp;$C284,盘货信息!$A:$A&amp;盘货信息!$B:$B&amp;盘货信息!$C:$C,盘货信息!$P:$P))</f>
        <v/>
      </c>
      <c r="N284" s="27" t="str" cm="1">
        <f t="array" ref="N284">IF(_xlfn.XLOOKUP($A284&amp;$B284&amp;$C284,盘货信息!$A:$A&amp;盘货信息!$B:$B&amp;盘货信息!$C:$C,盘货信息!$V:$V)="","","【"&amp;盘货信息!$V$1&amp;"】"&amp;_xlfn.XLOOKUP($A284&amp;$B284&amp;$C284,盘货信息!$A:$A&amp;盘货信息!$B:$B&amp;盘货信息!$C:$C,盘货信息!$V:$V))</f>
        <v/>
      </c>
      <c r="O284" s="27" t="str" cm="1">
        <f t="array" ref="O284">IF(_xlfn.XLOOKUP($A284&amp;$B284&amp;$C284,盘货信息!$A:$A&amp;盘货信息!$B:$B&amp;盘货信息!$C:$C,盘货信息!$W:$W)="","","【"&amp;盘货信息!$W$1&amp;"】"&amp;_xlfn.XLOOKUP($A284&amp;$B284&amp;$C284,盘货信息!$A:$A&amp;盘货信息!$B:$B&amp;盘货信息!$C:$C,盘货信息!$W:$W))</f>
        <v/>
      </c>
      <c r="P284" s="27" t="str" cm="1">
        <f t="array" ref="P284">IF(_xlfn.XLOOKUP($A284&amp;$B284&amp;$C284,盘货信息!$A:$A&amp;盘货信息!$B:$B&amp;盘货信息!$C:$C,盘货信息!$S:$S)&lt;1,"","【"&amp;盘货信息!$S$1&amp;"】"&amp;"后返"&amp;_xlfn.XLOOKUP($A284&amp;$B284&amp;$C284,盘货信息!$A:$A&amp;盘货信息!$B:$B&amp;盘货信息!$C:$C,盘货信息!$S:$S)&amp;"元")</f>
        <v/>
      </c>
      <c r="Q284" s="27" t="str" cm="1">
        <f t="array" ref="Q284">IF(_xlfn.XLOOKUP($A284&amp;$B284&amp;$C284,盘货信息!$A:$A&amp;盘货信息!$B:$B&amp;盘货信息!$C:$C,盘货信息!$X:$X)="","","【"&amp;盘货信息!$X$1&amp;"】"&amp;_xlfn.XLOOKUP($A284&amp;$B284&amp;$C284,盘货信息!$A:$A&amp;盘货信息!$B:$B&amp;盘货信息!$C:$C,盘货信息!$X:$X))</f>
        <v/>
      </c>
      <c r="R284" s="27" t="str" cm="1">
        <f t="array" ref="R284">IF(_xlfn.XLOOKUP($A284&amp;$B284&amp;$C284,盘货信息!$A:$A&amp;盘货信息!$B:$B&amp;盘货信息!$C:$C,盘货信息!$Z:$Z)="","","【"&amp;盘货信息!$Z$1&amp;"】"&amp;_xlfn.XLOOKUP($A284&amp;$B284&amp;$C284,盘货信息!$A:$A&amp;盘货信息!$B:$B&amp;盘货信息!$C:$C,盘货信息!$Z:$Z))</f>
        <v/>
      </c>
      <c r="S284" s="27" t="str" cm="1">
        <f t="array" ref="S284">IF(_xlfn.XLOOKUP($A284&amp;$B284&amp;$C284,盘货信息!$A:$A&amp;盘货信息!$B:$B&amp;盘货信息!$C:$C,盘货信息!$Q:$Q)="","","【种草】站外带指定话题种草后返"&amp;_xlfn.XLOOKUP($A284&amp;$B284&amp;$C284,盘货信息!$A:$A&amp;盘货信息!$B:$B&amp;盘货信息!$C:$C,盘货信息!$Q:$Q)&amp;"元红包（每个淘宝账号仅限对应一个站外种草账号，同一个种草账号不可对应多个淘宝账号）")</f>
        <v/>
      </c>
      <c r="T284" s="27" t="str" cm="1">
        <f t="array" ref="T284">IF(_xlfn.XLOOKUP($A284&amp;$B284&amp;$C284,盘货信息!$A:$A&amp;盘货信息!$B:$B&amp;盘货信息!$C:$C,盘货信息!$R:$R)&lt;1,"","【以旧换新】"&amp;"享补贴"&amp;ROUND(_xlfn.XLOOKUP($A284&amp;$B284&amp;$C284,盘货信息!$A:$A&amp;盘货信息!$B:$B&amp;盘货信息!$C:$C,盘货信息!$R:$R),0)&amp;"元（可无旧机换新）")</f>
        <v/>
      </c>
      <c r="U284" s="27" t="str">
        <f>IF(AND($N284="",$O284="",$P284="",$Q284="",$R284="",$S284="",$T284=""),"",固定信息!$B$1)</f>
        <v/>
      </c>
      <c r="V284" s="27" t="str" cm="1">
        <f t="array" ref="V284">IF(_xlfn.XLOOKUP($A284&amp;$B284&amp;$C284,盘货信息!$A:$A&amp;盘货信息!$B:$B&amp;盘货信息!$C:$C,盘货信息!$Y:$Y)="","","【卡萨帝送赠】活动指定时间"&amp;_xlfn.TEXTBEFORE(_xlfn.TEXTAFTER(_xlfn.XLOOKUP($A284&amp;$B284&amp;$C284,盘货信息!$A:$A&amp;盘货信息!$B:$B&amp;盘货信息!$C:$C,盘货信息!$Y:$Y),"点"),"（"))</f>
        <v/>
      </c>
      <c r="W284" s="27" t="str" cm="1">
        <f t="array" ref="W284">IF(COUNTIF(_xlfn.XLOOKUP($A284&amp;$B284&amp;$C284,盘货信息!$A:$A&amp;盘货信息!$B:$B&amp;盘货信息!$C:$C,盘货信息!$O:$O),"*是*"),"【折扣】指定型号满2类享96折，满3类享94折","")</f>
        <v/>
      </c>
      <c r="X284" s="27" t="str" cm="1">
        <f t="array" ref="X284">IF(固定信息!$B$7="","",IF(_xlfn.XLOOKUP($A284&amp;$B284&amp;$C284,盘货信息!$A:$A&amp;盘货信息!$B:$B&amp;盘货信息!$C:$C,盘货信息!$N:$N)="是","【瓜分】"&amp;固定信息!$B$7,""))</f>
        <v/>
      </c>
      <c r="Y284" s="27" t="str">
        <f>IF(AND($V284="",$W284="",$X284=""),"",固定信息!$B$1)</f>
        <v/>
      </c>
      <c r="Z284" s="27" t="str" cm="1">
        <f t="array" ref="Z284">IF($C284="","",_xlfn.XLOOKUP($A284&amp;$B284&amp;$C284,服务!$A:$A&amp;服务!$B:$B&amp;服务!$C:$C,服务!$D:$D))</f>
        <v/>
      </c>
    </row>
    <row r="285" customHeight="1" spans="1:26">
      <c r="A285" s="23" t="str">
        <f>IF(盘货信息!A285="","",盘货信息!A285)</f>
        <v/>
      </c>
      <c r="B285" s="26" t="str">
        <f>IF(盘货信息!B285="","",盘货信息!B285)</f>
        <v/>
      </c>
      <c r="C285" s="23" t="str">
        <f>IF(盘货信息!C285="","",盘货信息!C285)</f>
        <v/>
      </c>
      <c r="D285" s="27" t="str">
        <f ca="1" t="shared" si="4"/>
        <v/>
      </c>
      <c r="E285" s="27" t="str">
        <f>IF(C285="","",固定信息!$B$2)</f>
        <v/>
      </c>
      <c r="F285" s="27" t="str">
        <f>IF(C285="","","【"&amp;C285&amp;"】"&amp;固定信息!$B$4)</f>
        <v/>
      </c>
      <c r="G285" s="27" t="str">
        <f>IF(C285="","","【"&amp;"活动时间："&amp;固定信息!$B$3&amp;"】")</f>
        <v/>
      </c>
      <c r="H285" s="27" t="str">
        <f>IF($C285="","",固定信息!$B$1)</f>
        <v/>
      </c>
      <c r="I285" s="27" t="str">
        <f>IF(OR(C285="",固定信息!$B$5=""),"","【1元预约锁好礼】"&amp;固定信息!$B$5)</f>
        <v/>
      </c>
      <c r="J285" s="27" t="str" cm="1">
        <f t="array" ref="J285">_xlfn.XLOOKUP($A285&amp;$B285&amp;$C285,价格信息!$A:$A&amp;价格信息!$B:$B&amp;价格信息!$C:$C,价格信息!$D:$D)</f>
        <v/>
      </c>
      <c r="K285" s="27" t="str">
        <f>IF($C285="","",固定信息!$B$1)</f>
        <v/>
      </c>
      <c r="L285" s="27" t="str" cm="1">
        <f t="array" ref="L285">IF(_xlfn.XLOOKUP($A285&amp;$B285&amp;$C285,盘货信息!$A:$A&amp;盘货信息!$B:$B&amp;盘货信息!$C:$C,盘货信息!$T:$T)="","","【优惠券】领"&amp;_xlfn.XLOOKUP($A285&amp;$B285&amp;$C285,盘货信息!$A:$A&amp;盘货信息!$B:$B&amp;盘货信息!$C:$C,盘货信息!$T:$T)&amp;"元优惠卷下单更优惠，领券链接："&amp;_xlfn.XLOOKUP($A285&amp;$B285&amp;$C285,盘货信息!$A:$A&amp;盘货信息!$B:$B&amp;盘货信息!$C:$C,盘货信息!$U:$U))</f>
        <v/>
      </c>
      <c r="M285" s="27" t="str" cm="1">
        <f t="array" ref="M285">IF(_xlfn.XLOOKUP($A285&amp;$B285&amp;$C285,盘货信息!$A:$A&amp;盘货信息!$B:$B&amp;盘货信息!$C:$C,盘货信息!$P:$P)="","","【限时】"&amp;_xlfn.XLOOKUP($A285&amp;$B285&amp;$C285,盘货信息!$A:$A&amp;盘货信息!$B:$B&amp;盘货信息!$C:$C,盘货信息!$P:$P))</f>
        <v/>
      </c>
      <c r="N285" s="27" t="str" cm="1">
        <f t="array" ref="N285">IF(_xlfn.XLOOKUP($A285&amp;$B285&amp;$C285,盘货信息!$A:$A&amp;盘货信息!$B:$B&amp;盘货信息!$C:$C,盘货信息!$V:$V)="","","【"&amp;盘货信息!$V$1&amp;"】"&amp;_xlfn.XLOOKUP($A285&amp;$B285&amp;$C285,盘货信息!$A:$A&amp;盘货信息!$B:$B&amp;盘货信息!$C:$C,盘货信息!$V:$V))</f>
        <v/>
      </c>
      <c r="O285" s="27" t="str" cm="1">
        <f t="array" ref="O285">IF(_xlfn.XLOOKUP($A285&amp;$B285&amp;$C285,盘货信息!$A:$A&amp;盘货信息!$B:$B&amp;盘货信息!$C:$C,盘货信息!$W:$W)="","","【"&amp;盘货信息!$W$1&amp;"】"&amp;_xlfn.XLOOKUP($A285&amp;$B285&amp;$C285,盘货信息!$A:$A&amp;盘货信息!$B:$B&amp;盘货信息!$C:$C,盘货信息!$W:$W))</f>
        <v/>
      </c>
      <c r="P285" s="27" t="str" cm="1">
        <f t="array" ref="P285">IF(_xlfn.XLOOKUP($A285&amp;$B285&amp;$C285,盘货信息!$A:$A&amp;盘货信息!$B:$B&amp;盘货信息!$C:$C,盘货信息!$S:$S)&lt;1,"","【"&amp;盘货信息!$S$1&amp;"】"&amp;"后返"&amp;_xlfn.XLOOKUP($A285&amp;$B285&amp;$C285,盘货信息!$A:$A&amp;盘货信息!$B:$B&amp;盘货信息!$C:$C,盘货信息!$S:$S)&amp;"元")</f>
        <v/>
      </c>
      <c r="Q285" s="27" t="str" cm="1">
        <f t="array" ref="Q285">IF(_xlfn.XLOOKUP($A285&amp;$B285&amp;$C285,盘货信息!$A:$A&amp;盘货信息!$B:$B&amp;盘货信息!$C:$C,盘货信息!$X:$X)="","","【"&amp;盘货信息!$X$1&amp;"】"&amp;_xlfn.XLOOKUP($A285&amp;$B285&amp;$C285,盘货信息!$A:$A&amp;盘货信息!$B:$B&amp;盘货信息!$C:$C,盘货信息!$X:$X))</f>
        <v/>
      </c>
      <c r="R285" s="27" t="str" cm="1">
        <f t="array" ref="R285">IF(_xlfn.XLOOKUP($A285&amp;$B285&amp;$C285,盘货信息!$A:$A&amp;盘货信息!$B:$B&amp;盘货信息!$C:$C,盘货信息!$Z:$Z)="","","【"&amp;盘货信息!$Z$1&amp;"】"&amp;_xlfn.XLOOKUP($A285&amp;$B285&amp;$C285,盘货信息!$A:$A&amp;盘货信息!$B:$B&amp;盘货信息!$C:$C,盘货信息!$Z:$Z))</f>
        <v/>
      </c>
      <c r="S285" s="27" t="str" cm="1">
        <f t="array" ref="S285">IF(_xlfn.XLOOKUP($A285&amp;$B285&amp;$C285,盘货信息!$A:$A&amp;盘货信息!$B:$B&amp;盘货信息!$C:$C,盘货信息!$Q:$Q)="","","【种草】站外带指定话题种草后返"&amp;_xlfn.XLOOKUP($A285&amp;$B285&amp;$C285,盘货信息!$A:$A&amp;盘货信息!$B:$B&amp;盘货信息!$C:$C,盘货信息!$Q:$Q)&amp;"元红包（每个淘宝账号仅限对应一个站外种草账号，同一个种草账号不可对应多个淘宝账号）")</f>
        <v/>
      </c>
      <c r="T285" s="27" t="str" cm="1">
        <f t="array" ref="T285">IF(_xlfn.XLOOKUP($A285&amp;$B285&amp;$C285,盘货信息!$A:$A&amp;盘货信息!$B:$B&amp;盘货信息!$C:$C,盘货信息!$R:$R)&lt;1,"","【以旧换新】"&amp;"享补贴"&amp;ROUND(_xlfn.XLOOKUP($A285&amp;$B285&amp;$C285,盘货信息!$A:$A&amp;盘货信息!$B:$B&amp;盘货信息!$C:$C,盘货信息!$R:$R),0)&amp;"元（可无旧机换新）")</f>
        <v/>
      </c>
      <c r="U285" s="27" t="str">
        <f>IF(AND($N285="",$O285="",$P285="",$Q285="",$R285="",$S285="",$T285=""),"",固定信息!$B$1)</f>
        <v/>
      </c>
      <c r="V285" s="27" t="str" cm="1">
        <f t="array" ref="V285">IF(_xlfn.XLOOKUP($A285&amp;$B285&amp;$C285,盘货信息!$A:$A&amp;盘货信息!$B:$B&amp;盘货信息!$C:$C,盘货信息!$Y:$Y)="","","【卡萨帝送赠】活动指定时间"&amp;_xlfn.TEXTBEFORE(_xlfn.TEXTAFTER(_xlfn.XLOOKUP($A285&amp;$B285&amp;$C285,盘货信息!$A:$A&amp;盘货信息!$B:$B&amp;盘货信息!$C:$C,盘货信息!$Y:$Y),"点"),"（"))</f>
        <v/>
      </c>
      <c r="W285" s="27" t="str" cm="1">
        <f t="array" ref="W285">IF(COUNTIF(_xlfn.XLOOKUP($A285&amp;$B285&amp;$C285,盘货信息!$A:$A&amp;盘货信息!$B:$B&amp;盘货信息!$C:$C,盘货信息!$O:$O),"*是*"),"【折扣】指定型号满2类享96折，满3类享94折","")</f>
        <v/>
      </c>
      <c r="X285" s="27" t="str" cm="1">
        <f t="array" ref="X285">IF(固定信息!$B$7="","",IF(_xlfn.XLOOKUP($A285&amp;$B285&amp;$C285,盘货信息!$A:$A&amp;盘货信息!$B:$B&amp;盘货信息!$C:$C,盘货信息!$N:$N)="是","【瓜分】"&amp;固定信息!$B$7,""))</f>
        <v/>
      </c>
      <c r="Y285" s="27" t="str">
        <f>IF(AND($V285="",$W285="",$X285=""),"",固定信息!$B$1)</f>
        <v/>
      </c>
      <c r="Z285" s="27" t="str" cm="1">
        <f t="array" ref="Z285">IF($C285="","",_xlfn.XLOOKUP($A285&amp;$B285&amp;$C285,服务!$A:$A&amp;服务!$B:$B&amp;服务!$C:$C,服务!$D:$D))</f>
        <v/>
      </c>
    </row>
    <row r="286" customHeight="1" spans="1:26">
      <c r="A286" s="23" t="str">
        <f>IF(盘货信息!A286="","",盘货信息!A286)</f>
        <v/>
      </c>
      <c r="B286" s="26" t="str">
        <f>IF(盘货信息!B286="","",盘货信息!B286)</f>
        <v/>
      </c>
      <c r="C286" s="23" t="str">
        <f>IF(盘货信息!C286="","",盘货信息!C286)</f>
        <v/>
      </c>
      <c r="D286" s="27" t="str">
        <f ca="1" t="shared" si="4"/>
        <v/>
      </c>
      <c r="E286" s="27" t="str">
        <f>IF(C286="","",固定信息!$B$2)</f>
        <v/>
      </c>
      <c r="F286" s="27" t="str">
        <f>IF(C286="","","【"&amp;C286&amp;"】"&amp;固定信息!$B$4)</f>
        <v/>
      </c>
      <c r="G286" s="27" t="str">
        <f>IF(C286="","","【"&amp;"活动时间："&amp;固定信息!$B$3&amp;"】")</f>
        <v/>
      </c>
      <c r="H286" s="27" t="str">
        <f>IF($C286="","",固定信息!$B$1)</f>
        <v/>
      </c>
      <c r="I286" s="27" t="str">
        <f>IF(OR(C286="",固定信息!$B$5=""),"","【1元预约锁好礼】"&amp;固定信息!$B$5)</f>
        <v/>
      </c>
      <c r="J286" s="27" t="str" cm="1">
        <f t="array" ref="J286">_xlfn.XLOOKUP($A286&amp;$B286&amp;$C286,价格信息!$A:$A&amp;价格信息!$B:$B&amp;价格信息!$C:$C,价格信息!$D:$D)</f>
        <v/>
      </c>
      <c r="K286" s="27" t="str">
        <f>IF($C286="","",固定信息!$B$1)</f>
        <v/>
      </c>
      <c r="L286" s="27" t="str" cm="1">
        <f t="array" ref="L286">IF(_xlfn.XLOOKUP($A286&amp;$B286&amp;$C286,盘货信息!$A:$A&amp;盘货信息!$B:$B&amp;盘货信息!$C:$C,盘货信息!$T:$T)="","","【优惠券】领"&amp;_xlfn.XLOOKUP($A286&amp;$B286&amp;$C286,盘货信息!$A:$A&amp;盘货信息!$B:$B&amp;盘货信息!$C:$C,盘货信息!$T:$T)&amp;"元优惠卷下单更优惠，领券链接："&amp;_xlfn.XLOOKUP($A286&amp;$B286&amp;$C286,盘货信息!$A:$A&amp;盘货信息!$B:$B&amp;盘货信息!$C:$C,盘货信息!$U:$U))</f>
        <v/>
      </c>
      <c r="M286" s="27" t="str" cm="1">
        <f t="array" ref="M286">IF(_xlfn.XLOOKUP($A286&amp;$B286&amp;$C286,盘货信息!$A:$A&amp;盘货信息!$B:$B&amp;盘货信息!$C:$C,盘货信息!$P:$P)="","","【限时】"&amp;_xlfn.XLOOKUP($A286&amp;$B286&amp;$C286,盘货信息!$A:$A&amp;盘货信息!$B:$B&amp;盘货信息!$C:$C,盘货信息!$P:$P))</f>
        <v/>
      </c>
      <c r="N286" s="27" t="str" cm="1">
        <f t="array" ref="N286">IF(_xlfn.XLOOKUP($A286&amp;$B286&amp;$C286,盘货信息!$A:$A&amp;盘货信息!$B:$B&amp;盘货信息!$C:$C,盘货信息!$V:$V)="","","【"&amp;盘货信息!$V$1&amp;"】"&amp;_xlfn.XLOOKUP($A286&amp;$B286&amp;$C286,盘货信息!$A:$A&amp;盘货信息!$B:$B&amp;盘货信息!$C:$C,盘货信息!$V:$V))</f>
        <v/>
      </c>
      <c r="O286" s="27" t="str" cm="1">
        <f t="array" ref="O286">IF(_xlfn.XLOOKUP($A286&amp;$B286&amp;$C286,盘货信息!$A:$A&amp;盘货信息!$B:$B&amp;盘货信息!$C:$C,盘货信息!$W:$W)="","","【"&amp;盘货信息!$W$1&amp;"】"&amp;_xlfn.XLOOKUP($A286&amp;$B286&amp;$C286,盘货信息!$A:$A&amp;盘货信息!$B:$B&amp;盘货信息!$C:$C,盘货信息!$W:$W))</f>
        <v/>
      </c>
      <c r="P286" s="27" t="str" cm="1">
        <f t="array" ref="P286">IF(_xlfn.XLOOKUP($A286&amp;$B286&amp;$C286,盘货信息!$A:$A&amp;盘货信息!$B:$B&amp;盘货信息!$C:$C,盘货信息!$S:$S)&lt;1,"","【"&amp;盘货信息!$S$1&amp;"】"&amp;"后返"&amp;_xlfn.XLOOKUP($A286&amp;$B286&amp;$C286,盘货信息!$A:$A&amp;盘货信息!$B:$B&amp;盘货信息!$C:$C,盘货信息!$S:$S)&amp;"元")</f>
        <v/>
      </c>
      <c r="Q286" s="27" t="str" cm="1">
        <f t="array" ref="Q286">IF(_xlfn.XLOOKUP($A286&amp;$B286&amp;$C286,盘货信息!$A:$A&amp;盘货信息!$B:$B&amp;盘货信息!$C:$C,盘货信息!$X:$X)="","","【"&amp;盘货信息!$X$1&amp;"】"&amp;_xlfn.XLOOKUP($A286&amp;$B286&amp;$C286,盘货信息!$A:$A&amp;盘货信息!$B:$B&amp;盘货信息!$C:$C,盘货信息!$X:$X))</f>
        <v/>
      </c>
      <c r="R286" s="27" t="str" cm="1">
        <f t="array" ref="R286">IF(_xlfn.XLOOKUP($A286&amp;$B286&amp;$C286,盘货信息!$A:$A&amp;盘货信息!$B:$B&amp;盘货信息!$C:$C,盘货信息!$Z:$Z)="","","【"&amp;盘货信息!$Z$1&amp;"】"&amp;_xlfn.XLOOKUP($A286&amp;$B286&amp;$C286,盘货信息!$A:$A&amp;盘货信息!$B:$B&amp;盘货信息!$C:$C,盘货信息!$Z:$Z))</f>
        <v/>
      </c>
      <c r="S286" s="27" t="str" cm="1">
        <f t="array" ref="S286">IF(_xlfn.XLOOKUP($A286&amp;$B286&amp;$C286,盘货信息!$A:$A&amp;盘货信息!$B:$B&amp;盘货信息!$C:$C,盘货信息!$Q:$Q)="","","【种草】站外带指定话题种草后返"&amp;_xlfn.XLOOKUP($A286&amp;$B286&amp;$C286,盘货信息!$A:$A&amp;盘货信息!$B:$B&amp;盘货信息!$C:$C,盘货信息!$Q:$Q)&amp;"元红包（每个淘宝账号仅限对应一个站外种草账号，同一个种草账号不可对应多个淘宝账号）")</f>
        <v/>
      </c>
      <c r="T286" s="27" t="str" cm="1">
        <f t="array" ref="T286">IF(_xlfn.XLOOKUP($A286&amp;$B286&amp;$C286,盘货信息!$A:$A&amp;盘货信息!$B:$B&amp;盘货信息!$C:$C,盘货信息!$R:$R)&lt;1,"","【以旧换新】"&amp;"享补贴"&amp;ROUND(_xlfn.XLOOKUP($A286&amp;$B286&amp;$C286,盘货信息!$A:$A&amp;盘货信息!$B:$B&amp;盘货信息!$C:$C,盘货信息!$R:$R),0)&amp;"元（可无旧机换新）")</f>
        <v/>
      </c>
      <c r="U286" s="27" t="str">
        <f>IF(AND($N286="",$O286="",$P286="",$Q286="",$R286="",$S286="",$T286=""),"",固定信息!$B$1)</f>
        <v/>
      </c>
      <c r="V286" s="27" t="str" cm="1">
        <f t="array" ref="V286">IF(_xlfn.XLOOKUP($A286&amp;$B286&amp;$C286,盘货信息!$A:$A&amp;盘货信息!$B:$B&amp;盘货信息!$C:$C,盘货信息!$Y:$Y)="","","【卡萨帝送赠】活动指定时间"&amp;_xlfn.TEXTBEFORE(_xlfn.TEXTAFTER(_xlfn.XLOOKUP($A286&amp;$B286&amp;$C286,盘货信息!$A:$A&amp;盘货信息!$B:$B&amp;盘货信息!$C:$C,盘货信息!$Y:$Y),"点"),"（"))</f>
        <v/>
      </c>
      <c r="W286" s="27" t="str" cm="1">
        <f t="array" ref="W286">IF(COUNTIF(_xlfn.XLOOKUP($A286&amp;$B286&amp;$C286,盘货信息!$A:$A&amp;盘货信息!$B:$B&amp;盘货信息!$C:$C,盘货信息!$O:$O),"*是*"),"【折扣】指定型号满2类享96折，满3类享94折","")</f>
        <v/>
      </c>
      <c r="X286" s="27" t="str" cm="1">
        <f t="array" ref="X286">IF(固定信息!$B$7="","",IF(_xlfn.XLOOKUP($A286&amp;$B286&amp;$C286,盘货信息!$A:$A&amp;盘货信息!$B:$B&amp;盘货信息!$C:$C,盘货信息!$N:$N)="是","【瓜分】"&amp;固定信息!$B$7,""))</f>
        <v/>
      </c>
      <c r="Y286" s="27" t="str">
        <f>IF(AND($V286="",$W286="",$X286=""),"",固定信息!$B$1)</f>
        <v/>
      </c>
      <c r="Z286" s="27" t="str" cm="1">
        <f t="array" ref="Z286">IF($C286="","",_xlfn.XLOOKUP($A286&amp;$B286&amp;$C286,服务!$A:$A&amp;服务!$B:$B&amp;服务!$C:$C,服务!$D:$D))</f>
        <v/>
      </c>
    </row>
    <row r="287" customHeight="1" spans="1:26">
      <c r="A287" s="23" t="str">
        <f>IF(盘货信息!A287="","",盘货信息!A287)</f>
        <v/>
      </c>
      <c r="B287" s="26" t="str">
        <f>IF(盘货信息!B287="","",盘货信息!B287)</f>
        <v/>
      </c>
      <c r="C287" s="23" t="str">
        <f>IF(盘货信息!C287="","",盘货信息!C287)</f>
        <v/>
      </c>
      <c r="D287" s="27" t="str">
        <f ca="1" t="shared" si="4"/>
        <v/>
      </c>
      <c r="E287" s="27" t="str">
        <f>IF(C287="","",固定信息!$B$2)</f>
        <v/>
      </c>
      <c r="F287" s="27" t="str">
        <f>IF(C287="","","【"&amp;C287&amp;"】"&amp;固定信息!$B$4)</f>
        <v/>
      </c>
      <c r="G287" s="27" t="str">
        <f>IF(C287="","","【"&amp;"活动时间："&amp;固定信息!$B$3&amp;"】")</f>
        <v/>
      </c>
      <c r="H287" s="27" t="str">
        <f>IF($C287="","",固定信息!$B$1)</f>
        <v/>
      </c>
      <c r="I287" s="27" t="str">
        <f>IF(OR(C287="",固定信息!$B$5=""),"","【1元预约锁好礼】"&amp;固定信息!$B$5)</f>
        <v/>
      </c>
      <c r="J287" s="27" t="str" cm="1">
        <f t="array" ref="J287">_xlfn.XLOOKUP($A287&amp;$B287&amp;$C287,价格信息!$A:$A&amp;价格信息!$B:$B&amp;价格信息!$C:$C,价格信息!$D:$D)</f>
        <v/>
      </c>
      <c r="K287" s="27" t="str">
        <f>IF($C287="","",固定信息!$B$1)</f>
        <v/>
      </c>
      <c r="L287" s="27" t="str" cm="1">
        <f t="array" ref="L287">IF(_xlfn.XLOOKUP($A287&amp;$B287&amp;$C287,盘货信息!$A:$A&amp;盘货信息!$B:$B&amp;盘货信息!$C:$C,盘货信息!$T:$T)="","","【优惠券】领"&amp;_xlfn.XLOOKUP($A287&amp;$B287&amp;$C287,盘货信息!$A:$A&amp;盘货信息!$B:$B&amp;盘货信息!$C:$C,盘货信息!$T:$T)&amp;"元优惠卷下单更优惠，领券链接："&amp;_xlfn.XLOOKUP($A287&amp;$B287&amp;$C287,盘货信息!$A:$A&amp;盘货信息!$B:$B&amp;盘货信息!$C:$C,盘货信息!$U:$U))</f>
        <v/>
      </c>
      <c r="M287" s="27" t="str" cm="1">
        <f t="array" ref="M287">IF(_xlfn.XLOOKUP($A287&amp;$B287&amp;$C287,盘货信息!$A:$A&amp;盘货信息!$B:$B&amp;盘货信息!$C:$C,盘货信息!$P:$P)="","","【限时】"&amp;_xlfn.XLOOKUP($A287&amp;$B287&amp;$C287,盘货信息!$A:$A&amp;盘货信息!$B:$B&amp;盘货信息!$C:$C,盘货信息!$P:$P))</f>
        <v/>
      </c>
      <c r="N287" s="27" t="str" cm="1">
        <f t="array" ref="N287">IF(_xlfn.XLOOKUP($A287&amp;$B287&amp;$C287,盘货信息!$A:$A&amp;盘货信息!$B:$B&amp;盘货信息!$C:$C,盘货信息!$V:$V)="","","【"&amp;盘货信息!$V$1&amp;"】"&amp;_xlfn.XLOOKUP($A287&amp;$B287&amp;$C287,盘货信息!$A:$A&amp;盘货信息!$B:$B&amp;盘货信息!$C:$C,盘货信息!$V:$V))</f>
        <v/>
      </c>
      <c r="O287" s="27" t="str" cm="1">
        <f t="array" ref="O287">IF(_xlfn.XLOOKUP($A287&amp;$B287&amp;$C287,盘货信息!$A:$A&amp;盘货信息!$B:$B&amp;盘货信息!$C:$C,盘货信息!$W:$W)="","","【"&amp;盘货信息!$W$1&amp;"】"&amp;_xlfn.XLOOKUP($A287&amp;$B287&amp;$C287,盘货信息!$A:$A&amp;盘货信息!$B:$B&amp;盘货信息!$C:$C,盘货信息!$W:$W))</f>
        <v/>
      </c>
      <c r="P287" s="27" t="str" cm="1">
        <f t="array" ref="P287">IF(_xlfn.XLOOKUP($A287&amp;$B287&amp;$C287,盘货信息!$A:$A&amp;盘货信息!$B:$B&amp;盘货信息!$C:$C,盘货信息!$S:$S)&lt;1,"","【"&amp;盘货信息!$S$1&amp;"】"&amp;"后返"&amp;_xlfn.XLOOKUP($A287&amp;$B287&amp;$C287,盘货信息!$A:$A&amp;盘货信息!$B:$B&amp;盘货信息!$C:$C,盘货信息!$S:$S)&amp;"元")</f>
        <v/>
      </c>
      <c r="Q287" s="27" t="str" cm="1">
        <f t="array" ref="Q287">IF(_xlfn.XLOOKUP($A287&amp;$B287&amp;$C287,盘货信息!$A:$A&amp;盘货信息!$B:$B&amp;盘货信息!$C:$C,盘货信息!$X:$X)="","","【"&amp;盘货信息!$X$1&amp;"】"&amp;_xlfn.XLOOKUP($A287&amp;$B287&amp;$C287,盘货信息!$A:$A&amp;盘货信息!$B:$B&amp;盘货信息!$C:$C,盘货信息!$X:$X))</f>
        <v/>
      </c>
      <c r="R287" s="27" t="str" cm="1">
        <f t="array" ref="R287">IF(_xlfn.XLOOKUP($A287&amp;$B287&amp;$C287,盘货信息!$A:$A&amp;盘货信息!$B:$B&amp;盘货信息!$C:$C,盘货信息!$Z:$Z)="","","【"&amp;盘货信息!$Z$1&amp;"】"&amp;_xlfn.XLOOKUP($A287&amp;$B287&amp;$C287,盘货信息!$A:$A&amp;盘货信息!$B:$B&amp;盘货信息!$C:$C,盘货信息!$Z:$Z))</f>
        <v/>
      </c>
      <c r="S287" s="27" t="str" cm="1">
        <f t="array" ref="S287">IF(_xlfn.XLOOKUP($A287&amp;$B287&amp;$C287,盘货信息!$A:$A&amp;盘货信息!$B:$B&amp;盘货信息!$C:$C,盘货信息!$Q:$Q)="","","【种草】站外带指定话题种草后返"&amp;_xlfn.XLOOKUP($A287&amp;$B287&amp;$C287,盘货信息!$A:$A&amp;盘货信息!$B:$B&amp;盘货信息!$C:$C,盘货信息!$Q:$Q)&amp;"元红包（每个淘宝账号仅限对应一个站外种草账号，同一个种草账号不可对应多个淘宝账号）")</f>
        <v/>
      </c>
      <c r="T287" s="27" t="str" cm="1">
        <f t="array" ref="T287">IF(_xlfn.XLOOKUP($A287&amp;$B287&amp;$C287,盘货信息!$A:$A&amp;盘货信息!$B:$B&amp;盘货信息!$C:$C,盘货信息!$R:$R)&lt;1,"","【以旧换新】"&amp;"享补贴"&amp;ROUND(_xlfn.XLOOKUP($A287&amp;$B287&amp;$C287,盘货信息!$A:$A&amp;盘货信息!$B:$B&amp;盘货信息!$C:$C,盘货信息!$R:$R),0)&amp;"元（可无旧机换新）")</f>
        <v/>
      </c>
      <c r="U287" s="27" t="str">
        <f>IF(AND($N287="",$O287="",$P287="",$Q287="",$R287="",$S287="",$T287=""),"",固定信息!$B$1)</f>
        <v/>
      </c>
      <c r="V287" s="27" t="str" cm="1">
        <f t="array" ref="V287">IF(_xlfn.XLOOKUP($A287&amp;$B287&amp;$C287,盘货信息!$A:$A&amp;盘货信息!$B:$B&amp;盘货信息!$C:$C,盘货信息!$Y:$Y)="","","【卡萨帝送赠】活动指定时间"&amp;_xlfn.TEXTBEFORE(_xlfn.TEXTAFTER(_xlfn.XLOOKUP($A287&amp;$B287&amp;$C287,盘货信息!$A:$A&amp;盘货信息!$B:$B&amp;盘货信息!$C:$C,盘货信息!$Y:$Y),"点"),"（"))</f>
        <v/>
      </c>
      <c r="W287" s="27" t="str" cm="1">
        <f t="array" ref="W287">IF(COUNTIF(_xlfn.XLOOKUP($A287&amp;$B287&amp;$C287,盘货信息!$A:$A&amp;盘货信息!$B:$B&amp;盘货信息!$C:$C,盘货信息!$O:$O),"*是*"),"【折扣】指定型号满2类享96折，满3类享94折","")</f>
        <v/>
      </c>
      <c r="X287" s="27" t="str" cm="1">
        <f t="array" ref="X287">IF(固定信息!$B$7="","",IF(_xlfn.XLOOKUP($A287&amp;$B287&amp;$C287,盘货信息!$A:$A&amp;盘货信息!$B:$B&amp;盘货信息!$C:$C,盘货信息!$N:$N)="是","【瓜分】"&amp;固定信息!$B$7,""))</f>
        <v/>
      </c>
      <c r="Y287" s="27" t="str">
        <f>IF(AND($V287="",$W287="",$X287=""),"",固定信息!$B$1)</f>
        <v/>
      </c>
      <c r="Z287" s="27" t="str" cm="1">
        <f t="array" ref="Z287">IF($C287="","",_xlfn.XLOOKUP($A287&amp;$B287&amp;$C287,服务!$A:$A&amp;服务!$B:$B&amp;服务!$C:$C,服务!$D:$D))</f>
        <v/>
      </c>
    </row>
    <row r="288" customHeight="1" spans="1:26">
      <c r="A288" s="23" t="str">
        <f>IF(盘货信息!A288="","",盘货信息!A288)</f>
        <v/>
      </c>
      <c r="B288" s="26" t="str">
        <f>IF(盘货信息!B288="","",盘货信息!B288)</f>
        <v/>
      </c>
      <c r="C288" s="23" t="str">
        <f>IF(盘货信息!C288="","",盘货信息!C288)</f>
        <v/>
      </c>
      <c r="D288" s="27" t="str">
        <f ca="1" t="shared" si="4"/>
        <v/>
      </c>
      <c r="E288" s="27" t="str">
        <f>IF(C288="","",固定信息!$B$2)</f>
        <v/>
      </c>
      <c r="F288" s="27" t="str">
        <f>IF(C288="","","【"&amp;C288&amp;"】"&amp;固定信息!$B$4)</f>
        <v/>
      </c>
      <c r="G288" s="27" t="str">
        <f>IF(C288="","","【"&amp;"活动时间："&amp;固定信息!$B$3&amp;"】")</f>
        <v/>
      </c>
      <c r="H288" s="27" t="str">
        <f>IF($C288="","",固定信息!$B$1)</f>
        <v/>
      </c>
      <c r="I288" s="27" t="str">
        <f>IF(OR(C288="",固定信息!$B$5=""),"","【1元预约锁好礼】"&amp;固定信息!$B$5)</f>
        <v/>
      </c>
      <c r="J288" s="27" t="str" cm="1">
        <f t="array" ref="J288">_xlfn.XLOOKUP($A288&amp;$B288&amp;$C288,价格信息!$A:$A&amp;价格信息!$B:$B&amp;价格信息!$C:$C,价格信息!$D:$D)</f>
        <v/>
      </c>
      <c r="K288" s="27" t="str">
        <f>IF($C288="","",固定信息!$B$1)</f>
        <v/>
      </c>
      <c r="L288" s="27" t="str" cm="1">
        <f t="array" ref="L288">IF(_xlfn.XLOOKUP($A288&amp;$B288&amp;$C288,盘货信息!$A:$A&amp;盘货信息!$B:$B&amp;盘货信息!$C:$C,盘货信息!$T:$T)="","","【优惠券】领"&amp;_xlfn.XLOOKUP($A288&amp;$B288&amp;$C288,盘货信息!$A:$A&amp;盘货信息!$B:$B&amp;盘货信息!$C:$C,盘货信息!$T:$T)&amp;"元优惠卷下单更优惠，领券链接："&amp;_xlfn.XLOOKUP($A288&amp;$B288&amp;$C288,盘货信息!$A:$A&amp;盘货信息!$B:$B&amp;盘货信息!$C:$C,盘货信息!$U:$U))</f>
        <v/>
      </c>
      <c r="M288" s="27" t="str" cm="1">
        <f t="array" ref="M288">IF(_xlfn.XLOOKUP($A288&amp;$B288&amp;$C288,盘货信息!$A:$A&amp;盘货信息!$B:$B&amp;盘货信息!$C:$C,盘货信息!$P:$P)="","","【限时】"&amp;_xlfn.XLOOKUP($A288&amp;$B288&amp;$C288,盘货信息!$A:$A&amp;盘货信息!$B:$B&amp;盘货信息!$C:$C,盘货信息!$P:$P))</f>
        <v/>
      </c>
      <c r="N288" s="27" t="str" cm="1">
        <f t="array" ref="N288">IF(_xlfn.XLOOKUP($A288&amp;$B288&amp;$C288,盘货信息!$A:$A&amp;盘货信息!$B:$B&amp;盘货信息!$C:$C,盘货信息!$V:$V)="","","【"&amp;盘货信息!$V$1&amp;"】"&amp;_xlfn.XLOOKUP($A288&amp;$B288&amp;$C288,盘货信息!$A:$A&amp;盘货信息!$B:$B&amp;盘货信息!$C:$C,盘货信息!$V:$V))</f>
        <v/>
      </c>
      <c r="O288" s="27" t="str" cm="1">
        <f t="array" ref="O288">IF(_xlfn.XLOOKUP($A288&amp;$B288&amp;$C288,盘货信息!$A:$A&amp;盘货信息!$B:$B&amp;盘货信息!$C:$C,盘货信息!$W:$W)="","","【"&amp;盘货信息!$W$1&amp;"】"&amp;_xlfn.XLOOKUP($A288&amp;$B288&amp;$C288,盘货信息!$A:$A&amp;盘货信息!$B:$B&amp;盘货信息!$C:$C,盘货信息!$W:$W))</f>
        <v/>
      </c>
      <c r="P288" s="27" t="str" cm="1">
        <f t="array" ref="P288">IF(_xlfn.XLOOKUP($A288&amp;$B288&amp;$C288,盘货信息!$A:$A&amp;盘货信息!$B:$B&amp;盘货信息!$C:$C,盘货信息!$S:$S)&lt;1,"","【"&amp;盘货信息!$S$1&amp;"】"&amp;"后返"&amp;_xlfn.XLOOKUP($A288&amp;$B288&amp;$C288,盘货信息!$A:$A&amp;盘货信息!$B:$B&amp;盘货信息!$C:$C,盘货信息!$S:$S)&amp;"元")</f>
        <v/>
      </c>
      <c r="Q288" s="27" t="str" cm="1">
        <f t="array" ref="Q288">IF(_xlfn.XLOOKUP($A288&amp;$B288&amp;$C288,盘货信息!$A:$A&amp;盘货信息!$B:$B&amp;盘货信息!$C:$C,盘货信息!$X:$X)="","","【"&amp;盘货信息!$X$1&amp;"】"&amp;_xlfn.XLOOKUP($A288&amp;$B288&amp;$C288,盘货信息!$A:$A&amp;盘货信息!$B:$B&amp;盘货信息!$C:$C,盘货信息!$X:$X))</f>
        <v/>
      </c>
      <c r="R288" s="27" t="str" cm="1">
        <f t="array" ref="R288">IF(_xlfn.XLOOKUP($A288&amp;$B288&amp;$C288,盘货信息!$A:$A&amp;盘货信息!$B:$B&amp;盘货信息!$C:$C,盘货信息!$Z:$Z)="","","【"&amp;盘货信息!$Z$1&amp;"】"&amp;_xlfn.XLOOKUP($A288&amp;$B288&amp;$C288,盘货信息!$A:$A&amp;盘货信息!$B:$B&amp;盘货信息!$C:$C,盘货信息!$Z:$Z))</f>
        <v/>
      </c>
      <c r="S288" s="27" t="str" cm="1">
        <f t="array" ref="S288">IF(_xlfn.XLOOKUP($A288&amp;$B288&amp;$C288,盘货信息!$A:$A&amp;盘货信息!$B:$B&amp;盘货信息!$C:$C,盘货信息!$Q:$Q)="","","【种草】站外带指定话题种草后返"&amp;_xlfn.XLOOKUP($A288&amp;$B288&amp;$C288,盘货信息!$A:$A&amp;盘货信息!$B:$B&amp;盘货信息!$C:$C,盘货信息!$Q:$Q)&amp;"元红包（每个淘宝账号仅限对应一个站外种草账号，同一个种草账号不可对应多个淘宝账号）")</f>
        <v/>
      </c>
      <c r="T288" s="27" t="str" cm="1">
        <f t="array" ref="T288">IF(_xlfn.XLOOKUP($A288&amp;$B288&amp;$C288,盘货信息!$A:$A&amp;盘货信息!$B:$B&amp;盘货信息!$C:$C,盘货信息!$R:$R)&lt;1,"","【以旧换新】"&amp;"享补贴"&amp;ROUND(_xlfn.XLOOKUP($A288&amp;$B288&amp;$C288,盘货信息!$A:$A&amp;盘货信息!$B:$B&amp;盘货信息!$C:$C,盘货信息!$R:$R),0)&amp;"元（可无旧机换新）")</f>
        <v/>
      </c>
      <c r="U288" s="27" t="str">
        <f>IF(AND($N288="",$O288="",$P288="",$Q288="",$R288="",$S288="",$T288=""),"",固定信息!$B$1)</f>
        <v/>
      </c>
      <c r="V288" s="27" t="str" cm="1">
        <f t="array" ref="V288">IF(_xlfn.XLOOKUP($A288&amp;$B288&amp;$C288,盘货信息!$A:$A&amp;盘货信息!$B:$B&amp;盘货信息!$C:$C,盘货信息!$Y:$Y)="","","【卡萨帝送赠】活动指定时间"&amp;_xlfn.TEXTBEFORE(_xlfn.TEXTAFTER(_xlfn.XLOOKUP($A288&amp;$B288&amp;$C288,盘货信息!$A:$A&amp;盘货信息!$B:$B&amp;盘货信息!$C:$C,盘货信息!$Y:$Y),"点"),"（"))</f>
        <v/>
      </c>
      <c r="W288" s="27" t="str" cm="1">
        <f t="array" ref="W288">IF(COUNTIF(_xlfn.XLOOKUP($A288&amp;$B288&amp;$C288,盘货信息!$A:$A&amp;盘货信息!$B:$B&amp;盘货信息!$C:$C,盘货信息!$O:$O),"*是*"),"【折扣】指定型号满2类享96折，满3类享94折","")</f>
        <v/>
      </c>
      <c r="X288" s="27" t="str" cm="1">
        <f t="array" ref="X288">IF(固定信息!$B$7="","",IF(_xlfn.XLOOKUP($A288&amp;$B288&amp;$C288,盘货信息!$A:$A&amp;盘货信息!$B:$B&amp;盘货信息!$C:$C,盘货信息!$N:$N)="是","【瓜分】"&amp;固定信息!$B$7,""))</f>
        <v/>
      </c>
      <c r="Y288" s="27" t="str">
        <f>IF(AND($V288="",$W288="",$X288=""),"",固定信息!$B$1)</f>
        <v/>
      </c>
      <c r="Z288" s="27" t="str" cm="1">
        <f t="array" ref="Z288">IF($C288="","",_xlfn.XLOOKUP($A288&amp;$B288&amp;$C288,服务!$A:$A&amp;服务!$B:$B&amp;服务!$C:$C,服务!$D:$D))</f>
        <v/>
      </c>
    </row>
    <row r="289" customHeight="1" spans="1:26">
      <c r="A289" s="23" t="str">
        <f>IF(盘货信息!A289="","",盘货信息!A289)</f>
        <v/>
      </c>
      <c r="B289" s="26" t="str">
        <f>IF(盘货信息!B289="","",盘货信息!B289)</f>
        <v/>
      </c>
      <c r="C289" s="23" t="str">
        <f>IF(盘货信息!C289="","",盘货信息!C289)</f>
        <v/>
      </c>
      <c r="D289" s="27" t="str">
        <f ca="1" t="shared" si="4"/>
        <v/>
      </c>
      <c r="E289" s="27" t="str">
        <f>IF(C289="","",固定信息!$B$2)</f>
        <v/>
      </c>
      <c r="F289" s="27" t="str">
        <f>IF(C289="","","【"&amp;C289&amp;"】"&amp;固定信息!$B$4)</f>
        <v/>
      </c>
      <c r="G289" s="27" t="str">
        <f>IF(C289="","","【"&amp;"活动时间："&amp;固定信息!$B$3&amp;"】")</f>
        <v/>
      </c>
      <c r="H289" s="27" t="str">
        <f>IF($C289="","",固定信息!$B$1)</f>
        <v/>
      </c>
      <c r="I289" s="27" t="str">
        <f>IF(OR(C289="",固定信息!$B$5=""),"","【1元预约锁好礼】"&amp;固定信息!$B$5)</f>
        <v/>
      </c>
      <c r="J289" s="27" t="str" cm="1">
        <f t="array" ref="J289">_xlfn.XLOOKUP($A289&amp;$B289&amp;$C289,价格信息!$A:$A&amp;价格信息!$B:$B&amp;价格信息!$C:$C,价格信息!$D:$D)</f>
        <v/>
      </c>
      <c r="K289" s="27" t="str">
        <f>IF($C289="","",固定信息!$B$1)</f>
        <v/>
      </c>
      <c r="L289" s="27" t="str" cm="1">
        <f t="array" ref="L289">IF(_xlfn.XLOOKUP($A289&amp;$B289&amp;$C289,盘货信息!$A:$A&amp;盘货信息!$B:$B&amp;盘货信息!$C:$C,盘货信息!$T:$T)="","","【优惠券】领"&amp;_xlfn.XLOOKUP($A289&amp;$B289&amp;$C289,盘货信息!$A:$A&amp;盘货信息!$B:$B&amp;盘货信息!$C:$C,盘货信息!$T:$T)&amp;"元优惠卷下单更优惠，领券链接："&amp;_xlfn.XLOOKUP($A289&amp;$B289&amp;$C289,盘货信息!$A:$A&amp;盘货信息!$B:$B&amp;盘货信息!$C:$C,盘货信息!$U:$U))</f>
        <v/>
      </c>
      <c r="M289" s="27" t="str" cm="1">
        <f t="array" ref="M289">IF(_xlfn.XLOOKUP($A289&amp;$B289&amp;$C289,盘货信息!$A:$A&amp;盘货信息!$B:$B&amp;盘货信息!$C:$C,盘货信息!$P:$P)="","","【限时】"&amp;_xlfn.XLOOKUP($A289&amp;$B289&amp;$C289,盘货信息!$A:$A&amp;盘货信息!$B:$B&amp;盘货信息!$C:$C,盘货信息!$P:$P))</f>
        <v/>
      </c>
      <c r="N289" s="27" t="str" cm="1">
        <f t="array" ref="N289">IF(_xlfn.XLOOKUP($A289&amp;$B289&amp;$C289,盘货信息!$A:$A&amp;盘货信息!$B:$B&amp;盘货信息!$C:$C,盘货信息!$V:$V)="","","【"&amp;盘货信息!$V$1&amp;"】"&amp;_xlfn.XLOOKUP($A289&amp;$B289&amp;$C289,盘货信息!$A:$A&amp;盘货信息!$B:$B&amp;盘货信息!$C:$C,盘货信息!$V:$V))</f>
        <v/>
      </c>
      <c r="O289" s="27" t="str" cm="1">
        <f t="array" ref="O289">IF(_xlfn.XLOOKUP($A289&amp;$B289&amp;$C289,盘货信息!$A:$A&amp;盘货信息!$B:$B&amp;盘货信息!$C:$C,盘货信息!$W:$W)="","","【"&amp;盘货信息!$W$1&amp;"】"&amp;_xlfn.XLOOKUP($A289&amp;$B289&amp;$C289,盘货信息!$A:$A&amp;盘货信息!$B:$B&amp;盘货信息!$C:$C,盘货信息!$W:$W))</f>
        <v/>
      </c>
      <c r="P289" s="27" t="str" cm="1">
        <f t="array" ref="P289">IF(_xlfn.XLOOKUP($A289&amp;$B289&amp;$C289,盘货信息!$A:$A&amp;盘货信息!$B:$B&amp;盘货信息!$C:$C,盘货信息!$S:$S)&lt;1,"","【"&amp;盘货信息!$S$1&amp;"】"&amp;"后返"&amp;_xlfn.XLOOKUP($A289&amp;$B289&amp;$C289,盘货信息!$A:$A&amp;盘货信息!$B:$B&amp;盘货信息!$C:$C,盘货信息!$S:$S)&amp;"元")</f>
        <v/>
      </c>
      <c r="Q289" s="27" t="str" cm="1">
        <f t="array" ref="Q289">IF(_xlfn.XLOOKUP($A289&amp;$B289&amp;$C289,盘货信息!$A:$A&amp;盘货信息!$B:$B&amp;盘货信息!$C:$C,盘货信息!$X:$X)="","","【"&amp;盘货信息!$X$1&amp;"】"&amp;_xlfn.XLOOKUP($A289&amp;$B289&amp;$C289,盘货信息!$A:$A&amp;盘货信息!$B:$B&amp;盘货信息!$C:$C,盘货信息!$X:$X))</f>
        <v/>
      </c>
      <c r="R289" s="27" t="str" cm="1">
        <f t="array" ref="R289">IF(_xlfn.XLOOKUP($A289&amp;$B289&amp;$C289,盘货信息!$A:$A&amp;盘货信息!$B:$B&amp;盘货信息!$C:$C,盘货信息!$Z:$Z)="","","【"&amp;盘货信息!$Z$1&amp;"】"&amp;_xlfn.XLOOKUP($A289&amp;$B289&amp;$C289,盘货信息!$A:$A&amp;盘货信息!$B:$B&amp;盘货信息!$C:$C,盘货信息!$Z:$Z))</f>
        <v/>
      </c>
      <c r="S289" s="27" t="str" cm="1">
        <f t="array" ref="S289">IF(_xlfn.XLOOKUP($A289&amp;$B289&amp;$C289,盘货信息!$A:$A&amp;盘货信息!$B:$B&amp;盘货信息!$C:$C,盘货信息!$Q:$Q)="","","【种草】站外带指定话题种草后返"&amp;_xlfn.XLOOKUP($A289&amp;$B289&amp;$C289,盘货信息!$A:$A&amp;盘货信息!$B:$B&amp;盘货信息!$C:$C,盘货信息!$Q:$Q)&amp;"元红包（每个淘宝账号仅限对应一个站外种草账号，同一个种草账号不可对应多个淘宝账号）")</f>
        <v/>
      </c>
      <c r="T289" s="27" t="str" cm="1">
        <f t="array" ref="T289">IF(_xlfn.XLOOKUP($A289&amp;$B289&amp;$C289,盘货信息!$A:$A&amp;盘货信息!$B:$B&amp;盘货信息!$C:$C,盘货信息!$R:$R)&lt;1,"","【以旧换新】"&amp;"享补贴"&amp;ROUND(_xlfn.XLOOKUP($A289&amp;$B289&amp;$C289,盘货信息!$A:$A&amp;盘货信息!$B:$B&amp;盘货信息!$C:$C,盘货信息!$R:$R),0)&amp;"元（可无旧机换新）")</f>
        <v/>
      </c>
      <c r="U289" s="27" t="str">
        <f>IF(AND($N289="",$O289="",$P289="",$Q289="",$R289="",$S289="",$T289=""),"",固定信息!$B$1)</f>
        <v/>
      </c>
      <c r="V289" s="27" t="str" cm="1">
        <f t="array" ref="V289">IF(_xlfn.XLOOKUP($A289&amp;$B289&amp;$C289,盘货信息!$A:$A&amp;盘货信息!$B:$B&amp;盘货信息!$C:$C,盘货信息!$Y:$Y)="","","【卡萨帝送赠】活动指定时间"&amp;_xlfn.TEXTBEFORE(_xlfn.TEXTAFTER(_xlfn.XLOOKUP($A289&amp;$B289&amp;$C289,盘货信息!$A:$A&amp;盘货信息!$B:$B&amp;盘货信息!$C:$C,盘货信息!$Y:$Y),"点"),"（"))</f>
        <v/>
      </c>
      <c r="W289" s="27" t="str" cm="1">
        <f t="array" ref="W289">IF(COUNTIF(_xlfn.XLOOKUP($A289&amp;$B289&amp;$C289,盘货信息!$A:$A&amp;盘货信息!$B:$B&amp;盘货信息!$C:$C,盘货信息!$O:$O),"*是*"),"【折扣】指定型号满2类享96折，满3类享94折","")</f>
        <v/>
      </c>
      <c r="X289" s="27" t="str" cm="1">
        <f t="array" ref="X289">IF(固定信息!$B$7="","",IF(_xlfn.XLOOKUP($A289&amp;$B289&amp;$C289,盘货信息!$A:$A&amp;盘货信息!$B:$B&amp;盘货信息!$C:$C,盘货信息!$N:$N)="是","【瓜分】"&amp;固定信息!$B$7,""))</f>
        <v/>
      </c>
      <c r="Y289" s="27" t="str">
        <f>IF(AND($V289="",$W289="",$X289=""),"",固定信息!$B$1)</f>
        <v/>
      </c>
      <c r="Z289" s="27" t="str" cm="1">
        <f t="array" ref="Z289">IF($C289="","",_xlfn.XLOOKUP($A289&amp;$B289&amp;$C289,服务!$A:$A&amp;服务!$B:$B&amp;服务!$C:$C,服务!$D:$D))</f>
        <v/>
      </c>
    </row>
    <row r="290" customHeight="1" spans="1:26">
      <c r="A290" s="23" t="str">
        <f>IF(盘货信息!A290="","",盘货信息!A290)</f>
        <v/>
      </c>
      <c r="B290" s="26" t="str">
        <f>IF(盘货信息!B290="","",盘货信息!B290)</f>
        <v/>
      </c>
      <c r="C290" s="23" t="str">
        <f>IF(盘货信息!C290="","",盘货信息!C290)</f>
        <v/>
      </c>
      <c r="D290" s="27" t="str">
        <f ca="1" t="shared" si="4"/>
        <v/>
      </c>
      <c r="E290" s="27" t="str">
        <f>IF(C290="","",固定信息!$B$2)</f>
        <v/>
      </c>
      <c r="F290" s="27" t="str">
        <f>IF(C290="","","【"&amp;C290&amp;"】"&amp;固定信息!$B$4)</f>
        <v/>
      </c>
      <c r="G290" s="27" t="str">
        <f>IF(C290="","","【"&amp;"活动时间："&amp;固定信息!$B$3&amp;"】")</f>
        <v/>
      </c>
      <c r="H290" s="27" t="str">
        <f>IF($C290="","",固定信息!$B$1)</f>
        <v/>
      </c>
      <c r="I290" s="27" t="str">
        <f>IF(OR(C290="",固定信息!$B$5=""),"","【1元预约锁好礼】"&amp;固定信息!$B$5)</f>
        <v/>
      </c>
      <c r="J290" s="27" t="str" cm="1">
        <f t="array" ref="J290">_xlfn.XLOOKUP($A290&amp;$B290&amp;$C290,价格信息!$A:$A&amp;价格信息!$B:$B&amp;价格信息!$C:$C,价格信息!$D:$D)</f>
        <v/>
      </c>
      <c r="K290" s="27" t="str">
        <f>IF($C290="","",固定信息!$B$1)</f>
        <v/>
      </c>
      <c r="L290" s="27" t="str" cm="1">
        <f t="array" ref="L290">IF(_xlfn.XLOOKUP($A290&amp;$B290&amp;$C290,盘货信息!$A:$A&amp;盘货信息!$B:$B&amp;盘货信息!$C:$C,盘货信息!$T:$T)="","","【优惠券】领"&amp;_xlfn.XLOOKUP($A290&amp;$B290&amp;$C290,盘货信息!$A:$A&amp;盘货信息!$B:$B&amp;盘货信息!$C:$C,盘货信息!$T:$T)&amp;"元优惠卷下单更优惠，领券链接："&amp;_xlfn.XLOOKUP($A290&amp;$B290&amp;$C290,盘货信息!$A:$A&amp;盘货信息!$B:$B&amp;盘货信息!$C:$C,盘货信息!$U:$U))</f>
        <v/>
      </c>
      <c r="M290" s="27" t="str" cm="1">
        <f t="array" ref="M290">IF(_xlfn.XLOOKUP($A290&amp;$B290&amp;$C290,盘货信息!$A:$A&amp;盘货信息!$B:$B&amp;盘货信息!$C:$C,盘货信息!$P:$P)="","","【限时】"&amp;_xlfn.XLOOKUP($A290&amp;$B290&amp;$C290,盘货信息!$A:$A&amp;盘货信息!$B:$B&amp;盘货信息!$C:$C,盘货信息!$P:$P))</f>
        <v/>
      </c>
      <c r="N290" s="27" t="str" cm="1">
        <f t="array" ref="N290">IF(_xlfn.XLOOKUP($A290&amp;$B290&amp;$C290,盘货信息!$A:$A&amp;盘货信息!$B:$B&amp;盘货信息!$C:$C,盘货信息!$V:$V)="","","【"&amp;盘货信息!$V$1&amp;"】"&amp;_xlfn.XLOOKUP($A290&amp;$B290&amp;$C290,盘货信息!$A:$A&amp;盘货信息!$B:$B&amp;盘货信息!$C:$C,盘货信息!$V:$V))</f>
        <v/>
      </c>
      <c r="O290" s="27" t="str" cm="1">
        <f t="array" ref="O290">IF(_xlfn.XLOOKUP($A290&amp;$B290&amp;$C290,盘货信息!$A:$A&amp;盘货信息!$B:$B&amp;盘货信息!$C:$C,盘货信息!$W:$W)="","","【"&amp;盘货信息!$W$1&amp;"】"&amp;_xlfn.XLOOKUP($A290&amp;$B290&amp;$C290,盘货信息!$A:$A&amp;盘货信息!$B:$B&amp;盘货信息!$C:$C,盘货信息!$W:$W))</f>
        <v/>
      </c>
      <c r="P290" s="27" t="str" cm="1">
        <f t="array" ref="P290">IF(_xlfn.XLOOKUP($A290&amp;$B290&amp;$C290,盘货信息!$A:$A&amp;盘货信息!$B:$B&amp;盘货信息!$C:$C,盘货信息!$S:$S)&lt;1,"","【"&amp;盘货信息!$S$1&amp;"】"&amp;"后返"&amp;_xlfn.XLOOKUP($A290&amp;$B290&amp;$C290,盘货信息!$A:$A&amp;盘货信息!$B:$B&amp;盘货信息!$C:$C,盘货信息!$S:$S)&amp;"元")</f>
        <v/>
      </c>
      <c r="Q290" s="27" t="str" cm="1">
        <f t="array" ref="Q290">IF(_xlfn.XLOOKUP($A290&amp;$B290&amp;$C290,盘货信息!$A:$A&amp;盘货信息!$B:$B&amp;盘货信息!$C:$C,盘货信息!$X:$X)="","","【"&amp;盘货信息!$X$1&amp;"】"&amp;_xlfn.XLOOKUP($A290&amp;$B290&amp;$C290,盘货信息!$A:$A&amp;盘货信息!$B:$B&amp;盘货信息!$C:$C,盘货信息!$X:$X))</f>
        <v/>
      </c>
      <c r="R290" s="27" t="str" cm="1">
        <f t="array" ref="R290">IF(_xlfn.XLOOKUP($A290&amp;$B290&amp;$C290,盘货信息!$A:$A&amp;盘货信息!$B:$B&amp;盘货信息!$C:$C,盘货信息!$Z:$Z)="","","【"&amp;盘货信息!$Z$1&amp;"】"&amp;_xlfn.XLOOKUP($A290&amp;$B290&amp;$C290,盘货信息!$A:$A&amp;盘货信息!$B:$B&amp;盘货信息!$C:$C,盘货信息!$Z:$Z))</f>
        <v/>
      </c>
      <c r="S290" s="27" t="str" cm="1">
        <f t="array" ref="S290">IF(_xlfn.XLOOKUP($A290&amp;$B290&amp;$C290,盘货信息!$A:$A&amp;盘货信息!$B:$B&amp;盘货信息!$C:$C,盘货信息!$Q:$Q)="","","【种草】站外带指定话题种草后返"&amp;_xlfn.XLOOKUP($A290&amp;$B290&amp;$C290,盘货信息!$A:$A&amp;盘货信息!$B:$B&amp;盘货信息!$C:$C,盘货信息!$Q:$Q)&amp;"元红包（每个淘宝账号仅限对应一个站外种草账号，同一个种草账号不可对应多个淘宝账号）")</f>
        <v/>
      </c>
      <c r="T290" s="27" t="str" cm="1">
        <f t="array" ref="T290">IF(_xlfn.XLOOKUP($A290&amp;$B290&amp;$C290,盘货信息!$A:$A&amp;盘货信息!$B:$B&amp;盘货信息!$C:$C,盘货信息!$R:$R)&lt;1,"","【以旧换新】"&amp;"享补贴"&amp;ROUND(_xlfn.XLOOKUP($A290&amp;$B290&amp;$C290,盘货信息!$A:$A&amp;盘货信息!$B:$B&amp;盘货信息!$C:$C,盘货信息!$R:$R),0)&amp;"元（可无旧机换新）")</f>
        <v/>
      </c>
      <c r="U290" s="27" t="str">
        <f>IF(AND($N290="",$O290="",$P290="",$Q290="",$R290="",$S290="",$T290=""),"",固定信息!$B$1)</f>
        <v/>
      </c>
      <c r="V290" s="27" t="str" cm="1">
        <f t="array" ref="V290">IF(_xlfn.XLOOKUP($A290&amp;$B290&amp;$C290,盘货信息!$A:$A&amp;盘货信息!$B:$B&amp;盘货信息!$C:$C,盘货信息!$Y:$Y)="","","【卡萨帝送赠】活动指定时间"&amp;_xlfn.TEXTBEFORE(_xlfn.TEXTAFTER(_xlfn.XLOOKUP($A290&amp;$B290&amp;$C290,盘货信息!$A:$A&amp;盘货信息!$B:$B&amp;盘货信息!$C:$C,盘货信息!$Y:$Y),"点"),"（"))</f>
        <v/>
      </c>
      <c r="W290" s="27" t="str" cm="1">
        <f t="array" ref="W290">IF(COUNTIF(_xlfn.XLOOKUP($A290&amp;$B290&amp;$C290,盘货信息!$A:$A&amp;盘货信息!$B:$B&amp;盘货信息!$C:$C,盘货信息!$O:$O),"*是*"),"【折扣】指定型号满2类享96折，满3类享94折","")</f>
        <v/>
      </c>
      <c r="X290" s="27" t="str" cm="1">
        <f t="array" ref="X290">IF(固定信息!$B$7="","",IF(_xlfn.XLOOKUP($A290&amp;$B290&amp;$C290,盘货信息!$A:$A&amp;盘货信息!$B:$B&amp;盘货信息!$C:$C,盘货信息!$N:$N)="是","【瓜分】"&amp;固定信息!$B$7,""))</f>
        <v/>
      </c>
      <c r="Y290" s="27" t="str">
        <f>IF(AND($V290="",$W290="",$X290=""),"",固定信息!$B$1)</f>
        <v/>
      </c>
      <c r="Z290" s="27" t="str" cm="1">
        <f t="array" ref="Z290">IF($C290="","",_xlfn.XLOOKUP($A290&amp;$B290&amp;$C290,服务!$A:$A&amp;服务!$B:$B&amp;服务!$C:$C,服务!$D:$D))</f>
        <v/>
      </c>
    </row>
    <row r="291" customHeight="1" spans="1:26">
      <c r="A291" s="23" t="str">
        <f>IF(盘货信息!A291="","",盘货信息!A291)</f>
        <v/>
      </c>
      <c r="B291" s="26" t="str">
        <f>IF(盘货信息!B291="","",盘货信息!B291)</f>
        <v/>
      </c>
      <c r="C291" s="23" t="str">
        <f>IF(盘货信息!C291="","",盘货信息!C291)</f>
        <v/>
      </c>
      <c r="D291" s="27" t="str">
        <f ca="1" t="shared" si="4"/>
        <v/>
      </c>
      <c r="E291" s="27" t="str">
        <f>IF(C291="","",固定信息!$B$2)</f>
        <v/>
      </c>
      <c r="F291" s="27" t="str">
        <f>IF(C291="","","【"&amp;C291&amp;"】"&amp;固定信息!$B$4)</f>
        <v/>
      </c>
      <c r="G291" s="27" t="str">
        <f>IF(C291="","","【"&amp;"活动时间："&amp;固定信息!$B$3&amp;"】")</f>
        <v/>
      </c>
      <c r="H291" s="27" t="str">
        <f>IF($C291="","",固定信息!$B$1)</f>
        <v/>
      </c>
      <c r="I291" s="27" t="str">
        <f>IF(OR(C291="",固定信息!$B$5=""),"","【1元预约锁好礼】"&amp;固定信息!$B$5)</f>
        <v/>
      </c>
      <c r="J291" s="27" t="str" cm="1">
        <f t="array" ref="J291">_xlfn.XLOOKUP($A291&amp;$B291&amp;$C291,价格信息!$A:$A&amp;价格信息!$B:$B&amp;价格信息!$C:$C,价格信息!$D:$D)</f>
        <v/>
      </c>
      <c r="K291" s="27" t="str">
        <f>IF($C291="","",固定信息!$B$1)</f>
        <v/>
      </c>
      <c r="L291" s="27" t="str" cm="1">
        <f t="array" ref="L291">IF(_xlfn.XLOOKUP($A291&amp;$B291&amp;$C291,盘货信息!$A:$A&amp;盘货信息!$B:$B&amp;盘货信息!$C:$C,盘货信息!$T:$T)="","","【优惠券】领"&amp;_xlfn.XLOOKUP($A291&amp;$B291&amp;$C291,盘货信息!$A:$A&amp;盘货信息!$B:$B&amp;盘货信息!$C:$C,盘货信息!$T:$T)&amp;"元优惠卷下单更优惠，领券链接："&amp;_xlfn.XLOOKUP($A291&amp;$B291&amp;$C291,盘货信息!$A:$A&amp;盘货信息!$B:$B&amp;盘货信息!$C:$C,盘货信息!$U:$U))</f>
        <v/>
      </c>
      <c r="M291" s="27" t="str" cm="1">
        <f t="array" ref="M291">IF(_xlfn.XLOOKUP($A291&amp;$B291&amp;$C291,盘货信息!$A:$A&amp;盘货信息!$B:$B&amp;盘货信息!$C:$C,盘货信息!$P:$P)="","","【限时】"&amp;_xlfn.XLOOKUP($A291&amp;$B291&amp;$C291,盘货信息!$A:$A&amp;盘货信息!$B:$B&amp;盘货信息!$C:$C,盘货信息!$P:$P))</f>
        <v/>
      </c>
      <c r="N291" s="27" t="str" cm="1">
        <f t="array" ref="N291">IF(_xlfn.XLOOKUP($A291&amp;$B291&amp;$C291,盘货信息!$A:$A&amp;盘货信息!$B:$B&amp;盘货信息!$C:$C,盘货信息!$V:$V)="","","【"&amp;盘货信息!$V$1&amp;"】"&amp;_xlfn.XLOOKUP($A291&amp;$B291&amp;$C291,盘货信息!$A:$A&amp;盘货信息!$B:$B&amp;盘货信息!$C:$C,盘货信息!$V:$V))</f>
        <v/>
      </c>
      <c r="O291" s="27" t="str" cm="1">
        <f t="array" ref="O291">IF(_xlfn.XLOOKUP($A291&amp;$B291&amp;$C291,盘货信息!$A:$A&amp;盘货信息!$B:$B&amp;盘货信息!$C:$C,盘货信息!$W:$W)="","","【"&amp;盘货信息!$W$1&amp;"】"&amp;_xlfn.XLOOKUP($A291&amp;$B291&amp;$C291,盘货信息!$A:$A&amp;盘货信息!$B:$B&amp;盘货信息!$C:$C,盘货信息!$W:$W))</f>
        <v/>
      </c>
      <c r="P291" s="27" t="str" cm="1">
        <f t="array" ref="P291">IF(_xlfn.XLOOKUP($A291&amp;$B291&amp;$C291,盘货信息!$A:$A&amp;盘货信息!$B:$B&amp;盘货信息!$C:$C,盘货信息!$S:$S)&lt;1,"","【"&amp;盘货信息!$S$1&amp;"】"&amp;"后返"&amp;_xlfn.XLOOKUP($A291&amp;$B291&amp;$C291,盘货信息!$A:$A&amp;盘货信息!$B:$B&amp;盘货信息!$C:$C,盘货信息!$S:$S)&amp;"元")</f>
        <v/>
      </c>
      <c r="Q291" s="27" t="str" cm="1">
        <f t="array" ref="Q291">IF(_xlfn.XLOOKUP($A291&amp;$B291&amp;$C291,盘货信息!$A:$A&amp;盘货信息!$B:$B&amp;盘货信息!$C:$C,盘货信息!$X:$X)="","","【"&amp;盘货信息!$X$1&amp;"】"&amp;_xlfn.XLOOKUP($A291&amp;$B291&amp;$C291,盘货信息!$A:$A&amp;盘货信息!$B:$B&amp;盘货信息!$C:$C,盘货信息!$X:$X))</f>
        <v/>
      </c>
      <c r="R291" s="27" t="str" cm="1">
        <f t="array" ref="R291">IF(_xlfn.XLOOKUP($A291&amp;$B291&amp;$C291,盘货信息!$A:$A&amp;盘货信息!$B:$B&amp;盘货信息!$C:$C,盘货信息!$Z:$Z)="","","【"&amp;盘货信息!$Z$1&amp;"】"&amp;_xlfn.XLOOKUP($A291&amp;$B291&amp;$C291,盘货信息!$A:$A&amp;盘货信息!$B:$B&amp;盘货信息!$C:$C,盘货信息!$Z:$Z))</f>
        <v/>
      </c>
      <c r="S291" s="27" t="str" cm="1">
        <f t="array" ref="S291">IF(_xlfn.XLOOKUP($A291&amp;$B291&amp;$C291,盘货信息!$A:$A&amp;盘货信息!$B:$B&amp;盘货信息!$C:$C,盘货信息!$Q:$Q)="","","【种草】站外带指定话题种草后返"&amp;_xlfn.XLOOKUP($A291&amp;$B291&amp;$C291,盘货信息!$A:$A&amp;盘货信息!$B:$B&amp;盘货信息!$C:$C,盘货信息!$Q:$Q)&amp;"元红包（每个淘宝账号仅限对应一个站外种草账号，同一个种草账号不可对应多个淘宝账号）")</f>
        <v/>
      </c>
      <c r="T291" s="27" t="str" cm="1">
        <f t="array" ref="T291">IF(_xlfn.XLOOKUP($A291&amp;$B291&amp;$C291,盘货信息!$A:$A&amp;盘货信息!$B:$B&amp;盘货信息!$C:$C,盘货信息!$R:$R)&lt;1,"","【以旧换新】"&amp;"享补贴"&amp;ROUND(_xlfn.XLOOKUP($A291&amp;$B291&amp;$C291,盘货信息!$A:$A&amp;盘货信息!$B:$B&amp;盘货信息!$C:$C,盘货信息!$R:$R),0)&amp;"元（可无旧机换新）")</f>
        <v/>
      </c>
      <c r="U291" s="27" t="str">
        <f>IF(AND($N291="",$O291="",$P291="",$Q291="",$R291="",$S291="",$T291=""),"",固定信息!$B$1)</f>
        <v/>
      </c>
      <c r="V291" s="27" t="str" cm="1">
        <f t="array" ref="V291">IF(_xlfn.XLOOKUP($A291&amp;$B291&amp;$C291,盘货信息!$A:$A&amp;盘货信息!$B:$B&amp;盘货信息!$C:$C,盘货信息!$Y:$Y)="","","【卡萨帝送赠】活动指定时间"&amp;_xlfn.TEXTBEFORE(_xlfn.TEXTAFTER(_xlfn.XLOOKUP($A291&amp;$B291&amp;$C291,盘货信息!$A:$A&amp;盘货信息!$B:$B&amp;盘货信息!$C:$C,盘货信息!$Y:$Y),"点"),"（"))</f>
        <v/>
      </c>
      <c r="W291" s="27" t="str" cm="1">
        <f t="array" ref="W291">IF(COUNTIF(_xlfn.XLOOKUP($A291&amp;$B291&amp;$C291,盘货信息!$A:$A&amp;盘货信息!$B:$B&amp;盘货信息!$C:$C,盘货信息!$O:$O),"*是*"),"【折扣】指定型号满2类享96折，满3类享94折","")</f>
        <v/>
      </c>
      <c r="X291" s="27" t="str" cm="1">
        <f t="array" ref="X291">IF(固定信息!$B$7="","",IF(_xlfn.XLOOKUP($A291&amp;$B291&amp;$C291,盘货信息!$A:$A&amp;盘货信息!$B:$B&amp;盘货信息!$C:$C,盘货信息!$N:$N)="是","【瓜分】"&amp;固定信息!$B$7,""))</f>
        <v/>
      </c>
      <c r="Y291" s="27" t="str">
        <f>IF(AND($V291="",$W291="",$X291=""),"",固定信息!$B$1)</f>
        <v/>
      </c>
      <c r="Z291" s="27" t="str" cm="1">
        <f t="array" ref="Z291">IF($C291="","",_xlfn.XLOOKUP($A291&amp;$B291&amp;$C291,服务!$A:$A&amp;服务!$B:$B&amp;服务!$C:$C,服务!$D:$D))</f>
        <v/>
      </c>
    </row>
    <row r="292" customHeight="1" spans="1:26">
      <c r="A292" s="23" t="str">
        <f>IF(盘货信息!A292="","",盘货信息!A292)</f>
        <v/>
      </c>
      <c r="B292" s="26" t="str">
        <f>IF(盘货信息!B292="","",盘货信息!B292)</f>
        <v/>
      </c>
      <c r="C292" s="23" t="str">
        <f>IF(盘货信息!C292="","",盘货信息!C292)</f>
        <v/>
      </c>
      <c r="D292" s="27" t="str">
        <f ca="1" t="shared" si="4"/>
        <v/>
      </c>
      <c r="E292" s="27" t="str">
        <f>IF(C292="","",固定信息!$B$2)</f>
        <v/>
      </c>
      <c r="F292" s="27" t="str">
        <f>IF(C292="","","【"&amp;C292&amp;"】"&amp;固定信息!$B$4)</f>
        <v/>
      </c>
      <c r="G292" s="27" t="str">
        <f>IF(C292="","","【"&amp;"活动时间："&amp;固定信息!$B$3&amp;"】")</f>
        <v/>
      </c>
      <c r="H292" s="27" t="str">
        <f>IF($C292="","",固定信息!$B$1)</f>
        <v/>
      </c>
      <c r="I292" s="27" t="str">
        <f>IF(OR(C292="",固定信息!$B$5=""),"","【1元预约锁好礼】"&amp;固定信息!$B$5)</f>
        <v/>
      </c>
      <c r="J292" s="27" t="str" cm="1">
        <f t="array" ref="J292">_xlfn.XLOOKUP($A292&amp;$B292&amp;$C292,价格信息!$A:$A&amp;价格信息!$B:$B&amp;价格信息!$C:$C,价格信息!$D:$D)</f>
        <v/>
      </c>
      <c r="K292" s="27" t="str">
        <f>IF($C292="","",固定信息!$B$1)</f>
        <v/>
      </c>
      <c r="L292" s="27" t="str" cm="1">
        <f t="array" ref="L292">IF(_xlfn.XLOOKUP($A292&amp;$B292&amp;$C292,盘货信息!$A:$A&amp;盘货信息!$B:$B&amp;盘货信息!$C:$C,盘货信息!$T:$T)="","","【优惠券】领"&amp;_xlfn.XLOOKUP($A292&amp;$B292&amp;$C292,盘货信息!$A:$A&amp;盘货信息!$B:$B&amp;盘货信息!$C:$C,盘货信息!$T:$T)&amp;"元优惠卷下单更优惠，领券链接："&amp;_xlfn.XLOOKUP($A292&amp;$B292&amp;$C292,盘货信息!$A:$A&amp;盘货信息!$B:$B&amp;盘货信息!$C:$C,盘货信息!$U:$U))</f>
        <v/>
      </c>
      <c r="M292" s="27" t="str" cm="1">
        <f t="array" ref="M292">IF(_xlfn.XLOOKUP($A292&amp;$B292&amp;$C292,盘货信息!$A:$A&amp;盘货信息!$B:$B&amp;盘货信息!$C:$C,盘货信息!$P:$P)="","","【限时】"&amp;_xlfn.XLOOKUP($A292&amp;$B292&amp;$C292,盘货信息!$A:$A&amp;盘货信息!$B:$B&amp;盘货信息!$C:$C,盘货信息!$P:$P))</f>
        <v/>
      </c>
      <c r="N292" s="27" t="str" cm="1">
        <f t="array" ref="N292">IF(_xlfn.XLOOKUP($A292&amp;$B292&amp;$C292,盘货信息!$A:$A&amp;盘货信息!$B:$B&amp;盘货信息!$C:$C,盘货信息!$V:$V)="","","【"&amp;盘货信息!$V$1&amp;"】"&amp;_xlfn.XLOOKUP($A292&amp;$B292&amp;$C292,盘货信息!$A:$A&amp;盘货信息!$B:$B&amp;盘货信息!$C:$C,盘货信息!$V:$V))</f>
        <v/>
      </c>
      <c r="O292" s="27" t="str" cm="1">
        <f t="array" ref="O292">IF(_xlfn.XLOOKUP($A292&amp;$B292&amp;$C292,盘货信息!$A:$A&amp;盘货信息!$B:$B&amp;盘货信息!$C:$C,盘货信息!$W:$W)="","","【"&amp;盘货信息!$W$1&amp;"】"&amp;_xlfn.XLOOKUP($A292&amp;$B292&amp;$C292,盘货信息!$A:$A&amp;盘货信息!$B:$B&amp;盘货信息!$C:$C,盘货信息!$W:$W))</f>
        <v/>
      </c>
      <c r="P292" s="27" t="str" cm="1">
        <f t="array" ref="P292">IF(_xlfn.XLOOKUP($A292&amp;$B292&amp;$C292,盘货信息!$A:$A&amp;盘货信息!$B:$B&amp;盘货信息!$C:$C,盘货信息!$S:$S)&lt;1,"","【"&amp;盘货信息!$S$1&amp;"】"&amp;"后返"&amp;_xlfn.XLOOKUP($A292&amp;$B292&amp;$C292,盘货信息!$A:$A&amp;盘货信息!$B:$B&amp;盘货信息!$C:$C,盘货信息!$S:$S)&amp;"元")</f>
        <v/>
      </c>
      <c r="Q292" s="27" t="str" cm="1">
        <f t="array" ref="Q292">IF(_xlfn.XLOOKUP($A292&amp;$B292&amp;$C292,盘货信息!$A:$A&amp;盘货信息!$B:$B&amp;盘货信息!$C:$C,盘货信息!$X:$X)="","","【"&amp;盘货信息!$X$1&amp;"】"&amp;_xlfn.XLOOKUP($A292&amp;$B292&amp;$C292,盘货信息!$A:$A&amp;盘货信息!$B:$B&amp;盘货信息!$C:$C,盘货信息!$X:$X))</f>
        <v/>
      </c>
      <c r="R292" s="27" t="str" cm="1">
        <f t="array" ref="R292">IF(_xlfn.XLOOKUP($A292&amp;$B292&amp;$C292,盘货信息!$A:$A&amp;盘货信息!$B:$B&amp;盘货信息!$C:$C,盘货信息!$Z:$Z)="","","【"&amp;盘货信息!$Z$1&amp;"】"&amp;_xlfn.XLOOKUP($A292&amp;$B292&amp;$C292,盘货信息!$A:$A&amp;盘货信息!$B:$B&amp;盘货信息!$C:$C,盘货信息!$Z:$Z))</f>
        <v/>
      </c>
      <c r="S292" s="27" t="str" cm="1">
        <f t="array" ref="S292">IF(_xlfn.XLOOKUP($A292&amp;$B292&amp;$C292,盘货信息!$A:$A&amp;盘货信息!$B:$B&amp;盘货信息!$C:$C,盘货信息!$Q:$Q)="","","【种草】站外带指定话题种草后返"&amp;_xlfn.XLOOKUP($A292&amp;$B292&amp;$C292,盘货信息!$A:$A&amp;盘货信息!$B:$B&amp;盘货信息!$C:$C,盘货信息!$Q:$Q)&amp;"元红包（每个淘宝账号仅限对应一个站外种草账号，同一个种草账号不可对应多个淘宝账号）")</f>
        <v/>
      </c>
      <c r="T292" s="27" t="str" cm="1">
        <f t="array" ref="T292">IF(_xlfn.XLOOKUP($A292&amp;$B292&amp;$C292,盘货信息!$A:$A&amp;盘货信息!$B:$B&amp;盘货信息!$C:$C,盘货信息!$R:$R)&lt;1,"","【以旧换新】"&amp;"享补贴"&amp;ROUND(_xlfn.XLOOKUP($A292&amp;$B292&amp;$C292,盘货信息!$A:$A&amp;盘货信息!$B:$B&amp;盘货信息!$C:$C,盘货信息!$R:$R),0)&amp;"元（可无旧机换新）")</f>
        <v/>
      </c>
      <c r="U292" s="27" t="str">
        <f>IF(AND($N292="",$O292="",$P292="",$Q292="",$R292="",$S292="",$T292=""),"",固定信息!$B$1)</f>
        <v/>
      </c>
      <c r="V292" s="27" t="str" cm="1">
        <f t="array" ref="V292">IF(_xlfn.XLOOKUP($A292&amp;$B292&amp;$C292,盘货信息!$A:$A&amp;盘货信息!$B:$B&amp;盘货信息!$C:$C,盘货信息!$Y:$Y)="","","【卡萨帝送赠】活动指定时间"&amp;_xlfn.TEXTBEFORE(_xlfn.TEXTAFTER(_xlfn.XLOOKUP($A292&amp;$B292&amp;$C292,盘货信息!$A:$A&amp;盘货信息!$B:$B&amp;盘货信息!$C:$C,盘货信息!$Y:$Y),"点"),"（"))</f>
        <v/>
      </c>
      <c r="W292" s="27" t="str" cm="1">
        <f t="array" ref="W292">IF(COUNTIF(_xlfn.XLOOKUP($A292&amp;$B292&amp;$C292,盘货信息!$A:$A&amp;盘货信息!$B:$B&amp;盘货信息!$C:$C,盘货信息!$O:$O),"*是*"),"【折扣】指定型号满2类享96折，满3类享94折","")</f>
        <v/>
      </c>
      <c r="X292" s="27" t="str" cm="1">
        <f t="array" ref="X292">IF(固定信息!$B$7="","",IF(_xlfn.XLOOKUP($A292&amp;$B292&amp;$C292,盘货信息!$A:$A&amp;盘货信息!$B:$B&amp;盘货信息!$C:$C,盘货信息!$N:$N)="是","【瓜分】"&amp;固定信息!$B$7,""))</f>
        <v/>
      </c>
      <c r="Y292" s="27" t="str">
        <f>IF(AND($V292="",$W292="",$X292=""),"",固定信息!$B$1)</f>
        <v/>
      </c>
      <c r="Z292" s="27" t="str" cm="1">
        <f t="array" ref="Z292">IF($C292="","",_xlfn.XLOOKUP($A292&amp;$B292&amp;$C292,服务!$A:$A&amp;服务!$B:$B&amp;服务!$C:$C,服务!$D:$D))</f>
        <v/>
      </c>
    </row>
    <row r="293" customHeight="1" spans="1:26">
      <c r="A293" s="23" t="str">
        <f>IF(盘货信息!A293="","",盘货信息!A293)</f>
        <v/>
      </c>
      <c r="B293" s="26" t="str">
        <f>IF(盘货信息!B293="","",盘货信息!B293)</f>
        <v/>
      </c>
      <c r="C293" s="23" t="str">
        <f>IF(盘货信息!C293="","",盘货信息!C293)</f>
        <v/>
      </c>
      <c r="D293" s="27" t="str">
        <f ca="1" t="shared" si="4"/>
        <v/>
      </c>
      <c r="E293" s="27" t="str">
        <f>IF(C293="","",固定信息!$B$2)</f>
        <v/>
      </c>
      <c r="F293" s="27" t="str">
        <f>IF(C293="","","【"&amp;C293&amp;"】"&amp;固定信息!$B$4)</f>
        <v/>
      </c>
      <c r="G293" s="27" t="str">
        <f>IF(C293="","","【"&amp;"活动时间："&amp;固定信息!$B$3&amp;"】")</f>
        <v/>
      </c>
      <c r="H293" s="27" t="str">
        <f>IF($C293="","",固定信息!$B$1)</f>
        <v/>
      </c>
      <c r="I293" s="27" t="str">
        <f>IF(OR(C293="",固定信息!$B$5=""),"","【1元预约锁好礼】"&amp;固定信息!$B$5)</f>
        <v/>
      </c>
      <c r="J293" s="27" t="str" cm="1">
        <f t="array" ref="J293">_xlfn.XLOOKUP($A293&amp;$B293&amp;$C293,价格信息!$A:$A&amp;价格信息!$B:$B&amp;价格信息!$C:$C,价格信息!$D:$D)</f>
        <v/>
      </c>
      <c r="K293" s="27" t="str">
        <f>IF($C293="","",固定信息!$B$1)</f>
        <v/>
      </c>
      <c r="L293" s="27" t="str" cm="1">
        <f t="array" ref="L293">IF(_xlfn.XLOOKUP($A293&amp;$B293&amp;$C293,盘货信息!$A:$A&amp;盘货信息!$B:$B&amp;盘货信息!$C:$C,盘货信息!$T:$T)="","","【优惠券】领"&amp;_xlfn.XLOOKUP($A293&amp;$B293&amp;$C293,盘货信息!$A:$A&amp;盘货信息!$B:$B&amp;盘货信息!$C:$C,盘货信息!$T:$T)&amp;"元优惠卷下单更优惠，领券链接："&amp;_xlfn.XLOOKUP($A293&amp;$B293&amp;$C293,盘货信息!$A:$A&amp;盘货信息!$B:$B&amp;盘货信息!$C:$C,盘货信息!$U:$U))</f>
        <v/>
      </c>
      <c r="M293" s="27" t="str" cm="1">
        <f t="array" ref="M293">IF(_xlfn.XLOOKUP($A293&amp;$B293&amp;$C293,盘货信息!$A:$A&amp;盘货信息!$B:$B&amp;盘货信息!$C:$C,盘货信息!$P:$P)="","","【限时】"&amp;_xlfn.XLOOKUP($A293&amp;$B293&amp;$C293,盘货信息!$A:$A&amp;盘货信息!$B:$B&amp;盘货信息!$C:$C,盘货信息!$P:$P))</f>
        <v/>
      </c>
      <c r="N293" s="27" t="str" cm="1">
        <f t="array" ref="N293">IF(_xlfn.XLOOKUP($A293&amp;$B293&amp;$C293,盘货信息!$A:$A&amp;盘货信息!$B:$B&amp;盘货信息!$C:$C,盘货信息!$V:$V)="","","【"&amp;盘货信息!$V$1&amp;"】"&amp;_xlfn.XLOOKUP($A293&amp;$B293&amp;$C293,盘货信息!$A:$A&amp;盘货信息!$B:$B&amp;盘货信息!$C:$C,盘货信息!$V:$V))</f>
        <v/>
      </c>
      <c r="O293" s="27" t="str" cm="1">
        <f t="array" ref="O293">IF(_xlfn.XLOOKUP($A293&amp;$B293&amp;$C293,盘货信息!$A:$A&amp;盘货信息!$B:$B&amp;盘货信息!$C:$C,盘货信息!$W:$W)="","","【"&amp;盘货信息!$W$1&amp;"】"&amp;_xlfn.XLOOKUP($A293&amp;$B293&amp;$C293,盘货信息!$A:$A&amp;盘货信息!$B:$B&amp;盘货信息!$C:$C,盘货信息!$W:$W))</f>
        <v/>
      </c>
      <c r="P293" s="27" t="str" cm="1">
        <f t="array" ref="P293">IF(_xlfn.XLOOKUP($A293&amp;$B293&amp;$C293,盘货信息!$A:$A&amp;盘货信息!$B:$B&amp;盘货信息!$C:$C,盘货信息!$S:$S)&lt;1,"","【"&amp;盘货信息!$S$1&amp;"】"&amp;"后返"&amp;_xlfn.XLOOKUP($A293&amp;$B293&amp;$C293,盘货信息!$A:$A&amp;盘货信息!$B:$B&amp;盘货信息!$C:$C,盘货信息!$S:$S)&amp;"元")</f>
        <v/>
      </c>
      <c r="Q293" s="27" t="str" cm="1">
        <f t="array" ref="Q293">IF(_xlfn.XLOOKUP($A293&amp;$B293&amp;$C293,盘货信息!$A:$A&amp;盘货信息!$B:$B&amp;盘货信息!$C:$C,盘货信息!$X:$X)="","","【"&amp;盘货信息!$X$1&amp;"】"&amp;_xlfn.XLOOKUP($A293&amp;$B293&amp;$C293,盘货信息!$A:$A&amp;盘货信息!$B:$B&amp;盘货信息!$C:$C,盘货信息!$X:$X))</f>
        <v/>
      </c>
      <c r="R293" s="27" t="str" cm="1">
        <f t="array" ref="R293">IF(_xlfn.XLOOKUP($A293&amp;$B293&amp;$C293,盘货信息!$A:$A&amp;盘货信息!$B:$B&amp;盘货信息!$C:$C,盘货信息!$Z:$Z)="","","【"&amp;盘货信息!$Z$1&amp;"】"&amp;_xlfn.XLOOKUP($A293&amp;$B293&amp;$C293,盘货信息!$A:$A&amp;盘货信息!$B:$B&amp;盘货信息!$C:$C,盘货信息!$Z:$Z))</f>
        <v/>
      </c>
      <c r="S293" s="27" t="str" cm="1">
        <f t="array" ref="S293">IF(_xlfn.XLOOKUP($A293&amp;$B293&amp;$C293,盘货信息!$A:$A&amp;盘货信息!$B:$B&amp;盘货信息!$C:$C,盘货信息!$Q:$Q)="","","【种草】站外带指定话题种草后返"&amp;_xlfn.XLOOKUP($A293&amp;$B293&amp;$C293,盘货信息!$A:$A&amp;盘货信息!$B:$B&amp;盘货信息!$C:$C,盘货信息!$Q:$Q)&amp;"元红包（每个淘宝账号仅限对应一个站外种草账号，同一个种草账号不可对应多个淘宝账号）")</f>
        <v/>
      </c>
      <c r="T293" s="27" t="str" cm="1">
        <f t="array" ref="T293">IF(_xlfn.XLOOKUP($A293&amp;$B293&amp;$C293,盘货信息!$A:$A&amp;盘货信息!$B:$B&amp;盘货信息!$C:$C,盘货信息!$R:$R)&lt;1,"","【以旧换新】"&amp;"享补贴"&amp;ROUND(_xlfn.XLOOKUP($A293&amp;$B293&amp;$C293,盘货信息!$A:$A&amp;盘货信息!$B:$B&amp;盘货信息!$C:$C,盘货信息!$R:$R),0)&amp;"元（可无旧机换新）")</f>
        <v/>
      </c>
      <c r="U293" s="27" t="str">
        <f>IF(AND($N293="",$O293="",$P293="",$Q293="",$R293="",$S293="",$T293=""),"",固定信息!$B$1)</f>
        <v/>
      </c>
      <c r="V293" s="27" t="str" cm="1">
        <f t="array" ref="V293">IF(_xlfn.XLOOKUP($A293&amp;$B293&amp;$C293,盘货信息!$A:$A&amp;盘货信息!$B:$B&amp;盘货信息!$C:$C,盘货信息!$Y:$Y)="","","【卡萨帝送赠】活动指定时间"&amp;_xlfn.TEXTBEFORE(_xlfn.TEXTAFTER(_xlfn.XLOOKUP($A293&amp;$B293&amp;$C293,盘货信息!$A:$A&amp;盘货信息!$B:$B&amp;盘货信息!$C:$C,盘货信息!$Y:$Y),"点"),"（"))</f>
        <v/>
      </c>
      <c r="W293" s="27" t="str" cm="1">
        <f t="array" ref="W293">IF(COUNTIF(_xlfn.XLOOKUP($A293&amp;$B293&amp;$C293,盘货信息!$A:$A&amp;盘货信息!$B:$B&amp;盘货信息!$C:$C,盘货信息!$O:$O),"*是*"),"【折扣】指定型号满2类享96折，满3类享94折","")</f>
        <v/>
      </c>
      <c r="X293" s="27" t="str" cm="1">
        <f t="array" ref="X293">IF(固定信息!$B$7="","",IF(_xlfn.XLOOKUP($A293&amp;$B293&amp;$C293,盘货信息!$A:$A&amp;盘货信息!$B:$B&amp;盘货信息!$C:$C,盘货信息!$N:$N)="是","【瓜分】"&amp;固定信息!$B$7,""))</f>
        <v/>
      </c>
      <c r="Y293" s="27" t="str">
        <f>IF(AND($V293="",$W293="",$X293=""),"",固定信息!$B$1)</f>
        <v/>
      </c>
      <c r="Z293" s="27" t="str" cm="1">
        <f t="array" ref="Z293">IF($C293="","",_xlfn.XLOOKUP($A293&amp;$B293&amp;$C293,服务!$A:$A&amp;服务!$B:$B&amp;服务!$C:$C,服务!$D:$D))</f>
        <v/>
      </c>
    </row>
    <row r="294" customHeight="1" spans="1:26">
      <c r="A294" s="23" t="str">
        <f>IF(盘货信息!A294="","",盘货信息!A294)</f>
        <v/>
      </c>
      <c r="B294" s="26" t="str">
        <f>IF(盘货信息!B294="","",盘货信息!B294)</f>
        <v/>
      </c>
      <c r="C294" s="23" t="str">
        <f>IF(盘货信息!C294="","",盘货信息!C294)</f>
        <v/>
      </c>
      <c r="D294" s="27" t="str">
        <f ca="1" t="shared" si="4"/>
        <v/>
      </c>
      <c r="E294" s="27" t="str">
        <f>IF(C294="","",固定信息!$B$2)</f>
        <v/>
      </c>
      <c r="F294" s="27" t="str">
        <f>IF(C294="","","【"&amp;C294&amp;"】"&amp;固定信息!$B$4)</f>
        <v/>
      </c>
      <c r="G294" s="27" t="str">
        <f>IF(C294="","","【"&amp;"活动时间："&amp;固定信息!$B$3&amp;"】")</f>
        <v/>
      </c>
      <c r="H294" s="27" t="str">
        <f>IF($C294="","",固定信息!$B$1)</f>
        <v/>
      </c>
      <c r="I294" s="27" t="str">
        <f>IF(OR(C294="",固定信息!$B$5=""),"","【1元预约锁好礼】"&amp;固定信息!$B$5)</f>
        <v/>
      </c>
      <c r="J294" s="27" t="str" cm="1">
        <f t="array" ref="J294">_xlfn.XLOOKUP($A294&amp;$B294&amp;$C294,价格信息!$A:$A&amp;价格信息!$B:$B&amp;价格信息!$C:$C,价格信息!$D:$D)</f>
        <v/>
      </c>
      <c r="K294" s="27" t="str">
        <f>IF($C294="","",固定信息!$B$1)</f>
        <v/>
      </c>
      <c r="L294" s="27" t="str" cm="1">
        <f t="array" ref="L294">IF(_xlfn.XLOOKUP($A294&amp;$B294&amp;$C294,盘货信息!$A:$A&amp;盘货信息!$B:$B&amp;盘货信息!$C:$C,盘货信息!$T:$T)="","","【优惠券】领"&amp;_xlfn.XLOOKUP($A294&amp;$B294&amp;$C294,盘货信息!$A:$A&amp;盘货信息!$B:$B&amp;盘货信息!$C:$C,盘货信息!$T:$T)&amp;"元优惠卷下单更优惠，领券链接："&amp;_xlfn.XLOOKUP($A294&amp;$B294&amp;$C294,盘货信息!$A:$A&amp;盘货信息!$B:$B&amp;盘货信息!$C:$C,盘货信息!$U:$U))</f>
        <v/>
      </c>
      <c r="M294" s="27" t="str" cm="1">
        <f t="array" ref="M294">IF(_xlfn.XLOOKUP($A294&amp;$B294&amp;$C294,盘货信息!$A:$A&amp;盘货信息!$B:$B&amp;盘货信息!$C:$C,盘货信息!$P:$P)="","","【限时】"&amp;_xlfn.XLOOKUP($A294&amp;$B294&amp;$C294,盘货信息!$A:$A&amp;盘货信息!$B:$B&amp;盘货信息!$C:$C,盘货信息!$P:$P))</f>
        <v/>
      </c>
      <c r="N294" s="27" t="str" cm="1">
        <f t="array" ref="N294">IF(_xlfn.XLOOKUP($A294&amp;$B294&amp;$C294,盘货信息!$A:$A&amp;盘货信息!$B:$B&amp;盘货信息!$C:$C,盘货信息!$V:$V)="","","【"&amp;盘货信息!$V$1&amp;"】"&amp;_xlfn.XLOOKUP($A294&amp;$B294&amp;$C294,盘货信息!$A:$A&amp;盘货信息!$B:$B&amp;盘货信息!$C:$C,盘货信息!$V:$V))</f>
        <v/>
      </c>
      <c r="O294" s="27" t="str" cm="1">
        <f t="array" ref="O294">IF(_xlfn.XLOOKUP($A294&amp;$B294&amp;$C294,盘货信息!$A:$A&amp;盘货信息!$B:$B&amp;盘货信息!$C:$C,盘货信息!$W:$W)="","","【"&amp;盘货信息!$W$1&amp;"】"&amp;_xlfn.XLOOKUP($A294&amp;$B294&amp;$C294,盘货信息!$A:$A&amp;盘货信息!$B:$B&amp;盘货信息!$C:$C,盘货信息!$W:$W))</f>
        <v/>
      </c>
      <c r="P294" s="27" t="str" cm="1">
        <f t="array" ref="P294">IF(_xlfn.XLOOKUP($A294&amp;$B294&amp;$C294,盘货信息!$A:$A&amp;盘货信息!$B:$B&amp;盘货信息!$C:$C,盘货信息!$S:$S)&lt;1,"","【"&amp;盘货信息!$S$1&amp;"】"&amp;"后返"&amp;_xlfn.XLOOKUP($A294&amp;$B294&amp;$C294,盘货信息!$A:$A&amp;盘货信息!$B:$B&amp;盘货信息!$C:$C,盘货信息!$S:$S)&amp;"元")</f>
        <v/>
      </c>
      <c r="Q294" s="27" t="str" cm="1">
        <f t="array" ref="Q294">IF(_xlfn.XLOOKUP($A294&amp;$B294&amp;$C294,盘货信息!$A:$A&amp;盘货信息!$B:$B&amp;盘货信息!$C:$C,盘货信息!$X:$X)="","","【"&amp;盘货信息!$X$1&amp;"】"&amp;_xlfn.XLOOKUP($A294&amp;$B294&amp;$C294,盘货信息!$A:$A&amp;盘货信息!$B:$B&amp;盘货信息!$C:$C,盘货信息!$X:$X))</f>
        <v/>
      </c>
      <c r="R294" s="27" t="str" cm="1">
        <f t="array" ref="R294">IF(_xlfn.XLOOKUP($A294&amp;$B294&amp;$C294,盘货信息!$A:$A&amp;盘货信息!$B:$B&amp;盘货信息!$C:$C,盘货信息!$Z:$Z)="","","【"&amp;盘货信息!$Z$1&amp;"】"&amp;_xlfn.XLOOKUP($A294&amp;$B294&amp;$C294,盘货信息!$A:$A&amp;盘货信息!$B:$B&amp;盘货信息!$C:$C,盘货信息!$Z:$Z))</f>
        <v/>
      </c>
      <c r="S294" s="27" t="str" cm="1">
        <f t="array" ref="S294">IF(_xlfn.XLOOKUP($A294&amp;$B294&amp;$C294,盘货信息!$A:$A&amp;盘货信息!$B:$B&amp;盘货信息!$C:$C,盘货信息!$Q:$Q)="","","【种草】站外带指定话题种草后返"&amp;_xlfn.XLOOKUP($A294&amp;$B294&amp;$C294,盘货信息!$A:$A&amp;盘货信息!$B:$B&amp;盘货信息!$C:$C,盘货信息!$Q:$Q)&amp;"元红包（每个淘宝账号仅限对应一个站外种草账号，同一个种草账号不可对应多个淘宝账号）")</f>
        <v/>
      </c>
      <c r="T294" s="27" t="str" cm="1">
        <f t="array" ref="T294">IF(_xlfn.XLOOKUP($A294&amp;$B294&amp;$C294,盘货信息!$A:$A&amp;盘货信息!$B:$B&amp;盘货信息!$C:$C,盘货信息!$R:$R)&lt;1,"","【以旧换新】"&amp;"享补贴"&amp;ROUND(_xlfn.XLOOKUP($A294&amp;$B294&amp;$C294,盘货信息!$A:$A&amp;盘货信息!$B:$B&amp;盘货信息!$C:$C,盘货信息!$R:$R),0)&amp;"元（可无旧机换新）")</f>
        <v/>
      </c>
      <c r="U294" s="27" t="str">
        <f>IF(AND($N294="",$O294="",$P294="",$Q294="",$R294="",$S294="",$T294=""),"",固定信息!$B$1)</f>
        <v/>
      </c>
      <c r="V294" s="27" t="str" cm="1">
        <f t="array" ref="V294">IF(_xlfn.XLOOKUP($A294&amp;$B294&amp;$C294,盘货信息!$A:$A&amp;盘货信息!$B:$B&amp;盘货信息!$C:$C,盘货信息!$Y:$Y)="","","【卡萨帝送赠】活动指定时间"&amp;_xlfn.TEXTBEFORE(_xlfn.TEXTAFTER(_xlfn.XLOOKUP($A294&amp;$B294&amp;$C294,盘货信息!$A:$A&amp;盘货信息!$B:$B&amp;盘货信息!$C:$C,盘货信息!$Y:$Y),"点"),"（"))</f>
        <v/>
      </c>
      <c r="W294" s="27" t="str" cm="1">
        <f t="array" ref="W294">IF(COUNTIF(_xlfn.XLOOKUP($A294&amp;$B294&amp;$C294,盘货信息!$A:$A&amp;盘货信息!$B:$B&amp;盘货信息!$C:$C,盘货信息!$O:$O),"*是*"),"【折扣】指定型号满2类享96折，满3类享94折","")</f>
        <v/>
      </c>
      <c r="X294" s="27" t="str" cm="1">
        <f t="array" ref="X294">IF(固定信息!$B$7="","",IF(_xlfn.XLOOKUP($A294&amp;$B294&amp;$C294,盘货信息!$A:$A&amp;盘货信息!$B:$B&amp;盘货信息!$C:$C,盘货信息!$N:$N)="是","【瓜分】"&amp;固定信息!$B$7,""))</f>
        <v/>
      </c>
      <c r="Y294" s="27" t="str">
        <f>IF(AND($V294="",$W294="",$X294=""),"",固定信息!$B$1)</f>
        <v/>
      </c>
      <c r="Z294" s="27" t="str" cm="1">
        <f t="array" ref="Z294">IF($C294="","",_xlfn.XLOOKUP($A294&amp;$B294&amp;$C294,服务!$A:$A&amp;服务!$B:$B&amp;服务!$C:$C,服务!$D:$D))</f>
        <v/>
      </c>
    </row>
    <row r="295" customHeight="1" spans="1:26">
      <c r="A295" s="23" t="str">
        <f>IF(盘货信息!A295="","",盘货信息!A295)</f>
        <v/>
      </c>
      <c r="B295" s="26" t="str">
        <f>IF(盘货信息!B295="","",盘货信息!B295)</f>
        <v/>
      </c>
      <c r="C295" s="23" t="str">
        <f>IF(盘货信息!C295="","",盘货信息!C295)</f>
        <v/>
      </c>
      <c r="D295" s="27" t="str">
        <f ca="1" t="shared" si="4"/>
        <v/>
      </c>
      <c r="E295" s="27" t="str">
        <f>IF(C295="","",固定信息!$B$2)</f>
        <v/>
      </c>
      <c r="F295" s="27" t="str">
        <f>IF(C295="","","【"&amp;C295&amp;"】"&amp;固定信息!$B$4)</f>
        <v/>
      </c>
      <c r="G295" s="27" t="str">
        <f>IF(C295="","","【"&amp;"活动时间："&amp;固定信息!$B$3&amp;"】")</f>
        <v/>
      </c>
      <c r="H295" s="27" t="str">
        <f>IF($C295="","",固定信息!$B$1)</f>
        <v/>
      </c>
      <c r="I295" s="27" t="str">
        <f>IF(OR(C295="",固定信息!$B$5=""),"","【1元预约锁好礼】"&amp;固定信息!$B$5)</f>
        <v/>
      </c>
      <c r="J295" s="27" t="str" cm="1">
        <f t="array" ref="J295">_xlfn.XLOOKUP($A295&amp;$B295&amp;$C295,价格信息!$A:$A&amp;价格信息!$B:$B&amp;价格信息!$C:$C,价格信息!$D:$D)</f>
        <v/>
      </c>
      <c r="K295" s="27" t="str">
        <f>IF($C295="","",固定信息!$B$1)</f>
        <v/>
      </c>
      <c r="L295" s="27" t="str" cm="1">
        <f t="array" ref="L295">IF(_xlfn.XLOOKUP($A295&amp;$B295&amp;$C295,盘货信息!$A:$A&amp;盘货信息!$B:$B&amp;盘货信息!$C:$C,盘货信息!$T:$T)="","","【优惠券】领"&amp;_xlfn.XLOOKUP($A295&amp;$B295&amp;$C295,盘货信息!$A:$A&amp;盘货信息!$B:$B&amp;盘货信息!$C:$C,盘货信息!$T:$T)&amp;"元优惠卷下单更优惠，领券链接："&amp;_xlfn.XLOOKUP($A295&amp;$B295&amp;$C295,盘货信息!$A:$A&amp;盘货信息!$B:$B&amp;盘货信息!$C:$C,盘货信息!$U:$U))</f>
        <v/>
      </c>
      <c r="M295" s="27" t="str" cm="1">
        <f t="array" ref="M295">IF(_xlfn.XLOOKUP($A295&amp;$B295&amp;$C295,盘货信息!$A:$A&amp;盘货信息!$B:$B&amp;盘货信息!$C:$C,盘货信息!$P:$P)="","","【限时】"&amp;_xlfn.XLOOKUP($A295&amp;$B295&amp;$C295,盘货信息!$A:$A&amp;盘货信息!$B:$B&amp;盘货信息!$C:$C,盘货信息!$P:$P))</f>
        <v/>
      </c>
      <c r="N295" s="27" t="str" cm="1">
        <f t="array" ref="N295">IF(_xlfn.XLOOKUP($A295&amp;$B295&amp;$C295,盘货信息!$A:$A&amp;盘货信息!$B:$B&amp;盘货信息!$C:$C,盘货信息!$V:$V)="","","【"&amp;盘货信息!$V$1&amp;"】"&amp;_xlfn.XLOOKUP($A295&amp;$B295&amp;$C295,盘货信息!$A:$A&amp;盘货信息!$B:$B&amp;盘货信息!$C:$C,盘货信息!$V:$V))</f>
        <v/>
      </c>
      <c r="O295" s="27" t="str" cm="1">
        <f t="array" ref="O295">IF(_xlfn.XLOOKUP($A295&amp;$B295&amp;$C295,盘货信息!$A:$A&amp;盘货信息!$B:$B&amp;盘货信息!$C:$C,盘货信息!$W:$W)="","","【"&amp;盘货信息!$W$1&amp;"】"&amp;_xlfn.XLOOKUP($A295&amp;$B295&amp;$C295,盘货信息!$A:$A&amp;盘货信息!$B:$B&amp;盘货信息!$C:$C,盘货信息!$W:$W))</f>
        <v/>
      </c>
      <c r="P295" s="27" t="str" cm="1">
        <f t="array" ref="P295">IF(_xlfn.XLOOKUP($A295&amp;$B295&amp;$C295,盘货信息!$A:$A&amp;盘货信息!$B:$B&amp;盘货信息!$C:$C,盘货信息!$S:$S)&lt;1,"","【"&amp;盘货信息!$S$1&amp;"】"&amp;"后返"&amp;_xlfn.XLOOKUP($A295&amp;$B295&amp;$C295,盘货信息!$A:$A&amp;盘货信息!$B:$B&amp;盘货信息!$C:$C,盘货信息!$S:$S)&amp;"元")</f>
        <v/>
      </c>
      <c r="Q295" s="27" t="str" cm="1">
        <f t="array" ref="Q295">IF(_xlfn.XLOOKUP($A295&amp;$B295&amp;$C295,盘货信息!$A:$A&amp;盘货信息!$B:$B&amp;盘货信息!$C:$C,盘货信息!$X:$X)="","","【"&amp;盘货信息!$X$1&amp;"】"&amp;_xlfn.XLOOKUP($A295&amp;$B295&amp;$C295,盘货信息!$A:$A&amp;盘货信息!$B:$B&amp;盘货信息!$C:$C,盘货信息!$X:$X))</f>
        <v/>
      </c>
      <c r="R295" s="27" t="str" cm="1">
        <f t="array" ref="R295">IF(_xlfn.XLOOKUP($A295&amp;$B295&amp;$C295,盘货信息!$A:$A&amp;盘货信息!$B:$B&amp;盘货信息!$C:$C,盘货信息!$Z:$Z)="","","【"&amp;盘货信息!$Z$1&amp;"】"&amp;_xlfn.XLOOKUP($A295&amp;$B295&amp;$C295,盘货信息!$A:$A&amp;盘货信息!$B:$B&amp;盘货信息!$C:$C,盘货信息!$Z:$Z))</f>
        <v/>
      </c>
      <c r="S295" s="27" t="str" cm="1">
        <f t="array" ref="S295">IF(_xlfn.XLOOKUP($A295&amp;$B295&amp;$C295,盘货信息!$A:$A&amp;盘货信息!$B:$B&amp;盘货信息!$C:$C,盘货信息!$Q:$Q)="","","【种草】站外带指定话题种草后返"&amp;_xlfn.XLOOKUP($A295&amp;$B295&amp;$C295,盘货信息!$A:$A&amp;盘货信息!$B:$B&amp;盘货信息!$C:$C,盘货信息!$Q:$Q)&amp;"元红包（每个淘宝账号仅限对应一个站外种草账号，同一个种草账号不可对应多个淘宝账号）")</f>
        <v/>
      </c>
      <c r="T295" s="27" t="str" cm="1">
        <f t="array" ref="T295">IF(_xlfn.XLOOKUP($A295&amp;$B295&amp;$C295,盘货信息!$A:$A&amp;盘货信息!$B:$B&amp;盘货信息!$C:$C,盘货信息!$R:$R)&lt;1,"","【以旧换新】"&amp;"享补贴"&amp;ROUND(_xlfn.XLOOKUP($A295&amp;$B295&amp;$C295,盘货信息!$A:$A&amp;盘货信息!$B:$B&amp;盘货信息!$C:$C,盘货信息!$R:$R),0)&amp;"元（可无旧机换新）")</f>
        <v/>
      </c>
      <c r="U295" s="27" t="str">
        <f>IF(AND($N295="",$O295="",$P295="",$Q295="",$R295="",$S295="",$T295=""),"",固定信息!$B$1)</f>
        <v/>
      </c>
      <c r="V295" s="27" t="str" cm="1">
        <f t="array" ref="V295">IF(_xlfn.XLOOKUP($A295&amp;$B295&amp;$C295,盘货信息!$A:$A&amp;盘货信息!$B:$B&amp;盘货信息!$C:$C,盘货信息!$Y:$Y)="","","【卡萨帝送赠】活动指定时间"&amp;_xlfn.TEXTBEFORE(_xlfn.TEXTAFTER(_xlfn.XLOOKUP($A295&amp;$B295&amp;$C295,盘货信息!$A:$A&amp;盘货信息!$B:$B&amp;盘货信息!$C:$C,盘货信息!$Y:$Y),"点"),"（"))</f>
        <v/>
      </c>
      <c r="W295" s="27" t="str" cm="1">
        <f t="array" ref="W295">IF(COUNTIF(_xlfn.XLOOKUP($A295&amp;$B295&amp;$C295,盘货信息!$A:$A&amp;盘货信息!$B:$B&amp;盘货信息!$C:$C,盘货信息!$O:$O),"*是*"),"【折扣】指定型号满2类享96折，满3类享94折","")</f>
        <v/>
      </c>
      <c r="X295" s="27" t="str" cm="1">
        <f t="array" ref="X295">IF(固定信息!$B$7="","",IF(_xlfn.XLOOKUP($A295&amp;$B295&amp;$C295,盘货信息!$A:$A&amp;盘货信息!$B:$B&amp;盘货信息!$C:$C,盘货信息!$N:$N)="是","【瓜分】"&amp;固定信息!$B$7,""))</f>
        <v/>
      </c>
      <c r="Y295" s="27" t="str">
        <f>IF(AND($V295="",$W295="",$X295=""),"",固定信息!$B$1)</f>
        <v/>
      </c>
      <c r="Z295" s="27" t="str" cm="1">
        <f t="array" ref="Z295">IF($C295="","",_xlfn.XLOOKUP($A295&amp;$B295&amp;$C295,服务!$A:$A&amp;服务!$B:$B&amp;服务!$C:$C,服务!$D:$D))</f>
        <v/>
      </c>
    </row>
    <row r="296" customHeight="1" spans="1:26">
      <c r="A296" s="23" t="str">
        <f>IF(盘货信息!A296="","",盘货信息!A296)</f>
        <v/>
      </c>
      <c r="B296" s="26" t="str">
        <f>IF(盘货信息!B296="","",盘货信息!B296)</f>
        <v/>
      </c>
      <c r="C296" s="23" t="str">
        <f>IF(盘货信息!C296="","",盘货信息!C296)</f>
        <v/>
      </c>
      <c r="D296" s="27" t="str">
        <f ca="1" t="shared" si="4"/>
        <v/>
      </c>
      <c r="E296" s="27" t="str">
        <f>IF(C296="","",固定信息!$B$2)</f>
        <v/>
      </c>
      <c r="F296" s="27" t="str">
        <f>IF(C296="","","【"&amp;C296&amp;"】"&amp;固定信息!$B$4)</f>
        <v/>
      </c>
      <c r="G296" s="27" t="str">
        <f>IF(C296="","","【"&amp;"活动时间："&amp;固定信息!$B$3&amp;"】")</f>
        <v/>
      </c>
      <c r="H296" s="27" t="str">
        <f>IF($C296="","",固定信息!$B$1)</f>
        <v/>
      </c>
      <c r="I296" s="27" t="str">
        <f>IF(OR(C296="",固定信息!$B$5=""),"","【1元预约锁好礼】"&amp;固定信息!$B$5)</f>
        <v/>
      </c>
      <c r="J296" s="27" t="str" cm="1">
        <f t="array" ref="J296">_xlfn.XLOOKUP($A296&amp;$B296&amp;$C296,价格信息!$A:$A&amp;价格信息!$B:$B&amp;价格信息!$C:$C,价格信息!$D:$D)</f>
        <v/>
      </c>
      <c r="K296" s="27" t="str">
        <f>IF($C296="","",固定信息!$B$1)</f>
        <v/>
      </c>
      <c r="L296" s="27" t="str" cm="1">
        <f t="array" ref="L296">IF(_xlfn.XLOOKUP($A296&amp;$B296&amp;$C296,盘货信息!$A:$A&amp;盘货信息!$B:$B&amp;盘货信息!$C:$C,盘货信息!$T:$T)="","","【优惠券】领"&amp;_xlfn.XLOOKUP($A296&amp;$B296&amp;$C296,盘货信息!$A:$A&amp;盘货信息!$B:$B&amp;盘货信息!$C:$C,盘货信息!$T:$T)&amp;"元优惠卷下单更优惠，领券链接："&amp;_xlfn.XLOOKUP($A296&amp;$B296&amp;$C296,盘货信息!$A:$A&amp;盘货信息!$B:$B&amp;盘货信息!$C:$C,盘货信息!$U:$U))</f>
        <v/>
      </c>
      <c r="M296" s="27" t="str" cm="1">
        <f t="array" ref="M296">IF(_xlfn.XLOOKUP($A296&amp;$B296&amp;$C296,盘货信息!$A:$A&amp;盘货信息!$B:$B&amp;盘货信息!$C:$C,盘货信息!$P:$P)="","","【限时】"&amp;_xlfn.XLOOKUP($A296&amp;$B296&amp;$C296,盘货信息!$A:$A&amp;盘货信息!$B:$B&amp;盘货信息!$C:$C,盘货信息!$P:$P))</f>
        <v/>
      </c>
      <c r="N296" s="27" t="str" cm="1">
        <f t="array" ref="N296">IF(_xlfn.XLOOKUP($A296&amp;$B296&amp;$C296,盘货信息!$A:$A&amp;盘货信息!$B:$B&amp;盘货信息!$C:$C,盘货信息!$V:$V)="","","【"&amp;盘货信息!$V$1&amp;"】"&amp;_xlfn.XLOOKUP($A296&amp;$B296&amp;$C296,盘货信息!$A:$A&amp;盘货信息!$B:$B&amp;盘货信息!$C:$C,盘货信息!$V:$V))</f>
        <v/>
      </c>
      <c r="O296" s="27" t="str" cm="1">
        <f t="array" ref="O296">IF(_xlfn.XLOOKUP($A296&amp;$B296&amp;$C296,盘货信息!$A:$A&amp;盘货信息!$B:$B&amp;盘货信息!$C:$C,盘货信息!$W:$W)="","","【"&amp;盘货信息!$W$1&amp;"】"&amp;_xlfn.XLOOKUP($A296&amp;$B296&amp;$C296,盘货信息!$A:$A&amp;盘货信息!$B:$B&amp;盘货信息!$C:$C,盘货信息!$W:$W))</f>
        <v/>
      </c>
      <c r="P296" s="27" t="str" cm="1">
        <f t="array" ref="P296">IF(_xlfn.XLOOKUP($A296&amp;$B296&amp;$C296,盘货信息!$A:$A&amp;盘货信息!$B:$B&amp;盘货信息!$C:$C,盘货信息!$S:$S)&lt;1,"","【"&amp;盘货信息!$S$1&amp;"】"&amp;"后返"&amp;_xlfn.XLOOKUP($A296&amp;$B296&amp;$C296,盘货信息!$A:$A&amp;盘货信息!$B:$B&amp;盘货信息!$C:$C,盘货信息!$S:$S)&amp;"元")</f>
        <v/>
      </c>
      <c r="Q296" s="27" t="str" cm="1">
        <f t="array" ref="Q296">IF(_xlfn.XLOOKUP($A296&amp;$B296&amp;$C296,盘货信息!$A:$A&amp;盘货信息!$B:$B&amp;盘货信息!$C:$C,盘货信息!$X:$X)="","","【"&amp;盘货信息!$X$1&amp;"】"&amp;_xlfn.XLOOKUP($A296&amp;$B296&amp;$C296,盘货信息!$A:$A&amp;盘货信息!$B:$B&amp;盘货信息!$C:$C,盘货信息!$X:$X))</f>
        <v/>
      </c>
      <c r="R296" s="27" t="str" cm="1">
        <f t="array" ref="R296">IF(_xlfn.XLOOKUP($A296&amp;$B296&amp;$C296,盘货信息!$A:$A&amp;盘货信息!$B:$B&amp;盘货信息!$C:$C,盘货信息!$Z:$Z)="","","【"&amp;盘货信息!$Z$1&amp;"】"&amp;_xlfn.XLOOKUP($A296&amp;$B296&amp;$C296,盘货信息!$A:$A&amp;盘货信息!$B:$B&amp;盘货信息!$C:$C,盘货信息!$Z:$Z))</f>
        <v/>
      </c>
      <c r="S296" s="27" t="str" cm="1">
        <f t="array" ref="S296">IF(_xlfn.XLOOKUP($A296&amp;$B296&amp;$C296,盘货信息!$A:$A&amp;盘货信息!$B:$B&amp;盘货信息!$C:$C,盘货信息!$Q:$Q)="","","【种草】站外带指定话题种草后返"&amp;_xlfn.XLOOKUP($A296&amp;$B296&amp;$C296,盘货信息!$A:$A&amp;盘货信息!$B:$B&amp;盘货信息!$C:$C,盘货信息!$Q:$Q)&amp;"元红包（每个淘宝账号仅限对应一个站外种草账号，同一个种草账号不可对应多个淘宝账号）")</f>
        <v/>
      </c>
      <c r="T296" s="27" t="str" cm="1">
        <f t="array" ref="T296">IF(_xlfn.XLOOKUP($A296&amp;$B296&amp;$C296,盘货信息!$A:$A&amp;盘货信息!$B:$B&amp;盘货信息!$C:$C,盘货信息!$R:$R)&lt;1,"","【以旧换新】"&amp;"享补贴"&amp;ROUND(_xlfn.XLOOKUP($A296&amp;$B296&amp;$C296,盘货信息!$A:$A&amp;盘货信息!$B:$B&amp;盘货信息!$C:$C,盘货信息!$R:$R),0)&amp;"元（可无旧机换新）")</f>
        <v/>
      </c>
      <c r="U296" s="27" t="str">
        <f>IF(AND($N296="",$O296="",$P296="",$Q296="",$R296="",$S296="",$T296=""),"",固定信息!$B$1)</f>
        <v/>
      </c>
      <c r="V296" s="27" t="str" cm="1">
        <f t="array" ref="V296">IF(_xlfn.XLOOKUP($A296&amp;$B296&amp;$C296,盘货信息!$A:$A&amp;盘货信息!$B:$B&amp;盘货信息!$C:$C,盘货信息!$Y:$Y)="","","【卡萨帝送赠】活动指定时间"&amp;_xlfn.TEXTBEFORE(_xlfn.TEXTAFTER(_xlfn.XLOOKUP($A296&amp;$B296&amp;$C296,盘货信息!$A:$A&amp;盘货信息!$B:$B&amp;盘货信息!$C:$C,盘货信息!$Y:$Y),"点"),"（"))</f>
        <v/>
      </c>
      <c r="W296" s="27" t="str" cm="1">
        <f t="array" ref="W296">IF(COUNTIF(_xlfn.XLOOKUP($A296&amp;$B296&amp;$C296,盘货信息!$A:$A&amp;盘货信息!$B:$B&amp;盘货信息!$C:$C,盘货信息!$O:$O),"*是*"),"【折扣】指定型号满2类享96折，满3类享94折","")</f>
        <v/>
      </c>
      <c r="X296" s="27" t="str" cm="1">
        <f t="array" ref="X296">IF(固定信息!$B$7="","",IF(_xlfn.XLOOKUP($A296&amp;$B296&amp;$C296,盘货信息!$A:$A&amp;盘货信息!$B:$B&amp;盘货信息!$C:$C,盘货信息!$N:$N)="是","【瓜分】"&amp;固定信息!$B$7,""))</f>
        <v/>
      </c>
      <c r="Y296" s="27" t="str">
        <f>IF(AND($V296="",$W296="",$X296=""),"",固定信息!$B$1)</f>
        <v/>
      </c>
      <c r="Z296" s="27" t="str" cm="1">
        <f t="array" ref="Z296">IF($C296="","",_xlfn.XLOOKUP($A296&amp;$B296&amp;$C296,服务!$A:$A&amp;服务!$B:$B&amp;服务!$C:$C,服务!$D:$D))</f>
        <v/>
      </c>
    </row>
    <row r="297" customHeight="1" spans="1:26">
      <c r="A297" s="23" t="str">
        <f>IF(盘货信息!A297="","",盘货信息!A297)</f>
        <v/>
      </c>
      <c r="B297" s="26" t="str">
        <f>IF(盘货信息!B297="","",盘货信息!B297)</f>
        <v/>
      </c>
      <c r="C297" s="23" t="str">
        <f>IF(盘货信息!C297="","",盘货信息!C297)</f>
        <v/>
      </c>
      <c r="D297" s="27" t="str">
        <f ca="1" t="shared" si="4"/>
        <v/>
      </c>
      <c r="E297" s="27" t="str">
        <f>IF(C297="","",固定信息!$B$2)</f>
        <v/>
      </c>
      <c r="F297" s="27" t="str">
        <f>IF(C297="","","【"&amp;C297&amp;"】"&amp;固定信息!$B$4)</f>
        <v/>
      </c>
      <c r="G297" s="27" t="str">
        <f>IF(C297="","","【"&amp;"活动时间："&amp;固定信息!$B$3&amp;"】")</f>
        <v/>
      </c>
      <c r="H297" s="27" t="str">
        <f>IF($C297="","",固定信息!$B$1)</f>
        <v/>
      </c>
      <c r="I297" s="27" t="str">
        <f>IF(OR(C297="",固定信息!$B$5=""),"","【1元预约锁好礼】"&amp;固定信息!$B$5)</f>
        <v/>
      </c>
      <c r="J297" s="27" t="str" cm="1">
        <f t="array" ref="J297">_xlfn.XLOOKUP($A297&amp;$B297&amp;$C297,价格信息!$A:$A&amp;价格信息!$B:$B&amp;价格信息!$C:$C,价格信息!$D:$D)</f>
        <v/>
      </c>
      <c r="K297" s="27" t="str">
        <f>IF($C297="","",固定信息!$B$1)</f>
        <v/>
      </c>
      <c r="L297" s="27" t="str" cm="1">
        <f t="array" ref="L297">IF(_xlfn.XLOOKUP($A297&amp;$B297&amp;$C297,盘货信息!$A:$A&amp;盘货信息!$B:$B&amp;盘货信息!$C:$C,盘货信息!$T:$T)="","","【优惠券】领"&amp;_xlfn.XLOOKUP($A297&amp;$B297&amp;$C297,盘货信息!$A:$A&amp;盘货信息!$B:$B&amp;盘货信息!$C:$C,盘货信息!$T:$T)&amp;"元优惠卷下单更优惠，领券链接："&amp;_xlfn.XLOOKUP($A297&amp;$B297&amp;$C297,盘货信息!$A:$A&amp;盘货信息!$B:$B&amp;盘货信息!$C:$C,盘货信息!$U:$U))</f>
        <v/>
      </c>
      <c r="M297" s="27" t="str" cm="1">
        <f t="array" ref="M297">IF(_xlfn.XLOOKUP($A297&amp;$B297&amp;$C297,盘货信息!$A:$A&amp;盘货信息!$B:$B&amp;盘货信息!$C:$C,盘货信息!$P:$P)="","","【限时】"&amp;_xlfn.XLOOKUP($A297&amp;$B297&amp;$C297,盘货信息!$A:$A&amp;盘货信息!$B:$B&amp;盘货信息!$C:$C,盘货信息!$P:$P))</f>
        <v/>
      </c>
      <c r="N297" s="27" t="str" cm="1">
        <f t="array" ref="N297">IF(_xlfn.XLOOKUP($A297&amp;$B297&amp;$C297,盘货信息!$A:$A&amp;盘货信息!$B:$B&amp;盘货信息!$C:$C,盘货信息!$V:$V)="","","【"&amp;盘货信息!$V$1&amp;"】"&amp;_xlfn.XLOOKUP($A297&amp;$B297&amp;$C297,盘货信息!$A:$A&amp;盘货信息!$B:$B&amp;盘货信息!$C:$C,盘货信息!$V:$V))</f>
        <v/>
      </c>
      <c r="O297" s="27" t="str" cm="1">
        <f t="array" ref="O297">IF(_xlfn.XLOOKUP($A297&amp;$B297&amp;$C297,盘货信息!$A:$A&amp;盘货信息!$B:$B&amp;盘货信息!$C:$C,盘货信息!$W:$W)="","","【"&amp;盘货信息!$W$1&amp;"】"&amp;_xlfn.XLOOKUP($A297&amp;$B297&amp;$C297,盘货信息!$A:$A&amp;盘货信息!$B:$B&amp;盘货信息!$C:$C,盘货信息!$W:$W))</f>
        <v/>
      </c>
      <c r="P297" s="27" t="str" cm="1">
        <f t="array" ref="P297">IF(_xlfn.XLOOKUP($A297&amp;$B297&amp;$C297,盘货信息!$A:$A&amp;盘货信息!$B:$B&amp;盘货信息!$C:$C,盘货信息!$S:$S)&lt;1,"","【"&amp;盘货信息!$S$1&amp;"】"&amp;"后返"&amp;_xlfn.XLOOKUP($A297&amp;$B297&amp;$C297,盘货信息!$A:$A&amp;盘货信息!$B:$B&amp;盘货信息!$C:$C,盘货信息!$S:$S)&amp;"元")</f>
        <v/>
      </c>
      <c r="Q297" s="27" t="str" cm="1">
        <f t="array" ref="Q297">IF(_xlfn.XLOOKUP($A297&amp;$B297&amp;$C297,盘货信息!$A:$A&amp;盘货信息!$B:$B&amp;盘货信息!$C:$C,盘货信息!$X:$X)="","","【"&amp;盘货信息!$X$1&amp;"】"&amp;_xlfn.XLOOKUP($A297&amp;$B297&amp;$C297,盘货信息!$A:$A&amp;盘货信息!$B:$B&amp;盘货信息!$C:$C,盘货信息!$X:$X))</f>
        <v/>
      </c>
      <c r="R297" s="27" t="str" cm="1">
        <f t="array" ref="R297">IF(_xlfn.XLOOKUP($A297&amp;$B297&amp;$C297,盘货信息!$A:$A&amp;盘货信息!$B:$B&amp;盘货信息!$C:$C,盘货信息!$Z:$Z)="","","【"&amp;盘货信息!$Z$1&amp;"】"&amp;_xlfn.XLOOKUP($A297&amp;$B297&amp;$C297,盘货信息!$A:$A&amp;盘货信息!$B:$B&amp;盘货信息!$C:$C,盘货信息!$Z:$Z))</f>
        <v/>
      </c>
      <c r="S297" s="27" t="str" cm="1">
        <f t="array" ref="S297">IF(_xlfn.XLOOKUP($A297&amp;$B297&amp;$C297,盘货信息!$A:$A&amp;盘货信息!$B:$B&amp;盘货信息!$C:$C,盘货信息!$Q:$Q)="","","【种草】站外带指定话题种草后返"&amp;_xlfn.XLOOKUP($A297&amp;$B297&amp;$C297,盘货信息!$A:$A&amp;盘货信息!$B:$B&amp;盘货信息!$C:$C,盘货信息!$Q:$Q)&amp;"元红包（每个淘宝账号仅限对应一个站外种草账号，同一个种草账号不可对应多个淘宝账号）")</f>
        <v/>
      </c>
      <c r="T297" s="27" t="str" cm="1">
        <f t="array" ref="T297">IF(_xlfn.XLOOKUP($A297&amp;$B297&amp;$C297,盘货信息!$A:$A&amp;盘货信息!$B:$B&amp;盘货信息!$C:$C,盘货信息!$R:$R)&lt;1,"","【以旧换新】"&amp;"享补贴"&amp;ROUND(_xlfn.XLOOKUP($A297&amp;$B297&amp;$C297,盘货信息!$A:$A&amp;盘货信息!$B:$B&amp;盘货信息!$C:$C,盘货信息!$R:$R),0)&amp;"元（可无旧机换新）")</f>
        <v/>
      </c>
      <c r="U297" s="27" t="str">
        <f>IF(AND($N297="",$O297="",$P297="",$Q297="",$R297="",$S297="",$T297=""),"",固定信息!$B$1)</f>
        <v/>
      </c>
      <c r="V297" s="27" t="str" cm="1">
        <f t="array" ref="V297">IF(_xlfn.XLOOKUP($A297&amp;$B297&amp;$C297,盘货信息!$A:$A&amp;盘货信息!$B:$B&amp;盘货信息!$C:$C,盘货信息!$Y:$Y)="","","【卡萨帝送赠】活动指定时间"&amp;_xlfn.TEXTBEFORE(_xlfn.TEXTAFTER(_xlfn.XLOOKUP($A297&amp;$B297&amp;$C297,盘货信息!$A:$A&amp;盘货信息!$B:$B&amp;盘货信息!$C:$C,盘货信息!$Y:$Y),"点"),"（"))</f>
        <v/>
      </c>
      <c r="W297" s="27" t="str" cm="1">
        <f t="array" ref="W297">IF(COUNTIF(_xlfn.XLOOKUP($A297&amp;$B297&amp;$C297,盘货信息!$A:$A&amp;盘货信息!$B:$B&amp;盘货信息!$C:$C,盘货信息!$O:$O),"*是*"),"【折扣】指定型号满2类享96折，满3类享94折","")</f>
        <v/>
      </c>
      <c r="X297" s="27" t="str" cm="1">
        <f t="array" ref="X297">IF(固定信息!$B$7="","",IF(_xlfn.XLOOKUP($A297&amp;$B297&amp;$C297,盘货信息!$A:$A&amp;盘货信息!$B:$B&amp;盘货信息!$C:$C,盘货信息!$N:$N)="是","【瓜分】"&amp;固定信息!$B$7,""))</f>
        <v/>
      </c>
      <c r="Y297" s="27" t="str">
        <f>IF(AND($V297="",$W297="",$X297=""),"",固定信息!$B$1)</f>
        <v/>
      </c>
      <c r="Z297" s="27" t="str" cm="1">
        <f t="array" ref="Z297">IF($C297="","",_xlfn.XLOOKUP($A297&amp;$B297&amp;$C297,服务!$A:$A&amp;服务!$B:$B&amp;服务!$C:$C,服务!$D:$D))</f>
        <v/>
      </c>
    </row>
    <row r="298" customHeight="1" spans="1:26">
      <c r="A298" s="23" t="str">
        <f>IF(盘货信息!A298="","",盘货信息!A298)</f>
        <v/>
      </c>
      <c r="B298" s="26" t="str">
        <f>IF(盘货信息!B298="","",盘货信息!B298)</f>
        <v/>
      </c>
      <c r="C298" s="23" t="str">
        <f>IF(盘货信息!C298="","",盘货信息!C298)</f>
        <v/>
      </c>
      <c r="D298" s="27" t="str">
        <f ca="1" t="shared" si="4"/>
        <v/>
      </c>
      <c r="E298" s="27" t="str">
        <f>IF(C298="","",固定信息!$B$2)</f>
        <v/>
      </c>
      <c r="F298" s="27" t="str">
        <f>IF(C298="","","【"&amp;C298&amp;"】"&amp;固定信息!$B$4)</f>
        <v/>
      </c>
      <c r="G298" s="27" t="str">
        <f>IF(C298="","","【"&amp;"活动时间："&amp;固定信息!$B$3&amp;"】")</f>
        <v/>
      </c>
      <c r="H298" s="27" t="str">
        <f>IF($C298="","",固定信息!$B$1)</f>
        <v/>
      </c>
      <c r="I298" s="27" t="str">
        <f>IF(OR(C298="",固定信息!$B$5=""),"","【1元预约锁好礼】"&amp;固定信息!$B$5)</f>
        <v/>
      </c>
      <c r="J298" s="27" t="str" cm="1">
        <f t="array" ref="J298">_xlfn.XLOOKUP($A298&amp;$B298&amp;$C298,价格信息!$A:$A&amp;价格信息!$B:$B&amp;价格信息!$C:$C,价格信息!$D:$D)</f>
        <v/>
      </c>
      <c r="K298" s="27" t="str">
        <f>IF($C298="","",固定信息!$B$1)</f>
        <v/>
      </c>
      <c r="L298" s="27" t="str" cm="1">
        <f t="array" ref="L298">IF(_xlfn.XLOOKUP($A298&amp;$B298&amp;$C298,盘货信息!$A:$A&amp;盘货信息!$B:$B&amp;盘货信息!$C:$C,盘货信息!$T:$T)="","","【优惠券】领"&amp;_xlfn.XLOOKUP($A298&amp;$B298&amp;$C298,盘货信息!$A:$A&amp;盘货信息!$B:$B&amp;盘货信息!$C:$C,盘货信息!$T:$T)&amp;"元优惠卷下单更优惠，领券链接："&amp;_xlfn.XLOOKUP($A298&amp;$B298&amp;$C298,盘货信息!$A:$A&amp;盘货信息!$B:$B&amp;盘货信息!$C:$C,盘货信息!$U:$U))</f>
        <v/>
      </c>
      <c r="M298" s="27" t="str" cm="1">
        <f t="array" ref="M298">IF(_xlfn.XLOOKUP($A298&amp;$B298&amp;$C298,盘货信息!$A:$A&amp;盘货信息!$B:$B&amp;盘货信息!$C:$C,盘货信息!$P:$P)="","","【限时】"&amp;_xlfn.XLOOKUP($A298&amp;$B298&amp;$C298,盘货信息!$A:$A&amp;盘货信息!$B:$B&amp;盘货信息!$C:$C,盘货信息!$P:$P))</f>
        <v/>
      </c>
      <c r="N298" s="27" t="str" cm="1">
        <f t="array" ref="N298">IF(_xlfn.XLOOKUP($A298&amp;$B298&amp;$C298,盘货信息!$A:$A&amp;盘货信息!$B:$B&amp;盘货信息!$C:$C,盘货信息!$V:$V)="","","【"&amp;盘货信息!$V$1&amp;"】"&amp;_xlfn.XLOOKUP($A298&amp;$B298&amp;$C298,盘货信息!$A:$A&amp;盘货信息!$B:$B&amp;盘货信息!$C:$C,盘货信息!$V:$V))</f>
        <v/>
      </c>
      <c r="O298" s="27" t="str" cm="1">
        <f t="array" ref="O298">IF(_xlfn.XLOOKUP($A298&amp;$B298&amp;$C298,盘货信息!$A:$A&amp;盘货信息!$B:$B&amp;盘货信息!$C:$C,盘货信息!$W:$W)="","","【"&amp;盘货信息!$W$1&amp;"】"&amp;_xlfn.XLOOKUP($A298&amp;$B298&amp;$C298,盘货信息!$A:$A&amp;盘货信息!$B:$B&amp;盘货信息!$C:$C,盘货信息!$W:$W))</f>
        <v/>
      </c>
      <c r="P298" s="27" t="str" cm="1">
        <f t="array" ref="P298">IF(_xlfn.XLOOKUP($A298&amp;$B298&amp;$C298,盘货信息!$A:$A&amp;盘货信息!$B:$B&amp;盘货信息!$C:$C,盘货信息!$S:$S)&lt;1,"","【"&amp;盘货信息!$S$1&amp;"】"&amp;"后返"&amp;_xlfn.XLOOKUP($A298&amp;$B298&amp;$C298,盘货信息!$A:$A&amp;盘货信息!$B:$B&amp;盘货信息!$C:$C,盘货信息!$S:$S)&amp;"元")</f>
        <v/>
      </c>
      <c r="Q298" s="27" t="str" cm="1">
        <f t="array" ref="Q298">IF(_xlfn.XLOOKUP($A298&amp;$B298&amp;$C298,盘货信息!$A:$A&amp;盘货信息!$B:$B&amp;盘货信息!$C:$C,盘货信息!$X:$X)="","","【"&amp;盘货信息!$X$1&amp;"】"&amp;_xlfn.XLOOKUP($A298&amp;$B298&amp;$C298,盘货信息!$A:$A&amp;盘货信息!$B:$B&amp;盘货信息!$C:$C,盘货信息!$X:$X))</f>
        <v/>
      </c>
      <c r="R298" s="27" t="str" cm="1">
        <f t="array" ref="R298">IF(_xlfn.XLOOKUP($A298&amp;$B298&amp;$C298,盘货信息!$A:$A&amp;盘货信息!$B:$B&amp;盘货信息!$C:$C,盘货信息!$Z:$Z)="","","【"&amp;盘货信息!$Z$1&amp;"】"&amp;_xlfn.XLOOKUP($A298&amp;$B298&amp;$C298,盘货信息!$A:$A&amp;盘货信息!$B:$B&amp;盘货信息!$C:$C,盘货信息!$Z:$Z))</f>
        <v/>
      </c>
      <c r="S298" s="27" t="str" cm="1">
        <f t="array" ref="S298">IF(_xlfn.XLOOKUP($A298&amp;$B298&amp;$C298,盘货信息!$A:$A&amp;盘货信息!$B:$B&amp;盘货信息!$C:$C,盘货信息!$Q:$Q)="","","【种草】站外带指定话题种草后返"&amp;_xlfn.XLOOKUP($A298&amp;$B298&amp;$C298,盘货信息!$A:$A&amp;盘货信息!$B:$B&amp;盘货信息!$C:$C,盘货信息!$Q:$Q)&amp;"元红包（每个淘宝账号仅限对应一个站外种草账号，同一个种草账号不可对应多个淘宝账号）")</f>
        <v/>
      </c>
      <c r="T298" s="27" t="str" cm="1">
        <f t="array" ref="T298">IF(_xlfn.XLOOKUP($A298&amp;$B298&amp;$C298,盘货信息!$A:$A&amp;盘货信息!$B:$B&amp;盘货信息!$C:$C,盘货信息!$R:$R)&lt;1,"","【以旧换新】"&amp;"享补贴"&amp;ROUND(_xlfn.XLOOKUP($A298&amp;$B298&amp;$C298,盘货信息!$A:$A&amp;盘货信息!$B:$B&amp;盘货信息!$C:$C,盘货信息!$R:$R),0)&amp;"元（可无旧机换新）")</f>
        <v/>
      </c>
      <c r="U298" s="27" t="str">
        <f>IF(AND($N298="",$O298="",$P298="",$Q298="",$R298="",$S298="",$T298=""),"",固定信息!$B$1)</f>
        <v/>
      </c>
      <c r="V298" s="27" t="str" cm="1">
        <f t="array" ref="V298">IF(_xlfn.XLOOKUP($A298&amp;$B298&amp;$C298,盘货信息!$A:$A&amp;盘货信息!$B:$B&amp;盘货信息!$C:$C,盘货信息!$Y:$Y)="","","【卡萨帝送赠】活动指定时间"&amp;_xlfn.TEXTBEFORE(_xlfn.TEXTAFTER(_xlfn.XLOOKUP($A298&amp;$B298&amp;$C298,盘货信息!$A:$A&amp;盘货信息!$B:$B&amp;盘货信息!$C:$C,盘货信息!$Y:$Y),"点"),"（"))</f>
        <v/>
      </c>
      <c r="W298" s="27" t="str" cm="1">
        <f t="array" ref="W298">IF(COUNTIF(_xlfn.XLOOKUP($A298&amp;$B298&amp;$C298,盘货信息!$A:$A&amp;盘货信息!$B:$B&amp;盘货信息!$C:$C,盘货信息!$O:$O),"*是*"),"【折扣】指定型号满2类享96折，满3类享94折","")</f>
        <v/>
      </c>
      <c r="X298" s="27" t="str" cm="1">
        <f t="array" ref="X298">IF(固定信息!$B$7="","",IF(_xlfn.XLOOKUP($A298&amp;$B298&amp;$C298,盘货信息!$A:$A&amp;盘货信息!$B:$B&amp;盘货信息!$C:$C,盘货信息!$N:$N)="是","【瓜分】"&amp;固定信息!$B$7,""))</f>
        <v/>
      </c>
      <c r="Y298" s="27" t="str">
        <f>IF(AND($V298="",$W298="",$X298=""),"",固定信息!$B$1)</f>
        <v/>
      </c>
      <c r="Z298" s="27" t="str" cm="1">
        <f t="array" ref="Z298">IF($C298="","",_xlfn.XLOOKUP($A298&amp;$B298&amp;$C298,服务!$A:$A&amp;服务!$B:$B&amp;服务!$C:$C,服务!$D:$D))</f>
        <v/>
      </c>
    </row>
    <row r="299" customHeight="1" spans="1:26">
      <c r="A299" s="23" t="str">
        <f>IF(盘货信息!A299="","",盘货信息!A299)</f>
        <v/>
      </c>
      <c r="B299" s="26" t="str">
        <f>IF(盘货信息!B299="","",盘货信息!B299)</f>
        <v/>
      </c>
      <c r="C299" s="23" t="str">
        <f>IF(盘货信息!C299="","",盘货信息!C299)</f>
        <v/>
      </c>
      <c r="D299" s="27" t="str">
        <f ca="1" t="shared" si="4"/>
        <v/>
      </c>
      <c r="E299" s="27" t="str">
        <f>IF(C299="","",固定信息!$B$2)</f>
        <v/>
      </c>
      <c r="F299" s="27" t="str">
        <f>IF(C299="","","【"&amp;C299&amp;"】"&amp;固定信息!$B$4)</f>
        <v/>
      </c>
      <c r="G299" s="27" t="str">
        <f>IF(C299="","","【"&amp;"活动时间："&amp;固定信息!$B$3&amp;"】")</f>
        <v/>
      </c>
      <c r="H299" s="27" t="str">
        <f>IF($C299="","",固定信息!$B$1)</f>
        <v/>
      </c>
      <c r="I299" s="27" t="str">
        <f>IF(OR(C299="",固定信息!$B$5=""),"","【1元预约锁好礼】"&amp;固定信息!$B$5)</f>
        <v/>
      </c>
      <c r="J299" s="27" t="str" cm="1">
        <f t="array" ref="J299">_xlfn.XLOOKUP($A299&amp;$B299&amp;$C299,价格信息!$A:$A&amp;价格信息!$B:$B&amp;价格信息!$C:$C,价格信息!$D:$D)</f>
        <v/>
      </c>
      <c r="K299" s="27" t="str">
        <f>IF($C299="","",固定信息!$B$1)</f>
        <v/>
      </c>
      <c r="L299" s="27" t="str" cm="1">
        <f t="array" ref="L299">IF(_xlfn.XLOOKUP($A299&amp;$B299&amp;$C299,盘货信息!$A:$A&amp;盘货信息!$B:$B&amp;盘货信息!$C:$C,盘货信息!$T:$T)="","","【优惠券】领"&amp;_xlfn.XLOOKUP($A299&amp;$B299&amp;$C299,盘货信息!$A:$A&amp;盘货信息!$B:$B&amp;盘货信息!$C:$C,盘货信息!$T:$T)&amp;"元优惠卷下单更优惠，领券链接："&amp;_xlfn.XLOOKUP($A299&amp;$B299&amp;$C299,盘货信息!$A:$A&amp;盘货信息!$B:$B&amp;盘货信息!$C:$C,盘货信息!$U:$U))</f>
        <v/>
      </c>
      <c r="M299" s="27" t="str" cm="1">
        <f t="array" ref="M299">IF(_xlfn.XLOOKUP($A299&amp;$B299&amp;$C299,盘货信息!$A:$A&amp;盘货信息!$B:$B&amp;盘货信息!$C:$C,盘货信息!$P:$P)="","","【限时】"&amp;_xlfn.XLOOKUP($A299&amp;$B299&amp;$C299,盘货信息!$A:$A&amp;盘货信息!$B:$B&amp;盘货信息!$C:$C,盘货信息!$P:$P))</f>
        <v/>
      </c>
      <c r="N299" s="27" t="str" cm="1">
        <f t="array" ref="N299">IF(_xlfn.XLOOKUP($A299&amp;$B299&amp;$C299,盘货信息!$A:$A&amp;盘货信息!$B:$B&amp;盘货信息!$C:$C,盘货信息!$V:$V)="","","【"&amp;盘货信息!$V$1&amp;"】"&amp;_xlfn.XLOOKUP($A299&amp;$B299&amp;$C299,盘货信息!$A:$A&amp;盘货信息!$B:$B&amp;盘货信息!$C:$C,盘货信息!$V:$V))</f>
        <v/>
      </c>
      <c r="O299" s="27" t="str" cm="1">
        <f t="array" ref="O299">IF(_xlfn.XLOOKUP($A299&amp;$B299&amp;$C299,盘货信息!$A:$A&amp;盘货信息!$B:$B&amp;盘货信息!$C:$C,盘货信息!$W:$W)="","","【"&amp;盘货信息!$W$1&amp;"】"&amp;_xlfn.XLOOKUP($A299&amp;$B299&amp;$C299,盘货信息!$A:$A&amp;盘货信息!$B:$B&amp;盘货信息!$C:$C,盘货信息!$W:$W))</f>
        <v/>
      </c>
      <c r="P299" s="27" t="str" cm="1">
        <f t="array" ref="P299">IF(_xlfn.XLOOKUP($A299&amp;$B299&amp;$C299,盘货信息!$A:$A&amp;盘货信息!$B:$B&amp;盘货信息!$C:$C,盘货信息!$S:$S)&lt;1,"","【"&amp;盘货信息!$S$1&amp;"】"&amp;"后返"&amp;_xlfn.XLOOKUP($A299&amp;$B299&amp;$C299,盘货信息!$A:$A&amp;盘货信息!$B:$B&amp;盘货信息!$C:$C,盘货信息!$S:$S)&amp;"元")</f>
        <v/>
      </c>
      <c r="Q299" s="27" t="str" cm="1">
        <f t="array" ref="Q299">IF(_xlfn.XLOOKUP($A299&amp;$B299&amp;$C299,盘货信息!$A:$A&amp;盘货信息!$B:$B&amp;盘货信息!$C:$C,盘货信息!$X:$X)="","","【"&amp;盘货信息!$X$1&amp;"】"&amp;_xlfn.XLOOKUP($A299&amp;$B299&amp;$C299,盘货信息!$A:$A&amp;盘货信息!$B:$B&amp;盘货信息!$C:$C,盘货信息!$X:$X))</f>
        <v/>
      </c>
      <c r="R299" s="27" t="str" cm="1">
        <f t="array" ref="R299">IF(_xlfn.XLOOKUP($A299&amp;$B299&amp;$C299,盘货信息!$A:$A&amp;盘货信息!$B:$B&amp;盘货信息!$C:$C,盘货信息!$Z:$Z)="","","【"&amp;盘货信息!$Z$1&amp;"】"&amp;_xlfn.XLOOKUP($A299&amp;$B299&amp;$C299,盘货信息!$A:$A&amp;盘货信息!$B:$B&amp;盘货信息!$C:$C,盘货信息!$Z:$Z))</f>
        <v/>
      </c>
      <c r="S299" s="27" t="str" cm="1">
        <f t="array" ref="S299">IF(_xlfn.XLOOKUP($A299&amp;$B299&amp;$C299,盘货信息!$A:$A&amp;盘货信息!$B:$B&amp;盘货信息!$C:$C,盘货信息!$Q:$Q)="","","【种草】站外带指定话题种草后返"&amp;_xlfn.XLOOKUP($A299&amp;$B299&amp;$C299,盘货信息!$A:$A&amp;盘货信息!$B:$B&amp;盘货信息!$C:$C,盘货信息!$Q:$Q)&amp;"元红包（每个淘宝账号仅限对应一个站外种草账号，同一个种草账号不可对应多个淘宝账号）")</f>
        <v/>
      </c>
      <c r="T299" s="27" t="str" cm="1">
        <f t="array" ref="T299">IF(_xlfn.XLOOKUP($A299&amp;$B299&amp;$C299,盘货信息!$A:$A&amp;盘货信息!$B:$B&amp;盘货信息!$C:$C,盘货信息!$R:$R)&lt;1,"","【以旧换新】"&amp;"享补贴"&amp;ROUND(_xlfn.XLOOKUP($A299&amp;$B299&amp;$C299,盘货信息!$A:$A&amp;盘货信息!$B:$B&amp;盘货信息!$C:$C,盘货信息!$R:$R),0)&amp;"元（可无旧机换新）")</f>
        <v/>
      </c>
      <c r="U299" s="27" t="str">
        <f>IF(AND($N299="",$O299="",$P299="",$Q299="",$R299="",$S299="",$T299=""),"",固定信息!$B$1)</f>
        <v/>
      </c>
      <c r="V299" s="27" t="str" cm="1">
        <f t="array" ref="V299">IF(_xlfn.XLOOKUP($A299&amp;$B299&amp;$C299,盘货信息!$A:$A&amp;盘货信息!$B:$B&amp;盘货信息!$C:$C,盘货信息!$Y:$Y)="","","【卡萨帝送赠】活动指定时间"&amp;_xlfn.TEXTBEFORE(_xlfn.TEXTAFTER(_xlfn.XLOOKUP($A299&amp;$B299&amp;$C299,盘货信息!$A:$A&amp;盘货信息!$B:$B&amp;盘货信息!$C:$C,盘货信息!$Y:$Y),"点"),"（"))</f>
        <v/>
      </c>
      <c r="W299" s="27" t="str" cm="1">
        <f t="array" ref="W299">IF(COUNTIF(_xlfn.XLOOKUP($A299&amp;$B299&amp;$C299,盘货信息!$A:$A&amp;盘货信息!$B:$B&amp;盘货信息!$C:$C,盘货信息!$O:$O),"*是*"),"【折扣】指定型号满2类享96折，满3类享94折","")</f>
        <v/>
      </c>
      <c r="X299" s="27" t="str" cm="1">
        <f t="array" ref="X299">IF(固定信息!$B$7="","",IF(_xlfn.XLOOKUP($A299&amp;$B299&amp;$C299,盘货信息!$A:$A&amp;盘货信息!$B:$B&amp;盘货信息!$C:$C,盘货信息!$N:$N)="是","【瓜分】"&amp;固定信息!$B$7,""))</f>
        <v/>
      </c>
      <c r="Y299" s="27" t="str">
        <f>IF(AND($V299="",$W299="",$X299=""),"",固定信息!$B$1)</f>
        <v/>
      </c>
      <c r="Z299" s="27" t="str" cm="1">
        <f t="array" ref="Z299">IF($C299="","",_xlfn.XLOOKUP($A299&amp;$B299&amp;$C299,服务!$A:$A&amp;服务!$B:$B&amp;服务!$C:$C,服务!$D:$D))</f>
        <v/>
      </c>
    </row>
    <row r="300" customHeight="1" spans="1:26">
      <c r="A300" s="23" t="str">
        <f>IF(盘货信息!A300="","",盘货信息!A300)</f>
        <v/>
      </c>
      <c r="B300" s="26" t="str">
        <f>IF(盘货信息!B300="","",盘货信息!B300)</f>
        <v/>
      </c>
      <c r="C300" s="23" t="str">
        <f>IF(盘货信息!C300="","",盘货信息!C300)</f>
        <v/>
      </c>
      <c r="D300" s="27" t="str">
        <f ca="1" t="shared" si="4"/>
        <v/>
      </c>
      <c r="E300" s="27" t="str">
        <f>IF(C300="","",固定信息!$B$2)</f>
        <v/>
      </c>
      <c r="F300" s="27" t="str">
        <f>IF(C300="","","【"&amp;C300&amp;"】"&amp;固定信息!$B$4)</f>
        <v/>
      </c>
      <c r="G300" s="27" t="str">
        <f>IF(C300="","","【"&amp;"活动时间："&amp;固定信息!$B$3&amp;"】")</f>
        <v/>
      </c>
      <c r="H300" s="27" t="str">
        <f>IF($C300="","",固定信息!$B$1)</f>
        <v/>
      </c>
      <c r="I300" s="27" t="str">
        <f>IF(OR(C300="",固定信息!$B$5=""),"","【1元预约锁好礼】"&amp;固定信息!$B$5)</f>
        <v/>
      </c>
      <c r="J300" s="27" t="str" cm="1">
        <f t="array" ref="J300">_xlfn.XLOOKUP($A300&amp;$B300&amp;$C300,价格信息!$A:$A&amp;价格信息!$B:$B&amp;价格信息!$C:$C,价格信息!$D:$D)</f>
        <v/>
      </c>
      <c r="K300" s="27" t="str">
        <f>IF($C300="","",固定信息!$B$1)</f>
        <v/>
      </c>
      <c r="L300" s="27" t="str" cm="1">
        <f t="array" ref="L300">IF(_xlfn.XLOOKUP($A300&amp;$B300&amp;$C300,盘货信息!$A:$A&amp;盘货信息!$B:$B&amp;盘货信息!$C:$C,盘货信息!$T:$T)="","","【优惠券】领"&amp;_xlfn.XLOOKUP($A300&amp;$B300&amp;$C300,盘货信息!$A:$A&amp;盘货信息!$B:$B&amp;盘货信息!$C:$C,盘货信息!$T:$T)&amp;"元优惠卷下单更优惠，领券链接："&amp;_xlfn.XLOOKUP($A300&amp;$B300&amp;$C300,盘货信息!$A:$A&amp;盘货信息!$B:$B&amp;盘货信息!$C:$C,盘货信息!$U:$U))</f>
        <v/>
      </c>
      <c r="M300" s="27" t="str" cm="1">
        <f t="array" ref="M300">IF(_xlfn.XLOOKUP($A300&amp;$B300&amp;$C300,盘货信息!$A:$A&amp;盘货信息!$B:$B&amp;盘货信息!$C:$C,盘货信息!$P:$P)="","","【限时】"&amp;_xlfn.XLOOKUP($A300&amp;$B300&amp;$C300,盘货信息!$A:$A&amp;盘货信息!$B:$B&amp;盘货信息!$C:$C,盘货信息!$P:$P))</f>
        <v/>
      </c>
      <c r="N300" s="27" t="str" cm="1">
        <f t="array" ref="N300">IF(_xlfn.XLOOKUP($A300&amp;$B300&amp;$C300,盘货信息!$A:$A&amp;盘货信息!$B:$B&amp;盘货信息!$C:$C,盘货信息!$V:$V)="","","【"&amp;盘货信息!$V$1&amp;"】"&amp;_xlfn.XLOOKUP($A300&amp;$B300&amp;$C300,盘货信息!$A:$A&amp;盘货信息!$B:$B&amp;盘货信息!$C:$C,盘货信息!$V:$V))</f>
        <v/>
      </c>
      <c r="O300" s="27" t="str" cm="1">
        <f t="array" ref="O300">IF(_xlfn.XLOOKUP($A300&amp;$B300&amp;$C300,盘货信息!$A:$A&amp;盘货信息!$B:$B&amp;盘货信息!$C:$C,盘货信息!$W:$W)="","","【"&amp;盘货信息!$W$1&amp;"】"&amp;_xlfn.XLOOKUP($A300&amp;$B300&amp;$C300,盘货信息!$A:$A&amp;盘货信息!$B:$B&amp;盘货信息!$C:$C,盘货信息!$W:$W))</f>
        <v/>
      </c>
      <c r="P300" s="27" t="str" cm="1">
        <f t="array" ref="P300">IF(_xlfn.XLOOKUP($A300&amp;$B300&amp;$C300,盘货信息!$A:$A&amp;盘货信息!$B:$B&amp;盘货信息!$C:$C,盘货信息!$S:$S)&lt;1,"","【"&amp;盘货信息!$S$1&amp;"】"&amp;"后返"&amp;_xlfn.XLOOKUP($A300&amp;$B300&amp;$C300,盘货信息!$A:$A&amp;盘货信息!$B:$B&amp;盘货信息!$C:$C,盘货信息!$S:$S)&amp;"元")</f>
        <v/>
      </c>
      <c r="Q300" s="27" t="str" cm="1">
        <f t="array" ref="Q300">IF(_xlfn.XLOOKUP($A300&amp;$B300&amp;$C300,盘货信息!$A:$A&amp;盘货信息!$B:$B&amp;盘货信息!$C:$C,盘货信息!$X:$X)="","","【"&amp;盘货信息!$X$1&amp;"】"&amp;_xlfn.XLOOKUP($A300&amp;$B300&amp;$C300,盘货信息!$A:$A&amp;盘货信息!$B:$B&amp;盘货信息!$C:$C,盘货信息!$X:$X))</f>
        <v/>
      </c>
      <c r="R300" s="27" t="str" cm="1">
        <f t="array" ref="R300">IF(_xlfn.XLOOKUP($A300&amp;$B300&amp;$C300,盘货信息!$A:$A&amp;盘货信息!$B:$B&amp;盘货信息!$C:$C,盘货信息!$Z:$Z)="","","【"&amp;盘货信息!$Z$1&amp;"】"&amp;_xlfn.XLOOKUP($A300&amp;$B300&amp;$C300,盘货信息!$A:$A&amp;盘货信息!$B:$B&amp;盘货信息!$C:$C,盘货信息!$Z:$Z))</f>
        <v/>
      </c>
      <c r="S300" s="27" t="str" cm="1">
        <f t="array" ref="S300">IF(_xlfn.XLOOKUP($A300&amp;$B300&amp;$C300,盘货信息!$A:$A&amp;盘货信息!$B:$B&amp;盘货信息!$C:$C,盘货信息!$Q:$Q)="","","【种草】站外带指定话题种草后返"&amp;_xlfn.XLOOKUP($A300&amp;$B300&amp;$C300,盘货信息!$A:$A&amp;盘货信息!$B:$B&amp;盘货信息!$C:$C,盘货信息!$Q:$Q)&amp;"元红包（每个淘宝账号仅限对应一个站外种草账号，同一个种草账号不可对应多个淘宝账号）")</f>
        <v/>
      </c>
      <c r="T300" s="27" t="str" cm="1">
        <f t="array" ref="T300">IF(_xlfn.XLOOKUP($A300&amp;$B300&amp;$C300,盘货信息!$A:$A&amp;盘货信息!$B:$B&amp;盘货信息!$C:$C,盘货信息!$R:$R)&lt;1,"","【以旧换新】"&amp;"享补贴"&amp;ROUND(_xlfn.XLOOKUP($A300&amp;$B300&amp;$C300,盘货信息!$A:$A&amp;盘货信息!$B:$B&amp;盘货信息!$C:$C,盘货信息!$R:$R),0)&amp;"元（可无旧机换新）")</f>
        <v/>
      </c>
      <c r="U300" s="27" t="str">
        <f>IF(AND($N300="",$O300="",$P300="",$Q300="",$R300="",$S300="",$T300=""),"",固定信息!$B$1)</f>
        <v/>
      </c>
      <c r="V300" s="27" t="str" cm="1">
        <f t="array" ref="V300">IF(_xlfn.XLOOKUP($A300&amp;$B300&amp;$C300,盘货信息!$A:$A&amp;盘货信息!$B:$B&amp;盘货信息!$C:$C,盘货信息!$Y:$Y)="","","【卡萨帝送赠】活动指定时间"&amp;_xlfn.TEXTBEFORE(_xlfn.TEXTAFTER(_xlfn.XLOOKUP($A300&amp;$B300&amp;$C300,盘货信息!$A:$A&amp;盘货信息!$B:$B&amp;盘货信息!$C:$C,盘货信息!$Y:$Y),"点"),"（"))</f>
        <v/>
      </c>
      <c r="W300" s="27" t="str" cm="1">
        <f t="array" ref="W300">IF(COUNTIF(_xlfn.XLOOKUP($A300&amp;$B300&amp;$C300,盘货信息!$A:$A&amp;盘货信息!$B:$B&amp;盘货信息!$C:$C,盘货信息!$O:$O),"*是*"),"【折扣】指定型号满2类享96折，满3类享94折","")</f>
        <v/>
      </c>
      <c r="X300" s="27" t="str" cm="1">
        <f t="array" ref="X300">IF(固定信息!$B$7="","",IF(_xlfn.XLOOKUP($A300&amp;$B300&amp;$C300,盘货信息!$A:$A&amp;盘货信息!$B:$B&amp;盘货信息!$C:$C,盘货信息!$N:$N)="是","【瓜分】"&amp;固定信息!$B$7,""))</f>
        <v/>
      </c>
      <c r="Y300" s="27" t="str">
        <f>IF(AND($V300="",$W300="",$X300=""),"",固定信息!$B$1)</f>
        <v/>
      </c>
      <c r="Z300" s="27" t="str" cm="1">
        <f t="array" ref="Z300">IF($C300="","",_xlfn.XLOOKUP($A300&amp;$B300&amp;$C300,服务!$A:$A&amp;服务!$B:$B&amp;服务!$C:$C,服务!$D:$D))</f>
        <v/>
      </c>
    </row>
    <row r="301" customHeight="1" spans="1:26">
      <c r="A301" s="23" t="str">
        <f>IF(盘货信息!A301="","",盘货信息!A301)</f>
        <v/>
      </c>
      <c r="B301" s="26" t="str">
        <f>IF(盘货信息!B301="","",盘货信息!B301)</f>
        <v/>
      </c>
      <c r="C301" s="23" t="str">
        <f>IF(盘货信息!C301="","",盘货信息!C301)</f>
        <v/>
      </c>
      <c r="D301" s="27" t="str">
        <f ca="1" t="shared" si="4"/>
        <v/>
      </c>
      <c r="E301" s="27" t="str">
        <f>IF(C301="","",固定信息!$B$2)</f>
        <v/>
      </c>
      <c r="F301" s="27" t="str">
        <f>IF(C301="","","【"&amp;C301&amp;"】"&amp;固定信息!$B$4)</f>
        <v/>
      </c>
      <c r="G301" s="27" t="str">
        <f>IF(C301="","","【"&amp;"活动时间："&amp;固定信息!$B$3&amp;"】")</f>
        <v/>
      </c>
      <c r="H301" s="27" t="str">
        <f>IF($C301="","",固定信息!$B$1)</f>
        <v/>
      </c>
      <c r="I301" s="27" t="str">
        <f>IF(OR(C301="",固定信息!$B$5=""),"","【1元预约锁好礼】"&amp;固定信息!$B$5)</f>
        <v/>
      </c>
      <c r="J301" s="27" t="str" cm="1">
        <f t="array" ref="J301">_xlfn.XLOOKUP($A301&amp;$B301&amp;$C301,价格信息!$A:$A&amp;价格信息!$B:$B&amp;价格信息!$C:$C,价格信息!$D:$D)</f>
        <v/>
      </c>
      <c r="K301" s="27" t="str">
        <f>IF($C301="","",固定信息!$B$1)</f>
        <v/>
      </c>
      <c r="L301" s="27" t="str" cm="1">
        <f t="array" ref="L301">IF(_xlfn.XLOOKUP($A301&amp;$B301&amp;$C301,盘货信息!$A:$A&amp;盘货信息!$B:$B&amp;盘货信息!$C:$C,盘货信息!$T:$T)="","","【优惠券】领"&amp;_xlfn.XLOOKUP($A301&amp;$B301&amp;$C301,盘货信息!$A:$A&amp;盘货信息!$B:$B&amp;盘货信息!$C:$C,盘货信息!$T:$T)&amp;"元优惠卷下单更优惠，领券链接："&amp;_xlfn.XLOOKUP($A301&amp;$B301&amp;$C301,盘货信息!$A:$A&amp;盘货信息!$B:$B&amp;盘货信息!$C:$C,盘货信息!$U:$U))</f>
        <v/>
      </c>
      <c r="M301" s="27" t="str" cm="1">
        <f t="array" ref="M301">IF(_xlfn.XLOOKUP($A301&amp;$B301&amp;$C301,盘货信息!$A:$A&amp;盘货信息!$B:$B&amp;盘货信息!$C:$C,盘货信息!$P:$P)="","","【限时】"&amp;_xlfn.XLOOKUP($A301&amp;$B301&amp;$C301,盘货信息!$A:$A&amp;盘货信息!$B:$B&amp;盘货信息!$C:$C,盘货信息!$P:$P))</f>
        <v/>
      </c>
      <c r="N301" s="27" t="str" cm="1">
        <f t="array" ref="N301">IF(_xlfn.XLOOKUP($A301&amp;$B301&amp;$C301,盘货信息!$A:$A&amp;盘货信息!$B:$B&amp;盘货信息!$C:$C,盘货信息!$V:$V)="","","【"&amp;盘货信息!$V$1&amp;"】"&amp;_xlfn.XLOOKUP($A301&amp;$B301&amp;$C301,盘货信息!$A:$A&amp;盘货信息!$B:$B&amp;盘货信息!$C:$C,盘货信息!$V:$V))</f>
        <v/>
      </c>
      <c r="O301" s="27" t="str" cm="1">
        <f t="array" ref="O301">IF(_xlfn.XLOOKUP($A301&amp;$B301&amp;$C301,盘货信息!$A:$A&amp;盘货信息!$B:$B&amp;盘货信息!$C:$C,盘货信息!$W:$W)="","","【"&amp;盘货信息!$W$1&amp;"】"&amp;_xlfn.XLOOKUP($A301&amp;$B301&amp;$C301,盘货信息!$A:$A&amp;盘货信息!$B:$B&amp;盘货信息!$C:$C,盘货信息!$W:$W))</f>
        <v/>
      </c>
      <c r="P301" s="27" t="str" cm="1">
        <f t="array" ref="P301">IF(_xlfn.XLOOKUP($A301&amp;$B301&amp;$C301,盘货信息!$A:$A&amp;盘货信息!$B:$B&amp;盘货信息!$C:$C,盘货信息!$S:$S)&lt;1,"","【"&amp;盘货信息!$S$1&amp;"】"&amp;"后返"&amp;_xlfn.XLOOKUP($A301&amp;$B301&amp;$C301,盘货信息!$A:$A&amp;盘货信息!$B:$B&amp;盘货信息!$C:$C,盘货信息!$S:$S)&amp;"元")</f>
        <v/>
      </c>
      <c r="Q301" s="27" t="str" cm="1">
        <f t="array" ref="Q301">IF(_xlfn.XLOOKUP($A301&amp;$B301&amp;$C301,盘货信息!$A:$A&amp;盘货信息!$B:$B&amp;盘货信息!$C:$C,盘货信息!$X:$X)="","","【"&amp;盘货信息!$X$1&amp;"】"&amp;_xlfn.XLOOKUP($A301&amp;$B301&amp;$C301,盘货信息!$A:$A&amp;盘货信息!$B:$B&amp;盘货信息!$C:$C,盘货信息!$X:$X))</f>
        <v/>
      </c>
      <c r="R301" s="27" t="str" cm="1">
        <f t="array" ref="R301">IF(_xlfn.XLOOKUP($A301&amp;$B301&amp;$C301,盘货信息!$A:$A&amp;盘货信息!$B:$B&amp;盘货信息!$C:$C,盘货信息!$Z:$Z)="","","【"&amp;盘货信息!$Z$1&amp;"】"&amp;_xlfn.XLOOKUP($A301&amp;$B301&amp;$C301,盘货信息!$A:$A&amp;盘货信息!$B:$B&amp;盘货信息!$C:$C,盘货信息!$Z:$Z))</f>
        <v/>
      </c>
      <c r="S301" s="27" t="str" cm="1">
        <f t="array" ref="S301">IF(_xlfn.XLOOKUP($A301&amp;$B301&amp;$C301,盘货信息!$A:$A&amp;盘货信息!$B:$B&amp;盘货信息!$C:$C,盘货信息!$Q:$Q)="","","【种草】站外带指定话题种草后返"&amp;_xlfn.XLOOKUP($A301&amp;$B301&amp;$C301,盘货信息!$A:$A&amp;盘货信息!$B:$B&amp;盘货信息!$C:$C,盘货信息!$Q:$Q)&amp;"元红包（每个淘宝账号仅限对应一个站外种草账号，同一个种草账号不可对应多个淘宝账号）")</f>
        <v/>
      </c>
      <c r="T301" s="27" t="str" cm="1">
        <f t="array" ref="T301">IF(_xlfn.XLOOKUP($A301&amp;$B301&amp;$C301,盘货信息!$A:$A&amp;盘货信息!$B:$B&amp;盘货信息!$C:$C,盘货信息!$R:$R)&lt;1,"","【以旧换新】"&amp;"享补贴"&amp;ROUND(_xlfn.XLOOKUP($A301&amp;$B301&amp;$C301,盘货信息!$A:$A&amp;盘货信息!$B:$B&amp;盘货信息!$C:$C,盘货信息!$R:$R),0)&amp;"元（可无旧机换新）")</f>
        <v/>
      </c>
      <c r="U301" s="27" t="str">
        <f>IF(AND($N301="",$O301="",$P301="",$Q301="",$R301="",$S301="",$T301=""),"",固定信息!$B$1)</f>
        <v/>
      </c>
      <c r="V301" s="27" t="str" cm="1">
        <f t="array" ref="V301">IF(_xlfn.XLOOKUP($A301&amp;$B301&amp;$C301,盘货信息!$A:$A&amp;盘货信息!$B:$B&amp;盘货信息!$C:$C,盘货信息!$Y:$Y)="","","【卡萨帝送赠】活动指定时间"&amp;_xlfn.TEXTBEFORE(_xlfn.TEXTAFTER(_xlfn.XLOOKUP($A301&amp;$B301&amp;$C301,盘货信息!$A:$A&amp;盘货信息!$B:$B&amp;盘货信息!$C:$C,盘货信息!$Y:$Y),"点"),"（"))</f>
        <v/>
      </c>
      <c r="W301" s="27" t="str" cm="1">
        <f t="array" ref="W301">IF(COUNTIF(_xlfn.XLOOKUP($A301&amp;$B301&amp;$C301,盘货信息!$A:$A&amp;盘货信息!$B:$B&amp;盘货信息!$C:$C,盘货信息!$O:$O),"*是*"),"【折扣】指定型号满2类享96折，满3类享94折","")</f>
        <v/>
      </c>
      <c r="X301" s="27" t="str" cm="1">
        <f t="array" ref="X301">IF(固定信息!$B$7="","",IF(_xlfn.XLOOKUP($A301&amp;$B301&amp;$C301,盘货信息!$A:$A&amp;盘货信息!$B:$B&amp;盘货信息!$C:$C,盘货信息!$N:$N)="是","【瓜分】"&amp;固定信息!$B$7,""))</f>
        <v/>
      </c>
      <c r="Y301" s="27" t="str">
        <f>IF(AND($V301="",$W301="",$X301=""),"",固定信息!$B$1)</f>
        <v/>
      </c>
      <c r="Z301" s="27" t="str" cm="1">
        <f t="array" ref="Z301">IF($C301="","",_xlfn.XLOOKUP($A301&amp;$B301&amp;$C301,服务!$A:$A&amp;服务!$B:$B&amp;服务!$C:$C,服务!$D:$D))</f>
        <v/>
      </c>
    </row>
    <row r="302" customHeight="1" spans="1:26">
      <c r="A302" s="23" t="str">
        <f>IF(盘货信息!A302="","",盘货信息!A302)</f>
        <v/>
      </c>
      <c r="B302" s="26" t="str">
        <f>IF(盘货信息!B302="","",盘货信息!B302)</f>
        <v/>
      </c>
      <c r="C302" s="23" t="str">
        <f>IF(盘货信息!C302="","",盘货信息!C302)</f>
        <v/>
      </c>
      <c r="D302" s="27" t="str">
        <f ca="1" t="shared" si="4"/>
        <v/>
      </c>
      <c r="E302" s="27" t="str">
        <f>IF(C302="","",固定信息!$B$2)</f>
        <v/>
      </c>
      <c r="F302" s="27" t="str">
        <f>IF(C302="","","【"&amp;C302&amp;"】"&amp;固定信息!$B$4)</f>
        <v/>
      </c>
      <c r="G302" s="27" t="str">
        <f>IF(C302="","","【"&amp;"活动时间："&amp;固定信息!$B$3&amp;"】")</f>
        <v/>
      </c>
      <c r="H302" s="27" t="str">
        <f>IF($C302="","",固定信息!$B$1)</f>
        <v/>
      </c>
      <c r="I302" s="27" t="str">
        <f>IF(OR(C302="",固定信息!$B$5=""),"","【1元预约锁好礼】"&amp;固定信息!$B$5)</f>
        <v/>
      </c>
      <c r="J302" s="27" t="str" cm="1">
        <f t="array" ref="J302">_xlfn.XLOOKUP($A302&amp;$B302&amp;$C302,价格信息!$A:$A&amp;价格信息!$B:$B&amp;价格信息!$C:$C,价格信息!$D:$D)</f>
        <v/>
      </c>
      <c r="K302" s="27" t="str">
        <f>IF($C302="","",固定信息!$B$1)</f>
        <v/>
      </c>
      <c r="L302" s="27" t="str" cm="1">
        <f t="array" ref="L302">IF(_xlfn.XLOOKUP($A302&amp;$B302&amp;$C302,盘货信息!$A:$A&amp;盘货信息!$B:$B&amp;盘货信息!$C:$C,盘货信息!$T:$T)="","","【优惠券】领"&amp;_xlfn.XLOOKUP($A302&amp;$B302&amp;$C302,盘货信息!$A:$A&amp;盘货信息!$B:$B&amp;盘货信息!$C:$C,盘货信息!$T:$T)&amp;"元优惠卷下单更优惠，领券链接："&amp;_xlfn.XLOOKUP($A302&amp;$B302&amp;$C302,盘货信息!$A:$A&amp;盘货信息!$B:$B&amp;盘货信息!$C:$C,盘货信息!$U:$U))</f>
        <v/>
      </c>
      <c r="M302" s="27" t="str" cm="1">
        <f t="array" ref="M302">IF(_xlfn.XLOOKUP($A302&amp;$B302&amp;$C302,盘货信息!$A:$A&amp;盘货信息!$B:$B&amp;盘货信息!$C:$C,盘货信息!$P:$P)="","","【限时】"&amp;_xlfn.XLOOKUP($A302&amp;$B302&amp;$C302,盘货信息!$A:$A&amp;盘货信息!$B:$B&amp;盘货信息!$C:$C,盘货信息!$P:$P))</f>
        <v/>
      </c>
      <c r="N302" s="27" t="str" cm="1">
        <f t="array" ref="N302">IF(_xlfn.XLOOKUP($A302&amp;$B302&amp;$C302,盘货信息!$A:$A&amp;盘货信息!$B:$B&amp;盘货信息!$C:$C,盘货信息!$V:$V)="","","【"&amp;盘货信息!$V$1&amp;"】"&amp;_xlfn.XLOOKUP($A302&amp;$B302&amp;$C302,盘货信息!$A:$A&amp;盘货信息!$B:$B&amp;盘货信息!$C:$C,盘货信息!$V:$V))</f>
        <v/>
      </c>
      <c r="O302" s="27" t="str" cm="1">
        <f t="array" ref="O302">IF(_xlfn.XLOOKUP($A302&amp;$B302&amp;$C302,盘货信息!$A:$A&amp;盘货信息!$B:$B&amp;盘货信息!$C:$C,盘货信息!$W:$W)="","","【"&amp;盘货信息!$W$1&amp;"】"&amp;_xlfn.XLOOKUP($A302&amp;$B302&amp;$C302,盘货信息!$A:$A&amp;盘货信息!$B:$B&amp;盘货信息!$C:$C,盘货信息!$W:$W))</f>
        <v/>
      </c>
      <c r="P302" s="27" t="str" cm="1">
        <f t="array" ref="P302">IF(_xlfn.XLOOKUP($A302&amp;$B302&amp;$C302,盘货信息!$A:$A&amp;盘货信息!$B:$B&amp;盘货信息!$C:$C,盘货信息!$S:$S)&lt;1,"","【"&amp;盘货信息!$S$1&amp;"】"&amp;"后返"&amp;_xlfn.XLOOKUP($A302&amp;$B302&amp;$C302,盘货信息!$A:$A&amp;盘货信息!$B:$B&amp;盘货信息!$C:$C,盘货信息!$S:$S)&amp;"元")</f>
        <v/>
      </c>
      <c r="Q302" s="27" t="str" cm="1">
        <f t="array" ref="Q302">IF(_xlfn.XLOOKUP($A302&amp;$B302&amp;$C302,盘货信息!$A:$A&amp;盘货信息!$B:$B&amp;盘货信息!$C:$C,盘货信息!$X:$X)="","","【"&amp;盘货信息!$X$1&amp;"】"&amp;_xlfn.XLOOKUP($A302&amp;$B302&amp;$C302,盘货信息!$A:$A&amp;盘货信息!$B:$B&amp;盘货信息!$C:$C,盘货信息!$X:$X))</f>
        <v/>
      </c>
      <c r="R302" s="27" t="str" cm="1">
        <f t="array" ref="R302">IF(_xlfn.XLOOKUP($A302&amp;$B302&amp;$C302,盘货信息!$A:$A&amp;盘货信息!$B:$B&amp;盘货信息!$C:$C,盘货信息!$Z:$Z)="","","【"&amp;盘货信息!$Z$1&amp;"】"&amp;_xlfn.XLOOKUP($A302&amp;$B302&amp;$C302,盘货信息!$A:$A&amp;盘货信息!$B:$B&amp;盘货信息!$C:$C,盘货信息!$Z:$Z))</f>
        <v/>
      </c>
      <c r="S302" s="27" t="str" cm="1">
        <f t="array" ref="S302">IF(_xlfn.XLOOKUP($A302&amp;$B302&amp;$C302,盘货信息!$A:$A&amp;盘货信息!$B:$B&amp;盘货信息!$C:$C,盘货信息!$Q:$Q)="","","【种草】站外带指定话题种草后返"&amp;_xlfn.XLOOKUP($A302&amp;$B302&amp;$C302,盘货信息!$A:$A&amp;盘货信息!$B:$B&amp;盘货信息!$C:$C,盘货信息!$Q:$Q)&amp;"元红包（每个淘宝账号仅限对应一个站外种草账号，同一个种草账号不可对应多个淘宝账号）")</f>
        <v/>
      </c>
      <c r="T302" s="27" t="str" cm="1">
        <f t="array" ref="T302">IF(_xlfn.XLOOKUP($A302&amp;$B302&amp;$C302,盘货信息!$A:$A&amp;盘货信息!$B:$B&amp;盘货信息!$C:$C,盘货信息!$R:$R)&lt;1,"","【以旧换新】"&amp;"享补贴"&amp;ROUND(_xlfn.XLOOKUP($A302&amp;$B302&amp;$C302,盘货信息!$A:$A&amp;盘货信息!$B:$B&amp;盘货信息!$C:$C,盘货信息!$R:$R),0)&amp;"元（可无旧机换新）")</f>
        <v/>
      </c>
      <c r="U302" s="27" t="str">
        <f>IF(AND($N302="",$O302="",$P302="",$Q302="",$R302="",$S302="",$T302=""),"",固定信息!$B$1)</f>
        <v/>
      </c>
      <c r="V302" s="27" t="str" cm="1">
        <f t="array" ref="V302">IF(_xlfn.XLOOKUP($A302&amp;$B302&amp;$C302,盘货信息!$A:$A&amp;盘货信息!$B:$B&amp;盘货信息!$C:$C,盘货信息!$Y:$Y)="","","【卡萨帝送赠】活动指定时间"&amp;_xlfn.TEXTBEFORE(_xlfn.TEXTAFTER(_xlfn.XLOOKUP($A302&amp;$B302&amp;$C302,盘货信息!$A:$A&amp;盘货信息!$B:$B&amp;盘货信息!$C:$C,盘货信息!$Y:$Y),"点"),"（"))</f>
        <v/>
      </c>
      <c r="W302" s="27" t="str" cm="1">
        <f t="array" ref="W302">IF(COUNTIF(_xlfn.XLOOKUP($A302&amp;$B302&amp;$C302,盘货信息!$A:$A&amp;盘货信息!$B:$B&amp;盘货信息!$C:$C,盘货信息!$O:$O),"*是*"),"【折扣】指定型号满2类享96折，满3类享94折","")</f>
        <v/>
      </c>
      <c r="X302" s="27" t="str" cm="1">
        <f t="array" ref="X302">IF(固定信息!$B$7="","",IF(_xlfn.XLOOKUP($A302&amp;$B302&amp;$C302,盘货信息!$A:$A&amp;盘货信息!$B:$B&amp;盘货信息!$C:$C,盘货信息!$N:$N)="是","【瓜分】"&amp;固定信息!$B$7,""))</f>
        <v/>
      </c>
      <c r="Y302" s="27" t="str">
        <f>IF(AND($V302="",$W302="",$X302=""),"",固定信息!$B$1)</f>
        <v/>
      </c>
      <c r="Z302" s="27" t="str" cm="1">
        <f t="array" ref="Z302">IF($C302="","",_xlfn.XLOOKUP($A302&amp;$B302&amp;$C302,服务!$A:$A&amp;服务!$B:$B&amp;服务!$C:$C,服务!$D:$D))</f>
        <v/>
      </c>
    </row>
    <row r="303" customHeight="1" spans="1:26">
      <c r="A303" s="23" t="str">
        <f>IF(盘货信息!A303="","",盘货信息!A303)</f>
        <v/>
      </c>
      <c r="B303" s="26" t="str">
        <f>IF(盘货信息!B303="","",盘货信息!B303)</f>
        <v/>
      </c>
      <c r="C303" s="23" t="str">
        <f>IF(盘货信息!C303="","",盘货信息!C303)</f>
        <v/>
      </c>
      <c r="D303" s="27" t="str">
        <f ca="1" t="shared" si="4"/>
        <v/>
      </c>
      <c r="E303" s="27" t="str">
        <f>IF(C303="","",固定信息!$B$2)</f>
        <v/>
      </c>
      <c r="F303" s="27" t="str">
        <f>IF(C303="","","【"&amp;C303&amp;"】"&amp;固定信息!$B$4)</f>
        <v/>
      </c>
      <c r="G303" s="27" t="str">
        <f>IF(C303="","","【"&amp;"活动时间："&amp;固定信息!$B$3&amp;"】")</f>
        <v/>
      </c>
      <c r="H303" s="27" t="str">
        <f>IF($C303="","",固定信息!$B$1)</f>
        <v/>
      </c>
      <c r="I303" s="27" t="str">
        <f>IF(OR(C303="",固定信息!$B$5=""),"","【1元预约锁好礼】"&amp;固定信息!$B$5)</f>
        <v/>
      </c>
      <c r="J303" s="27" t="str" cm="1">
        <f t="array" ref="J303">_xlfn.XLOOKUP($A303&amp;$B303&amp;$C303,价格信息!$A:$A&amp;价格信息!$B:$B&amp;价格信息!$C:$C,价格信息!$D:$D)</f>
        <v/>
      </c>
      <c r="K303" s="27" t="str">
        <f>IF($C303="","",固定信息!$B$1)</f>
        <v/>
      </c>
      <c r="L303" s="27" t="str" cm="1">
        <f t="array" ref="L303">IF(_xlfn.XLOOKUP($A303&amp;$B303&amp;$C303,盘货信息!$A:$A&amp;盘货信息!$B:$B&amp;盘货信息!$C:$C,盘货信息!$T:$T)="","","【优惠券】领"&amp;_xlfn.XLOOKUP($A303&amp;$B303&amp;$C303,盘货信息!$A:$A&amp;盘货信息!$B:$B&amp;盘货信息!$C:$C,盘货信息!$T:$T)&amp;"元优惠卷下单更优惠，领券链接："&amp;_xlfn.XLOOKUP($A303&amp;$B303&amp;$C303,盘货信息!$A:$A&amp;盘货信息!$B:$B&amp;盘货信息!$C:$C,盘货信息!$U:$U))</f>
        <v/>
      </c>
      <c r="M303" s="27" t="str" cm="1">
        <f t="array" ref="M303">IF(_xlfn.XLOOKUP($A303&amp;$B303&amp;$C303,盘货信息!$A:$A&amp;盘货信息!$B:$B&amp;盘货信息!$C:$C,盘货信息!$P:$P)="","","【限时】"&amp;_xlfn.XLOOKUP($A303&amp;$B303&amp;$C303,盘货信息!$A:$A&amp;盘货信息!$B:$B&amp;盘货信息!$C:$C,盘货信息!$P:$P))</f>
        <v/>
      </c>
      <c r="N303" s="27" t="str" cm="1">
        <f t="array" ref="N303">IF(_xlfn.XLOOKUP($A303&amp;$B303&amp;$C303,盘货信息!$A:$A&amp;盘货信息!$B:$B&amp;盘货信息!$C:$C,盘货信息!$V:$V)="","","【"&amp;盘货信息!$V$1&amp;"】"&amp;_xlfn.XLOOKUP($A303&amp;$B303&amp;$C303,盘货信息!$A:$A&amp;盘货信息!$B:$B&amp;盘货信息!$C:$C,盘货信息!$V:$V))</f>
        <v/>
      </c>
      <c r="O303" s="27" t="str" cm="1">
        <f t="array" ref="O303">IF(_xlfn.XLOOKUP($A303&amp;$B303&amp;$C303,盘货信息!$A:$A&amp;盘货信息!$B:$B&amp;盘货信息!$C:$C,盘货信息!$W:$W)="","","【"&amp;盘货信息!$W$1&amp;"】"&amp;_xlfn.XLOOKUP($A303&amp;$B303&amp;$C303,盘货信息!$A:$A&amp;盘货信息!$B:$B&amp;盘货信息!$C:$C,盘货信息!$W:$W))</f>
        <v/>
      </c>
      <c r="P303" s="27" t="str" cm="1">
        <f t="array" ref="P303">IF(_xlfn.XLOOKUP($A303&amp;$B303&amp;$C303,盘货信息!$A:$A&amp;盘货信息!$B:$B&amp;盘货信息!$C:$C,盘货信息!$S:$S)&lt;1,"","【"&amp;盘货信息!$S$1&amp;"】"&amp;"后返"&amp;_xlfn.XLOOKUP($A303&amp;$B303&amp;$C303,盘货信息!$A:$A&amp;盘货信息!$B:$B&amp;盘货信息!$C:$C,盘货信息!$S:$S)&amp;"元")</f>
        <v/>
      </c>
      <c r="Q303" s="27" t="str" cm="1">
        <f t="array" ref="Q303">IF(_xlfn.XLOOKUP($A303&amp;$B303&amp;$C303,盘货信息!$A:$A&amp;盘货信息!$B:$B&amp;盘货信息!$C:$C,盘货信息!$X:$X)="","","【"&amp;盘货信息!$X$1&amp;"】"&amp;_xlfn.XLOOKUP($A303&amp;$B303&amp;$C303,盘货信息!$A:$A&amp;盘货信息!$B:$B&amp;盘货信息!$C:$C,盘货信息!$X:$X))</f>
        <v/>
      </c>
      <c r="R303" s="27" t="str" cm="1">
        <f t="array" ref="R303">IF(_xlfn.XLOOKUP($A303&amp;$B303&amp;$C303,盘货信息!$A:$A&amp;盘货信息!$B:$B&amp;盘货信息!$C:$C,盘货信息!$Z:$Z)="","","【"&amp;盘货信息!$Z$1&amp;"】"&amp;_xlfn.XLOOKUP($A303&amp;$B303&amp;$C303,盘货信息!$A:$A&amp;盘货信息!$B:$B&amp;盘货信息!$C:$C,盘货信息!$Z:$Z))</f>
        <v/>
      </c>
      <c r="S303" s="27" t="str" cm="1">
        <f t="array" ref="S303">IF(_xlfn.XLOOKUP($A303&amp;$B303&amp;$C303,盘货信息!$A:$A&amp;盘货信息!$B:$B&amp;盘货信息!$C:$C,盘货信息!$Q:$Q)="","","【种草】站外带指定话题种草后返"&amp;_xlfn.XLOOKUP($A303&amp;$B303&amp;$C303,盘货信息!$A:$A&amp;盘货信息!$B:$B&amp;盘货信息!$C:$C,盘货信息!$Q:$Q)&amp;"元红包（每个淘宝账号仅限对应一个站外种草账号，同一个种草账号不可对应多个淘宝账号）")</f>
        <v/>
      </c>
      <c r="T303" s="27" t="str" cm="1">
        <f t="array" ref="T303">IF(_xlfn.XLOOKUP($A303&amp;$B303&amp;$C303,盘货信息!$A:$A&amp;盘货信息!$B:$B&amp;盘货信息!$C:$C,盘货信息!$R:$R)&lt;1,"","【以旧换新】"&amp;"享补贴"&amp;ROUND(_xlfn.XLOOKUP($A303&amp;$B303&amp;$C303,盘货信息!$A:$A&amp;盘货信息!$B:$B&amp;盘货信息!$C:$C,盘货信息!$R:$R),0)&amp;"元（可无旧机换新）")</f>
        <v/>
      </c>
      <c r="U303" s="27" t="str">
        <f>IF(AND($N303="",$O303="",$P303="",$Q303="",$R303="",$S303="",$T303=""),"",固定信息!$B$1)</f>
        <v/>
      </c>
      <c r="V303" s="27" t="str" cm="1">
        <f t="array" ref="V303">IF(_xlfn.XLOOKUP($A303&amp;$B303&amp;$C303,盘货信息!$A:$A&amp;盘货信息!$B:$B&amp;盘货信息!$C:$C,盘货信息!$Y:$Y)="","","【卡萨帝送赠】活动指定时间"&amp;_xlfn.TEXTBEFORE(_xlfn.TEXTAFTER(_xlfn.XLOOKUP($A303&amp;$B303&amp;$C303,盘货信息!$A:$A&amp;盘货信息!$B:$B&amp;盘货信息!$C:$C,盘货信息!$Y:$Y),"点"),"（"))</f>
        <v/>
      </c>
      <c r="W303" s="27" t="str" cm="1">
        <f t="array" ref="W303">IF(COUNTIF(_xlfn.XLOOKUP($A303&amp;$B303&amp;$C303,盘货信息!$A:$A&amp;盘货信息!$B:$B&amp;盘货信息!$C:$C,盘货信息!$O:$O),"*是*"),"【折扣】指定型号满2类享96折，满3类享94折","")</f>
        <v/>
      </c>
      <c r="X303" s="27" t="str" cm="1">
        <f t="array" ref="X303">IF(固定信息!$B$7="","",IF(_xlfn.XLOOKUP($A303&amp;$B303&amp;$C303,盘货信息!$A:$A&amp;盘货信息!$B:$B&amp;盘货信息!$C:$C,盘货信息!$N:$N)="是","【瓜分】"&amp;固定信息!$B$7,""))</f>
        <v/>
      </c>
      <c r="Y303" s="27" t="str">
        <f>IF(AND($V303="",$W303="",$X303=""),"",固定信息!$B$1)</f>
        <v/>
      </c>
      <c r="Z303" s="27" t="str" cm="1">
        <f t="array" ref="Z303">IF($C303="","",_xlfn.XLOOKUP($A303&amp;$B303&amp;$C303,服务!$A:$A&amp;服务!$B:$B&amp;服务!$C:$C,服务!$D:$D))</f>
        <v/>
      </c>
    </row>
    <row r="304" customHeight="1" spans="1:26">
      <c r="A304" s="23" t="str">
        <f>IF(盘货信息!A304="","",盘货信息!A304)</f>
        <v/>
      </c>
      <c r="B304" s="26" t="str">
        <f>IF(盘货信息!B304="","",盘货信息!B304)</f>
        <v/>
      </c>
      <c r="C304" s="23" t="str">
        <f>IF(盘货信息!C304="","",盘货信息!C304)</f>
        <v/>
      </c>
      <c r="D304" s="27" t="str">
        <f ca="1" t="shared" si="4"/>
        <v/>
      </c>
      <c r="E304" s="27" t="str">
        <f>IF(C304="","",固定信息!$B$2)</f>
        <v/>
      </c>
      <c r="F304" s="27" t="str">
        <f>IF(C304="","","【"&amp;C304&amp;"】"&amp;固定信息!$B$4)</f>
        <v/>
      </c>
      <c r="G304" s="27" t="str">
        <f>IF(C304="","","【"&amp;"活动时间："&amp;固定信息!$B$3&amp;"】")</f>
        <v/>
      </c>
      <c r="H304" s="27" t="str">
        <f>IF($C304="","",固定信息!$B$1)</f>
        <v/>
      </c>
      <c r="I304" s="27" t="str">
        <f>IF(OR(C304="",固定信息!$B$5=""),"","【1元预约锁好礼】"&amp;固定信息!$B$5)</f>
        <v/>
      </c>
      <c r="J304" s="27" t="str" cm="1">
        <f t="array" ref="J304">_xlfn.XLOOKUP($A304&amp;$B304&amp;$C304,价格信息!$A:$A&amp;价格信息!$B:$B&amp;价格信息!$C:$C,价格信息!$D:$D)</f>
        <v/>
      </c>
      <c r="K304" s="27" t="str">
        <f>IF($C304="","",固定信息!$B$1)</f>
        <v/>
      </c>
      <c r="L304" s="27" t="str" cm="1">
        <f t="array" ref="L304">IF(_xlfn.XLOOKUP($A304&amp;$B304&amp;$C304,盘货信息!$A:$A&amp;盘货信息!$B:$B&amp;盘货信息!$C:$C,盘货信息!$T:$T)="","","【优惠券】领"&amp;_xlfn.XLOOKUP($A304&amp;$B304&amp;$C304,盘货信息!$A:$A&amp;盘货信息!$B:$B&amp;盘货信息!$C:$C,盘货信息!$T:$T)&amp;"元优惠卷下单更优惠，领券链接："&amp;_xlfn.XLOOKUP($A304&amp;$B304&amp;$C304,盘货信息!$A:$A&amp;盘货信息!$B:$B&amp;盘货信息!$C:$C,盘货信息!$U:$U))</f>
        <v/>
      </c>
      <c r="M304" s="27" t="str" cm="1">
        <f t="array" ref="M304">IF(_xlfn.XLOOKUP($A304&amp;$B304&amp;$C304,盘货信息!$A:$A&amp;盘货信息!$B:$B&amp;盘货信息!$C:$C,盘货信息!$P:$P)="","","【限时】"&amp;_xlfn.XLOOKUP($A304&amp;$B304&amp;$C304,盘货信息!$A:$A&amp;盘货信息!$B:$B&amp;盘货信息!$C:$C,盘货信息!$P:$P))</f>
        <v/>
      </c>
      <c r="N304" s="27" t="str" cm="1">
        <f t="array" ref="N304">IF(_xlfn.XLOOKUP($A304&amp;$B304&amp;$C304,盘货信息!$A:$A&amp;盘货信息!$B:$B&amp;盘货信息!$C:$C,盘货信息!$V:$V)="","","【"&amp;盘货信息!$V$1&amp;"】"&amp;_xlfn.XLOOKUP($A304&amp;$B304&amp;$C304,盘货信息!$A:$A&amp;盘货信息!$B:$B&amp;盘货信息!$C:$C,盘货信息!$V:$V))</f>
        <v/>
      </c>
      <c r="O304" s="27" t="str" cm="1">
        <f t="array" ref="O304">IF(_xlfn.XLOOKUP($A304&amp;$B304&amp;$C304,盘货信息!$A:$A&amp;盘货信息!$B:$B&amp;盘货信息!$C:$C,盘货信息!$W:$W)="","","【"&amp;盘货信息!$W$1&amp;"】"&amp;_xlfn.XLOOKUP($A304&amp;$B304&amp;$C304,盘货信息!$A:$A&amp;盘货信息!$B:$B&amp;盘货信息!$C:$C,盘货信息!$W:$W))</f>
        <v/>
      </c>
      <c r="P304" s="27" t="str" cm="1">
        <f t="array" ref="P304">IF(_xlfn.XLOOKUP($A304&amp;$B304&amp;$C304,盘货信息!$A:$A&amp;盘货信息!$B:$B&amp;盘货信息!$C:$C,盘货信息!$S:$S)&lt;1,"","【"&amp;盘货信息!$S$1&amp;"】"&amp;"后返"&amp;_xlfn.XLOOKUP($A304&amp;$B304&amp;$C304,盘货信息!$A:$A&amp;盘货信息!$B:$B&amp;盘货信息!$C:$C,盘货信息!$S:$S)&amp;"元")</f>
        <v/>
      </c>
      <c r="Q304" s="27" t="str" cm="1">
        <f t="array" ref="Q304">IF(_xlfn.XLOOKUP($A304&amp;$B304&amp;$C304,盘货信息!$A:$A&amp;盘货信息!$B:$B&amp;盘货信息!$C:$C,盘货信息!$X:$X)="","","【"&amp;盘货信息!$X$1&amp;"】"&amp;_xlfn.XLOOKUP($A304&amp;$B304&amp;$C304,盘货信息!$A:$A&amp;盘货信息!$B:$B&amp;盘货信息!$C:$C,盘货信息!$X:$X))</f>
        <v/>
      </c>
      <c r="R304" s="27" t="str" cm="1">
        <f t="array" ref="R304">IF(_xlfn.XLOOKUP($A304&amp;$B304&amp;$C304,盘货信息!$A:$A&amp;盘货信息!$B:$B&amp;盘货信息!$C:$C,盘货信息!$Z:$Z)="","","【"&amp;盘货信息!$Z$1&amp;"】"&amp;_xlfn.XLOOKUP($A304&amp;$B304&amp;$C304,盘货信息!$A:$A&amp;盘货信息!$B:$B&amp;盘货信息!$C:$C,盘货信息!$Z:$Z))</f>
        <v/>
      </c>
      <c r="S304" s="27" t="str" cm="1">
        <f t="array" ref="S304">IF(_xlfn.XLOOKUP($A304&amp;$B304&amp;$C304,盘货信息!$A:$A&amp;盘货信息!$B:$B&amp;盘货信息!$C:$C,盘货信息!$Q:$Q)="","","【种草】站外带指定话题种草后返"&amp;_xlfn.XLOOKUP($A304&amp;$B304&amp;$C304,盘货信息!$A:$A&amp;盘货信息!$B:$B&amp;盘货信息!$C:$C,盘货信息!$Q:$Q)&amp;"元红包（每个淘宝账号仅限对应一个站外种草账号，同一个种草账号不可对应多个淘宝账号）")</f>
        <v/>
      </c>
      <c r="T304" s="27" t="str" cm="1">
        <f t="array" ref="T304">IF(_xlfn.XLOOKUP($A304&amp;$B304&amp;$C304,盘货信息!$A:$A&amp;盘货信息!$B:$B&amp;盘货信息!$C:$C,盘货信息!$R:$R)&lt;1,"","【以旧换新】"&amp;"享补贴"&amp;ROUND(_xlfn.XLOOKUP($A304&amp;$B304&amp;$C304,盘货信息!$A:$A&amp;盘货信息!$B:$B&amp;盘货信息!$C:$C,盘货信息!$R:$R),0)&amp;"元（可无旧机换新）")</f>
        <v/>
      </c>
      <c r="U304" s="27" t="str">
        <f>IF(AND($N304="",$O304="",$P304="",$Q304="",$R304="",$S304="",$T304=""),"",固定信息!$B$1)</f>
        <v/>
      </c>
      <c r="V304" s="27" t="str" cm="1">
        <f t="array" ref="V304">IF(_xlfn.XLOOKUP($A304&amp;$B304&amp;$C304,盘货信息!$A:$A&amp;盘货信息!$B:$B&amp;盘货信息!$C:$C,盘货信息!$Y:$Y)="","","【卡萨帝送赠】活动指定时间"&amp;_xlfn.TEXTBEFORE(_xlfn.TEXTAFTER(_xlfn.XLOOKUP($A304&amp;$B304&amp;$C304,盘货信息!$A:$A&amp;盘货信息!$B:$B&amp;盘货信息!$C:$C,盘货信息!$Y:$Y),"点"),"（"))</f>
        <v/>
      </c>
      <c r="W304" s="27" t="str" cm="1">
        <f t="array" ref="W304">IF(COUNTIF(_xlfn.XLOOKUP($A304&amp;$B304&amp;$C304,盘货信息!$A:$A&amp;盘货信息!$B:$B&amp;盘货信息!$C:$C,盘货信息!$O:$O),"*是*"),"【折扣】指定型号满2类享96折，满3类享94折","")</f>
        <v/>
      </c>
      <c r="X304" s="27" t="str" cm="1">
        <f t="array" ref="X304">IF(固定信息!$B$7="","",IF(_xlfn.XLOOKUP($A304&amp;$B304&amp;$C304,盘货信息!$A:$A&amp;盘货信息!$B:$B&amp;盘货信息!$C:$C,盘货信息!$N:$N)="是","【瓜分】"&amp;固定信息!$B$7,""))</f>
        <v/>
      </c>
      <c r="Y304" s="27" t="str">
        <f>IF(AND($V304="",$W304="",$X304=""),"",固定信息!$B$1)</f>
        <v/>
      </c>
      <c r="Z304" s="27" t="str" cm="1">
        <f t="array" ref="Z304">IF($C304="","",_xlfn.XLOOKUP($A304&amp;$B304&amp;$C304,服务!$A:$A&amp;服务!$B:$B&amp;服务!$C:$C,服务!$D:$D))</f>
        <v/>
      </c>
    </row>
    <row r="305" customHeight="1" spans="1:26">
      <c r="A305" s="23" t="str">
        <f>IF(盘货信息!A305="","",盘货信息!A305)</f>
        <v/>
      </c>
      <c r="B305" s="26" t="str">
        <f>IF(盘货信息!B305="","",盘货信息!B305)</f>
        <v/>
      </c>
      <c r="C305" s="23" t="str">
        <f>IF(盘货信息!C305="","",盘货信息!C305)</f>
        <v/>
      </c>
      <c r="D305" s="27" t="str">
        <f ca="1" t="shared" si="4"/>
        <v/>
      </c>
      <c r="E305" s="27" t="str">
        <f>IF(C305="","",固定信息!$B$2)</f>
        <v/>
      </c>
      <c r="F305" s="27" t="str">
        <f>IF(C305="","","【"&amp;C305&amp;"】"&amp;固定信息!$B$4)</f>
        <v/>
      </c>
      <c r="G305" s="27" t="str">
        <f>IF(C305="","","【"&amp;"活动时间："&amp;固定信息!$B$3&amp;"】")</f>
        <v/>
      </c>
      <c r="H305" s="27" t="str">
        <f>IF($C305="","",固定信息!$B$1)</f>
        <v/>
      </c>
      <c r="I305" s="27" t="str">
        <f>IF(OR(C305="",固定信息!$B$5=""),"","【1元预约锁好礼】"&amp;固定信息!$B$5)</f>
        <v/>
      </c>
      <c r="J305" s="27" t="str" cm="1">
        <f t="array" ref="J305">_xlfn.XLOOKUP($A305&amp;$B305&amp;$C305,价格信息!$A:$A&amp;价格信息!$B:$B&amp;价格信息!$C:$C,价格信息!$D:$D)</f>
        <v/>
      </c>
      <c r="K305" s="27" t="str">
        <f>IF($C305="","",固定信息!$B$1)</f>
        <v/>
      </c>
      <c r="L305" s="27" t="str" cm="1">
        <f t="array" ref="L305">IF(_xlfn.XLOOKUP($A305&amp;$B305&amp;$C305,盘货信息!$A:$A&amp;盘货信息!$B:$B&amp;盘货信息!$C:$C,盘货信息!$T:$T)="","","【优惠券】领"&amp;_xlfn.XLOOKUP($A305&amp;$B305&amp;$C305,盘货信息!$A:$A&amp;盘货信息!$B:$B&amp;盘货信息!$C:$C,盘货信息!$T:$T)&amp;"元优惠卷下单更优惠，领券链接："&amp;_xlfn.XLOOKUP($A305&amp;$B305&amp;$C305,盘货信息!$A:$A&amp;盘货信息!$B:$B&amp;盘货信息!$C:$C,盘货信息!$U:$U))</f>
        <v/>
      </c>
      <c r="M305" s="27" t="str" cm="1">
        <f t="array" ref="M305">IF(_xlfn.XLOOKUP($A305&amp;$B305&amp;$C305,盘货信息!$A:$A&amp;盘货信息!$B:$B&amp;盘货信息!$C:$C,盘货信息!$P:$P)="","","【限时】"&amp;_xlfn.XLOOKUP($A305&amp;$B305&amp;$C305,盘货信息!$A:$A&amp;盘货信息!$B:$B&amp;盘货信息!$C:$C,盘货信息!$P:$P))</f>
        <v/>
      </c>
      <c r="N305" s="27" t="str" cm="1">
        <f t="array" ref="N305">IF(_xlfn.XLOOKUP($A305&amp;$B305&amp;$C305,盘货信息!$A:$A&amp;盘货信息!$B:$B&amp;盘货信息!$C:$C,盘货信息!$V:$V)="","","【"&amp;盘货信息!$V$1&amp;"】"&amp;_xlfn.XLOOKUP($A305&amp;$B305&amp;$C305,盘货信息!$A:$A&amp;盘货信息!$B:$B&amp;盘货信息!$C:$C,盘货信息!$V:$V))</f>
        <v/>
      </c>
      <c r="O305" s="27" t="str" cm="1">
        <f t="array" ref="O305">IF(_xlfn.XLOOKUP($A305&amp;$B305&amp;$C305,盘货信息!$A:$A&amp;盘货信息!$B:$B&amp;盘货信息!$C:$C,盘货信息!$W:$W)="","","【"&amp;盘货信息!$W$1&amp;"】"&amp;_xlfn.XLOOKUP($A305&amp;$B305&amp;$C305,盘货信息!$A:$A&amp;盘货信息!$B:$B&amp;盘货信息!$C:$C,盘货信息!$W:$W))</f>
        <v/>
      </c>
      <c r="P305" s="27" t="str" cm="1">
        <f t="array" ref="P305">IF(_xlfn.XLOOKUP($A305&amp;$B305&amp;$C305,盘货信息!$A:$A&amp;盘货信息!$B:$B&amp;盘货信息!$C:$C,盘货信息!$S:$S)&lt;1,"","【"&amp;盘货信息!$S$1&amp;"】"&amp;"后返"&amp;_xlfn.XLOOKUP($A305&amp;$B305&amp;$C305,盘货信息!$A:$A&amp;盘货信息!$B:$B&amp;盘货信息!$C:$C,盘货信息!$S:$S)&amp;"元")</f>
        <v/>
      </c>
      <c r="Q305" s="27" t="str" cm="1">
        <f t="array" ref="Q305">IF(_xlfn.XLOOKUP($A305&amp;$B305&amp;$C305,盘货信息!$A:$A&amp;盘货信息!$B:$B&amp;盘货信息!$C:$C,盘货信息!$X:$X)="","","【"&amp;盘货信息!$X$1&amp;"】"&amp;_xlfn.XLOOKUP($A305&amp;$B305&amp;$C305,盘货信息!$A:$A&amp;盘货信息!$B:$B&amp;盘货信息!$C:$C,盘货信息!$X:$X))</f>
        <v/>
      </c>
      <c r="R305" s="27" t="str" cm="1">
        <f t="array" ref="R305">IF(_xlfn.XLOOKUP($A305&amp;$B305&amp;$C305,盘货信息!$A:$A&amp;盘货信息!$B:$B&amp;盘货信息!$C:$C,盘货信息!$Z:$Z)="","","【"&amp;盘货信息!$Z$1&amp;"】"&amp;_xlfn.XLOOKUP($A305&amp;$B305&amp;$C305,盘货信息!$A:$A&amp;盘货信息!$B:$B&amp;盘货信息!$C:$C,盘货信息!$Z:$Z))</f>
        <v/>
      </c>
      <c r="S305" s="27" t="str" cm="1">
        <f t="array" ref="S305">IF(_xlfn.XLOOKUP($A305&amp;$B305&amp;$C305,盘货信息!$A:$A&amp;盘货信息!$B:$B&amp;盘货信息!$C:$C,盘货信息!$Q:$Q)="","","【种草】站外带指定话题种草后返"&amp;_xlfn.XLOOKUP($A305&amp;$B305&amp;$C305,盘货信息!$A:$A&amp;盘货信息!$B:$B&amp;盘货信息!$C:$C,盘货信息!$Q:$Q)&amp;"元红包（每个淘宝账号仅限对应一个站外种草账号，同一个种草账号不可对应多个淘宝账号）")</f>
        <v/>
      </c>
      <c r="T305" s="27" t="str" cm="1">
        <f t="array" ref="T305">IF(_xlfn.XLOOKUP($A305&amp;$B305&amp;$C305,盘货信息!$A:$A&amp;盘货信息!$B:$B&amp;盘货信息!$C:$C,盘货信息!$R:$R)&lt;1,"","【以旧换新】"&amp;"享补贴"&amp;ROUND(_xlfn.XLOOKUP($A305&amp;$B305&amp;$C305,盘货信息!$A:$A&amp;盘货信息!$B:$B&amp;盘货信息!$C:$C,盘货信息!$R:$R),0)&amp;"元（可无旧机换新）")</f>
        <v/>
      </c>
      <c r="U305" s="27" t="str">
        <f>IF(AND($N305="",$O305="",$P305="",$Q305="",$R305="",$S305="",$T305=""),"",固定信息!$B$1)</f>
        <v/>
      </c>
      <c r="V305" s="27" t="str" cm="1">
        <f t="array" ref="V305">IF(_xlfn.XLOOKUP($A305&amp;$B305&amp;$C305,盘货信息!$A:$A&amp;盘货信息!$B:$B&amp;盘货信息!$C:$C,盘货信息!$Y:$Y)="","","【卡萨帝送赠】活动指定时间"&amp;_xlfn.TEXTBEFORE(_xlfn.TEXTAFTER(_xlfn.XLOOKUP($A305&amp;$B305&amp;$C305,盘货信息!$A:$A&amp;盘货信息!$B:$B&amp;盘货信息!$C:$C,盘货信息!$Y:$Y),"点"),"（"))</f>
        <v/>
      </c>
      <c r="W305" s="27" t="str" cm="1">
        <f t="array" ref="W305">IF(COUNTIF(_xlfn.XLOOKUP($A305&amp;$B305&amp;$C305,盘货信息!$A:$A&amp;盘货信息!$B:$B&amp;盘货信息!$C:$C,盘货信息!$O:$O),"*是*"),"【折扣】指定型号满2类享96折，满3类享94折","")</f>
        <v/>
      </c>
      <c r="X305" s="27" t="str" cm="1">
        <f t="array" ref="X305">IF(固定信息!$B$7="","",IF(_xlfn.XLOOKUP($A305&amp;$B305&amp;$C305,盘货信息!$A:$A&amp;盘货信息!$B:$B&amp;盘货信息!$C:$C,盘货信息!$N:$N)="是","【瓜分】"&amp;固定信息!$B$7,""))</f>
        <v/>
      </c>
      <c r="Y305" s="27" t="str">
        <f>IF(AND($V305="",$W305="",$X305=""),"",固定信息!$B$1)</f>
        <v/>
      </c>
      <c r="Z305" s="27" t="str" cm="1">
        <f t="array" ref="Z305">IF($C305="","",_xlfn.XLOOKUP($A305&amp;$B305&amp;$C305,服务!$A:$A&amp;服务!$B:$B&amp;服务!$C:$C,服务!$D:$D))</f>
        <v/>
      </c>
    </row>
    <row r="306" customHeight="1" spans="1:26">
      <c r="A306" s="23" t="str">
        <f>IF(盘货信息!A306="","",盘货信息!A306)</f>
        <v/>
      </c>
      <c r="B306" s="26" t="str">
        <f>IF(盘货信息!B306="","",盘货信息!B306)</f>
        <v/>
      </c>
      <c r="C306" s="23" t="str">
        <f>IF(盘货信息!C306="","",盘货信息!C306)</f>
        <v/>
      </c>
      <c r="D306" s="27" t="str">
        <f ca="1" t="shared" si="4"/>
        <v/>
      </c>
      <c r="E306" s="27" t="str">
        <f>IF(C306="","",固定信息!$B$2)</f>
        <v/>
      </c>
      <c r="F306" s="27" t="str">
        <f>IF(C306="","","【"&amp;C306&amp;"】"&amp;固定信息!$B$4)</f>
        <v/>
      </c>
      <c r="G306" s="27" t="str">
        <f>IF(C306="","","【"&amp;"活动时间："&amp;固定信息!$B$3&amp;"】")</f>
        <v/>
      </c>
      <c r="H306" s="27" t="str">
        <f>IF($C306="","",固定信息!$B$1)</f>
        <v/>
      </c>
      <c r="I306" s="27" t="str">
        <f>IF(OR(C306="",固定信息!$B$5=""),"","【1元预约锁好礼】"&amp;固定信息!$B$5)</f>
        <v/>
      </c>
      <c r="J306" s="27" t="str" cm="1">
        <f t="array" ref="J306">_xlfn.XLOOKUP($A306&amp;$B306&amp;$C306,价格信息!$A:$A&amp;价格信息!$B:$B&amp;价格信息!$C:$C,价格信息!$D:$D)</f>
        <v/>
      </c>
      <c r="K306" s="27" t="str">
        <f>IF($C306="","",固定信息!$B$1)</f>
        <v/>
      </c>
      <c r="L306" s="27" t="str" cm="1">
        <f t="array" ref="L306">IF(_xlfn.XLOOKUP($A306&amp;$B306&amp;$C306,盘货信息!$A:$A&amp;盘货信息!$B:$B&amp;盘货信息!$C:$C,盘货信息!$T:$T)="","","【优惠券】领"&amp;_xlfn.XLOOKUP($A306&amp;$B306&amp;$C306,盘货信息!$A:$A&amp;盘货信息!$B:$B&amp;盘货信息!$C:$C,盘货信息!$T:$T)&amp;"元优惠卷下单更优惠，领券链接："&amp;_xlfn.XLOOKUP($A306&amp;$B306&amp;$C306,盘货信息!$A:$A&amp;盘货信息!$B:$B&amp;盘货信息!$C:$C,盘货信息!$U:$U))</f>
        <v/>
      </c>
      <c r="M306" s="27" t="str" cm="1">
        <f t="array" ref="M306">IF(_xlfn.XLOOKUP($A306&amp;$B306&amp;$C306,盘货信息!$A:$A&amp;盘货信息!$B:$B&amp;盘货信息!$C:$C,盘货信息!$P:$P)="","","【限时】"&amp;_xlfn.XLOOKUP($A306&amp;$B306&amp;$C306,盘货信息!$A:$A&amp;盘货信息!$B:$B&amp;盘货信息!$C:$C,盘货信息!$P:$P))</f>
        <v/>
      </c>
      <c r="N306" s="27" t="str" cm="1">
        <f t="array" ref="N306">IF(_xlfn.XLOOKUP($A306&amp;$B306&amp;$C306,盘货信息!$A:$A&amp;盘货信息!$B:$B&amp;盘货信息!$C:$C,盘货信息!$V:$V)="","","【"&amp;盘货信息!$V$1&amp;"】"&amp;_xlfn.XLOOKUP($A306&amp;$B306&amp;$C306,盘货信息!$A:$A&amp;盘货信息!$B:$B&amp;盘货信息!$C:$C,盘货信息!$V:$V))</f>
        <v/>
      </c>
      <c r="O306" s="27" t="str" cm="1">
        <f t="array" ref="O306">IF(_xlfn.XLOOKUP($A306&amp;$B306&amp;$C306,盘货信息!$A:$A&amp;盘货信息!$B:$B&amp;盘货信息!$C:$C,盘货信息!$W:$W)="","","【"&amp;盘货信息!$W$1&amp;"】"&amp;_xlfn.XLOOKUP($A306&amp;$B306&amp;$C306,盘货信息!$A:$A&amp;盘货信息!$B:$B&amp;盘货信息!$C:$C,盘货信息!$W:$W))</f>
        <v/>
      </c>
      <c r="P306" s="27" t="str" cm="1">
        <f t="array" ref="P306">IF(_xlfn.XLOOKUP($A306&amp;$B306&amp;$C306,盘货信息!$A:$A&amp;盘货信息!$B:$B&amp;盘货信息!$C:$C,盘货信息!$S:$S)&lt;1,"","【"&amp;盘货信息!$S$1&amp;"】"&amp;"后返"&amp;_xlfn.XLOOKUP($A306&amp;$B306&amp;$C306,盘货信息!$A:$A&amp;盘货信息!$B:$B&amp;盘货信息!$C:$C,盘货信息!$S:$S)&amp;"元")</f>
        <v/>
      </c>
      <c r="Q306" s="27" t="str" cm="1">
        <f t="array" ref="Q306">IF(_xlfn.XLOOKUP($A306&amp;$B306&amp;$C306,盘货信息!$A:$A&amp;盘货信息!$B:$B&amp;盘货信息!$C:$C,盘货信息!$X:$X)="","","【"&amp;盘货信息!$X$1&amp;"】"&amp;_xlfn.XLOOKUP($A306&amp;$B306&amp;$C306,盘货信息!$A:$A&amp;盘货信息!$B:$B&amp;盘货信息!$C:$C,盘货信息!$X:$X))</f>
        <v/>
      </c>
      <c r="R306" s="27" t="str" cm="1">
        <f t="array" ref="R306">IF(_xlfn.XLOOKUP($A306&amp;$B306&amp;$C306,盘货信息!$A:$A&amp;盘货信息!$B:$B&amp;盘货信息!$C:$C,盘货信息!$Z:$Z)="","","【"&amp;盘货信息!$Z$1&amp;"】"&amp;_xlfn.XLOOKUP($A306&amp;$B306&amp;$C306,盘货信息!$A:$A&amp;盘货信息!$B:$B&amp;盘货信息!$C:$C,盘货信息!$Z:$Z))</f>
        <v/>
      </c>
      <c r="S306" s="27" t="str" cm="1">
        <f t="array" ref="S306">IF(_xlfn.XLOOKUP($A306&amp;$B306&amp;$C306,盘货信息!$A:$A&amp;盘货信息!$B:$B&amp;盘货信息!$C:$C,盘货信息!$Q:$Q)="","","【种草】站外带指定话题种草后返"&amp;_xlfn.XLOOKUP($A306&amp;$B306&amp;$C306,盘货信息!$A:$A&amp;盘货信息!$B:$B&amp;盘货信息!$C:$C,盘货信息!$Q:$Q)&amp;"元红包（每个淘宝账号仅限对应一个站外种草账号，同一个种草账号不可对应多个淘宝账号）")</f>
        <v/>
      </c>
      <c r="T306" s="27" t="str" cm="1">
        <f t="array" ref="T306">IF(_xlfn.XLOOKUP($A306&amp;$B306&amp;$C306,盘货信息!$A:$A&amp;盘货信息!$B:$B&amp;盘货信息!$C:$C,盘货信息!$R:$R)&lt;1,"","【以旧换新】"&amp;"享补贴"&amp;ROUND(_xlfn.XLOOKUP($A306&amp;$B306&amp;$C306,盘货信息!$A:$A&amp;盘货信息!$B:$B&amp;盘货信息!$C:$C,盘货信息!$R:$R),0)&amp;"元（可无旧机换新）")</f>
        <v/>
      </c>
      <c r="U306" s="27" t="str">
        <f>IF(AND($N306="",$O306="",$P306="",$Q306="",$R306="",$S306="",$T306=""),"",固定信息!$B$1)</f>
        <v/>
      </c>
      <c r="V306" s="27" t="str" cm="1">
        <f t="array" ref="V306">IF(_xlfn.XLOOKUP($A306&amp;$B306&amp;$C306,盘货信息!$A:$A&amp;盘货信息!$B:$B&amp;盘货信息!$C:$C,盘货信息!$Y:$Y)="","","【卡萨帝送赠】活动指定时间"&amp;_xlfn.TEXTBEFORE(_xlfn.TEXTAFTER(_xlfn.XLOOKUP($A306&amp;$B306&amp;$C306,盘货信息!$A:$A&amp;盘货信息!$B:$B&amp;盘货信息!$C:$C,盘货信息!$Y:$Y),"点"),"（"))</f>
        <v/>
      </c>
      <c r="W306" s="27" t="str" cm="1">
        <f t="array" ref="W306">IF(COUNTIF(_xlfn.XLOOKUP($A306&amp;$B306&amp;$C306,盘货信息!$A:$A&amp;盘货信息!$B:$B&amp;盘货信息!$C:$C,盘货信息!$O:$O),"*是*"),"【折扣】指定型号满2类享96折，满3类享94折","")</f>
        <v/>
      </c>
      <c r="X306" s="27" t="str" cm="1">
        <f t="array" ref="X306">IF(固定信息!$B$7="","",IF(_xlfn.XLOOKUP($A306&amp;$B306&amp;$C306,盘货信息!$A:$A&amp;盘货信息!$B:$B&amp;盘货信息!$C:$C,盘货信息!$N:$N)="是","【瓜分】"&amp;固定信息!$B$7,""))</f>
        <v/>
      </c>
      <c r="Y306" s="27" t="str">
        <f>IF(AND($V306="",$W306="",$X306=""),"",固定信息!$B$1)</f>
        <v/>
      </c>
      <c r="Z306" s="27" t="str" cm="1">
        <f t="array" ref="Z306">IF($C306="","",_xlfn.XLOOKUP($A306&amp;$B306&amp;$C306,服务!$A:$A&amp;服务!$B:$B&amp;服务!$C:$C,服务!$D:$D))</f>
        <v/>
      </c>
    </row>
    <row r="307" customHeight="1" spans="1:26">
      <c r="A307" s="23" t="str">
        <f>IF(盘货信息!A307="","",盘货信息!A307)</f>
        <v/>
      </c>
      <c r="B307" s="26" t="str">
        <f>IF(盘货信息!B307="","",盘货信息!B307)</f>
        <v/>
      </c>
      <c r="C307" s="23" t="str">
        <f>IF(盘货信息!C307="","",盘货信息!C307)</f>
        <v/>
      </c>
      <c r="D307" s="27" t="str">
        <f ca="1" t="shared" si="4"/>
        <v/>
      </c>
      <c r="E307" s="27" t="str">
        <f>IF(C307="","",固定信息!$B$2)</f>
        <v/>
      </c>
      <c r="F307" s="27" t="str">
        <f>IF(C307="","","【"&amp;C307&amp;"】"&amp;固定信息!$B$4)</f>
        <v/>
      </c>
      <c r="G307" s="27" t="str">
        <f>IF(C307="","","【"&amp;"活动时间："&amp;固定信息!$B$3&amp;"】")</f>
        <v/>
      </c>
      <c r="H307" s="27" t="str">
        <f>IF($C307="","",固定信息!$B$1)</f>
        <v/>
      </c>
      <c r="I307" s="27" t="str">
        <f>IF(OR(C307="",固定信息!$B$5=""),"","【1元预约锁好礼】"&amp;固定信息!$B$5)</f>
        <v/>
      </c>
      <c r="J307" s="27" t="str" cm="1">
        <f t="array" ref="J307">_xlfn.XLOOKUP($A307&amp;$B307&amp;$C307,价格信息!$A:$A&amp;价格信息!$B:$B&amp;价格信息!$C:$C,价格信息!$D:$D)</f>
        <v/>
      </c>
      <c r="K307" s="27" t="str">
        <f>IF($C307="","",固定信息!$B$1)</f>
        <v/>
      </c>
      <c r="L307" s="27" t="str" cm="1">
        <f t="array" ref="L307">IF(_xlfn.XLOOKUP($A307&amp;$B307&amp;$C307,盘货信息!$A:$A&amp;盘货信息!$B:$B&amp;盘货信息!$C:$C,盘货信息!$T:$T)="","","【优惠券】领"&amp;_xlfn.XLOOKUP($A307&amp;$B307&amp;$C307,盘货信息!$A:$A&amp;盘货信息!$B:$B&amp;盘货信息!$C:$C,盘货信息!$T:$T)&amp;"元优惠卷下单更优惠，领券链接："&amp;_xlfn.XLOOKUP($A307&amp;$B307&amp;$C307,盘货信息!$A:$A&amp;盘货信息!$B:$B&amp;盘货信息!$C:$C,盘货信息!$U:$U))</f>
        <v/>
      </c>
      <c r="M307" s="27" t="str" cm="1">
        <f t="array" ref="M307">IF(_xlfn.XLOOKUP($A307&amp;$B307&amp;$C307,盘货信息!$A:$A&amp;盘货信息!$B:$B&amp;盘货信息!$C:$C,盘货信息!$P:$P)="","","【限时】"&amp;_xlfn.XLOOKUP($A307&amp;$B307&amp;$C307,盘货信息!$A:$A&amp;盘货信息!$B:$B&amp;盘货信息!$C:$C,盘货信息!$P:$P))</f>
        <v/>
      </c>
      <c r="N307" s="27" t="str" cm="1">
        <f t="array" ref="N307">IF(_xlfn.XLOOKUP($A307&amp;$B307&amp;$C307,盘货信息!$A:$A&amp;盘货信息!$B:$B&amp;盘货信息!$C:$C,盘货信息!$V:$V)="","","【"&amp;盘货信息!$V$1&amp;"】"&amp;_xlfn.XLOOKUP($A307&amp;$B307&amp;$C307,盘货信息!$A:$A&amp;盘货信息!$B:$B&amp;盘货信息!$C:$C,盘货信息!$V:$V))</f>
        <v/>
      </c>
      <c r="O307" s="27" t="str" cm="1">
        <f t="array" ref="O307">IF(_xlfn.XLOOKUP($A307&amp;$B307&amp;$C307,盘货信息!$A:$A&amp;盘货信息!$B:$B&amp;盘货信息!$C:$C,盘货信息!$W:$W)="","","【"&amp;盘货信息!$W$1&amp;"】"&amp;_xlfn.XLOOKUP($A307&amp;$B307&amp;$C307,盘货信息!$A:$A&amp;盘货信息!$B:$B&amp;盘货信息!$C:$C,盘货信息!$W:$W))</f>
        <v/>
      </c>
      <c r="P307" s="27" t="str" cm="1">
        <f t="array" ref="P307">IF(_xlfn.XLOOKUP($A307&amp;$B307&amp;$C307,盘货信息!$A:$A&amp;盘货信息!$B:$B&amp;盘货信息!$C:$C,盘货信息!$S:$S)&lt;1,"","【"&amp;盘货信息!$S$1&amp;"】"&amp;"后返"&amp;_xlfn.XLOOKUP($A307&amp;$B307&amp;$C307,盘货信息!$A:$A&amp;盘货信息!$B:$B&amp;盘货信息!$C:$C,盘货信息!$S:$S)&amp;"元")</f>
        <v/>
      </c>
      <c r="Q307" s="27" t="str" cm="1">
        <f t="array" ref="Q307">IF(_xlfn.XLOOKUP($A307&amp;$B307&amp;$C307,盘货信息!$A:$A&amp;盘货信息!$B:$B&amp;盘货信息!$C:$C,盘货信息!$X:$X)="","","【"&amp;盘货信息!$X$1&amp;"】"&amp;_xlfn.XLOOKUP($A307&amp;$B307&amp;$C307,盘货信息!$A:$A&amp;盘货信息!$B:$B&amp;盘货信息!$C:$C,盘货信息!$X:$X))</f>
        <v/>
      </c>
      <c r="R307" s="27" t="str" cm="1">
        <f t="array" ref="R307">IF(_xlfn.XLOOKUP($A307&amp;$B307&amp;$C307,盘货信息!$A:$A&amp;盘货信息!$B:$B&amp;盘货信息!$C:$C,盘货信息!$Z:$Z)="","","【"&amp;盘货信息!$Z$1&amp;"】"&amp;_xlfn.XLOOKUP($A307&amp;$B307&amp;$C307,盘货信息!$A:$A&amp;盘货信息!$B:$B&amp;盘货信息!$C:$C,盘货信息!$Z:$Z))</f>
        <v/>
      </c>
      <c r="S307" s="27" t="str" cm="1">
        <f t="array" ref="S307">IF(_xlfn.XLOOKUP($A307&amp;$B307&amp;$C307,盘货信息!$A:$A&amp;盘货信息!$B:$B&amp;盘货信息!$C:$C,盘货信息!$Q:$Q)="","","【种草】站外带指定话题种草后返"&amp;_xlfn.XLOOKUP($A307&amp;$B307&amp;$C307,盘货信息!$A:$A&amp;盘货信息!$B:$B&amp;盘货信息!$C:$C,盘货信息!$Q:$Q)&amp;"元红包（每个淘宝账号仅限对应一个站外种草账号，同一个种草账号不可对应多个淘宝账号）")</f>
        <v/>
      </c>
      <c r="T307" s="27" t="str" cm="1">
        <f t="array" ref="T307">IF(_xlfn.XLOOKUP($A307&amp;$B307&amp;$C307,盘货信息!$A:$A&amp;盘货信息!$B:$B&amp;盘货信息!$C:$C,盘货信息!$R:$R)&lt;1,"","【以旧换新】"&amp;"享补贴"&amp;ROUND(_xlfn.XLOOKUP($A307&amp;$B307&amp;$C307,盘货信息!$A:$A&amp;盘货信息!$B:$B&amp;盘货信息!$C:$C,盘货信息!$R:$R),0)&amp;"元（可无旧机换新）")</f>
        <v/>
      </c>
      <c r="U307" s="27" t="str">
        <f>IF(AND($N307="",$O307="",$P307="",$Q307="",$R307="",$S307="",$T307=""),"",固定信息!$B$1)</f>
        <v/>
      </c>
      <c r="V307" s="27" t="str" cm="1">
        <f t="array" ref="V307">IF(_xlfn.XLOOKUP($A307&amp;$B307&amp;$C307,盘货信息!$A:$A&amp;盘货信息!$B:$B&amp;盘货信息!$C:$C,盘货信息!$Y:$Y)="","","【卡萨帝送赠】活动指定时间"&amp;_xlfn.TEXTBEFORE(_xlfn.TEXTAFTER(_xlfn.XLOOKUP($A307&amp;$B307&amp;$C307,盘货信息!$A:$A&amp;盘货信息!$B:$B&amp;盘货信息!$C:$C,盘货信息!$Y:$Y),"点"),"（"))</f>
        <v/>
      </c>
      <c r="W307" s="27" t="str" cm="1">
        <f t="array" ref="W307">IF(COUNTIF(_xlfn.XLOOKUP($A307&amp;$B307&amp;$C307,盘货信息!$A:$A&amp;盘货信息!$B:$B&amp;盘货信息!$C:$C,盘货信息!$O:$O),"*是*"),"【折扣】指定型号满2类享96折，满3类享94折","")</f>
        <v/>
      </c>
      <c r="X307" s="27" t="str" cm="1">
        <f t="array" ref="X307">IF(固定信息!$B$7="","",IF(_xlfn.XLOOKUP($A307&amp;$B307&amp;$C307,盘货信息!$A:$A&amp;盘货信息!$B:$B&amp;盘货信息!$C:$C,盘货信息!$N:$N)="是","【瓜分】"&amp;固定信息!$B$7,""))</f>
        <v/>
      </c>
      <c r="Y307" s="27" t="str">
        <f>IF(AND($V307="",$W307="",$X307=""),"",固定信息!$B$1)</f>
        <v/>
      </c>
      <c r="Z307" s="27" t="str" cm="1">
        <f t="array" ref="Z307">IF($C307="","",_xlfn.XLOOKUP($A307&amp;$B307&amp;$C307,服务!$A:$A&amp;服务!$B:$B&amp;服务!$C:$C,服务!$D:$D))</f>
        <v/>
      </c>
    </row>
    <row r="308" customHeight="1" spans="1:26">
      <c r="A308" s="23" t="str">
        <f>IF(盘货信息!A308="","",盘货信息!A308)</f>
        <v/>
      </c>
      <c r="B308" s="26" t="str">
        <f>IF(盘货信息!B308="","",盘货信息!B308)</f>
        <v/>
      </c>
      <c r="C308" s="23" t="str">
        <f>IF(盘货信息!C308="","",盘货信息!C308)</f>
        <v/>
      </c>
      <c r="D308" s="27" t="str">
        <f ca="1" t="shared" si="4"/>
        <v/>
      </c>
      <c r="E308" s="27" t="str">
        <f>IF(C308="","",固定信息!$B$2)</f>
        <v/>
      </c>
      <c r="F308" s="27" t="str">
        <f>IF(C308="","","【"&amp;C308&amp;"】"&amp;固定信息!$B$4)</f>
        <v/>
      </c>
      <c r="G308" s="27" t="str">
        <f>IF(C308="","","【"&amp;"活动时间："&amp;固定信息!$B$3&amp;"】")</f>
        <v/>
      </c>
      <c r="H308" s="27" t="str">
        <f>IF($C308="","",固定信息!$B$1)</f>
        <v/>
      </c>
      <c r="I308" s="27" t="str">
        <f>IF(OR(C308="",固定信息!$B$5=""),"","【1元预约锁好礼】"&amp;固定信息!$B$5)</f>
        <v/>
      </c>
      <c r="J308" s="27" t="str" cm="1">
        <f t="array" ref="J308">_xlfn.XLOOKUP($A308&amp;$B308&amp;$C308,价格信息!$A:$A&amp;价格信息!$B:$B&amp;价格信息!$C:$C,价格信息!$D:$D)</f>
        <v/>
      </c>
      <c r="K308" s="27" t="str">
        <f>IF($C308="","",固定信息!$B$1)</f>
        <v/>
      </c>
      <c r="L308" s="27" t="str" cm="1">
        <f t="array" ref="L308">IF(_xlfn.XLOOKUP($A308&amp;$B308&amp;$C308,盘货信息!$A:$A&amp;盘货信息!$B:$B&amp;盘货信息!$C:$C,盘货信息!$T:$T)="","","【优惠券】领"&amp;_xlfn.XLOOKUP($A308&amp;$B308&amp;$C308,盘货信息!$A:$A&amp;盘货信息!$B:$B&amp;盘货信息!$C:$C,盘货信息!$T:$T)&amp;"元优惠卷下单更优惠，领券链接："&amp;_xlfn.XLOOKUP($A308&amp;$B308&amp;$C308,盘货信息!$A:$A&amp;盘货信息!$B:$B&amp;盘货信息!$C:$C,盘货信息!$U:$U))</f>
        <v/>
      </c>
      <c r="M308" s="27" t="str" cm="1">
        <f t="array" ref="M308">IF(_xlfn.XLOOKUP($A308&amp;$B308&amp;$C308,盘货信息!$A:$A&amp;盘货信息!$B:$B&amp;盘货信息!$C:$C,盘货信息!$P:$P)="","","【限时】"&amp;_xlfn.XLOOKUP($A308&amp;$B308&amp;$C308,盘货信息!$A:$A&amp;盘货信息!$B:$B&amp;盘货信息!$C:$C,盘货信息!$P:$P))</f>
        <v/>
      </c>
      <c r="N308" s="27" t="str" cm="1">
        <f t="array" ref="N308">IF(_xlfn.XLOOKUP($A308&amp;$B308&amp;$C308,盘货信息!$A:$A&amp;盘货信息!$B:$B&amp;盘货信息!$C:$C,盘货信息!$V:$V)="","","【"&amp;盘货信息!$V$1&amp;"】"&amp;_xlfn.XLOOKUP($A308&amp;$B308&amp;$C308,盘货信息!$A:$A&amp;盘货信息!$B:$B&amp;盘货信息!$C:$C,盘货信息!$V:$V))</f>
        <v/>
      </c>
      <c r="O308" s="27" t="str" cm="1">
        <f t="array" ref="O308">IF(_xlfn.XLOOKUP($A308&amp;$B308&amp;$C308,盘货信息!$A:$A&amp;盘货信息!$B:$B&amp;盘货信息!$C:$C,盘货信息!$W:$W)="","","【"&amp;盘货信息!$W$1&amp;"】"&amp;_xlfn.XLOOKUP($A308&amp;$B308&amp;$C308,盘货信息!$A:$A&amp;盘货信息!$B:$B&amp;盘货信息!$C:$C,盘货信息!$W:$W))</f>
        <v/>
      </c>
      <c r="P308" s="27" t="str" cm="1">
        <f t="array" ref="P308">IF(_xlfn.XLOOKUP($A308&amp;$B308&amp;$C308,盘货信息!$A:$A&amp;盘货信息!$B:$B&amp;盘货信息!$C:$C,盘货信息!$S:$S)&lt;1,"","【"&amp;盘货信息!$S$1&amp;"】"&amp;"后返"&amp;_xlfn.XLOOKUP($A308&amp;$B308&amp;$C308,盘货信息!$A:$A&amp;盘货信息!$B:$B&amp;盘货信息!$C:$C,盘货信息!$S:$S)&amp;"元")</f>
        <v/>
      </c>
      <c r="Q308" s="27" t="str" cm="1">
        <f t="array" ref="Q308">IF(_xlfn.XLOOKUP($A308&amp;$B308&amp;$C308,盘货信息!$A:$A&amp;盘货信息!$B:$B&amp;盘货信息!$C:$C,盘货信息!$X:$X)="","","【"&amp;盘货信息!$X$1&amp;"】"&amp;_xlfn.XLOOKUP($A308&amp;$B308&amp;$C308,盘货信息!$A:$A&amp;盘货信息!$B:$B&amp;盘货信息!$C:$C,盘货信息!$X:$X))</f>
        <v/>
      </c>
      <c r="R308" s="27" t="str" cm="1">
        <f t="array" ref="R308">IF(_xlfn.XLOOKUP($A308&amp;$B308&amp;$C308,盘货信息!$A:$A&amp;盘货信息!$B:$B&amp;盘货信息!$C:$C,盘货信息!$Z:$Z)="","","【"&amp;盘货信息!$Z$1&amp;"】"&amp;_xlfn.XLOOKUP($A308&amp;$B308&amp;$C308,盘货信息!$A:$A&amp;盘货信息!$B:$B&amp;盘货信息!$C:$C,盘货信息!$Z:$Z))</f>
        <v/>
      </c>
      <c r="S308" s="27" t="str" cm="1">
        <f t="array" ref="S308">IF(_xlfn.XLOOKUP($A308&amp;$B308&amp;$C308,盘货信息!$A:$A&amp;盘货信息!$B:$B&amp;盘货信息!$C:$C,盘货信息!$Q:$Q)="","","【种草】站外带指定话题种草后返"&amp;_xlfn.XLOOKUP($A308&amp;$B308&amp;$C308,盘货信息!$A:$A&amp;盘货信息!$B:$B&amp;盘货信息!$C:$C,盘货信息!$Q:$Q)&amp;"元红包（每个淘宝账号仅限对应一个站外种草账号，同一个种草账号不可对应多个淘宝账号）")</f>
        <v/>
      </c>
      <c r="T308" s="27" t="str" cm="1">
        <f t="array" ref="T308">IF(_xlfn.XLOOKUP($A308&amp;$B308&amp;$C308,盘货信息!$A:$A&amp;盘货信息!$B:$B&amp;盘货信息!$C:$C,盘货信息!$R:$R)&lt;1,"","【以旧换新】"&amp;"享补贴"&amp;ROUND(_xlfn.XLOOKUP($A308&amp;$B308&amp;$C308,盘货信息!$A:$A&amp;盘货信息!$B:$B&amp;盘货信息!$C:$C,盘货信息!$R:$R),0)&amp;"元（可无旧机换新）")</f>
        <v/>
      </c>
      <c r="U308" s="27" t="str">
        <f>IF(AND($N308="",$O308="",$P308="",$Q308="",$R308="",$S308="",$T308=""),"",固定信息!$B$1)</f>
        <v/>
      </c>
      <c r="V308" s="27" t="str" cm="1">
        <f t="array" ref="V308">IF(_xlfn.XLOOKUP($A308&amp;$B308&amp;$C308,盘货信息!$A:$A&amp;盘货信息!$B:$B&amp;盘货信息!$C:$C,盘货信息!$Y:$Y)="","","【卡萨帝送赠】活动指定时间"&amp;_xlfn.TEXTBEFORE(_xlfn.TEXTAFTER(_xlfn.XLOOKUP($A308&amp;$B308&amp;$C308,盘货信息!$A:$A&amp;盘货信息!$B:$B&amp;盘货信息!$C:$C,盘货信息!$Y:$Y),"点"),"（"))</f>
        <v/>
      </c>
      <c r="W308" s="27" t="str" cm="1">
        <f t="array" ref="W308">IF(COUNTIF(_xlfn.XLOOKUP($A308&amp;$B308&amp;$C308,盘货信息!$A:$A&amp;盘货信息!$B:$B&amp;盘货信息!$C:$C,盘货信息!$O:$O),"*是*"),"【折扣】指定型号满2类享96折，满3类享94折","")</f>
        <v/>
      </c>
      <c r="X308" s="27" t="str" cm="1">
        <f t="array" ref="X308">IF(固定信息!$B$7="","",IF(_xlfn.XLOOKUP($A308&amp;$B308&amp;$C308,盘货信息!$A:$A&amp;盘货信息!$B:$B&amp;盘货信息!$C:$C,盘货信息!$N:$N)="是","【瓜分】"&amp;固定信息!$B$7,""))</f>
        <v/>
      </c>
      <c r="Y308" s="27" t="str">
        <f>IF(AND($V308="",$W308="",$X308=""),"",固定信息!$B$1)</f>
        <v/>
      </c>
      <c r="Z308" s="27" t="str" cm="1">
        <f t="array" ref="Z308">IF($C308="","",_xlfn.XLOOKUP($A308&amp;$B308&amp;$C308,服务!$A:$A&amp;服务!$B:$B&amp;服务!$C:$C,服务!$D:$D))</f>
        <v/>
      </c>
    </row>
    <row r="309" customHeight="1" spans="1:26">
      <c r="A309" s="23" t="str">
        <f>IF(盘货信息!A309="","",盘货信息!A309)</f>
        <v/>
      </c>
      <c r="B309" s="26" t="str">
        <f>IF(盘货信息!B309="","",盘货信息!B309)</f>
        <v/>
      </c>
      <c r="C309" s="23" t="str">
        <f>IF(盘货信息!C309="","",盘货信息!C309)</f>
        <v/>
      </c>
      <c r="D309" s="27" t="str">
        <f ca="1" t="shared" si="4"/>
        <v/>
      </c>
      <c r="E309" s="27" t="str">
        <f>IF(C309="","",固定信息!$B$2)</f>
        <v/>
      </c>
      <c r="F309" s="27" t="str">
        <f>IF(C309="","","【"&amp;C309&amp;"】"&amp;固定信息!$B$4)</f>
        <v/>
      </c>
      <c r="G309" s="27" t="str">
        <f>IF(C309="","","【"&amp;"活动时间："&amp;固定信息!$B$3&amp;"】")</f>
        <v/>
      </c>
      <c r="H309" s="27" t="str">
        <f>IF($C309="","",固定信息!$B$1)</f>
        <v/>
      </c>
      <c r="I309" s="27" t="str">
        <f>IF(OR(C309="",固定信息!$B$5=""),"","【1元预约锁好礼】"&amp;固定信息!$B$5)</f>
        <v/>
      </c>
      <c r="J309" s="27" t="str" cm="1">
        <f t="array" ref="J309">_xlfn.XLOOKUP($A309&amp;$B309&amp;$C309,价格信息!$A:$A&amp;价格信息!$B:$B&amp;价格信息!$C:$C,价格信息!$D:$D)</f>
        <v/>
      </c>
      <c r="K309" s="27" t="str">
        <f>IF($C309="","",固定信息!$B$1)</f>
        <v/>
      </c>
      <c r="L309" s="27" t="str" cm="1">
        <f t="array" ref="L309">IF(_xlfn.XLOOKUP($A309&amp;$B309&amp;$C309,盘货信息!$A:$A&amp;盘货信息!$B:$B&amp;盘货信息!$C:$C,盘货信息!$T:$T)="","","【优惠券】领"&amp;_xlfn.XLOOKUP($A309&amp;$B309&amp;$C309,盘货信息!$A:$A&amp;盘货信息!$B:$B&amp;盘货信息!$C:$C,盘货信息!$T:$T)&amp;"元优惠卷下单更优惠，领券链接："&amp;_xlfn.XLOOKUP($A309&amp;$B309&amp;$C309,盘货信息!$A:$A&amp;盘货信息!$B:$B&amp;盘货信息!$C:$C,盘货信息!$U:$U))</f>
        <v/>
      </c>
      <c r="M309" s="27" t="str" cm="1">
        <f t="array" ref="M309">IF(_xlfn.XLOOKUP($A309&amp;$B309&amp;$C309,盘货信息!$A:$A&amp;盘货信息!$B:$B&amp;盘货信息!$C:$C,盘货信息!$P:$P)="","","【限时】"&amp;_xlfn.XLOOKUP($A309&amp;$B309&amp;$C309,盘货信息!$A:$A&amp;盘货信息!$B:$B&amp;盘货信息!$C:$C,盘货信息!$P:$P))</f>
        <v/>
      </c>
      <c r="N309" s="27" t="str" cm="1">
        <f t="array" ref="N309">IF(_xlfn.XLOOKUP($A309&amp;$B309&amp;$C309,盘货信息!$A:$A&amp;盘货信息!$B:$B&amp;盘货信息!$C:$C,盘货信息!$V:$V)="","","【"&amp;盘货信息!$V$1&amp;"】"&amp;_xlfn.XLOOKUP($A309&amp;$B309&amp;$C309,盘货信息!$A:$A&amp;盘货信息!$B:$B&amp;盘货信息!$C:$C,盘货信息!$V:$V))</f>
        <v/>
      </c>
      <c r="O309" s="27" t="str" cm="1">
        <f t="array" ref="O309">IF(_xlfn.XLOOKUP($A309&amp;$B309&amp;$C309,盘货信息!$A:$A&amp;盘货信息!$B:$B&amp;盘货信息!$C:$C,盘货信息!$W:$W)="","","【"&amp;盘货信息!$W$1&amp;"】"&amp;_xlfn.XLOOKUP($A309&amp;$B309&amp;$C309,盘货信息!$A:$A&amp;盘货信息!$B:$B&amp;盘货信息!$C:$C,盘货信息!$W:$W))</f>
        <v/>
      </c>
      <c r="P309" s="27" t="str" cm="1">
        <f t="array" ref="P309">IF(_xlfn.XLOOKUP($A309&amp;$B309&amp;$C309,盘货信息!$A:$A&amp;盘货信息!$B:$B&amp;盘货信息!$C:$C,盘货信息!$S:$S)&lt;1,"","【"&amp;盘货信息!$S$1&amp;"】"&amp;"后返"&amp;_xlfn.XLOOKUP($A309&amp;$B309&amp;$C309,盘货信息!$A:$A&amp;盘货信息!$B:$B&amp;盘货信息!$C:$C,盘货信息!$S:$S)&amp;"元")</f>
        <v/>
      </c>
      <c r="Q309" s="27" t="str" cm="1">
        <f t="array" ref="Q309">IF(_xlfn.XLOOKUP($A309&amp;$B309&amp;$C309,盘货信息!$A:$A&amp;盘货信息!$B:$B&amp;盘货信息!$C:$C,盘货信息!$X:$X)="","","【"&amp;盘货信息!$X$1&amp;"】"&amp;_xlfn.XLOOKUP($A309&amp;$B309&amp;$C309,盘货信息!$A:$A&amp;盘货信息!$B:$B&amp;盘货信息!$C:$C,盘货信息!$X:$X))</f>
        <v/>
      </c>
      <c r="R309" s="27" t="str" cm="1">
        <f t="array" ref="R309">IF(_xlfn.XLOOKUP($A309&amp;$B309&amp;$C309,盘货信息!$A:$A&amp;盘货信息!$B:$B&amp;盘货信息!$C:$C,盘货信息!$Z:$Z)="","","【"&amp;盘货信息!$Z$1&amp;"】"&amp;_xlfn.XLOOKUP($A309&amp;$B309&amp;$C309,盘货信息!$A:$A&amp;盘货信息!$B:$B&amp;盘货信息!$C:$C,盘货信息!$Z:$Z))</f>
        <v/>
      </c>
      <c r="S309" s="27" t="str" cm="1">
        <f t="array" ref="S309">IF(_xlfn.XLOOKUP($A309&amp;$B309&amp;$C309,盘货信息!$A:$A&amp;盘货信息!$B:$B&amp;盘货信息!$C:$C,盘货信息!$Q:$Q)="","","【种草】站外带指定话题种草后返"&amp;_xlfn.XLOOKUP($A309&amp;$B309&amp;$C309,盘货信息!$A:$A&amp;盘货信息!$B:$B&amp;盘货信息!$C:$C,盘货信息!$Q:$Q)&amp;"元红包（每个淘宝账号仅限对应一个站外种草账号，同一个种草账号不可对应多个淘宝账号）")</f>
        <v/>
      </c>
      <c r="T309" s="27" t="str" cm="1">
        <f t="array" ref="T309">IF(_xlfn.XLOOKUP($A309&amp;$B309&amp;$C309,盘货信息!$A:$A&amp;盘货信息!$B:$B&amp;盘货信息!$C:$C,盘货信息!$R:$R)&lt;1,"","【以旧换新】"&amp;"享补贴"&amp;ROUND(_xlfn.XLOOKUP($A309&amp;$B309&amp;$C309,盘货信息!$A:$A&amp;盘货信息!$B:$B&amp;盘货信息!$C:$C,盘货信息!$R:$R),0)&amp;"元（可无旧机换新）")</f>
        <v/>
      </c>
      <c r="U309" s="27" t="str">
        <f>IF(AND($N309="",$O309="",$P309="",$Q309="",$R309="",$S309="",$T309=""),"",固定信息!$B$1)</f>
        <v/>
      </c>
      <c r="V309" s="27" t="str" cm="1">
        <f t="array" ref="V309">IF(_xlfn.XLOOKUP($A309&amp;$B309&amp;$C309,盘货信息!$A:$A&amp;盘货信息!$B:$B&amp;盘货信息!$C:$C,盘货信息!$Y:$Y)="","","【卡萨帝送赠】活动指定时间"&amp;_xlfn.TEXTBEFORE(_xlfn.TEXTAFTER(_xlfn.XLOOKUP($A309&amp;$B309&amp;$C309,盘货信息!$A:$A&amp;盘货信息!$B:$B&amp;盘货信息!$C:$C,盘货信息!$Y:$Y),"点"),"（"))</f>
        <v/>
      </c>
      <c r="W309" s="27" t="str" cm="1">
        <f t="array" ref="W309">IF(COUNTIF(_xlfn.XLOOKUP($A309&amp;$B309&amp;$C309,盘货信息!$A:$A&amp;盘货信息!$B:$B&amp;盘货信息!$C:$C,盘货信息!$O:$O),"*是*"),"【折扣】指定型号满2类享96折，满3类享94折","")</f>
        <v/>
      </c>
      <c r="X309" s="27" t="str" cm="1">
        <f t="array" ref="X309">IF(固定信息!$B$7="","",IF(_xlfn.XLOOKUP($A309&amp;$B309&amp;$C309,盘货信息!$A:$A&amp;盘货信息!$B:$B&amp;盘货信息!$C:$C,盘货信息!$N:$N)="是","【瓜分】"&amp;固定信息!$B$7,""))</f>
        <v/>
      </c>
      <c r="Y309" s="27" t="str">
        <f>IF(AND($V309="",$W309="",$X309=""),"",固定信息!$B$1)</f>
        <v/>
      </c>
      <c r="Z309" s="27" t="str" cm="1">
        <f t="array" ref="Z309">IF($C309="","",_xlfn.XLOOKUP($A309&amp;$B309&amp;$C309,服务!$A:$A&amp;服务!$B:$B&amp;服务!$C:$C,服务!$D:$D))</f>
        <v/>
      </c>
    </row>
    <row r="310" customHeight="1" spans="1:26">
      <c r="A310" s="23" t="str">
        <f>IF(盘货信息!A310="","",盘货信息!A310)</f>
        <v/>
      </c>
      <c r="B310" s="26" t="str">
        <f>IF(盘货信息!B310="","",盘货信息!B310)</f>
        <v/>
      </c>
      <c r="C310" s="23" t="str">
        <f>IF(盘货信息!C310="","",盘货信息!C310)</f>
        <v/>
      </c>
      <c r="D310" s="27" t="str">
        <f ca="1" t="shared" si="4"/>
        <v/>
      </c>
      <c r="E310" s="27" t="str">
        <f>IF(C310="","",固定信息!$B$2)</f>
        <v/>
      </c>
      <c r="F310" s="27" t="str">
        <f>IF(C310="","","【"&amp;C310&amp;"】"&amp;固定信息!$B$4)</f>
        <v/>
      </c>
      <c r="G310" s="27" t="str">
        <f>IF(C310="","","【"&amp;"活动时间："&amp;固定信息!$B$3&amp;"】")</f>
        <v/>
      </c>
      <c r="H310" s="27" t="str">
        <f>IF($C310="","",固定信息!$B$1)</f>
        <v/>
      </c>
      <c r="I310" s="27" t="str">
        <f>IF(OR(C310="",固定信息!$B$5=""),"","【1元预约锁好礼】"&amp;固定信息!$B$5)</f>
        <v/>
      </c>
      <c r="J310" s="27" t="str" cm="1">
        <f t="array" ref="J310">_xlfn.XLOOKUP($A310&amp;$B310&amp;$C310,价格信息!$A:$A&amp;价格信息!$B:$B&amp;价格信息!$C:$C,价格信息!$D:$D)</f>
        <v/>
      </c>
      <c r="K310" s="27" t="str">
        <f>IF($C310="","",固定信息!$B$1)</f>
        <v/>
      </c>
      <c r="L310" s="27" t="str" cm="1">
        <f t="array" ref="L310">IF(_xlfn.XLOOKUP($A310&amp;$B310&amp;$C310,盘货信息!$A:$A&amp;盘货信息!$B:$B&amp;盘货信息!$C:$C,盘货信息!$T:$T)="","","【优惠券】领"&amp;_xlfn.XLOOKUP($A310&amp;$B310&amp;$C310,盘货信息!$A:$A&amp;盘货信息!$B:$B&amp;盘货信息!$C:$C,盘货信息!$T:$T)&amp;"元优惠卷下单更优惠，领券链接："&amp;_xlfn.XLOOKUP($A310&amp;$B310&amp;$C310,盘货信息!$A:$A&amp;盘货信息!$B:$B&amp;盘货信息!$C:$C,盘货信息!$U:$U))</f>
        <v/>
      </c>
      <c r="M310" s="27" t="str" cm="1">
        <f t="array" ref="M310">IF(_xlfn.XLOOKUP($A310&amp;$B310&amp;$C310,盘货信息!$A:$A&amp;盘货信息!$B:$B&amp;盘货信息!$C:$C,盘货信息!$P:$P)="","","【限时】"&amp;_xlfn.XLOOKUP($A310&amp;$B310&amp;$C310,盘货信息!$A:$A&amp;盘货信息!$B:$B&amp;盘货信息!$C:$C,盘货信息!$P:$P))</f>
        <v/>
      </c>
      <c r="N310" s="27" t="str" cm="1">
        <f t="array" ref="N310">IF(_xlfn.XLOOKUP($A310&amp;$B310&amp;$C310,盘货信息!$A:$A&amp;盘货信息!$B:$B&amp;盘货信息!$C:$C,盘货信息!$V:$V)="","","【"&amp;盘货信息!$V$1&amp;"】"&amp;_xlfn.XLOOKUP($A310&amp;$B310&amp;$C310,盘货信息!$A:$A&amp;盘货信息!$B:$B&amp;盘货信息!$C:$C,盘货信息!$V:$V))</f>
        <v/>
      </c>
      <c r="O310" s="27" t="str" cm="1">
        <f t="array" ref="O310">IF(_xlfn.XLOOKUP($A310&amp;$B310&amp;$C310,盘货信息!$A:$A&amp;盘货信息!$B:$B&amp;盘货信息!$C:$C,盘货信息!$W:$W)="","","【"&amp;盘货信息!$W$1&amp;"】"&amp;_xlfn.XLOOKUP($A310&amp;$B310&amp;$C310,盘货信息!$A:$A&amp;盘货信息!$B:$B&amp;盘货信息!$C:$C,盘货信息!$W:$W))</f>
        <v/>
      </c>
      <c r="P310" s="27" t="str" cm="1">
        <f t="array" ref="P310">IF(_xlfn.XLOOKUP($A310&amp;$B310&amp;$C310,盘货信息!$A:$A&amp;盘货信息!$B:$B&amp;盘货信息!$C:$C,盘货信息!$S:$S)&lt;1,"","【"&amp;盘货信息!$S$1&amp;"】"&amp;"后返"&amp;_xlfn.XLOOKUP($A310&amp;$B310&amp;$C310,盘货信息!$A:$A&amp;盘货信息!$B:$B&amp;盘货信息!$C:$C,盘货信息!$S:$S)&amp;"元")</f>
        <v/>
      </c>
      <c r="Q310" s="27" t="str" cm="1">
        <f t="array" ref="Q310">IF(_xlfn.XLOOKUP($A310&amp;$B310&amp;$C310,盘货信息!$A:$A&amp;盘货信息!$B:$B&amp;盘货信息!$C:$C,盘货信息!$X:$X)="","","【"&amp;盘货信息!$X$1&amp;"】"&amp;_xlfn.XLOOKUP($A310&amp;$B310&amp;$C310,盘货信息!$A:$A&amp;盘货信息!$B:$B&amp;盘货信息!$C:$C,盘货信息!$X:$X))</f>
        <v/>
      </c>
      <c r="R310" s="27" t="str" cm="1">
        <f t="array" ref="R310">IF(_xlfn.XLOOKUP($A310&amp;$B310&amp;$C310,盘货信息!$A:$A&amp;盘货信息!$B:$B&amp;盘货信息!$C:$C,盘货信息!$Z:$Z)="","","【"&amp;盘货信息!$Z$1&amp;"】"&amp;_xlfn.XLOOKUP($A310&amp;$B310&amp;$C310,盘货信息!$A:$A&amp;盘货信息!$B:$B&amp;盘货信息!$C:$C,盘货信息!$Z:$Z))</f>
        <v/>
      </c>
      <c r="S310" s="27" t="str" cm="1">
        <f t="array" ref="S310">IF(_xlfn.XLOOKUP($A310&amp;$B310&amp;$C310,盘货信息!$A:$A&amp;盘货信息!$B:$B&amp;盘货信息!$C:$C,盘货信息!$Q:$Q)="","","【种草】站外带指定话题种草后返"&amp;_xlfn.XLOOKUP($A310&amp;$B310&amp;$C310,盘货信息!$A:$A&amp;盘货信息!$B:$B&amp;盘货信息!$C:$C,盘货信息!$Q:$Q)&amp;"元红包（每个淘宝账号仅限对应一个站外种草账号，同一个种草账号不可对应多个淘宝账号）")</f>
        <v/>
      </c>
      <c r="T310" s="27" t="str" cm="1">
        <f t="array" ref="T310">IF(_xlfn.XLOOKUP($A310&amp;$B310&amp;$C310,盘货信息!$A:$A&amp;盘货信息!$B:$B&amp;盘货信息!$C:$C,盘货信息!$R:$R)&lt;1,"","【以旧换新】"&amp;"享补贴"&amp;ROUND(_xlfn.XLOOKUP($A310&amp;$B310&amp;$C310,盘货信息!$A:$A&amp;盘货信息!$B:$B&amp;盘货信息!$C:$C,盘货信息!$R:$R),0)&amp;"元（可无旧机换新）")</f>
        <v/>
      </c>
      <c r="U310" s="27" t="str">
        <f>IF(AND($N310="",$O310="",$P310="",$Q310="",$R310="",$S310="",$T310=""),"",固定信息!$B$1)</f>
        <v/>
      </c>
      <c r="V310" s="27" t="str" cm="1">
        <f t="array" ref="V310">IF(_xlfn.XLOOKUP($A310&amp;$B310&amp;$C310,盘货信息!$A:$A&amp;盘货信息!$B:$B&amp;盘货信息!$C:$C,盘货信息!$Y:$Y)="","","【卡萨帝送赠】活动指定时间"&amp;_xlfn.TEXTBEFORE(_xlfn.TEXTAFTER(_xlfn.XLOOKUP($A310&amp;$B310&amp;$C310,盘货信息!$A:$A&amp;盘货信息!$B:$B&amp;盘货信息!$C:$C,盘货信息!$Y:$Y),"点"),"（"))</f>
        <v/>
      </c>
      <c r="W310" s="27" t="str" cm="1">
        <f t="array" ref="W310">IF(COUNTIF(_xlfn.XLOOKUP($A310&amp;$B310&amp;$C310,盘货信息!$A:$A&amp;盘货信息!$B:$B&amp;盘货信息!$C:$C,盘货信息!$O:$O),"*是*"),"【折扣】指定型号满2类享96折，满3类享94折","")</f>
        <v/>
      </c>
      <c r="X310" s="27" t="str" cm="1">
        <f t="array" ref="X310">IF(固定信息!$B$7="","",IF(_xlfn.XLOOKUP($A310&amp;$B310&amp;$C310,盘货信息!$A:$A&amp;盘货信息!$B:$B&amp;盘货信息!$C:$C,盘货信息!$N:$N)="是","【瓜分】"&amp;固定信息!$B$7,""))</f>
        <v/>
      </c>
      <c r="Y310" s="27" t="str">
        <f>IF(AND($V310="",$W310="",$X310=""),"",固定信息!$B$1)</f>
        <v/>
      </c>
      <c r="Z310" s="27" t="str" cm="1">
        <f t="array" ref="Z310">IF($C310="","",_xlfn.XLOOKUP($A310&amp;$B310&amp;$C310,服务!$A:$A&amp;服务!$B:$B&amp;服务!$C:$C,服务!$D:$D))</f>
        <v/>
      </c>
    </row>
    <row r="311" customHeight="1" spans="1:26">
      <c r="A311" s="23" t="str">
        <f>IF(盘货信息!A311="","",盘货信息!A311)</f>
        <v/>
      </c>
      <c r="B311" s="26" t="str">
        <f>IF(盘货信息!B311="","",盘货信息!B311)</f>
        <v/>
      </c>
      <c r="C311" s="23" t="str">
        <f>IF(盘货信息!C311="","",盘货信息!C311)</f>
        <v/>
      </c>
      <c r="D311" s="27" t="str">
        <f ca="1" t="shared" si="4"/>
        <v/>
      </c>
      <c r="E311" s="27" t="str">
        <f>IF(C311="","",固定信息!$B$2)</f>
        <v/>
      </c>
      <c r="F311" s="27" t="str">
        <f>IF(C311="","","【"&amp;C311&amp;"】"&amp;固定信息!$B$4)</f>
        <v/>
      </c>
      <c r="G311" s="27" t="str">
        <f>IF(C311="","","【"&amp;"活动时间："&amp;固定信息!$B$3&amp;"】")</f>
        <v/>
      </c>
      <c r="H311" s="27" t="str">
        <f>IF($C311="","",固定信息!$B$1)</f>
        <v/>
      </c>
      <c r="I311" s="27" t="str">
        <f>IF(OR(C311="",固定信息!$B$5=""),"","【1元预约锁好礼】"&amp;固定信息!$B$5)</f>
        <v/>
      </c>
      <c r="J311" s="27" t="str" cm="1">
        <f t="array" ref="J311">_xlfn.XLOOKUP($A311&amp;$B311&amp;$C311,价格信息!$A:$A&amp;价格信息!$B:$B&amp;价格信息!$C:$C,价格信息!$D:$D)</f>
        <v/>
      </c>
      <c r="K311" s="27" t="str">
        <f>IF($C311="","",固定信息!$B$1)</f>
        <v/>
      </c>
      <c r="L311" s="27" t="str" cm="1">
        <f t="array" ref="L311">IF(_xlfn.XLOOKUP($A311&amp;$B311&amp;$C311,盘货信息!$A:$A&amp;盘货信息!$B:$B&amp;盘货信息!$C:$C,盘货信息!$T:$T)="","","【优惠券】领"&amp;_xlfn.XLOOKUP($A311&amp;$B311&amp;$C311,盘货信息!$A:$A&amp;盘货信息!$B:$B&amp;盘货信息!$C:$C,盘货信息!$T:$T)&amp;"元优惠卷下单更优惠，领券链接："&amp;_xlfn.XLOOKUP($A311&amp;$B311&amp;$C311,盘货信息!$A:$A&amp;盘货信息!$B:$B&amp;盘货信息!$C:$C,盘货信息!$U:$U))</f>
        <v/>
      </c>
      <c r="M311" s="27" t="str" cm="1">
        <f t="array" ref="M311">IF(_xlfn.XLOOKUP($A311&amp;$B311&amp;$C311,盘货信息!$A:$A&amp;盘货信息!$B:$B&amp;盘货信息!$C:$C,盘货信息!$P:$P)="","","【限时】"&amp;_xlfn.XLOOKUP($A311&amp;$B311&amp;$C311,盘货信息!$A:$A&amp;盘货信息!$B:$B&amp;盘货信息!$C:$C,盘货信息!$P:$P))</f>
        <v/>
      </c>
      <c r="N311" s="27" t="str" cm="1">
        <f t="array" ref="N311">IF(_xlfn.XLOOKUP($A311&amp;$B311&amp;$C311,盘货信息!$A:$A&amp;盘货信息!$B:$B&amp;盘货信息!$C:$C,盘货信息!$V:$V)="","","【"&amp;盘货信息!$V$1&amp;"】"&amp;_xlfn.XLOOKUP($A311&amp;$B311&amp;$C311,盘货信息!$A:$A&amp;盘货信息!$B:$B&amp;盘货信息!$C:$C,盘货信息!$V:$V))</f>
        <v/>
      </c>
      <c r="O311" s="27" t="str" cm="1">
        <f t="array" ref="O311">IF(_xlfn.XLOOKUP($A311&amp;$B311&amp;$C311,盘货信息!$A:$A&amp;盘货信息!$B:$B&amp;盘货信息!$C:$C,盘货信息!$W:$W)="","","【"&amp;盘货信息!$W$1&amp;"】"&amp;_xlfn.XLOOKUP($A311&amp;$B311&amp;$C311,盘货信息!$A:$A&amp;盘货信息!$B:$B&amp;盘货信息!$C:$C,盘货信息!$W:$W))</f>
        <v/>
      </c>
      <c r="P311" s="27" t="str" cm="1">
        <f t="array" ref="P311">IF(_xlfn.XLOOKUP($A311&amp;$B311&amp;$C311,盘货信息!$A:$A&amp;盘货信息!$B:$B&amp;盘货信息!$C:$C,盘货信息!$S:$S)&lt;1,"","【"&amp;盘货信息!$S$1&amp;"】"&amp;"后返"&amp;_xlfn.XLOOKUP($A311&amp;$B311&amp;$C311,盘货信息!$A:$A&amp;盘货信息!$B:$B&amp;盘货信息!$C:$C,盘货信息!$S:$S)&amp;"元")</f>
        <v/>
      </c>
      <c r="Q311" s="27" t="str" cm="1">
        <f t="array" ref="Q311">IF(_xlfn.XLOOKUP($A311&amp;$B311&amp;$C311,盘货信息!$A:$A&amp;盘货信息!$B:$B&amp;盘货信息!$C:$C,盘货信息!$X:$X)="","","【"&amp;盘货信息!$X$1&amp;"】"&amp;_xlfn.XLOOKUP($A311&amp;$B311&amp;$C311,盘货信息!$A:$A&amp;盘货信息!$B:$B&amp;盘货信息!$C:$C,盘货信息!$X:$X))</f>
        <v/>
      </c>
      <c r="R311" s="27" t="str" cm="1">
        <f t="array" ref="R311">IF(_xlfn.XLOOKUP($A311&amp;$B311&amp;$C311,盘货信息!$A:$A&amp;盘货信息!$B:$B&amp;盘货信息!$C:$C,盘货信息!$Z:$Z)="","","【"&amp;盘货信息!$Z$1&amp;"】"&amp;_xlfn.XLOOKUP($A311&amp;$B311&amp;$C311,盘货信息!$A:$A&amp;盘货信息!$B:$B&amp;盘货信息!$C:$C,盘货信息!$Z:$Z))</f>
        <v/>
      </c>
      <c r="S311" s="27" t="str" cm="1">
        <f t="array" ref="S311">IF(_xlfn.XLOOKUP($A311&amp;$B311&amp;$C311,盘货信息!$A:$A&amp;盘货信息!$B:$B&amp;盘货信息!$C:$C,盘货信息!$Q:$Q)="","","【种草】站外带指定话题种草后返"&amp;_xlfn.XLOOKUP($A311&amp;$B311&amp;$C311,盘货信息!$A:$A&amp;盘货信息!$B:$B&amp;盘货信息!$C:$C,盘货信息!$Q:$Q)&amp;"元红包（每个淘宝账号仅限对应一个站外种草账号，同一个种草账号不可对应多个淘宝账号）")</f>
        <v/>
      </c>
      <c r="T311" s="27" t="str" cm="1">
        <f t="array" ref="T311">IF(_xlfn.XLOOKUP($A311&amp;$B311&amp;$C311,盘货信息!$A:$A&amp;盘货信息!$B:$B&amp;盘货信息!$C:$C,盘货信息!$R:$R)&lt;1,"","【以旧换新】"&amp;"享补贴"&amp;ROUND(_xlfn.XLOOKUP($A311&amp;$B311&amp;$C311,盘货信息!$A:$A&amp;盘货信息!$B:$B&amp;盘货信息!$C:$C,盘货信息!$R:$R),0)&amp;"元（可无旧机换新）")</f>
        <v/>
      </c>
      <c r="U311" s="27" t="str">
        <f>IF(AND($N311="",$O311="",$P311="",$Q311="",$R311="",$S311="",$T311=""),"",固定信息!$B$1)</f>
        <v/>
      </c>
      <c r="V311" s="27" t="str" cm="1">
        <f t="array" ref="V311">IF(_xlfn.XLOOKUP($A311&amp;$B311&amp;$C311,盘货信息!$A:$A&amp;盘货信息!$B:$B&amp;盘货信息!$C:$C,盘货信息!$Y:$Y)="","","【卡萨帝送赠】活动指定时间"&amp;_xlfn.TEXTBEFORE(_xlfn.TEXTAFTER(_xlfn.XLOOKUP($A311&amp;$B311&amp;$C311,盘货信息!$A:$A&amp;盘货信息!$B:$B&amp;盘货信息!$C:$C,盘货信息!$Y:$Y),"点"),"（"))</f>
        <v/>
      </c>
      <c r="W311" s="27" t="str" cm="1">
        <f t="array" ref="W311">IF(COUNTIF(_xlfn.XLOOKUP($A311&amp;$B311&amp;$C311,盘货信息!$A:$A&amp;盘货信息!$B:$B&amp;盘货信息!$C:$C,盘货信息!$O:$O),"*是*"),"【折扣】指定型号满2类享96折，满3类享94折","")</f>
        <v/>
      </c>
      <c r="X311" s="27" t="str" cm="1">
        <f t="array" ref="X311">IF(固定信息!$B$7="","",IF(_xlfn.XLOOKUP($A311&amp;$B311&amp;$C311,盘货信息!$A:$A&amp;盘货信息!$B:$B&amp;盘货信息!$C:$C,盘货信息!$N:$N)="是","【瓜分】"&amp;固定信息!$B$7,""))</f>
        <v/>
      </c>
      <c r="Y311" s="27" t="str">
        <f>IF(AND($V311="",$W311="",$X311=""),"",固定信息!$B$1)</f>
        <v/>
      </c>
      <c r="Z311" s="27" t="str" cm="1">
        <f t="array" ref="Z311">IF($C311="","",_xlfn.XLOOKUP($A311&amp;$B311&amp;$C311,服务!$A:$A&amp;服务!$B:$B&amp;服务!$C:$C,服务!$D:$D))</f>
        <v/>
      </c>
    </row>
    <row r="312" customHeight="1" spans="1:26">
      <c r="A312" s="23" t="str">
        <f>IF(盘货信息!A312="","",盘货信息!A312)</f>
        <v/>
      </c>
      <c r="B312" s="26" t="str">
        <f>IF(盘货信息!B312="","",盘货信息!B312)</f>
        <v/>
      </c>
      <c r="C312" s="23" t="str">
        <f>IF(盘货信息!C312="","",盘货信息!C312)</f>
        <v/>
      </c>
      <c r="D312" s="27" t="str">
        <f ca="1" t="shared" si="4"/>
        <v/>
      </c>
      <c r="E312" s="27" t="str">
        <f>IF(C312="","",固定信息!$B$2)</f>
        <v/>
      </c>
      <c r="F312" s="27" t="str">
        <f>IF(C312="","","【"&amp;C312&amp;"】"&amp;固定信息!$B$4)</f>
        <v/>
      </c>
      <c r="G312" s="27" t="str">
        <f>IF(C312="","","【"&amp;"活动时间："&amp;固定信息!$B$3&amp;"】")</f>
        <v/>
      </c>
      <c r="H312" s="27" t="str">
        <f>IF($C312="","",固定信息!$B$1)</f>
        <v/>
      </c>
      <c r="I312" s="27" t="str">
        <f>IF(OR(C312="",固定信息!$B$5=""),"","【1元预约锁好礼】"&amp;固定信息!$B$5)</f>
        <v/>
      </c>
      <c r="J312" s="27" t="str" cm="1">
        <f t="array" ref="J312">_xlfn.XLOOKUP($A312&amp;$B312&amp;$C312,价格信息!$A:$A&amp;价格信息!$B:$B&amp;价格信息!$C:$C,价格信息!$D:$D)</f>
        <v/>
      </c>
      <c r="K312" s="27" t="str">
        <f>IF($C312="","",固定信息!$B$1)</f>
        <v/>
      </c>
      <c r="L312" s="27" t="str" cm="1">
        <f t="array" ref="L312">IF(_xlfn.XLOOKUP($A312&amp;$B312&amp;$C312,盘货信息!$A:$A&amp;盘货信息!$B:$B&amp;盘货信息!$C:$C,盘货信息!$T:$T)="","","【优惠券】领"&amp;_xlfn.XLOOKUP($A312&amp;$B312&amp;$C312,盘货信息!$A:$A&amp;盘货信息!$B:$B&amp;盘货信息!$C:$C,盘货信息!$T:$T)&amp;"元优惠卷下单更优惠，领券链接："&amp;_xlfn.XLOOKUP($A312&amp;$B312&amp;$C312,盘货信息!$A:$A&amp;盘货信息!$B:$B&amp;盘货信息!$C:$C,盘货信息!$U:$U))</f>
        <v/>
      </c>
      <c r="M312" s="27" t="str" cm="1">
        <f t="array" ref="M312">IF(_xlfn.XLOOKUP($A312&amp;$B312&amp;$C312,盘货信息!$A:$A&amp;盘货信息!$B:$B&amp;盘货信息!$C:$C,盘货信息!$P:$P)="","","【限时】"&amp;_xlfn.XLOOKUP($A312&amp;$B312&amp;$C312,盘货信息!$A:$A&amp;盘货信息!$B:$B&amp;盘货信息!$C:$C,盘货信息!$P:$P))</f>
        <v/>
      </c>
      <c r="N312" s="27" t="str" cm="1">
        <f t="array" ref="N312">IF(_xlfn.XLOOKUP($A312&amp;$B312&amp;$C312,盘货信息!$A:$A&amp;盘货信息!$B:$B&amp;盘货信息!$C:$C,盘货信息!$V:$V)="","","【"&amp;盘货信息!$V$1&amp;"】"&amp;_xlfn.XLOOKUP($A312&amp;$B312&amp;$C312,盘货信息!$A:$A&amp;盘货信息!$B:$B&amp;盘货信息!$C:$C,盘货信息!$V:$V))</f>
        <v/>
      </c>
      <c r="O312" s="27" t="str" cm="1">
        <f t="array" ref="O312">IF(_xlfn.XLOOKUP($A312&amp;$B312&amp;$C312,盘货信息!$A:$A&amp;盘货信息!$B:$B&amp;盘货信息!$C:$C,盘货信息!$W:$W)="","","【"&amp;盘货信息!$W$1&amp;"】"&amp;_xlfn.XLOOKUP($A312&amp;$B312&amp;$C312,盘货信息!$A:$A&amp;盘货信息!$B:$B&amp;盘货信息!$C:$C,盘货信息!$W:$W))</f>
        <v/>
      </c>
      <c r="P312" s="27" t="str" cm="1">
        <f t="array" ref="P312">IF(_xlfn.XLOOKUP($A312&amp;$B312&amp;$C312,盘货信息!$A:$A&amp;盘货信息!$B:$B&amp;盘货信息!$C:$C,盘货信息!$S:$S)&lt;1,"","【"&amp;盘货信息!$S$1&amp;"】"&amp;"后返"&amp;_xlfn.XLOOKUP($A312&amp;$B312&amp;$C312,盘货信息!$A:$A&amp;盘货信息!$B:$B&amp;盘货信息!$C:$C,盘货信息!$S:$S)&amp;"元")</f>
        <v/>
      </c>
      <c r="Q312" s="27" t="str" cm="1">
        <f t="array" ref="Q312">IF(_xlfn.XLOOKUP($A312&amp;$B312&amp;$C312,盘货信息!$A:$A&amp;盘货信息!$B:$B&amp;盘货信息!$C:$C,盘货信息!$X:$X)="","","【"&amp;盘货信息!$X$1&amp;"】"&amp;_xlfn.XLOOKUP($A312&amp;$B312&amp;$C312,盘货信息!$A:$A&amp;盘货信息!$B:$B&amp;盘货信息!$C:$C,盘货信息!$X:$X))</f>
        <v/>
      </c>
      <c r="R312" s="27" t="str" cm="1">
        <f t="array" ref="R312">IF(_xlfn.XLOOKUP($A312&amp;$B312&amp;$C312,盘货信息!$A:$A&amp;盘货信息!$B:$B&amp;盘货信息!$C:$C,盘货信息!$Z:$Z)="","","【"&amp;盘货信息!$Z$1&amp;"】"&amp;_xlfn.XLOOKUP($A312&amp;$B312&amp;$C312,盘货信息!$A:$A&amp;盘货信息!$B:$B&amp;盘货信息!$C:$C,盘货信息!$Z:$Z))</f>
        <v/>
      </c>
      <c r="S312" s="27" t="str" cm="1">
        <f t="array" ref="S312">IF(_xlfn.XLOOKUP($A312&amp;$B312&amp;$C312,盘货信息!$A:$A&amp;盘货信息!$B:$B&amp;盘货信息!$C:$C,盘货信息!$Q:$Q)="","","【种草】站外带指定话题种草后返"&amp;_xlfn.XLOOKUP($A312&amp;$B312&amp;$C312,盘货信息!$A:$A&amp;盘货信息!$B:$B&amp;盘货信息!$C:$C,盘货信息!$Q:$Q)&amp;"元红包（每个淘宝账号仅限对应一个站外种草账号，同一个种草账号不可对应多个淘宝账号）")</f>
        <v/>
      </c>
      <c r="T312" s="27" t="str" cm="1">
        <f t="array" ref="T312">IF(_xlfn.XLOOKUP($A312&amp;$B312&amp;$C312,盘货信息!$A:$A&amp;盘货信息!$B:$B&amp;盘货信息!$C:$C,盘货信息!$R:$R)&lt;1,"","【以旧换新】"&amp;"享补贴"&amp;ROUND(_xlfn.XLOOKUP($A312&amp;$B312&amp;$C312,盘货信息!$A:$A&amp;盘货信息!$B:$B&amp;盘货信息!$C:$C,盘货信息!$R:$R),0)&amp;"元（可无旧机换新）")</f>
        <v/>
      </c>
      <c r="U312" s="27" t="str">
        <f>IF(AND($N312="",$O312="",$P312="",$Q312="",$R312="",$S312="",$T312=""),"",固定信息!$B$1)</f>
        <v/>
      </c>
      <c r="V312" s="27" t="str" cm="1">
        <f t="array" ref="V312">IF(_xlfn.XLOOKUP($A312&amp;$B312&amp;$C312,盘货信息!$A:$A&amp;盘货信息!$B:$B&amp;盘货信息!$C:$C,盘货信息!$Y:$Y)="","","【卡萨帝送赠】活动指定时间"&amp;_xlfn.TEXTBEFORE(_xlfn.TEXTAFTER(_xlfn.XLOOKUP($A312&amp;$B312&amp;$C312,盘货信息!$A:$A&amp;盘货信息!$B:$B&amp;盘货信息!$C:$C,盘货信息!$Y:$Y),"点"),"（"))</f>
        <v/>
      </c>
      <c r="W312" s="27" t="str" cm="1">
        <f t="array" ref="W312">IF(COUNTIF(_xlfn.XLOOKUP($A312&amp;$B312&amp;$C312,盘货信息!$A:$A&amp;盘货信息!$B:$B&amp;盘货信息!$C:$C,盘货信息!$O:$O),"*是*"),"【折扣】指定型号满2类享96折，满3类享94折","")</f>
        <v/>
      </c>
      <c r="X312" s="27" t="str" cm="1">
        <f t="array" ref="X312">IF(固定信息!$B$7="","",IF(_xlfn.XLOOKUP($A312&amp;$B312&amp;$C312,盘货信息!$A:$A&amp;盘货信息!$B:$B&amp;盘货信息!$C:$C,盘货信息!$N:$N)="是","【瓜分】"&amp;固定信息!$B$7,""))</f>
        <v/>
      </c>
      <c r="Y312" s="27" t="str">
        <f>IF(AND($V312="",$W312="",$X312=""),"",固定信息!$B$1)</f>
        <v/>
      </c>
      <c r="Z312" s="27" t="str" cm="1">
        <f t="array" ref="Z312">IF($C312="","",_xlfn.XLOOKUP($A312&amp;$B312&amp;$C312,服务!$A:$A&amp;服务!$B:$B&amp;服务!$C:$C,服务!$D:$D))</f>
        <v/>
      </c>
    </row>
    <row r="313" customHeight="1" spans="1:26">
      <c r="A313" s="23" t="str">
        <f>IF(盘货信息!A313="","",盘货信息!A313)</f>
        <v/>
      </c>
      <c r="B313" s="26" t="str">
        <f>IF(盘货信息!B313="","",盘货信息!B313)</f>
        <v/>
      </c>
      <c r="C313" s="23" t="str">
        <f>IF(盘货信息!C313="","",盘货信息!C313)</f>
        <v/>
      </c>
      <c r="D313" s="27" t="str">
        <f ca="1" t="shared" si="4"/>
        <v/>
      </c>
      <c r="E313" s="27" t="str">
        <f>IF(C313="","",固定信息!$B$2)</f>
        <v/>
      </c>
      <c r="F313" s="27" t="str">
        <f>IF(C313="","","【"&amp;C313&amp;"】"&amp;固定信息!$B$4)</f>
        <v/>
      </c>
      <c r="G313" s="27" t="str">
        <f>IF(C313="","","【"&amp;"活动时间："&amp;固定信息!$B$3&amp;"】")</f>
        <v/>
      </c>
      <c r="H313" s="27" t="str">
        <f>IF($C313="","",固定信息!$B$1)</f>
        <v/>
      </c>
      <c r="I313" s="27" t="str">
        <f>IF(OR(C313="",固定信息!$B$5=""),"","【1元预约锁好礼】"&amp;固定信息!$B$5)</f>
        <v/>
      </c>
      <c r="J313" s="27" t="str" cm="1">
        <f t="array" ref="J313">_xlfn.XLOOKUP($A313&amp;$B313&amp;$C313,价格信息!$A:$A&amp;价格信息!$B:$B&amp;价格信息!$C:$C,价格信息!$D:$D)</f>
        <v/>
      </c>
      <c r="K313" s="27" t="str">
        <f>IF($C313="","",固定信息!$B$1)</f>
        <v/>
      </c>
      <c r="L313" s="27" t="str" cm="1">
        <f t="array" ref="L313">IF(_xlfn.XLOOKUP($A313&amp;$B313&amp;$C313,盘货信息!$A:$A&amp;盘货信息!$B:$B&amp;盘货信息!$C:$C,盘货信息!$T:$T)="","","【优惠券】领"&amp;_xlfn.XLOOKUP($A313&amp;$B313&amp;$C313,盘货信息!$A:$A&amp;盘货信息!$B:$B&amp;盘货信息!$C:$C,盘货信息!$T:$T)&amp;"元优惠卷下单更优惠，领券链接："&amp;_xlfn.XLOOKUP($A313&amp;$B313&amp;$C313,盘货信息!$A:$A&amp;盘货信息!$B:$B&amp;盘货信息!$C:$C,盘货信息!$U:$U))</f>
        <v/>
      </c>
      <c r="M313" s="27" t="str" cm="1">
        <f t="array" ref="M313">IF(_xlfn.XLOOKUP($A313&amp;$B313&amp;$C313,盘货信息!$A:$A&amp;盘货信息!$B:$B&amp;盘货信息!$C:$C,盘货信息!$P:$P)="","","【限时】"&amp;_xlfn.XLOOKUP($A313&amp;$B313&amp;$C313,盘货信息!$A:$A&amp;盘货信息!$B:$B&amp;盘货信息!$C:$C,盘货信息!$P:$P))</f>
        <v/>
      </c>
      <c r="N313" s="27" t="str" cm="1">
        <f t="array" ref="N313">IF(_xlfn.XLOOKUP($A313&amp;$B313&amp;$C313,盘货信息!$A:$A&amp;盘货信息!$B:$B&amp;盘货信息!$C:$C,盘货信息!$V:$V)="","","【"&amp;盘货信息!$V$1&amp;"】"&amp;_xlfn.XLOOKUP($A313&amp;$B313&amp;$C313,盘货信息!$A:$A&amp;盘货信息!$B:$B&amp;盘货信息!$C:$C,盘货信息!$V:$V))</f>
        <v/>
      </c>
      <c r="O313" s="27" t="str" cm="1">
        <f t="array" ref="O313">IF(_xlfn.XLOOKUP($A313&amp;$B313&amp;$C313,盘货信息!$A:$A&amp;盘货信息!$B:$B&amp;盘货信息!$C:$C,盘货信息!$W:$W)="","","【"&amp;盘货信息!$W$1&amp;"】"&amp;_xlfn.XLOOKUP($A313&amp;$B313&amp;$C313,盘货信息!$A:$A&amp;盘货信息!$B:$B&amp;盘货信息!$C:$C,盘货信息!$W:$W))</f>
        <v/>
      </c>
      <c r="P313" s="27" t="str" cm="1">
        <f t="array" ref="P313">IF(_xlfn.XLOOKUP($A313&amp;$B313&amp;$C313,盘货信息!$A:$A&amp;盘货信息!$B:$B&amp;盘货信息!$C:$C,盘货信息!$S:$S)&lt;1,"","【"&amp;盘货信息!$S$1&amp;"】"&amp;"后返"&amp;_xlfn.XLOOKUP($A313&amp;$B313&amp;$C313,盘货信息!$A:$A&amp;盘货信息!$B:$B&amp;盘货信息!$C:$C,盘货信息!$S:$S)&amp;"元")</f>
        <v/>
      </c>
      <c r="Q313" s="27" t="str" cm="1">
        <f t="array" ref="Q313">IF(_xlfn.XLOOKUP($A313&amp;$B313&amp;$C313,盘货信息!$A:$A&amp;盘货信息!$B:$B&amp;盘货信息!$C:$C,盘货信息!$X:$X)="","","【"&amp;盘货信息!$X$1&amp;"】"&amp;_xlfn.XLOOKUP($A313&amp;$B313&amp;$C313,盘货信息!$A:$A&amp;盘货信息!$B:$B&amp;盘货信息!$C:$C,盘货信息!$X:$X))</f>
        <v/>
      </c>
      <c r="R313" s="27" t="str" cm="1">
        <f t="array" ref="R313">IF(_xlfn.XLOOKUP($A313&amp;$B313&amp;$C313,盘货信息!$A:$A&amp;盘货信息!$B:$B&amp;盘货信息!$C:$C,盘货信息!$Z:$Z)="","","【"&amp;盘货信息!$Z$1&amp;"】"&amp;_xlfn.XLOOKUP($A313&amp;$B313&amp;$C313,盘货信息!$A:$A&amp;盘货信息!$B:$B&amp;盘货信息!$C:$C,盘货信息!$Z:$Z))</f>
        <v/>
      </c>
      <c r="S313" s="27" t="str" cm="1">
        <f t="array" ref="S313">IF(_xlfn.XLOOKUP($A313&amp;$B313&amp;$C313,盘货信息!$A:$A&amp;盘货信息!$B:$B&amp;盘货信息!$C:$C,盘货信息!$Q:$Q)="","","【种草】站外带指定话题种草后返"&amp;_xlfn.XLOOKUP($A313&amp;$B313&amp;$C313,盘货信息!$A:$A&amp;盘货信息!$B:$B&amp;盘货信息!$C:$C,盘货信息!$Q:$Q)&amp;"元红包（每个淘宝账号仅限对应一个站外种草账号，同一个种草账号不可对应多个淘宝账号）")</f>
        <v/>
      </c>
      <c r="T313" s="27" t="str" cm="1">
        <f t="array" ref="T313">IF(_xlfn.XLOOKUP($A313&amp;$B313&amp;$C313,盘货信息!$A:$A&amp;盘货信息!$B:$B&amp;盘货信息!$C:$C,盘货信息!$R:$R)&lt;1,"","【以旧换新】"&amp;"享补贴"&amp;ROUND(_xlfn.XLOOKUP($A313&amp;$B313&amp;$C313,盘货信息!$A:$A&amp;盘货信息!$B:$B&amp;盘货信息!$C:$C,盘货信息!$R:$R),0)&amp;"元（可无旧机换新）")</f>
        <v/>
      </c>
      <c r="U313" s="27" t="str">
        <f>IF(AND($N313="",$O313="",$P313="",$Q313="",$R313="",$S313="",$T313=""),"",固定信息!$B$1)</f>
        <v/>
      </c>
      <c r="V313" s="27" t="str" cm="1">
        <f t="array" ref="V313">IF(_xlfn.XLOOKUP($A313&amp;$B313&amp;$C313,盘货信息!$A:$A&amp;盘货信息!$B:$B&amp;盘货信息!$C:$C,盘货信息!$Y:$Y)="","","【卡萨帝送赠】活动指定时间"&amp;_xlfn.TEXTBEFORE(_xlfn.TEXTAFTER(_xlfn.XLOOKUP($A313&amp;$B313&amp;$C313,盘货信息!$A:$A&amp;盘货信息!$B:$B&amp;盘货信息!$C:$C,盘货信息!$Y:$Y),"点"),"（"))</f>
        <v/>
      </c>
      <c r="W313" s="27" t="str" cm="1">
        <f t="array" ref="W313">IF(COUNTIF(_xlfn.XLOOKUP($A313&amp;$B313&amp;$C313,盘货信息!$A:$A&amp;盘货信息!$B:$B&amp;盘货信息!$C:$C,盘货信息!$O:$O),"*是*"),"【折扣】指定型号满2类享96折，满3类享94折","")</f>
        <v/>
      </c>
      <c r="X313" s="27" t="str" cm="1">
        <f t="array" ref="X313">IF(固定信息!$B$7="","",IF(_xlfn.XLOOKUP($A313&amp;$B313&amp;$C313,盘货信息!$A:$A&amp;盘货信息!$B:$B&amp;盘货信息!$C:$C,盘货信息!$N:$N)="是","【瓜分】"&amp;固定信息!$B$7,""))</f>
        <v/>
      </c>
      <c r="Y313" s="27" t="str">
        <f>IF(AND($V313="",$W313="",$X313=""),"",固定信息!$B$1)</f>
        <v/>
      </c>
      <c r="Z313" s="27" t="str" cm="1">
        <f t="array" ref="Z313">IF($C313="","",_xlfn.XLOOKUP($A313&amp;$B313&amp;$C313,服务!$A:$A&amp;服务!$B:$B&amp;服务!$C:$C,服务!$D:$D))</f>
        <v/>
      </c>
    </row>
    <row r="314" customHeight="1" spans="1:26">
      <c r="A314" s="23" t="str">
        <f>IF(盘货信息!A314="","",盘货信息!A314)</f>
        <v/>
      </c>
      <c r="B314" s="26" t="str">
        <f>IF(盘货信息!B314="","",盘货信息!B314)</f>
        <v/>
      </c>
      <c r="C314" s="23" t="str">
        <f>IF(盘货信息!C314="","",盘货信息!C314)</f>
        <v/>
      </c>
      <c r="D314" s="27" t="str">
        <f ca="1" t="shared" si="4"/>
        <v/>
      </c>
      <c r="E314" s="27" t="str">
        <f>IF(C314="","",固定信息!$B$2)</f>
        <v/>
      </c>
      <c r="F314" s="27" t="str">
        <f>IF(C314="","","【"&amp;C314&amp;"】"&amp;固定信息!$B$4)</f>
        <v/>
      </c>
      <c r="G314" s="27" t="str">
        <f>IF(C314="","","【"&amp;"活动时间："&amp;固定信息!$B$3&amp;"】")</f>
        <v/>
      </c>
      <c r="H314" s="27" t="str">
        <f>IF($C314="","",固定信息!$B$1)</f>
        <v/>
      </c>
      <c r="I314" s="27" t="str">
        <f>IF(OR(C314="",固定信息!$B$5=""),"","【1元预约锁好礼】"&amp;固定信息!$B$5)</f>
        <v/>
      </c>
      <c r="J314" s="27" t="str" cm="1">
        <f t="array" ref="J314">_xlfn.XLOOKUP($A314&amp;$B314&amp;$C314,价格信息!$A:$A&amp;价格信息!$B:$B&amp;价格信息!$C:$C,价格信息!$D:$D)</f>
        <v/>
      </c>
      <c r="K314" s="27" t="str">
        <f>IF($C314="","",固定信息!$B$1)</f>
        <v/>
      </c>
      <c r="L314" s="27" t="str" cm="1">
        <f t="array" ref="L314">IF(_xlfn.XLOOKUP($A314&amp;$B314&amp;$C314,盘货信息!$A:$A&amp;盘货信息!$B:$B&amp;盘货信息!$C:$C,盘货信息!$T:$T)="","","【优惠券】领"&amp;_xlfn.XLOOKUP($A314&amp;$B314&amp;$C314,盘货信息!$A:$A&amp;盘货信息!$B:$B&amp;盘货信息!$C:$C,盘货信息!$T:$T)&amp;"元优惠卷下单更优惠，领券链接："&amp;_xlfn.XLOOKUP($A314&amp;$B314&amp;$C314,盘货信息!$A:$A&amp;盘货信息!$B:$B&amp;盘货信息!$C:$C,盘货信息!$U:$U))</f>
        <v/>
      </c>
      <c r="M314" s="27" t="str" cm="1">
        <f t="array" ref="M314">IF(_xlfn.XLOOKUP($A314&amp;$B314&amp;$C314,盘货信息!$A:$A&amp;盘货信息!$B:$B&amp;盘货信息!$C:$C,盘货信息!$P:$P)="","","【限时】"&amp;_xlfn.XLOOKUP($A314&amp;$B314&amp;$C314,盘货信息!$A:$A&amp;盘货信息!$B:$B&amp;盘货信息!$C:$C,盘货信息!$P:$P))</f>
        <v/>
      </c>
      <c r="N314" s="27" t="str" cm="1">
        <f t="array" ref="N314">IF(_xlfn.XLOOKUP($A314&amp;$B314&amp;$C314,盘货信息!$A:$A&amp;盘货信息!$B:$B&amp;盘货信息!$C:$C,盘货信息!$V:$V)="","","【"&amp;盘货信息!$V$1&amp;"】"&amp;_xlfn.XLOOKUP($A314&amp;$B314&amp;$C314,盘货信息!$A:$A&amp;盘货信息!$B:$B&amp;盘货信息!$C:$C,盘货信息!$V:$V))</f>
        <v/>
      </c>
      <c r="O314" s="27" t="str" cm="1">
        <f t="array" ref="O314">IF(_xlfn.XLOOKUP($A314&amp;$B314&amp;$C314,盘货信息!$A:$A&amp;盘货信息!$B:$B&amp;盘货信息!$C:$C,盘货信息!$W:$W)="","","【"&amp;盘货信息!$W$1&amp;"】"&amp;_xlfn.XLOOKUP($A314&amp;$B314&amp;$C314,盘货信息!$A:$A&amp;盘货信息!$B:$B&amp;盘货信息!$C:$C,盘货信息!$W:$W))</f>
        <v/>
      </c>
      <c r="P314" s="27" t="str" cm="1">
        <f t="array" ref="P314">IF(_xlfn.XLOOKUP($A314&amp;$B314&amp;$C314,盘货信息!$A:$A&amp;盘货信息!$B:$B&amp;盘货信息!$C:$C,盘货信息!$S:$S)&lt;1,"","【"&amp;盘货信息!$S$1&amp;"】"&amp;"后返"&amp;_xlfn.XLOOKUP($A314&amp;$B314&amp;$C314,盘货信息!$A:$A&amp;盘货信息!$B:$B&amp;盘货信息!$C:$C,盘货信息!$S:$S)&amp;"元")</f>
        <v/>
      </c>
      <c r="Q314" s="27" t="str" cm="1">
        <f t="array" ref="Q314">IF(_xlfn.XLOOKUP($A314&amp;$B314&amp;$C314,盘货信息!$A:$A&amp;盘货信息!$B:$B&amp;盘货信息!$C:$C,盘货信息!$X:$X)="","","【"&amp;盘货信息!$X$1&amp;"】"&amp;_xlfn.XLOOKUP($A314&amp;$B314&amp;$C314,盘货信息!$A:$A&amp;盘货信息!$B:$B&amp;盘货信息!$C:$C,盘货信息!$X:$X))</f>
        <v/>
      </c>
      <c r="R314" s="27" t="str" cm="1">
        <f t="array" ref="R314">IF(_xlfn.XLOOKUP($A314&amp;$B314&amp;$C314,盘货信息!$A:$A&amp;盘货信息!$B:$B&amp;盘货信息!$C:$C,盘货信息!$Z:$Z)="","","【"&amp;盘货信息!$Z$1&amp;"】"&amp;_xlfn.XLOOKUP($A314&amp;$B314&amp;$C314,盘货信息!$A:$A&amp;盘货信息!$B:$B&amp;盘货信息!$C:$C,盘货信息!$Z:$Z))</f>
        <v/>
      </c>
      <c r="S314" s="27" t="str" cm="1">
        <f t="array" ref="S314">IF(_xlfn.XLOOKUP($A314&amp;$B314&amp;$C314,盘货信息!$A:$A&amp;盘货信息!$B:$B&amp;盘货信息!$C:$C,盘货信息!$Q:$Q)="","","【种草】站外带指定话题种草后返"&amp;_xlfn.XLOOKUP($A314&amp;$B314&amp;$C314,盘货信息!$A:$A&amp;盘货信息!$B:$B&amp;盘货信息!$C:$C,盘货信息!$Q:$Q)&amp;"元红包（每个淘宝账号仅限对应一个站外种草账号，同一个种草账号不可对应多个淘宝账号）")</f>
        <v/>
      </c>
      <c r="T314" s="27" t="str" cm="1">
        <f t="array" ref="T314">IF(_xlfn.XLOOKUP($A314&amp;$B314&amp;$C314,盘货信息!$A:$A&amp;盘货信息!$B:$B&amp;盘货信息!$C:$C,盘货信息!$R:$R)&lt;1,"","【以旧换新】"&amp;"享补贴"&amp;ROUND(_xlfn.XLOOKUP($A314&amp;$B314&amp;$C314,盘货信息!$A:$A&amp;盘货信息!$B:$B&amp;盘货信息!$C:$C,盘货信息!$R:$R),0)&amp;"元（可无旧机换新）")</f>
        <v/>
      </c>
      <c r="U314" s="27" t="str">
        <f>IF(AND($N314="",$O314="",$P314="",$Q314="",$R314="",$S314="",$T314=""),"",固定信息!$B$1)</f>
        <v/>
      </c>
      <c r="V314" s="27" t="str" cm="1">
        <f t="array" ref="V314">IF(_xlfn.XLOOKUP($A314&amp;$B314&amp;$C314,盘货信息!$A:$A&amp;盘货信息!$B:$B&amp;盘货信息!$C:$C,盘货信息!$Y:$Y)="","","【卡萨帝送赠】活动指定时间"&amp;_xlfn.TEXTBEFORE(_xlfn.TEXTAFTER(_xlfn.XLOOKUP($A314&amp;$B314&amp;$C314,盘货信息!$A:$A&amp;盘货信息!$B:$B&amp;盘货信息!$C:$C,盘货信息!$Y:$Y),"点"),"（"))</f>
        <v/>
      </c>
      <c r="W314" s="27" t="str" cm="1">
        <f t="array" ref="W314">IF(COUNTIF(_xlfn.XLOOKUP($A314&amp;$B314&amp;$C314,盘货信息!$A:$A&amp;盘货信息!$B:$B&amp;盘货信息!$C:$C,盘货信息!$O:$O),"*是*"),"【折扣】指定型号满2类享96折，满3类享94折","")</f>
        <v/>
      </c>
      <c r="X314" s="27" t="str" cm="1">
        <f t="array" ref="X314">IF(固定信息!$B$7="","",IF(_xlfn.XLOOKUP($A314&amp;$B314&amp;$C314,盘货信息!$A:$A&amp;盘货信息!$B:$B&amp;盘货信息!$C:$C,盘货信息!$N:$N)="是","【瓜分】"&amp;固定信息!$B$7,""))</f>
        <v/>
      </c>
      <c r="Y314" s="27" t="str">
        <f>IF(AND($V314="",$W314="",$X314=""),"",固定信息!$B$1)</f>
        <v/>
      </c>
      <c r="Z314" s="27" t="str" cm="1">
        <f t="array" ref="Z314">IF($C314="","",_xlfn.XLOOKUP($A314&amp;$B314&amp;$C314,服务!$A:$A&amp;服务!$B:$B&amp;服务!$C:$C,服务!$D:$D))</f>
        <v/>
      </c>
    </row>
    <row r="315" customHeight="1" spans="1:26">
      <c r="A315" s="23" t="str">
        <f>IF(盘货信息!A315="","",盘货信息!A315)</f>
        <v/>
      </c>
      <c r="B315" s="26" t="str">
        <f>IF(盘货信息!B315="","",盘货信息!B315)</f>
        <v/>
      </c>
      <c r="C315" s="23" t="str">
        <f>IF(盘货信息!C315="","",盘货信息!C315)</f>
        <v/>
      </c>
      <c r="D315" s="27" t="str">
        <f ca="1" t="shared" si="4"/>
        <v/>
      </c>
      <c r="E315" s="27" t="str">
        <f>IF(C315="","",固定信息!$B$2)</f>
        <v/>
      </c>
      <c r="F315" s="27" t="str">
        <f>IF(C315="","","【"&amp;C315&amp;"】"&amp;固定信息!$B$4)</f>
        <v/>
      </c>
      <c r="G315" s="27" t="str">
        <f>IF(C315="","","【"&amp;"活动时间："&amp;固定信息!$B$3&amp;"】")</f>
        <v/>
      </c>
      <c r="H315" s="27" t="str">
        <f>IF($C315="","",固定信息!$B$1)</f>
        <v/>
      </c>
      <c r="I315" s="27" t="str">
        <f>IF(OR(C315="",固定信息!$B$5=""),"","【1元预约锁好礼】"&amp;固定信息!$B$5)</f>
        <v/>
      </c>
      <c r="J315" s="27" t="str" cm="1">
        <f t="array" ref="J315">_xlfn.XLOOKUP($A315&amp;$B315&amp;$C315,价格信息!$A:$A&amp;价格信息!$B:$B&amp;价格信息!$C:$C,价格信息!$D:$D)</f>
        <v/>
      </c>
      <c r="K315" s="27" t="str">
        <f>IF($C315="","",固定信息!$B$1)</f>
        <v/>
      </c>
      <c r="L315" s="27" t="str" cm="1">
        <f t="array" ref="L315">IF(_xlfn.XLOOKUP($A315&amp;$B315&amp;$C315,盘货信息!$A:$A&amp;盘货信息!$B:$B&amp;盘货信息!$C:$C,盘货信息!$T:$T)="","","【优惠券】领"&amp;_xlfn.XLOOKUP($A315&amp;$B315&amp;$C315,盘货信息!$A:$A&amp;盘货信息!$B:$B&amp;盘货信息!$C:$C,盘货信息!$T:$T)&amp;"元优惠卷下单更优惠，领券链接："&amp;_xlfn.XLOOKUP($A315&amp;$B315&amp;$C315,盘货信息!$A:$A&amp;盘货信息!$B:$B&amp;盘货信息!$C:$C,盘货信息!$U:$U))</f>
        <v/>
      </c>
      <c r="M315" s="27" t="str" cm="1">
        <f t="array" ref="M315">IF(_xlfn.XLOOKUP($A315&amp;$B315&amp;$C315,盘货信息!$A:$A&amp;盘货信息!$B:$B&amp;盘货信息!$C:$C,盘货信息!$P:$P)="","","【限时】"&amp;_xlfn.XLOOKUP($A315&amp;$B315&amp;$C315,盘货信息!$A:$A&amp;盘货信息!$B:$B&amp;盘货信息!$C:$C,盘货信息!$P:$P))</f>
        <v/>
      </c>
      <c r="N315" s="27" t="str" cm="1">
        <f t="array" ref="N315">IF(_xlfn.XLOOKUP($A315&amp;$B315&amp;$C315,盘货信息!$A:$A&amp;盘货信息!$B:$B&amp;盘货信息!$C:$C,盘货信息!$V:$V)="","","【"&amp;盘货信息!$V$1&amp;"】"&amp;_xlfn.XLOOKUP($A315&amp;$B315&amp;$C315,盘货信息!$A:$A&amp;盘货信息!$B:$B&amp;盘货信息!$C:$C,盘货信息!$V:$V))</f>
        <v/>
      </c>
      <c r="O315" s="27" t="str" cm="1">
        <f t="array" ref="O315">IF(_xlfn.XLOOKUP($A315&amp;$B315&amp;$C315,盘货信息!$A:$A&amp;盘货信息!$B:$B&amp;盘货信息!$C:$C,盘货信息!$W:$W)="","","【"&amp;盘货信息!$W$1&amp;"】"&amp;_xlfn.XLOOKUP($A315&amp;$B315&amp;$C315,盘货信息!$A:$A&amp;盘货信息!$B:$B&amp;盘货信息!$C:$C,盘货信息!$W:$W))</f>
        <v/>
      </c>
      <c r="P315" s="27" t="str" cm="1">
        <f t="array" ref="P315">IF(_xlfn.XLOOKUP($A315&amp;$B315&amp;$C315,盘货信息!$A:$A&amp;盘货信息!$B:$B&amp;盘货信息!$C:$C,盘货信息!$S:$S)&lt;1,"","【"&amp;盘货信息!$S$1&amp;"】"&amp;"后返"&amp;_xlfn.XLOOKUP($A315&amp;$B315&amp;$C315,盘货信息!$A:$A&amp;盘货信息!$B:$B&amp;盘货信息!$C:$C,盘货信息!$S:$S)&amp;"元")</f>
        <v/>
      </c>
      <c r="Q315" s="27" t="str" cm="1">
        <f t="array" ref="Q315">IF(_xlfn.XLOOKUP($A315&amp;$B315&amp;$C315,盘货信息!$A:$A&amp;盘货信息!$B:$B&amp;盘货信息!$C:$C,盘货信息!$X:$X)="","","【"&amp;盘货信息!$X$1&amp;"】"&amp;_xlfn.XLOOKUP($A315&amp;$B315&amp;$C315,盘货信息!$A:$A&amp;盘货信息!$B:$B&amp;盘货信息!$C:$C,盘货信息!$X:$X))</f>
        <v/>
      </c>
      <c r="R315" s="27" t="str" cm="1">
        <f t="array" ref="R315">IF(_xlfn.XLOOKUP($A315&amp;$B315&amp;$C315,盘货信息!$A:$A&amp;盘货信息!$B:$B&amp;盘货信息!$C:$C,盘货信息!$Z:$Z)="","","【"&amp;盘货信息!$Z$1&amp;"】"&amp;_xlfn.XLOOKUP($A315&amp;$B315&amp;$C315,盘货信息!$A:$A&amp;盘货信息!$B:$B&amp;盘货信息!$C:$C,盘货信息!$Z:$Z))</f>
        <v/>
      </c>
      <c r="S315" s="27" t="str" cm="1">
        <f t="array" ref="S315">IF(_xlfn.XLOOKUP($A315&amp;$B315&amp;$C315,盘货信息!$A:$A&amp;盘货信息!$B:$B&amp;盘货信息!$C:$C,盘货信息!$Q:$Q)="","","【种草】站外带指定话题种草后返"&amp;_xlfn.XLOOKUP($A315&amp;$B315&amp;$C315,盘货信息!$A:$A&amp;盘货信息!$B:$B&amp;盘货信息!$C:$C,盘货信息!$Q:$Q)&amp;"元红包（每个淘宝账号仅限对应一个站外种草账号，同一个种草账号不可对应多个淘宝账号）")</f>
        <v/>
      </c>
      <c r="T315" s="27" t="str" cm="1">
        <f t="array" ref="T315">IF(_xlfn.XLOOKUP($A315&amp;$B315&amp;$C315,盘货信息!$A:$A&amp;盘货信息!$B:$B&amp;盘货信息!$C:$C,盘货信息!$R:$R)&lt;1,"","【以旧换新】"&amp;"享补贴"&amp;ROUND(_xlfn.XLOOKUP($A315&amp;$B315&amp;$C315,盘货信息!$A:$A&amp;盘货信息!$B:$B&amp;盘货信息!$C:$C,盘货信息!$R:$R),0)&amp;"元（可无旧机换新）")</f>
        <v/>
      </c>
      <c r="U315" s="27" t="str">
        <f>IF(AND($N315="",$O315="",$P315="",$Q315="",$R315="",$S315="",$T315=""),"",固定信息!$B$1)</f>
        <v/>
      </c>
      <c r="V315" s="27" t="str" cm="1">
        <f t="array" ref="V315">IF(_xlfn.XLOOKUP($A315&amp;$B315&amp;$C315,盘货信息!$A:$A&amp;盘货信息!$B:$B&amp;盘货信息!$C:$C,盘货信息!$Y:$Y)="","","【卡萨帝送赠】活动指定时间"&amp;_xlfn.TEXTBEFORE(_xlfn.TEXTAFTER(_xlfn.XLOOKUP($A315&amp;$B315&amp;$C315,盘货信息!$A:$A&amp;盘货信息!$B:$B&amp;盘货信息!$C:$C,盘货信息!$Y:$Y),"点"),"（"))</f>
        <v/>
      </c>
      <c r="W315" s="27" t="str" cm="1">
        <f t="array" ref="W315">IF(COUNTIF(_xlfn.XLOOKUP($A315&amp;$B315&amp;$C315,盘货信息!$A:$A&amp;盘货信息!$B:$B&amp;盘货信息!$C:$C,盘货信息!$O:$O),"*是*"),"【折扣】指定型号满2类享96折，满3类享94折","")</f>
        <v/>
      </c>
      <c r="X315" s="27" t="str" cm="1">
        <f t="array" ref="X315">IF(固定信息!$B$7="","",IF(_xlfn.XLOOKUP($A315&amp;$B315&amp;$C315,盘货信息!$A:$A&amp;盘货信息!$B:$B&amp;盘货信息!$C:$C,盘货信息!$N:$N)="是","【瓜分】"&amp;固定信息!$B$7,""))</f>
        <v/>
      </c>
      <c r="Y315" s="27" t="str">
        <f>IF(AND($V315="",$W315="",$X315=""),"",固定信息!$B$1)</f>
        <v/>
      </c>
      <c r="Z315" s="27" t="str" cm="1">
        <f t="array" ref="Z315">IF($C315="","",_xlfn.XLOOKUP($A315&amp;$B315&amp;$C315,服务!$A:$A&amp;服务!$B:$B&amp;服务!$C:$C,服务!$D:$D))</f>
        <v/>
      </c>
    </row>
    <row r="316" customHeight="1" spans="1:26">
      <c r="A316" s="23" t="str">
        <f>IF(盘货信息!A316="","",盘货信息!A316)</f>
        <v/>
      </c>
      <c r="B316" s="26" t="str">
        <f>IF(盘货信息!B316="","",盘货信息!B316)</f>
        <v/>
      </c>
      <c r="C316" s="23" t="str">
        <f>IF(盘货信息!C316="","",盘货信息!C316)</f>
        <v/>
      </c>
      <c r="D316" s="27" t="str">
        <f ca="1" t="shared" si="4"/>
        <v/>
      </c>
      <c r="E316" s="27" t="str">
        <f>IF(C316="","",固定信息!$B$2)</f>
        <v/>
      </c>
      <c r="F316" s="27" t="str">
        <f>IF(C316="","","【"&amp;C316&amp;"】"&amp;固定信息!$B$4)</f>
        <v/>
      </c>
      <c r="G316" s="27" t="str">
        <f>IF(C316="","","【"&amp;"活动时间："&amp;固定信息!$B$3&amp;"】")</f>
        <v/>
      </c>
      <c r="H316" s="27" t="str">
        <f>IF($C316="","",固定信息!$B$1)</f>
        <v/>
      </c>
      <c r="I316" s="27" t="str">
        <f>IF(OR(C316="",固定信息!$B$5=""),"","【1元预约锁好礼】"&amp;固定信息!$B$5)</f>
        <v/>
      </c>
      <c r="J316" s="27" t="str" cm="1">
        <f t="array" ref="J316">_xlfn.XLOOKUP($A316&amp;$B316&amp;$C316,价格信息!$A:$A&amp;价格信息!$B:$B&amp;价格信息!$C:$C,价格信息!$D:$D)</f>
        <v/>
      </c>
      <c r="K316" s="27" t="str">
        <f>IF($C316="","",固定信息!$B$1)</f>
        <v/>
      </c>
      <c r="L316" s="27" t="str" cm="1">
        <f t="array" ref="L316">IF(_xlfn.XLOOKUP($A316&amp;$B316&amp;$C316,盘货信息!$A:$A&amp;盘货信息!$B:$B&amp;盘货信息!$C:$C,盘货信息!$T:$T)="","","【优惠券】领"&amp;_xlfn.XLOOKUP($A316&amp;$B316&amp;$C316,盘货信息!$A:$A&amp;盘货信息!$B:$B&amp;盘货信息!$C:$C,盘货信息!$T:$T)&amp;"元优惠卷下单更优惠，领券链接："&amp;_xlfn.XLOOKUP($A316&amp;$B316&amp;$C316,盘货信息!$A:$A&amp;盘货信息!$B:$B&amp;盘货信息!$C:$C,盘货信息!$U:$U))</f>
        <v/>
      </c>
      <c r="M316" s="27" t="str" cm="1">
        <f t="array" ref="M316">IF(_xlfn.XLOOKUP($A316&amp;$B316&amp;$C316,盘货信息!$A:$A&amp;盘货信息!$B:$B&amp;盘货信息!$C:$C,盘货信息!$P:$P)="","","【限时】"&amp;_xlfn.XLOOKUP($A316&amp;$B316&amp;$C316,盘货信息!$A:$A&amp;盘货信息!$B:$B&amp;盘货信息!$C:$C,盘货信息!$P:$P))</f>
        <v/>
      </c>
      <c r="N316" s="27" t="str" cm="1">
        <f t="array" ref="N316">IF(_xlfn.XLOOKUP($A316&amp;$B316&amp;$C316,盘货信息!$A:$A&amp;盘货信息!$B:$B&amp;盘货信息!$C:$C,盘货信息!$V:$V)="","","【"&amp;盘货信息!$V$1&amp;"】"&amp;_xlfn.XLOOKUP($A316&amp;$B316&amp;$C316,盘货信息!$A:$A&amp;盘货信息!$B:$B&amp;盘货信息!$C:$C,盘货信息!$V:$V))</f>
        <v/>
      </c>
      <c r="O316" s="27" t="str" cm="1">
        <f t="array" ref="O316">IF(_xlfn.XLOOKUP($A316&amp;$B316&amp;$C316,盘货信息!$A:$A&amp;盘货信息!$B:$B&amp;盘货信息!$C:$C,盘货信息!$W:$W)="","","【"&amp;盘货信息!$W$1&amp;"】"&amp;_xlfn.XLOOKUP($A316&amp;$B316&amp;$C316,盘货信息!$A:$A&amp;盘货信息!$B:$B&amp;盘货信息!$C:$C,盘货信息!$W:$W))</f>
        <v/>
      </c>
      <c r="P316" s="27" t="str" cm="1">
        <f t="array" ref="P316">IF(_xlfn.XLOOKUP($A316&amp;$B316&amp;$C316,盘货信息!$A:$A&amp;盘货信息!$B:$B&amp;盘货信息!$C:$C,盘货信息!$S:$S)&lt;1,"","【"&amp;盘货信息!$S$1&amp;"】"&amp;"后返"&amp;_xlfn.XLOOKUP($A316&amp;$B316&amp;$C316,盘货信息!$A:$A&amp;盘货信息!$B:$B&amp;盘货信息!$C:$C,盘货信息!$S:$S)&amp;"元")</f>
        <v/>
      </c>
      <c r="Q316" s="27" t="str" cm="1">
        <f t="array" ref="Q316">IF(_xlfn.XLOOKUP($A316&amp;$B316&amp;$C316,盘货信息!$A:$A&amp;盘货信息!$B:$B&amp;盘货信息!$C:$C,盘货信息!$X:$X)="","","【"&amp;盘货信息!$X$1&amp;"】"&amp;_xlfn.XLOOKUP($A316&amp;$B316&amp;$C316,盘货信息!$A:$A&amp;盘货信息!$B:$B&amp;盘货信息!$C:$C,盘货信息!$X:$X))</f>
        <v/>
      </c>
      <c r="R316" s="27" t="str" cm="1">
        <f t="array" ref="R316">IF(_xlfn.XLOOKUP($A316&amp;$B316&amp;$C316,盘货信息!$A:$A&amp;盘货信息!$B:$B&amp;盘货信息!$C:$C,盘货信息!$Z:$Z)="","","【"&amp;盘货信息!$Z$1&amp;"】"&amp;_xlfn.XLOOKUP($A316&amp;$B316&amp;$C316,盘货信息!$A:$A&amp;盘货信息!$B:$B&amp;盘货信息!$C:$C,盘货信息!$Z:$Z))</f>
        <v/>
      </c>
      <c r="S316" s="27" t="str" cm="1">
        <f t="array" ref="S316">IF(_xlfn.XLOOKUP($A316&amp;$B316&amp;$C316,盘货信息!$A:$A&amp;盘货信息!$B:$B&amp;盘货信息!$C:$C,盘货信息!$Q:$Q)="","","【种草】站外带指定话题种草后返"&amp;_xlfn.XLOOKUP($A316&amp;$B316&amp;$C316,盘货信息!$A:$A&amp;盘货信息!$B:$B&amp;盘货信息!$C:$C,盘货信息!$Q:$Q)&amp;"元红包（每个淘宝账号仅限对应一个站外种草账号，同一个种草账号不可对应多个淘宝账号）")</f>
        <v/>
      </c>
      <c r="T316" s="27" t="str" cm="1">
        <f t="array" ref="T316">IF(_xlfn.XLOOKUP($A316&amp;$B316&amp;$C316,盘货信息!$A:$A&amp;盘货信息!$B:$B&amp;盘货信息!$C:$C,盘货信息!$R:$R)&lt;1,"","【以旧换新】"&amp;"享补贴"&amp;ROUND(_xlfn.XLOOKUP($A316&amp;$B316&amp;$C316,盘货信息!$A:$A&amp;盘货信息!$B:$B&amp;盘货信息!$C:$C,盘货信息!$R:$R),0)&amp;"元（可无旧机换新）")</f>
        <v/>
      </c>
      <c r="U316" s="27" t="str">
        <f>IF(AND($N316="",$O316="",$P316="",$Q316="",$R316="",$S316="",$T316=""),"",固定信息!$B$1)</f>
        <v/>
      </c>
      <c r="V316" s="27" t="str" cm="1">
        <f t="array" ref="V316">IF(_xlfn.XLOOKUP($A316&amp;$B316&amp;$C316,盘货信息!$A:$A&amp;盘货信息!$B:$B&amp;盘货信息!$C:$C,盘货信息!$Y:$Y)="","","【卡萨帝送赠】活动指定时间"&amp;_xlfn.TEXTBEFORE(_xlfn.TEXTAFTER(_xlfn.XLOOKUP($A316&amp;$B316&amp;$C316,盘货信息!$A:$A&amp;盘货信息!$B:$B&amp;盘货信息!$C:$C,盘货信息!$Y:$Y),"点"),"（"))</f>
        <v/>
      </c>
      <c r="W316" s="27" t="str" cm="1">
        <f t="array" ref="W316">IF(COUNTIF(_xlfn.XLOOKUP($A316&amp;$B316&amp;$C316,盘货信息!$A:$A&amp;盘货信息!$B:$B&amp;盘货信息!$C:$C,盘货信息!$O:$O),"*是*"),"【折扣】指定型号满2类享96折，满3类享94折","")</f>
        <v/>
      </c>
      <c r="X316" s="27" t="str" cm="1">
        <f t="array" ref="X316">IF(固定信息!$B$7="","",IF(_xlfn.XLOOKUP($A316&amp;$B316&amp;$C316,盘货信息!$A:$A&amp;盘货信息!$B:$B&amp;盘货信息!$C:$C,盘货信息!$N:$N)="是","【瓜分】"&amp;固定信息!$B$7,""))</f>
        <v/>
      </c>
      <c r="Y316" s="27" t="str">
        <f>IF(AND($V316="",$W316="",$X316=""),"",固定信息!$B$1)</f>
        <v/>
      </c>
      <c r="Z316" s="27" t="str" cm="1">
        <f t="array" ref="Z316">IF($C316="","",_xlfn.XLOOKUP($A316&amp;$B316&amp;$C316,服务!$A:$A&amp;服务!$B:$B&amp;服务!$C:$C,服务!$D:$D))</f>
        <v/>
      </c>
    </row>
    <row r="317" customHeight="1" spans="1:26">
      <c r="A317" s="23" t="str">
        <f>IF(盘货信息!A317="","",盘货信息!A317)</f>
        <v/>
      </c>
      <c r="B317" s="26" t="str">
        <f>IF(盘货信息!B317="","",盘货信息!B317)</f>
        <v/>
      </c>
      <c r="C317" s="23" t="str">
        <f>IF(盘货信息!C317="","",盘货信息!C317)</f>
        <v/>
      </c>
      <c r="D317" s="27" t="str">
        <f ca="1" t="shared" si="4"/>
        <v/>
      </c>
      <c r="E317" s="27" t="str">
        <f>IF(C317="","",固定信息!$B$2)</f>
        <v/>
      </c>
      <c r="F317" s="27" t="str">
        <f>IF(C317="","","【"&amp;C317&amp;"】"&amp;固定信息!$B$4)</f>
        <v/>
      </c>
      <c r="G317" s="27" t="str">
        <f>IF(C317="","","【"&amp;"活动时间："&amp;固定信息!$B$3&amp;"】")</f>
        <v/>
      </c>
      <c r="H317" s="27" t="str">
        <f>IF($C317="","",固定信息!$B$1)</f>
        <v/>
      </c>
      <c r="I317" s="27" t="str">
        <f>IF(OR(C317="",固定信息!$B$5=""),"","【1元预约锁好礼】"&amp;固定信息!$B$5)</f>
        <v/>
      </c>
      <c r="J317" s="27" t="str" cm="1">
        <f t="array" ref="J317">_xlfn.XLOOKUP($A317&amp;$B317&amp;$C317,价格信息!$A:$A&amp;价格信息!$B:$B&amp;价格信息!$C:$C,价格信息!$D:$D)</f>
        <v/>
      </c>
      <c r="K317" s="27" t="str">
        <f>IF($C317="","",固定信息!$B$1)</f>
        <v/>
      </c>
      <c r="L317" s="27" t="str" cm="1">
        <f t="array" ref="L317">IF(_xlfn.XLOOKUP($A317&amp;$B317&amp;$C317,盘货信息!$A:$A&amp;盘货信息!$B:$B&amp;盘货信息!$C:$C,盘货信息!$T:$T)="","","【优惠券】领"&amp;_xlfn.XLOOKUP($A317&amp;$B317&amp;$C317,盘货信息!$A:$A&amp;盘货信息!$B:$B&amp;盘货信息!$C:$C,盘货信息!$T:$T)&amp;"元优惠卷下单更优惠，领券链接："&amp;_xlfn.XLOOKUP($A317&amp;$B317&amp;$C317,盘货信息!$A:$A&amp;盘货信息!$B:$B&amp;盘货信息!$C:$C,盘货信息!$U:$U))</f>
        <v/>
      </c>
      <c r="M317" s="27" t="str" cm="1">
        <f t="array" ref="M317">IF(_xlfn.XLOOKUP($A317&amp;$B317&amp;$C317,盘货信息!$A:$A&amp;盘货信息!$B:$B&amp;盘货信息!$C:$C,盘货信息!$P:$P)="","","【限时】"&amp;_xlfn.XLOOKUP($A317&amp;$B317&amp;$C317,盘货信息!$A:$A&amp;盘货信息!$B:$B&amp;盘货信息!$C:$C,盘货信息!$P:$P))</f>
        <v/>
      </c>
      <c r="N317" s="27" t="str" cm="1">
        <f t="array" ref="N317">IF(_xlfn.XLOOKUP($A317&amp;$B317&amp;$C317,盘货信息!$A:$A&amp;盘货信息!$B:$B&amp;盘货信息!$C:$C,盘货信息!$V:$V)="","","【"&amp;盘货信息!$V$1&amp;"】"&amp;_xlfn.XLOOKUP($A317&amp;$B317&amp;$C317,盘货信息!$A:$A&amp;盘货信息!$B:$B&amp;盘货信息!$C:$C,盘货信息!$V:$V))</f>
        <v/>
      </c>
      <c r="O317" s="27" t="str" cm="1">
        <f t="array" ref="O317">IF(_xlfn.XLOOKUP($A317&amp;$B317&amp;$C317,盘货信息!$A:$A&amp;盘货信息!$B:$B&amp;盘货信息!$C:$C,盘货信息!$W:$W)="","","【"&amp;盘货信息!$W$1&amp;"】"&amp;_xlfn.XLOOKUP($A317&amp;$B317&amp;$C317,盘货信息!$A:$A&amp;盘货信息!$B:$B&amp;盘货信息!$C:$C,盘货信息!$W:$W))</f>
        <v/>
      </c>
      <c r="P317" s="27" t="str" cm="1">
        <f t="array" ref="P317">IF(_xlfn.XLOOKUP($A317&amp;$B317&amp;$C317,盘货信息!$A:$A&amp;盘货信息!$B:$B&amp;盘货信息!$C:$C,盘货信息!$S:$S)&lt;1,"","【"&amp;盘货信息!$S$1&amp;"】"&amp;"后返"&amp;_xlfn.XLOOKUP($A317&amp;$B317&amp;$C317,盘货信息!$A:$A&amp;盘货信息!$B:$B&amp;盘货信息!$C:$C,盘货信息!$S:$S)&amp;"元")</f>
        <v/>
      </c>
      <c r="Q317" s="27" t="str" cm="1">
        <f t="array" ref="Q317">IF(_xlfn.XLOOKUP($A317&amp;$B317&amp;$C317,盘货信息!$A:$A&amp;盘货信息!$B:$B&amp;盘货信息!$C:$C,盘货信息!$X:$X)="","","【"&amp;盘货信息!$X$1&amp;"】"&amp;_xlfn.XLOOKUP($A317&amp;$B317&amp;$C317,盘货信息!$A:$A&amp;盘货信息!$B:$B&amp;盘货信息!$C:$C,盘货信息!$X:$X))</f>
        <v/>
      </c>
      <c r="R317" s="27" t="str" cm="1">
        <f t="array" ref="R317">IF(_xlfn.XLOOKUP($A317&amp;$B317&amp;$C317,盘货信息!$A:$A&amp;盘货信息!$B:$B&amp;盘货信息!$C:$C,盘货信息!$Z:$Z)="","","【"&amp;盘货信息!$Z$1&amp;"】"&amp;_xlfn.XLOOKUP($A317&amp;$B317&amp;$C317,盘货信息!$A:$A&amp;盘货信息!$B:$B&amp;盘货信息!$C:$C,盘货信息!$Z:$Z))</f>
        <v/>
      </c>
      <c r="S317" s="27" t="str" cm="1">
        <f t="array" ref="S317">IF(_xlfn.XLOOKUP($A317&amp;$B317&amp;$C317,盘货信息!$A:$A&amp;盘货信息!$B:$B&amp;盘货信息!$C:$C,盘货信息!$Q:$Q)="","","【种草】站外带指定话题种草后返"&amp;_xlfn.XLOOKUP($A317&amp;$B317&amp;$C317,盘货信息!$A:$A&amp;盘货信息!$B:$B&amp;盘货信息!$C:$C,盘货信息!$Q:$Q)&amp;"元红包（每个淘宝账号仅限对应一个站外种草账号，同一个种草账号不可对应多个淘宝账号）")</f>
        <v/>
      </c>
      <c r="T317" s="27" t="str" cm="1">
        <f t="array" ref="T317">IF(_xlfn.XLOOKUP($A317&amp;$B317&amp;$C317,盘货信息!$A:$A&amp;盘货信息!$B:$B&amp;盘货信息!$C:$C,盘货信息!$R:$R)&lt;1,"","【以旧换新】"&amp;"享补贴"&amp;ROUND(_xlfn.XLOOKUP($A317&amp;$B317&amp;$C317,盘货信息!$A:$A&amp;盘货信息!$B:$B&amp;盘货信息!$C:$C,盘货信息!$R:$R),0)&amp;"元（可无旧机换新）")</f>
        <v/>
      </c>
      <c r="U317" s="27" t="str">
        <f>IF(AND($N317="",$O317="",$P317="",$Q317="",$R317="",$S317="",$T317=""),"",固定信息!$B$1)</f>
        <v/>
      </c>
      <c r="V317" s="27" t="str" cm="1">
        <f t="array" ref="V317">IF(_xlfn.XLOOKUP($A317&amp;$B317&amp;$C317,盘货信息!$A:$A&amp;盘货信息!$B:$B&amp;盘货信息!$C:$C,盘货信息!$Y:$Y)="","","【卡萨帝送赠】活动指定时间"&amp;_xlfn.TEXTBEFORE(_xlfn.TEXTAFTER(_xlfn.XLOOKUP($A317&amp;$B317&amp;$C317,盘货信息!$A:$A&amp;盘货信息!$B:$B&amp;盘货信息!$C:$C,盘货信息!$Y:$Y),"点"),"（"))</f>
        <v/>
      </c>
      <c r="W317" s="27" t="str" cm="1">
        <f t="array" ref="W317">IF(COUNTIF(_xlfn.XLOOKUP($A317&amp;$B317&amp;$C317,盘货信息!$A:$A&amp;盘货信息!$B:$B&amp;盘货信息!$C:$C,盘货信息!$O:$O),"*是*"),"【折扣】指定型号满2类享96折，满3类享94折","")</f>
        <v/>
      </c>
      <c r="X317" s="27" t="str" cm="1">
        <f t="array" ref="X317">IF(固定信息!$B$7="","",IF(_xlfn.XLOOKUP($A317&amp;$B317&amp;$C317,盘货信息!$A:$A&amp;盘货信息!$B:$B&amp;盘货信息!$C:$C,盘货信息!$N:$N)="是","【瓜分】"&amp;固定信息!$B$7,""))</f>
        <v/>
      </c>
      <c r="Y317" s="27" t="str">
        <f>IF(AND($V317="",$W317="",$X317=""),"",固定信息!$B$1)</f>
        <v/>
      </c>
      <c r="Z317" s="27" t="str" cm="1">
        <f t="array" ref="Z317">IF($C317="","",_xlfn.XLOOKUP($A317&amp;$B317&amp;$C317,服务!$A:$A&amp;服务!$B:$B&amp;服务!$C:$C,服务!$D:$D))</f>
        <v/>
      </c>
    </row>
    <row r="318" customHeight="1" spans="1:26">
      <c r="A318" s="23" t="str">
        <f>IF(盘货信息!A318="","",盘货信息!A318)</f>
        <v/>
      </c>
      <c r="B318" s="26" t="str">
        <f>IF(盘货信息!B318="","",盘货信息!B318)</f>
        <v/>
      </c>
      <c r="C318" s="23" t="str">
        <f>IF(盘货信息!C318="","",盘货信息!C318)</f>
        <v/>
      </c>
      <c r="D318" s="27" t="str">
        <f ca="1" t="shared" si="4"/>
        <v/>
      </c>
      <c r="E318" s="27" t="str">
        <f>IF(C318="","",固定信息!$B$2)</f>
        <v/>
      </c>
      <c r="F318" s="27" t="str">
        <f>IF(C318="","","【"&amp;C318&amp;"】"&amp;固定信息!$B$4)</f>
        <v/>
      </c>
      <c r="G318" s="27" t="str">
        <f>IF(C318="","","【"&amp;"活动时间："&amp;固定信息!$B$3&amp;"】")</f>
        <v/>
      </c>
      <c r="H318" s="27" t="str">
        <f>IF($C318="","",固定信息!$B$1)</f>
        <v/>
      </c>
      <c r="I318" s="27" t="str">
        <f>IF(OR(C318="",固定信息!$B$5=""),"","【1元预约锁好礼】"&amp;固定信息!$B$5)</f>
        <v/>
      </c>
      <c r="J318" s="27" t="str" cm="1">
        <f t="array" ref="J318">_xlfn.XLOOKUP($A318&amp;$B318&amp;$C318,价格信息!$A:$A&amp;价格信息!$B:$B&amp;价格信息!$C:$C,价格信息!$D:$D)</f>
        <v/>
      </c>
      <c r="K318" s="27" t="str">
        <f>IF($C318="","",固定信息!$B$1)</f>
        <v/>
      </c>
      <c r="L318" s="27" t="str" cm="1">
        <f t="array" ref="L318">IF(_xlfn.XLOOKUP($A318&amp;$B318&amp;$C318,盘货信息!$A:$A&amp;盘货信息!$B:$B&amp;盘货信息!$C:$C,盘货信息!$T:$T)="","","【优惠券】领"&amp;_xlfn.XLOOKUP($A318&amp;$B318&amp;$C318,盘货信息!$A:$A&amp;盘货信息!$B:$B&amp;盘货信息!$C:$C,盘货信息!$T:$T)&amp;"元优惠卷下单更优惠，领券链接："&amp;_xlfn.XLOOKUP($A318&amp;$B318&amp;$C318,盘货信息!$A:$A&amp;盘货信息!$B:$B&amp;盘货信息!$C:$C,盘货信息!$U:$U))</f>
        <v/>
      </c>
      <c r="M318" s="27" t="str" cm="1">
        <f t="array" ref="M318">IF(_xlfn.XLOOKUP($A318&amp;$B318&amp;$C318,盘货信息!$A:$A&amp;盘货信息!$B:$B&amp;盘货信息!$C:$C,盘货信息!$P:$P)="","","【限时】"&amp;_xlfn.XLOOKUP($A318&amp;$B318&amp;$C318,盘货信息!$A:$A&amp;盘货信息!$B:$B&amp;盘货信息!$C:$C,盘货信息!$P:$P))</f>
        <v/>
      </c>
      <c r="N318" s="27" t="str" cm="1">
        <f t="array" ref="N318">IF(_xlfn.XLOOKUP($A318&amp;$B318&amp;$C318,盘货信息!$A:$A&amp;盘货信息!$B:$B&amp;盘货信息!$C:$C,盘货信息!$V:$V)="","","【"&amp;盘货信息!$V$1&amp;"】"&amp;_xlfn.XLOOKUP($A318&amp;$B318&amp;$C318,盘货信息!$A:$A&amp;盘货信息!$B:$B&amp;盘货信息!$C:$C,盘货信息!$V:$V))</f>
        <v/>
      </c>
      <c r="O318" s="27" t="str" cm="1">
        <f t="array" ref="O318">IF(_xlfn.XLOOKUP($A318&amp;$B318&amp;$C318,盘货信息!$A:$A&amp;盘货信息!$B:$B&amp;盘货信息!$C:$C,盘货信息!$W:$W)="","","【"&amp;盘货信息!$W$1&amp;"】"&amp;_xlfn.XLOOKUP($A318&amp;$B318&amp;$C318,盘货信息!$A:$A&amp;盘货信息!$B:$B&amp;盘货信息!$C:$C,盘货信息!$W:$W))</f>
        <v/>
      </c>
      <c r="P318" s="27" t="str" cm="1">
        <f t="array" ref="P318">IF(_xlfn.XLOOKUP($A318&amp;$B318&amp;$C318,盘货信息!$A:$A&amp;盘货信息!$B:$B&amp;盘货信息!$C:$C,盘货信息!$S:$S)&lt;1,"","【"&amp;盘货信息!$S$1&amp;"】"&amp;"后返"&amp;_xlfn.XLOOKUP($A318&amp;$B318&amp;$C318,盘货信息!$A:$A&amp;盘货信息!$B:$B&amp;盘货信息!$C:$C,盘货信息!$S:$S)&amp;"元")</f>
        <v/>
      </c>
      <c r="Q318" s="27" t="str" cm="1">
        <f t="array" ref="Q318">IF(_xlfn.XLOOKUP($A318&amp;$B318&amp;$C318,盘货信息!$A:$A&amp;盘货信息!$B:$B&amp;盘货信息!$C:$C,盘货信息!$X:$X)="","","【"&amp;盘货信息!$X$1&amp;"】"&amp;_xlfn.XLOOKUP($A318&amp;$B318&amp;$C318,盘货信息!$A:$A&amp;盘货信息!$B:$B&amp;盘货信息!$C:$C,盘货信息!$X:$X))</f>
        <v/>
      </c>
      <c r="R318" s="27" t="str" cm="1">
        <f t="array" ref="R318">IF(_xlfn.XLOOKUP($A318&amp;$B318&amp;$C318,盘货信息!$A:$A&amp;盘货信息!$B:$B&amp;盘货信息!$C:$C,盘货信息!$Z:$Z)="","","【"&amp;盘货信息!$Z$1&amp;"】"&amp;_xlfn.XLOOKUP($A318&amp;$B318&amp;$C318,盘货信息!$A:$A&amp;盘货信息!$B:$B&amp;盘货信息!$C:$C,盘货信息!$Z:$Z))</f>
        <v/>
      </c>
      <c r="S318" s="27" t="str" cm="1">
        <f t="array" ref="S318">IF(_xlfn.XLOOKUP($A318&amp;$B318&amp;$C318,盘货信息!$A:$A&amp;盘货信息!$B:$B&amp;盘货信息!$C:$C,盘货信息!$Q:$Q)="","","【种草】站外带指定话题种草后返"&amp;_xlfn.XLOOKUP($A318&amp;$B318&amp;$C318,盘货信息!$A:$A&amp;盘货信息!$B:$B&amp;盘货信息!$C:$C,盘货信息!$Q:$Q)&amp;"元红包（每个淘宝账号仅限对应一个站外种草账号，同一个种草账号不可对应多个淘宝账号）")</f>
        <v/>
      </c>
      <c r="T318" s="27" t="str" cm="1">
        <f t="array" ref="T318">IF(_xlfn.XLOOKUP($A318&amp;$B318&amp;$C318,盘货信息!$A:$A&amp;盘货信息!$B:$B&amp;盘货信息!$C:$C,盘货信息!$R:$R)&lt;1,"","【以旧换新】"&amp;"享补贴"&amp;ROUND(_xlfn.XLOOKUP($A318&amp;$B318&amp;$C318,盘货信息!$A:$A&amp;盘货信息!$B:$B&amp;盘货信息!$C:$C,盘货信息!$R:$R),0)&amp;"元（可无旧机换新）")</f>
        <v/>
      </c>
      <c r="U318" s="27" t="str">
        <f>IF(AND($N318="",$O318="",$P318="",$Q318="",$R318="",$S318="",$T318=""),"",固定信息!$B$1)</f>
        <v/>
      </c>
      <c r="V318" s="27" t="str" cm="1">
        <f t="array" ref="V318">IF(_xlfn.XLOOKUP($A318&amp;$B318&amp;$C318,盘货信息!$A:$A&amp;盘货信息!$B:$B&amp;盘货信息!$C:$C,盘货信息!$Y:$Y)="","","【卡萨帝送赠】活动指定时间"&amp;_xlfn.TEXTBEFORE(_xlfn.TEXTAFTER(_xlfn.XLOOKUP($A318&amp;$B318&amp;$C318,盘货信息!$A:$A&amp;盘货信息!$B:$B&amp;盘货信息!$C:$C,盘货信息!$Y:$Y),"点"),"（"))</f>
        <v/>
      </c>
      <c r="W318" s="27" t="str" cm="1">
        <f t="array" ref="W318">IF(COUNTIF(_xlfn.XLOOKUP($A318&amp;$B318&amp;$C318,盘货信息!$A:$A&amp;盘货信息!$B:$B&amp;盘货信息!$C:$C,盘货信息!$O:$O),"*是*"),"【折扣】指定型号满2类享96折，满3类享94折","")</f>
        <v/>
      </c>
      <c r="X318" s="27" t="str" cm="1">
        <f t="array" ref="X318">IF(固定信息!$B$7="","",IF(_xlfn.XLOOKUP($A318&amp;$B318&amp;$C318,盘货信息!$A:$A&amp;盘货信息!$B:$B&amp;盘货信息!$C:$C,盘货信息!$N:$N)="是","【瓜分】"&amp;固定信息!$B$7,""))</f>
        <v/>
      </c>
      <c r="Y318" s="27" t="str">
        <f>IF(AND($V318="",$W318="",$X318=""),"",固定信息!$B$1)</f>
        <v/>
      </c>
      <c r="Z318" s="27" t="str" cm="1">
        <f t="array" ref="Z318">IF($C318="","",_xlfn.XLOOKUP($A318&amp;$B318&amp;$C318,服务!$A:$A&amp;服务!$B:$B&amp;服务!$C:$C,服务!$D:$D))</f>
        <v/>
      </c>
    </row>
    <row r="319" customHeight="1" spans="1:26">
      <c r="A319" s="23" t="str">
        <f>IF(盘货信息!A319="","",盘货信息!A319)</f>
        <v/>
      </c>
      <c r="B319" s="26" t="str">
        <f>IF(盘货信息!B319="","",盘货信息!B319)</f>
        <v/>
      </c>
      <c r="C319" s="23" t="str">
        <f>IF(盘货信息!C319="","",盘货信息!C319)</f>
        <v/>
      </c>
      <c r="D319" s="27" t="str">
        <f ca="1" t="shared" si="4"/>
        <v/>
      </c>
      <c r="E319" s="27" t="str">
        <f>IF(C319="","",固定信息!$B$2)</f>
        <v/>
      </c>
      <c r="F319" s="27" t="str">
        <f>IF(C319="","","【"&amp;C319&amp;"】"&amp;固定信息!$B$4)</f>
        <v/>
      </c>
      <c r="G319" s="27" t="str">
        <f>IF(C319="","","【"&amp;"活动时间："&amp;固定信息!$B$3&amp;"】")</f>
        <v/>
      </c>
      <c r="H319" s="27" t="str">
        <f>IF($C319="","",固定信息!$B$1)</f>
        <v/>
      </c>
      <c r="I319" s="27" t="str">
        <f>IF(OR(C319="",固定信息!$B$5=""),"","【1元预约锁好礼】"&amp;固定信息!$B$5)</f>
        <v/>
      </c>
      <c r="J319" s="27" t="str" cm="1">
        <f t="array" ref="J319">_xlfn.XLOOKUP($A319&amp;$B319&amp;$C319,价格信息!$A:$A&amp;价格信息!$B:$B&amp;价格信息!$C:$C,价格信息!$D:$D)</f>
        <v/>
      </c>
      <c r="K319" s="27" t="str">
        <f>IF($C319="","",固定信息!$B$1)</f>
        <v/>
      </c>
      <c r="L319" s="27" t="str" cm="1">
        <f t="array" ref="L319">IF(_xlfn.XLOOKUP($A319&amp;$B319&amp;$C319,盘货信息!$A:$A&amp;盘货信息!$B:$B&amp;盘货信息!$C:$C,盘货信息!$T:$T)="","","【优惠券】领"&amp;_xlfn.XLOOKUP($A319&amp;$B319&amp;$C319,盘货信息!$A:$A&amp;盘货信息!$B:$B&amp;盘货信息!$C:$C,盘货信息!$T:$T)&amp;"元优惠卷下单更优惠，领券链接："&amp;_xlfn.XLOOKUP($A319&amp;$B319&amp;$C319,盘货信息!$A:$A&amp;盘货信息!$B:$B&amp;盘货信息!$C:$C,盘货信息!$U:$U))</f>
        <v/>
      </c>
      <c r="M319" s="27" t="str" cm="1">
        <f t="array" ref="M319">IF(_xlfn.XLOOKUP($A319&amp;$B319&amp;$C319,盘货信息!$A:$A&amp;盘货信息!$B:$B&amp;盘货信息!$C:$C,盘货信息!$P:$P)="","","【限时】"&amp;_xlfn.XLOOKUP($A319&amp;$B319&amp;$C319,盘货信息!$A:$A&amp;盘货信息!$B:$B&amp;盘货信息!$C:$C,盘货信息!$P:$P))</f>
        <v/>
      </c>
      <c r="N319" s="27" t="str" cm="1">
        <f t="array" ref="N319">IF(_xlfn.XLOOKUP($A319&amp;$B319&amp;$C319,盘货信息!$A:$A&amp;盘货信息!$B:$B&amp;盘货信息!$C:$C,盘货信息!$V:$V)="","","【"&amp;盘货信息!$V$1&amp;"】"&amp;_xlfn.XLOOKUP($A319&amp;$B319&amp;$C319,盘货信息!$A:$A&amp;盘货信息!$B:$B&amp;盘货信息!$C:$C,盘货信息!$V:$V))</f>
        <v/>
      </c>
      <c r="O319" s="27" t="str" cm="1">
        <f t="array" ref="O319">IF(_xlfn.XLOOKUP($A319&amp;$B319&amp;$C319,盘货信息!$A:$A&amp;盘货信息!$B:$B&amp;盘货信息!$C:$C,盘货信息!$W:$W)="","","【"&amp;盘货信息!$W$1&amp;"】"&amp;_xlfn.XLOOKUP($A319&amp;$B319&amp;$C319,盘货信息!$A:$A&amp;盘货信息!$B:$B&amp;盘货信息!$C:$C,盘货信息!$W:$W))</f>
        <v/>
      </c>
      <c r="P319" s="27" t="str" cm="1">
        <f t="array" ref="P319">IF(_xlfn.XLOOKUP($A319&amp;$B319&amp;$C319,盘货信息!$A:$A&amp;盘货信息!$B:$B&amp;盘货信息!$C:$C,盘货信息!$S:$S)&lt;1,"","【"&amp;盘货信息!$S$1&amp;"】"&amp;"后返"&amp;_xlfn.XLOOKUP($A319&amp;$B319&amp;$C319,盘货信息!$A:$A&amp;盘货信息!$B:$B&amp;盘货信息!$C:$C,盘货信息!$S:$S)&amp;"元")</f>
        <v/>
      </c>
      <c r="Q319" s="27" t="str" cm="1">
        <f t="array" ref="Q319">IF(_xlfn.XLOOKUP($A319&amp;$B319&amp;$C319,盘货信息!$A:$A&amp;盘货信息!$B:$B&amp;盘货信息!$C:$C,盘货信息!$X:$X)="","","【"&amp;盘货信息!$X$1&amp;"】"&amp;_xlfn.XLOOKUP($A319&amp;$B319&amp;$C319,盘货信息!$A:$A&amp;盘货信息!$B:$B&amp;盘货信息!$C:$C,盘货信息!$X:$X))</f>
        <v/>
      </c>
      <c r="R319" s="27" t="str" cm="1">
        <f t="array" ref="R319">IF(_xlfn.XLOOKUP($A319&amp;$B319&amp;$C319,盘货信息!$A:$A&amp;盘货信息!$B:$B&amp;盘货信息!$C:$C,盘货信息!$Z:$Z)="","","【"&amp;盘货信息!$Z$1&amp;"】"&amp;_xlfn.XLOOKUP($A319&amp;$B319&amp;$C319,盘货信息!$A:$A&amp;盘货信息!$B:$B&amp;盘货信息!$C:$C,盘货信息!$Z:$Z))</f>
        <v/>
      </c>
      <c r="S319" s="27" t="str" cm="1">
        <f t="array" ref="S319">IF(_xlfn.XLOOKUP($A319&amp;$B319&amp;$C319,盘货信息!$A:$A&amp;盘货信息!$B:$B&amp;盘货信息!$C:$C,盘货信息!$Q:$Q)="","","【种草】站外带指定话题种草后返"&amp;_xlfn.XLOOKUP($A319&amp;$B319&amp;$C319,盘货信息!$A:$A&amp;盘货信息!$B:$B&amp;盘货信息!$C:$C,盘货信息!$Q:$Q)&amp;"元红包（每个淘宝账号仅限对应一个站外种草账号，同一个种草账号不可对应多个淘宝账号）")</f>
        <v/>
      </c>
      <c r="T319" s="27" t="str" cm="1">
        <f t="array" ref="T319">IF(_xlfn.XLOOKUP($A319&amp;$B319&amp;$C319,盘货信息!$A:$A&amp;盘货信息!$B:$B&amp;盘货信息!$C:$C,盘货信息!$R:$R)&lt;1,"","【以旧换新】"&amp;"享补贴"&amp;ROUND(_xlfn.XLOOKUP($A319&amp;$B319&amp;$C319,盘货信息!$A:$A&amp;盘货信息!$B:$B&amp;盘货信息!$C:$C,盘货信息!$R:$R),0)&amp;"元（可无旧机换新）")</f>
        <v/>
      </c>
      <c r="U319" s="27" t="str">
        <f>IF(AND($N319="",$O319="",$P319="",$Q319="",$R319="",$S319="",$T319=""),"",固定信息!$B$1)</f>
        <v/>
      </c>
      <c r="V319" s="27" t="str" cm="1">
        <f t="array" ref="V319">IF(_xlfn.XLOOKUP($A319&amp;$B319&amp;$C319,盘货信息!$A:$A&amp;盘货信息!$B:$B&amp;盘货信息!$C:$C,盘货信息!$Y:$Y)="","","【卡萨帝送赠】活动指定时间"&amp;_xlfn.TEXTBEFORE(_xlfn.TEXTAFTER(_xlfn.XLOOKUP($A319&amp;$B319&amp;$C319,盘货信息!$A:$A&amp;盘货信息!$B:$B&amp;盘货信息!$C:$C,盘货信息!$Y:$Y),"点"),"（"))</f>
        <v/>
      </c>
      <c r="W319" s="27" t="str" cm="1">
        <f t="array" ref="W319">IF(COUNTIF(_xlfn.XLOOKUP($A319&amp;$B319&amp;$C319,盘货信息!$A:$A&amp;盘货信息!$B:$B&amp;盘货信息!$C:$C,盘货信息!$O:$O),"*是*"),"【折扣】指定型号满2类享96折，满3类享94折","")</f>
        <v/>
      </c>
      <c r="X319" s="27" t="str" cm="1">
        <f t="array" ref="X319">IF(固定信息!$B$7="","",IF(_xlfn.XLOOKUP($A319&amp;$B319&amp;$C319,盘货信息!$A:$A&amp;盘货信息!$B:$B&amp;盘货信息!$C:$C,盘货信息!$N:$N)="是","【瓜分】"&amp;固定信息!$B$7,""))</f>
        <v/>
      </c>
      <c r="Y319" s="27" t="str">
        <f>IF(AND($V319="",$W319="",$X319=""),"",固定信息!$B$1)</f>
        <v/>
      </c>
      <c r="Z319" s="27" t="str" cm="1">
        <f t="array" ref="Z319">IF($C319="","",_xlfn.XLOOKUP($A319&amp;$B319&amp;$C319,服务!$A:$A&amp;服务!$B:$B&amp;服务!$C:$C,服务!$D:$D))</f>
        <v/>
      </c>
    </row>
    <row r="320" customHeight="1" spans="1:26">
      <c r="A320" s="23" t="str">
        <f>IF(盘货信息!A320="","",盘货信息!A320)</f>
        <v/>
      </c>
      <c r="B320" s="26" t="str">
        <f>IF(盘货信息!B320="","",盘货信息!B320)</f>
        <v/>
      </c>
      <c r="C320" s="23" t="str">
        <f>IF(盘货信息!C320="","",盘货信息!C320)</f>
        <v/>
      </c>
      <c r="D320" s="27" t="str">
        <f ca="1" t="shared" si="4"/>
        <v/>
      </c>
      <c r="E320" s="27" t="str">
        <f>IF(C320="","",固定信息!$B$2)</f>
        <v/>
      </c>
      <c r="F320" s="27" t="str">
        <f>IF(C320="","","【"&amp;C320&amp;"】"&amp;固定信息!$B$4)</f>
        <v/>
      </c>
      <c r="G320" s="27" t="str">
        <f>IF(C320="","","【"&amp;"活动时间："&amp;固定信息!$B$3&amp;"】")</f>
        <v/>
      </c>
      <c r="H320" s="27" t="str">
        <f>IF($C320="","",固定信息!$B$1)</f>
        <v/>
      </c>
      <c r="I320" s="27" t="str">
        <f>IF(OR(C320="",固定信息!$B$5=""),"","【1元预约锁好礼】"&amp;固定信息!$B$5)</f>
        <v/>
      </c>
      <c r="J320" s="27" t="str" cm="1">
        <f t="array" ref="J320">_xlfn.XLOOKUP($A320&amp;$B320&amp;$C320,价格信息!$A:$A&amp;价格信息!$B:$B&amp;价格信息!$C:$C,价格信息!$D:$D)</f>
        <v/>
      </c>
      <c r="K320" s="27" t="str">
        <f>IF($C320="","",固定信息!$B$1)</f>
        <v/>
      </c>
      <c r="L320" s="27" t="str" cm="1">
        <f t="array" ref="L320">IF(_xlfn.XLOOKUP($A320&amp;$B320&amp;$C320,盘货信息!$A:$A&amp;盘货信息!$B:$B&amp;盘货信息!$C:$C,盘货信息!$T:$T)="","","【优惠券】领"&amp;_xlfn.XLOOKUP($A320&amp;$B320&amp;$C320,盘货信息!$A:$A&amp;盘货信息!$B:$B&amp;盘货信息!$C:$C,盘货信息!$T:$T)&amp;"元优惠卷下单更优惠，领券链接："&amp;_xlfn.XLOOKUP($A320&amp;$B320&amp;$C320,盘货信息!$A:$A&amp;盘货信息!$B:$B&amp;盘货信息!$C:$C,盘货信息!$U:$U))</f>
        <v/>
      </c>
      <c r="M320" s="27" t="str" cm="1">
        <f t="array" ref="M320">IF(_xlfn.XLOOKUP($A320&amp;$B320&amp;$C320,盘货信息!$A:$A&amp;盘货信息!$B:$B&amp;盘货信息!$C:$C,盘货信息!$P:$P)="","","【限时】"&amp;_xlfn.XLOOKUP($A320&amp;$B320&amp;$C320,盘货信息!$A:$A&amp;盘货信息!$B:$B&amp;盘货信息!$C:$C,盘货信息!$P:$P))</f>
        <v/>
      </c>
      <c r="N320" s="27" t="str" cm="1">
        <f t="array" ref="N320">IF(_xlfn.XLOOKUP($A320&amp;$B320&amp;$C320,盘货信息!$A:$A&amp;盘货信息!$B:$B&amp;盘货信息!$C:$C,盘货信息!$V:$V)="","","【"&amp;盘货信息!$V$1&amp;"】"&amp;_xlfn.XLOOKUP($A320&amp;$B320&amp;$C320,盘货信息!$A:$A&amp;盘货信息!$B:$B&amp;盘货信息!$C:$C,盘货信息!$V:$V))</f>
        <v/>
      </c>
      <c r="O320" s="27" t="str" cm="1">
        <f t="array" ref="O320">IF(_xlfn.XLOOKUP($A320&amp;$B320&amp;$C320,盘货信息!$A:$A&amp;盘货信息!$B:$B&amp;盘货信息!$C:$C,盘货信息!$W:$W)="","","【"&amp;盘货信息!$W$1&amp;"】"&amp;_xlfn.XLOOKUP($A320&amp;$B320&amp;$C320,盘货信息!$A:$A&amp;盘货信息!$B:$B&amp;盘货信息!$C:$C,盘货信息!$W:$W))</f>
        <v/>
      </c>
      <c r="P320" s="27" t="str" cm="1">
        <f t="array" ref="P320">IF(_xlfn.XLOOKUP($A320&amp;$B320&amp;$C320,盘货信息!$A:$A&amp;盘货信息!$B:$B&amp;盘货信息!$C:$C,盘货信息!$S:$S)&lt;1,"","【"&amp;盘货信息!$S$1&amp;"】"&amp;"后返"&amp;_xlfn.XLOOKUP($A320&amp;$B320&amp;$C320,盘货信息!$A:$A&amp;盘货信息!$B:$B&amp;盘货信息!$C:$C,盘货信息!$S:$S)&amp;"元")</f>
        <v/>
      </c>
      <c r="Q320" s="27" t="str" cm="1">
        <f t="array" ref="Q320">IF(_xlfn.XLOOKUP($A320&amp;$B320&amp;$C320,盘货信息!$A:$A&amp;盘货信息!$B:$B&amp;盘货信息!$C:$C,盘货信息!$X:$X)="","","【"&amp;盘货信息!$X$1&amp;"】"&amp;_xlfn.XLOOKUP($A320&amp;$B320&amp;$C320,盘货信息!$A:$A&amp;盘货信息!$B:$B&amp;盘货信息!$C:$C,盘货信息!$X:$X))</f>
        <v/>
      </c>
      <c r="R320" s="27" t="str" cm="1">
        <f t="array" ref="R320">IF(_xlfn.XLOOKUP($A320&amp;$B320&amp;$C320,盘货信息!$A:$A&amp;盘货信息!$B:$B&amp;盘货信息!$C:$C,盘货信息!$Z:$Z)="","","【"&amp;盘货信息!$Z$1&amp;"】"&amp;_xlfn.XLOOKUP($A320&amp;$B320&amp;$C320,盘货信息!$A:$A&amp;盘货信息!$B:$B&amp;盘货信息!$C:$C,盘货信息!$Z:$Z))</f>
        <v/>
      </c>
      <c r="S320" s="27" t="str" cm="1">
        <f t="array" ref="S320">IF(_xlfn.XLOOKUP($A320&amp;$B320&amp;$C320,盘货信息!$A:$A&amp;盘货信息!$B:$B&amp;盘货信息!$C:$C,盘货信息!$Q:$Q)="","","【种草】站外带指定话题种草后返"&amp;_xlfn.XLOOKUP($A320&amp;$B320&amp;$C320,盘货信息!$A:$A&amp;盘货信息!$B:$B&amp;盘货信息!$C:$C,盘货信息!$Q:$Q)&amp;"元红包（每个淘宝账号仅限对应一个站外种草账号，同一个种草账号不可对应多个淘宝账号）")</f>
        <v/>
      </c>
      <c r="T320" s="27" t="str" cm="1">
        <f t="array" ref="T320">IF(_xlfn.XLOOKUP($A320&amp;$B320&amp;$C320,盘货信息!$A:$A&amp;盘货信息!$B:$B&amp;盘货信息!$C:$C,盘货信息!$R:$R)&lt;1,"","【以旧换新】"&amp;"享补贴"&amp;ROUND(_xlfn.XLOOKUP($A320&amp;$B320&amp;$C320,盘货信息!$A:$A&amp;盘货信息!$B:$B&amp;盘货信息!$C:$C,盘货信息!$R:$R),0)&amp;"元（可无旧机换新）")</f>
        <v/>
      </c>
      <c r="U320" s="27" t="str">
        <f>IF(AND($N320="",$O320="",$P320="",$Q320="",$R320="",$S320="",$T320=""),"",固定信息!$B$1)</f>
        <v/>
      </c>
      <c r="V320" s="27" t="str" cm="1">
        <f t="array" ref="V320">IF(_xlfn.XLOOKUP($A320&amp;$B320&amp;$C320,盘货信息!$A:$A&amp;盘货信息!$B:$B&amp;盘货信息!$C:$C,盘货信息!$Y:$Y)="","","【卡萨帝送赠】活动指定时间"&amp;_xlfn.TEXTBEFORE(_xlfn.TEXTAFTER(_xlfn.XLOOKUP($A320&amp;$B320&amp;$C320,盘货信息!$A:$A&amp;盘货信息!$B:$B&amp;盘货信息!$C:$C,盘货信息!$Y:$Y),"点"),"（"))</f>
        <v/>
      </c>
      <c r="W320" s="27" t="str" cm="1">
        <f t="array" ref="W320">IF(COUNTIF(_xlfn.XLOOKUP($A320&amp;$B320&amp;$C320,盘货信息!$A:$A&amp;盘货信息!$B:$B&amp;盘货信息!$C:$C,盘货信息!$O:$O),"*是*"),"【折扣】指定型号满2类享96折，满3类享94折","")</f>
        <v/>
      </c>
      <c r="X320" s="27" t="str" cm="1">
        <f t="array" ref="X320">IF(固定信息!$B$7="","",IF(_xlfn.XLOOKUP($A320&amp;$B320&amp;$C320,盘货信息!$A:$A&amp;盘货信息!$B:$B&amp;盘货信息!$C:$C,盘货信息!$N:$N)="是","【瓜分】"&amp;固定信息!$B$7,""))</f>
        <v/>
      </c>
      <c r="Y320" s="27" t="str">
        <f>IF(AND($V320="",$W320="",$X320=""),"",固定信息!$B$1)</f>
        <v/>
      </c>
      <c r="Z320" s="27" t="str" cm="1">
        <f t="array" ref="Z320">IF($C320="","",_xlfn.XLOOKUP($A320&amp;$B320&amp;$C320,服务!$A:$A&amp;服务!$B:$B&amp;服务!$C:$C,服务!$D:$D))</f>
        <v/>
      </c>
    </row>
    <row r="321" customHeight="1" spans="1:26">
      <c r="A321" s="23" t="str">
        <f>IF(盘货信息!A321="","",盘货信息!A321)</f>
        <v/>
      </c>
      <c r="B321" s="26" t="str">
        <f>IF(盘货信息!B321="","",盘货信息!B321)</f>
        <v/>
      </c>
      <c r="C321" s="23" t="str">
        <f>IF(盘货信息!C321="","",盘货信息!C321)</f>
        <v/>
      </c>
      <c r="D321" s="27" t="str">
        <f ca="1" t="shared" si="4"/>
        <v/>
      </c>
      <c r="E321" s="27" t="str">
        <f>IF(C321="","",固定信息!$B$2)</f>
        <v/>
      </c>
      <c r="F321" s="27" t="str">
        <f>IF(C321="","","【"&amp;C321&amp;"】"&amp;固定信息!$B$4)</f>
        <v/>
      </c>
      <c r="G321" s="27" t="str">
        <f>IF(C321="","","【"&amp;"活动时间："&amp;固定信息!$B$3&amp;"】")</f>
        <v/>
      </c>
      <c r="H321" s="27" t="str">
        <f>IF($C321="","",固定信息!$B$1)</f>
        <v/>
      </c>
      <c r="I321" s="27" t="str">
        <f>IF(OR(C321="",固定信息!$B$5=""),"","【1元预约锁好礼】"&amp;固定信息!$B$5)</f>
        <v/>
      </c>
      <c r="J321" s="27" t="str" cm="1">
        <f t="array" ref="J321">_xlfn.XLOOKUP($A321&amp;$B321&amp;$C321,价格信息!$A:$A&amp;价格信息!$B:$B&amp;价格信息!$C:$C,价格信息!$D:$D)</f>
        <v/>
      </c>
      <c r="K321" s="27" t="str">
        <f>IF($C321="","",固定信息!$B$1)</f>
        <v/>
      </c>
      <c r="L321" s="27" t="str" cm="1">
        <f t="array" ref="L321">IF(_xlfn.XLOOKUP($A321&amp;$B321&amp;$C321,盘货信息!$A:$A&amp;盘货信息!$B:$B&amp;盘货信息!$C:$C,盘货信息!$T:$T)="","","【优惠券】领"&amp;_xlfn.XLOOKUP($A321&amp;$B321&amp;$C321,盘货信息!$A:$A&amp;盘货信息!$B:$B&amp;盘货信息!$C:$C,盘货信息!$T:$T)&amp;"元优惠卷下单更优惠，领券链接："&amp;_xlfn.XLOOKUP($A321&amp;$B321&amp;$C321,盘货信息!$A:$A&amp;盘货信息!$B:$B&amp;盘货信息!$C:$C,盘货信息!$U:$U))</f>
        <v/>
      </c>
      <c r="M321" s="27" t="str" cm="1">
        <f t="array" ref="M321">IF(_xlfn.XLOOKUP($A321&amp;$B321&amp;$C321,盘货信息!$A:$A&amp;盘货信息!$B:$B&amp;盘货信息!$C:$C,盘货信息!$P:$P)="","","【限时】"&amp;_xlfn.XLOOKUP($A321&amp;$B321&amp;$C321,盘货信息!$A:$A&amp;盘货信息!$B:$B&amp;盘货信息!$C:$C,盘货信息!$P:$P))</f>
        <v/>
      </c>
      <c r="N321" s="27" t="str" cm="1">
        <f t="array" ref="N321">IF(_xlfn.XLOOKUP($A321&amp;$B321&amp;$C321,盘货信息!$A:$A&amp;盘货信息!$B:$B&amp;盘货信息!$C:$C,盘货信息!$V:$V)="","","【"&amp;盘货信息!$V$1&amp;"】"&amp;_xlfn.XLOOKUP($A321&amp;$B321&amp;$C321,盘货信息!$A:$A&amp;盘货信息!$B:$B&amp;盘货信息!$C:$C,盘货信息!$V:$V))</f>
        <v/>
      </c>
      <c r="O321" s="27" t="str" cm="1">
        <f t="array" ref="O321">IF(_xlfn.XLOOKUP($A321&amp;$B321&amp;$C321,盘货信息!$A:$A&amp;盘货信息!$B:$B&amp;盘货信息!$C:$C,盘货信息!$W:$W)="","","【"&amp;盘货信息!$W$1&amp;"】"&amp;_xlfn.XLOOKUP($A321&amp;$B321&amp;$C321,盘货信息!$A:$A&amp;盘货信息!$B:$B&amp;盘货信息!$C:$C,盘货信息!$W:$W))</f>
        <v/>
      </c>
      <c r="P321" s="27" t="str" cm="1">
        <f t="array" ref="P321">IF(_xlfn.XLOOKUP($A321&amp;$B321&amp;$C321,盘货信息!$A:$A&amp;盘货信息!$B:$B&amp;盘货信息!$C:$C,盘货信息!$S:$S)&lt;1,"","【"&amp;盘货信息!$S$1&amp;"】"&amp;"后返"&amp;_xlfn.XLOOKUP($A321&amp;$B321&amp;$C321,盘货信息!$A:$A&amp;盘货信息!$B:$B&amp;盘货信息!$C:$C,盘货信息!$S:$S)&amp;"元")</f>
        <v/>
      </c>
      <c r="Q321" s="27" t="str" cm="1">
        <f t="array" ref="Q321">IF(_xlfn.XLOOKUP($A321&amp;$B321&amp;$C321,盘货信息!$A:$A&amp;盘货信息!$B:$B&amp;盘货信息!$C:$C,盘货信息!$X:$X)="","","【"&amp;盘货信息!$X$1&amp;"】"&amp;_xlfn.XLOOKUP($A321&amp;$B321&amp;$C321,盘货信息!$A:$A&amp;盘货信息!$B:$B&amp;盘货信息!$C:$C,盘货信息!$X:$X))</f>
        <v/>
      </c>
      <c r="R321" s="27" t="str" cm="1">
        <f t="array" ref="R321">IF(_xlfn.XLOOKUP($A321&amp;$B321&amp;$C321,盘货信息!$A:$A&amp;盘货信息!$B:$B&amp;盘货信息!$C:$C,盘货信息!$Z:$Z)="","","【"&amp;盘货信息!$Z$1&amp;"】"&amp;_xlfn.XLOOKUP($A321&amp;$B321&amp;$C321,盘货信息!$A:$A&amp;盘货信息!$B:$B&amp;盘货信息!$C:$C,盘货信息!$Z:$Z))</f>
        <v/>
      </c>
      <c r="S321" s="27" t="str" cm="1">
        <f t="array" ref="S321">IF(_xlfn.XLOOKUP($A321&amp;$B321&amp;$C321,盘货信息!$A:$A&amp;盘货信息!$B:$B&amp;盘货信息!$C:$C,盘货信息!$Q:$Q)="","","【种草】站外带指定话题种草后返"&amp;_xlfn.XLOOKUP($A321&amp;$B321&amp;$C321,盘货信息!$A:$A&amp;盘货信息!$B:$B&amp;盘货信息!$C:$C,盘货信息!$Q:$Q)&amp;"元红包（每个淘宝账号仅限对应一个站外种草账号，同一个种草账号不可对应多个淘宝账号）")</f>
        <v/>
      </c>
      <c r="T321" s="27" t="str" cm="1">
        <f t="array" ref="T321">IF(_xlfn.XLOOKUP($A321&amp;$B321&amp;$C321,盘货信息!$A:$A&amp;盘货信息!$B:$B&amp;盘货信息!$C:$C,盘货信息!$R:$R)&lt;1,"","【以旧换新】"&amp;"享补贴"&amp;ROUND(_xlfn.XLOOKUP($A321&amp;$B321&amp;$C321,盘货信息!$A:$A&amp;盘货信息!$B:$B&amp;盘货信息!$C:$C,盘货信息!$R:$R),0)&amp;"元（可无旧机换新）")</f>
        <v/>
      </c>
      <c r="U321" s="27" t="str">
        <f>IF(AND($N321="",$O321="",$P321="",$Q321="",$R321="",$S321="",$T321=""),"",固定信息!$B$1)</f>
        <v/>
      </c>
      <c r="V321" s="27" t="str" cm="1">
        <f t="array" ref="V321">IF(_xlfn.XLOOKUP($A321&amp;$B321&amp;$C321,盘货信息!$A:$A&amp;盘货信息!$B:$B&amp;盘货信息!$C:$C,盘货信息!$Y:$Y)="","","【卡萨帝送赠】活动指定时间"&amp;_xlfn.TEXTBEFORE(_xlfn.TEXTAFTER(_xlfn.XLOOKUP($A321&amp;$B321&amp;$C321,盘货信息!$A:$A&amp;盘货信息!$B:$B&amp;盘货信息!$C:$C,盘货信息!$Y:$Y),"点"),"（"))</f>
        <v/>
      </c>
      <c r="W321" s="27" t="str" cm="1">
        <f t="array" ref="W321">IF(COUNTIF(_xlfn.XLOOKUP($A321&amp;$B321&amp;$C321,盘货信息!$A:$A&amp;盘货信息!$B:$B&amp;盘货信息!$C:$C,盘货信息!$O:$O),"*是*"),"【折扣】指定型号满2类享96折，满3类享94折","")</f>
        <v/>
      </c>
      <c r="X321" s="27" t="str" cm="1">
        <f t="array" ref="X321">IF(固定信息!$B$7="","",IF(_xlfn.XLOOKUP($A321&amp;$B321&amp;$C321,盘货信息!$A:$A&amp;盘货信息!$B:$B&amp;盘货信息!$C:$C,盘货信息!$N:$N)="是","【瓜分】"&amp;固定信息!$B$7,""))</f>
        <v/>
      </c>
      <c r="Y321" s="27" t="str">
        <f>IF(AND($V321="",$W321="",$X321=""),"",固定信息!$B$1)</f>
        <v/>
      </c>
      <c r="Z321" s="27" t="str" cm="1">
        <f t="array" ref="Z321">IF($C321="","",_xlfn.XLOOKUP($A321&amp;$B321&amp;$C321,服务!$A:$A&amp;服务!$B:$B&amp;服务!$C:$C,服务!$D:$D))</f>
        <v/>
      </c>
    </row>
    <row r="322" customHeight="1" spans="1:26">
      <c r="A322" s="23" t="str">
        <f>IF(盘货信息!A322="","",盘货信息!A322)</f>
        <v/>
      </c>
      <c r="B322" s="26" t="str">
        <f>IF(盘货信息!B322="","",盘货信息!B322)</f>
        <v/>
      </c>
      <c r="C322" s="23" t="str">
        <f>IF(盘货信息!C322="","",盘货信息!C322)</f>
        <v/>
      </c>
      <c r="D322" s="27" t="str">
        <f ca="1" t="shared" si="4"/>
        <v/>
      </c>
      <c r="E322" s="27" t="str">
        <f>IF(C322="","",固定信息!$B$2)</f>
        <v/>
      </c>
      <c r="F322" s="27" t="str">
        <f>IF(C322="","","【"&amp;C322&amp;"】"&amp;固定信息!$B$4)</f>
        <v/>
      </c>
      <c r="G322" s="27" t="str">
        <f>IF(C322="","","【"&amp;"活动时间："&amp;固定信息!$B$3&amp;"】")</f>
        <v/>
      </c>
      <c r="H322" s="27" t="str">
        <f>IF($C322="","",固定信息!$B$1)</f>
        <v/>
      </c>
      <c r="I322" s="27" t="str">
        <f>IF(OR(C322="",固定信息!$B$5=""),"","【1元预约锁好礼】"&amp;固定信息!$B$5)</f>
        <v/>
      </c>
      <c r="J322" s="27" t="str" cm="1">
        <f t="array" ref="J322">_xlfn.XLOOKUP($A322&amp;$B322&amp;$C322,价格信息!$A:$A&amp;价格信息!$B:$B&amp;价格信息!$C:$C,价格信息!$D:$D)</f>
        <v/>
      </c>
      <c r="K322" s="27" t="str">
        <f>IF($C322="","",固定信息!$B$1)</f>
        <v/>
      </c>
      <c r="L322" s="27" t="str" cm="1">
        <f t="array" ref="L322">IF(_xlfn.XLOOKUP($A322&amp;$B322&amp;$C322,盘货信息!$A:$A&amp;盘货信息!$B:$B&amp;盘货信息!$C:$C,盘货信息!$T:$T)="","","【优惠券】领"&amp;_xlfn.XLOOKUP($A322&amp;$B322&amp;$C322,盘货信息!$A:$A&amp;盘货信息!$B:$B&amp;盘货信息!$C:$C,盘货信息!$T:$T)&amp;"元优惠卷下单更优惠，领券链接："&amp;_xlfn.XLOOKUP($A322&amp;$B322&amp;$C322,盘货信息!$A:$A&amp;盘货信息!$B:$B&amp;盘货信息!$C:$C,盘货信息!$U:$U))</f>
        <v/>
      </c>
      <c r="M322" s="27" t="str" cm="1">
        <f t="array" ref="M322">IF(_xlfn.XLOOKUP($A322&amp;$B322&amp;$C322,盘货信息!$A:$A&amp;盘货信息!$B:$B&amp;盘货信息!$C:$C,盘货信息!$P:$P)="","","【限时】"&amp;_xlfn.XLOOKUP($A322&amp;$B322&amp;$C322,盘货信息!$A:$A&amp;盘货信息!$B:$B&amp;盘货信息!$C:$C,盘货信息!$P:$P))</f>
        <v/>
      </c>
      <c r="N322" s="27" t="str" cm="1">
        <f t="array" ref="N322">IF(_xlfn.XLOOKUP($A322&amp;$B322&amp;$C322,盘货信息!$A:$A&amp;盘货信息!$B:$B&amp;盘货信息!$C:$C,盘货信息!$V:$V)="","","【"&amp;盘货信息!$V$1&amp;"】"&amp;_xlfn.XLOOKUP($A322&amp;$B322&amp;$C322,盘货信息!$A:$A&amp;盘货信息!$B:$B&amp;盘货信息!$C:$C,盘货信息!$V:$V))</f>
        <v/>
      </c>
      <c r="O322" s="27" t="str" cm="1">
        <f t="array" ref="O322">IF(_xlfn.XLOOKUP($A322&amp;$B322&amp;$C322,盘货信息!$A:$A&amp;盘货信息!$B:$B&amp;盘货信息!$C:$C,盘货信息!$W:$W)="","","【"&amp;盘货信息!$W$1&amp;"】"&amp;_xlfn.XLOOKUP($A322&amp;$B322&amp;$C322,盘货信息!$A:$A&amp;盘货信息!$B:$B&amp;盘货信息!$C:$C,盘货信息!$W:$W))</f>
        <v/>
      </c>
      <c r="P322" s="27" t="str" cm="1">
        <f t="array" ref="P322">IF(_xlfn.XLOOKUP($A322&amp;$B322&amp;$C322,盘货信息!$A:$A&amp;盘货信息!$B:$B&amp;盘货信息!$C:$C,盘货信息!$S:$S)&lt;1,"","【"&amp;盘货信息!$S$1&amp;"】"&amp;"后返"&amp;_xlfn.XLOOKUP($A322&amp;$B322&amp;$C322,盘货信息!$A:$A&amp;盘货信息!$B:$B&amp;盘货信息!$C:$C,盘货信息!$S:$S)&amp;"元")</f>
        <v/>
      </c>
      <c r="Q322" s="27" t="str" cm="1">
        <f t="array" ref="Q322">IF(_xlfn.XLOOKUP($A322&amp;$B322&amp;$C322,盘货信息!$A:$A&amp;盘货信息!$B:$B&amp;盘货信息!$C:$C,盘货信息!$X:$X)="","","【"&amp;盘货信息!$X$1&amp;"】"&amp;_xlfn.XLOOKUP($A322&amp;$B322&amp;$C322,盘货信息!$A:$A&amp;盘货信息!$B:$B&amp;盘货信息!$C:$C,盘货信息!$X:$X))</f>
        <v/>
      </c>
      <c r="R322" s="27" t="str" cm="1">
        <f t="array" ref="R322">IF(_xlfn.XLOOKUP($A322&amp;$B322&amp;$C322,盘货信息!$A:$A&amp;盘货信息!$B:$B&amp;盘货信息!$C:$C,盘货信息!$Z:$Z)="","","【"&amp;盘货信息!$Z$1&amp;"】"&amp;_xlfn.XLOOKUP($A322&amp;$B322&amp;$C322,盘货信息!$A:$A&amp;盘货信息!$B:$B&amp;盘货信息!$C:$C,盘货信息!$Z:$Z))</f>
        <v/>
      </c>
      <c r="S322" s="27" t="str" cm="1">
        <f t="array" ref="S322">IF(_xlfn.XLOOKUP($A322&amp;$B322&amp;$C322,盘货信息!$A:$A&amp;盘货信息!$B:$B&amp;盘货信息!$C:$C,盘货信息!$Q:$Q)="","","【种草】站外带指定话题种草后返"&amp;_xlfn.XLOOKUP($A322&amp;$B322&amp;$C322,盘货信息!$A:$A&amp;盘货信息!$B:$B&amp;盘货信息!$C:$C,盘货信息!$Q:$Q)&amp;"元红包（每个淘宝账号仅限对应一个站外种草账号，同一个种草账号不可对应多个淘宝账号）")</f>
        <v/>
      </c>
      <c r="T322" s="27" t="str" cm="1">
        <f t="array" ref="T322">IF(_xlfn.XLOOKUP($A322&amp;$B322&amp;$C322,盘货信息!$A:$A&amp;盘货信息!$B:$B&amp;盘货信息!$C:$C,盘货信息!$R:$R)&lt;1,"","【以旧换新】"&amp;"享补贴"&amp;ROUND(_xlfn.XLOOKUP($A322&amp;$B322&amp;$C322,盘货信息!$A:$A&amp;盘货信息!$B:$B&amp;盘货信息!$C:$C,盘货信息!$R:$R),0)&amp;"元（可无旧机换新）")</f>
        <v/>
      </c>
      <c r="U322" s="27" t="str">
        <f>IF(AND($N322="",$O322="",$P322="",$Q322="",$R322="",$S322="",$T322=""),"",固定信息!$B$1)</f>
        <v/>
      </c>
      <c r="V322" s="27" t="str" cm="1">
        <f t="array" ref="V322">IF(_xlfn.XLOOKUP($A322&amp;$B322&amp;$C322,盘货信息!$A:$A&amp;盘货信息!$B:$B&amp;盘货信息!$C:$C,盘货信息!$Y:$Y)="","","【卡萨帝送赠】活动指定时间"&amp;_xlfn.TEXTBEFORE(_xlfn.TEXTAFTER(_xlfn.XLOOKUP($A322&amp;$B322&amp;$C322,盘货信息!$A:$A&amp;盘货信息!$B:$B&amp;盘货信息!$C:$C,盘货信息!$Y:$Y),"点"),"（"))</f>
        <v/>
      </c>
      <c r="W322" s="27" t="str" cm="1">
        <f t="array" ref="W322">IF(COUNTIF(_xlfn.XLOOKUP($A322&amp;$B322&amp;$C322,盘货信息!$A:$A&amp;盘货信息!$B:$B&amp;盘货信息!$C:$C,盘货信息!$O:$O),"*是*"),"【折扣】指定型号满2类享96折，满3类享94折","")</f>
        <v/>
      </c>
      <c r="X322" s="27" t="str" cm="1">
        <f t="array" ref="X322">IF(固定信息!$B$7="","",IF(_xlfn.XLOOKUP($A322&amp;$B322&amp;$C322,盘货信息!$A:$A&amp;盘货信息!$B:$B&amp;盘货信息!$C:$C,盘货信息!$N:$N)="是","【瓜分】"&amp;固定信息!$B$7,""))</f>
        <v/>
      </c>
      <c r="Y322" s="27" t="str">
        <f>IF(AND($V322="",$W322="",$X322=""),"",固定信息!$B$1)</f>
        <v/>
      </c>
      <c r="Z322" s="27" t="str" cm="1">
        <f t="array" ref="Z322">IF($C322="","",_xlfn.XLOOKUP($A322&amp;$B322&amp;$C322,服务!$A:$A&amp;服务!$B:$B&amp;服务!$C:$C,服务!$D:$D))</f>
        <v/>
      </c>
    </row>
    <row r="323" customHeight="1" spans="1:26">
      <c r="A323" s="23" t="str">
        <f>IF(盘货信息!A323="","",盘货信息!A323)</f>
        <v/>
      </c>
      <c r="B323" s="26" t="str">
        <f>IF(盘货信息!B323="","",盘货信息!B323)</f>
        <v/>
      </c>
      <c r="C323" s="23" t="str">
        <f>IF(盘货信息!C323="","",盘货信息!C323)</f>
        <v/>
      </c>
      <c r="D323" s="27" t="str">
        <f ca="1" t="shared" ref="D323:D386" si="5">_xlfn.TEXTJOIN(CHAR(10),TRUE,OFFSET(INDIRECT("RC",FALSE),0,1,1,30))</f>
        <v/>
      </c>
      <c r="E323" s="27" t="str">
        <f>IF(C323="","",固定信息!$B$2)</f>
        <v/>
      </c>
      <c r="F323" s="27" t="str">
        <f>IF(C323="","","【"&amp;C323&amp;"】"&amp;固定信息!$B$4)</f>
        <v/>
      </c>
      <c r="G323" s="27" t="str">
        <f>IF(C323="","","【"&amp;"活动时间："&amp;固定信息!$B$3&amp;"】")</f>
        <v/>
      </c>
      <c r="H323" s="27" t="str">
        <f>IF($C323="","",固定信息!$B$1)</f>
        <v/>
      </c>
      <c r="I323" s="27" t="str">
        <f>IF(OR(C323="",固定信息!$B$5=""),"","【1元预约锁好礼】"&amp;固定信息!$B$5)</f>
        <v/>
      </c>
      <c r="J323" s="27" t="str" cm="1">
        <f t="array" ref="J323">_xlfn.XLOOKUP($A323&amp;$B323&amp;$C323,价格信息!$A:$A&amp;价格信息!$B:$B&amp;价格信息!$C:$C,价格信息!$D:$D)</f>
        <v/>
      </c>
      <c r="K323" s="27" t="str">
        <f>IF($C323="","",固定信息!$B$1)</f>
        <v/>
      </c>
      <c r="L323" s="27" t="str" cm="1">
        <f t="array" ref="L323">IF(_xlfn.XLOOKUP($A323&amp;$B323&amp;$C323,盘货信息!$A:$A&amp;盘货信息!$B:$B&amp;盘货信息!$C:$C,盘货信息!$T:$T)="","","【优惠券】领"&amp;_xlfn.XLOOKUP($A323&amp;$B323&amp;$C323,盘货信息!$A:$A&amp;盘货信息!$B:$B&amp;盘货信息!$C:$C,盘货信息!$T:$T)&amp;"元优惠卷下单更优惠，领券链接："&amp;_xlfn.XLOOKUP($A323&amp;$B323&amp;$C323,盘货信息!$A:$A&amp;盘货信息!$B:$B&amp;盘货信息!$C:$C,盘货信息!$U:$U))</f>
        <v/>
      </c>
      <c r="M323" s="27" t="str" cm="1">
        <f t="array" ref="M323">IF(_xlfn.XLOOKUP($A323&amp;$B323&amp;$C323,盘货信息!$A:$A&amp;盘货信息!$B:$B&amp;盘货信息!$C:$C,盘货信息!$P:$P)="","","【限时】"&amp;_xlfn.XLOOKUP($A323&amp;$B323&amp;$C323,盘货信息!$A:$A&amp;盘货信息!$B:$B&amp;盘货信息!$C:$C,盘货信息!$P:$P))</f>
        <v/>
      </c>
      <c r="N323" s="27" t="str" cm="1">
        <f t="array" ref="N323">IF(_xlfn.XLOOKUP($A323&amp;$B323&amp;$C323,盘货信息!$A:$A&amp;盘货信息!$B:$B&amp;盘货信息!$C:$C,盘货信息!$V:$V)="","","【"&amp;盘货信息!$V$1&amp;"】"&amp;_xlfn.XLOOKUP($A323&amp;$B323&amp;$C323,盘货信息!$A:$A&amp;盘货信息!$B:$B&amp;盘货信息!$C:$C,盘货信息!$V:$V))</f>
        <v/>
      </c>
      <c r="O323" s="27" t="str" cm="1">
        <f t="array" ref="O323">IF(_xlfn.XLOOKUP($A323&amp;$B323&amp;$C323,盘货信息!$A:$A&amp;盘货信息!$B:$B&amp;盘货信息!$C:$C,盘货信息!$W:$W)="","","【"&amp;盘货信息!$W$1&amp;"】"&amp;_xlfn.XLOOKUP($A323&amp;$B323&amp;$C323,盘货信息!$A:$A&amp;盘货信息!$B:$B&amp;盘货信息!$C:$C,盘货信息!$W:$W))</f>
        <v/>
      </c>
      <c r="P323" s="27" t="str" cm="1">
        <f t="array" ref="P323">IF(_xlfn.XLOOKUP($A323&amp;$B323&amp;$C323,盘货信息!$A:$A&amp;盘货信息!$B:$B&amp;盘货信息!$C:$C,盘货信息!$S:$S)&lt;1,"","【"&amp;盘货信息!$S$1&amp;"】"&amp;"后返"&amp;_xlfn.XLOOKUP($A323&amp;$B323&amp;$C323,盘货信息!$A:$A&amp;盘货信息!$B:$B&amp;盘货信息!$C:$C,盘货信息!$S:$S)&amp;"元")</f>
        <v/>
      </c>
      <c r="Q323" s="27" t="str" cm="1">
        <f t="array" ref="Q323">IF(_xlfn.XLOOKUP($A323&amp;$B323&amp;$C323,盘货信息!$A:$A&amp;盘货信息!$B:$B&amp;盘货信息!$C:$C,盘货信息!$X:$X)="","","【"&amp;盘货信息!$X$1&amp;"】"&amp;_xlfn.XLOOKUP($A323&amp;$B323&amp;$C323,盘货信息!$A:$A&amp;盘货信息!$B:$B&amp;盘货信息!$C:$C,盘货信息!$X:$X))</f>
        <v/>
      </c>
      <c r="R323" s="27" t="str" cm="1">
        <f t="array" ref="R323">IF(_xlfn.XLOOKUP($A323&amp;$B323&amp;$C323,盘货信息!$A:$A&amp;盘货信息!$B:$B&amp;盘货信息!$C:$C,盘货信息!$Z:$Z)="","","【"&amp;盘货信息!$Z$1&amp;"】"&amp;_xlfn.XLOOKUP($A323&amp;$B323&amp;$C323,盘货信息!$A:$A&amp;盘货信息!$B:$B&amp;盘货信息!$C:$C,盘货信息!$Z:$Z))</f>
        <v/>
      </c>
      <c r="S323" s="27" t="str" cm="1">
        <f t="array" ref="S323">IF(_xlfn.XLOOKUP($A323&amp;$B323&amp;$C323,盘货信息!$A:$A&amp;盘货信息!$B:$B&amp;盘货信息!$C:$C,盘货信息!$Q:$Q)="","","【种草】站外带指定话题种草后返"&amp;_xlfn.XLOOKUP($A323&amp;$B323&amp;$C323,盘货信息!$A:$A&amp;盘货信息!$B:$B&amp;盘货信息!$C:$C,盘货信息!$Q:$Q)&amp;"元红包（每个淘宝账号仅限对应一个站外种草账号，同一个种草账号不可对应多个淘宝账号）")</f>
        <v/>
      </c>
      <c r="T323" s="27" t="str" cm="1">
        <f t="array" ref="T323">IF(_xlfn.XLOOKUP($A323&amp;$B323&amp;$C323,盘货信息!$A:$A&amp;盘货信息!$B:$B&amp;盘货信息!$C:$C,盘货信息!$R:$R)&lt;1,"","【以旧换新】"&amp;"享补贴"&amp;ROUND(_xlfn.XLOOKUP($A323&amp;$B323&amp;$C323,盘货信息!$A:$A&amp;盘货信息!$B:$B&amp;盘货信息!$C:$C,盘货信息!$R:$R),0)&amp;"元（可无旧机换新）")</f>
        <v/>
      </c>
      <c r="U323" s="27" t="str">
        <f>IF(AND($N323="",$O323="",$P323="",$Q323="",$R323="",$S323="",$T323=""),"",固定信息!$B$1)</f>
        <v/>
      </c>
      <c r="V323" s="27" t="str" cm="1">
        <f t="array" ref="V323">IF(_xlfn.XLOOKUP($A323&amp;$B323&amp;$C323,盘货信息!$A:$A&amp;盘货信息!$B:$B&amp;盘货信息!$C:$C,盘货信息!$Y:$Y)="","","【卡萨帝送赠】活动指定时间"&amp;_xlfn.TEXTBEFORE(_xlfn.TEXTAFTER(_xlfn.XLOOKUP($A323&amp;$B323&amp;$C323,盘货信息!$A:$A&amp;盘货信息!$B:$B&amp;盘货信息!$C:$C,盘货信息!$Y:$Y),"点"),"（"))</f>
        <v/>
      </c>
      <c r="W323" s="27" t="str" cm="1">
        <f t="array" ref="W323">IF(COUNTIF(_xlfn.XLOOKUP($A323&amp;$B323&amp;$C323,盘货信息!$A:$A&amp;盘货信息!$B:$B&amp;盘货信息!$C:$C,盘货信息!$O:$O),"*是*"),"【折扣】指定型号满2类享96折，满3类享94折","")</f>
        <v/>
      </c>
      <c r="X323" s="27" t="str" cm="1">
        <f t="array" ref="X323">IF(固定信息!$B$7="","",IF(_xlfn.XLOOKUP($A323&amp;$B323&amp;$C323,盘货信息!$A:$A&amp;盘货信息!$B:$B&amp;盘货信息!$C:$C,盘货信息!$N:$N)="是","【瓜分】"&amp;固定信息!$B$7,""))</f>
        <v/>
      </c>
      <c r="Y323" s="27" t="str">
        <f>IF(AND($V323="",$W323="",$X323=""),"",固定信息!$B$1)</f>
        <v/>
      </c>
      <c r="Z323" s="27" t="str" cm="1">
        <f t="array" ref="Z323">IF($C323="","",_xlfn.XLOOKUP($A323&amp;$B323&amp;$C323,服务!$A:$A&amp;服务!$B:$B&amp;服务!$C:$C,服务!$D:$D))</f>
        <v/>
      </c>
    </row>
    <row r="324" customHeight="1" spans="1:26">
      <c r="A324" s="23" t="str">
        <f>IF(盘货信息!A324="","",盘货信息!A324)</f>
        <v/>
      </c>
      <c r="B324" s="26" t="str">
        <f>IF(盘货信息!B324="","",盘货信息!B324)</f>
        <v/>
      </c>
      <c r="C324" s="23" t="str">
        <f>IF(盘货信息!C324="","",盘货信息!C324)</f>
        <v/>
      </c>
      <c r="D324" s="27" t="str">
        <f ca="1" t="shared" si="5"/>
        <v/>
      </c>
      <c r="E324" s="27" t="str">
        <f>IF(C324="","",固定信息!$B$2)</f>
        <v/>
      </c>
      <c r="F324" s="27" t="str">
        <f>IF(C324="","","【"&amp;C324&amp;"】"&amp;固定信息!$B$4)</f>
        <v/>
      </c>
      <c r="G324" s="27" t="str">
        <f>IF(C324="","","【"&amp;"活动时间："&amp;固定信息!$B$3&amp;"】")</f>
        <v/>
      </c>
      <c r="H324" s="27" t="str">
        <f>IF($C324="","",固定信息!$B$1)</f>
        <v/>
      </c>
      <c r="I324" s="27" t="str">
        <f>IF(OR(C324="",固定信息!$B$5=""),"","【1元预约锁好礼】"&amp;固定信息!$B$5)</f>
        <v/>
      </c>
      <c r="J324" s="27" t="str" cm="1">
        <f t="array" ref="J324">_xlfn.XLOOKUP($A324&amp;$B324&amp;$C324,价格信息!$A:$A&amp;价格信息!$B:$B&amp;价格信息!$C:$C,价格信息!$D:$D)</f>
        <v/>
      </c>
      <c r="K324" s="27" t="str">
        <f>IF($C324="","",固定信息!$B$1)</f>
        <v/>
      </c>
      <c r="L324" s="27" t="str" cm="1">
        <f t="array" ref="L324">IF(_xlfn.XLOOKUP($A324&amp;$B324&amp;$C324,盘货信息!$A:$A&amp;盘货信息!$B:$B&amp;盘货信息!$C:$C,盘货信息!$T:$T)="","","【优惠券】领"&amp;_xlfn.XLOOKUP($A324&amp;$B324&amp;$C324,盘货信息!$A:$A&amp;盘货信息!$B:$B&amp;盘货信息!$C:$C,盘货信息!$T:$T)&amp;"元优惠卷下单更优惠，领券链接："&amp;_xlfn.XLOOKUP($A324&amp;$B324&amp;$C324,盘货信息!$A:$A&amp;盘货信息!$B:$B&amp;盘货信息!$C:$C,盘货信息!$U:$U))</f>
        <v/>
      </c>
      <c r="M324" s="27" t="str" cm="1">
        <f t="array" ref="M324">IF(_xlfn.XLOOKUP($A324&amp;$B324&amp;$C324,盘货信息!$A:$A&amp;盘货信息!$B:$B&amp;盘货信息!$C:$C,盘货信息!$P:$P)="","","【限时】"&amp;_xlfn.XLOOKUP($A324&amp;$B324&amp;$C324,盘货信息!$A:$A&amp;盘货信息!$B:$B&amp;盘货信息!$C:$C,盘货信息!$P:$P))</f>
        <v/>
      </c>
      <c r="N324" s="27" t="str" cm="1">
        <f t="array" ref="N324">IF(_xlfn.XLOOKUP($A324&amp;$B324&amp;$C324,盘货信息!$A:$A&amp;盘货信息!$B:$B&amp;盘货信息!$C:$C,盘货信息!$V:$V)="","","【"&amp;盘货信息!$V$1&amp;"】"&amp;_xlfn.XLOOKUP($A324&amp;$B324&amp;$C324,盘货信息!$A:$A&amp;盘货信息!$B:$B&amp;盘货信息!$C:$C,盘货信息!$V:$V))</f>
        <v/>
      </c>
      <c r="O324" s="27" t="str" cm="1">
        <f t="array" ref="O324">IF(_xlfn.XLOOKUP($A324&amp;$B324&amp;$C324,盘货信息!$A:$A&amp;盘货信息!$B:$B&amp;盘货信息!$C:$C,盘货信息!$W:$W)="","","【"&amp;盘货信息!$W$1&amp;"】"&amp;_xlfn.XLOOKUP($A324&amp;$B324&amp;$C324,盘货信息!$A:$A&amp;盘货信息!$B:$B&amp;盘货信息!$C:$C,盘货信息!$W:$W))</f>
        <v/>
      </c>
      <c r="P324" s="27" t="str" cm="1">
        <f t="array" ref="P324">IF(_xlfn.XLOOKUP($A324&amp;$B324&amp;$C324,盘货信息!$A:$A&amp;盘货信息!$B:$B&amp;盘货信息!$C:$C,盘货信息!$S:$S)&lt;1,"","【"&amp;盘货信息!$S$1&amp;"】"&amp;"后返"&amp;_xlfn.XLOOKUP($A324&amp;$B324&amp;$C324,盘货信息!$A:$A&amp;盘货信息!$B:$B&amp;盘货信息!$C:$C,盘货信息!$S:$S)&amp;"元")</f>
        <v/>
      </c>
      <c r="Q324" s="27" t="str" cm="1">
        <f t="array" ref="Q324">IF(_xlfn.XLOOKUP($A324&amp;$B324&amp;$C324,盘货信息!$A:$A&amp;盘货信息!$B:$B&amp;盘货信息!$C:$C,盘货信息!$X:$X)="","","【"&amp;盘货信息!$X$1&amp;"】"&amp;_xlfn.XLOOKUP($A324&amp;$B324&amp;$C324,盘货信息!$A:$A&amp;盘货信息!$B:$B&amp;盘货信息!$C:$C,盘货信息!$X:$X))</f>
        <v/>
      </c>
      <c r="R324" s="27" t="str" cm="1">
        <f t="array" ref="R324">IF(_xlfn.XLOOKUP($A324&amp;$B324&amp;$C324,盘货信息!$A:$A&amp;盘货信息!$B:$B&amp;盘货信息!$C:$C,盘货信息!$Z:$Z)="","","【"&amp;盘货信息!$Z$1&amp;"】"&amp;_xlfn.XLOOKUP($A324&amp;$B324&amp;$C324,盘货信息!$A:$A&amp;盘货信息!$B:$B&amp;盘货信息!$C:$C,盘货信息!$Z:$Z))</f>
        <v/>
      </c>
      <c r="S324" s="27" t="str" cm="1">
        <f t="array" ref="S324">IF(_xlfn.XLOOKUP($A324&amp;$B324&amp;$C324,盘货信息!$A:$A&amp;盘货信息!$B:$B&amp;盘货信息!$C:$C,盘货信息!$Q:$Q)="","","【种草】站外带指定话题种草后返"&amp;_xlfn.XLOOKUP($A324&amp;$B324&amp;$C324,盘货信息!$A:$A&amp;盘货信息!$B:$B&amp;盘货信息!$C:$C,盘货信息!$Q:$Q)&amp;"元红包（每个淘宝账号仅限对应一个站外种草账号，同一个种草账号不可对应多个淘宝账号）")</f>
        <v/>
      </c>
      <c r="T324" s="27" t="str" cm="1">
        <f t="array" ref="T324">IF(_xlfn.XLOOKUP($A324&amp;$B324&amp;$C324,盘货信息!$A:$A&amp;盘货信息!$B:$B&amp;盘货信息!$C:$C,盘货信息!$R:$R)&lt;1,"","【以旧换新】"&amp;"享补贴"&amp;ROUND(_xlfn.XLOOKUP($A324&amp;$B324&amp;$C324,盘货信息!$A:$A&amp;盘货信息!$B:$B&amp;盘货信息!$C:$C,盘货信息!$R:$R),0)&amp;"元（可无旧机换新）")</f>
        <v/>
      </c>
      <c r="U324" s="27" t="str">
        <f>IF(AND($N324="",$O324="",$P324="",$Q324="",$R324="",$S324="",$T324=""),"",固定信息!$B$1)</f>
        <v/>
      </c>
      <c r="V324" s="27" t="str" cm="1">
        <f t="array" ref="V324">IF(_xlfn.XLOOKUP($A324&amp;$B324&amp;$C324,盘货信息!$A:$A&amp;盘货信息!$B:$B&amp;盘货信息!$C:$C,盘货信息!$Y:$Y)="","","【卡萨帝送赠】活动指定时间"&amp;_xlfn.TEXTBEFORE(_xlfn.TEXTAFTER(_xlfn.XLOOKUP($A324&amp;$B324&amp;$C324,盘货信息!$A:$A&amp;盘货信息!$B:$B&amp;盘货信息!$C:$C,盘货信息!$Y:$Y),"点"),"（"))</f>
        <v/>
      </c>
      <c r="W324" s="27" t="str" cm="1">
        <f t="array" ref="W324">IF(COUNTIF(_xlfn.XLOOKUP($A324&amp;$B324&amp;$C324,盘货信息!$A:$A&amp;盘货信息!$B:$B&amp;盘货信息!$C:$C,盘货信息!$O:$O),"*是*"),"【折扣】指定型号满2类享96折，满3类享94折","")</f>
        <v/>
      </c>
      <c r="X324" s="27" t="str" cm="1">
        <f t="array" ref="X324">IF(固定信息!$B$7="","",IF(_xlfn.XLOOKUP($A324&amp;$B324&amp;$C324,盘货信息!$A:$A&amp;盘货信息!$B:$B&amp;盘货信息!$C:$C,盘货信息!$N:$N)="是","【瓜分】"&amp;固定信息!$B$7,""))</f>
        <v/>
      </c>
      <c r="Y324" s="27" t="str">
        <f>IF(AND($V324="",$W324="",$X324=""),"",固定信息!$B$1)</f>
        <v/>
      </c>
      <c r="Z324" s="27" t="str" cm="1">
        <f t="array" ref="Z324">IF($C324="","",_xlfn.XLOOKUP($A324&amp;$B324&amp;$C324,服务!$A:$A&amp;服务!$B:$B&amp;服务!$C:$C,服务!$D:$D))</f>
        <v/>
      </c>
    </row>
    <row r="325" customHeight="1" spans="1:26">
      <c r="A325" s="23" t="str">
        <f>IF(盘货信息!A325="","",盘货信息!A325)</f>
        <v/>
      </c>
      <c r="B325" s="26" t="str">
        <f>IF(盘货信息!B325="","",盘货信息!B325)</f>
        <v/>
      </c>
      <c r="C325" s="23" t="str">
        <f>IF(盘货信息!C325="","",盘货信息!C325)</f>
        <v/>
      </c>
      <c r="D325" s="27" t="str">
        <f ca="1" t="shared" si="5"/>
        <v/>
      </c>
      <c r="E325" s="27" t="str">
        <f>IF(C325="","",固定信息!$B$2)</f>
        <v/>
      </c>
      <c r="F325" s="27" t="str">
        <f>IF(C325="","","【"&amp;C325&amp;"】"&amp;固定信息!$B$4)</f>
        <v/>
      </c>
      <c r="G325" s="27" t="str">
        <f>IF(C325="","","【"&amp;"活动时间："&amp;固定信息!$B$3&amp;"】")</f>
        <v/>
      </c>
      <c r="H325" s="27" t="str">
        <f>IF($C325="","",固定信息!$B$1)</f>
        <v/>
      </c>
      <c r="I325" s="27" t="str">
        <f>IF(OR(C325="",固定信息!$B$5=""),"","【1元预约锁好礼】"&amp;固定信息!$B$5)</f>
        <v/>
      </c>
      <c r="J325" s="27" t="str" cm="1">
        <f t="array" ref="J325">_xlfn.XLOOKUP($A325&amp;$B325&amp;$C325,价格信息!$A:$A&amp;价格信息!$B:$B&amp;价格信息!$C:$C,价格信息!$D:$D)</f>
        <v/>
      </c>
      <c r="K325" s="27" t="str">
        <f>IF($C325="","",固定信息!$B$1)</f>
        <v/>
      </c>
      <c r="L325" s="27" t="str" cm="1">
        <f t="array" ref="L325">IF(_xlfn.XLOOKUP($A325&amp;$B325&amp;$C325,盘货信息!$A:$A&amp;盘货信息!$B:$B&amp;盘货信息!$C:$C,盘货信息!$T:$T)="","","【优惠券】领"&amp;_xlfn.XLOOKUP($A325&amp;$B325&amp;$C325,盘货信息!$A:$A&amp;盘货信息!$B:$B&amp;盘货信息!$C:$C,盘货信息!$T:$T)&amp;"元优惠卷下单更优惠，领券链接："&amp;_xlfn.XLOOKUP($A325&amp;$B325&amp;$C325,盘货信息!$A:$A&amp;盘货信息!$B:$B&amp;盘货信息!$C:$C,盘货信息!$U:$U))</f>
        <v/>
      </c>
      <c r="M325" s="27" t="str" cm="1">
        <f t="array" ref="M325">IF(_xlfn.XLOOKUP($A325&amp;$B325&amp;$C325,盘货信息!$A:$A&amp;盘货信息!$B:$B&amp;盘货信息!$C:$C,盘货信息!$P:$P)="","","【限时】"&amp;_xlfn.XLOOKUP($A325&amp;$B325&amp;$C325,盘货信息!$A:$A&amp;盘货信息!$B:$B&amp;盘货信息!$C:$C,盘货信息!$P:$P))</f>
        <v/>
      </c>
      <c r="N325" s="27" t="str" cm="1">
        <f t="array" ref="N325">IF(_xlfn.XLOOKUP($A325&amp;$B325&amp;$C325,盘货信息!$A:$A&amp;盘货信息!$B:$B&amp;盘货信息!$C:$C,盘货信息!$V:$V)="","","【"&amp;盘货信息!$V$1&amp;"】"&amp;_xlfn.XLOOKUP($A325&amp;$B325&amp;$C325,盘货信息!$A:$A&amp;盘货信息!$B:$B&amp;盘货信息!$C:$C,盘货信息!$V:$V))</f>
        <v/>
      </c>
      <c r="O325" s="27" t="str" cm="1">
        <f t="array" ref="O325">IF(_xlfn.XLOOKUP($A325&amp;$B325&amp;$C325,盘货信息!$A:$A&amp;盘货信息!$B:$B&amp;盘货信息!$C:$C,盘货信息!$W:$W)="","","【"&amp;盘货信息!$W$1&amp;"】"&amp;_xlfn.XLOOKUP($A325&amp;$B325&amp;$C325,盘货信息!$A:$A&amp;盘货信息!$B:$B&amp;盘货信息!$C:$C,盘货信息!$W:$W))</f>
        <v/>
      </c>
      <c r="P325" s="27" t="str" cm="1">
        <f t="array" ref="P325">IF(_xlfn.XLOOKUP($A325&amp;$B325&amp;$C325,盘货信息!$A:$A&amp;盘货信息!$B:$B&amp;盘货信息!$C:$C,盘货信息!$S:$S)&lt;1,"","【"&amp;盘货信息!$S$1&amp;"】"&amp;"后返"&amp;_xlfn.XLOOKUP($A325&amp;$B325&amp;$C325,盘货信息!$A:$A&amp;盘货信息!$B:$B&amp;盘货信息!$C:$C,盘货信息!$S:$S)&amp;"元")</f>
        <v/>
      </c>
      <c r="Q325" s="27" t="str" cm="1">
        <f t="array" ref="Q325">IF(_xlfn.XLOOKUP($A325&amp;$B325&amp;$C325,盘货信息!$A:$A&amp;盘货信息!$B:$B&amp;盘货信息!$C:$C,盘货信息!$X:$X)="","","【"&amp;盘货信息!$X$1&amp;"】"&amp;_xlfn.XLOOKUP($A325&amp;$B325&amp;$C325,盘货信息!$A:$A&amp;盘货信息!$B:$B&amp;盘货信息!$C:$C,盘货信息!$X:$X))</f>
        <v/>
      </c>
      <c r="R325" s="27" t="str" cm="1">
        <f t="array" ref="R325">IF(_xlfn.XLOOKUP($A325&amp;$B325&amp;$C325,盘货信息!$A:$A&amp;盘货信息!$B:$B&amp;盘货信息!$C:$C,盘货信息!$Z:$Z)="","","【"&amp;盘货信息!$Z$1&amp;"】"&amp;_xlfn.XLOOKUP($A325&amp;$B325&amp;$C325,盘货信息!$A:$A&amp;盘货信息!$B:$B&amp;盘货信息!$C:$C,盘货信息!$Z:$Z))</f>
        <v/>
      </c>
      <c r="S325" s="27" t="str" cm="1">
        <f t="array" ref="S325">IF(_xlfn.XLOOKUP($A325&amp;$B325&amp;$C325,盘货信息!$A:$A&amp;盘货信息!$B:$B&amp;盘货信息!$C:$C,盘货信息!$Q:$Q)="","","【种草】站外带指定话题种草后返"&amp;_xlfn.XLOOKUP($A325&amp;$B325&amp;$C325,盘货信息!$A:$A&amp;盘货信息!$B:$B&amp;盘货信息!$C:$C,盘货信息!$Q:$Q)&amp;"元红包（每个淘宝账号仅限对应一个站外种草账号，同一个种草账号不可对应多个淘宝账号）")</f>
        <v/>
      </c>
      <c r="T325" s="27" t="str" cm="1">
        <f t="array" ref="T325">IF(_xlfn.XLOOKUP($A325&amp;$B325&amp;$C325,盘货信息!$A:$A&amp;盘货信息!$B:$B&amp;盘货信息!$C:$C,盘货信息!$R:$R)&lt;1,"","【以旧换新】"&amp;"享补贴"&amp;ROUND(_xlfn.XLOOKUP($A325&amp;$B325&amp;$C325,盘货信息!$A:$A&amp;盘货信息!$B:$B&amp;盘货信息!$C:$C,盘货信息!$R:$R),0)&amp;"元（可无旧机换新）")</f>
        <v/>
      </c>
      <c r="U325" s="27" t="str">
        <f>IF(AND($N325="",$O325="",$P325="",$Q325="",$R325="",$S325="",$T325=""),"",固定信息!$B$1)</f>
        <v/>
      </c>
      <c r="V325" s="27" t="str" cm="1">
        <f t="array" ref="V325">IF(_xlfn.XLOOKUP($A325&amp;$B325&amp;$C325,盘货信息!$A:$A&amp;盘货信息!$B:$B&amp;盘货信息!$C:$C,盘货信息!$Y:$Y)="","","【卡萨帝送赠】活动指定时间"&amp;_xlfn.TEXTBEFORE(_xlfn.TEXTAFTER(_xlfn.XLOOKUP($A325&amp;$B325&amp;$C325,盘货信息!$A:$A&amp;盘货信息!$B:$B&amp;盘货信息!$C:$C,盘货信息!$Y:$Y),"点"),"（"))</f>
        <v/>
      </c>
      <c r="W325" s="27" t="str" cm="1">
        <f t="array" ref="W325">IF(COUNTIF(_xlfn.XLOOKUP($A325&amp;$B325&amp;$C325,盘货信息!$A:$A&amp;盘货信息!$B:$B&amp;盘货信息!$C:$C,盘货信息!$O:$O),"*是*"),"【折扣】指定型号满2类享96折，满3类享94折","")</f>
        <v/>
      </c>
      <c r="X325" s="27" t="str" cm="1">
        <f t="array" ref="X325">IF(固定信息!$B$7="","",IF(_xlfn.XLOOKUP($A325&amp;$B325&amp;$C325,盘货信息!$A:$A&amp;盘货信息!$B:$B&amp;盘货信息!$C:$C,盘货信息!$N:$N)="是","【瓜分】"&amp;固定信息!$B$7,""))</f>
        <v/>
      </c>
      <c r="Y325" s="27" t="str">
        <f>IF(AND($V325="",$W325="",$X325=""),"",固定信息!$B$1)</f>
        <v/>
      </c>
      <c r="Z325" s="27" t="str" cm="1">
        <f t="array" ref="Z325">IF($C325="","",_xlfn.XLOOKUP($A325&amp;$B325&amp;$C325,服务!$A:$A&amp;服务!$B:$B&amp;服务!$C:$C,服务!$D:$D))</f>
        <v/>
      </c>
    </row>
    <row r="326" customHeight="1" spans="1:26">
      <c r="A326" s="23" t="str">
        <f>IF(盘货信息!A326="","",盘货信息!A326)</f>
        <v/>
      </c>
      <c r="B326" s="26" t="str">
        <f>IF(盘货信息!B326="","",盘货信息!B326)</f>
        <v/>
      </c>
      <c r="C326" s="23" t="str">
        <f>IF(盘货信息!C326="","",盘货信息!C326)</f>
        <v/>
      </c>
      <c r="D326" s="27" t="str">
        <f ca="1" t="shared" si="5"/>
        <v/>
      </c>
      <c r="E326" s="27" t="str">
        <f>IF(C326="","",固定信息!$B$2)</f>
        <v/>
      </c>
      <c r="F326" s="27" t="str">
        <f>IF(C326="","","【"&amp;C326&amp;"】"&amp;固定信息!$B$4)</f>
        <v/>
      </c>
      <c r="G326" s="27" t="str">
        <f>IF(C326="","","【"&amp;"活动时间："&amp;固定信息!$B$3&amp;"】")</f>
        <v/>
      </c>
      <c r="H326" s="27" t="str">
        <f>IF($C326="","",固定信息!$B$1)</f>
        <v/>
      </c>
      <c r="I326" s="27" t="str">
        <f>IF(OR(C326="",固定信息!$B$5=""),"","【1元预约锁好礼】"&amp;固定信息!$B$5)</f>
        <v/>
      </c>
      <c r="J326" s="27" t="str" cm="1">
        <f t="array" ref="J326">_xlfn.XLOOKUP($A326&amp;$B326&amp;$C326,价格信息!$A:$A&amp;价格信息!$B:$B&amp;价格信息!$C:$C,价格信息!$D:$D)</f>
        <v/>
      </c>
      <c r="K326" s="27" t="str">
        <f>IF($C326="","",固定信息!$B$1)</f>
        <v/>
      </c>
      <c r="L326" s="27" t="str" cm="1">
        <f t="array" ref="L326">IF(_xlfn.XLOOKUP($A326&amp;$B326&amp;$C326,盘货信息!$A:$A&amp;盘货信息!$B:$B&amp;盘货信息!$C:$C,盘货信息!$T:$T)="","","【优惠券】领"&amp;_xlfn.XLOOKUP($A326&amp;$B326&amp;$C326,盘货信息!$A:$A&amp;盘货信息!$B:$B&amp;盘货信息!$C:$C,盘货信息!$T:$T)&amp;"元优惠卷下单更优惠，领券链接："&amp;_xlfn.XLOOKUP($A326&amp;$B326&amp;$C326,盘货信息!$A:$A&amp;盘货信息!$B:$B&amp;盘货信息!$C:$C,盘货信息!$U:$U))</f>
        <v/>
      </c>
      <c r="M326" s="27" t="str" cm="1">
        <f t="array" ref="M326">IF(_xlfn.XLOOKUP($A326&amp;$B326&amp;$C326,盘货信息!$A:$A&amp;盘货信息!$B:$B&amp;盘货信息!$C:$C,盘货信息!$P:$P)="","","【限时】"&amp;_xlfn.XLOOKUP($A326&amp;$B326&amp;$C326,盘货信息!$A:$A&amp;盘货信息!$B:$B&amp;盘货信息!$C:$C,盘货信息!$P:$P))</f>
        <v/>
      </c>
      <c r="N326" s="27" t="str" cm="1">
        <f t="array" ref="N326">IF(_xlfn.XLOOKUP($A326&amp;$B326&amp;$C326,盘货信息!$A:$A&amp;盘货信息!$B:$B&amp;盘货信息!$C:$C,盘货信息!$V:$V)="","","【"&amp;盘货信息!$V$1&amp;"】"&amp;_xlfn.XLOOKUP($A326&amp;$B326&amp;$C326,盘货信息!$A:$A&amp;盘货信息!$B:$B&amp;盘货信息!$C:$C,盘货信息!$V:$V))</f>
        <v/>
      </c>
      <c r="O326" s="27" t="str" cm="1">
        <f t="array" ref="O326">IF(_xlfn.XLOOKUP($A326&amp;$B326&amp;$C326,盘货信息!$A:$A&amp;盘货信息!$B:$B&amp;盘货信息!$C:$C,盘货信息!$W:$W)="","","【"&amp;盘货信息!$W$1&amp;"】"&amp;_xlfn.XLOOKUP($A326&amp;$B326&amp;$C326,盘货信息!$A:$A&amp;盘货信息!$B:$B&amp;盘货信息!$C:$C,盘货信息!$W:$W))</f>
        <v/>
      </c>
      <c r="P326" s="27" t="str" cm="1">
        <f t="array" ref="P326">IF(_xlfn.XLOOKUP($A326&amp;$B326&amp;$C326,盘货信息!$A:$A&amp;盘货信息!$B:$B&amp;盘货信息!$C:$C,盘货信息!$S:$S)&lt;1,"","【"&amp;盘货信息!$S$1&amp;"】"&amp;"后返"&amp;_xlfn.XLOOKUP($A326&amp;$B326&amp;$C326,盘货信息!$A:$A&amp;盘货信息!$B:$B&amp;盘货信息!$C:$C,盘货信息!$S:$S)&amp;"元")</f>
        <v/>
      </c>
      <c r="Q326" s="27" t="str" cm="1">
        <f t="array" ref="Q326">IF(_xlfn.XLOOKUP($A326&amp;$B326&amp;$C326,盘货信息!$A:$A&amp;盘货信息!$B:$B&amp;盘货信息!$C:$C,盘货信息!$X:$X)="","","【"&amp;盘货信息!$X$1&amp;"】"&amp;_xlfn.XLOOKUP($A326&amp;$B326&amp;$C326,盘货信息!$A:$A&amp;盘货信息!$B:$B&amp;盘货信息!$C:$C,盘货信息!$X:$X))</f>
        <v/>
      </c>
      <c r="R326" s="27" t="str" cm="1">
        <f t="array" ref="R326">IF(_xlfn.XLOOKUP($A326&amp;$B326&amp;$C326,盘货信息!$A:$A&amp;盘货信息!$B:$B&amp;盘货信息!$C:$C,盘货信息!$Z:$Z)="","","【"&amp;盘货信息!$Z$1&amp;"】"&amp;_xlfn.XLOOKUP($A326&amp;$B326&amp;$C326,盘货信息!$A:$A&amp;盘货信息!$B:$B&amp;盘货信息!$C:$C,盘货信息!$Z:$Z))</f>
        <v/>
      </c>
      <c r="S326" s="27" t="str" cm="1">
        <f t="array" ref="S326">IF(_xlfn.XLOOKUP($A326&amp;$B326&amp;$C326,盘货信息!$A:$A&amp;盘货信息!$B:$B&amp;盘货信息!$C:$C,盘货信息!$Q:$Q)="","","【种草】站外带指定话题种草后返"&amp;_xlfn.XLOOKUP($A326&amp;$B326&amp;$C326,盘货信息!$A:$A&amp;盘货信息!$B:$B&amp;盘货信息!$C:$C,盘货信息!$Q:$Q)&amp;"元红包（每个淘宝账号仅限对应一个站外种草账号，同一个种草账号不可对应多个淘宝账号）")</f>
        <v/>
      </c>
      <c r="T326" s="27" t="str" cm="1">
        <f t="array" ref="T326">IF(_xlfn.XLOOKUP($A326&amp;$B326&amp;$C326,盘货信息!$A:$A&amp;盘货信息!$B:$B&amp;盘货信息!$C:$C,盘货信息!$R:$R)&lt;1,"","【以旧换新】"&amp;"享补贴"&amp;ROUND(_xlfn.XLOOKUP($A326&amp;$B326&amp;$C326,盘货信息!$A:$A&amp;盘货信息!$B:$B&amp;盘货信息!$C:$C,盘货信息!$R:$R),0)&amp;"元（可无旧机换新）")</f>
        <v/>
      </c>
      <c r="U326" s="27" t="str">
        <f>IF(AND($N326="",$O326="",$P326="",$Q326="",$R326="",$S326="",$T326=""),"",固定信息!$B$1)</f>
        <v/>
      </c>
      <c r="V326" s="27" t="str" cm="1">
        <f t="array" ref="V326">IF(_xlfn.XLOOKUP($A326&amp;$B326&amp;$C326,盘货信息!$A:$A&amp;盘货信息!$B:$B&amp;盘货信息!$C:$C,盘货信息!$Y:$Y)="","","【卡萨帝送赠】活动指定时间"&amp;_xlfn.TEXTBEFORE(_xlfn.TEXTAFTER(_xlfn.XLOOKUP($A326&amp;$B326&amp;$C326,盘货信息!$A:$A&amp;盘货信息!$B:$B&amp;盘货信息!$C:$C,盘货信息!$Y:$Y),"点"),"（"))</f>
        <v/>
      </c>
      <c r="W326" s="27" t="str" cm="1">
        <f t="array" ref="W326">IF(COUNTIF(_xlfn.XLOOKUP($A326&amp;$B326&amp;$C326,盘货信息!$A:$A&amp;盘货信息!$B:$B&amp;盘货信息!$C:$C,盘货信息!$O:$O),"*是*"),"【折扣】指定型号满2类享96折，满3类享94折","")</f>
        <v/>
      </c>
      <c r="X326" s="27" t="str" cm="1">
        <f t="array" ref="X326">IF(固定信息!$B$7="","",IF(_xlfn.XLOOKUP($A326&amp;$B326&amp;$C326,盘货信息!$A:$A&amp;盘货信息!$B:$B&amp;盘货信息!$C:$C,盘货信息!$N:$N)="是","【瓜分】"&amp;固定信息!$B$7,""))</f>
        <v/>
      </c>
      <c r="Y326" s="27" t="str">
        <f>IF(AND($V326="",$W326="",$X326=""),"",固定信息!$B$1)</f>
        <v/>
      </c>
      <c r="Z326" s="27" t="str" cm="1">
        <f t="array" ref="Z326">IF($C326="","",_xlfn.XLOOKUP($A326&amp;$B326&amp;$C326,服务!$A:$A&amp;服务!$B:$B&amp;服务!$C:$C,服务!$D:$D))</f>
        <v/>
      </c>
    </row>
    <row r="327" customHeight="1" spans="1:26">
      <c r="A327" s="23" t="str">
        <f>IF(盘货信息!A327="","",盘货信息!A327)</f>
        <v/>
      </c>
      <c r="B327" s="26" t="str">
        <f>IF(盘货信息!B327="","",盘货信息!B327)</f>
        <v/>
      </c>
      <c r="C327" s="23" t="str">
        <f>IF(盘货信息!C327="","",盘货信息!C327)</f>
        <v/>
      </c>
      <c r="D327" s="27" t="str">
        <f ca="1" t="shared" si="5"/>
        <v/>
      </c>
      <c r="E327" s="27" t="str">
        <f>IF(C327="","",固定信息!$B$2)</f>
        <v/>
      </c>
      <c r="F327" s="27" t="str">
        <f>IF(C327="","","【"&amp;C327&amp;"】"&amp;固定信息!$B$4)</f>
        <v/>
      </c>
      <c r="G327" s="27" t="str">
        <f>IF(C327="","","【"&amp;"活动时间："&amp;固定信息!$B$3&amp;"】")</f>
        <v/>
      </c>
      <c r="H327" s="27" t="str">
        <f>IF($C327="","",固定信息!$B$1)</f>
        <v/>
      </c>
      <c r="I327" s="27" t="str">
        <f>IF(OR(C327="",固定信息!$B$5=""),"","【1元预约锁好礼】"&amp;固定信息!$B$5)</f>
        <v/>
      </c>
      <c r="J327" s="27" t="str" cm="1">
        <f t="array" ref="J327">_xlfn.XLOOKUP($A327&amp;$B327&amp;$C327,价格信息!$A:$A&amp;价格信息!$B:$B&amp;价格信息!$C:$C,价格信息!$D:$D)</f>
        <v/>
      </c>
      <c r="K327" s="27" t="str">
        <f>IF($C327="","",固定信息!$B$1)</f>
        <v/>
      </c>
      <c r="L327" s="27" t="str" cm="1">
        <f t="array" ref="L327">IF(_xlfn.XLOOKUP($A327&amp;$B327&amp;$C327,盘货信息!$A:$A&amp;盘货信息!$B:$B&amp;盘货信息!$C:$C,盘货信息!$T:$T)="","","【优惠券】领"&amp;_xlfn.XLOOKUP($A327&amp;$B327&amp;$C327,盘货信息!$A:$A&amp;盘货信息!$B:$B&amp;盘货信息!$C:$C,盘货信息!$T:$T)&amp;"元优惠卷下单更优惠，领券链接："&amp;_xlfn.XLOOKUP($A327&amp;$B327&amp;$C327,盘货信息!$A:$A&amp;盘货信息!$B:$B&amp;盘货信息!$C:$C,盘货信息!$U:$U))</f>
        <v/>
      </c>
      <c r="M327" s="27" t="str" cm="1">
        <f t="array" ref="M327">IF(_xlfn.XLOOKUP($A327&amp;$B327&amp;$C327,盘货信息!$A:$A&amp;盘货信息!$B:$B&amp;盘货信息!$C:$C,盘货信息!$P:$P)="","","【限时】"&amp;_xlfn.XLOOKUP($A327&amp;$B327&amp;$C327,盘货信息!$A:$A&amp;盘货信息!$B:$B&amp;盘货信息!$C:$C,盘货信息!$P:$P))</f>
        <v/>
      </c>
      <c r="N327" s="27" t="str" cm="1">
        <f t="array" ref="N327">IF(_xlfn.XLOOKUP($A327&amp;$B327&amp;$C327,盘货信息!$A:$A&amp;盘货信息!$B:$B&amp;盘货信息!$C:$C,盘货信息!$V:$V)="","","【"&amp;盘货信息!$V$1&amp;"】"&amp;_xlfn.XLOOKUP($A327&amp;$B327&amp;$C327,盘货信息!$A:$A&amp;盘货信息!$B:$B&amp;盘货信息!$C:$C,盘货信息!$V:$V))</f>
        <v/>
      </c>
      <c r="O327" s="27" t="str" cm="1">
        <f t="array" ref="O327">IF(_xlfn.XLOOKUP($A327&amp;$B327&amp;$C327,盘货信息!$A:$A&amp;盘货信息!$B:$B&amp;盘货信息!$C:$C,盘货信息!$W:$W)="","","【"&amp;盘货信息!$W$1&amp;"】"&amp;_xlfn.XLOOKUP($A327&amp;$B327&amp;$C327,盘货信息!$A:$A&amp;盘货信息!$B:$B&amp;盘货信息!$C:$C,盘货信息!$W:$W))</f>
        <v/>
      </c>
      <c r="P327" s="27" t="str" cm="1">
        <f t="array" ref="P327">IF(_xlfn.XLOOKUP($A327&amp;$B327&amp;$C327,盘货信息!$A:$A&amp;盘货信息!$B:$B&amp;盘货信息!$C:$C,盘货信息!$S:$S)&lt;1,"","【"&amp;盘货信息!$S$1&amp;"】"&amp;"后返"&amp;_xlfn.XLOOKUP($A327&amp;$B327&amp;$C327,盘货信息!$A:$A&amp;盘货信息!$B:$B&amp;盘货信息!$C:$C,盘货信息!$S:$S)&amp;"元")</f>
        <v/>
      </c>
      <c r="Q327" s="27" t="str" cm="1">
        <f t="array" ref="Q327">IF(_xlfn.XLOOKUP($A327&amp;$B327&amp;$C327,盘货信息!$A:$A&amp;盘货信息!$B:$B&amp;盘货信息!$C:$C,盘货信息!$X:$X)="","","【"&amp;盘货信息!$X$1&amp;"】"&amp;_xlfn.XLOOKUP($A327&amp;$B327&amp;$C327,盘货信息!$A:$A&amp;盘货信息!$B:$B&amp;盘货信息!$C:$C,盘货信息!$X:$X))</f>
        <v/>
      </c>
      <c r="R327" s="27" t="str" cm="1">
        <f t="array" ref="R327">IF(_xlfn.XLOOKUP($A327&amp;$B327&amp;$C327,盘货信息!$A:$A&amp;盘货信息!$B:$B&amp;盘货信息!$C:$C,盘货信息!$Z:$Z)="","","【"&amp;盘货信息!$Z$1&amp;"】"&amp;_xlfn.XLOOKUP($A327&amp;$B327&amp;$C327,盘货信息!$A:$A&amp;盘货信息!$B:$B&amp;盘货信息!$C:$C,盘货信息!$Z:$Z))</f>
        <v/>
      </c>
      <c r="S327" s="27" t="str" cm="1">
        <f t="array" ref="S327">IF(_xlfn.XLOOKUP($A327&amp;$B327&amp;$C327,盘货信息!$A:$A&amp;盘货信息!$B:$B&amp;盘货信息!$C:$C,盘货信息!$Q:$Q)="","","【种草】站外带指定话题种草后返"&amp;_xlfn.XLOOKUP($A327&amp;$B327&amp;$C327,盘货信息!$A:$A&amp;盘货信息!$B:$B&amp;盘货信息!$C:$C,盘货信息!$Q:$Q)&amp;"元红包（每个淘宝账号仅限对应一个站外种草账号，同一个种草账号不可对应多个淘宝账号）")</f>
        <v/>
      </c>
      <c r="T327" s="27" t="str" cm="1">
        <f t="array" ref="T327">IF(_xlfn.XLOOKUP($A327&amp;$B327&amp;$C327,盘货信息!$A:$A&amp;盘货信息!$B:$B&amp;盘货信息!$C:$C,盘货信息!$R:$R)&lt;1,"","【以旧换新】"&amp;"享补贴"&amp;ROUND(_xlfn.XLOOKUP($A327&amp;$B327&amp;$C327,盘货信息!$A:$A&amp;盘货信息!$B:$B&amp;盘货信息!$C:$C,盘货信息!$R:$R),0)&amp;"元（可无旧机换新）")</f>
        <v/>
      </c>
      <c r="U327" s="27" t="str">
        <f>IF(AND($N327="",$O327="",$P327="",$Q327="",$R327="",$S327="",$T327=""),"",固定信息!$B$1)</f>
        <v/>
      </c>
      <c r="V327" s="27" t="str" cm="1">
        <f t="array" ref="V327">IF(_xlfn.XLOOKUP($A327&amp;$B327&amp;$C327,盘货信息!$A:$A&amp;盘货信息!$B:$B&amp;盘货信息!$C:$C,盘货信息!$Y:$Y)="","","【卡萨帝送赠】活动指定时间"&amp;_xlfn.TEXTBEFORE(_xlfn.TEXTAFTER(_xlfn.XLOOKUP($A327&amp;$B327&amp;$C327,盘货信息!$A:$A&amp;盘货信息!$B:$B&amp;盘货信息!$C:$C,盘货信息!$Y:$Y),"点"),"（"))</f>
        <v/>
      </c>
      <c r="W327" s="27" t="str" cm="1">
        <f t="array" ref="W327">IF(COUNTIF(_xlfn.XLOOKUP($A327&amp;$B327&amp;$C327,盘货信息!$A:$A&amp;盘货信息!$B:$B&amp;盘货信息!$C:$C,盘货信息!$O:$O),"*是*"),"【折扣】指定型号满2类享96折，满3类享94折","")</f>
        <v/>
      </c>
      <c r="X327" s="27" t="str" cm="1">
        <f t="array" ref="X327">IF(固定信息!$B$7="","",IF(_xlfn.XLOOKUP($A327&amp;$B327&amp;$C327,盘货信息!$A:$A&amp;盘货信息!$B:$B&amp;盘货信息!$C:$C,盘货信息!$N:$N)="是","【瓜分】"&amp;固定信息!$B$7,""))</f>
        <v/>
      </c>
      <c r="Y327" s="27" t="str">
        <f>IF(AND($V327="",$W327="",$X327=""),"",固定信息!$B$1)</f>
        <v/>
      </c>
      <c r="Z327" s="27" t="str" cm="1">
        <f t="array" ref="Z327">IF($C327="","",_xlfn.XLOOKUP($A327&amp;$B327&amp;$C327,服务!$A:$A&amp;服务!$B:$B&amp;服务!$C:$C,服务!$D:$D))</f>
        <v/>
      </c>
    </row>
    <row r="328" customHeight="1" spans="1:26">
      <c r="A328" s="23" t="str">
        <f>IF(盘货信息!A328="","",盘货信息!A328)</f>
        <v/>
      </c>
      <c r="B328" s="26" t="str">
        <f>IF(盘货信息!B328="","",盘货信息!B328)</f>
        <v/>
      </c>
      <c r="C328" s="23" t="str">
        <f>IF(盘货信息!C328="","",盘货信息!C328)</f>
        <v/>
      </c>
      <c r="D328" s="27" t="str">
        <f ca="1" t="shared" si="5"/>
        <v/>
      </c>
      <c r="E328" s="27" t="str">
        <f>IF(C328="","",固定信息!$B$2)</f>
        <v/>
      </c>
      <c r="F328" s="27" t="str">
        <f>IF(C328="","","【"&amp;C328&amp;"】"&amp;固定信息!$B$4)</f>
        <v/>
      </c>
      <c r="G328" s="27" t="str">
        <f>IF(C328="","","【"&amp;"活动时间："&amp;固定信息!$B$3&amp;"】")</f>
        <v/>
      </c>
      <c r="H328" s="27" t="str">
        <f>IF($C328="","",固定信息!$B$1)</f>
        <v/>
      </c>
      <c r="I328" s="27" t="str">
        <f>IF(OR(C328="",固定信息!$B$5=""),"","【1元预约锁好礼】"&amp;固定信息!$B$5)</f>
        <v/>
      </c>
      <c r="J328" s="27" t="str" cm="1">
        <f t="array" ref="J328">_xlfn.XLOOKUP($A328&amp;$B328&amp;$C328,价格信息!$A:$A&amp;价格信息!$B:$B&amp;价格信息!$C:$C,价格信息!$D:$D)</f>
        <v/>
      </c>
      <c r="K328" s="27" t="str">
        <f>IF($C328="","",固定信息!$B$1)</f>
        <v/>
      </c>
      <c r="L328" s="27" t="str" cm="1">
        <f t="array" ref="L328">IF(_xlfn.XLOOKUP($A328&amp;$B328&amp;$C328,盘货信息!$A:$A&amp;盘货信息!$B:$B&amp;盘货信息!$C:$C,盘货信息!$T:$T)="","","【优惠券】领"&amp;_xlfn.XLOOKUP($A328&amp;$B328&amp;$C328,盘货信息!$A:$A&amp;盘货信息!$B:$B&amp;盘货信息!$C:$C,盘货信息!$T:$T)&amp;"元优惠卷下单更优惠，领券链接："&amp;_xlfn.XLOOKUP($A328&amp;$B328&amp;$C328,盘货信息!$A:$A&amp;盘货信息!$B:$B&amp;盘货信息!$C:$C,盘货信息!$U:$U))</f>
        <v/>
      </c>
      <c r="M328" s="27" t="str" cm="1">
        <f t="array" ref="M328">IF(_xlfn.XLOOKUP($A328&amp;$B328&amp;$C328,盘货信息!$A:$A&amp;盘货信息!$B:$B&amp;盘货信息!$C:$C,盘货信息!$P:$P)="","","【限时】"&amp;_xlfn.XLOOKUP($A328&amp;$B328&amp;$C328,盘货信息!$A:$A&amp;盘货信息!$B:$B&amp;盘货信息!$C:$C,盘货信息!$P:$P))</f>
        <v/>
      </c>
      <c r="N328" s="27" t="str" cm="1">
        <f t="array" ref="N328">IF(_xlfn.XLOOKUP($A328&amp;$B328&amp;$C328,盘货信息!$A:$A&amp;盘货信息!$B:$B&amp;盘货信息!$C:$C,盘货信息!$V:$V)="","","【"&amp;盘货信息!$V$1&amp;"】"&amp;_xlfn.XLOOKUP($A328&amp;$B328&amp;$C328,盘货信息!$A:$A&amp;盘货信息!$B:$B&amp;盘货信息!$C:$C,盘货信息!$V:$V))</f>
        <v/>
      </c>
      <c r="O328" s="27" t="str" cm="1">
        <f t="array" ref="O328">IF(_xlfn.XLOOKUP($A328&amp;$B328&amp;$C328,盘货信息!$A:$A&amp;盘货信息!$B:$B&amp;盘货信息!$C:$C,盘货信息!$W:$W)="","","【"&amp;盘货信息!$W$1&amp;"】"&amp;_xlfn.XLOOKUP($A328&amp;$B328&amp;$C328,盘货信息!$A:$A&amp;盘货信息!$B:$B&amp;盘货信息!$C:$C,盘货信息!$W:$W))</f>
        <v/>
      </c>
      <c r="P328" s="27" t="str" cm="1">
        <f t="array" ref="P328">IF(_xlfn.XLOOKUP($A328&amp;$B328&amp;$C328,盘货信息!$A:$A&amp;盘货信息!$B:$B&amp;盘货信息!$C:$C,盘货信息!$S:$S)&lt;1,"","【"&amp;盘货信息!$S$1&amp;"】"&amp;"后返"&amp;_xlfn.XLOOKUP($A328&amp;$B328&amp;$C328,盘货信息!$A:$A&amp;盘货信息!$B:$B&amp;盘货信息!$C:$C,盘货信息!$S:$S)&amp;"元")</f>
        <v/>
      </c>
      <c r="Q328" s="27" t="str" cm="1">
        <f t="array" ref="Q328">IF(_xlfn.XLOOKUP($A328&amp;$B328&amp;$C328,盘货信息!$A:$A&amp;盘货信息!$B:$B&amp;盘货信息!$C:$C,盘货信息!$X:$X)="","","【"&amp;盘货信息!$X$1&amp;"】"&amp;_xlfn.XLOOKUP($A328&amp;$B328&amp;$C328,盘货信息!$A:$A&amp;盘货信息!$B:$B&amp;盘货信息!$C:$C,盘货信息!$X:$X))</f>
        <v/>
      </c>
      <c r="R328" s="27" t="str" cm="1">
        <f t="array" ref="R328">IF(_xlfn.XLOOKUP($A328&amp;$B328&amp;$C328,盘货信息!$A:$A&amp;盘货信息!$B:$B&amp;盘货信息!$C:$C,盘货信息!$Z:$Z)="","","【"&amp;盘货信息!$Z$1&amp;"】"&amp;_xlfn.XLOOKUP($A328&amp;$B328&amp;$C328,盘货信息!$A:$A&amp;盘货信息!$B:$B&amp;盘货信息!$C:$C,盘货信息!$Z:$Z))</f>
        <v/>
      </c>
      <c r="S328" s="27" t="str" cm="1">
        <f t="array" ref="S328">IF(_xlfn.XLOOKUP($A328&amp;$B328&amp;$C328,盘货信息!$A:$A&amp;盘货信息!$B:$B&amp;盘货信息!$C:$C,盘货信息!$Q:$Q)="","","【种草】站外带指定话题种草后返"&amp;_xlfn.XLOOKUP($A328&amp;$B328&amp;$C328,盘货信息!$A:$A&amp;盘货信息!$B:$B&amp;盘货信息!$C:$C,盘货信息!$Q:$Q)&amp;"元红包（每个淘宝账号仅限对应一个站外种草账号，同一个种草账号不可对应多个淘宝账号）")</f>
        <v/>
      </c>
      <c r="T328" s="27" t="str" cm="1">
        <f t="array" ref="T328">IF(_xlfn.XLOOKUP($A328&amp;$B328&amp;$C328,盘货信息!$A:$A&amp;盘货信息!$B:$B&amp;盘货信息!$C:$C,盘货信息!$R:$R)&lt;1,"","【以旧换新】"&amp;"享补贴"&amp;ROUND(_xlfn.XLOOKUP($A328&amp;$B328&amp;$C328,盘货信息!$A:$A&amp;盘货信息!$B:$B&amp;盘货信息!$C:$C,盘货信息!$R:$R),0)&amp;"元（可无旧机换新）")</f>
        <v/>
      </c>
      <c r="U328" s="27" t="str">
        <f>IF(AND($N328="",$O328="",$P328="",$Q328="",$R328="",$S328="",$T328=""),"",固定信息!$B$1)</f>
        <v/>
      </c>
      <c r="V328" s="27" t="str" cm="1">
        <f t="array" ref="V328">IF(_xlfn.XLOOKUP($A328&amp;$B328&amp;$C328,盘货信息!$A:$A&amp;盘货信息!$B:$B&amp;盘货信息!$C:$C,盘货信息!$Y:$Y)="","","【卡萨帝送赠】活动指定时间"&amp;_xlfn.TEXTBEFORE(_xlfn.TEXTAFTER(_xlfn.XLOOKUP($A328&amp;$B328&amp;$C328,盘货信息!$A:$A&amp;盘货信息!$B:$B&amp;盘货信息!$C:$C,盘货信息!$Y:$Y),"点"),"（"))</f>
        <v/>
      </c>
      <c r="W328" s="27" t="str" cm="1">
        <f t="array" ref="W328">IF(COUNTIF(_xlfn.XLOOKUP($A328&amp;$B328&amp;$C328,盘货信息!$A:$A&amp;盘货信息!$B:$B&amp;盘货信息!$C:$C,盘货信息!$O:$O),"*是*"),"【折扣】指定型号满2类享96折，满3类享94折","")</f>
        <v/>
      </c>
      <c r="X328" s="27" t="str" cm="1">
        <f t="array" ref="X328">IF(固定信息!$B$7="","",IF(_xlfn.XLOOKUP($A328&amp;$B328&amp;$C328,盘货信息!$A:$A&amp;盘货信息!$B:$B&amp;盘货信息!$C:$C,盘货信息!$N:$N)="是","【瓜分】"&amp;固定信息!$B$7,""))</f>
        <v/>
      </c>
      <c r="Y328" s="27" t="str">
        <f>IF(AND($V328="",$W328="",$X328=""),"",固定信息!$B$1)</f>
        <v/>
      </c>
      <c r="Z328" s="27" t="str" cm="1">
        <f t="array" ref="Z328">IF($C328="","",_xlfn.XLOOKUP($A328&amp;$B328&amp;$C328,服务!$A:$A&amp;服务!$B:$B&amp;服务!$C:$C,服务!$D:$D))</f>
        <v/>
      </c>
    </row>
    <row r="329" customHeight="1" spans="1:26">
      <c r="A329" s="23" t="str">
        <f>IF(盘货信息!A329="","",盘货信息!A329)</f>
        <v/>
      </c>
      <c r="B329" s="26" t="str">
        <f>IF(盘货信息!B329="","",盘货信息!B329)</f>
        <v/>
      </c>
      <c r="C329" s="23" t="str">
        <f>IF(盘货信息!C329="","",盘货信息!C329)</f>
        <v/>
      </c>
      <c r="D329" s="27" t="str">
        <f ca="1" t="shared" si="5"/>
        <v/>
      </c>
      <c r="E329" s="27" t="str">
        <f>IF(C329="","",固定信息!$B$2)</f>
        <v/>
      </c>
      <c r="F329" s="27" t="str">
        <f>IF(C329="","","【"&amp;C329&amp;"】"&amp;固定信息!$B$4)</f>
        <v/>
      </c>
      <c r="G329" s="27" t="str">
        <f>IF(C329="","","【"&amp;"活动时间："&amp;固定信息!$B$3&amp;"】")</f>
        <v/>
      </c>
      <c r="H329" s="27" t="str">
        <f>IF($C329="","",固定信息!$B$1)</f>
        <v/>
      </c>
      <c r="I329" s="27" t="str">
        <f>IF(OR(C329="",固定信息!$B$5=""),"","【1元预约锁好礼】"&amp;固定信息!$B$5)</f>
        <v/>
      </c>
      <c r="J329" s="27" t="str" cm="1">
        <f t="array" ref="J329">_xlfn.XLOOKUP($A329&amp;$B329&amp;$C329,价格信息!$A:$A&amp;价格信息!$B:$B&amp;价格信息!$C:$C,价格信息!$D:$D)</f>
        <v/>
      </c>
      <c r="K329" s="27" t="str">
        <f>IF($C329="","",固定信息!$B$1)</f>
        <v/>
      </c>
      <c r="L329" s="27" t="str" cm="1">
        <f t="array" ref="L329">IF(_xlfn.XLOOKUP($A329&amp;$B329&amp;$C329,盘货信息!$A:$A&amp;盘货信息!$B:$B&amp;盘货信息!$C:$C,盘货信息!$T:$T)="","","【优惠券】领"&amp;_xlfn.XLOOKUP($A329&amp;$B329&amp;$C329,盘货信息!$A:$A&amp;盘货信息!$B:$B&amp;盘货信息!$C:$C,盘货信息!$T:$T)&amp;"元优惠卷下单更优惠，领券链接："&amp;_xlfn.XLOOKUP($A329&amp;$B329&amp;$C329,盘货信息!$A:$A&amp;盘货信息!$B:$B&amp;盘货信息!$C:$C,盘货信息!$U:$U))</f>
        <v/>
      </c>
      <c r="M329" s="27" t="str" cm="1">
        <f t="array" ref="M329">IF(_xlfn.XLOOKUP($A329&amp;$B329&amp;$C329,盘货信息!$A:$A&amp;盘货信息!$B:$B&amp;盘货信息!$C:$C,盘货信息!$P:$P)="","","【限时】"&amp;_xlfn.XLOOKUP($A329&amp;$B329&amp;$C329,盘货信息!$A:$A&amp;盘货信息!$B:$B&amp;盘货信息!$C:$C,盘货信息!$P:$P))</f>
        <v/>
      </c>
      <c r="N329" s="27" t="str" cm="1">
        <f t="array" ref="N329">IF(_xlfn.XLOOKUP($A329&amp;$B329&amp;$C329,盘货信息!$A:$A&amp;盘货信息!$B:$B&amp;盘货信息!$C:$C,盘货信息!$V:$V)="","","【"&amp;盘货信息!$V$1&amp;"】"&amp;_xlfn.XLOOKUP($A329&amp;$B329&amp;$C329,盘货信息!$A:$A&amp;盘货信息!$B:$B&amp;盘货信息!$C:$C,盘货信息!$V:$V))</f>
        <v/>
      </c>
      <c r="O329" s="27" t="str" cm="1">
        <f t="array" ref="O329">IF(_xlfn.XLOOKUP($A329&amp;$B329&amp;$C329,盘货信息!$A:$A&amp;盘货信息!$B:$B&amp;盘货信息!$C:$C,盘货信息!$W:$W)="","","【"&amp;盘货信息!$W$1&amp;"】"&amp;_xlfn.XLOOKUP($A329&amp;$B329&amp;$C329,盘货信息!$A:$A&amp;盘货信息!$B:$B&amp;盘货信息!$C:$C,盘货信息!$W:$W))</f>
        <v/>
      </c>
      <c r="P329" s="27" t="str" cm="1">
        <f t="array" ref="P329">IF(_xlfn.XLOOKUP($A329&amp;$B329&amp;$C329,盘货信息!$A:$A&amp;盘货信息!$B:$B&amp;盘货信息!$C:$C,盘货信息!$S:$S)&lt;1,"","【"&amp;盘货信息!$S$1&amp;"】"&amp;"后返"&amp;_xlfn.XLOOKUP($A329&amp;$B329&amp;$C329,盘货信息!$A:$A&amp;盘货信息!$B:$B&amp;盘货信息!$C:$C,盘货信息!$S:$S)&amp;"元")</f>
        <v/>
      </c>
      <c r="Q329" s="27" t="str" cm="1">
        <f t="array" ref="Q329">IF(_xlfn.XLOOKUP($A329&amp;$B329&amp;$C329,盘货信息!$A:$A&amp;盘货信息!$B:$B&amp;盘货信息!$C:$C,盘货信息!$X:$X)="","","【"&amp;盘货信息!$X$1&amp;"】"&amp;_xlfn.XLOOKUP($A329&amp;$B329&amp;$C329,盘货信息!$A:$A&amp;盘货信息!$B:$B&amp;盘货信息!$C:$C,盘货信息!$X:$X))</f>
        <v/>
      </c>
      <c r="R329" s="27" t="str" cm="1">
        <f t="array" ref="R329">IF(_xlfn.XLOOKUP($A329&amp;$B329&amp;$C329,盘货信息!$A:$A&amp;盘货信息!$B:$B&amp;盘货信息!$C:$C,盘货信息!$Z:$Z)="","","【"&amp;盘货信息!$Z$1&amp;"】"&amp;_xlfn.XLOOKUP($A329&amp;$B329&amp;$C329,盘货信息!$A:$A&amp;盘货信息!$B:$B&amp;盘货信息!$C:$C,盘货信息!$Z:$Z))</f>
        <v/>
      </c>
      <c r="S329" s="27" t="str" cm="1">
        <f t="array" ref="S329">IF(_xlfn.XLOOKUP($A329&amp;$B329&amp;$C329,盘货信息!$A:$A&amp;盘货信息!$B:$B&amp;盘货信息!$C:$C,盘货信息!$Q:$Q)="","","【种草】站外带指定话题种草后返"&amp;_xlfn.XLOOKUP($A329&amp;$B329&amp;$C329,盘货信息!$A:$A&amp;盘货信息!$B:$B&amp;盘货信息!$C:$C,盘货信息!$Q:$Q)&amp;"元红包（每个淘宝账号仅限对应一个站外种草账号，同一个种草账号不可对应多个淘宝账号）")</f>
        <v/>
      </c>
      <c r="T329" s="27" t="str" cm="1">
        <f t="array" ref="T329">IF(_xlfn.XLOOKUP($A329&amp;$B329&amp;$C329,盘货信息!$A:$A&amp;盘货信息!$B:$B&amp;盘货信息!$C:$C,盘货信息!$R:$R)&lt;1,"","【以旧换新】"&amp;"享补贴"&amp;ROUND(_xlfn.XLOOKUP($A329&amp;$B329&amp;$C329,盘货信息!$A:$A&amp;盘货信息!$B:$B&amp;盘货信息!$C:$C,盘货信息!$R:$R),0)&amp;"元（可无旧机换新）")</f>
        <v/>
      </c>
      <c r="U329" s="27" t="str">
        <f>IF(AND($N329="",$O329="",$P329="",$Q329="",$R329="",$S329="",$T329=""),"",固定信息!$B$1)</f>
        <v/>
      </c>
      <c r="V329" s="27" t="str" cm="1">
        <f t="array" ref="V329">IF(_xlfn.XLOOKUP($A329&amp;$B329&amp;$C329,盘货信息!$A:$A&amp;盘货信息!$B:$B&amp;盘货信息!$C:$C,盘货信息!$Y:$Y)="","","【卡萨帝送赠】活动指定时间"&amp;_xlfn.TEXTBEFORE(_xlfn.TEXTAFTER(_xlfn.XLOOKUP($A329&amp;$B329&amp;$C329,盘货信息!$A:$A&amp;盘货信息!$B:$B&amp;盘货信息!$C:$C,盘货信息!$Y:$Y),"点"),"（"))</f>
        <v/>
      </c>
      <c r="W329" s="27" t="str" cm="1">
        <f t="array" ref="W329">IF(COUNTIF(_xlfn.XLOOKUP($A329&amp;$B329&amp;$C329,盘货信息!$A:$A&amp;盘货信息!$B:$B&amp;盘货信息!$C:$C,盘货信息!$O:$O),"*是*"),"【折扣】指定型号满2类享96折，满3类享94折","")</f>
        <v/>
      </c>
      <c r="X329" s="27" t="str" cm="1">
        <f t="array" ref="X329">IF(固定信息!$B$7="","",IF(_xlfn.XLOOKUP($A329&amp;$B329&amp;$C329,盘货信息!$A:$A&amp;盘货信息!$B:$B&amp;盘货信息!$C:$C,盘货信息!$N:$N)="是","【瓜分】"&amp;固定信息!$B$7,""))</f>
        <v/>
      </c>
      <c r="Y329" s="27" t="str">
        <f>IF(AND($V329="",$W329="",$X329=""),"",固定信息!$B$1)</f>
        <v/>
      </c>
      <c r="Z329" s="27" t="str" cm="1">
        <f t="array" ref="Z329">IF($C329="","",_xlfn.XLOOKUP($A329&amp;$B329&amp;$C329,服务!$A:$A&amp;服务!$B:$B&amp;服务!$C:$C,服务!$D:$D))</f>
        <v/>
      </c>
    </row>
    <row r="330" customHeight="1" spans="1:26">
      <c r="A330" s="23" t="str">
        <f>IF(盘货信息!A330="","",盘货信息!A330)</f>
        <v/>
      </c>
      <c r="B330" s="26" t="str">
        <f>IF(盘货信息!B330="","",盘货信息!B330)</f>
        <v/>
      </c>
      <c r="C330" s="23" t="str">
        <f>IF(盘货信息!C330="","",盘货信息!C330)</f>
        <v/>
      </c>
      <c r="D330" s="27" t="str">
        <f ca="1" t="shared" si="5"/>
        <v/>
      </c>
      <c r="E330" s="27" t="str">
        <f>IF(C330="","",固定信息!$B$2)</f>
        <v/>
      </c>
      <c r="F330" s="27" t="str">
        <f>IF(C330="","","【"&amp;C330&amp;"】"&amp;固定信息!$B$4)</f>
        <v/>
      </c>
      <c r="G330" s="27" t="str">
        <f>IF(C330="","","【"&amp;"活动时间："&amp;固定信息!$B$3&amp;"】")</f>
        <v/>
      </c>
      <c r="H330" s="27" t="str">
        <f>IF($C330="","",固定信息!$B$1)</f>
        <v/>
      </c>
      <c r="I330" s="27" t="str">
        <f>IF(OR(C330="",固定信息!$B$5=""),"","【1元预约锁好礼】"&amp;固定信息!$B$5)</f>
        <v/>
      </c>
      <c r="J330" s="27" t="str" cm="1">
        <f t="array" ref="J330">_xlfn.XLOOKUP($A330&amp;$B330&amp;$C330,价格信息!$A:$A&amp;价格信息!$B:$B&amp;价格信息!$C:$C,价格信息!$D:$D)</f>
        <v/>
      </c>
      <c r="K330" s="27" t="str">
        <f>IF($C330="","",固定信息!$B$1)</f>
        <v/>
      </c>
      <c r="L330" s="27" t="str" cm="1">
        <f t="array" ref="L330">IF(_xlfn.XLOOKUP($A330&amp;$B330&amp;$C330,盘货信息!$A:$A&amp;盘货信息!$B:$B&amp;盘货信息!$C:$C,盘货信息!$T:$T)="","","【优惠券】领"&amp;_xlfn.XLOOKUP($A330&amp;$B330&amp;$C330,盘货信息!$A:$A&amp;盘货信息!$B:$B&amp;盘货信息!$C:$C,盘货信息!$T:$T)&amp;"元优惠卷下单更优惠，领券链接："&amp;_xlfn.XLOOKUP($A330&amp;$B330&amp;$C330,盘货信息!$A:$A&amp;盘货信息!$B:$B&amp;盘货信息!$C:$C,盘货信息!$U:$U))</f>
        <v/>
      </c>
      <c r="M330" s="27" t="str" cm="1">
        <f t="array" ref="M330">IF(_xlfn.XLOOKUP($A330&amp;$B330&amp;$C330,盘货信息!$A:$A&amp;盘货信息!$B:$B&amp;盘货信息!$C:$C,盘货信息!$P:$P)="","","【限时】"&amp;_xlfn.XLOOKUP($A330&amp;$B330&amp;$C330,盘货信息!$A:$A&amp;盘货信息!$B:$B&amp;盘货信息!$C:$C,盘货信息!$P:$P))</f>
        <v/>
      </c>
      <c r="N330" s="27" t="str" cm="1">
        <f t="array" ref="N330">IF(_xlfn.XLOOKUP($A330&amp;$B330&amp;$C330,盘货信息!$A:$A&amp;盘货信息!$B:$B&amp;盘货信息!$C:$C,盘货信息!$V:$V)="","","【"&amp;盘货信息!$V$1&amp;"】"&amp;_xlfn.XLOOKUP($A330&amp;$B330&amp;$C330,盘货信息!$A:$A&amp;盘货信息!$B:$B&amp;盘货信息!$C:$C,盘货信息!$V:$V))</f>
        <v/>
      </c>
      <c r="O330" s="27" t="str" cm="1">
        <f t="array" ref="O330">IF(_xlfn.XLOOKUP($A330&amp;$B330&amp;$C330,盘货信息!$A:$A&amp;盘货信息!$B:$B&amp;盘货信息!$C:$C,盘货信息!$W:$W)="","","【"&amp;盘货信息!$W$1&amp;"】"&amp;_xlfn.XLOOKUP($A330&amp;$B330&amp;$C330,盘货信息!$A:$A&amp;盘货信息!$B:$B&amp;盘货信息!$C:$C,盘货信息!$W:$W))</f>
        <v/>
      </c>
      <c r="P330" s="27" t="str" cm="1">
        <f t="array" ref="P330">IF(_xlfn.XLOOKUP($A330&amp;$B330&amp;$C330,盘货信息!$A:$A&amp;盘货信息!$B:$B&amp;盘货信息!$C:$C,盘货信息!$S:$S)&lt;1,"","【"&amp;盘货信息!$S$1&amp;"】"&amp;"后返"&amp;_xlfn.XLOOKUP($A330&amp;$B330&amp;$C330,盘货信息!$A:$A&amp;盘货信息!$B:$B&amp;盘货信息!$C:$C,盘货信息!$S:$S)&amp;"元")</f>
        <v/>
      </c>
      <c r="Q330" s="27" t="str" cm="1">
        <f t="array" ref="Q330">IF(_xlfn.XLOOKUP($A330&amp;$B330&amp;$C330,盘货信息!$A:$A&amp;盘货信息!$B:$B&amp;盘货信息!$C:$C,盘货信息!$X:$X)="","","【"&amp;盘货信息!$X$1&amp;"】"&amp;_xlfn.XLOOKUP($A330&amp;$B330&amp;$C330,盘货信息!$A:$A&amp;盘货信息!$B:$B&amp;盘货信息!$C:$C,盘货信息!$X:$X))</f>
        <v/>
      </c>
      <c r="R330" s="27" t="str" cm="1">
        <f t="array" ref="R330">IF(_xlfn.XLOOKUP($A330&amp;$B330&amp;$C330,盘货信息!$A:$A&amp;盘货信息!$B:$B&amp;盘货信息!$C:$C,盘货信息!$Z:$Z)="","","【"&amp;盘货信息!$Z$1&amp;"】"&amp;_xlfn.XLOOKUP($A330&amp;$B330&amp;$C330,盘货信息!$A:$A&amp;盘货信息!$B:$B&amp;盘货信息!$C:$C,盘货信息!$Z:$Z))</f>
        <v/>
      </c>
      <c r="S330" s="27" t="str" cm="1">
        <f t="array" ref="S330">IF(_xlfn.XLOOKUP($A330&amp;$B330&amp;$C330,盘货信息!$A:$A&amp;盘货信息!$B:$B&amp;盘货信息!$C:$C,盘货信息!$Q:$Q)="","","【种草】站外带指定话题种草后返"&amp;_xlfn.XLOOKUP($A330&amp;$B330&amp;$C330,盘货信息!$A:$A&amp;盘货信息!$B:$B&amp;盘货信息!$C:$C,盘货信息!$Q:$Q)&amp;"元红包（每个淘宝账号仅限对应一个站外种草账号，同一个种草账号不可对应多个淘宝账号）")</f>
        <v/>
      </c>
      <c r="T330" s="27" t="str" cm="1">
        <f t="array" ref="T330">IF(_xlfn.XLOOKUP($A330&amp;$B330&amp;$C330,盘货信息!$A:$A&amp;盘货信息!$B:$B&amp;盘货信息!$C:$C,盘货信息!$R:$R)&lt;1,"","【以旧换新】"&amp;"享补贴"&amp;ROUND(_xlfn.XLOOKUP($A330&amp;$B330&amp;$C330,盘货信息!$A:$A&amp;盘货信息!$B:$B&amp;盘货信息!$C:$C,盘货信息!$R:$R),0)&amp;"元（可无旧机换新）")</f>
        <v/>
      </c>
      <c r="U330" s="27" t="str">
        <f>IF(AND($N330="",$O330="",$P330="",$Q330="",$R330="",$S330="",$T330=""),"",固定信息!$B$1)</f>
        <v/>
      </c>
      <c r="V330" s="27" t="str" cm="1">
        <f t="array" ref="V330">IF(_xlfn.XLOOKUP($A330&amp;$B330&amp;$C330,盘货信息!$A:$A&amp;盘货信息!$B:$B&amp;盘货信息!$C:$C,盘货信息!$Y:$Y)="","","【卡萨帝送赠】活动指定时间"&amp;_xlfn.TEXTBEFORE(_xlfn.TEXTAFTER(_xlfn.XLOOKUP($A330&amp;$B330&amp;$C330,盘货信息!$A:$A&amp;盘货信息!$B:$B&amp;盘货信息!$C:$C,盘货信息!$Y:$Y),"点"),"（"))</f>
        <v/>
      </c>
      <c r="W330" s="27" t="str" cm="1">
        <f t="array" ref="W330">IF(COUNTIF(_xlfn.XLOOKUP($A330&amp;$B330&amp;$C330,盘货信息!$A:$A&amp;盘货信息!$B:$B&amp;盘货信息!$C:$C,盘货信息!$O:$O),"*是*"),"【折扣】指定型号满2类享96折，满3类享94折","")</f>
        <v/>
      </c>
      <c r="X330" s="27" t="str" cm="1">
        <f t="array" ref="X330">IF(固定信息!$B$7="","",IF(_xlfn.XLOOKUP($A330&amp;$B330&amp;$C330,盘货信息!$A:$A&amp;盘货信息!$B:$B&amp;盘货信息!$C:$C,盘货信息!$N:$N)="是","【瓜分】"&amp;固定信息!$B$7,""))</f>
        <v/>
      </c>
      <c r="Y330" s="27" t="str">
        <f>IF(AND($V330="",$W330="",$X330=""),"",固定信息!$B$1)</f>
        <v/>
      </c>
      <c r="Z330" s="27" t="str" cm="1">
        <f t="array" ref="Z330">IF($C330="","",_xlfn.XLOOKUP($A330&amp;$B330&amp;$C330,服务!$A:$A&amp;服务!$B:$B&amp;服务!$C:$C,服务!$D:$D))</f>
        <v/>
      </c>
    </row>
    <row r="331" customHeight="1" spans="1:26">
      <c r="A331" s="23" t="str">
        <f>IF(盘货信息!A331="","",盘货信息!A331)</f>
        <v/>
      </c>
      <c r="B331" s="26" t="str">
        <f>IF(盘货信息!B331="","",盘货信息!B331)</f>
        <v/>
      </c>
      <c r="C331" s="23" t="str">
        <f>IF(盘货信息!C331="","",盘货信息!C331)</f>
        <v/>
      </c>
      <c r="D331" s="27" t="str">
        <f ca="1" t="shared" si="5"/>
        <v/>
      </c>
      <c r="E331" s="27" t="str">
        <f>IF(C331="","",固定信息!$B$2)</f>
        <v/>
      </c>
      <c r="F331" s="27" t="str">
        <f>IF(C331="","","【"&amp;C331&amp;"】"&amp;固定信息!$B$4)</f>
        <v/>
      </c>
      <c r="G331" s="27" t="str">
        <f>IF(C331="","","【"&amp;"活动时间："&amp;固定信息!$B$3&amp;"】")</f>
        <v/>
      </c>
      <c r="H331" s="27" t="str">
        <f>IF($C331="","",固定信息!$B$1)</f>
        <v/>
      </c>
      <c r="I331" s="27" t="str">
        <f>IF(OR(C331="",固定信息!$B$5=""),"","【1元预约锁好礼】"&amp;固定信息!$B$5)</f>
        <v/>
      </c>
      <c r="J331" s="27" t="str" cm="1">
        <f t="array" ref="J331">_xlfn.XLOOKUP($A331&amp;$B331&amp;$C331,价格信息!$A:$A&amp;价格信息!$B:$B&amp;价格信息!$C:$C,价格信息!$D:$D)</f>
        <v/>
      </c>
      <c r="K331" s="27" t="str">
        <f>IF($C331="","",固定信息!$B$1)</f>
        <v/>
      </c>
      <c r="L331" s="27" t="str" cm="1">
        <f t="array" ref="L331">IF(_xlfn.XLOOKUP($A331&amp;$B331&amp;$C331,盘货信息!$A:$A&amp;盘货信息!$B:$B&amp;盘货信息!$C:$C,盘货信息!$T:$T)="","","【优惠券】领"&amp;_xlfn.XLOOKUP($A331&amp;$B331&amp;$C331,盘货信息!$A:$A&amp;盘货信息!$B:$B&amp;盘货信息!$C:$C,盘货信息!$T:$T)&amp;"元优惠卷下单更优惠，领券链接："&amp;_xlfn.XLOOKUP($A331&amp;$B331&amp;$C331,盘货信息!$A:$A&amp;盘货信息!$B:$B&amp;盘货信息!$C:$C,盘货信息!$U:$U))</f>
        <v/>
      </c>
      <c r="M331" s="27" t="str" cm="1">
        <f t="array" ref="M331">IF(_xlfn.XLOOKUP($A331&amp;$B331&amp;$C331,盘货信息!$A:$A&amp;盘货信息!$B:$B&amp;盘货信息!$C:$C,盘货信息!$P:$P)="","","【限时】"&amp;_xlfn.XLOOKUP($A331&amp;$B331&amp;$C331,盘货信息!$A:$A&amp;盘货信息!$B:$B&amp;盘货信息!$C:$C,盘货信息!$P:$P))</f>
        <v/>
      </c>
      <c r="N331" s="27" t="str" cm="1">
        <f t="array" ref="N331">IF(_xlfn.XLOOKUP($A331&amp;$B331&amp;$C331,盘货信息!$A:$A&amp;盘货信息!$B:$B&amp;盘货信息!$C:$C,盘货信息!$V:$V)="","","【"&amp;盘货信息!$V$1&amp;"】"&amp;_xlfn.XLOOKUP($A331&amp;$B331&amp;$C331,盘货信息!$A:$A&amp;盘货信息!$B:$B&amp;盘货信息!$C:$C,盘货信息!$V:$V))</f>
        <v/>
      </c>
      <c r="O331" s="27" t="str" cm="1">
        <f t="array" ref="O331">IF(_xlfn.XLOOKUP($A331&amp;$B331&amp;$C331,盘货信息!$A:$A&amp;盘货信息!$B:$B&amp;盘货信息!$C:$C,盘货信息!$W:$W)="","","【"&amp;盘货信息!$W$1&amp;"】"&amp;_xlfn.XLOOKUP($A331&amp;$B331&amp;$C331,盘货信息!$A:$A&amp;盘货信息!$B:$B&amp;盘货信息!$C:$C,盘货信息!$W:$W))</f>
        <v/>
      </c>
      <c r="P331" s="27" t="str" cm="1">
        <f t="array" ref="P331">IF(_xlfn.XLOOKUP($A331&amp;$B331&amp;$C331,盘货信息!$A:$A&amp;盘货信息!$B:$B&amp;盘货信息!$C:$C,盘货信息!$S:$S)&lt;1,"","【"&amp;盘货信息!$S$1&amp;"】"&amp;"后返"&amp;_xlfn.XLOOKUP($A331&amp;$B331&amp;$C331,盘货信息!$A:$A&amp;盘货信息!$B:$B&amp;盘货信息!$C:$C,盘货信息!$S:$S)&amp;"元")</f>
        <v/>
      </c>
      <c r="Q331" s="27" t="str" cm="1">
        <f t="array" ref="Q331">IF(_xlfn.XLOOKUP($A331&amp;$B331&amp;$C331,盘货信息!$A:$A&amp;盘货信息!$B:$B&amp;盘货信息!$C:$C,盘货信息!$X:$X)="","","【"&amp;盘货信息!$X$1&amp;"】"&amp;_xlfn.XLOOKUP($A331&amp;$B331&amp;$C331,盘货信息!$A:$A&amp;盘货信息!$B:$B&amp;盘货信息!$C:$C,盘货信息!$X:$X))</f>
        <v/>
      </c>
      <c r="R331" s="27" t="str" cm="1">
        <f t="array" ref="R331">IF(_xlfn.XLOOKUP($A331&amp;$B331&amp;$C331,盘货信息!$A:$A&amp;盘货信息!$B:$B&amp;盘货信息!$C:$C,盘货信息!$Z:$Z)="","","【"&amp;盘货信息!$Z$1&amp;"】"&amp;_xlfn.XLOOKUP($A331&amp;$B331&amp;$C331,盘货信息!$A:$A&amp;盘货信息!$B:$B&amp;盘货信息!$C:$C,盘货信息!$Z:$Z))</f>
        <v/>
      </c>
      <c r="S331" s="27" t="str" cm="1">
        <f t="array" ref="S331">IF(_xlfn.XLOOKUP($A331&amp;$B331&amp;$C331,盘货信息!$A:$A&amp;盘货信息!$B:$B&amp;盘货信息!$C:$C,盘货信息!$Q:$Q)="","","【种草】站外带指定话题种草后返"&amp;_xlfn.XLOOKUP($A331&amp;$B331&amp;$C331,盘货信息!$A:$A&amp;盘货信息!$B:$B&amp;盘货信息!$C:$C,盘货信息!$Q:$Q)&amp;"元红包（每个淘宝账号仅限对应一个站外种草账号，同一个种草账号不可对应多个淘宝账号）")</f>
        <v/>
      </c>
      <c r="T331" s="27" t="str" cm="1">
        <f t="array" ref="T331">IF(_xlfn.XLOOKUP($A331&amp;$B331&amp;$C331,盘货信息!$A:$A&amp;盘货信息!$B:$B&amp;盘货信息!$C:$C,盘货信息!$R:$R)&lt;1,"","【以旧换新】"&amp;"享补贴"&amp;ROUND(_xlfn.XLOOKUP($A331&amp;$B331&amp;$C331,盘货信息!$A:$A&amp;盘货信息!$B:$B&amp;盘货信息!$C:$C,盘货信息!$R:$R),0)&amp;"元（可无旧机换新）")</f>
        <v/>
      </c>
      <c r="U331" s="27" t="str">
        <f>IF(AND($N331="",$O331="",$P331="",$Q331="",$R331="",$S331="",$T331=""),"",固定信息!$B$1)</f>
        <v/>
      </c>
      <c r="V331" s="27" t="str" cm="1">
        <f t="array" ref="V331">IF(_xlfn.XLOOKUP($A331&amp;$B331&amp;$C331,盘货信息!$A:$A&amp;盘货信息!$B:$B&amp;盘货信息!$C:$C,盘货信息!$Y:$Y)="","","【卡萨帝送赠】活动指定时间"&amp;_xlfn.TEXTBEFORE(_xlfn.TEXTAFTER(_xlfn.XLOOKUP($A331&amp;$B331&amp;$C331,盘货信息!$A:$A&amp;盘货信息!$B:$B&amp;盘货信息!$C:$C,盘货信息!$Y:$Y),"点"),"（"))</f>
        <v/>
      </c>
      <c r="W331" s="27" t="str" cm="1">
        <f t="array" ref="W331">IF(COUNTIF(_xlfn.XLOOKUP($A331&amp;$B331&amp;$C331,盘货信息!$A:$A&amp;盘货信息!$B:$B&amp;盘货信息!$C:$C,盘货信息!$O:$O),"*是*"),"【折扣】指定型号满2类享96折，满3类享94折","")</f>
        <v/>
      </c>
      <c r="X331" s="27" t="str" cm="1">
        <f t="array" ref="X331">IF(固定信息!$B$7="","",IF(_xlfn.XLOOKUP($A331&amp;$B331&amp;$C331,盘货信息!$A:$A&amp;盘货信息!$B:$B&amp;盘货信息!$C:$C,盘货信息!$N:$N)="是","【瓜分】"&amp;固定信息!$B$7,""))</f>
        <v/>
      </c>
      <c r="Y331" s="27" t="str">
        <f>IF(AND($V331="",$W331="",$X331=""),"",固定信息!$B$1)</f>
        <v/>
      </c>
      <c r="Z331" s="27" t="str" cm="1">
        <f t="array" ref="Z331">IF($C331="","",_xlfn.XLOOKUP($A331&amp;$B331&amp;$C331,服务!$A:$A&amp;服务!$B:$B&amp;服务!$C:$C,服务!$D:$D))</f>
        <v/>
      </c>
    </row>
    <row r="332" customHeight="1" spans="1:26">
      <c r="A332" s="23" t="str">
        <f>IF(盘货信息!A332="","",盘货信息!A332)</f>
        <v/>
      </c>
      <c r="B332" s="26" t="str">
        <f>IF(盘货信息!B332="","",盘货信息!B332)</f>
        <v/>
      </c>
      <c r="C332" s="23" t="str">
        <f>IF(盘货信息!C332="","",盘货信息!C332)</f>
        <v/>
      </c>
      <c r="D332" s="27" t="str">
        <f ca="1" t="shared" si="5"/>
        <v/>
      </c>
      <c r="E332" s="27" t="str">
        <f>IF(C332="","",固定信息!$B$2)</f>
        <v/>
      </c>
      <c r="F332" s="27" t="str">
        <f>IF(C332="","","【"&amp;C332&amp;"】"&amp;固定信息!$B$4)</f>
        <v/>
      </c>
      <c r="G332" s="27" t="str">
        <f>IF(C332="","","【"&amp;"活动时间："&amp;固定信息!$B$3&amp;"】")</f>
        <v/>
      </c>
      <c r="H332" s="27" t="str">
        <f>IF($C332="","",固定信息!$B$1)</f>
        <v/>
      </c>
      <c r="I332" s="27" t="str">
        <f>IF(OR(C332="",固定信息!$B$5=""),"","【1元预约锁好礼】"&amp;固定信息!$B$5)</f>
        <v/>
      </c>
      <c r="J332" s="27" t="str" cm="1">
        <f t="array" ref="J332">_xlfn.XLOOKUP($A332&amp;$B332&amp;$C332,价格信息!$A:$A&amp;价格信息!$B:$B&amp;价格信息!$C:$C,价格信息!$D:$D)</f>
        <v/>
      </c>
      <c r="K332" s="27" t="str">
        <f>IF($C332="","",固定信息!$B$1)</f>
        <v/>
      </c>
      <c r="L332" s="27" t="str" cm="1">
        <f t="array" ref="L332">IF(_xlfn.XLOOKUP($A332&amp;$B332&amp;$C332,盘货信息!$A:$A&amp;盘货信息!$B:$B&amp;盘货信息!$C:$C,盘货信息!$T:$T)="","","【优惠券】领"&amp;_xlfn.XLOOKUP($A332&amp;$B332&amp;$C332,盘货信息!$A:$A&amp;盘货信息!$B:$B&amp;盘货信息!$C:$C,盘货信息!$T:$T)&amp;"元优惠卷下单更优惠，领券链接："&amp;_xlfn.XLOOKUP($A332&amp;$B332&amp;$C332,盘货信息!$A:$A&amp;盘货信息!$B:$B&amp;盘货信息!$C:$C,盘货信息!$U:$U))</f>
        <v/>
      </c>
      <c r="M332" s="27" t="str" cm="1">
        <f t="array" ref="M332">IF(_xlfn.XLOOKUP($A332&amp;$B332&amp;$C332,盘货信息!$A:$A&amp;盘货信息!$B:$B&amp;盘货信息!$C:$C,盘货信息!$P:$P)="","","【限时】"&amp;_xlfn.XLOOKUP($A332&amp;$B332&amp;$C332,盘货信息!$A:$A&amp;盘货信息!$B:$B&amp;盘货信息!$C:$C,盘货信息!$P:$P))</f>
        <v/>
      </c>
      <c r="N332" s="27" t="str" cm="1">
        <f t="array" ref="N332">IF(_xlfn.XLOOKUP($A332&amp;$B332&amp;$C332,盘货信息!$A:$A&amp;盘货信息!$B:$B&amp;盘货信息!$C:$C,盘货信息!$V:$V)="","","【"&amp;盘货信息!$V$1&amp;"】"&amp;_xlfn.XLOOKUP($A332&amp;$B332&amp;$C332,盘货信息!$A:$A&amp;盘货信息!$B:$B&amp;盘货信息!$C:$C,盘货信息!$V:$V))</f>
        <v/>
      </c>
      <c r="O332" s="27" t="str" cm="1">
        <f t="array" ref="O332">IF(_xlfn.XLOOKUP($A332&amp;$B332&amp;$C332,盘货信息!$A:$A&amp;盘货信息!$B:$B&amp;盘货信息!$C:$C,盘货信息!$W:$W)="","","【"&amp;盘货信息!$W$1&amp;"】"&amp;_xlfn.XLOOKUP($A332&amp;$B332&amp;$C332,盘货信息!$A:$A&amp;盘货信息!$B:$B&amp;盘货信息!$C:$C,盘货信息!$W:$W))</f>
        <v/>
      </c>
      <c r="P332" s="27" t="str" cm="1">
        <f t="array" ref="P332">IF(_xlfn.XLOOKUP($A332&amp;$B332&amp;$C332,盘货信息!$A:$A&amp;盘货信息!$B:$B&amp;盘货信息!$C:$C,盘货信息!$S:$S)&lt;1,"","【"&amp;盘货信息!$S$1&amp;"】"&amp;"后返"&amp;_xlfn.XLOOKUP($A332&amp;$B332&amp;$C332,盘货信息!$A:$A&amp;盘货信息!$B:$B&amp;盘货信息!$C:$C,盘货信息!$S:$S)&amp;"元")</f>
        <v/>
      </c>
      <c r="Q332" s="27" t="str" cm="1">
        <f t="array" ref="Q332">IF(_xlfn.XLOOKUP($A332&amp;$B332&amp;$C332,盘货信息!$A:$A&amp;盘货信息!$B:$B&amp;盘货信息!$C:$C,盘货信息!$X:$X)="","","【"&amp;盘货信息!$X$1&amp;"】"&amp;_xlfn.XLOOKUP($A332&amp;$B332&amp;$C332,盘货信息!$A:$A&amp;盘货信息!$B:$B&amp;盘货信息!$C:$C,盘货信息!$X:$X))</f>
        <v/>
      </c>
      <c r="R332" s="27" t="str" cm="1">
        <f t="array" ref="R332">IF(_xlfn.XLOOKUP($A332&amp;$B332&amp;$C332,盘货信息!$A:$A&amp;盘货信息!$B:$B&amp;盘货信息!$C:$C,盘货信息!$Z:$Z)="","","【"&amp;盘货信息!$Z$1&amp;"】"&amp;_xlfn.XLOOKUP($A332&amp;$B332&amp;$C332,盘货信息!$A:$A&amp;盘货信息!$B:$B&amp;盘货信息!$C:$C,盘货信息!$Z:$Z))</f>
        <v/>
      </c>
      <c r="S332" s="27" t="str" cm="1">
        <f t="array" ref="S332">IF(_xlfn.XLOOKUP($A332&amp;$B332&amp;$C332,盘货信息!$A:$A&amp;盘货信息!$B:$B&amp;盘货信息!$C:$C,盘货信息!$Q:$Q)="","","【种草】站外带指定话题种草后返"&amp;_xlfn.XLOOKUP($A332&amp;$B332&amp;$C332,盘货信息!$A:$A&amp;盘货信息!$B:$B&amp;盘货信息!$C:$C,盘货信息!$Q:$Q)&amp;"元红包（每个淘宝账号仅限对应一个站外种草账号，同一个种草账号不可对应多个淘宝账号）")</f>
        <v/>
      </c>
      <c r="T332" s="27" t="str" cm="1">
        <f t="array" ref="T332">IF(_xlfn.XLOOKUP($A332&amp;$B332&amp;$C332,盘货信息!$A:$A&amp;盘货信息!$B:$B&amp;盘货信息!$C:$C,盘货信息!$R:$R)&lt;1,"","【以旧换新】"&amp;"享补贴"&amp;ROUND(_xlfn.XLOOKUP($A332&amp;$B332&amp;$C332,盘货信息!$A:$A&amp;盘货信息!$B:$B&amp;盘货信息!$C:$C,盘货信息!$R:$R),0)&amp;"元（可无旧机换新）")</f>
        <v/>
      </c>
      <c r="U332" s="27" t="str">
        <f>IF(AND($N332="",$O332="",$P332="",$Q332="",$R332="",$S332="",$T332=""),"",固定信息!$B$1)</f>
        <v/>
      </c>
      <c r="V332" s="27" t="str" cm="1">
        <f t="array" ref="V332">IF(_xlfn.XLOOKUP($A332&amp;$B332&amp;$C332,盘货信息!$A:$A&amp;盘货信息!$B:$B&amp;盘货信息!$C:$C,盘货信息!$Y:$Y)="","","【卡萨帝送赠】活动指定时间"&amp;_xlfn.TEXTBEFORE(_xlfn.TEXTAFTER(_xlfn.XLOOKUP($A332&amp;$B332&amp;$C332,盘货信息!$A:$A&amp;盘货信息!$B:$B&amp;盘货信息!$C:$C,盘货信息!$Y:$Y),"点"),"（"))</f>
        <v/>
      </c>
      <c r="W332" s="27" t="str" cm="1">
        <f t="array" ref="W332">IF(COUNTIF(_xlfn.XLOOKUP($A332&amp;$B332&amp;$C332,盘货信息!$A:$A&amp;盘货信息!$B:$B&amp;盘货信息!$C:$C,盘货信息!$O:$O),"*是*"),"【折扣】指定型号满2类享96折，满3类享94折","")</f>
        <v/>
      </c>
      <c r="X332" s="27" t="str" cm="1">
        <f t="array" ref="X332">IF(固定信息!$B$7="","",IF(_xlfn.XLOOKUP($A332&amp;$B332&amp;$C332,盘货信息!$A:$A&amp;盘货信息!$B:$B&amp;盘货信息!$C:$C,盘货信息!$N:$N)="是","【瓜分】"&amp;固定信息!$B$7,""))</f>
        <v/>
      </c>
      <c r="Y332" s="27" t="str">
        <f>IF(AND($V332="",$W332="",$X332=""),"",固定信息!$B$1)</f>
        <v/>
      </c>
      <c r="Z332" s="27" t="str" cm="1">
        <f t="array" ref="Z332">IF($C332="","",_xlfn.XLOOKUP($A332&amp;$B332&amp;$C332,服务!$A:$A&amp;服务!$B:$B&amp;服务!$C:$C,服务!$D:$D))</f>
        <v/>
      </c>
    </row>
    <row r="333" customHeight="1" spans="1:26">
      <c r="A333" s="23" t="str">
        <f>IF(盘货信息!A333="","",盘货信息!A333)</f>
        <v/>
      </c>
      <c r="B333" s="26" t="str">
        <f>IF(盘货信息!B333="","",盘货信息!B333)</f>
        <v/>
      </c>
      <c r="C333" s="23" t="str">
        <f>IF(盘货信息!C333="","",盘货信息!C333)</f>
        <v/>
      </c>
      <c r="D333" s="27" t="str">
        <f ca="1" t="shared" si="5"/>
        <v/>
      </c>
      <c r="E333" s="27" t="str">
        <f>IF(C333="","",固定信息!$B$2)</f>
        <v/>
      </c>
      <c r="F333" s="27" t="str">
        <f>IF(C333="","","【"&amp;C333&amp;"】"&amp;固定信息!$B$4)</f>
        <v/>
      </c>
      <c r="G333" s="27" t="str">
        <f>IF(C333="","","【"&amp;"活动时间："&amp;固定信息!$B$3&amp;"】")</f>
        <v/>
      </c>
      <c r="H333" s="27" t="str">
        <f>IF($C333="","",固定信息!$B$1)</f>
        <v/>
      </c>
      <c r="I333" s="27" t="str">
        <f>IF(OR(C333="",固定信息!$B$5=""),"","【1元预约锁好礼】"&amp;固定信息!$B$5)</f>
        <v/>
      </c>
      <c r="J333" s="27" t="str" cm="1">
        <f t="array" ref="J333">_xlfn.XLOOKUP($A333&amp;$B333&amp;$C333,价格信息!$A:$A&amp;价格信息!$B:$B&amp;价格信息!$C:$C,价格信息!$D:$D)</f>
        <v/>
      </c>
      <c r="K333" s="27" t="str">
        <f>IF($C333="","",固定信息!$B$1)</f>
        <v/>
      </c>
      <c r="L333" s="27" t="str" cm="1">
        <f t="array" ref="L333">IF(_xlfn.XLOOKUP($A333&amp;$B333&amp;$C333,盘货信息!$A:$A&amp;盘货信息!$B:$B&amp;盘货信息!$C:$C,盘货信息!$T:$T)="","","【优惠券】领"&amp;_xlfn.XLOOKUP($A333&amp;$B333&amp;$C333,盘货信息!$A:$A&amp;盘货信息!$B:$B&amp;盘货信息!$C:$C,盘货信息!$T:$T)&amp;"元优惠卷下单更优惠，领券链接："&amp;_xlfn.XLOOKUP($A333&amp;$B333&amp;$C333,盘货信息!$A:$A&amp;盘货信息!$B:$B&amp;盘货信息!$C:$C,盘货信息!$U:$U))</f>
        <v/>
      </c>
      <c r="M333" s="27" t="str" cm="1">
        <f t="array" ref="M333">IF(_xlfn.XLOOKUP($A333&amp;$B333&amp;$C333,盘货信息!$A:$A&amp;盘货信息!$B:$B&amp;盘货信息!$C:$C,盘货信息!$P:$P)="","","【限时】"&amp;_xlfn.XLOOKUP($A333&amp;$B333&amp;$C333,盘货信息!$A:$A&amp;盘货信息!$B:$B&amp;盘货信息!$C:$C,盘货信息!$P:$P))</f>
        <v/>
      </c>
      <c r="N333" s="27" t="str" cm="1">
        <f t="array" ref="N333">IF(_xlfn.XLOOKUP($A333&amp;$B333&amp;$C333,盘货信息!$A:$A&amp;盘货信息!$B:$B&amp;盘货信息!$C:$C,盘货信息!$V:$V)="","","【"&amp;盘货信息!$V$1&amp;"】"&amp;_xlfn.XLOOKUP($A333&amp;$B333&amp;$C333,盘货信息!$A:$A&amp;盘货信息!$B:$B&amp;盘货信息!$C:$C,盘货信息!$V:$V))</f>
        <v/>
      </c>
      <c r="O333" s="27" t="str" cm="1">
        <f t="array" ref="O333">IF(_xlfn.XLOOKUP($A333&amp;$B333&amp;$C333,盘货信息!$A:$A&amp;盘货信息!$B:$B&amp;盘货信息!$C:$C,盘货信息!$W:$W)="","","【"&amp;盘货信息!$W$1&amp;"】"&amp;_xlfn.XLOOKUP($A333&amp;$B333&amp;$C333,盘货信息!$A:$A&amp;盘货信息!$B:$B&amp;盘货信息!$C:$C,盘货信息!$W:$W))</f>
        <v/>
      </c>
      <c r="P333" s="27" t="str" cm="1">
        <f t="array" ref="P333">IF(_xlfn.XLOOKUP($A333&amp;$B333&amp;$C333,盘货信息!$A:$A&amp;盘货信息!$B:$B&amp;盘货信息!$C:$C,盘货信息!$S:$S)&lt;1,"","【"&amp;盘货信息!$S$1&amp;"】"&amp;"后返"&amp;_xlfn.XLOOKUP($A333&amp;$B333&amp;$C333,盘货信息!$A:$A&amp;盘货信息!$B:$B&amp;盘货信息!$C:$C,盘货信息!$S:$S)&amp;"元")</f>
        <v/>
      </c>
      <c r="Q333" s="27" t="str" cm="1">
        <f t="array" ref="Q333">IF(_xlfn.XLOOKUP($A333&amp;$B333&amp;$C333,盘货信息!$A:$A&amp;盘货信息!$B:$B&amp;盘货信息!$C:$C,盘货信息!$X:$X)="","","【"&amp;盘货信息!$X$1&amp;"】"&amp;_xlfn.XLOOKUP($A333&amp;$B333&amp;$C333,盘货信息!$A:$A&amp;盘货信息!$B:$B&amp;盘货信息!$C:$C,盘货信息!$X:$X))</f>
        <v/>
      </c>
      <c r="R333" s="27" t="str" cm="1">
        <f t="array" ref="R333">IF(_xlfn.XLOOKUP($A333&amp;$B333&amp;$C333,盘货信息!$A:$A&amp;盘货信息!$B:$B&amp;盘货信息!$C:$C,盘货信息!$Z:$Z)="","","【"&amp;盘货信息!$Z$1&amp;"】"&amp;_xlfn.XLOOKUP($A333&amp;$B333&amp;$C333,盘货信息!$A:$A&amp;盘货信息!$B:$B&amp;盘货信息!$C:$C,盘货信息!$Z:$Z))</f>
        <v/>
      </c>
      <c r="S333" s="27" t="str" cm="1">
        <f t="array" ref="S333">IF(_xlfn.XLOOKUP($A333&amp;$B333&amp;$C333,盘货信息!$A:$A&amp;盘货信息!$B:$B&amp;盘货信息!$C:$C,盘货信息!$Q:$Q)="","","【种草】站外带指定话题种草后返"&amp;_xlfn.XLOOKUP($A333&amp;$B333&amp;$C333,盘货信息!$A:$A&amp;盘货信息!$B:$B&amp;盘货信息!$C:$C,盘货信息!$Q:$Q)&amp;"元红包（每个淘宝账号仅限对应一个站外种草账号，同一个种草账号不可对应多个淘宝账号）")</f>
        <v/>
      </c>
      <c r="T333" s="27" t="str" cm="1">
        <f t="array" ref="T333">IF(_xlfn.XLOOKUP($A333&amp;$B333&amp;$C333,盘货信息!$A:$A&amp;盘货信息!$B:$B&amp;盘货信息!$C:$C,盘货信息!$R:$R)&lt;1,"","【以旧换新】"&amp;"享补贴"&amp;ROUND(_xlfn.XLOOKUP($A333&amp;$B333&amp;$C333,盘货信息!$A:$A&amp;盘货信息!$B:$B&amp;盘货信息!$C:$C,盘货信息!$R:$R),0)&amp;"元（可无旧机换新）")</f>
        <v/>
      </c>
      <c r="U333" s="27" t="str">
        <f>IF(AND($N333="",$O333="",$P333="",$Q333="",$R333="",$S333="",$T333=""),"",固定信息!$B$1)</f>
        <v/>
      </c>
      <c r="V333" s="27" t="str" cm="1">
        <f t="array" ref="V333">IF(_xlfn.XLOOKUP($A333&amp;$B333&amp;$C333,盘货信息!$A:$A&amp;盘货信息!$B:$B&amp;盘货信息!$C:$C,盘货信息!$Y:$Y)="","","【卡萨帝送赠】活动指定时间"&amp;_xlfn.TEXTBEFORE(_xlfn.TEXTAFTER(_xlfn.XLOOKUP($A333&amp;$B333&amp;$C333,盘货信息!$A:$A&amp;盘货信息!$B:$B&amp;盘货信息!$C:$C,盘货信息!$Y:$Y),"点"),"（"))</f>
        <v/>
      </c>
      <c r="W333" s="27" t="str" cm="1">
        <f t="array" ref="W333">IF(COUNTIF(_xlfn.XLOOKUP($A333&amp;$B333&amp;$C333,盘货信息!$A:$A&amp;盘货信息!$B:$B&amp;盘货信息!$C:$C,盘货信息!$O:$O),"*是*"),"【折扣】指定型号满2类享96折，满3类享94折","")</f>
        <v/>
      </c>
      <c r="X333" s="27" t="str" cm="1">
        <f t="array" ref="X333">IF(固定信息!$B$7="","",IF(_xlfn.XLOOKUP($A333&amp;$B333&amp;$C333,盘货信息!$A:$A&amp;盘货信息!$B:$B&amp;盘货信息!$C:$C,盘货信息!$N:$N)="是","【瓜分】"&amp;固定信息!$B$7,""))</f>
        <v/>
      </c>
      <c r="Y333" s="27" t="str">
        <f>IF(AND($V333="",$W333="",$X333=""),"",固定信息!$B$1)</f>
        <v/>
      </c>
      <c r="Z333" s="27" t="str" cm="1">
        <f t="array" ref="Z333">IF($C333="","",_xlfn.XLOOKUP($A333&amp;$B333&amp;$C333,服务!$A:$A&amp;服务!$B:$B&amp;服务!$C:$C,服务!$D:$D))</f>
        <v/>
      </c>
    </row>
    <row r="334" customHeight="1" spans="1:26">
      <c r="A334" s="23" t="str">
        <f>IF(盘货信息!A334="","",盘货信息!A334)</f>
        <v/>
      </c>
      <c r="B334" s="26" t="str">
        <f>IF(盘货信息!B334="","",盘货信息!B334)</f>
        <v/>
      </c>
      <c r="C334" s="23" t="str">
        <f>IF(盘货信息!C334="","",盘货信息!C334)</f>
        <v/>
      </c>
      <c r="D334" s="27" t="str">
        <f ca="1" t="shared" si="5"/>
        <v/>
      </c>
      <c r="E334" s="27" t="str">
        <f>IF(C334="","",固定信息!$B$2)</f>
        <v/>
      </c>
      <c r="F334" s="27" t="str">
        <f>IF(C334="","","【"&amp;C334&amp;"】"&amp;固定信息!$B$4)</f>
        <v/>
      </c>
      <c r="G334" s="27" t="str">
        <f>IF(C334="","","【"&amp;"活动时间："&amp;固定信息!$B$3&amp;"】")</f>
        <v/>
      </c>
      <c r="H334" s="27" t="str">
        <f>IF($C334="","",固定信息!$B$1)</f>
        <v/>
      </c>
      <c r="I334" s="27" t="str">
        <f>IF(OR(C334="",固定信息!$B$5=""),"","【1元预约锁好礼】"&amp;固定信息!$B$5)</f>
        <v/>
      </c>
      <c r="J334" s="27" t="str" cm="1">
        <f t="array" ref="J334">_xlfn.XLOOKUP($A334&amp;$B334&amp;$C334,价格信息!$A:$A&amp;价格信息!$B:$B&amp;价格信息!$C:$C,价格信息!$D:$D)</f>
        <v/>
      </c>
      <c r="K334" s="27" t="str">
        <f>IF($C334="","",固定信息!$B$1)</f>
        <v/>
      </c>
      <c r="L334" s="27" t="str" cm="1">
        <f t="array" ref="L334">IF(_xlfn.XLOOKUP($A334&amp;$B334&amp;$C334,盘货信息!$A:$A&amp;盘货信息!$B:$B&amp;盘货信息!$C:$C,盘货信息!$T:$T)="","","【优惠券】领"&amp;_xlfn.XLOOKUP($A334&amp;$B334&amp;$C334,盘货信息!$A:$A&amp;盘货信息!$B:$B&amp;盘货信息!$C:$C,盘货信息!$T:$T)&amp;"元优惠卷下单更优惠，领券链接："&amp;_xlfn.XLOOKUP($A334&amp;$B334&amp;$C334,盘货信息!$A:$A&amp;盘货信息!$B:$B&amp;盘货信息!$C:$C,盘货信息!$U:$U))</f>
        <v/>
      </c>
      <c r="M334" s="27" t="str" cm="1">
        <f t="array" ref="M334">IF(_xlfn.XLOOKUP($A334&amp;$B334&amp;$C334,盘货信息!$A:$A&amp;盘货信息!$B:$B&amp;盘货信息!$C:$C,盘货信息!$P:$P)="","","【限时】"&amp;_xlfn.XLOOKUP($A334&amp;$B334&amp;$C334,盘货信息!$A:$A&amp;盘货信息!$B:$B&amp;盘货信息!$C:$C,盘货信息!$P:$P))</f>
        <v/>
      </c>
      <c r="N334" s="27" t="str" cm="1">
        <f t="array" ref="N334">IF(_xlfn.XLOOKUP($A334&amp;$B334&amp;$C334,盘货信息!$A:$A&amp;盘货信息!$B:$B&amp;盘货信息!$C:$C,盘货信息!$V:$V)="","","【"&amp;盘货信息!$V$1&amp;"】"&amp;_xlfn.XLOOKUP($A334&amp;$B334&amp;$C334,盘货信息!$A:$A&amp;盘货信息!$B:$B&amp;盘货信息!$C:$C,盘货信息!$V:$V))</f>
        <v/>
      </c>
      <c r="O334" s="27" t="str" cm="1">
        <f t="array" ref="O334">IF(_xlfn.XLOOKUP($A334&amp;$B334&amp;$C334,盘货信息!$A:$A&amp;盘货信息!$B:$B&amp;盘货信息!$C:$C,盘货信息!$W:$W)="","","【"&amp;盘货信息!$W$1&amp;"】"&amp;_xlfn.XLOOKUP($A334&amp;$B334&amp;$C334,盘货信息!$A:$A&amp;盘货信息!$B:$B&amp;盘货信息!$C:$C,盘货信息!$W:$W))</f>
        <v/>
      </c>
      <c r="P334" s="27" t="str" cm="1">
        <f t="array" ref="P334">IF(_xlfn.XLOOKUP($A334&amp;$B334&amp;$C334,盘货信息!$A:$A&amp;盘货信息!$B:$B&amp;盘货信息!$C:$C,盘货信息!$S:$S)&lt;1,"","【"&amp;盘货信息!$S$1&amp;"】"&amp;"后返"&amp;_xlfn.XLOOKUP($A334&amp;$B334&amp;$C334,盘货信息!$A:$A&amp;盘货信息!$B:$B&amp;盘货信息!$C:$C,盘货信息!$S:$S)&amp;"元")</f>
        <v/>
      </c>
      <c r="Q334" s="27" t="str" cm="1">
        <f t="array" ref="Q334">IF(_xlfn.XLOOKUP($A334&amp;$B334&amp;$C334,盘货信息!$A:$A&amp;盘货信息!$B:$B&amp;盘货信息!$C:$C,盘货信息!$X:$X)="","","【"&amp;盘货信息!$X$1&amp;"】"&amp;_xlfn.XLOOKUP($A334&amp;$B334&amp;$C334,盘货信息!$A:$A&amp;盘货信息!$B:$B&amp;盘货信息!$C:$C,盘货信息!$X:$X))</f>
        <v/>
      </c>
      <c r="R334" s="27" t="str" cm="1">
        <f t="array" ref="R334">IF(_xlfn.XLOOKUP($A334&amp;$B334&amp;$C334,盘货信息!$A:$A&amp;盘货信息!$B:$B&amp;盘货信息!$C:$C,盘货信息!$Z:$Z)="","","【"&amp;盘货信息!$Z$1&amp;"】"&amp;_xlfn.XLOOKUP($A334&amp;$B334&amp;$C334,盘货信息!$A:$A&amp;盘货信息!$B:$B&amp;盘货信息!$C:$C,盘货信息!$Z:$Z))</f>
        <v/>
      </c>
      <c r="S334" s="27" t="str" cm="1">
        <f t="array" ref="S334">IF(_xlfn.XLOOKUP($A334&amp;$B334&amp;$C334,盘货信息!$A:$A&amp;盘货信息!$B:$B&amp;盘货信息!$C:$C,盘货信息!$Q:$Q)="","","【种草】站外带指定话题种草后返"&amp;_xlfn.XLOOKUP($A334&amp;$B334&amp;$C334,盘货信息!$A:$A&amp;盘货信息!$B:$B&amp;盘货信息!$C:$C,盘货信息!$Q:$Q)&amp;"元红包（每个淘宝账号仅限对应一个站外种草账号，同一个种草账号不可对应多个淘宝账号）")</f>
        <v/>
      </c>
      <c r="T334" s="27" t="str" cm="1">
        <f t="array" ref="T334">IF(_xlfn.XLOOKUP($A334&amp;$B334&amp;$C334,盘货信息!$A:$A&amp;盘货信息!$B:$B&amp;盘货信息!$C:$C,盘货信息!$R:$R)&lt;1,"","【以旧换新】"&amp;"享补贴"&amp;ROUND(_xlfn.XLOOKUP($A334&amp;$B334&amp;$C334,盘货信息!$A:$A&amp;盘货信息!$B:$B&amp;盘货信息!$C:$C,盘货信息!$R:$R),0)&amp;"元（可无旧机换新）")</f>
        <v/>
      </c>
      <c r="U334" s="27" t="str">
        <f>IF(AND($N334="",$O334="",$P334="",$Q334="",$R334="",$S334="",$T334=""),"",固定信息!$B$1)</f>
        <v/>
      </c>
      <c r="V334" s="27" t="str" cm="1">
        <f t="array" ref="V334">IF(_xlfn.XLOOKUP($A334&amp;$B334&amp;$C334,盘货信息!$A:$A&amp;盘货信息!$B:$B&amp;盘货信息!$C:$C,盘货信息!$Y:$Y)="","","【卡萨帝送赠】活动指定时间"&amp;_xlfn.TEXTBEFORE(_xlfn.TEXTAFTER(_xlfn.XLOOKUP($A334&amp;$B334&amp;$C334,盘货信息!$A:$A&amp;盘货信息!$B:$B&amp;盘货信息!$C:$C,盘货信息!$Y:$Y),"点"),"（"))</f>
        <v/>
      </c>
      <c r="W334" s="27" t="str" cm="1">
        <f t="array" ref="W334">IF(COUNTIF(_xlfn.XLOOKUP($A334&amp;$B334&amp;$C334,盘货信息!$A:$A&amp;盘货信息!$B:$B&amp;盘货信息!$C:$C,盘货信息!$O:$O),"*是*"),"【折扣】指定型号满2类享96折，满3类享94折","")</f>
        <v/>
      </c>
      <c r="X334" s="27" t="str" cm="1">
        <f t="array" ref="X334">IF(固定信息!$B$7="","",IF(_xlfn.XLOOKUP($A334&amp;$B334&amp;$C334,盘货信息!$A:$A&amp;盘货信息!$B:$B&amp;盘货信息!$C:$C,盘货信息!$N:$N)="是","【瓜分】"&amp;固定信息!$B$7,""))</f>
        <v/>
      </c>
      <c r="Y334" s="27" t="str">
        <f>IF(AND($V334="",$W334="",$X334=""),"",固定信息!$B$1)</f>
        <v/>
      </c>
      <c r="Z334" s="27" t="str" cm="1">
        <f t="array" ref="Z334">IF($C334="","",_xlfn.XLOOKUP($A334&amp;$B334&amp;$C334,服务!$A:$A&amp;服务!$B:$B&amp;服务!$C:$C,服务!$D:$D))</f>
        <v/>
      </c>
    </row>
    <row r="335" customHeight="1" spans="1:26">
      <c r="A335" s="23" t="str">
        <f>IF(盘货信息!A335="","",盘货信息!A335)</f>
        <v/>
      </c>
      <c r="B335" s="26" t="str">
        <f>IF(盘货信息!B335="","",盘货信息!B335)</f>
        <v/>
      </c>
      <c r="C335" s="23" t="str">
        <f>IF(盘货信息!C335="","",盘货信息!C335)</f>
        <v/>
      </c>
      <c r="D335" s="27" t="str">
        <f ca="1" t="shared" si="5"/>
        <v/>
      </c>
      <c r="E335" s="27" t="str">
        <f>IF(C335="","",固定信息!$B$2)</f>
        <v/>
      </c>
      <c r="F335" s="27" t="str">
        <f>IF(C335="","","【"&amp;C335&amp;"】"&amp;固定信息!$B$4)</f>
        <v/>
      </c>
      <c r="G335" s="27" t="str">
        <f>IF(C335="","","【"&amp;"活动时间："&amp;固定信息!$B$3&amp;"】")</f>
        <v/>
      </c>
      <c r="H335" s="27" t="str">
        <f>IF($C335="","",固定信息!$B$1)</f>
        <v/>
      </c>
      <c r="I335" s="27" t="str">
        <f>IF(OR(C335="",固定信息!$B$5=""),"","【1元预约锁好礼】"&amp;固定信息!$B$5)</f>
        <v/>
      </c>
      <c r="J335" s="27" t="str" cm="1">
        <f t="array" ref="J335">_xlfn.XLOOKUP($A335&amp;$B335&amp;$C335,价格信息!$A:$A&amp;价格信息!$B:$B&amp;价格信息!$C:$C,价格信息!$D:$D)</f>
        <v/>
      </c>
      <c r="K335" s="27" t="str">
        <f>IF($C335="","",固定信息!$B$1)</f>
        <v/>
      </c>
      <c r="L335" s="27" t="str" cm="1">
        <f t="array" ref="L335">IF(_xlfn.XLOOKUP($A335&amp;$B335&amp;$C335,盘货信息!$A:$A&amp;盘货信息!$B:$B&amp;盘货信息!$C:$C,盘货信息!$T:$T)="","","【优惠券】领"&amp;_xlfn.XLOOKUP($A335&amp;$B335&amp;$C335,盘货信息!$A:$A&amp;盘货信息!$B:$B&amp;盘货信息!$C:$C,盘货信息!$T:$T)&amp;"元优惠卷下单更优惠，领券链接："&amp;_xlfn.XLOOKUP($A335&amp;$B335&amp;$C335,盘货信息!$A:$A&amp;盘货信息!$B:$B&amp;盘货信息!$C:$C,盘货信息!$U:$U))</f>
        <v/>
      </c>
      <c r="M335" s="27" t="str" cm="1">
        <f t="array" ref="M335">IF(_xlfn.XLOOKUP($A335&amp;$B335&amp;$C335,盘货信息!$A:$A&amp;盘货信息!$B:$B&amp;盘货信息!$C:$C,盘货信息!$P:$P)="","","【限时】"&amp;_xlfn.XLOOKUP($A335&amp;$B335&amp;$C335,盘货信息!$A:$A&amp;盘货信息!$B:$B&amp;盘货信息!$C:$C,盘货信息!$P:$P))</f>
        <v/>
      </c>
      <c r="N335" s="27" t="str" cm="1">
        <f t="array" ref="N335">IF(_xlfn.XLOOKUP($A335&amp;$B335&amp;$C335,盘货信息!$A:$A&amp;盘货信息!$B:$B&amp;盘货信息!$C:$C,盘货信息!$V:$V)="","","【"&amp;盘货信息!$V$1&amp;"】"&amp;_xlfn.XLOOKUP($A335&amp;$B335&amp;$C335,盘货信息!$A:$A&amp;盘货信息!$B:$B&amp;盘货信息!$C:$C,盘货信息!$V:$V))</f>
        <v/>
      </c>
      <c r="O335" s="27" t="str" cm="1">
        <f t="array" ref="O335">IF(_xlfn.XLOOKUP($A335&amp;$B335&amp;$C335,盘货信息!$A:$A&amp;盘货信息!$B:$B&amp;盘货信息!$C:$C,盘货信息!$W:$W)="","","【"&amp;盘货信息!$W$1&amp;"】"&amp;_xlfn.XLOOKUP($A335&amp;$B335&amp;$C335,盘货信息!$A:$A&amp;盘货信息!$B:$B&amp;盘货信息!$C:$C,盘货信息!$W:$W))</f>
        <v/>
      </c>
      <c r="P335" s="27" t="str" cm="1">
        <f t="array" ref="P335">IF(_xlfn.XLOOKUP($A335&amp;$B335&amp;$C335,盘货信息!$A:$A&amp;盘货信息!$B:$B&amp;盘货信息!$C:$C,盘货信息!$S:$S)&lt;1,"","【"&amp;盘货信息!$S$1&amp;"】"&amp;"后返"&amp;_xlfn.XLOOKUP($A335&amp;$B335&amp;$C335,盘货信息!$A:$A&amp;盘货信息!$B:$B&amp;盘货信息!$C:$C,盘货信息!$S:$S)&amp;"元")</f>
        <v/>
      </c>
      <c r="Q335" s="27" t="str" cm="1">
        <f t="array" ref="Q335">IF(_xlfn.XLOOKUP($A335&amp;$B335&amp;$C335,盘货信息!$A:$A&amp;盘货信息!$B:$B&amp;盘货信息!$C:$C,盘货信息!$X:$X)="","","【"&amp;盘货信息!$X$1&amp;"】"&amp;_xlfn.XLOOKUP($A335&amp;$B335&amp;$C335,盘货信息!$A:$A&amp;盘货信息!$B:$B&amp;盘货信息!$C:$C,盘货信息!$X:$X))</f>
        <v/>
      </c>
      <c r="R335" s="27" t="str" cm="1">
        <f t="array" ref="R335">IF(_xlfn.XLOOKUP($A335&amp;$B335&amp;$C335,盘货信息!$A:$A&amp;盘货信息!$B:$B&amp;盘货信息!$C:$C,盘货信息!$Z:$Z)="","","【"&amp;盘货信息!$Z$1&amp;"】"&amp;_xlfn.XLOOKUP($A335&amp;$B335&amp;$C335,盘货信息!$A:$A&amp;盘货信息!$B:$B&amp;盘货信息!$C:$C,盘货信息!$Z:$Z))</f>
        <v/>
      </c>
      <c r="S335" s="27" t="str" cm="1">
        <f t="array" ref="S335">IF(_xlfn.XLOOKUP($A335&amp;$B335&amp;$C335,盘货信息!$A:$A&amp;盘货信息!$B:$B&amp;盘货信息!$C:$C,盘货信息!$Q:$Q)="","","【种草】站外带指定话题种草后返"&amp;_xlfn.XLOOKUP($A335&amp;$B335&amp;$C335,盘货信息!$A:$A&amp;盘货信息!$B:$B&amp;盘货信息!$C:$C,盘货信息!$Q:$Q)&amp;"元红包（每个淘宝账号仅限对应一个站外种草账号，同一个种草账号不可对应多个淘宝账号）")</f>
        <v/>
      </c>
      <c r="T335" s="27" t="str" cm="1">
        <f t="array" ref="T335">IF(_xlfn.XLOOKUP($A335&amp;$B335&amp;$C335,盘货信息!$A:$A&amp;盘货信息!$B:$B&amp;盘货信息!$C:$C,盘货信息!$R:$R)&lt;1,"","【以旧换新】"&amp;"享补贴"&amp;ROUND(_xlfn.XLOOKUP($A335&amp;$B335&amp;$C335,盘货信息!$A:$A&amp;盘货信息!$B:$B&amp;盘货信息!$C:$C,盘货信息!$R:$R),0)&amp;"元（可无旧机换新）")</f>
        <v/>
      </c>
      <c r="U335" s="27" t="str">
        <f>IF(AND($N335="",$O335="",$P335="",$Q335="",$R335="",$S335="",$T335=""),"",固定信息!$B$1)</f>
        <v/>
      </c>
      <c r="V335" s="27" t="str" cm="1">
        <f t="array" ref="V335">IF(_xlfn.XLOOKUP($A335&amp;$B335&amp;$C335,盘货信息!$A:$A&amp;盘货信息!$B:$B&amp;盘货信息!$C:$C,盘货信息!$Y:$Y)="","","【卡萨帝送赠】活动指定时间"&amp;_xlfn.TEXTBEFORE(_xlfn.TEXTAFTER(_xlfn.XLOOKUP($A335&amp;$B335&amp;$C335,盘货信息!$A:$A&amp;盘货信息!$B:$B&amp;盘货信息!$C:$C,盘货信息!$Y:$Y),"点"),"（"))</f>
        <v/>
      </c>
      <c r="W335" s="27" t="str" cm="1">
        <f t="array" ref="W335">IF(COUNTIF(_xlfn.XLOOKUP($A335&amp;$B335&amp;$C335,盘货信息!$A:$A&amp;盘货信息!$B:$B&amp;盘货信息!$C:$C,盘货信息!$O:$O),"*是*"),"【折扣】指定型号满2类享96折，满3类享94折","")</f>
        <v/>
      </c>
      <c r="X335" s="27" t="str" cm="1">
        <f t="array" ref="X335">IF(固定信息!$B$7="","",IF(_xlfn.XLOOKUP($A335&amp;$B335&amp;$C335,盘货信息!$A:$A&amp;盘货信息!$B:$B&amp;盘货信息!$C:$C,盘货信息!$N:$N)="是","【瓜分】"&amp;固定信息!$B$7,""))</f>
        <v/>
      </c>
      <c r="Y335" s="27" t="str">
        <f>IF(AND($V335="",$W335="",$X335=""),"",固定信息!$B$1)</f>
        <v/>
      </c>
      <c r="Z335" s="27" t="str" cm="1">
        <f t="array" ref="Z335">IF($C335="","",_xlfn.XLOOKUP($A335&amp;$B335&amp;$C335,服务!$A:$A&amp;服务!$B:$B&amp;服务!$C:$C,服务!$D:$D))</f>
        <v/>
      </c>
    </row>
    <row r="336" customHeight="1" spans="1:26">
      <c r="A336" s="23" t="str">
        <f>IF(盘货信息!A336="","",盘货信息!A336)</f>
        <v/>
      </c>
      <c r="B336" s="26" t="str">
        <f>IF(盘货信息!B336="","",盘货信息!B336)</f>
        <v/>
      </c>
      <c r="C336" s="23" t="str">
        <f>IF(盘货信息!C336="","",盘货信息!C336)</f>
        <v/>
      </c>
      <c r="D336" s="27" t="str">
        <f ca="1" t="shared" si="5"/>
        <v/>
      </c>
      <c r="E336" s="27" t="str">
        <f>IF(C336="","",固定信息!$B$2)</f>
        <v/>
      </c>
      <c r="F336" s="27" t="str">
        <f>IF(C336="","","【"&amp;C336&amp;"】"&amp;固定信息!$B$4)</f>
        <v/>
      </c>
      <c r="G336" s="27" t="str">
        <f>IF(C336="","","【"&amp;"活动时间："&amp;固定信息!$B$3&amp;"】")</f>
        <v/>
      </c>
      <c r="H336" s="27" t="str">
        <f>IF($C336="","",固定信息!$B$1)</f>
        <v/>
      </c>
      <c r="I336" s="27" t="str">
        <f>IF(OR(C336="",固定信息!$B$5=""),"","【1元预约锁好礼】"&amp;固定信息!$B$5)</f>
        <v/>
      </c>
      <c r="J336" s="27" t="str" cm="1">
        <f t="array" ref="J336">_xlfn.XLOOKUP($A336&amp;$B336&amp;$C336,价格信息!$A:$A&amp;价格信息!$B:$B&amp;价格信息!$C:$C,价格信息!$D:$D)</f>
        <v/>
      </c>
      <c r="K336" s="27" t="str">
        <f>IF($C336="","",固定信息!$B$1)</f>
        <v/>
      </c>
      <c r="L336" s="27" t="str" cm="1">
        <f t="array" ref="L336">IF(_xlfn.XLOOKUP($A336&amp;$B336&amp;$C336,盘货信息!$A:$A&amp;盘货信息!$B:$B&amp;盘货信息!$C:$C,盘货信息!$T:$T)="","","【优惠券】领"&amp;_xlfn.XLOOKUP($A336&amp;$B336&amp;$C336,盘货信息!$A:$A&amp;盘货信息!$B:$B&amp;盘货信息!$C:$C,盘货信息!$T:$T)&amp;"元优惠卷下单更优惠，领券链接："&amp;_xlfn.XLOOKUP($A336&amp;$B336&amp;$C336,盘货信息!$A:$A&amp;盘货信息!$B:$B&amp;盘货信息!$C:$C,盘货信息!$U:$U))</f>
        <v/>
      </c>
      <c r="M336" s="27" t="str" cm="1">
        <f t="array" ref="M336">IF(_xlfn.XLOOKUP($A336&amp;$B336&amp;$C336,盘货信息!$A:$A&amp;盘货信息!$B:$B&amp;盘货信息!$C:$C,盘货信息!$P:$P)="","","【限时】"&amp;_xlfn.XLOOKUP($A336&amp;$B336&amp;$C336,盘货信息!$A:$A&amp;盘货信息!$B:$B&amp;盘货信息!$C:$C,盘货信息!$P:$P))</f>
        <v/>
      </c>
      <c r="N336" s="27" t="str" cm="1">
        <f t="array" ref="N336">IF(_xlfn.XLOOKUP($A336&amp;$B336&amp;$C336,盘货信息!$A:$A&amp;盘货信息!$B:$B&amp;盘货信息!$C:$C,盘货信息!$V:$V)="","","【"&amp;盘货信息!$V$1&amp;"】"&amp;_xlfn.XLOOKUP($A336&amp;$B336&amp;$C336,盘货信息!$A:$A&amp;盘货信息!$B:$B&amp;盘货信息!$C:$C,盘货信息!$V:$V))</f>
        <v/>
      </c>
      <c r="O336" s="27" t="str" cm="1">
        <f t="array" ref="O336">IF(_xlfn.XLOOKUP($A336&amp;$B336&amp;$C336,盘货信息!$A:$A&amp;盘货信息!$B:$B&amp;盘货信息!$C:$C,盘货信息!$W:$W)="","","【"&amp;盘货信息!$W$1&amp;"】"&amp;_xlfn.XLOOKUP($A336&amp;$B336&amp;$C336,盘货信息!$A:$A&amp;盘货信息!$B:$B&amp;盘货信息!$C:$C,盘货信息!$W:$W))</f>
        <v/>
      </c>
      <c r="P336" s="27" t="str" cm="1">
        <f t="array" ref="P336">IF(_xlfn.XLOOKUP($A336&amp;$B336&amp;$C336,盘货信息!$A:$A&amp;盘货信息!$B:$B&amp;盘货信息!$C:$C,盘货信息!$S:$S)&lt;1,"","【"&amp;盘货信息!$S$1&amp;"】"&amp;"后返"&amp;_xlfn.XLOOKUP($A336&amp;$B336&amp;$C336,盘货信息!$A:$A&amp;盘货信息!$B:$B&amp;盘货信息!$C:$C,盘货信息!$S:$S)&amp;"元")</f>
        <v/>
      </c>
      <c r="Q336" s="27" t="str" cm="1">
        <f t="array" ref="Q336">IF(_xlfn.XLOOKUP($A336&amp;$B336&amp;$C336,盘货信息!$A:$A&amp;盘货信息!$B:$B&amp;盘货信息!$C:$C,盘货信息!$X:$X)="","","【"&amp;盘货信息!$X$1&amp;"】"&amp;_xlfn.XLOOKUP($A336&amp;$B336&amp;$C336,盘货信息!$A:$A&amp;盘货信息!$B:$B&amp;盘货信息!$C:$C,盘货信息!$X:$X))</f>
        <v/>
      </c>
      <c r="R336" s="27" t="str" cm="1">
        <f t="array" ref="R336">IF(_xlfn.XLOOKUP($A336&amp;$B336&amp;$C336,盘货信息!$A:$A&amp;盘货信息!$B:$B&amp;盘货信息!$C:$C,盘货信息!$Z:$Z)="","","【"&amp;盘货信息!$Z$1&amp;"】"&amp;_xlfn.XLOOKUP($A336&amp;$B336&amp;$C336,盘货信息!$A:$A&amp;盘货信息!$B:$B&amp;盘货信息!$C:$C,盘货信息!$Z:$Z))</f>
        <v/>
      </c>
      <c r="S336" s="27" t="str" cm="1">
        <f t="array" ref="S336">IF(_xlfn.XLOOKUP($A336&amp;$B336&amp;$C336,盘货信息!$A:$A&amp;盘货信息!$B:$B&amp;盘货信息!$C:$C,盘货信息!$Q:$Q)="","","【种草】站外带指定话题种草后返"&amp;_xlfn.XLOOKUP($A336&amp;$B336&amp;$C336,盘货信息!$A:$A&amp;盘货信息!$B:$B&amp;盘货信息!$C:$C,盘货信息!$Q:$Q)&amp;"元红包（每个淘宝账号仅限对应一个站外种草账号，同一个种草账号不可对应多个淘宝账号）")</f>
        <v/>
      </c>
      <c r="T336" s="27" t="str" cm="1">
        <f t="array" ref="T336">IF(_xlfn.XLOOKUP($A336&amp;$B336&amp;$C336,盘货信息!$A:$A&amp;盘货信息!$B:$B&amp;盘货信息!$C:$C,盘货信息!$R:$R)&lt;1,"","【以旧换新】"&amp;"享补贴"&amp;ROUND(_xlfn.XLOOKUP($A336&amp;$B336&amp;$C336,盘货信息!$A:$A&amp;盘货信息!$B:$B&amp;盘货信息!$C:$C,盘货信息!$R:$R),0)&amp;"元（可无旧机换新）")</f>
        <v/>
      </c>
      <c r="U336" s="27" t="str">
        <f>IF(AND($N336="",$O336="",$P336="",$Q336="",$R336="",$S336="",$T336=""),"",固定信息!$B$1)</f>
        <v/>
      </c>
      <c r="V336" s="27" t="str" cm="1">
        <f t="array" ref="V336">IF(_xlfn.XLOOKUP($A336&amp;$B336&amp;$C336,盘货信息!$A:$A&amp;盘货信息!$B:$B&amp;盘货信息!$C:$C,盘货信息!$Y:$Y)="","","【卡萨帝送赠】活动指定时间"&amp;_xlfn.TEXTBEFORE(_xlfn.TEXTAFTER(_xlfn.XLOOKUP($A336&amp;$B336&amp;$C336,盘货信息!$A:$A&amp;盘货信息!$B:$B&amp;盘货信息!$C:$C,盘货信息!$Y:$Y),"点"),"（"))</f>
        <v/>
      </c>
      <c r="W336" s="27" t="str" cm="1">
        <f t="array" ref="W336">IF(COUNTIF(_xlfn.XLOOKUP($A336&amp;$B336&amp;$C336,盘货信息!$A:$A&amp;盘货信息!$B:$B&amp;盘货信息!$C:$C,盘货信息!$O:$O),"*是*"),"【折扣】指定型号满2类享96折，满3类享94折","")</f>
        <v/>
      </c>
      <c r="X336" s="27" t="str" cm="1">
        <f t="array" ref="X336">IF(固定信息!$B$7="","",IF(_xlfn.XLOOKUP($A336&amp;$B336&amp;$C336,盘货信息!$A:$A&amp;盘货信息!$B:$B&amp;盘货信息!$C:$C,盘货信息!$N:$N)="是","【瓜分】"&amp;固定信息!$B$7,""))</f>
        <v/>
      </c>
      <c r="Y336" s="27" t="str">
        <f>IF(AND($V336="",$W336="",$X336=""),"",固定信息!$B$1)</f>
        <v/>
      </c>
      <c r="Z336" s="27" t="str" cm="1">
        <f t="array" ref="Z336">IF($C336="","",_xlfn.XLOOKUP($A336&amp;$B336&amp;$C336,服务!$A:$A&amp;服务!$B:$B&amp;服务!$C:$C,服务!$D:$D))</f>
        <v/>
      </c>
    </row>
    <row r="337" customHeight="1" spans="1:26">
      <c r="A337" s="23" t="str">
        <f>IF(盘货信息!A337="","",盘货信息!A337)</f>
        <v/>
      </c>
      <c r="B337" s="26" t="str">
        <f>IF(盘货信息!B337="","",盘货信息!B337)</f>
        <v/>
      </c>
      <c r="C337" s="23" t="str">
        <f>IF(盘货信息!C337="","",盘货信息!C337)</f>
        <v/>
      </c>
      <c r="D337" s="27" t="str">
        <f ca="1" t="shared" si="5"/>
        <v/>
      </c>
      <c r="E337" s="27" t="str">
        <f>IF(C337="","",固定信息!$B$2)</f>
        <v/>
      </c>
      <c r="F337" s="27" t="str">
        <f>IF(C337="","","【"&amp;C337&amp;"】"&amp;固定信息!$B$4)</f>
        <v/>
      </c>
      <c r="G337" s="27" t="str">
        <f>IF(C337="","","【"&amp;"活动时间："&amp;固定信息!$B$3&amp;"】")</f>
        <v/>
      </c>
      <c r="H337" s="27" t="str">
        <f>IF($C337="","",固定信息!$B$1)</f>
        <v/>
      </c>
      <c r="I337" s="27" t="str">
        <f>IF(OR(C337="",固定信息!$B$5=""),"","【1元预约锁好礼】"&amp;固定信息!$B$5)</f>
        <v/>
      </c>
      <c r="J337" s="27" t="str" cm="1">
        <f t="array" ref="J337">_xlfn.XLOOKUP($A337&amp;$B337&amp;$C337,价格信息!$A:$A&amp;价格信息!$B:$B&amp;价格信息!$C:$C,价格信息!$D:$D)</f>
        <v/>
      </c>
      <c r="K337" s="27" t="str">
        <f>IF($C337="","",固定信息!$B$1)</f>
        <v/>
      </c>
      <c r="L337" s="27" t="str" cm="1">
        <f t="array" ref="L337">IF(_xlfn.XLOOKUP($A337&amp;$B337&amp;$C337,盘货信息!$A:$A&amp;盘货信息!$B:$B&amp;盘货信息!$C:$C,盘货信息!$T:$T)="","","【优惠券】领"&amp;_xlfn.XLOOKUP($A337&amp;$B337&amp;$C337,盘货信息!$A:$A&amp;盘货信息!$B:$B&amp;盘货信息!$C:$C,盘货信息!$T:$T)&amp;"元优惠卷下单更优惠，领券链接："&amp;_xlfn.XLOOKUP($A337&amp;$B337&amp;$C337,盘货信息!$A:$A&amp;盘货信息!$B:$B&amp;盘货信息!$C:$C,盘货信息!$U:$U))</f>
        <v/>
      </c>
      <c r="M337" s="27" t="str" cm="1">
        <f t="array" ref="M337">IF(_xlfn.XLOOKUP($A337&amp;$B337&amp;$C337,盘货信息!$A:$A&amp;盘货信息!$B:$B&amp;盘货信息!$C:$C,盘货信息!$P:$P)="","","【限时】"&amp;_xlfn.XLOOKUP($A337&amp;$B337&amp;$C337,盘货信息!$A:$A&amp;盘货信息!$B:$B&amp;盘货信息!$C:$C,盘货信息!$P:$P))</f>
        <v/>
      </c>
      <c r="N337" s="27" t="str" cm="1">
        <f t="array" ref="N337">IF(_xlfn.XLOOKUP($A337&amp;$B337&amp;$C337,盘货信息!$A:$A&amp;盘货信息!$B:$B&amp;盘货信息!$C:$C,盘货信息!$V:$V)="","","【"&amp;盘货信息!$V$1&amp;"】"&amp;_xlfn.XLOOKUP($A337&amp;$B337&amp;$C337,盘货信息!$A:$A&amp;盘货信息!$B:$B&amp;盘货信息!$C:$C,盘货信息!$V:$V))</f>
        <v/>
      </c>
      <c r="O337" s="27" t="str" cm="1">
        <f t="array" ref="O337">IF(_xlfn.XLOOKUP($A337&amp;$B337&amp;$C337,盘货信息!$A:$A&amp;盘货信息!$B:$B&amp;盘货信息!$C:$C,盘货信息!$W:$W)="","","【"&amp;盘货信息!$W$1&amp;"】"&amp;_xlfn.XLOOKUP($A337&amp;$B337&amp;$C337,盘货信息!$A:$A&amp;盘货信息!$B:$B&amp;盘货信息!$C:$C,盘货信息!$W:$W))</f>
        <v/>
      </c>
      <c r="P337" s="27" t="str" cm="1">
        <f t="array" ref="P337">IF(_xlfn.XLOOKUP($A337&amp;$B337&amp;$C337,盘货信息!$A:$A&amp;盘货信息!$B:$B&amp;盘货信息!$C:$C,盘货信息!$S:$S)&lt;1,"","【"&amp;盘货信息!$S$1&amp;"】"&amp;"后返"&amp;_xlfn.XLOOKUP($A337&amp;$B337&amp;$C337,盘货信息!$A:$A&amp;盘货信息!$B:$B&amp;盘货信息!$C:$C,盘货信息!$S:$S)&amp;"元")</f>
        <v/>
      </c>
      <c r="Q337" s="27" t="str" cm="1">
        <f t="array" ref="Q337">IF(_xlfn.XLOOKUP($A337&amp;$B337&amp;$C337,盘货信息!$A:$A&amp;盘货信息!$B:$B&amp;盘货信息!$C:$C,盘货信息!$X:$X)="","","【"&amp;盘货信息!$X$1&amp;"】"&amp;_xlfn.XLOOKUP($A337&amp;$B337&amp;$C337,盘货信息!$A:$A&amp;盘货信息!$B:$B&amp;盘货信息!$C:$C,盘货信息!$X:$X))</f>
        <v/>
      </c>
      <c r="R337" s="27" t="str" cm="1">
        <f t="array" ref="R337">IF(_xlfn.XLOOKUP($A337&amp;$B337&amp;$C337,盘货信息!$A:$A&amp;盘货信息!$B:$B&amp;盘货信息!$C:$C,盘货信息!$Z:$Z)="","","【"&amp;盘货信息!$Z$1&amp;"】"&amp;_xlfn.XLOOKUP($A337&amp;$B337&amp;$C337,盘货信息!$A:$A&amp;盘货信息!$B:$B&amp;盘货信息!$C:$C,盘货信息!$Z:$Z))</f>
        <v/>
      </c>
      <c r="S337" s="27" t="str" cm="1">
        <f t="array" ref="S337">IF(_xlfn.XLOOKUP($A337&amp;$B337&amp;$C337,盘货信息!$A:$A&amp;盘货信息!$B:$B&amp;盘货信息!$C:$C,盘货信息!$Q:$Q)="","","【种草】站外带指定话题种草后返"&amp;_xlfn.XLOOKUP($A337&amp;$B337&amp;$C337,盘货信息!$A:$A&amp;盘货信息!$B:$B&amp;盘货信息!$C:$C,盘货信息!$Q:$Q)&amp;"元红包（每个淘宝账号仅限对应一个站外种草账号，同一个种草账号不可对应多个淘宝账号）")</f>
        <v/>
      </c>
      <c r="T337" s="27" t="str" cm="1">
        <f t="array" ref="T337">IF(_xlfn.XLOOKUP($A337&amp;$B337&amp;$C337,盘货信息!$A:$A&amp;盘货信息!$B:$B&amp;盘货信息!$C:$C,盘货信息!$R:$R)&lt;1,"","【以旧换新】"&amp;"享补贴"&amp;ROUND(_xlfn.XLOOKUP($A337&amp;$B337&amp;$C337,盘货信息!$A:$A&amp;盘货信息!$B:$B&amp;盘货信息!$C:$C,盘货信息!$R:$R),0)&amp;"元（可无旧机换新）")</f>
        <v/>
      </c>
      <c r="U337" s="27" t="str">
        <f>IF(AND($N337="",$O337="",$P337="",$Q337="",$R337="",$S337="",$T337=""),"",固定信息!$B$1)</f>
        <v/>
      </c>
      <c r="V337" s="27" t="str" cm="1">
        <f t="array" ref="V337">IF(_xlfn.XLOOKUP($A337&amp;$B337&amp;$C337,盘货信息!$A:$A&amp;盘货信息!$B:$B&amp;盘货信息!$C:$C,盘货信息!$Y:$Y)="","","【卡萨帝送赠】活动指定时间"&amp;_xlfn.TEXTBEFORE(_xlfn.TEXTAFTER(_xlfn.XLOOKUP($A337&amp;$B337&amp;$C337,盘货信息!$A:$A&amp;盘货信息!$B:$B&amp;盘货信息!$C:$C,盘货信息!$Y:$Y),"点"),"（"))</f>
        <v/>
      </c>
      <c r="W337" s="27" t="str" cm="1">
        <f t="array" ref="W337">IF(COUNTIF(_xlfn.XLOOKUP($A337&amp;$B337&amp;$C337,盘货信息!$A:$A&amp;盘货信息!$B:$B&amp;盘货信息!$C:$C,盘货信息!$O:$O),"*是*"),"【折扣】指定型号满2类享96折，满3类享94折","")</f>
        <v/>
      </c>
      <c r="X337" s="27" t="str" cm="1">
        <f t="array" ref="X337">IF(固定信息!$B$7="","",IF(_xlfn.XLOOKUP($A337&amp;$B337&amp;$C337,盘货信息!$A:$A&amp;盘货信息!$B:$B&amp;盘货信息!$C:$C,盘货信息!$N:$N)="是","【瓜分】"&amp;固定信息!$B$7,""))</f>
        <v/>
      </c>
      <c r="Y337" s="27" t="str">
        <f>IF(AND($V337="",$W337="",$X337=""),"",固定信息!$B$1)</f>
        <v/>
      </c>
      <c r="Z337" s="27" t="str" cm="1">
        <f t="array" ref="Z337">IF($C337="","",_xlfn.XLOOKUP($A337&amp;$B337&amp;$C337,服务!$A:$A&amp;服务!$B:$B&amp;服务!$C:$C,服务!$D:$D))</f>
        <v/>
      </c>
    </row>
    <row r="338" customHeight="1" spans="1:26">
      <c r="A338" s="23" t="str">
        <f>IF(盘货信息!A338="","",盘货信息!A338)</f>
        <v/>
      </c>
      <c r="B338" s="26" t="str">
        <f>IF(盘货信息!B338="","",盘货信息!B338)</f>
        <v/>
      </c>
      <c r="C338" s="23" t="str">
        <f>IF(盘货信息!C338="","",盘货信息!C338)</f>
        <v/>
      </c>
      <c r="D338" s="27" t="str">
        <f ca="1" t="shared" si="5"/>
        <v/>
      </c>
      <c r="E338" s="27" t="str">
        <f>IF(C338="","",固定信息!$B$2)</f>
        <v/>
      </c>
      <c r="F338" s="27" t="str">
        <f>IF(C338="","","【"&amp;C338&amp;"】"&amp;固定信息!$B$4)</f>
        <v/>
      </c>
      <c r="G338" s="27" t="str">
        <f>IF(C338="","","【"&amp;"活动时间："&amp;固定信息!$B$3&amp;"】")</f>
        <v/>
      </c>
      <c r="H338" s="27" t="str">
        <f>IF($C338="","",固定信息!$B$1)</f>
        <v/>
      </c>
      <c r="I338" s="27" t="str">
        <f>IF(OR(C338="",固定信息!$B$5=""),"","【1元预约锁好礼】"&amp;固定信息!$B$5)</f>
        <v/>
      </c>
      <c r="J338" s="27" t="str" cm="1">
        <f t="array" ref="J338">_xlfn.XLOOKUP($A338&amp;$B338&amp;$C338,价格信息!$A:$A&amp;价格信息!$B:$B&amp;价格信息!$C:$C,价格信息!$D:$D)</f>
        <v/>
      </c>
      <c r="K338" s="27" t="str">
        <f>IF($C338="","",固定信息!$B$1)</f>
        <v/>
      </c>
      <c r="L338" s="27" t="str" cm="1">
        <f t="array" ref="L338">IF(_xlfn.XLOOKUP($A338&amp;$B338&amp;$C338,盘货信息!$A:$A&amp;盘货信息!$B:$B&amp;盘货信息!$C:$C,盘货信息!$T:$T)="","","【优惠券】领"&amp;_xlfn.XLOOKUP($A338&amp;$B338&amp;$C338,盘货信息!$A:$A&amp;盘货信息!$B:$B&amp;盘货信息!$C:$C,盘货信息!$T:$T)&amp;"元优惠卷下单更优惠，领券链接："&amp;_xlfn.XLOOKUP($A338&amp;$B338&amp;$C338,盘货信息!$A:$A&amp;盘货信息!$B:$B&amp;盘货信息!$C:$C,盘货信息!$U:$U))</f>
        <v/>
      </c>
      <c r="M338" s="27" t="str" cm="1">
        <f t="array" ref="M338">IF(_xlfn.XLOOKUP($A338&amp;$B338&amp;$C338,盘货信息!$A:$A&amp;盘货信息!$B:$B&amp;盘货信息!$C:$C,盘货信息!$P:$P)="","","【限时】"&amp;_xlfn.XLOOKUP($A338&amp;$B338&amp;$C338,盘货信息!$A:$A&amp;盘货信息!$B:$B&amp;盘货信息!$C:$C,盘货信息!$P:$P))</f>
        <v/>
      </c>
      <c r="N338" s="27" t="str" cm="1">
        <f t="array" ref="N338">IF(_xlfn.XLOOKUP($A338&amp;$B338&amp;$C338,盘货信息!$A:$A&amp;盘货信息!$B:$B&amp;盘货信息!$C:$C,盘货信息!$V:$V)="","","【"&amp;盘货信息!$V$1&amp;"】"&amp;_xlfn.XLOOKUP($A338&amp;$B338&amp;$C338,盘货信息!$A:$A&amp;盘货信息!$B:$B&amp;盘货信息!$C:$C,盘货信息!$V:$V))</f>
        <v/>
      </c>
      <c r="O338" s="27" t="str" cm="1">
        <f t="array" ref="O338">IF(_xlfn.XLOOKUP($A338&amp;$B338&amp;$C338,盘货信息!$A:$A&amp;盘货信息!$B:$B&amp;盘货信息!$C:$C,盘货信息!$W:$W)="","","【"&amp;盘货信息!$W$1&amp;"】"&amp;_xlfn.XLOOKUP($A338&amp;$B338&amp;$C338,盘货信息!$A:$A&amp;盘货信息!$B:$B&amp;盘货信息!$C:$C,盘货信息!$W:$W))</f>
        <v/>
      </c>
      <c r="P338" s="27" t="str" cm="1">
        <f t="array" ref="P338">IF(_xlfn.XLOOKUP($A338&amp;$B338&amp;$C338,盘货信息!$A:$A&amp;盘货信息!$B:$B&amp;盘货信息!$C:$C,盘货信息!$S:$S)&lt;1,"","【"&amp;盘货信息!$S$1&amp;"】"&amp;"后返"&amp;_xlfn.XLOOKUP($A338&amp;$B338&amp;$C338,盘货信息!$A:$A&amp;盘货信息!$B:$B&amp;盘货信息!$C:$C,盘货信息!$S:$S)&amp;"元")</f>
        <v/>
      </c>
      <c r="Q338" s="27" t="str" cm="1">
        <f t="array" ref="Q338">IF(_xlfn.XLOOKUP($A338&amp;$B338&amp;$C338,盘货信息!$A:$A&amp;盘货信息!$B:$B&amp;盘货信息!$C:$C,盘货信息!$X:$X)="","","【"&amp;盘货信息!$X$1&amp;"】"&amp;_xlfn.XLOOKUP($A338&amp;$B338&amp;$C338,盘货信息!$A:$A&amp;盘货信息!$B:$B&amp;盘货信息!$C:$C,盘货信息!$X:$X))</f>
        <v/>
      </c>
      <c r="R338" s="27" t="str" cm="1">
        <f t="array" ref="R338">IF(_xlfn.XLOOKUP($A338&amp;$B338&amp;$C338,盘货信息!$A:$A&amp;盘货信息!$B:$B&amp;盘货信息!$C:$C,盘货信息!$Z:$Z)="","","【"&amp;盘货信息!$Z$1&amp;"】"&amp;_xlfn.XLOOKUP($A338&amp;$B338&amp;$C338,盘货信息!$A:$A&amp;盘货信息!$B:$B&amp;盘货信息!$C:$C,盘货信息!$Z:$Z))</f>
        <v/>
      </c>
      <c r="S338" s="27" t="str" cm="1">
        <f t="array" ref="S338">IF(_xlfn.XLOOKUP($A338&amp;$B338&amp;$C338,盘货信息!$A:$A&amp;盘货信息!$B:$B&amp;盘货信息!$C:$C,盘货信息!$Q:$Q)="","","【种草】站外带指定话题种草后返"&amp;_xlfn.XLOOKUP($A338&amp;$B338&amp;$C338,盘货信息!$A:$A&amp;盘货信息!$B:$B&amp;盘货信息!$C:$C,盘货信息!$Q:$Q)&amp;"元红包（每个淘宝账号仅限对应一个站外种草账号，同一个种草账号不可对应多个淘宝账号）")</f>
        <v/>
      </c>
      <c r="T338" s="27" t="str" cm="1">
        <f t="array" ref="T338">IF(_xlfn.XLOOKUP($A338&amp;$B338&amp;$C338,盘货信息!$A:$A&amp;盘货信息!$B:$B&amp;盘货信息!$C:$C,盘货信息!$R:$R)&lt;1,"","【以旧换新】"&amp;"享补贴"&amp;ROUND(_xlfn.XLOOKUP($A338&amp;$B338&amp;$C338,盘货信息!$A:$A&amp;盘货信息!$B:$B&amp;盘货信息!$C:$C,盘货信息!$R:$R),0)&amp;"元（可无旧机换新）")</f>
        <v/>
      </c>
      <c r="U338" s="27" t="str">
        <f>IF(AND($N338="",$O338="",$P338="",$Q338="",$R338="",$S338="",$T338=""),"",固定信息!$B$1)</f>
        <v/>
      </c>
      <c r="V338" s="27" t="str" cm="1">
        <f t="array" ref="V338">IF(_xlfn.XLOOKUP($A338&amp;$B338&amp;$C338,盘货信息!$A:$A&amp;盘货信息!$B:$B&amp;盘货信息!$C:$C,盘货信息!$Y:$Y)="","","【卡萨帝送赠】活动指定时间"&amp;_xlfn.TEXTBEFORE(_xlfn.TEXTAFTER(_xlfn.XLOOKUP($A338&amp;$B338&amp;$C338,盘货信息!$A:$A&amp;盘货信息!$B:$B&amp;盘货信息!$C:$C,盘货信息!$Y:$Y),"点"),"（"))</f>
        <v/>
      </c>
      <c r="W338" s="27" t="str" cm="1">
        <f t="array" ref="W338">IF(COUNTIF(_xlfn.XLOOKUP($A338&amp;$B338&amp;$C338,盘货信息!$A:$A&amp;盘货信息!$B:$B&amp;盘货信息!$C:$C,盘货信息!$O:$O),"*是*"),"【折扣】指定型号满2类享96折，满3类享94折","")</f>
        <v/>
      </c>
      <c r="X338" s="27" t="str" cm="1">
        <f t="array" ref="X338">IF(固定信息!$B$7="","",IF(_xlfn.XLOOKUP($A338&amp;$B338&amp;$C338,盘货信息!$A:$A&amp;盘货信息!$B:$B&amp;盘货信息!$C:$C,盘货信息!$N:$N)="是","【瓜分】"&amp;固定信息!$B$7,""))</f>
        <v/>
      </c>
      <c r="Y338" s="27" t="str">
        <f>IF(AND($V338="",$W338="",$X338=""),"",固定信息!$B$1)</f>
        <v/>
      </c>
      <c r="Z338" s="27" t="str" cm="1">
        <f t="array" ref="Z338">IF($C338="","",_xlfn.XLOOKUP($A338&amp;$B338&amp;$C338,服务!$A:$A&amp;服务!$B:$B&amp;服务!$C:$C,服务!$D:$D))</f>
        <v/>
      </c>
    </row>
    <row r="339" customHeight="1" spans="1:26">
      <c r="A339" s="23" t="str">
        <f>IF(盘货信息!A339="","",盘货信息!A339)</f>
        <v/>
      </c>
      <c r="B339" s="26" t="str">
        <f>IF(盘货信息!B339="","",盘货信息!B339)</f>
        <v/>
      </c>
      <c r="C339" s="23" t="str">
        <f>IF(盘货信息!C339="","",盘货信息!C339)</f>
        <v/>
      </c>
      <c r="D339" s="27" t="str">
        <f ca="1" t="shared" si="5"/>
        <v/>
      </c>
      <c r="E339" s="27" t="str">
        <f>IF(C339="","",固定信息!$B$2)</f>
        <v/>
      </c>
      <c r="F339" s="27" t="str">
        <f>IF(C339="","","【"&amp;C339&amp;"】"&amp;固定信息!$B$4)</f>
        <v/>
      </c>
      <c r="G339" s="27" t="str">
        <f>IF(C339="","","【"&amp;"活动时间："&amp;固定信息!$B$3&amp;"】")</f>
        <v/>
      </c>
      <c r="H339" s="27" t="str">
        <f>IF($C339="","",固定信息!$B$1)</f>
        <v/>
      </c>
      <c r="I339" s="27" t="str">
        <f>IF(OR(C339="",固定信息!$B$5=""),"","【1元预约锁好礼】"&amp;固定信息!$B$5)</f>
        <v/>
      </c>
      <c r="J339" s="27" t="str" cm="1">
        <f t="array" ref="J339">_xlfn.XLOOKUP($A339&amp;$B339&amp;$C339,价格信息!$A:$A&amp;价格信息!$B:$B&amp;价格信息!$C:$C,价格信息!$D:$D)</f>
        <v/>
      </c>
      <c r="K339" s="27" t="str">
        <f>IF($C339="","",固定信息!$B$1)</f>
        <v/>
      </c>
      <c r="L339" s="27" t="str" cm="1">
        <f t="array" ref="L339">IF(_xlfn.XLOOKUP($A339&amp;$B339&amp;$C339,盘货信息!$A:$A&amp;盘货信息!$B:$B&amp;盘货信息!$C:$C,盘货信息!$T:$T)="","","【优惠券】领"&amp;_xlfn.XLOOKUP($A339&amp;$B339&amp;$C339,盘货信息!$A:$A&amp;盘货信息!$B:$B&amp;盘货信息!$C:$C,盘货信息!$T:$T)&amp;"元优惠卷下单更优惠，领券链接："&amp;_xlfn.XLOOKUP($A339&amp;$B339&amp;$C339,盘货信息!$A:$A&amp;盘货信息!$B:$B&amp;盘货信息!$C:$C,盘货信息!$U:$U))</f>
        <v/>
      </c>
      <c r="M339" s="27" t="str" cm="1">
        <f t="array" ref="M339">IF(_xlfn.XLOOKUP($A339&amp;$B339&amp;$C339,盘货信息!$A:$A&amp;盘货信息!$B:$B&amp;盘货信息!$C:$C,盘货信息!$P:$P)="","","【限时】"&amp;_xlfn.XLOOKUP($A339&amp;$B339&amp;$C339,盘货信息!$A:$A&amp;盘货信息!$B:$B&amp;盘货信息!$C:$C,盘货信息!$P:$P))</f>
        <v/>
      </c>
      <c r="N339" s="27" t="str" cm="1">
        <f t="array" ref="N339">IF(_xlfn.XLOOKUP($A339&amp;$B339&amp;$C339,盘货信息!$A:$A&amp;盘货信息!$B:$B&amp;盘货信息!$C:$C,盘货信息!$V:$V)="","","【"&amp;盘货信息!$V$1&amp;"】"&amp;_xlfn.XLOOKUP($A339&amp;$B339&amp;$C339,盘货信息!$A:$A&amp;盘货信息!$B:$B&amp;盘货信息!$C:$C,盘货信息!$V:$V))</f>
        <v/>
      </c>
      <c r="O339" s="27" t="str" cm="1">
        <f t="array" ref="O339">IF(_xlfn.XLOOKUP($A339&amp;$B339&amp;$C339,盘货信息!$A:$A&amp;盘货信息!$B:$B&amp;盘货信息!$C:$C,盘货信息!$W:$W)="","","【"&amp;盘货信息!$W$1&amp;"】"&amp;_xlfn.XLOOKUP($A339&amp;$B339&amp;$C339,盘货信息!$A:$A&amp;盘货信息!$B:$B&amp;盘货信息!$C:$C,盘货信息!$W:$W))</f>
        <v/>
      </c>
      <c r="P339" s="27" t="str" cm="1">
        <f t="array" ref="P339">IF(_xlfn.XLOOKUP($A339&amp;$B339&amp;$C339,盘货信息!$A:$A&amp;盘货信息!$B:$B&amp;盘货信息!$C:$C,盘货信息!$S:$S)&lt;1,"","【"&amp;盘货信息!$S$1&amp;"】"&amp;"后返"&amp;_xlfn.XLOOKUP($A339&amp;$B339&amp;$C339,盘货信息!$A:$A&amp;盘货信息!$B:$B&amp;盘货信息!$C:$C,盘货信息!$S:$S)&amp;"元")</f>
        <v/>
      </c>
      <c r="Q339" s="27" t="str" cm="1">
        <f t="array" ref="Q339">IF(_xlfn.XLOOKUP($A339&amp;$B339&amp;$C339,盘货信息!$A:$A&amp;盘货信息!$B:$B&amp;盘货信息!$C:$C,盘货信息!$X:$X)="","","【"&amp;盘货信息!$X$1&amp;"】"&amp;_xlfn.XLOOKUP($A339&amp;$B339&amp;$C339,盘货信息!$A:$A&amp;盘货信息!$B:$B&amp;盘货信息!$C:$C,盘货信息!$X:$X))</f>
        <v/>
      </c>
      <c r="R339" s="27" t="str" cm="1">
        <f t="array" ref="R339">IF(_xlfn.XLOOKUP($A339&amp;$B339&amp;$C339,盘货信息!$A:$A&amp;盘货信息!$B:$B&amp;盘货信息!$C:$C,盘货信息!$Z:$Z)="","","【"&amp;盘货信息!$Z$1&amp;"】"&amp;_xlfn.XLOOKUP($A339&amp;$B339&amp;$C339,盘货信息!$A:$A&amp;盘货信息!$B:$B&amp;盘货信息!$C:$C,盘货信息!$Z:$Z))</f>
        <v/>
      </c>
      <c r="S339" s="27" t="str" cm="1">
        <f t="array" ref="S339">IF(_xlfn.XLOOKUP($A339&amp;$B339&amp;$C339,盘货信息!$A:$A&amp;盘货信息!$B:$B&amp;盘货信息!$C:$C,盘货信息!$Q:$Q)="","","【种草】站外带指定话题种草后返"&amp;_xlfn.XLOOKUP($A339&amp;$B339&amp;$C339,盘货信息!$A:$A&amp;盘货信息!$B:$B&amp;盘货信息!$C:$C,盘货信息!$Q:$Q)&amp;"元红包（每个淘宝账号仅限对应一个站外种草账号，同一个种草账号不可对应多个淘宝账号）")</f>
        <v/>
      </c>
      <c r="T339" s="27" t="str" cm="1">
        <f t="array" ref="T339">IF(_xlfn.XLOOKUP($A339&amp;$B339&amp;$C339,盘货信息!$A:$A&amp;盘货信息!$B:$B&amp;盘货信息!$C:$C,盘货信息!$R:$R)&lt;1,"","【以旧换新】"&amp;"享补贴"&amp;ROUND(_xlfn.XLOOKUP($A339&amp;$B339&amp;$C339,盘货信息!$A:$A&amp;盘货信息!$B:$B&amp;盘货信息!$C:$C,盘货信息!$R:$R),0)&amp;"元（可无旧机换新）")</f>
        <v/>
      </c>
      <c r="U339" s="27" t="str">
        <f>IF(AND($N339="",$O339="",$P339="",$Q339="",$R339="",$S339="",$T339=""),"",固定信息!$B$1)</f>
        <v/>
      </c>
      <c r="V339" s="27" t="str" cm="1">
        <f t="array" ref="V339">IF(_xlfn.XLOOKUP($A339&amp;$B339&amp;$C339,盘货信息!$A:$A&amp;盘货信息!$B:$B&amp;盘货信息!$C:$C,盘货信息!$Y:$Y)="","","【卡萨帝送赠】活动指定时间"&amp;_xlfn.TEXTBEFORE(_xlfn.TEXTAFTER(_xlfn.XLOOKUP($A339&amp;$B339&amp;$C339,盘货信息!$A:$A&amp;盘货信息!$B:$B&amp;盘货信息!$C:$C,盘货信息!$Y:$Y),"点"),"（"))</f>
        <v/>
      </c>
      <c r="W339" s="27" t="str" cm="1">
        <f t="array" ref="W339">IF(COUNTIF(_xlfn.XLOOKUP($A339&amp;$B339&amp;$C339,盘货信息!$A:$A&amp;盘货信息!$B:$B&amp;盘货信息!$C:$C,盘货信息!$O:$O),"*是*"),"【折扣】指定型号满2类享96折，满3类享94折","")</f>
        <v/>
      </c>
      <c r="X339" s="27" t="str" cm="1">
        <f t="array" ref="X339">IF(固定信息!$B$7="","",IF(_xlfn.XLOOKUP($A339&amp;$B339&amp;$C339,盘货信息!$A:$A&amp;盘货信息!$B:$B&amp;盘货信息!$C:$C,盘货信息!$N:$N)="是","【瓜分】"&amp;固定信息!$B$7,""))</f>
        <v/>
      </c>
      <c r="Y339" s="27" t="str">
        <f>IF(AND($V339="",$W339="",$X339=""),"",固定信息!$B$1)</f>
        <v/>
      </c>
      <c r="Z339" s="27" t="str" cm="1">
        <f t="array" ref="Z339">IF($C339="","",_xlfn.XLOOKUP($A339&amp;$B339&amp;$C339,服务!$A:$A&amp;服务!$B:$B&amp;服务!$C:$C,服务!$D:$D))</f>
        <v/>
      </c>
    </row>
    <row r="340" customHeight="1" spans="1:26">
      <c r="A340" s="23" t="str">
        <f>IF(盘货信息!A340="","",盘货信息!A340)</f>
        <v/>
      </c>
      <c r="B340" s="26" t="str">
        <f>IF(盘货信息!B340="","",盘货信息!B340)</f>
        <v/>
      </c>
      <c r="C340" s="23" t="str">
        <f>IF(盘货信息!C340="","",盘货信息!C340)</f>
        <v/>
      </c>
      <c r="D340" s="27" t="str">
        <f ca="1" t="shared" si="5"/>
        <v/>
      </c>
      <c r="E340" s="27" t="str">
        <f>IF(C340="","",固定信息!$B$2)</f>
        <v/>
      </c>
      <c r="F340" s="27" t="str">
        <f>IF(C340="","","【"&amp;C340&amp;"】"&amp;固定信息!$B$4)</f>
        <v/>
      </c>
      <c r="G340" s="27" t="str">
        <f>IF(C340="","","【"&amp;"活动时间："&amp;固定信息!$B$3&amp;"】")</f>
        <v/>
      </c>
      <c r="H340" s="27" t="str">
        <f>IF($C340="","",固定信息!$B$1)</f>
        <v/>
      </c>
      <c r="I340" s="27" t="str">
        <f>IF(OR(C340="",固定信息!$B$5=""),"","【1元预约锁好礼】"&amp;固定信息!$B$5)</f>
        <v/>
      </c>
      <c r="J340" s="27" t="str" cm="1">
        <f t="array" ref="J340">_xlfn.XLOOKUP($A340&amp;$B340&amp;$C340,价格信息!$A:$A&amp;价格信息!$B:$B&amp;价格信息!$C:$C,价格信息!$D:$D)</f>
        <v/>
      </c>
      <c r="K340" s="27" t="str">
        <f>IF($C340="","",固定信息!$B$1)</f>
        <v/>
      </c>
      <c r="L340" s="27" t="str" cm="1">
        <f t="array" ref="L340">IF(_xlfn.XLOOKUP($A340&amp;$B340&amp;$C340,盘货信息!$A:$A&amp;盘货信息!$B:$B&amp;盘货信息!$C:$C,盘货信息!$T:$T)="","","【优惠券】领"&amp;_xlfn.XLOOKUP($A340&amp;$B340&amp;$C340,盘货信息!$A:$A&amp;盘货信息!$B:$B&amp;盘货信息!$C:$C,盘货信息!$T:$T)&amp;"元优惠卷下单更优惠，领券链接："&amp;_xlfn.XLOOKUP($A340&amp;$B340&amp;$C340,盘货信息!$A:$A&amp;盘货信息!$B:$B&amp;盘货信息!$C:$C,盘货信息!$U:$U))</f>
        <v/>
      </c>
      <c r="M340" s="27" t="str" cm="1">
        <f t="array" ref="M340">IF(_xlfn.XLOOKUP($A340&amp;$B340&amp;$C340,盘货信息!$A:$A&amp;盘货信息!$B:$B&amp;盘货信息!$C:$C,盘货信息!$P:$P)="","","【限时】"&amp;_xlfn.XLOOKUP($A340&amp;$B340&amp;$C340,盘货信息!$A:$A&amp;盘货信息!$B:$B&amp;盘货信息!$C:$C,盘货信息!$P:$P))</f>
        <v/>
      </c>
      <c r="N340" s="27" t="str" cm="1">
        <f t="array" ref="N340">IF(_xlfn.XLOOKUP($A340&amp;$B340&amp;$C340,盘货信息!$A:$A&amp;盘货信息!$B:$B&amp;盘货信息!$C:$C,盘货信息!$V:$V)="","","【"&amp;盘货信息!$V$1&amp;"】"&amp;_xlfn.XLOOKUP($A340&amp;$B340&amp;$C340,盘货信息!$A:$A&amp;盘货信息!$B:$B&amp;盘货信息!$C:$C,盘货信息!$V:$V))</f>
        <v/>
      </c>
      <c r="O340" s="27" t="str" cm="1">
        <f t="array" ref="O340">IF(_xlfn.XLOOKUP($A340&amp;$B340&amp;$C340,盘货信息!$A:$A&amp;盘货信息!$B:$B&amp;盘货信息!$C:$C,盘货信息!$W:$W)="","","【"&amp;盘货信息!$W$1&amp;"】"&amp;_xlfn.XLOOKUP($A340&amp;$B340&amp;$C340,盘货信息!$A:$A&amp;盘货信息!$B:$B&amp;盘货信息!$C:$C,盘货信息!$W:$W))</f>
        <v/>
      </c>
      <c r="P340" s="27" t="str" cm="1">
        <f t="array" ref="P340">IF(_xlfn.XLOOKUP($A340&amp;$B340&amp;$C340,盘货信息!$A:$A&amp;盘货信息!$B:$B&amp;盘货信息!$C:$C,盘货信息!$S:$S)&lt;1,"","【"&amp;盘货信息!$S$1&amp;"】"&amp;"后返"&amp;_xlfn.XLOOKUP($A340&amp;$B340&amp;$C340,盘货信息!$A:$A&amp;盘货信息!$B:$B&amp;盘货信息!$C:$C,盘货信息!$S:$S)&amp;"元")</f>
        <v/>
      </c>
      <c r="Q340" s="27" t="str" cm="1">
        <f t="array" ref="Q340">IF(_xlfn.XLOOKUP($A340&amp;$B340&amp;$C340,盘货信息!$A:$A&amp;盘货信息!$B:$B&amp;盘货信息!$C:$C,盘货信息!$X:$X)="","","【"&amp;盘货信息!$X$1&amp;"】"&amp;_xlfn.XLOOKUP($A340&amp;$B340&amp;$C340,盘货信息!$A:$A&amp;盘货信息!$B:$B&amp;盘货信息!$C:$C,盘货信息!$X:$X))</f>
        <v/>
      </c>
      <c r="R340" s="27" t="str" cm="1">
        <f t="array" ref="R340">IF(_xlfn.XLOOKUP($A340&amp;$B340&amp;$C340,盘货信息!$A:$A&amp;盘货信息!$B:$B&amp;盘货信息!$C:$C,盘货信息!$Z:$Z)="","","【"&amp;盘货信息!$Z$1&amp;"】"&amp;_xlfn.XLOOKUP($A340&amp;$B340&amp;$C340,盘货信息!$A:$A&amp;盘货信息!$B:$B&amp;盘货信息!$C:$C,盘货信息!$Z:$Z))</f>
        <v/>
      </c>
      <c r="S340" s="27" t="str" cm="1">
        <f t="array" ref="S340">IF(_xlfn.XLOOKUP($A340&amp;$B340&amp;$C340,盘货信息!$A:$A&amp;盘货信息!$B:$B&amp;盘货信息!$C:$C,盘货信息!$Q:$Q)="","","【种草】站外带指定话题种草后返"&amp;_xlfn.XLOOKUP($A340&amp;$B340&amp;$C340,盘货信息!$A:$A&amp;盘货信息!$B:$B&amp;盘货信息!$C:$C,盘货信息!$Q:$Q)&amp;"元红包（每个淘宝账号仅限对应一个站外种草账号，同一个种草账号不可对应多个淘宝账号）")</f>
        <v/>
      </c>
      <c r="T340" s="27" t="str" cm="1">
        <f t="array" ref="T340">IF(_xlfn.XLOOKUP($A340&amp;$B340&amp;$C340,盘货信息!$A:$A&amp;盘货信息!$B:$B&amp;盘货信息!$C:$C,盘货信息!$R:$R)&lt;1,"","【以旧换新】"&amp;"享补贴"&amp;ROUND(_xlfn.XLOOKUP($A340&amp;$B340&amp;$C340,盘货信息!$A:$A&amp;盘货信息!$B:$B&amp;盘货信息!$C:$C,盘货信息!$R:$R),0)&amp;"元（可无旧机换新）")</f>
        <v/>
      </c>
      <c r="U340" s="27" t="str">
        <f>IF(AND($N340="",$O340="",$P340="",$Q340="",$R340="",$S340="",$T340=""),"",固定信息!$B$1)</f>
        <v/>
      </c>
      <c r="V340" s="27" t="str" cm="1">
        <f t="array" ref="V340">IF(_xlfn.XLOOKUP($A340&amp;$B340&amp;$C340,盘货信息!$A:$A&amp;盘货信息!$B:$B&amp;盘货信息!$C:$C,盘货信息!$Y:$Y)="","","【卡萨帝送赠】活动指定时间"&amp;_xlfn.TEXTBEFORE(_xlfn.TEXTAFTER(_xlfn.XLOOKUP($A340&amp;$B340&amp;$C340,盘货信息!$A:$A&amp;盘货信息!$B:$B&amp;盘货信息!$C:$C,盘货信息!$Y:$Y),"点"),"（"))</f>
        <v/>
      </c>
      <c r="W340" s="27" t="str" cm="1">
        <f t="array" ref="W340">IF(COUNTIF(_xlfn.XLOOKUP($A340&amp;$B340&amp;$C340,盘货信息!$A:$A&amp;盘货信息!$B:$B&amp;盘货信息!$C:$C,盘货信息!$O:$O),"*是*"),"【折扣】指定型号满2类享96折，满3类享94折","")</f>
        <v/>
      </c>
      <c r="X340" s="27" t="str" cm="1">
        <f t="array" ref="X340">IF(固定信息!$B$7="","",IF(_xlfn.XLOOKUP($A340&amp;$B340&amp;$C340,盘货信息!$A:$A&amp;盘货信息!$B:$B&amp;盘货信息!$C:$C,盘货信息!$N:$N)="是","【瓜分】"&amp;固定信息!$B$7,""))</f>
        <v/>
      </c>
      <c r="Y340" s="27" t="str">
        <f>IF(AND($V340="",$W340="",$X340=""),"",固定信息!$B$1)</f>
        <v/>
      </c>
      <c r="Z340" s="27" t="str" cm="1">
        <f t="array" ref="Z340">IF($C340="","",_xlfn.XLOOKUP($A340&amp;$B340&amp;$C340,服务!$A:$A&amp;服务!$B:$B&amp;服务!$C:$C,服务!$D:$D))</f>
        <v/>
      </c>
    </row>
    <row r="341" customHeight="1" spans="1:26">
      <c r="A341" s="23" t="str">
        <f>IF(盘货信息!A341="","",盘货信息!A341)</f>
        <v/>
      </c>
      <c r="B341" s="26" t="str">
        <f>IF(盘货信息!B341="","",盘货信息!B341)</f>
        <v/>
      </c>
      <c r="C341" s="23" t="str">
        <f>IF(盘货信息!C341="","",盘货信息!C341)</f>
        <v/>
      </c>
      <c r="D341" s="27" t="str">
        <f ca="1" t="shared" si="5"/>
        <v/>
      </c>
      <c r="E341" s="27" t="str">
        <f>IF(C341="","",固定信息!$B$2)</f>
        <v/>
      </c>
      <c r="F341" s="27" t="str">
        <f>IF(C341="","","【"&amp;C341&amp;"】"&amp;固定信息!$B$4)</f>
        <v/>
      </c>
      <c r="G341" s="27" t="str">
        <f>IF(C341="","","【"&amp;"活动时间："&amp;固定信息!$B$3&amp;"】")</f>
        <v/>
      </c>
      <c r="H341" s="27" t="str">
        <f>IF($C341="","",固定信息!$B$1)</f>
        <v/>
      </c>
      <c r="I341" s="27" t="str">
        <f>IF(OR(C341="",固定信息!$B$5=""),"","【1元预约锁好礼】"&amp;固定信息!$B$5)</f>
        <v/>
      </c>
      <c r="J341" s="27" t="str" cm="1">
        <f t="array" ref="J341">_xlfn.XLOOKUP($A341&amp;$B341&amp;$C341,价格信息!$A:$A&amp;价格信息!$B:$B&amp;价格信息!$C:$C,价格信息!$D:$D)</f>
        <v/>
      </c>
      <c r="K341" s="27" t="str">
        <f>IF($C341="","",固定信息!$B$1)</f>
        <v/>
      </c>
      <c r="L341" s="27" t="str" cm="1">
        <f t="array" ref="L341">IF(_xlfn.XLOOKUP($A341&amp;$B341&amp;$C341,盘货信息!$A:$A&amp;盘货信息!$B:$B&amp;盘货信息!$C:$C,盘货信息!$T:$T)="","","【优惠券】领"&amp;_xlfn.XLOOKUP($A341&amp;$B341&amp;$C341,盘货信息!$A:$A&amp;盘货信息!$B:$B&amp;盘货信息!$C:$C,盘货信息!$T:$T)&amp;"元优惠卷下单更优惠，领券链接："&amp;_xlfn.XLOOKUP($A341&amp;$B341&amp;$C341,盘货信息!$A:$A&amp;盘货信息!$B:$B&amp;盘货信息!$C:$C,盘货信息!$U:$U))</f>
        <v/>
      </c>
      <c r="M341" s="27" t="str" cm="1">
        <f t="array" ref="M341">IF(_xlfn.XLOOKUP($A341&amp;$B341&amp;$C341,盘货信息!$A:$A&amp;盘货信息!$B:$B&amp;盘货信息!$C:$C,盘货信息!$P:$P)="","","【限时】"&amp;_xlfn.XLOOKUP($A341&amp;$B341&amp;$C341,盘货信息!$A:$A&amp;盘货信息!$B:$B&amp;盘货信息!$C:$C,盘货信息!$P:$P))</f>
        <v/>
      </c>
      <c r="N341" s="27" t="str" cm="1">
        <f t="array" ref="N341">IF(_xlfn.XLOOKUP($A341&amp;$B341&amp;$C341,盘货信息!$A:$A&amp;盘货信息!$B:$B&amp;盘货信息!$C:$C,盘货信息!$V:$V)="","","【"&amp;盘货信息!$V$1&amp;"】"&amp;_xlfn.XLOOKUP($A341&amp;$B341&amp;$C341,盘货信息!$A:$A&amp;盘货信息!$B:$B&amp;盘货信息!$C:$C,盘货信息!$V:$V))</f>
        <v/>
      </c>
      <c r="O341" s="27" t="str" cm="1">
        <f t="array" ref="O341">IF(_xlfn.XLOOKUP($A341&amp;$B341&amp;$C341,盘货信息!$A:$A&amp;盘货信息!$B:$B&amp;盘货信息!$C:$C,盘货信息!$W:$W)="","","【"&amp;盘货信息!$W$1&amp;"】"&amp;_xlfn.XLOOKUP($A341&amp;$B341&amp;$C341,盘货信息!$A:$A&amp;盘货信息!$B:$B&amp;盘货信息!$C:$C,盘货信息!$W:$W))</f>
        <v/>
      </c>
      <c r="P341" s="27" t="str" cm="1">
        <f t="array" ref="P341">IF(_xlfn.XLOOKUP($A341&amp;$B341&amp;$C341,盘货信息!$A:$A&amp;盘货信息!$B:$B&amp;盘货信息!$C:$C,盘货信息!$S:$S)&lt;1,"","【"&amp;盘货信息!$S$1&amp;"】"&amp;"后返"&amp;_xlfn.XLOOKUP($A341&amp;$B341&amp;$C341,盘货信息!$A:$A&amp;盘货信息!$B:$B&amp;盘货信息!$C:$C,盘货信息!$S:$S)&amp;"元")</f>
        <v/>
      </c>
      <c r="Q341" s="27" t="str" cm="1">
        <f t="array" ref="Q341">IF(_xlfn.XLOOKUP($A341&amp;$B341&amp;$C341,盘货信息!$A:$A&amp;盘货信息!$B:$B&amp;盘货信息!$C:$C,盘货信息!$X:$X)="","","【"&amp;盘货信息!$X$1&amp;"】"&amp;_xlfn.XLOOKUP($A341&amp;$B341&amp;$C341,盘货信息!$A:$A&amp;盘货信息!$B:$B&amp;盘货信息!$C:$C,盘货信息!$X:$X))</f>
        <v/>
      </c>
      <c r="R341" s="27" t="str" cm="1">
        <f t="array" ref="R341">IF(_xlfn.XLOOKUP($A341&amp;$B341&amp;$C341,盘货信息!$A:$A&amp;盘货信息!$B:$B&amp;盘货信息!$C:$C,盘货信息!$Z:$Z)="","","【"&amp;盘货信息!$Z$1&amp;"】"&amp;_xlfn.XLOOKUP($A341&amp;$B341&amp;$C341,盘货信息!$A:$A&amp;盘货信息!$B:$B&amp;盘货信息!$C:$C,盘货信息!$Z:$Z))</f>
        <v/>
      </c>
      <c r="S341" s="27" t="str" cm="1">
        <f t="array" ref="S341">IF(_xlfn.XLOOKUP($A341&amp;$B341&amp;$C341,盘货信息!$A:$A&amp;盘货信息!$B:$B&amp;盘货信息!$C:$C,盘货信息!$Q:$Q)="","","【种草】站外带指定话题种草后返"&amp;_xlfn.XLOOKUP($A341&amp;$B341&amp;$C341,盘货信息!$A:$A&amp;盘货信息!$B:$B&amp;盘货信息!$C:$C,盘货信息!$Q:$Q)&amp;"元红包（每个淘宝账号仅限对应一个站外种草账号，同一个种草账号不可对应多个淘宝账号）")</f>
        <v/>
      </c>
      <c r="T341" s="27" t="str" cm="1">
        <f t="array" ref="T341">IF(_xlfn.XLOOKUP($A341&amp;$B341&amp;$C341,盘货信息!$A:$A&amp;盘货信息!$B:$B&amp;盘货信息!$C:$C,盘货信息!$R:$R)&lt;1,"","【以旧换新】"&amp;"享补贴"&amp;ROUND(_xlfn.XLOOKUP($A341&amp;$B341&amp;$C341,盘货信息!$A:$A&amp;盘货信息!$B:$B&amp;盘货信息!$C:$C,盘货信息!$R:$R),0)&amp;"元（可无旧机换新）")</f>
        <v/>
      </c>
      <c r="U341" s="27" t="str">
        <f>IF(AND($N341="",$O341="",$P341="",$Q341="",$R341="",$S341="",$T341=""),"",固定信息!$B$1)</f>
        <v/>
      </c>
      <c r="V341" s="27" t="str" cm="1">
        <f t="array" ref="V341">IF(_xlfn.XLOOKUP($A341&amp;$B341&amp;$C341,盘货信息!$A:$A&amp;盘货信息!$B:$B&amp;盘货信息!$C:$C,盘货信息!$Y:$Y)="","","【卡萨帝送赠】活动指定时间"&amp;_xlfn.TEXTBEFORE(_xlfn.TEXTAFTER(_xlfn.XLOOKUP($A341&amp;$B341&amp;$C341,盘货信息!$A:$A&amp;盘货信息!$B:$B&amp;盘货信息!$C:$C,盘货信息!$Y:$Y),"点"),"（"))</f>
        <v/>
      </c>
      <c r="W341" s="27" t="str" cm="1">
        <f t="array" ref="W341">IF(COUNTIF(_xlfn.XLOOKUP($A341&amp;$B341&amp;$C341,盘货信息!$A:$A&amp;盘货信息!$B:$B&amp;盘货信息!$C:$C,盘货信息!$O:$O),"*是*"),"【折扣】指定型号满2类享96折，满3类享94折","")</f>
        <v/>
      </c>
      <c r="X341" s="27" t="str" cm="1">
        <f t="array" ref="X341">IF(固定信息!$B$7="","",IF(_xlfn.XLOOKUP($A341&amp;$B341&amp;$C341,盘货信息!$A:$A&amp;盘货信息!$B:$B&amp;盘货信息!$C:$C,盘货信息!$N:$N)="是","【瓜分】"&amp;固定信息!$B$7,""))</f>
        <v/>
      </c>
      <c r="Y341" s="27" t="str">
        <f>IF(AND($V341="",$W341="",$X341=""),"",固定信息!$B$1)</f>
        <v/>
      </c>
      <c r="Z341" s="27" t="str" cm="1">
        <f t="array" ref="Z341">IF($C341="","",_xlfn.XLOOKUP($A341&amp;$B341&amp;$C341,服务!$A:$A&amp;服务!$B:$B&amp;服务!$C:$C,服务!$D:$D))</f>
        <v/>
      </c>
    </row>
    <row r="342" customHeight="1" spans="1:26">
      <c r="A342" s="23" t="str">
        <f>IF(盘货信息!A342="","",盘货信息!A342)</f>
        <v/>
      </c>
      <c r="B342" s="26" t="str">
        <f>IF(盘货信息!B342="","",盘货信息!B342)</f>
        <v/>
      </c>
      <c r="C342" s="23" t="str">
        <f>IF(盘货信息!C342="","",盘货信息!C342)</f>
        <v/>
      </c>
      <c r="D342" s="27" t="str">
        <f ca="1" t="shared" si="5"/>
        <v/>
      </c>
      <c r="E342" s="27" t="str">
        <f>IF(C342="","",固定信息!$B$2)</f>
        <v/>
      </c>
      <c r="F342" s="27" t="str">
        <f>IF(C342="","","【"&amp;C342&amp;"】"&amp;固定信息!$B$4)</f>
        <v/>
      </c>
      <c r="G342" s="27" t="str">
        <f>IF(C342="","","【"&amp;"活动时间："&amp;固定信息!$B$3&amp;"】")</f>
        <v/>
      </c>
      <c r="H342" s="27" t="str">
        <f>IF($C342="","",固定信息!$B$1)</f>
        <v/>
      </c>
      <c r="I342" s="27" t="str">
        <f>IF(OR(C342="",固定信息!$B$5=""),"","【1元预约锁好礼】"&amp;固定信息!$B$5)</f>
        <v/>
      </c>
      <c r="J342" s="27" t="str" cm="1">
        <f t="array" ref="J342">_xlfn.XLOOKUP($A342&amp;$B342&amp;$C342,价格信息!$A:$A&amp;价格信息!$B:$B&amp;价格信息!$C:$C,价格信息!$D:$D)</f>
        <v/>
      </c>
      <c r="K342" s="27" t="str">
        <f>IF($C342="","",固定信息!$B$1)</f>
        <v/>
      </c>
      <c r="L342" s="27" t="str" cm="1">
        <f t="array" ref="L342">IF(_xlfn.XLOOKUP($A342&amp;$B342&amp;$C342,盘货信息!$A:$A&amp;盘货信息!$B:$B&amp;盘货信息!$C:$C,盘货信息!$T:$T)="","","【优惠券】领"&amp;_xlfn.XLOOKUP($A342&amp;$B342&amp;$C342,盘货信息!$A:$A&amp;盘货信息!$B:$B&amp;盘货信息!$C:$C,盘货信息!$T:$T)&amp;"元优惠卷下单更优惠，领券链接："&amp;_xlfn.XLOOKUP($A342&amp;$B342&amp;$C342,盘货信息!$A:$A&amp;盘货信息!$B:$B&amp;盘货信息!$C:$C,盘货信息!$U:$U))</f>
        <v/>
      </c>
      <c r="M342" s="27" t="str" cm="1">
        <f t="array" ref="M342">IF(_xlfn.XLOOKUP($A342&amp;$B342&amp;$C342,盘货信息!$A:$A&amp;盘货信息!$B:$B&amp;盘货信息!$C:$C,盘货信息!$P:$P)="","","【限时】"&amp;_xlfn.XLOOKUP($A342&amp;$B342&amp;$C342,盘货信息!$A:$A&amp;盘货信息!$B:$B&amp;盘货信息!$C:$C,盘货信息!$P:$P))</f>
        <v/>
      </c>
      <c r="N342" s="27" t="str" cm="1">
        <f t="array" ref="N342">IF(_xlfn.XLOOKUP($A342&amp;$B342&amp;$C342,盘货信息!$A:$A&amp;盘货信息!$B:$B&amp;盘货信息!$C:$C,盘货信息!$V:$V)="","","【"&amp;盘货信息!$V$1&amp;"】"&amp;_xlfn.XLOOKUP($A342&amp;$B342&amp;$C342,盘货信息!$A:$A&amp;盘货信息!$B:$B&amp;盘货信息!$C:$C,盘货信息!$V:$V))</f>
        <v/>
      </c>
      <c r="O342" s="27" t="str" cm="1">
        <f t="array" ref="O342">IF(_xlfn.XLOOKUP($A342&amp;$B342&amp;$C342,盘货信息!$A:$A&amp;盘货信息!$B:$B&amp;盘货信息!$C:$C,盘货信息!$W:$W)="","","【"&amp;盘货信息!$W$1&amp;"】"&amp;_xlfn.XLOOKUP($A342&amp;$B342&amp;$C342,盘货信息!$A:$A&amp;盘货信息!$B:$B&amp;盘货信息!$C:$C,盘货信息!$W:$W))</f>
        <v/>
      </c>
      <c r="P342" s="27" t="str" cm="1">
        <f t="array" ref="P342">IF(_xlfn.XLOOKUP($A342&amp;$B342&amp;$C342,盘货信息!$A:$A&amp;盘货信息!$B:$B&amp;盘货信息!$C:$C,盘货信息!$S:$S)&lt;1,"","【"&amp;盘货信息!$S$1&amp;"】"&amp;"后返"&amp;_xlfn.XLOOKUP($A342&amp;$B342&amp;$C342,盘货信息!$A:$A&amp;盘货信息!$B:$B&amp;盘货信息!$C:$C,盘货信息!$S:$S)&amp;"元")</f>
        <v/>
      </c>
      <c r="Q342" s="27" t="str" cm="1">
        <f t="array" ref="Q342">IF(_xlfn.XLOOKUP($A342&amp;$B342&amp;$C342,盘货信息!$A:$A&amp;盘货信息!$B:$B&amp;盘货信息!$C:$C,盘货信息!$X:$X)="","","【"&amp;盘货信息!$X$1&amp;"】"&amp;_xlfn.XLOOKUP($A342&amp;$B342&amp;$C342,盘货信息!$A:$A&amp;盘货信息!$B:$B&amp;盘货信息!$C:$C,盘货信息!$X:$X))</f>
        <v/>
      </c>
      <c r="R342" s="27" t="str" cm="1">
        <f t="array" ref="R342">IF(_xlfn.XLOOKUP($A342&amp;$B342&amp;$C342,盘货信息!$A:$A&amp;盘货信息!$B:$B&amp;盘货信息!$C:$C,盘货信息!$Z:$Z)="","","【"&amp;盘货信息!$Z$1&amp;"】"&amp;_xlfn.XLOOKUP($A342&amp;$B342&amp;$C342,盘货信息!$A:$A&amp;盘货信息!$B:$B&amp;盘货信息!$C:$C,盘货信息!$Z:$Z))</f>
        <v/>
      </c>
      <c r="S342" s="27" t="str" cm="1">
        <f t="array" ref="S342">IF(_xlfn.XLOOKUP($A342&amp;$B342&amp;$C342,盘货信息!$A:$A&amp;盘货信息!$B:$B&amp;盘货信息!$C:$C,盘货信息!$Q:$Q)="","","【种草】站外带指定话题种草后返"&amp;_xlfn.XLOOKUP($A342&amp;$B342&amp;$C342,盘货信息!$A:$A&amp;盘货信息!$B:$B&amp;盘货信息!$C:$C,盘货信息!$Q:$Q)&amp;"元红包（每个淘宝账号仅限对应一个站外种草账号，同一个种草账号不可对应多个淘宝账号）")</f>
        <v/>
      </c>
      <c r="T342" s="27" t="str" cm="1">
        <f t="array" ref="T342">IF(_xlfn.XLOOKUP($A342&amp;$B342&amp;$C342,盘货信息!$A:$A&amp;盘货信息!$B:$B&amp;盘货信息!$C:$C,盘货信息!$R:$R)&lt;1,"","【以旧换新】"&amp;"享补贴"&amp;ROUND(_xlfn.XLOOKUP($A342&amp;$B342&amp;$C342,盘货信息!$A:$A&amp;盘货信息!$B:$B&amp;盘货信息!$C:$C,盘货信息!$R:$R),0)&amp;"元（可无旧机换新）")</f>
        <v/>
      </c>
      <c r="U342" s="27" t="str">
        <f>IF(AND($N342="",$O342="",$P342="",$Q342="",$R342="",$S342="",$T342=""),"",固定信息!$B$1)</f>
        <v/>
      </c>
      <c r="V342" s="27" t="str" cm="1">
        <f t="array" ref="V342">IF(_xlfn.XLOOKUP($A342&amp;$B342&amp;$C342,盘货信息!$A:$A&amp;盘货信息!$B:$B&amp;盘货信息!$C:$C,盘货信息!$Y:$Y)="","","【卡萨帝送赠】活动指定时间"&amp;_xlfn.TEXTBEFORE(_xlfn.TEXTAFTER(_xlfn.XLOOKUP($A342&amp;$B342&amp;$C342,盘货信息!$A:$A&amp;盘货信息!$B:$B&amp;盘货信息!$C:$C,盘货信息!$Y:$Y),"点"),"（"))</f>
        <v/>
      </c>
      <c r="W342" s="27" t="str" cm="1">
        <f t="array" ref="W342">IF(COUNTIF(_xlfn.XLOOKUP($A342&amp;$B342&amp;$C342,盘货信息!$A:$A&amp;盘货信息!$B:$B&amp;盘货信息!$C:$C,盘货信息!$O:$O),"*是*"),"【折扣】指定型号满2类享96折，满3类享94折","")</f>
        <v/>
      </c>
      <c r="X342" s="27" t="str" cm="1">
        <f t="array" ref="X342">IF(固定信息!$B$7="","",IF(_xlfn.XLOOKUP($A342&amp;$B342&amp;$C342,盘货信息!$A:$A&amp;盘货信息!$B:$B&amp;盘货信息!$C:$C,盘货信息!$N:$N)="是","【瓜分】"&amp;固定信息!$B$7,""))</f>
        <v/>
      </c>
      <c r="Y342" s="27" t="str">
        <f>IF(AND($V342="",$W342="",$X342=""),"",固定信息!$B$1)</f>
        <v/>
      </c>
      <c r="Z342" s="27" t="str" cm="1">
        <f t="array" ref="Z342">IF($C342="","",_xlfn.XLOOKUP($A342&amp;$B342&amp;$C342,服务!$A:$A&amp;服务!$B:$B&amp;服务!$C:$C,服务!$D:$D))</f>
        <v/>
      </c>
    </row>
    <row r="343" customHeight="1" spans="1:26">
      <c r="A343" s="23" t="str">
        <f>IF(盘货信息!A343="","",盘货信息!A343)</f>
        <v/>
      </c>
      <c r="B343" s="26" t="str">
        <f>IF(盘货信息!B343="","",盘货信息!B343)</f>
        <v/>
      </c>
      <c r="C343" s="23" t="str">
        <f>IF(盘货信息!C343="","",盘货信息!C343)</f>
        <v/>
      </c>
      <c r="D343" s="27" t="str">
        <f ca="1" t="shared" si="5"/>
        <v/>
      </c>
      <c r="E343" s="27" t="str">
        <f>IF(C343="","",固定信息!$B$2)</f>
        <v/>
      </c>
      <c r="F343" s="27" t="str">
        <f>IF(C343="","","【"&amp;C343&amp;"】"&amp;固定信息!$B$4)</f>
        <v/>
      </c>
      <c r="G343" s="27" t="str">
        <f>IF(C343="","","【"&amp;"活动时间："&amp;固定信息!$B$3&amp;"】")</f>
        <v/>
      </c>
      <c r="H343" s="27" t="str">
        <f>IF($C343="","",固定信息!$B$1)</f>
        <v/>
      </c>
      <c r="I343" s="27" t="str">
        <f>IF(OR(C343="",固定信息!$B$5=""),"","【1元预约锁好礼】"&amp;固定信息!$B$5)</f>
        <v/>
      </c>
      <c r="J343" s="27" t="str" cm="1">
        <f t="array" ref="J343">_xlfn.XLOOKUP($A343&amp;$B343&amp;$C343,价格信息!$A:$A&amp;价格信息!$B:$B&amp;价格信息!$C:$C,价格信息!$D:$D)</f>
        <v/>
      </c>
      <c r="K343" s="27" t="str">
        <f>IF($C343="","",固定信息!$B$1)</f>
        <v/>
      </c>
      <c r="L343" s="27" t="str" cm="1">
        <f t="array" ref="L343">IF(_xlfn.XLOOKUP($A343&amp;$B343&amp;$C343,盘货信息!$A:$A&amp;盘货信息!$B:$B&amp;盘货信息!$C:$C,盘货信息!$T:$T)="","","【优惠券】领"&amp;_xlfn.XLOOKUP($A343&amp;$B343&amp;$C343,盘货信息!$A:$A&amp;盘货信息!$B:$B&amp;盘货信息!$C:$C,盘货信息!$T:$T)&amp;"元优惠卷下单更优惠，领券链接："&amp;_xlfn.XLOOKUP($A343&amp;$B343&amp;$C343,盘货信息!$A:$A&amp;盘货信息!$B:$B&amp;盘货信息!$C:$C,盘货信息!$U:$U))</f>
        <v/>
      </c>
      <c r="M343" s="27" t="str" cm="1">
        <f t="array" ref="M343">IF(_xlfn.XLOOKUP($A343&amp;$B343&amp;$C343,盘货信息!$A:$A&amp;盘货信息!$B:$B&amp;盘货信息!$C:$C,盘货信息!$P:$P)="","","【限时】"&amp;_xlfn.XLOOKUP($A343&amp;$B343&amp;$C343,盘货信息!$A:$A&amp;盘货信息!$B:$B&amp;盘货信息!$C:$C,盘货信息!$P:$P))</f>
        <v/>
      </c>
      <c r="N343" s="27" t="str" cm="1">
        <f t="array" ref="N343">IF(_xlfn.XLOOKUP($A343&amp;$B343&amp;$C343,盘货信息!$A:$A&amp;盘货信息!$B:$B&amp;盘货信息!$C:$C,盘货信息!$V:$V)="","","【"&amp;盘货信息!$V$1&amp;"】"&amp;_xlfn.XLOOKUP($A343&amp;$B343&amp;$C343,盘货信息!$A:$A&amp;盘货信息!$B:$B&amp;盘货信息!$C:$C,盘货信息!$V:$V))</f>
        <v/>
      </c>
      <c r="O343" s="27" t="str" cm="1">
        <f t="array" ref="O343">IF(_xlfn.XLOOKUP($A343&amp;$B343&amp;$C343,盘货信息!$A:$A&amp;盘货信息!$B:$B&amp;盘货信息!$C:$C,盘货信息!$W:$W)="","","【"&amp;盘货信息!$W$1&amp;"】"&amp;_xlfn.XLOOKUP($A343&amp;$B343&amp;$C343,盘货信息!$A:$A&amp;盘货信息!$B:$B&amp;盘货信息!$C:$C,盘货信息!$W:$W))</f>
        <v/>
      </c>
      <c r="P343" s="27" t="str" cm="1">
        <f t="array" ref="P343">IF(_xlfn.XLOOKUP($A343&amp;$B343&amp;$C343,盘货信息!$A:$A&amp;盘货信息!$B:$B&amp;盘货信息!$C:$C,盘货信息!$S:$S)&lt;1,"","【"&amp;盘货信息!$S$1&amp;"】"&amp;"后返"&amp;_xlfn.XLOOKUP($A343&amp;$B343&amp;$C343,盘货信息!$A:$A&amp;盘货信息!$B:$B&amp;盘货信息!$C:$C,盘货信息!$S:$S)&amp;"元")</f>
        <v/>
      </c>
      <c r="Q343" s="27" t="str" cm="1">
        <f t="array" ref="Q343">IF(_xlfn.XLOOKUP($A343&amp;$B343&amp;$C343,盘货信息!$A:$A&amp;盘货信息!$B:$B&amp;盘货信息!$C:$C,盘货信息!$X:$X)="","","【"&amp;盘货信息!$X$1&amp;"】"&amp;_xlfn.XLOOKUP($A343&amp;$B343&amp;$C343,盘货信息!$A:$A&amp;盘货信息!$B:$B&amp;盘货信息!$C:$C,盘货信息!$X:$X))</f>
        <v/>
      </c>
      <c r="R343" s="27" t="str" cm="1">
        <f t="array" ref="R343">IF(_xlfn.XLOOKUP($A343&amp;$B343&amp;$C343,盘货信息!$A:$A&amp;盘货信息!$B:$B&amp;盘货信息!$C:$C,盘货信息!$Z:$Z)="","","【"&amp;盘货信息!$Z$1&amp;"】"&amp;_xlfn.XLOOKUP($A343&amp;$B343&amp;$C343,盘货信息!$A:$A&amp;盘货信息!$B:$B&amp;盘货信息!$C:$C,盘货信息!$Z:$Z))</f>
        <v/>
      </c>
      <c r="S343" s="27" t="str" cm="1">
        <f t="array" ref="S343">IF(_xlfn.XLOOKUP($A343&amp;$B343&amp;$C343,盘货信息!$A:$A&amp;盘货信息!$B:$B&amp;盘货信息!$C:$C,盘货信息!$Q:$Q)="","","【种草】站外带指定话题种草后返"&amp;_xlfn.XLOOKUP($A343&amp;$B343&amp;$C343,盘货信息!$A:$A&amp;盘货信息!$B:$B&amp;盘货信息!$C:$C,盘货信息!$Q:$Q)&amp;"元红包（每个淘宝账号仅限对应一个站外种草账号，同一个种草账号不可对应多个淘宝账号）")</f>
        <v/>
      </c>
      <c r="T343" s="27" t="str" cm="1">
        <f t="array" ref="T343">IF(_xlfn.XLOOKUP($A343&amp;$B343&amp;$C343,盘货信息!$A:$A&amp;盘货信息!$B:$B&amp;盘货信息!$C:$C,盘货信息!$R:$R)&lt;1,"","【以旧换新】"&amp;"享补贴"&amp;ROUND(_xlfn.XLOOKUP($A343&amp;$B343&amp;$C343,盘货信息!$A:$A&amp;盘货信息!$B:$B&amp;盘货信息!$C:$C,盘货信息!$R:$R),0)&amp;"元（可无旧机换新）")</f>
        <v/>
      </c>
      <c r="U343" s="27" t="str">
        <f>IF(AND($N343="",$O343="",$P343="",$Q343="",$R343="",$S343="",$T343=""),"",固定信息!$B$1)</f>
        <v/>
      </c>
      <c r="V343" s="27" t="str" cm="1">
        <f t="array" ref="V343">IF(_xlfn.XLOOKUP($A343&amp;$B343&amp;$C343,盘货信息!$A:$A&amp;盘货信息!$B:$B&amp;盘货信息!$C:$C,盘货信息!$Y:$Y)="","","【卡萨帝送赠】活动指定时间"&amp;_xlfn.TEXTBEFORE(_xlfn.TEXTAFTER(_xlfn.XLOOKUP($A343&amp;$B343&amp;$C343,盘货信息!$A:$A&amp;盘货信息!$B:$B&amp;盘货信息!$C:$C,盘货信息!$Y:$Y),"点"),"（"))</f>
        <v/>
      </c>
      <c r="W343" s="27" t="str" cm="1">
        <f t="array" ref="W343">IF(COUNTIF(_xlfn.XLOOKUP($A343&amp;$B343&amp;$C343,盘货信息!$A:$A&amp;盘货信息!$B:$B&amp;盘货信息!$C:$C,盘货信息!$O:$O),"*是*"),"【折扣】指定型号满2类享96折，满3类享94折","")</f>
        <v/>
      </c>
      <c r="X343" s="27" t="str" cm="1">
        <f t="array" ref="X343">IF(固定信息!$B$7="","",IF(_xlfn.XLOOKUP($A343&amp;$B343&amp;$C343,盘货信息!$A:$A&amp;盘货信息!$B:$B&amp;盘货信息!$C:$C,盘货信息!$N:$N)="是","【瓜分】"&amp;固定信息!$B$7,""))</f>
        <v/>
      </c>
      <c r="Y343" s="27" t="str">
        <f>IF(AND($V343="",$W343="",$X343=""),"",固定信息!$B$1)</f>
        <v/>
      </c>
      <c r="Z343" s="27" t="str" cm="1">
        <f t="array" ref="Z343">IF($C343="","",_xlfn.XLOOKUP($A343&amp;$B343&amp;$C343,服务!$A:$A&amp;服务!$B:$B&amp;服务!$C:$C,服务!$D:$D))</f>
        <v/>
      </c>
    </row>
    <row r="344" customHeight="1" spans="1:26">
      <c r="A344" s="23" t="str">
        <f>IF(盘货信息!A344="","",盘货信息!A344)</f>
        <v/>
      </c>
      <c r="B344" s="26" t="str">
        <f>IF(盘货信息!B344="","",盘货信息!B344)</f>
        <v/>
      </c>
      <c r="C344" s="23" t="str">
        <f>IF(盘货信息!C344="","",盘货信息!C344)</f>
        <v/>
      </c>
      <c r="D344" s="27" t="str">
        <f ca="1" t="shared" si="5"/>
        <v/>
      </c>
      <c r="E344" s="27" t="str">
        <f>IF(C344="","",固定信息!$B$2)</f>
        <v/>
      </c>
      <c r="F344" s="27" t="str">
        <f>IF(C344="","","【"&amp;C344&amp;"】"&amp;固定信息!$B$4)</f>
        <v/>
      </c>
      <c r="G344" s="27" t="str">
        <f>IF(C344="","","【"&amp;"活动时间："&amp;固定信息!$B$3&amp;"】")</f>
        <v/>
      </c>
      <c r="H344" s="27" t="str">
        <f>IF($C344="","",固定信息!$B$1)</f>
        <v/>
      </c>
      <c r="I344" s="27" t="str">
        <f>IF(OR(C344="",固定信息!$B$5=""),"","【1元预约锁好礼】"&amp;固定信息!$B$5)</f>
        <v/>
      </c>
      <c r="J344" s="27" t="str" cm="1">
        <f t="array" ref="J344">_xlfn.XLOOKUP($A344&amp;$B344&amp;$C344,价格信息!$A:$A&amp;价格信息!$B:$B&amp;价格信息!$C:$C,价格信息!$D:$D)</f>
        <v/>
      </c>
      <c r="K344" s="27" t="str">
        <f>IF($C344="","",固定信息!$B$1)</f>
        <v/>
      </c>
      <c r="L344" s="27" t="str" cm="1">
        <f t="array" ref="L344">IF(_xlfn.XLOOKUP($A344&amp;$B344&amp;$C344,盘货信息!$A:$A&amp;盘货信息!$B:$B&amp;盘货信息!$C:$C,盘货信息!$T:$T)="","","【优惠券】领"&amp;_xlfn.XLOOKUP($A344&amp;$B344&amp;$C344,盘货信息!$A:$A&amp;盘货信息!$B:$B&amp;盘货信息!$C:$C,盘货信息!$T:$T)&amp;"元优惠卷下单更优惠，领券链接："&amp;_xlfn.XLOOKUP($A344&amp;$B344&amp;$C344,盘货信息!$A:$A&amp;盘货信息!$B:$B&amp;盘货信息!$C:$C,盘货信息!$U:$U))</f>
        <v/>
      </c>
      <c r="M344" s="27" t="str" cm="1">
        <f t="array" ref="M344">IF(_xlfn.XLOOKUP($A344&amp;$B344&amp;$C344,盘货信息!$A:$A&amp;盘货信息!$B:$B&amp;盘货信息!$C:$C,盘货信息!$P:$P)="","","【限时】"&amp;_xlfn.XLOOKUP($A344&amp;$B344&amp;$C344,盘货信息!$A:$A&amp;盘货信息!$B:$B&amp;盘货信息!$C:$C,盘货信息!$P:$P))</f>
        <v/>
      </c>
      <c r="N344" s="27" t="str" cm="1">
        <f t="array" ref="N344">IF(_xlfn.XLOOKUP($A344&amp;$B344&amp;$C344,盘货信息!$A:$A&amp;盘货信息!$B:$B&amp;盘货信息!$C:$C,盘货信息!$V:$V)="","","【"&amp;盘货信息!$V$1&amp;"】"&amp;_xlfn.XLOOKUP($A344&amp;$B344&amp;$C344,盘货信息!$A:$A&amp;盘货信息!$B:$B&amp;盘货信息!$C:$C,盘货信息!$V:$V))</f>
        <v/>
      </c>
      <c r="O344" s="27" t="str" cm="1">
        <f t="array" ref="O344">IF(_xlfn.XLOOKUP($A344&amp;$B344&amp;$C344,盘货信息!$A:$A&amp;盘货信息!$B:$B&amp;盘货信息!$C:$C,盘货信息!$W:$W)="","","【"&amp;盘货信息!$W$1&amp;"】"&amp;_xlfn.XLOOKUP($A344&amp;$B344&amp;$C344,盘货信息!$A:$A&amp;盘货信息!$B:$B&amp;盘货信息!$C:$C,盘货信息!$W:$W))</f>
        <v/>
      </c>
      <c r="P344" s="27" t="str" cm="1">
        <f t="array" ref="P344">IF(_xlfn.XLOOKUP($A344&amp;$B344&amp;$C344,盘货信息!$A:$A&amp;盘货信息!$B:$B&amp;盘货信息!$C:$C,盘货信息!$S:$S)&lt;1,"","【"&amp;盘货信息!$S$1&amp;"】"&amp;"后返"&amp;_xlfn.XLOOKUP($A344&amp;$B344&amp;$C344,盘货信息!$A:$A&amp;盘货信息!$B:$B&amp;盘货信息!$C:$C,盘货信息!$S:$S)&amp;"元")</f>
        <v/>
      </c>
      <c r="Q344" s="27" t="str" cm="1">
        <f t="array" ref="Q344">IF(_xlfn.XLOOKUP($A344&amp;$B344&amp;$C344,盘货信息!$A:$A&amp;盘货信息!$B:$B&amp;盘货信息!$C:$C,盘货信息!$X:$X)="","","【"&amp;盘货信息!$X$1&amp;"】"&amp;_xlfn.XLOOKUP($A344&amp;$B344&amp;$C344,盘货信息!$A:$A&amp;盘货信息!$B:$B&amp;盘货信息!$C:$C,盘货信息!$X:$X))</f>
        <v/>
      </c>
      <c r="R344" s="27" t="str" cm="1">
        <f t="array" ref="R344">IF(_xlfn.XLOOKUP($A344&amp;$B344&amp;$C344,盘货信息!$A:$A&amp;盘货信息!$B:$B&amp;盘货信息!$C:$C,盘货信息!$Z:$Z)="","","【"&amp;盘货信息!$Z$1&amp;"】"&amp;_xlfn.XLOOKUP($A344&amp;$B344&amp;$C344,盘货信息!$A:$A&amp;盘货信息!$B:$B&amp;盘货信息!$C:$C,盘货信息!$Z:$Z))</f>
        <v/>
      </c>
      <c r="S344" s="27" t="str" cm="1">
        <f t="array" ref="S344">IF(_xlfn.XLOOKUP($A344&amp;$B344&amp;$C344,盘货信息!$A:$A&amp;盘货信息!$B:$B&amp;盘货信息!$C:$C,盘货信息!$Q:$Q)="","","【种草】站外带指定话题种草后返"&amp;_xlfn.XLOOKUP($A344&amp;$B344&amp;$C344,盘货信息!$A:$A&amp;盘货信息!$B:$B&amp;盘货信息!$C:$C,盘货信息!$Q:$Q)&amp;"元红包（每个淘宝账号仅限对应一个站外种草账号，同一个种草账号不可对应多个淘宝账号）")</f>
        <v/>
      </c>
      <c r="T344" s="27" t="str" cm="1">
        <f t="array" ref="T344">IF(_xlfn.XLOOKUP($A344&amp;$B344&amp;$C344,盘货信息!$A:$A&amp;盘货信息!$B:$B&amp;盘货信息!$C:$C,盘货信息!$R:$R)&lt;1,"","【以旧换新】"&amp;"享补贴"&amp;ROUND(_xlfn.XLOOKUP($A344&amp;$B344&amp;$C344,盘货信息!$A:$A&amp;盘货信息!$B:$B&amp;盘货信息!$C:$C,盘货信息!$R:$R),0)&amp;"元（可无旧机换新）")</f>
        <v/>
      </c>
      <c r="U344" s="27" t="str">
        <f>IF(AND($N344="",$O344="",$P344="",$Q344="",$R344="",$S344="",$T344=""),"",固定信息!$B$1)</f>
        <v/>
      </c>
      <c r="V344" s="27" t="str" cm="1">
        <f t="array" ref="V344">IF(_xlfn.XLOOKUP($A344&amp;$B344&amp;$C344,盘货信息!$A:$A&amp;盘货信息!$B:$B&amp;盘货信息!$C:$C,盘货信息!$Y:$Y)="","","【卡萨帝送赠】活动指定时间"&amp;_xlfn.TEXTBEFORE(_xlfn.TEXTAFTER(_xlfn.XLOOKUP($A344&amp;$B344&amp;$C344,盘货信息!$A:$A&amp;盘货信息!$B:$B&amp;盘货信息!$C:$C,盘货信息!$Y:$Y),"点"),"（"))</f>
        <v/>
      </c>
      <c r="W344" s="27" t="str" cm="1">
        <f t="array" ref="W344">IF(COUNTIF(_xlfn.XLOOKUP($A344&amp;$B344&amp;$C344,盘货信息!$A:$A&amp;盘货信息!$B:$B&amp;盘货信息!$C:$C,盘货信息!$O:$O),"*是*"),"【折扣】指定型号满2类享96折，满3类享94折","")</f>
        <v/>
      </c>
      <c r="X344" s="27" t="str" cm="1">
        <f t="array" ref="X344">IF(固定信息!$B$7="","",IF(_xlfn.XLOOKUP($A344&amp;$B344&amp;$C344,盘货信息!$A:$A&amp;盘货信息!$B:$B&amp;盘货信息!$C:$C,盘货信息!$N:$N)="是","【瓜分】"&amp;固定信息!$B$7,""))</f>
        <v/>
      </c>
      <c r="Y344" s="27" t="str">
        <f>IF(AND($V344="",$W344="",$X344=""),"",固定信息!$B$1)</f>
        <v/>
      </c>
      <c r="Z344" s="27" t="str" cm="1">
        <f t="array" ref="Z344">IF($C344="","",_xlfn.XLOOKUP($A344&amp;$B344&amp;$C344,服务!$A:$A&amp;服务!$B:$B&amp;服务!$C:$C,服务!$D:$D))</f>
        <v/>
      </c>
    </row>
    <row r="345" customHeight="1" spans="1:26">
      <c r="A345" s="23" t="str">
        <f>IF(盘货信息!A345="","",盘货信息!A345)</f>
        <v/>
      </c>
      <c r="B345" s="26" t="str">
        <f>IF(盘货信息!B345="","",盘货信息!B345)</f>
        <v/>
      </c>
      <c r="C345" s="23" t="str">
        <f>IF(盘货信息!C345="","",盘货信息!C345)</f>
        <v/>
      </c>
      <c r="D345" s="27" t="str">
        <f ca="1" t="shared" si="5"/>
        <v/>
      </c>
      <c r="E345" s="27" t="str">
        <f>IF(C345="","",固定信息!$B$2)</f>
        <v/>
      </c>
      <c r="F345" s="27" t="str">
        <f>IF(C345="","","【"&amp;C345&amp;"】"&amp;固定信息!$B$4)</f>
        <v/>
      </c>
      <c r="G345" s="27" t="str">
        <f>IF(C345="","","【"&amp;"活动时间："&amp;固定信息!$B$3&amp;"】")</f>
        <v/>
      </c>
      <c r="H345" s="27" t="str">
        <f>IF($C345="","",固定信息!$B$1)</f>
        <v/>
      </c>
      <c r="I345" s="27" t="str">
        <f>IF(OR(C345="",固定信息!$B$5=""),"","【1元预约锁好礼】"&amp;固定信息!$B$5)</f>
        <v/>
      </c>
      <c r="J345" s="27" t="str" cm="1">
        <f t="array" ref="J345">_xlfn.XLOOKUP($A345&amp;$B345&amp;$C345,价格信息!$A:$A&amp;价格信息!$B:$B&amp;价格信息!$C:$C,价格信息!$D:$D)</f>
        <v/>
      </c>
      <c r="K345" s="27" t="str">
        <f>IF($C345="","",固定信息!$B$1)</f>
        <v/>
      </c>
      <c r="L345" s="27" t="str" cm="1">
        <f t="array" ref="L345">IF(_xlfn.XLOOKUP($A345&amp;$B345&amp;$C345,盘货信息!$A:$A&amp;盘货信息!$B:$B&amp;盘货信息!$C:$C,盘货信息!$T:$T)="","","【优惠券】领"&amp;_xlfn.XLOOKUP($A345&amp;$B345&amp;$C345,盘货信息!$A:$A&amp;盘货信息!$B:$B&amp;盘货信息!$C:$C,盘货信息!$T:$T)&amp;"元优惠卷下单更优惠，领券链接："&amp;_xlfn.XLOOKUP($A345&amp;$B345&amp;$C345,盘货信息!$A:$A&amp;盘货信息!$B:$B&amp;盘货信息!$C:$C,盘货信息!$U:$U))</f>
        <v/>
      </c>
      <c r="M345" s="27" t="str" cm="1">
        <f t="array" ref="M345">IF(_xlfn.XLOOKUP($A345&amp;$B345&amp;$C345,盘货信息!$A:$A&amp;盘货信息!$B:$B&amp;盘货信息!$C:$C,盘货信息!$P:$P)="","","【限时】"&amp;_xlfn.XLOOKUP($A345&amp;$B345&amp;$C345,盘货信息!$A:$A&amp;盘货信息!$B:$B&amp;盘货信息!$C:$C,盘货信息!$P:$P))</f>
        <v/>
      </c>
      <c r="N345" s="27" t="str" cm="1">
        <f t="array" ref="N345">IF(_xlfn.XLOOKUP($A345&amp;$B345&amp;$C345,盘货信息!$A:$A&amp;盘货信息!$B:$B&amp;盘货信息!$C:$C,盘货信息!$V:$V)="","","【"&amp;盘货信息!$V$1&amp;"】"&amp;_xlfn.XLOOKUP($A345&amp;$B345&amp;$C345,盘货信息!$A:$A&amp;盘货信息!$B:$B&amp;盘货信息!$C:$C,盘货信息!$V:$V))</f>
        <v/>
      </c>
      <c r="O345" s="27" t="str" cm="1">
        <f t="array" ref="O345">IF(_xlfn.XLOOKUP($A345&amp;$B345&amp;$C345,盘货信息!$A:$A&amp;盘货信息!$B:$B&amp;盘货信息!$C:$C,盘货信息!$W:$W)="","","【"&amp;盘货信息!$W$1&amp;"】"&amp;_xlfn.XLOOKUP($A345&amp;$B345&amp;$C345,盘货信息!$A:$A&amp;盘货信息!$B:$B&amp;盘货信息!$C:$C,盘货信息!$W:$W))</f>
        <v/>
      </c>
      <c r="P345" s="27" t="str" cm="1">
        <f t="array" ref="P345">IF(_xlfn.XLOOKUP($A345&amp;$B345&amp;$C345,盘货信息!$A:$A&amp;盘货信息!$B:$B&amp;盘货信息!$C:$C,盘货信息!$S:$S)&lt;1,"","【"&amp;盘货信息!$S$1&amp;"】"&amp;"后返"&amp;_xlfn.XLOOKUP($A345&amp;$B345&amp;$C345,盘货信息!$A:$A&amp;盘货信息!$B:$B&amp;盘货信息!$C:$C,盘货信息!$S:$S)&amp;"元")</f>
        <v/>
      </c>
      <c r="Q345" s="27" t="str" cm="1">
        <f t="array" ref="Q345">IF(_xlfn.XLOOKUP($A345&amp;$B345&amp;$C345,盘货信息!$A:$A&amp;盘货信息!$B:$B&amp;盘货信息!$C:$C,盘货信息!$X:$X)="","","【"&amp;盘货信息!$X$1&amp;"】"&amp;_xlfn.XLOOKUP($A345&amp;$B345&amp;$C345,盘货信息!$A:$A&amp;盘货信息!$B:$B&amp;盘货信息!$C:$C,盘货信息!$X:$X))</f>
        <v/>
      </c>
      <c r="R345" s="27" t="str" cm="1">
        <f t="array" ref="R345">IF(_xlfn.XLOOKUP($A345&amp;$B345&amp;$C345,盘货信息!$A:$A&amp;盘货信息!$B:$B&amp;盘货信息!$C:$C,盘货信息!$Z:$Z)="","","【"&amp;盘货信息!$Z$1&amp;"】"&amp;_xlfn.XLOOKUP($A345&amp;$B345&amp;$C345,盘货信息!$A:$A&amp;盘货信息!$B:$B&amp;盘货信息!$C:$C,盘货信息!$Z:$Z))</f>
        <v/>
      </c>
      <c r="S345" s="27" t="str" cm="1">
        <f t="array" ref="S345">IF(_xlfn.XLOOKUP($A345&amp;$B345&amp;$C345,盘货信息!$A:$A&amp;盘货信息!$B:$B&amp;盘货信息!$C:$C,盘货信息!$Q:$Q)="","","【种草】站外带指定话题种草后返"&amp;_xlfn.XLOOKUP($A345&amp;$B345&amp;$C345,盘货信息!$A:$A&amp;盘货信息!$B:$B&amp;盘货信息!$C:$C,盘货信息!$Q:$Q)&amp;"元红包（每个淘宝账号仅限对应一个站外种草账号，同一个种草账号不可对应多个淘宝账号）")</f>
        <v/>
      </c>
      <c r="T345" s="27" t="str" cm="1">
        <f t="array" ref="T345">IF(_xlfn.XLOOKUP($A345&amp;$B345&amp;$C345,盘货信息!$A:$A&amp;盘货信息!$B:$B&amp;盘货信息!$C:$C,盘货信息!$R:$R)&lt;1,"","【以旧换新】"&amp;"享补贴"&amp;ROUND(_xlfn.XLOOKUP($A345&amp;$B345&amp;$C345,盘货信息!$A:$A&amp;盘货信息!$B:$B&amp;盘货信息!$C:$C,盘货信息!$R:$R),0)&amp;"元（可无旧机换新）")</f>
        <v/>
      </c>
      <c r="U345" s="27" t="str">
        <f>IF(AND($N345="",$O345="",$P345="",$Q345="",$R345="",$S345="",$T345=""),"",固定信息!$B$1)</f>
        <v/>
      </c>
      <c r="V345" s="27" t="str" cm="1">
        <f t="array" ref="V345">IF(_xlfn.XLOOKUP($A345&amp;$B345&amp;$C345,盘货信息!$A:$A&amp;盘货信息!$B:$B&amp;盘货信息!$C:$C,盘货信息!$Y:$Y)="","","【卡萨帝送赠】活动指定时间"&amp;_xlfn.TEXTBEFORE(_xlfn.TEXTAFTER(_xlfn.XLOOKUP($A345&amp;$B345&amp;$C345,盘货信息!$A:$A&amp;盘货信息!$B:$B&amp;盘货信息!$C:$C,盘货信息!$Y:$Y),"点"),"（"))</f>
        <v/>
      </c>
      <c r="W345" s="27" t="str" cm="1">
        <f t="array" ref="W345">IF(COUNTIF(_xlfn.XLOOKUP($A345&amp;$B345&amp;$C345,盘货信息!$A:$A&amp;盘货信息!$B:$B&amp;盘货信息!$C:$C,盘货信息!$O:$O),"*是*"),"【折扣】指定型号满2类享96折，满3类享94折","")</f>
        <v/>
      </c>
      <c r="X345" s="27" t="str" cm="1">
        <f t="array" ref="X345">IF(固定信息!$B$7="","",IF(_xlfn.XLOOKUP($A345&amp;$B345&amp;$C345,盘货信息!$A:$A&amp;盘货信息!$B:$B&amp;盘货信息!$C:$C,盘货信息!$N:$N)="是","【瓜分】"&amp;固定信息!$B$7,""))</f>
        <v/>
      </c>
      <c r="Y345" s="27" t="str">
        <f>IF(AND($V345="",$W345="",$X345=""),"",固定信息!$B$1)</f>
        <v/>
      </c>
      <c r="Z345" s="27" t="str" cm="1">
        <f t="array" ref="Z345">IF($C345="","",_xlfn.XLOOKUP($A345&amp;$B345&amp;$C345,服务!$A:$A&amp;服务!$B:$B&amp;服务!$C:$C,服务!$D:$D))</f>
        <v/>
      </c>
    </row>
    <row r="346" customHeight="1" spans="1:26">
      <c r="A346" s="23" t="str">
        <f>IF(盘货信息!A346="","",盘货信息!A346)</f>
        <v/>
      </c>
      <c r="B346" s="26" t="str">
        <f>IF(盘货信息!B346="","",盘货信息!B346)</f>
        <v/>
      </c>
      <c r="C346" s="23" t="str">
        <f>IF(盘货信息!C346="","",盘货信息!C346)</f>
        <v/>
      </c>
      <c r="D346" s="27" t="str">
        <f ca="1" t="shared" si="5"/>
        <v/>
      </c>
      <c r="E346" s="27" t="str">
        <f>IF(C346="","",固定信息!$B$2)</f>
        <v/>
      </c>
      <c r="F346" s="27" t="str">
        <f>IF(C346="","","【"&amp;C346&amp;"】"&amp;固定信息!$B$4)</f>
        <v/>
      </c>
      <c r="G346" s="27" t="str">
        <f>IF(C346="","","【"&amp;"活动时间："&amp;固定信息!$B$3&amp;"】")</f>
        <v/>
      </c>
      <c r="H346" s="27" t="str">
        <f>IF($C346="","",固定信息!$B$1)</f>
        <v/>
      </c>
      <c r="I346" s="27" t="str">
        <f>IF(OR(C346="",固定信息!$B$5=""),"","【1元预约锁好礼】"&amp;固定信息!$B$5)</f>
        <v/>
      </c>
      <c r="J346" s="27" t="str" cm="1">
        <f t="array" ref="J346">_xlfn.XLOOKUP($A346&amp;$B346&amp;$C346,价格信息!$A:$A&amp;价格信息!$B:$B&amp;价格信息!$C:$C,价格信息!$D:$D)</f>
        <v/>
      </c>
      <c r="K346" s="27" t="str">
        <f>IF($C346="","",固定信息!$B$1)</f>
        <v/>
      </c>
      <c r="L346" s="27" t="str" cm="1">
        <f t="array" ref="L346">IF(_xlfn.XLOOKUP($A346&amp;$B346&amp;$C346,盘货信息!$A:$A&amp;盘货信息!$B:$B&amp;盘货信息!$C:$C,盘货信息!$T:$T)="","","【优惠券】领"&amp;_xlfn.XLOOKUP($A346&amp;$B346&amp;$C346,盘货信息!$A:$A&amp;盘货信息!$B:$B&amp;盘货信息!$C:$C,盘货信息!$T:$T)&amp;"元优惠卷下单更优惠，领券链接："&amp;_xlfn.XLOOKUP($A346&amp;$B346&amp;$C346,盘货信息!$A:$A&amp;盘货信息!$B:$B&amp;盘货信息!$C:$C,盘货信息!$U:$U))</f>
        <v/>
      </c>
      <c r="M346" s="27" t="str" cm="1">
        <f t="array" ref="M346">IF(_xlfn.XLOOKUP($A346&amp;$B346&amp;$C346,盘货信息!$A:$A&amp;盘货信息!$B:$B&amp;盘货信息!$C:$C,盘货信息!$P:$P)="","","【限时】"&amp;_xlfn.XLOOKUP($A346&amp;$B346&amp;$C346,盘货信息!$A:$A&amp;盘货信息!$B:$B&amp;盘货信息!$C:$C,盘货信息!$P:$P))</f>
        <v/>
      </c>
      <c r="N346" s="27" t="str" cm="1">
        <f t="array" ref="N346">IF(_xlfn.XLOOKUP($A346&amp;$B346&amp;$C346,盘货信息!$A:$A&amp;盘货信息!$B:$B&amp;盘货信息!$C:$C,盘货信息!$V:$V)="","","【"&amp;盘货信息!$V$1&amp;"】"&amp;_xlfn.XLOOKUP($A346&amp;$B346&amp;$C346,盘货信息!$A:$A&amp;盘货信息!$B:$B&amp;盘货信息!$C:$C,盘货信息!$V:$V))</f>
        <v/>
      </c>
      <c r="O346" s="27" t="str" cm="1">
        <f t="array" ref="O346">IF(_xlfn.XLOOKUP($A346&amp;$B346&amp;$C346,盘货信息!$A:$A&amp;盘货信息!$B:$B&amp;盘货信息!$C:$C,盘货信息!$W:$W)="","","【"&amp;盘货信息!$W$1&amp;"】"&amp;_xlfn.XLOOKUP($A346&amp;$B346&amp;$C346,盘货信息!$A:$A&amp;盘货信息!$B:$B&amp;盘货信息!$C:$C,盘货信息!$W:$W))</f>
        <v/>
      </c>
      <c r="P346" s="27" t="str" cm="1">
        <f t="array" ref="P346">IF(_xlfn.XLOOKUP($A346&amp;$B346&amp;$C346,盘货信息!$A:$A&amp;盘货信息!$B:$B&amp;盘货信息!$C:$C,盘货信息!$S:$S)&lt;1,"","【"&amp;盘货信息!$S$1&amp;"】"&amp;"后返"&amp;_xlfn.XLOOKUP($A346&amp;$B346&amp;$C346,盘货信息!$A:$A&amp;盘货信息!$B:$B&amp;盘货信息!$C:$C,盘货信息!$S:$S)&amp;"元")</f>
        <v/>
      </c>
      <c r="Q346" s="27" t="str" cm="1">
        <f t="array" ref="Q346">IF(_xlfn.XLOOKUP($A346&amp;$B346&amp;$C346,盘货信息!$A:$A&amp;盘货信息!$B:$B&amp;盘货信息!$C:$C,盘货信息!$X:$X)="","","【"&amp;盘货信息!$X$1&amp;"】"&amp;_xlfn.XLOOKUP($A346&amp;$B346&amp;$C346,盘货信息!$A:$A&amp;盘货信息!$B:$B&amp;盘货信息!$C:$C,盘货信息!$X:$X))</f>
        <v/>
      </c>
      <c r="R346" s="27" t="str" cm="1">
        <f t="array" ref="R346">IF(_xlfn.XLOOKUP($A346&amp;$B346&amp;$C346,盘货信息!$A:$A&amp;盘货信息!$B:$B&amp;盘货信息!$C:$C,盘货信息!$Z:$Z)="","","【"&amp;盘货信息!$Z$1&amp;"】"&amp;_xlfn.XLOOKUP($A346&amp;$B346&amp;$C346,盘货信息!$A:$A&amp;盘货信息!$B:$B&amp;盘货信息!$C:$C,盘货信息!$Z:$Z))</f>
        <v/>
      </c>
      <c r="S346" s="27" t="str" cm="1">
        <f t="array" ref="S346">IF(_xlfn.XLOOKUP($A346&amp;$B346&amp;$C346,盘货信息!$A:$A&amp;盘货信息!$B:$B&amp;盘货信息!$C:$C,盘货信息!$Q:$Q)="","","【种草】站外带指定话题种草后返"&amp;_xlfn.XLOOKUP($A346&amp;$B346&amp;$C346,盘货信息!$A:$A&amp;盘货信息!$B:$B&amp;盘货信息!$C:$C,盘货信息!$Q:$Q)&amp;"元红包（每个淘宝账号仅限对应一个站外种草账号，同一个种草账号不可对应多个淘宝账号）")</f>
        <v/>
      </c>
      <c r="T346" s="27" t="str" cm="1">
        <f t="array" ref="T346">IF(_xlfn.XLOOKUP($A346&amp;$B346&amp;$C346,盘货信息!$A:$A&amp;盘货信息!$B:$B&amp;盘货信息!$C:$C,盘货信息!$R:$R)&lt;1,"","【以旧换新】"&amp;"享补贴"&amp;ROUND(_xlfn.XLOOKUP($A346&amp;$B346&amp;$C346,盘货信息!$A:$A&amp;盘货信息!$B:$B&amp;盘货信息!$C:$C,盘货信息!$R:$R),0)&amp;"元（可无旧机换新）")</f>
        <v/>
      </c>
      <c r="U346" s="27" t="str">
        <f>IF(AND($N346="",$O346="",$P346="",$Q346="",$R346="",$S346="",$T346=""),"",固定信息!$B$1)</f>
        <v/>
      </c>
      <c r="V346" s="27" t="str" cm="1">
        <f t="array" ref="V346">IF(_xlfn.XLOOKUP($A346&amp;$B346&amp;$C346,盘货信息!$A:$A&amp;盘货信息!$B:$B&amp;盘货信息!$C:$C,盘货信息!$Y:$Y)="","","【卡萨帝送赠】活动指定时间"&amp;_xlfn.TEXTBEFORE(_xlfn.TEXTAFTER(_xlfn.XLOOKUP($A346&amp;$B346&amp;$C346,盘货信息!$A:$A&amp;盘货信息!$B:$B&amp;盘货信息!$C:$C,盘货信息!$Y:$Y),"点"),"（"))</f>
        <v/>
      </c>
      <c r="W346" s="27" t="str" cm="1">
        <f t="array" ref="W346">IF(COUNTIF(_xlfn.XLOOKUP($A346&amp;$B346&amp;$C346,盘货信息!$A:$A&amp;盘货信息!$B:$B&amp;盘货信息!$C:$C,盘货信息!$O:$O),"*是*"),"【折扣】指定型号满2类享96折，满3类享94折","")</f>
        <v/>
      </c>
      <c r="X346" s="27" t="str" cm="1">
        <f t="array" ref="X346">IF(固定信息!$B$7="","",IF(_xlfn.XLOOKUP($A346&amp;$B346&amp;$C346,盘货信息!$A:$A&amp;盘货信息!$B:$B&amp;盘货信息!$C:$C,盘货信息!$N:$N)="是","【瓜分】"&amp;固定信息!$B$7,""))</f>
        <v/>
      </c>
      <c r="Y346" s="27" t="str">
        <f>IF(AND($V346="",$W346="",$X346=""),"",固定信息!$B$1)</f>
        <v/>
      </c>
      <c r="Z346" s="27" t="str" cm="1">
        <f t="array" ref="Z346">IF($C346="","",_xlfn.XLOOKUP($A346&amp;$B346&amp;$C346,服务!$A:$A&amp;服务!$B:$B&amp;服务!$C:$C,服务!$D:$D))</f>
        <v/>
      </c>
    </row>
    <row r="347" customHeight="1" spans="1:26">
      <c r="A347" s="23" t="str">
        <f>IF(盘货信息!A347="","",盘货信息!A347)</f>
        <v/>
      </c>
      <c r="B347" s="26" t="str">
        <f>IF(盘货信息!B347="","",盘货信息!B347)</f>
        <v/>
      </c>
      <c r="C347" s="23" t="str">
        <f>IF(盘货信息!C347="","",盘货信息!C347)</f>
        <v/>
      </c>
      <c r="D347" s="27" t="str">
        <f ca="1" t="shared" si="5"/>
        <v/>
      </c>
      <c r="E347" s="27" t="str">
        <f>IF(C347="","",固定信息!$B$2)</f>
        <v/>
      </c>
      <c r="F347" s="27" t="str">
        <f>IF(C347="","","【"&amp;C347&amp;"】"&amp;固定信息!$B$4)</f>
        <v/>
      </c>
      <c r="G347" s="27" t="str">
        <f>IF(C347="","","【"&amp;"活动时间："&amp;固定信息!$B$3&amp;"】")</f>
        <v/>
      </c>
      <c r="H347" s="27" t="str">
        <f>IF($C347="","",固定信息!$B$1)</f>
        <v/>
      </c>
      <c r="I347" s="27" t="str">
        <f>IF(OR(C347="",固定信息!$B$5=""),"","【1元预约锁好礼】"&amp;固定信息!$B$5)</f>
        <v/>
      </c>
      <c r="J347" s="27" t="str" cm="1">
        <f t="array" ref="J347">_xlfn.XLOOKUP($A347&amp;$B347&amp;$C347,价格信息!$A:$A&amp;价格信息!$B:$B&amp;价格信息!$C:$C,价格信息!$D:$D)</f>
        <v/>
      </c>
      <c r="K347" s="27" t="str">
        <f>IF($C347="","",固定信息!$B$1)</f>
        <v/>
      </c>
      <c r="L347" s="27" t="str" cm="1">
        <f t="array" ref="L347">IF(_xlfn.XLOOKUP($A347&amp;$B347&amp;$C347,盘货信息!$A:$A&amp;盘货信息!$B:$B&amp;盘货信息!$C:$C,盘货信息!$T:$T)="","","【优惠券】领"&amp;_xlfn.XLOOKUP($A347&amp;$B347&amp;$C347,盘货信息!$A:$A&amp;盘货信息!$B:$B&amp;盘货信息!$C:$C,盘货信息!$T:$T)&amp;"元优惠卷下单更优惠，领券链接："&amp;_xlfn.XLOOKUP($A347&amp;$B347&amp;$C347,盘货信息!$A:$A&amp;盘货信息!$B:$B&amp;盘货信息!$C:$C,盘货信息!$U:$U))</f>
        <v/>
      </c>
      <c r="M347" s="27" t="str" cm="1">
        <f t="array" ref="M347">IF(_xlfn.XLOOKUP($A347&amp;$B347&amp;$C347,盘货信息!$A:$A&amp;盘货信息!$B:$B&amp;盘货信息!$C:$C,盘货信息!$P:$P)="","","【限时】"&amp;_xlfn.XLOOKUP($A347&amp;$B347&amp;$C347,盘货信息!$A:$A&amp;盘货信息!$B:$B&amp;盘货信息!$C:$C,盘货信息!$P:$P))</f>
        <v/>
      </c>
      <c r="N347" s="27" t="str" cm="1">
        <f t="array" ref="N347">IF(_xlfn.XLOOKUP($A347&amp;$B347&amp;$C347,盘货信息!$A:$A&amp;盘货信息!$B:$B&amp;盘货信息!$C:$C,盘货信息!$V:$V)="","","【"&amp;盘货信息!$V$1&amp;"】"&amp;_xlfn.XLOOKUP($A347&amp;$B347&amp;$C347,盘货信息!$A:$A&amp;盘货信息!$B:$B&amp;盘货信息!$C:$C,盘货信息!$V:$V))</f>
        <v/>
      </c>
      <c r="O347" s="27" t="str" cm="1">
        <f t="array" ref="O347">IF(_xlfn.XLOOKUP($A347&amp;$B347&amp;$C347,盘货信息!$A:$A&amp;盘货信息!$B:$B&amp;盘货信息!$C:$C,盘货信息!$W:$W)="","","【"&amp;盘货信息!$W$1&amp;"】"&amp;_xlfn.XLOOKUP($A347&amp;$B347&amp;$C347,盘货信息!$A:$A&amp;盘货信息!$B:$B&amp;盘货信息!$C:$C,盘货信息!$W:$W))</f>
        <v/>
      </c>
      <c r="P347" s="27" t="str" cm="1">
        <f t="array" ref="P347">IF(_xlfn.XLOOKUP($A347&amp;$B347&amp;$C347,盘货信息!$A:$A&amp;盘货信息!$B:$B&amp;盘货信息!$C:$C,盘货信息!$S:$S)&lt;1,"","【"&amp;盘货信息!$S$1&amp;"】"&amp;"后返"&amp;_xlfn.XLOOKUP($A347&amp;$B347&amp;$C347,盘货信息!$A:$A&amp;盘货信息!$B:$B&amp;盘货信息!$C:$C,盘货信息!$S:$S)&amp;"元")</f>
        <v/>
      </c>
      <c r="Q347" s="27" t="str" cm="1">
        <f t="array" ref="Q347">IF(_xlfn.XLOOKUP($A347&amp;$B347&amp;$C347,盘货信息!$A:$A&amp;盘货信息!$B:$B&amp;盘货信息!$C:$C,盘货信息!$X:$X)="","","【"&amp;盘货信息!$X$1&amp;"】"&amp;_xlfn.XLOOKUP($A347&amp;$B347&amp;$C347,盘货信息!$A:$A&amp;盘货信息!$B:$B&amp;盘货信息!$C:$C,盘货信息!$X:$X))</f>
        <v/>
      </c>
      <c r="R347" s="27" t="str" cm="1">
        <f t="array" ref="R347">IF(_xlfn.XLOOKUP($A347&amp;$B347&amp;$C347,盘货信息!$A:$A&amp;盘货信息!$B:$B&amp;盘货信息!$C:$C,盘货信息!$Z:$Z)="","","【"&amp;盘货信息!$Z$1&amp;"】"&amp;_xlfn.XLOOKUP($A347&amp;$B347&amp;$C347,盘货信息!$A:$A&amp;盘货信息!$B:$B&amp;盘货信息!$C:$C,盘货信息!$Z:$Z))</f>
        <v/>
      </c>
      <c r="S347" s="27" t="str" cm="1">
        <f t="array" ref="S347">IF(_xlfn.XLOOKUP($A347&amp;$B347&amp;$C347,盘货信息!$A:$A&amp;盘货信息!$B:$B&amp;盘货信息!$C:$C,盘货信息!$Q:$Q)="","","【种草】站外带指定话题种草后返"&amp;_xlfn.XLOOKUP($A347&amp;$B347&amp;$C347,盘货信息!$A:$A&amp;盘货信息!$B:$B&amp;盘货信息!$C:$C,盘货信息!$Q:$Q)&amp;"元红包（每个淘宝账号仅限对应一个站外种草账号，同一个种草账号不可对应多个淘宝账号）")</f>
        <v/>
      </c>
      <c r="T347" s="27" t="str" cm="1">
        <f t="array" ref="T347">IF(_xlfn.XLOOKUP($A347&amp;$B347&amp;$C347,盘货信息!$A:$A&amp;盘货信息!$B:$B&amp;盘货信息!$C:$C,盘货信息!$R:$R)&lt;1,"","【以旧换新】"&amp;"享补贴"&amp;ROUND(_xlfn.XLOOKUP($A347&amp;$B347&amp;$C347,盘货信息!$A:$A&amp;盘货信息!$B:$B&amp;盘货信息!$C:$C,盘货信息!$R:$R),0)&amp;"元（可无旧机换新）")</f>
        <v/>
      </c>
      <c r="U347" s="27" t="str">
        <f>IF(AND($N347="",$O347="",$P347="",$Q347="",$R347="",$S347="",$T347=""),"",固定信息!$B$1)</f>
        <v/>
      </c>
      <c r="V347" s="27" t="str" cm="1">
        <f t="array" ref="V347">IF(_xlfn.XLOOKUP($A347&amp;$B347&amp;$C347,盘货信息!$A:$A&amp;盘货信息!$B:$B&amp;盘货信息!$C:$C,盘货信息!$Y:$Y)="","","【卡萨帝送赠】活动指定时间"&amp;_xlfn.TEXTBEFORE(_xlfn.TEXTAFTER(_xlfn.XLOOKUP($A347&amp;$B347&amp;$C347,盘货信息!$A:$A&amp;盘货信息!$B:$B&amp;盘货信息!$C:$C,盘货信息!$Y:$Y),"点"),"（"))</f>
        <v/>
      </c>
      <c r="W347" s="27" t="str" cm="1">
        <f t="array" ref="W347">IF(COUNTIF(_xlfn.XLOOKUP($A347&amp;$B347&amp;$C347,盘货信息!$A:$A&amp;盘货信息!$B:$B&amp;盘货信息!$C:$C,盘货信息!$O:$O),"*是*"),"【折扣】指定型号满2类享96折，满3类享94折","")</f>
        <v/>
      </c>
      <c r="X347" s="27" t="str" cm="1">
        <f t="array" ref="X347">IF(固定信息!$B$7="","",IF(_xlfn.XLOOKUP($A347&amp;$B347&amp;$C347,盘货信息!$A:$A&amp;盘货信息!$B:$B&amp;盘货信息!$C:$C,盘货信息!$N:$N)="是","【瓜分】"&amp;固定信息!$B$7,""))</f>
        <v/>
      </c>
      <c r="Y347" s="27" t="str">
        <f>IF(AND($V347="",$W347="",$X347=""),"",固定信息!$B$1)</f>
        <v/>
      </c>
      <c r="Z347" s="27" t="str" cm="1">
        <f t="array" ref="Z347">IF($C347="","",_xlfn.XLOOKUP($A347&amp;$B347&amp;$C347,服务!$A:$A&amp;服务!$B:$B&amp;服务!$C:$C,服务!$D:$D))</f>
        <v/>
      </c>
    </row>
    <row r="348" customHeight="1" spans="1:26">
      <c r="A348" s="23" t="str">
        <f>IF(盘货信息!A348="","",盘货信息!A348)</f>
        <v/>
      </c>
      <c r="B348" s="26" t="str">
        <f>IF(盘货信息!B348="","",盘货信息!B348)</f>
        <v/>
      </c>
      <c r="C348" s="23" t="str">
        <f>IF(盘货信息!C348="","",盘货信息!C348)</f>
        <v/>
      </c>
      <c r="D348" s="27" t="str">
        <f ca="1" t="shared" si="5"/>
        <v/>
      </c>
      <c r="E348" s="27" t="str">
        <f>IF(C348="","",固定信息!$B$2)</f>
        <v/>
      </c>
      <c r="F348" s="27" t="str">
        <f>IF(C348="","","【"&amp;C348&amp;"】"&amp;固定信息!$B$4)</f>
        <v/>
      </c>
      <c r="G348" s="27" t="str">
        <f>IF(C348="","","【"&amp;"活动时间："&amp;固定信息!$B$3&amp;"】")</f>
        <v/>
      </c>
      <c r="H348" s="27" t="str">
        <f>IF($C348="","",固定信息!$B$1)</f>
        <v/>
      </c>
      <c r="I348" s="27" t="str">
        <f>IF(OR(C348="",固定信息!$B$5=""),"","【1元预约锁好礼】"&amp;固定信息!$B$5)</f>
        <v/>
      </c>
      <c r="J348" s="27" t="str" cm="1">
        <f t="array" ref="J348">_xlfn.XLOOKUP($A348&amp;$B348&amp;$C348,价格信息!$A:$A&amp;价格信息!$B:$B&amp;价格信息!$C:$C,价格信息!$D:$D)</f>
        <v/>
      </c>
      <c r="K348" s="27" t="str">
        <f>IF($C348="","",固定信息!$B$1)</f>
        <v/>
      </c>
      <c r="L348" s="27" t="str" cm="1">
        <f t="array" ref="L348">IF(_xlfn.XLOOKUP($A348&amp;$B348&amp;$C348,盘货信息!$A:$A&amp;盘货信息!$B:$B&amp;盘货信息!$C:$C,盘货信息!$T:$T)="","","【优惠券】领"&amp;_xlfn.XLOOKUP($A348&amp;$B348&amp;$C348,盘货信息!$A:$A&amp;盘货信息!$B:$B&amp;盘货信息!$C:$C,盘货信息!$T:$T)&amp;"元优惠卷下单更优惠，领券链接："&amp;_xlfn.XLOOKUP($A348&amp;$B348&amp;$C348,盘货信息!$A:$A&amp;盘货信息!$B:$B&amp;盘货信息!$C:$C,盘货信息!$U:$U))</f>
        <v/>
      </c>
      <c r="M348" s="27" t="str" cm="1">
        <f t="array" ref="M348">IF(_xlfn.XLOOKUP($A348&amp;$B348&amp;$C348,盘货信息!$A:$A&amp;盘货信息!$B:$B&amp;盘货信息!$C:$C,盘货信息!$P:$P)="","","【限时】"&amp;_xlfn.XLOOKUP($A348&amp;$B348&amp;$C348,盘货信息!$A:$A&amp;盘货信息!$B:$B&amp;盘货信息!$C:$C,盘货信息!$P:$P))</f>
        <v/>
      </c>
      <c r="N348" s="27" t="str" cm="1">
        <f t="array" ref="N348">IF(_xlfn.XLOOKUP($A348&amp;$B348&amp;$C348,盘货信息!$A:$A&amp;盘货信息!$B:$B&amp;盘货信息!$C:$C,盘货信息!$V:$V)="","","【"&amp;盘货信息!$V$1&amp;"】"&amp;_xlfn.XLOOKUP($A348&amp;$B348&amp;$C348,盘货信息!$A:$A&amp;盘货信息!$B:$B&amp;盘货信息!$C:$C,盘货信息!$V:$V))</f>
        <v/>
      </c>
      <c r="O348" s="27" t="str" cm="1">
        <f t="array" ref="O348">IF(_xlfn.XLOOKUP($A348&amp;$B348&amp;$C348,盘货信息!$A:$A&amp;盘货信息!$B:$B&amp;盘货信息!$C:$C,盘货信息!$W:$W)="","","【"&amp;盘货信息!$W$1&amp;"】"&amp;_xlfn.XLOOKUP($A348&amp;$B348&amp;$C348,盘货信息!$A:$A&amp;盘货信息!$B:$B&amp;盘货信息!$C:$C,盘货信息!$W:$W))</f>
        <v/>
      </c>
      <c r="P348" s="27" t="str" cm="1">
        <f t="array" ref="P348">IF(_xlfn.XLOOKUP($A348&amp;$B348&amp;$C348,盘货信息!$A:$A&amp;盘货信息!$B:$B&amp;盘货信息!$C:$C,盘货信息!$S:$S)&lt;1,"","【"&amp;盘货信息!$S$1&amp;"】"&amp;"后返"&amp;_xlfn.XLOOKUP($A348&amp;$B348&amp;$C348,盘货信息!$A:$A&amp;盘货信息!$B:$B&amp;盘货信息!$C:$C,盘货信息!$S:$S)&amp;"元")</f>
        <v/>
      </c>
      <c r="Q348" s="27" t="str" cm="1">
        <f t="array" ref="Q348">IF(_xlfn.XLOOKUP($A348&amp;$B348&amp;$C348,盘货信息!$A:$A&amp;盘货信息!$B:$B&amp;盘货信息!$C:$C,盘货信息!$X:$X)="","","【"&amp;盘货信息!$X$1&amp;"】"&amp;_xlfn.XLOOKUP($A348&amp;$B348&amp;$C348,盘货信息!$A:$A&amp;盘货信息!$B:$B&amp;盘货信息!$C:$C,盘货信息!$X:$X))</f>
        <v/>
      </c>
      <c r="R348" s="27" t="str" cm="1">
        <f t="array" ref="R348">IF(_xlfn.XLOOKUP($A348&amp;$B348&amp;$C348,盘货信息!$A:$A&amp;盘货信息!$B:$B&amp;盘货信息!$C:$C,盘货信息!$Z:$Z)="","","【"&amp;盘货信息!$Z$1&amp;"】"&amp;_xlfn.XLOOKUP($A348&amp;$B348&amp;$C348,盘货信息!$A:$A&amp;盘货信息!$B:$B&amp;盘货信息!$C:$C,盘货信息!$Z:$Z))</f>
        <v/>
      </c>
      <c r="S348" s="27" t="str" cm="1">
        <f t="array" ref="S348">IF(_xlfn.XLOOKUP($A348&amp;$B348&amp;$C348,盘货信息!$A:$A&amp;盘货信息!$B:$B&amp;盘货信息!$C:$C,盘货信息!$Q:$Q)="","","【种草】站外带指定话题种草后返"&amp;_xlfn.XLOOKUP($A348&amp;$B348&amp;$C348,盘货信息!$A:$A&amp;盘货信息!$B:$B&amp;盘货信息!$C:$C,盘货信息!$Q:$Q)&amp;"元红包（每个淘宝账号仅限对应一个站外种草账号，同一个种草账号不可对应多个淘宝账号）")</f>
        <v/>
      </c>
      <c r="T348" s="27" t="str" cm="1">
        <f t="array" ref="T348">IF(_xlfn.XLOOKUP($A348&amp;$B348&amp;$C348,盘货信息!$A:$A&amp;盘货信息!$B:$B&amp;盘货信息!$C:$C,盘货信息!$R:$R)&lt;1,"","【以旧换新】"&amp;"享补贴"&amp;ROUND(_xlfn.XLOOKUP($A348&amp;$B348&amp;$C348,盘货信息!$A:$A&amp;盘货信息!$B:$B&amp;盘货信息!$C:$C,盘货信息!$R:$R),0)&amp;"元（可无旧机换新）")</f>
        <v/>
      </c>
      <c r="U348" s="27" t="str">
        <f>IF(AND($N348="",$O348="",$P348="",$Q348="",$R348="",$S348="",$T348=""),"",固定信息!$B$1)</f>
        <v/>
      </c>
      <c r="V348" s="27" t="str" cm="1">
        <f t="array" ref="V348">IF(_xlfn.XLOOKUP($A348&amp;$B348&amp;$C348,盘货信息!$A:$A&amp;盘货信息!$B:$B&amp;盘货信息!$C:$C,盘货信息!$Y:$Y)="","","【卡萨帝送赠】活动指定时间"&amp;_xlfn.TEXTBEFORE(_xlfn.TEXTAFTER(_xlfn.XLOOKUP($A348&amp;$B348&amp;$C348,盘货信息!$A:$A&amp;盘货信息!$B:$B&amp;盘货信息!$C:$C,盘货信息!$Y:$Y),"点"),"（"))</f>
        <v/>
      </c>
      <c r="W348" s="27" t="str" cm="1">
        <f t="array" ref="W348">IF(COUNTIF(_xlfn.XLOOKUP($A348&amp;$B348&amp;$C348,盘货信息!$A:$A&amp;盘货信息!$B:$B&amp;盘货信息!$C:$C,盘货信息!$O:$O),"*是*"),"【折扣】指定型号满2类享96折，满3类享94折","")</f>
        <v/>
      </c>
      <c r="X348" s="27" t="str" cm="1">
        <f t="array" ref="X348">IF(固定信息!$B$7="","",IF(_xlfn.XLOOKUP($A348&amp;$B348&amp;$C348,盘货信息!$A:$A&amp;盘货信息!$B:$B&amp;盘货信息!$C:$C,盘货信息!$N:$N)="是","【瓜分】"&amp;固定信息!$B$7,""))</f>
        <v/>
      </c>
      <c r="Y348" s="27" t="str">
        <f>IF(AND($V348="",$W348="",$X348=""),"",固定信息!$B$1)</f>
        <v/>
      </c>
      <c r="Z348" s="27" t="str" cm="1">
        <f t="array" ref="Z348">IF($C348="","",_xlfn.XLOOKUP($A348&amp;$B348&amp;$C348,服务!$A:$A&amp;服务!$B:$B&amp;服务!$C:$C,服务!$D:$D))</f>
        <v/>
      </c>
    </row>
    <row r="349" customHeight="1" spans="1:26">
      <c r="A349" s="23" t="str">
        <f>IF(盘货信息!A349="","",盘货信息!A349)</f>
        <v/>
      </c>
      <c r="B349" s="26" t="str">
        <f>IF(盘货信息!B349="","",盘货信息!B349)</f>
        <v/>
      </c>
      <c r="C349" s="23" t="str">
        <f>IF(盘货信息!C349="","",盘货信息!C349)</f>
        <v/>
      </c>
      <c r="D349" s="27" t="str">
        <f ca="1" t="shared" si="5"/>
        <v/>
      </c>
      <c r="E349" s="27" t="str">
        <f>IF(C349="","",固定信息!$B$2)</f>
        <v/>
      </c>
      <c r="F349" s="27" t="str">
        <f>IF(C349="","","【"&amp;C349&amp;"】"&amp;固定信息!$B$4)</f>
        <v/>
      </c>
      <c r="G349" s="27" t="str">
        <f>IF(C349="","","【"&amp;"活动时间："&amp;固定信息!$B$3&amp;"】")</f>
        <v/>
      </c>
      <c r="H349" s="27" t="str">
        <f>IF($C349="","",固定信息!$B$1)</f>
        <v/>
      </c>
      <c r="I349" s="27" t="str">
        <f>IF(OR(C349="",固定信息!$B$5=""),"","【1元预约锁好礼】"&amp;固定信息!$B$5)</f>
        <v/>
      </c>
      <c r="J349" s="27" t="str" cm="1">
        <f t="array" ref="J349">_xlfn.XLOOKUP($A349&amp;$B349&amp;$C349,价格信息!$A:$A&amp;价格信息!$B:$B&amp;价格信息!$C:$C,价格信息!$D:$D)</f>
        <v/>
      </c>
      <c r="K349" s="27" t="str">
        <f>IF($C349="","",固定信息!$B$1)</f>
        <v/>
      </c>
      <c r="L349" s="27" t="str" cm="1">
        <f t="array" ref="L349">IF(_xlfn.XLOOKUP($A349&amp;$B349&amp;$C349,盘货信息!$A:$A&amp;盘货信息!$B:$B&amp;盘货信息!$C:$C,盘货信息!$T:$T)="","","【优惠券】领"&amp;_xlfn.XLOOKUP($A349&amp;$B349&amp;$C349,盘货信息!$A:$A&amp;盘货信息!$B:$B&amp;盘货信息!$C:$C,盘货信息!$T:$T)&amp;"元优惠卷下单更优惠，领券链接："&amp;_xlfn.XLOOKUP($A349&amp;$B349&amp;$C349,盘货信息!$A:$A&amp;盘货信息!$B:$B&amp;盘货信息!$C:$C,盘货信息!$U:$U))</f>
        <v/>
      </c>
      <c r="M349" s="27" t="str" cm="1">
        <f t="array" ref="M349">IF(_xlfn.XLOOKUP($A349&amp;$B349&amp;$C349,盘货信息!$A:$A&amp;盘货信息!$B:$B&amp;盘货信息!$C:$C,盘货信息!$P:$P)="","","【限时】"&amp;_xlfn.XLOOKUP($A349&amp;$B349&amp;$C349,盘货信息!$A:$A&amp;盘货信息!$B:$B&amp;盘货信息!$C:$C,盘货信息!$P:$P))</f>
        <v/>
      </c>
      <c r="N349" s="27" t="str" cm="1">
        <f t="array" ref="N349">IF(_xlfn.XLOOKUP($A349&amp;$B349&amp;$C349,盘货信息!$A:$A&amp;盘货信息!$B:$B&amp;盘货信息!$C:$C,盘货信息!$V:$V)="","","【"&amp;盘货信息!$V$1&amp;"】"&amp;_xlfn.XLOOKUP($A349&amp;$B349&amp;$C349,盘货信息!$A:$A&amp;盘货信息!$B:$B&amp;盘货信息!$C:$C,盘货信息!$V:$V))</f>
        <v/>
      </c>
      <c r="O349" s="27" t="str" cm="1">
        <f t="array" ref="O349">IF(_xlfn.XLOOKUP($A349&amp;$B349&amp;$C349,盘货信息!$A:$A&amp;盘货信息!$B:$B&amp;盘货信息!$C:$C,盘货信息!$W:$W)="","","【"&amp;盘货信息!$W$1&amp;"】"&amp;_xlfn.XLOOKUP($A349&amp;$B349&amp;$C349,盘货信息!$A:$A&amp;盘货信息!$B:$B&amp;盘货信息!$C:$C,盘货信息!$W:$W))</f>
        <v/>
      </c>
      <c r="P349" s="27" t="str" cm="1">
        <f t="array" ref="P349">IF(_xlfn.XLOOKUP($A349&amp;$B349&amp;$C349,盘货信息!$A:$A&amp;盘货信息!$B:$B&amp;盘货信息!$C:$C,盘货信息!$S:$S)&lt;1,"","【"&amp;盘货信息!$S$1&amp;"】"&amp;"后返"&amp;_xlfn.XLOOKUP($A349&amp;$B349&amp;$C349,盘货信息!$A:$A&amp;盘货信息!$B:$B&amp;盘货信息!$C:$C,盘货信息!$S:$S)&amp;"元")</f>
        <v/>
      </c>
      <c r="Q349" s="27" t="str" cm="1">
        <f t="array" ref="Q349">IF(_xlfn.XLOOKUP($A349&amp;$B349&amp;$C349,盘货信息!$A:$A&amp;盘货信息!$B:$B&amp;盘货信息!$C:$C,盘货信息!$X:$X)="","","【"&amp;盘货信息!$X$1&amp;"】"&amp;_xlfn.XLOOKUP($A349&amp;$B349&amp;$C349,盘货信息!$A:$A&amp;盘货信息!$B:$B&amp;盘货信息!$C:$C,盘货信息!$X:$X))</f>
        <v/>
      </c>
      <c r="R349" s="27" t="str" cm="1">
        <f t="array" ref="R349">IF(_xlfn.XLOOKUP($A349&amp;$B349&amp;$C349,盘货信息!$A:$A&amp;盘货信息!$B:$B&amp;盘货信息!$C:$C,盘货信息!$Z:$Z)="","","【"&amp;盘货信息!$Z$1&amp;"】"&amp;_xlfn.XLOOKUP($A349&amp;$B349&amp;$C349,盘货信息!$A:$A&amp;盘货信息!$B:$B&amp;盘货信息!$C:$C,盘货信息!$Z:$Z))</f>
        <v/>
      </c>
      <c r="S349" s="27" t="str" cm="1">
        <f t="array" ref="S349">IF(_xlfn.XLOOKUP($A349&amp;$B349&amp;$C349,盘货信息!$A:$A&amp;盘货信息!$B:$B&amp;盘货信息!$C:$C,盘货信息!$Q:$Q)="","","【种草】站外带指定话题种草后返"&amp;_xlfn.XLOOKUP($A349&amp;$B349&amp;$C349,盘货信息!$A:$A&amp;盘货信息!$B:$B&amp;盘货信息!$C:$C,盘货信息!$Q:$Q)&amp;"元红包（每个淘宝账号仅限对应一个站外种草账号，同一个种草账号不可对应多个淘宝账号）")</f>
        <v/>
      </c>
      <c r="T349" s="27" t="str" cm="1">
        <f t="array" ref="T349">IF(_xlfn.XLOOKUP($A349&amp;$B349&amp;$C349,盘货信息!$A:$A&amp;盘货信息!$B:$B&amp;盘货信息!$C:$C,盘货信息!$R:$R)&lt;1,"","【以旧换新】"&amp;"享补贴"&amp;ROUND(_xlfn.XLOOKUP($A349&amp;$B349&amp;$C349,盘货信息!$A:$A&amp;盘货信息!$B:$B&amp;盘货信息!$C:$C,盘货信息!$R:$R),0)&amp;"元（可无旧机换新）")</f>
        <v/>
      </c>
      <c r="U349" s="27" t="str">
        <f>IF(AND($N349="",$O349="",$P349="",$Q349="",$R349="",$S349="",$T349=""),"",固定信息!$B$1)</f>
        <v/>
      </c>
      <c r="V349" s="27" t="str" cm="1">
        <f t="array" ref="V349">IF(_xlfn.XLOOKUP($A349&amp;$B349&amp;$C349,盘货信息!$A:$A&amp;盘货信息!$B:$B&amp;盘货信息!$C:$C,盘货信息!$Y:$Y)="","","【卡萨帝送赠】活动指定时间"&amp;_xlfn.TEXTBEFORE(_xlfn.TEXTAFTER(_xlfn.XLOOKUP($A349&amp;$B349&amp;$C349,盘货信息!$A:$A&amp;盘货信息!$B:$B&amp;盘货信息!$C:$C,盘货信息!$Y:$Y),"点"),"（"))</f>
        <v/>
      </c>
      <c r="W349" s="27" t="str" cm="1">
        <f t="array" ref="W349">IF(COUNTIF(_xlfn.XLOOKUP($A349&amp;$B349&amp;$C349,盘货信息!$A:$A&amp;盘货信息!$B:$B&amp;盘货信息!$C:$C,盘货信息!$O:$O),"*是*"),"【折扣】指定型号满2类享96折，满3类享94折","")</f>
        <v/>
      </c>
      <c r="X349" s="27" t="str" cm="1">
        <f t="array" ref="X349">IF(固定信息!$B$7="","",IF(_xlfn.XLOOKUP($A349&amp;$B349&amp;$C349,盘货信息!$A:$A&amp;盘货信息!$B:$B&amp;盘货信息!$C:$C,盘货信息!$N:$N)="是","【瓜分】"&amp;固定信息!$B$7,""))</f>
        <v/>
      </c>
      <c r="Y349" s="27" t="str">
        <f>IF(AND($V349="",$W349="",$X349=""),"",固定信息!$B$1)</f>
        <v/>
      </c>
      <c r="Z349" s="27" t="str" cm="1">
        <f t="array" ref="Z349">IF($C349="","",_xlfn.XLOOKUP($A349&amp;$B349&amp;$C349,服务!$A:$A&amp;服务!$B:$B&amp;服务!$C:$C,服务!$D:$D))</f>
        <v/>
      </c>
    </row>
    <row r="350" customHeight="1" spans="1:26">
      <c r="A350" s="23" t="str">
        <f>IF(盘货信息!A350="","",盘货信息!A350)</f>
        <v/>
      </c>
      <c r="B350" s="26" t="str">
        <f>IF(盘货信息!B350="","",盘货信息!B350)</f>
        <v/>
      </c>
      <c r="C350" s="23" t="str">
        <f>IF(盘货信息!C350="","",盘货信息!C350)</f>
        <v/>
      </c>
      <c r="D350" s="27" t="str">
        <f ca="1" t="shared" si="5"/>
        <v/>
      </c>
      <c r="E350" s="27" t="str">
        <f>IF(C350="","",固定信息!$B$2)</f>
        <v/>
      </c>
      <c r="F350" s="27" t="str">
        <f>IF(C350="","","【"&amp;C350&amp;"】"&amp;固定信息!$B$4)</f>
        <v/>
      </c>
      <c r="G350" s="27" t="str">
        <f>IF(C350="","","【"&amp;"活动时间："&amp;固定信息!$B$3&amp;"】")</f>
        <v/>
      </c>
      <c r="H350" s="27" t="str">
        <f>IF($C350="","",固定信息!$B$1)</f>
        <v/>
      </c>
      <c r="I350" s="27" t="str">
        <f>IF(OR(C350="",固定信息!$B$5=""),"","【1元预约锁好礼】"&amp;固定信息!$B$5)</f>
        <v/>
      </c>
      <c r="J350" s="27" t="str" cm="1">
        <f t="array" ref="J350">_xlfn.XLOOKUP($A350&amp;$B350&amp;$C350,价格信息!$A:$A&amp;价格信息!$B:$B&amp;价格信息!$C:$C,价格信息!$D:$D)</f>
        <v/>
      </c>
      <c r="K350" s="27" t="str">
        <f>IF($C350="","",固定信息!$B$1)</f>
        <v/>
      </c>
      <c r="L350" s="27" t="str" cm="1">
        <f t="array" ref="L350">IF(_xlfn.XLOOKUP($A350&amp;$B350&amp;$C350,盘货信息!$A:$A&amp;盘货信息!$B:$B&amp;盘货信息!$C:$C,盘货信息!$T:$T)="","","【优惠券】领"&amp;_xlfn.XLOOKUP($A350&amp;$B350&amp;$C350,盘货信息!$A:$A&amp;盘货信息!$B:$B&amp;盘货信息!$C:$C,盘货信息!$T:$T)&amp;"元优惠卷下单更优惠，领券链接："&amp;_xlfn.XLOOKUP($A350&amp;$B350&amp;$C350,盘货信息!$A:$A&amp;盘货信息!$B:$B&amp;盘货信息!$C:$C,盘货信息!$U:$U))</f>
        <v/>
      </c>
      <c r="M350" s="27" t="str" cm="1">
        <f t="array" ref="M350">IF(_xlfn.XLOOKUP($A350&amp;$B350&amp;$C350,盘货信息!$A:$A&amp;盘货信息!$B:$B&amp;盘货信息!$C:$C,盘货信息!$P:$P)="","","【限时】"&amp;_xlfn.XLOOKUP($A350&amp;$B350&amp;$C350,盘货信息!$A:$A&amp;盘货信息!$B:$B&amp;盘货信息!$C:$C,盘货信息!$P:$P))</f>
        <v/>
      </c>
      <c r="N350" s="27" t="str" cm="1">
        <f t="array" ref="N350">IF(_xlfn.XLOOKUP($A350&amp;$B350&amp;$C350,盘货信息!$A:$A&amp;盘货信息!$B:$B&amp;盘货信息!$C:$C,盘货信息!$V:$V)="","","【"&amp;盘货信息!$V$1&amp;"】"&amp;_xlfn.XLOOKUP($A350&amp;$B350&amp;$C350,盘货信息!$A:$A&amp;盘货信息!$B:$B&amp;盘货信息!$C:$C,盘货信息!$V:$V))</f>
        <v/>
      </c>
      <c r="O350" s="27" t="str" cm="1">
        <f t="array" ref="O350">IF(_xlfn.XLOOKUP($A350&amp;$B350&amp;$C350,盘货信息!$A:$A&amp;盘货信息!$B:$B&amp;盘货信息!$C:$C,盘货信息!$W:$W)="","","【"&amp;盘货信息!$W$1&amp;"】"&amp;_xlfn.XLOOKUP($A350&amp;$B350&amp;$C350,盘货信息!$A:$A&amp;盘货信息!$B:$B&amp;盘货信息!$C:$C,盘货信息!$W:$W))</f>
        <v/>
      </c>
      <c r="P350" s="27" t="str" cm="1">
        <f t="array" ref="P350">IF(_xlfn.XLOOKUP($A350&amp;$B350&amp;$C350,盘货信息!$A:$A&amp;盘货信息!$B:$B&amp;盘货信息!$C:$C,盘货信息!$S:$S)&lt;1,"","【"&amp;盘货信息!$S$1&amp;"】"&amp;"后返"&amp;_xlfn.XLOOKUP($A350&amp;$B350&amp;$C350,盘货信息!$A:$A&amp;盘货信息!$B:$B&amp;盘货信息!$C:$C,盘货信息!$S:$S)&amp;"元")</f>
        <v/>
      </c>
      <c r="Q350" s="27" t="str" cm="1">
        <f t="array" ref="Q350">IF(_xlfn.XLOOKUP($A350&amp;$B350&amp;$C350,盘货信息!$A:$A&amp;盘货信息!$B:$B&amp;盘货信息!$C:$C,盘货信息!$X:$X)="","","【"&amp;盘货信息!$X$1&amp;"】"&amp;_xlfn.XLOOKUP($A350&amp;$B350&amp;$C350,盘货信息!$A:$A&amp;盘货信息!$B:$B&amp;盘货信息!$C:$C,盘货信息!$X:$X))</f>
        <v/>
      </c>
      <c r="R350" s="27" t="str" cm="1">
        <f t="array" ref="R350">IF(_xlfn.XLOOKUP($A350&amp;$B350&amp;$C350,盘货信息!$A:$A&amp;盘货信息!$B:$B&amp;盘货信息!$C:$C,盘货信息!$Z:$Z)="","","【"&amp;盘货信息!$Z$1&amp;"】"&amp;_xlfn.XLOOKUP($A350&amp;$B350&amp;$C350,盘货信息!$A:$A&amp;盘货信息!$B:$B&amp;盘货信息!$C:$C,盘货信息!$Z:$Z))</f>
        <v/>
      </c>
      <c r="S350" s="27" t="str" cm="1">
        <f t="array" ref="S350">IF(_xlfn.XLOOKUP($A350&amp;$B350&amp;$C350,盘货信息!$A:$A&amp;盘货信息!$B:$B&amp;盘货信息!$C:$C,盘货信息!$Q:$Q)="","","【种草】站外带指定话题种草后返"&amp;_xlfn.XLOOKUP($A350&amp;$B350&amp;$C350,盘货信息!$A:$A&amp;盘货信息!$B:$B&amp;盘货信息!$C:$C,盘货信息!$Q:$Q)&amp;"元红包（每个淘宝账号仅限对应一个站外种草账号，同一个种草账号不可对应多个淘宝账号）")</f>
        <v/>
      </c>
      <c r="T350" s="27" t="str" cm="1">
        <f t="array" ref="T350">IF(_xlfn.XLOOKUP($A350&amp;$B350&amp;$C350,盘货信息!$A:$A&amp;盘货信息!$B:$B&amp;盘货信息!$C:$C,盘货信息!$R:$R)&lt;1,"","【以旧换新】"&amp;"享补贴"&amp;ROUND(_xlfn.XLOOKUP($A350&amp;$B350&amp;$C350,盘货信息!$A:$A&amp;盘货信息!$B:$B&amp;盘货信息!$C:$C,盘货信息!$R:$R),0)&amp;"元（可无旧机换新）")</f>
        <v/>
      </c>
      <c r="U350" s="27" t="str">
        <f>IF(AND($N350="",$O350="",$P350="",$Q350="",$R350="",$S350="",$T350=""),"",固定信息!$B$1)</f>
        <v/>
      </c>
      <c r="V350" s="27" t="str" cm="1">
        <f t="array" ref="V350">IF(_xlfn.XLOOKUP($A350&amp;$B350&amp;$C350,盘货信息!$A:$A&amp;盘货信息!$B:$B&amp;盘货信息!$C:$C,盘货信息!$Y:$Y)="","","【卡萨帝送赠】活动指定时间"&amp;_xlfn.TEXTBEFORE(_xlfn.TEXTAFTER(_xlfn.XLOOKUP($A350&amp;$B350&amp;$C350,盘货信息!$A:$A&amp;盘货信息!$B:$B&amp;盘货信息!$C:$C,盘货信息!$Y:$Y),"点"),"（"))</f>
        <v/>
      </c>
      <c r="W350" s="27" t="str" cm="1">
        <f t="array" ref="W350">IF(COUNTIF(_xlfn.XLOOKUP($A350&amp;$B350&amp;$C350,盘货信息!$A:$A&amp;盘货信息!$B:$B&amp;盘货信息!$C:$C,盘货信息!$O:$O),"*是*"),"【折扣】指定型号满2类享96折，满3类享94折","")</f>
        <v/>
      </c>
      <c r="X350" s="27" t="str" cm="1">
        <f t="array" ref="X350">IF(固定信息!$B$7="","",IF(_xlfn.XLOOKUP($A350&amp;$B350&amp;$C350,盘货信息!$A:$A&amp;盘货信息!$B:$B&amp;盘货信息!$C:$C,盘货信息!$N:$N)="是","【瓜分】"&amp;固定信息!$B$7,""))</f>
        <v/>
      </c>
      <c r="Y350" s="27" t="str">
        <f>IF(AND($V350="",$W350="",$X350=""),"",固定信息!$B$1)</f>
        <v/>
      </c>
      <c r="Z350" s="27" t="str" cm="1">
        <f t="array" ref="Z350">IF($C350="","",_xlfn.XLOOKUP($A350&amp;$B350&amp;$C350,服务!$A:$A&amp;服务!$B:$B&amp;服务!$C:$C,服务!$D:$D))</f>
        <v/>
      </c>
    </row>
    <row r="351" customHeight="1" spans="1:26">
      <c r="A351" s="23" t="str">
        <f>IF(盘货信息!A351="","",盘货信息!A351)</f>
        <v/>
      </c>
      <c r="B351" s="26" t="str">
        <f>IF(盘货信息!B351="","",盘货信息!B351)</f>
        <v/>
      </c>
      <c r="C351" s="23" t="str">
        <f>IF(盘货信息!C351="","",盘货信息!C351)</f>
        <v/>
      </c>
      <c r="D351" s="27" t="str">
        <f ca="1" t="shared" si="5"/>
        <v/>
      </c>
      <c r="E351" s="27" t="str">
        <f>IF(C351="","",固定信息!$B$2)</f>
        <v/>
      </c>
      <c r="F351" s="27" t="str">
        <f>IF(C351="","","【"&amp;C351&amp;"】"&amp;固定信息!$B$4)</f>
        <v/>
      </c>
      <c r="G351" s="27" t="str">
        <f>IF(C351="","","【"&amp;"活动时间："&amp;固定信息!$B$3&amp;"】")</f>
        <v/>
      </c>
      <c r="H351" s="27" t="str">
        <f>IF($C351="","",固定信息!$B$1)</f>
        <v/>
      </c>
      <c r="I351" s="27" t="str">
        <f>IF(OR(C351="",固定信息!$B$5=""),"","【1元预约锁好礼】"&amp;固定信息!$B$5)</f>
        <v/>
      </c>
      <c r="J351" s="27" t="str" cm="1">
        <f t="array" ref="J351">_xlfn.XLOOKUP($A351&amp;$B351&amp;$C351,价格信息!$A:$A&amp;价格信息!$B:$B&amp;价格信息!$C:$C,价格信息!$D:$D)</f>
        <v/>
      </c>
      <c r="K351" s="27" t="str">
        <f>IF($C351="","",固定信息!$B$1)</f>
        <v/>
      </c>
      <c r="L351" s="27" t="str" cm="1">
        <f t="array" ref="L351">IF(_xlfn.XLOOKUP($A351&amp;$B351&amp;$C351,盘货信息!$A:$A&amp;盘货信息!$B:$B&amp;盘货信息!$C:$C,盘货信息!$T:$T)="","","【优惠券】领"&amp;_xlfn.XLOOKUP($A351&amp;$B351&amp;$C351,盘货信息!$A:$A&amp;盘货信息!$B:$B&amp;盘货信息!$C:$C,盘货信息!$T:$T)&amp;"元优惠卷下单更优惠，领券链接："&amp;_xlfn.XLOOKUP($A351&amp;$B351&amp;$C351,盘货信息!$A:$A&amp;盘货信息!$B:$B&amp;盘货信息!$C:$C,盘货信息!$U:$U))</f>
        <v/>
      </c>
      <c r="M351" s="27" t="str" cm="1">
        <f t="array" ref="M351">IF(_xlfn.XLOOKUP($A351&amp;$B351&amp;$C351,盘货信息!$A:$A&amp;盘货信息!$B:$B&amp;盘货信息!$C:$C,盘货信息!$P:$P)="","","【限时】"&amp;_xlfn.XLOOKUP($A351&amp;$B351&amp;$C351,盘货信息!$A:$A&amp;盘货信息!$B:$B&amp;盘货信息!$C:$C,盘货信息!$P:$P))</f>
        <v/>
      </c>
      <c r="N351" s="27" t="str" cm="1">
        <f t="array" ref="N351">IF(_xlfn.XLOOKUP($A351&amp;$B351&amp;$C351,盘货信息!$A:$A&amp;盘货信息!$B:$B&amp;盘货信息!$C:$C,盘货信息!$V:$V)="","","【"&amp;盘货信息!$V$1&amp;"】"&amp;_xlfn.XLOOKUP($A351&amp;$B351&amp;$C351,盘货信息!$A:$A&amp;盘货信息!$B:$B&amp;盘货信息!$C:$C,盘货信息!$V:$V))</f>
        <v/>
      </c>
      <c r="O351" s="27" t="str" cm="1">
        <f t="array" ref="O351">IF(_xlfn.XLOOKUP($A351&amp;$B351&amp;$C351,盘货信息!$A:$A&amp;盘货信息!$B:$B&amp;盘货信息!$C:$C,盘货信息!$W:$W)="","","【"&amp;盘货信息!$W$1&amp;"】"&amp;_xlfn.XLOOKUP($A351&amp;$B351&amp;$C351,盘货信息!$A:$A&amp;盘货信息!$B:$B&amp;盘货信息!$C:$C,盘货信息!$W:$W))</f>
        <v/>
      </c>
      <c r="P351" s="27" t="str" cm="1">
        <f t="array" ref="P351">IF(_xlfn.XLOOKUP($A351&amp;$B351&amp;$C351,盘货信息!$A:$A&amp;盘货信息!$B:$B&amp;盘货信息!$C:$C,盘货信息!$S:$S)&lt;1,"","【"&amp;盘货信息!$S$1&amp;"】"&amp;"后返"&amp;_xlfn.XLOOKUP($A351&amp;$B351&amp;$C351,盘货信息!$A:$A&amp;盘货信息!$B:$B&amp;盘货信息!$C:$C,盘货信息!$S:$S)&amp;"元")</f>
        <v/>
      </c>
      <c r="Q351" s="27" t="str" cm="1">
        <f t="array" ref="Q351">IF(_xlfn.XLOOKUP($A351&amp;$B351&amp;$C351,盘货信息!$A:$A&amp;盘货信息!$B:$B&amp;盘货信息!$C:$C,盘货信息!$X:$X)="","","【"&amp;盘货信息!$X$1&amp;"】"&amp;_xlfn.XLOOKUP($A351&amp;$B351&amp;$C351,盘货信息!$A:$A&amp;盘货信息!$B:$B&amp;盘货信息!$C:$C,盘货信息!$X:$X))</f>
        <v/>
      </c>
      <c r="R351" s="27" t="str" cm="1">
        <f t="array" ref="R351">IF(_xlfn.XLOOKUP($A351&amp;$B351&amp;$C351,盘货信息!$A:$A&amp;盘货信息!$B:$B&amp;盘货信息!$C:$C,盘货信息!$Z:$Z)="","","【"&amp;盘货信息!$Z$1&amp;"】"&amp;_xlfn.XLOOKUP($A351&amp;$B351&amp;$C351,盘货信息!$A:$A&amp;盘货信息!$B:$B&amp;盘货信息!$C:$C,盘货信息!$Z:$Z))</f>
        <v/>
      </c>
      <c r="S351" s="27" t="str" cm="1">
        <f t="array" ref="S351">IF(_xlfn.XLOOKUP($A351&amp;$B351&amp;$C351,盘货信息!$A:$A&amp;盘货信息!$B:$B&amp;盘货信息!$C:$C,盘货信息!$Q:$Q)="","","【种草】站外带指定话题种草后返"&amp;_xlfn.XLOOKUP($A351&amp;$B351&amp;$C351,盘货信息!$A:$A&amp;盘货信息!$B:$B&amp;盘货信息!$C:$C,盘货信息!$Q:$Q)&amp;"元红包（每个淘宝账号仅限对应一个站外种草账号，同一个种草账号不可对应多个淘宝账号）")</f>
        <v/>
      </c>
      <c r="T351" s="27" t="str" cm="1">
        <f t="array" ref="T351">IF(_xlfn.XLOOKUP($A351&amp;$B351&amp;$C351,盘货信息!$A:$A&amp;盘货信息!$B:$B&amp;盘货信息!$C:$C,盘货信息!$R:$R)&lt;1,"","【以旧换新】"&amp;"享补贴"&amp;ROUND(_xlfn.XLOOKUP($A351&amp;$B351&amp;$C351,盘货信息!$A:$A&amp;盘货信息!$B:$B&amp;盘货信息!$C:$C,盘货信息!$R:$R),0)&amp;"元（可无旧机换新）")</f>
        <v/>
      </c>
      <c r="U351" s="27" t="str">
        <f>IF(AND($N351="",$O351="",$P351="",$Q351="",$R351="",$S351="",$T351=""),"",固定信息!$B$1)</f>
        <v/>
      </c>
      <c r="V351" s="27" t="str" cm="1">
        <f t="array" ref="V351">IF(_xlfn.XLOOKUP($A351&amp;$B351&amp;$C351,盘货信息!$A:$A&amp;盘货信息!$B:$B&amp;盘货信息!$C:$C,盘货信息!$Y:$Y)="","","【卡萨帝送赠】活动指定时间"&amp;_xlfn.TEXTBEFORE(_xlfn.TEXTAFTER(_xlfn.XLOOKUP($A351&amp;$B351&amp;$C351,盘货信息!$A:$A&amp;盘货信息!$B:$B&amp;盘货信息!$C:$C,盘货信息!$Y:$Y),"点"),"（"))</f>
        <v/>
      </c>
      <c r="W351" s="27" t="str" cm="1">
        <f t="array" ref="W351">IF(COUNTIF(_xlfn.XLOOKUP($A351&amp;$B351&amp;$C351,盘货信息!$A:$A&amp;盘货信息!$B:$B&amp;盘货信息!$C:$C,盘货信息!$O:$O),"*是*"),"【折扣】指定型号满2类享96折，满3类享94折","")</f>
        <v/>
      </c>
      <c r="X351" s="27" t="str" cm="1">
        <f t="array" ref="X351">IF(固定信息!$B$7="","",IF(_xlfn.XLOOKUP($A351&amp;$B351&amp;$C351,盘货信息!$A:$A&amp;盘货信息!$B:$B&amp;盘货信息!$C:$C,盘货信息!$N:$N)="是","【瓜分】"&amp;固定信息!$B$7,""))</f>
        <v/>
      </c>
      <c r="Y351" s="27" t="str">
        <f>IF(AND($V351="",$W351="",$X351=""),"",固定信息!$B$1)</f>
        <v/>
      </c>
      <c r="Z351" s="27" t="str" cm="1">
        <f t="array" ref="Z351">IF($C351="","",_xlfn.XLOOKUP($A351&amp;$B351&amp;$C351,服务!$A:$A&amp;服务!$B:$B&amp;服务!$C:$C,服务!$D:$D))</f>
        <v/>
      </c>
    </row>
    <row r="352" customHeight="1" spans="1:26">
      <c r="A352" s="23" t="str">
        <f>IF(盘货信息!A352="","",盘货信息!A352)</f>
        <v/>
      </c>
      <c r="B352" s="26" t="str">
        <f>IF(盘货信息!B352="","",盘货信息!B352)</f>
        <v/>
      </c>
      <c r="C352" s="23" t="str">
        <f>IF(盘货信息!C352="","",盘货信息!C352)</f>
        <v/>
      </c>
      <c r="D352" s="27" t="str">
        <f ca="1" t="shared" si="5"/>
        <v/>
      </c>
      <c r="E352" s="27" t="str">
        <f>IF(C352="","",固定信息!$B$2)</f>
        <v/>
      </c>
      <c r="F352" s="27" t="str">
        <f>IF(C352="","","【"&amp;C352&amp;"】"&amp;固定信息!$B$4)</f>
        <v/>
      </c>
      <c r="G352" s="27" t="str">
        <f>IF(C352="","","【"&amp;"活动时间："&amp;固定信息!$B$3&amp;"】")</f>
        <v/>
      </c>
      <c r="H352" s="27" t="str">
        <f>IF($C352="","",固定信息!$B$1)</f>
        <v/>
      </c>
      <c r="I352" s="27" t="str">
        <f>IF(OR(C352="",固定信息!$B$5=""),"","【1元预约锁好礼】"&amp;固定信息!$B$5)</f>
        <v/>
      </c>
      <c r="J352" s="27" t="str" cm="1">
        <f t="array" ref="J352">_xlfn.XLOOKUP($A352&amp;$B352&amp;$C352,价格信息!$A:$A&amp;价格信息!$B:$B&amp;价格信息!$C:$C,价格信息!$D:$D)</f>
        <v/>
      </c>
      <c r="K352" s="27" t="str">
        <f>IF($C352="","",固定信息!$B$1)</f>
        <v/>
      </c>
      <c r="L352" s="27" t="str" cm="1">
        <f t="array" ref="L352">IF(_xlfn.XLOOKUP($A352&amp;$B352&amp;$C352,盘货信息!$A:$A&amp;盘货信息!$B:$B&amp;盘货信息!$C:$C,盘货信息!$T:$T)="","","【优惠券】领"&amp;_xlfn.XLOOKUP($A352&amp;$B352&amp;$C352,盘货信息!$A:$A&amp;盘货信息!$B:$B&amp;盘货信息!$C:$C,盘货信息!$T:$T)&amp;"元优惠卷下单更优惠，领券链接："&amp;_xlfn.XLOOKUP($A352&amp;$B352&amp;$C352,盘货信息!$A:$A&amp;盘货信息!$B:$B&amp;盘货信息!$C:$C,盘货信息!$U:$U))</f>
        <v/>
      </c>
      <c r="M352" s="27" t="str" cm="1">
        <f t="array" ref="M352">IF(_xlfn.XLOOKUP($A352&amp;$B352&amp;$C352,盘货信息!$A:$A&amp;盘货信息!$B:$B&amp;盘货信息!$C:$C,盘货信息!$P:$P)="","","【限时】"&amp;_xlfn.XLOOKUP($A352&amp;$B352&amp;$C352,盘货信息!$A:$A&amp;盘货信息!$B:$B&amp;盘货信息!$C:$C,盘货信息!$P:$P))</f>
        <v/>
      </c>
      <c r="N352" s="27" t="str" cm="1">
        <f t="array" ref="N352">IF(_xlfn.XLOOKUP($A352&amp;$B352&amp;$C352,盘货信息!$A:$A&amp;盘货信息!$B:$B&amp;盘货信息!$C:$C,盘货信息!$V:$V)="","","【"&amp;盘货信息!$V$1&amp;"】"&amp;_xlfn.XLOOKUP($A352&amp;$B352&amp;$C352,盘货信息!$A:$A&amp;盘货信息!$B:$B&amp;盘货信息!$C:$C,盘货信息!$V:$V))</f>
        <v/>
      </c>
      <c r="O352" s="27" t="str" cm="1">
        <f t="array" ref="O352">IF(_xlfn.XLOOKUP($A352&amp;$B352&amp;$C352,盘货信息!$A:$A&amp;盘货信息!$B:$B&amp;盘货信息!$C:$C,盘货信息!$W:$W)="","","【"&amp;盘货信息!$W$1&amp;"】"&amp;_xlfn.XLOOKUP($A352&amp;$B352&amp;$C352,盘货信息!$A:$A&amp;盘货信息!$B:$B&amp;盘货信息!$C:$C,盘货信息!$W:$W))</f>
        <v/>
      </c>
      <c r="P352" s="27" t="str" cm="1">
        <f t="array" ref="P352">IF(_xlfn.XLOOKUP($A352&amp;$B352&amp;$C352,盘货信息!$A:$A&amp;盘货信息!$B:$B&amp;盘货信息!$C:$C,盘货信息!$S:$S)&lt;1,"","【"&amp;盘货信息!$S$1&amp;"】"&amp;"后返"&amp;_xlfn.XLOOKUP($A352&amp;$B352&amp;$C352,盘货信息!$A:$A&amp;盘货信息!$B:$B&amp;盘货信息!$C:$C,盘货信息!$S:$S)&amp;"元")</f>
        <v/>
      </c>
      <c r="Q352" s="27" t="str" cm="1">
        <f t="array" ref="Q352">IF(_xlfn.XLOOKUP($A352&amp;$B352&amp;$C352,盘货信息!$A:$A&amp;盘货信息!$B:$B&amp;盘货信息!$C:$C,盘货信息!$X:$X)="","","【"&amp;盘货信息!$X$1&amp;"】"&amp;_xlfn.XLOOKUP($A352&amp;$B352&amp;$C352,盘货信息!$A:$A&amp;盘货信息!$B:$B&amp;盘货信息!$C:$C,盘货信息!$X:$X))</f>
        <v/>
      </c>
      <c r="R352" s="27" t="str" cm="1">
        <f t="array" ref="R352">IF(_xlfn.XLOOKUP($A352&amp;$B352&amp;$C352,盘货信息!$A:$A&amp;盘货信息!$B:$B&amp;盘货信息!$C:$C,盘货信息!$Z:$Z)="","","【"&amp;盘货信息!$Z$1&amp;"】"&amp;_xlfn.XLOOKUP($A352&amp;$B352&amp;$C352,盘货信息!$A:$A&amp;盘货信息!$B:$B&amp;盘货信息!$C:$C,盘货信息!$Z:$Z))</f>
        <v/>
      </c>
      <c r="S352" s="27" t="str" cm="1">
        <f t="array" ref="S352">IF(_xlfn.XLOOKUP($A352&amp;$B352&amp;$C352,盘货信息!$A:$A&amp;盘货信息!$B:$B&amp;盘货信息!$C:$C,盘货信息!$Q:$Q)="","","【种草】站外带指定话题种草后返"&amp;_xlfn.XLOOKUP($A352&amp;$B352&amp;$C352,盘货信息!$A:$A&amp;盘货信息!$B:$B&amp;盘货信息!$C:$C,盘货信息!$Q:$Q)&amp;"元红包（每个淘宝账号仅限对应一个站外种草账号，同一个种草账号不可对应多个淘宝账号）")</f>
        <v/>
      </c>
      <c r="T352" s="27" t="str" cm="1">
        <f t="array" ref="T352">IF(_xlfn.XLOOKUP($A352&amp;$B352&amp;$C352,盘货信息!$A:$A&amp;盘货信息!$B:$B&amp;盘货信息!$C:$C,盘货信息!$R:$R)&lt;1,"","【以旧换新】"&amp;"享补贴"&amp;ROUND(_xlfn.XLOOKUP($A352&amp;$B352&amp;$C352,盘货信息!$A:$A&amp;盘货信息!$B:$B&amp;盘货信息!$C:$C,盘货信息!$R:$R),0)&amp;"元（可无旧机换新）")</f>
        <v/>
      </c>
      <c r="U352" s="27" t="str">
        <f>IF(AND($N352="",$O352="",$P352="",$Q352="",$R352="",$S352="",$T352=""),"",固定信息!$B$1)</f>
        <v/>
      </c>
      <c r="V352" s="27" t="str" cm="1">
        <f t="array" ref="V352">IF(_xlfn.XLOOKUP($A352&amp;$B352&amp;$C352,盘货信息!$A:$A&amp;盘货信息!$B:$B&amp;盘货信息!$C:$C,盘货信息!$Y:$Y)="","","【卡萨帝送赠】活动指定时间"&amp;_xlfn.TEXTBEFORE(_xlfn.TEXTAFTER(_xlfn.XLOOKUP($A352&amp;$B352&amp;$C352,盘货信息!$A:$A&amp;盘货信息!$B:$B&amp;盘货信息!$C:$C,盘货信息!$Y:$Y),"点"),"（"))</f>
        <v/>
      </c>
      <c r="W352" s="27" t="str" cm="1">
        <f t="array" ref="W352">IF(COUNTIF(_xlfn.XLOOKUP($A352&amp;$B352&amp;$C352,盘货信息!$A:$A&amp;盘货信息!$B:$B&amp;盘货信息!$C:$C,盘货信息!$O:$O),"*是*"),"【折扣】指定型号满2类享96折，满3类享94折","")</f>
        <v/>
      </c>
      <c r="X352" s="27" t="str" cm="1">
        <f t="array" ref="X352">IF(固定信息!$B$7="","",IF(_xlfn.XLOOKUP($A352&amp;$B352&amp;$C352,盘货信息!$A:$A&amp;盘货信息!$B:$B&amp;盘货信息!$C:$C,盘货信息!$N:$N)="是","【瓜分】"&amp;固定信息!$B$7,""))</f>
        <v/>
      </c>
      <c r="Y352" s="27" t="str">
        <f>IF(AND($V352="",$W352="",$X352=""),"",固定信息!$B$1)</f>
        <v/>
      </c>
      <c r="Z352" s="27" t="str" cm="1">
        <f t="array" ref="Z352">IF($C352="","",_xlfn.XLOOKUP($A352&amp;$B352&amp;$C352,服务!$A:$A&amp;服务!$B:$B&amp;服务!$C:$C,服务!$D:$D))</f>
        <v/>
      </c>
    </row>
    <row r="353" customHeight="1" spans="1:26">
      <c r="A353" s="23" t="str">
        <f>IF(盘货信息!A353="","",盘货信息!A353)</f>
        <v/>
      </c>
      <c r="B353" s="26" t="str">
        <f>IF(盘货信息!B353="","",盘货信息!B353)</f>
        <v/>
      </c>
      <c r="C353" s="23" t="str">
        <f>IF(盘货信息!C353="","",盘货信息!C353)</f>
        <v/>
      </c>
      <c r="D353" s="27" t="str">
        <f ca="1" t="shared" si="5"/>
        <v/>
      </c>
      <c r="E353" s="27" t="str">
        <f>IF(C353="","",固定信息!$B$2)</f>
        <v/>
      </c>
      <c r="F353" s="27" t="str">
        <f>IF(C353="","","【"&amp;C353&amp;"】"&amp;固定信息!$B$4)</f>
        <v/>
      </c>
      <c r="G353" s="27" t="str">
        <f>IF(C353="","","【"&amp;"活动时间："&amp;固定信息!$B$3&amp;"】")</f>
        <v/>
      </c>
      <c r="H353" s="27" t="str">
        <f>IF($C353="","",固定信息!$B$1)</f>
        <v/>
      </c>
      <c r="I353" s="27" t="str">
        <f>IF(OR(C353="",固定信息!$B$5=""),"","【1元预约锁好礼】"&amp;固定信息!$B$5)</f>
        <v/>
      </c>
      <c r="J353" s="27" t="str" cm="1">
        <f t="array" ref="J353">_xlfn.XLOOKUP($A353&amp;$B353&amp;$C353,价格信息!$A:$A&amp;价格信息!$B:$B&amp;价格信息!$C:$C,价格信息!$D:$D)</f>
        <v/>
      </c>
      <c r="K353" s="27" t="str">
        <f>IF($C353="","",固定信息!$B$1)</f>
        <v/>
      </c>
      <c r="L353" s="27" t="str" cm="1">
        <f t="array" ref="L353">IF(_xlfn.XLOOKUP($A353&amp;$B353&amp;$C353,盘货信息!$A:$A&amp;盘货信息!$B:$B&amp;盘货信息!$C:$C,盘货信息!$T:$T)="","","【优惠券】领"&amp;_xlfn.XLOOKUP($A353&amp;$B353&amp;$C353,盘货信息!$A:$A&amp;盘货信息!$B:$B&amp;盘货信息!$C:$C,盘货信息!$T:$T)&amp;"元优惠卷下单更优惠，领券链接："&amp;_xlfn.XLOOKUP($A353&amp;$B353&amp;$C353,盘货信息!$A:$A&amp;盘货信息!$B:$B&amp;盘货信息!$C:$C,盘货信息!$U:$U))</f>
        <v/>
      </c>
      <c r="M353" s="27" t="str" cm="1">
        <f t="array" ref="M353">IF(_xlfn.XLOOKUP($A353&amp;$B353&amp;$C353,盘货信息!$A:$A&amp;盘货信息!$B:$B&amp;盘货信息!$C:$C,盘货信息!$P:$P)="","","【限时】"&amp;_xlfn.XLOOKUP($A353&amp;$B353&amp;$C353,盘货信息!$A:$A&amp;盘货信息!$B:$B&amp;盘货信息!$C:$C,盘货信息!$P:$P))</f>
        <v/>
      </c>
      <c r="N353" s="27" t="str" cm="1">
        <f t="array" ref="N353">IF(_xlfn.XLOOKUP($A353&amp;$B353&amp;$C353,盘货信息!$A:$A&amp;盘货信息!$B:$B&amp;盘货信息!$C:$C,盘货信息!$V:$V)="","","【"&amp;盘货信息!$V$1&amp;"】"&amp;_xlfn.XLOOKUP($A353&amp;$B353&amp;$C353,盘货信息!$A:$A&amp;盘货信息!$B:$B&amp;盘货信息!$C:$C,盘货信息!$V:$V))</f>
        <v/>
      </c>
      <c r="O353" s="27" t="str" cm="1">
        <f t="array" ref="O353">IF(_xlfn.XLOOKUP($A353&amp;$B353&amp;$C353,盘货信息!$A:$A&amp;盘货信息!$B:$B&amp;盘货信息!$C:$C,盘货信息!$W:$W)="","","【"&amp;盘货信息!$W$1&amp;"】"&amp;_xlfn.XLOOKUP($A353&amp;$B353&amp;$C353,盘货信息!$A:$A&amp;盘货信息!$B:$B&amp;盘货信息!$C:$C,盘货信息!$W:$W))</f>
        <v/>
      </c>
      <c r="P353" s="27" t="str" cm="1">
        <f t="array" ref="P353">IF(_xlfn.XLOOKUP($A353&amp;$B353&amp;$C353,盘货信息!$A:$A&amp;盘货信息!$B:$B&amp;盘货信息!$C:$C,盘货信息!$S:$S)&lt;1,"","【"&amp;盘货信息!$S$1&amp;"】"&amp;"后返"&amp;_xlfn.XLOOKUP($A353&amp;$B353&amp;$C353,盘货信息!$A:$A&amp;盘货信息!$B:$B&amp;盘货信息!$C:$C,盘货信息!$S:$S)&amp;"元")</f>
        <v/>
      </c>
      <c r="Q353" s="27" t="str" cm="1">
        <f t="array" ref="Q353">IF(_xlfn.XLOOKUP($A353&amp;$B353&amp;$C353,盘货信息!$A:$A&amp;盘货信息!$B:$B&amp;盘货信息!$C:$C,盘货信息!$X:$X)="","","【"&amp;盘货信息!$X$1&amp;"】"&amp;_xlfn.XLOOKUP($A353&amp;$B353&amp;$C353,盘货信息!$A:$A&amp;盘货信息!$B:$B&amp;盘货信息!$C:$C,盘货信息!$X:$X))</f>
        <v/>
      </c>
      <c r="R353" s="27" t="str" cm="1">
        <f t="array" ref="R353">IF(_xlfn.XLOOKUP($A353&amp;$B353&amp;$C353,盘货信息!$A:$A&amp;盘货信息!$B:$B&amp;盘货信息!$C:$C,盘货信息!$Z:$Z)="","","【"&amp;盘货信息!$Z$1&amp;"】"&amp;_xlfn.XLOOKUP($A353&amp;$B353&amp;$C353,盘货信息!$A:$A&amp;盘货信息!$B:$B&amp;盘货信息!$C:$C,盘货信息!$Z:$Z))</f>
        <v/>
      </c>
      <c r="S353" s="27" t="str" cm="1">
        <f t="array" ref="S353">IF(_xlfn.XLOOKUP($A353&amp;$B353&amp;$C353,盘货信息!$A:$A&amp;盘货信息!$B:$B&amp;盘货信息!$C:$C,盘货信息!$Q:$Q)="","","【种草】站外带指定话题种草后返"&amp;_xlfn.XLOOKUP($A353&amp;$B353&amp;$C353,盘货信息!$A:$A&amp;盘货信息!$B:$B&amp;盘货信息!$C:$C,盘货信息!$Q:$Q)&amp;"元红包（每个淘宝账号仅限对应一个站外种草账号，同一个种草账号不可对应多个淘宝账号）")</f>
        <v/>
      </c>
      <c r="T353" s="27" t="str" cm="1">
        <f t="array" ref="T353">IF(_xlfn.XLOOKUP($A353&amp;$B353&amp;$C353,盘货信息!$A:$A&amp;盘货信息!$B:$B&amp;盘货信息!$C:$C,盘货信息!$R:$R)&lt;1,"","【以旧换新】"&amp;"享补贴"&amp;ROUND(_xlfn.XLOOKUP($A353&amp;$B353&amp;$C353,盘货信息!$A:$A&amp;盘货信息!$B:$B&amp;盘货信息!$C:$C,盘货信息!$R:$R),0)&amp;"元（可无旧机换新）")</f>
        <v/>
      </c>
      <c r="U353" s="27" t="str">
        <f>IF(AND($N353="",$O353="",$P353="",$Q353="",$R353="",$S353="",$T353=""),"",固定信息!$B$1)</f>
        <v/>
      </c>
      <c r="V353" s="27" t="str" cm="1">
        <f t="array" ref="V353">IF(_xlfn.XLOOKUP($A353&amp;$B353&amp;$C353,盘货信息!$A:$A&amp;盘货信息!$B:$B&amp;盘货信息!$C:$C,盘货信息!$Y:$Y)="","","【卡萨帝送赠】活动指定时间"&amp;_xlfn.TEXTBEFORE(_xlfn.TEXTAFTER(_xlfn.XLOOKUP($A353&amp;$B353&amp;$C353,盘货信息!$A:$A&amp;盘货信息!$B:$B&amp;盘货信息!$C:$C,盘货信息!$Y:$Y),"点"),"（"))</f>
        <v/>
      </c>
      <c r="W353" s="27" t="str" cm="1">
        <f t="array" ref="W353">IF(COUNTIF(_xlfn.XLOOKUP($A353&amp;$B353&amp;$C353,盘货信息!$A:$A&amp;盘货信息!$B:$B&amp;盘货信息!$C:$C,盘货信息!$O:$O),"*是*"),"【折扣】指定型号满2类享96折，满3类享94折","")</f>
        <v/>
      </c>
      <c r="X353" s="27" t="str" cm="1">
        <f t="array" ref="X353">IF(固定信息!$B$7="","",IF(_xlfn.XLOOKUP($A353&amp;$B353&amp;$C353,盘货信息!$A:$A&amp;盘货信息!$B:$B&amp;盘货信息!$C:$C,盘货信息!$N:$N)="是","【瓜分】"&amp;固定信息!$B$7,""))</f>
        <v/>
      </c>
      <c r="Y353" s="27" t="str">
        <f>IF(AND($V353="",$W353="",$X353=""),"",固定信息!$B$1)</f>
        <v/>
      </c>
      <c r="Z353" s="27" t="str" cm="1">
        <f t="array" ref="Z353">IF($C353="","",_xlfn.XLOOKUP($A353&amp;$B353&amp;$C353,服务!$A:$A&amp;服务!$B:$B&amp;服务!$C:$C,服务!$D:$D))</f>
        <v/>
      </c>
    </row>
    <row r="354" customHeight="1" spans="1:26">
      <c r="A354" s="23" t="str">
        <f>IF(盘货信息!A354="","",盘货信息!A354)</f>
        <v/>
      </c>
      <c r="B354" s="26" t="str">
        <f>IF(盘货信息!B354="","",盘货信息!B354)</f>
        <v/>
      </c>
      <c r="C354" s="23" t="str">
        <f>IF(盘货信息!C354="","",盘货信息!C354)</f>
        <v/>
      </c>
      <c r="D354" s="27" t="str">
        <f ca="1" t="shared" si="5"/>
        <v/>
      </c>
      <c r="E354" s="27" t="str">
        <f>IF(C354="","",固定信息!$B$2)</f>
        <v/>
      </c>
      <c r="F354" s="27" t="str">
        <f>IF(C354="","","【"&amp;C354&amp;"】"&amp;固定信息!$B$4)</f>
        <v/>
      </c>
      <c r="G354" s="27" t="str">
        <f>IF(C354="","","【"&amp;"活动时间："&amp;固定信息!$B$3&amp;"】")</f>
        <v/>
      </c>
      <c r="H354" s="27" t="str">
        <f>IF($C354="","",固定信息!$B$1)</f>
        <v/>
      </c>
      <c r="I354" s="27" t="str">
        <f>IF(OR(C354="",固定信息!$B$5=""),"","【1元预约锁好礼】"&amp;固定信息!$B$5)</f>
        <v/>
      </c>
      <c r="J354" s="27" t="str" cm="1">
        <f t="array" ref="J354">_xlfn.XLOOKUP($A354&amp;$B354&amp;$C354,价格信息!$A:$A&amp;价格信息!$B:$B&amp;价格信息!$C:$C,价格信息!$D:$D)</f>
        <v/>
      </c>
      <c r="K354" s="27" t="str">
        <f>IF($C354="","",固定信息!$B$1)</f>
        <v/>
      </c>
      <c r="L354" s="27" t="str" cm="1">
        <f t="array" ref="L354">IF(_xlfn.XLOOKUP($A354&amp;$B354&amp;$C354,盘货信息!$A:$A&amp;盘货信息!$B:$B&amp;盘货信息!$C:$C,盘货信息!$T:$T)="","","【优惠券】领"&amp;_xlfn.XLOOKUP($A354&amp;$B354&amp;$C354,盘货信息!$A:$A&amp;盘货信息!$B:$B&amp;盘货信息!$C:$C,盘货信息!$T:$T)&amp;"元优惠卷下单更优惠，领券链接："&amp;_xlfn.XLOOKUP($A354&amp;$B354&amp;$C354,盘货信息!$A:$A&amp;盘货信息!$B:$B&amp;盘货信息!$C:$C,盘货信息!$U:$U))</f>
        <v/>
      </c>
      <c r="M354" s="27" t="str" cm="1">
        <f t="array" ref="M354">IF(_xlfn.XLOOKUP($A354&amp;$B354&amp;$C354,盘货信息!$A:$A&amp;盘货信息!$B:$B&amp;盘货信息!$C:$C,盘货信息!$P:$P)="","","【限时】"&amp;_xlfn.XLOOKUP($A354&amp;$B354&amp;$C354,盘货信息!$A:$A&amp;盘货信息!$B:$B&amp;盘货信息!$C:$C,盘货信息!$P:$P))</f>
        <v/>
      </c>
      <c r="N354" s="27" t="str" cm="1">
        <f t="array" ref="N354">IF(_xlfn.XLOOKUP($A354&amp;$B354&amp;$C354,盘货信息!$A:$A&amp;盘货信息!$B:$B&amp;盘货信息!$C:$C,盘货信息!$V:$V)="","","【"&amp;盘货信息!$V$1&amp;"】"&amp;_xlfn.XLOOKUP($A354&amp;$B354&amp;$C354,盘货信息!$A:$A&amp;盘货信息!$B:$B&amp;盘货信息!$C:$C,盘货信息!$V:$V))</f>
        <v/>
      </c>
      <c r="O354" s="27" t="str" cm="1">
        <f t="array" ref="O354">IF(_xlfn.XLOOKUP($A354&amp;$B354&amp;$C354,盘货信息!$A:$A&amp;盘货信息!$B:$B&amp;盘货信息!$C:$C,盘货信息!$W:$W)="","","【"&amp;盘货信息!$W$1&amp;"】"&amp;_xlfn.XLOOKUP($A354&amp;$B354&amp;$C354,盘货信息!$A:$A&amp;盘货信息!$B:$B&amp;盘货信息!$C:$C,盘货信息!$W:$W))</f>
        <v/>
      </c>
      <c r="P354" s="27" t="str" cm="1">
        <f t="array" ref="P354">IF(_xlfn.XLOOKUP($A354&amp;$B354&amp;$C354,盘货信息!$A:$A&amp;盘货信息!$B:$B&amp;盘货信息!$C:$C,盘货信息!$S:$S)&lt;1,"","【"&amp;盘货信息!$S$1&amp;"】"&amp;"后返"&amp;_xlfn.XLOOKUP($A354&amp;$B354&amp;$C354,盘货信息!$A:$A&amp;盘货信息!$B:$B&amp;盘货信息!$C:$C,盘货信息!$S:$S)&amp;"元")</f>
        <v/>
      </c>
      <c r="Q354" s="27" t="str" cm="1">
        <f t="array" ref="Q354">IF(_xlfn.XLOOKUP($A354&amp;$B354&amp;$C354,盘货信息!$A:$A&amp;盘货信息!$B:$B&amp;盘货信息!$C:$C,盘货信息!$X:$X)="","","【"&amp;盘货信息!$X$1&amp;"】"&amp;_xlfn.XLOOKUP($A354&amp;$B354&amp;$C354,盘货信息!$A:$A&amp;盘货信息!$B:$B&amp;盘货信息!$C:$C,盘货信息!$X:$X))</f>
        <v/>
      </c>
      <c r="R354" s="27" t="str" cm="1">
        <f t="array" ref="R354">IF(_xlfn.XLOOKUP($A354&amp;$B354&amp;$C354,盘货信息!$A:$A&amp;盘货信息!$B:$B&amp;盘货信息!$C:$C,盘货信息!$Z:$Z)="","","【"&amp;盘货信息!$Z$1&amp;"】"&amp;_xlfn.XLOOKUP($A354&amp;$B354&amp;$C354,盘货信息!$A:$A&amp;盘货信息!$B:$B&amp;盘货信息!$C:$C,盘货信息!$Z:$Z))</f>
        <v/>
      </c>
      <c r="S354" s="27" t="str" cm="1">
        <f t="array" ref="S354">IF(_xlfn.XLOOKUP($A354&amp;$B354&amp;$C354,盘货信息!$A:$A&amp;盘货信息!$B:$B&amp;盘货信息!$C:$C,盘货信息!$Q:$Q)="","","【种草】站外带指定话题种草后返"&amp;_xlfn.XLOOKUP($A354&amp;$B354&amp;$C354,盘货信息!$A:$A&amp;盘货信息!$B:$B&amp;盘货信息!$C:$C,盘货信息!$Q:$Q)&amp;"元红包（每个淘宝账号仅限对应一个站外种草账号，同一个种草账号不可对应多个淘宝账号）")</f>
        <v/>
      </c>
      <c r="T354" s="27" t="str" cm="1">
        <f t="array" ref="T354">IF(_xlfn.XLOOKUP($A354&amp;$B354&amp;$C354,盘货信息!$A:$A&amp;盘货信息!$B:$B&amp;盘货信息!$C:$C,盘货信息!$R:$R)&lt;1,"","【以旧换新】"&amp;"享补贴"&amp;ROUND(_xlfn.XLOOKUP($A354&amp;$B354&amp;$C354,盘货信息!$A:$A&amp;盘货信息!$B:$B&amp;盘货信息!$C:$C,盘货信息!$R:$R),0)&amp;"元（可无旧机换新）")</f>
        <v/>
      </c>
      <c r="U354" s="27" t="str">
        <f>IF(AND($N354="",$O354="",$P354="",$Q354="",$R354="",$S354="",$T354=""),"",固定信息!$B$1)</f>
        <v/>
      </c>
      <c r="V354" s="27" t="str" cm="1">
        <f t="array" ref="V354">IF(_xlfn.XLOOKUP($A354&amp;$B354&amp;$C354,盘货信息!$A:$A&amp;盘货信息!$B:$B&amp;盘货信息!$C:$C,盘货信息!$Y:$Y)="","","【卡萨帝送赠】活动指定时间"&amp;_xlfn.TEXTBEFORE(_xlfn.TEXTAFTER(_xlfn.XLOOKUP($A354&amp;$B354&amp;$C354,盘货信息!$A:$A&amp;盘货信息!$B:$B&amp;盘货信息!$C:$C,盘货信息!$Y:$Y),"点"),"（"))</f>
        <v/>
      </c>
      <c r="W354" s="27" t="str" cm="1">
        <f t="array" ref="W354">IF(COUNTIF(_xlfn.XLOOKUP($A354&amp;$B354&amp;$C354,盘货信息!$A:$A&amp;盘货信息!$B:$B&amp;盘货信息!$C:$C,盘货信息!$O:$O),"*是*"),"【折扣】指定型号满2类享96折，满3类享94折","")</f>
        <v/>
      </c>
      <c r="X354" s="27" t="str" cm="1">
        <f t="array" ref="X354">IF(固定信息!$B$7="","",IF(_xlfn.XLOOKUP($A354&amp;$B354&amp;$C354,盘货信息!$A:$A&amp;盘货信息!$B:$B&amp;盘货信息!$C:$C,盘货信息!$N:$N)="是","【瓜分】"&amp;固定信息!$B$7,""))</f>
        <v/>
      </c>
      <c r="Y354" s="27" t="str">
        <f>IF(AND($V354="",$W354="",$X354=""),"",固定信息!$B$1)</f>
        <v/>
      </c>
      <c r="Z354" s="27" t="str" cm="1">
        <f t="array" ref="Z354">IF($C354="","",_xlfn.XLOOKUP($A354&amp;$B354&amp;$C354,服务!$A:$A&amp;服务!$B:$B&amp;服务!$C:$C,服务!$D:$D))</f>
        <v/>
      </c>
    </row>
    <row r="355" customHeight="1" spans="1:26">
      <c r="A355" s="23" t="str">
        <f>IF(盘货信息!A355="","",盘货信息!A355)</f>
        <v/>
      </c>
      <c r="B355" s="26" t="str">
        <f>IF(盘货信息!B355="","",盘货信息!B355)</f>
        <v/>
      </c>
      <c r="C355" s="23" t="str">
        <f>IF(盘货信息!C355="","",盘货信息!C355)</f>
        <v/>
      </c>
      <c r="D355" s="27" t="str">
        <f ca="1" t="shared" si="5"/>
        <v/>
      </c>
      <c r="E355" s="27" t="str">
        <f>IF(C355="","",固定信息!$B$2)</f>
        <v/>
      </c>
      <c r="F355" s="27" t="str">
        <f>IF(C355="","","【"&amp;C355&amp;"】"&amp;固定信息!$B$4)</f>
        <v/>
      </c>
      <c r="G355" s="27" t="str">
        <f>IF(C355="","","【"&amp;"活动时间："&amp;固定信息!$B$3&amp;"】")</f>
        <v/>
      </c>
      <c r="H355" s="27" t="str">
        <f>IF($C355="","",固定信息!$B$1)</f>
        <v/>
      </c>
      <c r="I355" s="27" t="str">
        <f>IF(OR(C355="",固定信息!$B$5=""),"","【1元预约锁好礼】"&amp;固定信息!$B$5)</f>
        <v/>
      </c>
      <c r="J355" s="27" t="str" cm="1">
        <f t="array" ref="J355">_xlfn.XLOOKUP($A355&amp;$B355&amp;$C355,价格信息!$A:$A&amp;价格信息!$B:$B&amp;价格信息!$C:$C,价格信息!$D:$D)</f>
        <v/>
      </c>
      <c r="K355" s="27" t="str">
        <f>IF($C355="","",固定信息!$B$1)</f>
        <v/>
      </c>
      <c r="L355" s="27" t="str" cm="1">
        <f t="array" ref="L355">IF(_xlfn.XLOOKUP($A355&amp;$B355&amp;$C355,盘货信息!$A:$A&amp;盘货信息!$B:$B&amp;盘货信息!$C:$C,盘货信息!$T:$T)="","","【优惠券】领"&amp;_xlfn.XLOOKUP($A355&amp;$B355&amp;$C355,盘货信息!$A:$A&amp;盘货信息!$B:$B&amp;盘货信息!$C:$C,盘货信息!$T:$T)&amp;"元优惠卷下单更优惠，领券链接："&amp;_xlfn.XLOOKUP($A355&amp;$B355&amp;$C355,盘货信息!$A:$A&amp;盘货信息!$B:$B&amp;盘货信息!$C:$C,盘货信息!$U:$U))</f>
        <v/>
      </c>
      <c r="M355" s="27" t="str" cm="1">
        <f t="array" ref="M355">IF(_xlfn.XLOOKUP($A355&amp;$B355&amp;$C355,盘货信息!$A:$A&amp;盘货信息!$B:$B&amp;盘货信息!$C:$C,盘货信息!$P:$P)="","","【限时】"&amp;_xlfn.XLOOKUP($A355&amp;$B355&amp;$C355,盘货信息!$A:$A&amp;盘货信息!$B:$B&amp;盘货信息!$C:$C,盘货信息!$P:$P))</f>
        <v/>
      </c>
      <c r="N355" s="27" t="str" cm="1">
        <f t="array" ref="N355">IF(_xlfn.XLOOKUP($A355&amp;$B355&amp;$C355,盘货信息!$A:$A&amp;盘货信息!$B:$B&amp;盘货信息!$C:$C,盘货信息!$V:$V)="","","【"&amp;盘货信息!$V$1&amp;"】"&amp;_xlfn.XLOOKUP($A355&amp;$B355&amp;$C355,盘货信息!$A:$A&amp;盘货信息!$B:$B&amp;盘货信息!$C:$C,盘货信息!$V:$V))</f>
        <v/>
      </c>
      <c r="O355" s="27" t="str" cm="1">
        <f t="array" ref="O355">IF(_xlfn.XLOOKUP($A355&amp;$B355&amp;$C355,盘货信息!$A:$A&amp;盘货信息!$B:$B&amp;盘货信息!$C:$C,盘货信息!$W:$W)="","","【"&amp;盘货信息!$W$1&amp;"】"&amp;_xlfn.XLOOKUP($A355&amp;$B355&amp;$C355,盘货信息!$A:$A&amp;盘货信息!$B:$B&amp;盘货信息!$C:$C,盘货信息!$W:$W))</f>
        <v/>
      </c>
      <c r="P355" s="27" t="str" cm="1">
        <f t="array" ref="P355">IF(_xlfn.XLOOKUP($A355&amp;$B355&amp;$C355,盘货信息!$A:$A&amp;盘货信息!$B:$B&amp;盘货信息!$C:$C,盘货信息!$S:$S)&lt;1,"","【"&amp;盘货信息!$S$1&amp;"】"&amp;"后返"&amp;_xlfn.XLOOKUP($A355&amp;$B355&amp;$C355,盘货信息!$A:$A&amp;盘货信息!$B:$B&amp;盘货信息!$C:$C,盘货信息!$S:$S)&amp;"元")</f>
        <v/>
      </c>
      <c r="Q355" s="27" t="str" cm="1">
        <f t="array" ref="Q355">IF(_xlfn.XLOOKUP($A355&amp;$B355&amp;$C355,盘货信息!$A:$A&amp;盘货信息!$B:$B&amp;盘货信息!$C:$C,盘货信息!$X:$X)="","","【"&amp;盘货信息!$X$1&amp;"】"&amp;_xlfn.XLOOKUP($A355&amp;$B355&amp;$C355,盘货信息!$A:$A&amp;盘货信息!$B:$B&amp;盘货信息!$C:$C,盘货信息!$X:$X))</f>
        <v/>
      </c>
      <c r="R355" s="27" t="str" cm="1">
        <f t="array" ref="R355">IF(_xlfn.XLOOKUP($A355&amp;$B355&amp;$C355,盘货信息!$A:$A&amp;盘货信息!$B:$B&amp;盘货信息!$C:$C,盘货信息!$Z:$Z)="","","【"&amp;盘货信息!$Z$1&amp;"】"&amp;_xlfn.XLOOKUP($A355&amp;$B355&amp;$C355,盘货信息!$A:$A&amp;盘货信息!$B:$B&amp;盘货信息!$C:$C,盘货信息!$Z:$Z))</f>
        <v/>
      </c>
      <c r="S355" s="27" t="str" cm="1">
        <f t="array" ref="S355">IF(_xlfn.XLOOKUP($A355&amp;$B355&amp;$C355,盘货信息!$A:$A&amp;盘货信息!$B:$B&amp;盘货信息!$C:$C,盘货信息!$Q:$Q)="","","【种草】站外带指定话题种草后返"&amp;_xlfn.XLOOKUP($A355&amp;$B355&amp;$C355,盘货信息!$A:$A&amp;盘货信息!$B:$B&amp;盘货信息!$C:$C,盘货信息!$Q:$Q)&amp;"元红包（每个淘宝账号仅限对应一个站外种草账号，同一个种草账号不可对应多个淘宝账号）")</f>
        <v/>
      </c>
      <c r="T355" s="27" t="str" cm="1">
        <f t="array" ref="T355">IF(_xlfn.XLOOKUP($A355&amp;$B355&amp;$C355,盘货信息!$A:$A&amp;盘货信息!$B:$B&amp;盘货信息!$C:$C,盘货信息!$R:$R)&lt;1,"","【以旧换新】"&amp;"享补贴"&amp;ROUND(_xlfn.XLOOKUP($A355&amp;$B355&amp;$C355,盘货信息!$A:$A&amp;盘货信息!$B:$B&amp;盘货信息!$C:$C,盘货信息!$R:$R),0)&amp;"元（可无旧机换新）")</f>
        <v/>
      </c>
      <c r="U355" s="27" t="str">
        <f>IF(AND($N355="",$O355="",$P355="",$Q355="",$R355="",$S355="",$T355=""),"",固定信息!$B$1)</f>
        <v/>
      </c>
      <c r="V355" s="27" t="str" cm="1">
        <f t="array" ref="V355">IF(_xlfn.XLOOKUP($A355&amp;$B355&amp;$C355,盘货信息!$A:$A&amp;盘货信息!$B:$B&amp;盘货信息!$C:$C,盘货信息!$Y:$Y)="","","【卡萨帝送赠】活动指定时间"&amp;_xlfn.TEXTBEFORE(_xlfn.TEXTAFTER(_xlfn.XLOOKUP($A355&amp;$B355&amp;$C355,盘货信息!$A:$A&amp;盘货信息!$B:$B&amp;盘货信息!$C:$C,盘货信息!$Y:$Y),"点"),"（"))</f>
        <v/>
      </c>
      <c r="W355" s="27" t="str" cm="1">
        <f t="array" ref="W355">IF(COUNTIF(_xlfn.XLOOKUP($A355&amp;$B355&amp;$C355,盘货信息!$A:$A&amp;盘货信息!$B:$B&amp;盘货信息!$C:$C,盘货信息!$O:$O),"*是*"),"【折扣】指定型号满2类享96折，满3类享94折","")</f>
        <v/>
      </c>
      <c r="X355" s="27" t="str" cm="1">
        <f t="array" ref="X355">IF(固定信息!$B$7="","",IF(_xlfn.XLOOKUP($A355&amp;$B355&amp;$C355,盘货信息!$A:$A&amp;盘货信息!$B:$B&amp;盘货信息!$C:$C,盘货信息!$N:$N)="是","【瓜分】"&amp;固定信息!$B$7,""))</f>
        <v/>
      </c>
      <c r="Y355" s="27" t="str">
        <f>IF(AND($V355="",$W355="",$X355=""),"",固定信息!$B$1)</f>
        <v/>
      </c>
      <c r="Z355" s="27" t="str" cm="1">
        <f t="array" ref="Z355">IF($C355="","",_xlfn.XLOOKUP($A355&amp;$B355&amp;$C355,服务!$A:$A&amp;服务!$B:$B&amp;服务!$C:$C,服务!$D:$D))</f>
        <v/>
      </c>
    </row>
    <row r="356" customHeight="1" spans="1:26">
      <c r="A356" s="23" t="str">
        <f>IF(盘货信息!A356="","",盘货信息!A356)</f>
        <v/>
      </c>
      <c r="B356" s="26" t="str">
        <f>IF(盘货信息!B356="","",盘货信息!B356)</f>
        <v/>
      </c>
      <c r="C356" s="23" t="str">
        <f>IF(盘货信息!C356="","",盘货信息!C356)</f>
        <v/>
      </c>
      <c r="D356" s="27" t="str">
        <f ca="1" t="shared" si="5"/>
        <v/>
      </c>
      <c r="E356" s="27" t="str">
        <f>IF(C356="","",固定信息!$B$2)</f>
        <v/>
      </c>
      <c r="F356" s="27" t="str">
        <f>IF(C356="","","【"&amp;C356&amp;"】"&amp;固定信息!$B$4)</f>
        <v/>
      </c>
      <c r="G356" s="27" t="str">
        <f>IF(C356="","","【"&amp;"活动时间："&amp;固定信息!$B$3&amp;"】")</f>
        <v/>
      </c>
      <c r="H356" s="27" t="str">
        <f>IF($C356="","",固定信息!$B$1)</f>
        <v/>
      </c>
      <c r="I356" s="27" t="str">
        <f>IF(OR(C356="",固定信息!$B$5=""),"","【1元预约锁好礼】"&amp;固定信息!$B$5)</f>
        <v/>
      </c>
      <c r="J356" s="27" t="str" cm="1">
        <f t="array" ref="J356">_xlfn.XLOOKUP($A356&amp;$B356&amp;$C356,价格信息!$A:$A&amp;价格信息!$B:$B&amp;价格信息!$C:$C,价格信息!$D:$D)</f>
        <v/>
      </c>
      <c r="K356" s="27" t="str">
        <f>IF($C356="","",固定信息!$B$1)</f>
        <v/>
      </c>
      <c r="L356" s="27" t="str" cm="1">
        <f t="array" ref="L356">IF(_xlfn.XLOOKUP($A356&amp;$B356&amp;$C356,盘货信息!$A:$A&amp;盘货信息!$B:$B&amp;盘货信息!$C:$C,盘货信息!$T:$T)="","","【优惠券】领"&amp;_xlfn.XLOOKUP($A356&amp;$B356&amp;$C356,盘货信息!$A:$A&amp;盘货信息!$B:$B&amp;盘货信息!$C:$C,盘货信息!$T:$T)&amp;"元优惠卷下单更优惠，领券链接："&amp;_xlfn.XLOOKUP($A356&amp;$B356&amp;$C356,盘货信息!$A:$A&amp;盘货信息!$B:$B&amp;盘货信息!$C:$C,盘货信息!$U:$U))</f>
        <v/>
      </c>
      <c r="M356" s="27" t="str" cm="1">
        <f t="array" ref="M356">IF(_xlfn.XLOOKUP($A356&amp;$B356&amp;$C356,盘货信息!$A:$A&amp;盘货信息!$B:$B&amp;盘货信息!$C:$C,盘货信息!$P:$P)="","","【限时】"&amp;_xlfn.XLOOKUP($A356&amp;$B356&amp;$C356,盘货信息!$A:$A&amp;盘货信息!$B:$B&amp;盘货信息!$C:$C,盘货信息!$P:$P))</f>
        <v/>
      </c>
      <c r="N356" s="27" t="str" cm="1">
        <f t="array" ref="N356">IF(_xlfn.XLOOKUP($A356&amp;$B356&amp;$C356,盘货信息!$A:$A&amp;盘货信息!$B:$B&amp;盘货信息!$C:$C,盘货信息!$V:$V)="","","【"&amp;盘货信息!$V$1&amp;"】"&amp;_xlfn.XLOOKUP($A356&amp;$B356&amp;$C356,盘货信息!$A:$A&amp;盘货信息!$B:$B&amp;盘货信息!$C:$C,盘货信息!$V:$V))</f>
        <v/>
      </c>
      <c r="O356" s="27" t="str" cm="1">
        <f t="array" ref="O356">IF(_xlfn.XLOOKUP($A356&amp;$B356&amp;$C356,盘货信息!$A:$A&amp;盘货信息!$B:$B&amp;盘货信息!$C:$C,盘货信息!$W:$W)="","","【"&amp;盘货信息!$W$1&amp;"】"&amp;_xlfn.XLOOKUP($A356&amp;$B356&amp;$C356,盘货信息!$A:$A&amp;盘货信息!$B:$B&amp;盘货信息!$C:$C,盘货信息!$W:$W))</f>
        <v/>
      </c>
      <c r="P356" s="27" t="str" cm="1">
        <f t="array" ref="P356">IF(_xlfn.XLOOKUP($A356&amp;$B356&amp;$C356,盘货信息!$A:$A&amp;盘货信息!$B:$B&amp;盘货信息!$C:$C,盘货信息!$S:$S)&lt;1,"","【"&amp;盘货信息!$S$1&amp;"】"&amp;"后返"&amp;_xlfn.XLOOKUP($A356&amp;$B356&amp;$C356,盘货信息!$A:$A&amp;盘货信息!$B:$B&amp;盘货信息!$C:$C,盘货信息!$S:$S)&amp;"元")</f>
        <v/>
      </c>
      <c r="Q356" s="27" t="str" cm="1">
        <f t="array" ref="Q356">IF(_xlfn.XLOOKUP($A356&amp;$B356&amp;$C356,盘货信息!$A:$A&amp;盘货信息!$B:$B&amp;盘货信息!$C:$C,盘货信息!$X:$X)="","","【"&amp;盘货信息!$X$1&amp;"】"&amp;_xlfn.XLOOKUP($A356&amp;$B356&amp;$C356,盘货信息!$A:$A&amp;盘货信息!$B:$B&amp;盘货信息!$C:$C,盘货信息!$X:$X))</f>
        <v/>
      </c>
      <c r="R356" s="27" t="str" cm="1">
        <f t="array" ref="R356">IF(_xlfn.XLOOKUP($A356&amp;$B356&amp;$C356,盘货信息!$A:$A&amp;盘货信息!$B:$B&amp;盘货信息!$C:$C,盘货信息!$Z:$Z)="","","【"&amp;盘货信息!$Z$1&amp;"】"&amp;_xlfn.XLOOKUP($A356&amp;$B356&amp;$C356,盘货信息!$A:$A&amp;盘货信息!$B:$B&amp;盘货信息!$C:$C,盘货信息!$Z:$Z))</f>
        <v/>
      </c>
      <c r="S356" s="27" t="str" cm="1">
        <f t="array" ref="S356">IF(_xlfn.XLOOKUP($A356&amp;$B356&amp;$C356,盘货信息!$A:$A&amp;盘货信息!$B:$B&amp;盘货信息!$C:$C,盘货信息!$Q:$Q)="","","【种草】站外带指定话题种草后返"&amp;_xlfn.XLOOKUP($A356&amp;$B356&amp;$C356,盘货信息!$A:$A&amp;盘货信息!$B:$B&amp;盘货信息!$C:$C,盘货信息!$Q:$Q)&amp;"元红包（每个淘宝账号仅限对应一个站外种草账号，同一个种草账号不可对应多个淘宝账号）")</f>
        <v/>
      </c>
      <c r="T356" s="27" t="str" cm="1">
        <f t="array" ref="T356">IF(_xlfn.XLOOKUP($A356&amp;$B356&amp;$C356,盘货信息!$A:$A&amp;盘货信息!$B:$B&amp;盘货信息!$C:$C,盘货信息!$R:$R)&lt;1,"","【以旧换新】"&amp;"享补贴"&amp;ROUND(_xlfn.XLOOKUP($A356&amp;$B356&amp;$C356,盘货信息!$A:$A&amp;盘货信息!$B:$B&amp;盘货信息!$C:$C,盘货信息!$R:$R),0)&amp;"元（可无旧机换新）")</f>
        <v/>
      </c>
      <c r="U356" s="27" t="str">
        <f>IF(AND($N356="",$O356="",$P356="",$Q356="",$R356="",$S356="",$T356=""),"",固定信息!$B$1)</f>
        <v/>
      </c>
      <c r="V356" s="27" t="str" cm="1">
        <f t="array" ref="V356">IF(_xlfn.XLOOKUP($A356&amp;$B356&amp;$C356,盘货信息!$A:$A&amp;盘货信息!$B:$B&amp;盘货信息!$C:$C,盘货信息!$Y:$Y)="","","【卡萨帝送赠】活动指定时间"&amp;_xlfn.TEXTBEFORE(_xlfn.TEXTAFTER(_xlfn.XLOOKUP($A356&amp;$B356&amp;$C356,盘货信息!$A:$A&amp;盘货信息!$B:$B&amp;盘货信息!$C:$C,盘货信息!$Y:$Y),"点"),"（"))</f>
        <v/>
      </c>
      <c r="W356" s="27" t="str" cm="1">
        <f t="array" ref="W356">IF(COUNTIF(_xlfn.XLOOKUP($A356&amp;$B356&amp;$C356,盘货信息!$A:$A&amp;盘货信息!$B:$B&amp;盘货信息!$C:$C,盘货信息!$O:$O),"*是*"),"【折扣】指定型号满2类享96折，满3类享94折","")</f>
        <v/>
      </c>
      <c r="X356" s="27" t="str" cm="1">
        <f t="array" ref="X356">IF(固定信息!$B$7="","",IF(_xlfn.XLOOKUP($A356&amp;$B356&amp;$C356,盘货信息!$A:$A&amp;盘货信息!$B:$B&amp;盘货信息!$C:$C,盘货信息!$N:$N)="是","【瓜分】"&amp;固定信息!$B$7,""))</f>
        <v/>
      </c>
      <c r="Y356" s="27" t="str">
        <f>IF(AND($V356="",$W356="",$X356=""),"",固定信息!$B$1)</f>
        <v/>
      </c>
      <c r="Z356" s="27" t="str" cm="1">
        <f t="array" ref="Z356">IF($C356="","",_xlfn.XLOOKUP($A356&amp;$B356&amp;$C356,服务!$A:$A&amp;服务!$B:$B&amp;服务!$C:$C,服务!$D:$D))</f>
        <v/>
      </c>
    </row>
    <row r="357" customHeight="1" spans="1:26">
      <c r="A357" s="23" t="str">
        <f>IF(盘货信息!A357="","",盘货信息!A357)</f>
        <v/>
      </c>
      <c r="B357" s="26" t="str">
        <f>IF(盘货信息!B357="","",盘货信息!B357)</f>
        <v/>
      </c>
      <c r="C357" s="23" t="str">
        <f>IF(盘货信息!C357="","",盘货信息!C357)</f>
        <v/>
      </c>
      <c r="D357" s="27" t="str">
        <f ca="1" t="shared" si="5"/>
        <v/>
      </c>
      <c r="E357" s="27" t="str">
        <f>IF(C357="","",固定信息!$B$2)</f>
        <v/>
      </c>
      <c r="F357" s="27" t="str">
        <f>IF(C357="","","【"&amp;C357&amp;"】"&amp;固定信息!$B$4)</f>
        <v/>
      </c>
      <c r="G357" s="27" t="str">
        <f>IF(C357="","","【"&amp;"活动时间："&amp;固定信息!$B$3&amp;"】")</f>
        <v/>
      </c>
      <c r="H357" s="27" t="str">
        <f>IF($C357="","",固定信息!$B$1)</f>
        <v/>
      </c>
      <c r="I357" s="27" t="str">
        <f>IF(OR(C357="",固定信息!$B$5=""),"","【1元预约锁好礼】"&amp;固定信息!$B$5)</f>
        <v/>
      </c>
      <c r="J357" s="27" t="str" cm="1">
        <f t="array" ref="J357">_xlfn.XLOOKUP($A357&amp;$B357&amp;$C357,价格信息!$A:$A&amp;价格信息!$B:$B&amp;价格信息!$C:$C,价格信息!$D:$D)</f>
        <v/>
      </c>
      <c r="K357" s="27" t="str">
        <f>IF($C357="","",固定信息!$B$1)</f>
        <v/>
      </c>
      <c r="L357" s="27" t="str" cm="1">
        <f t="array" ref="L357">IF(_xlfn.XLOOKUP($A357&amp;$B357&amp;$C357,盘货信息!$A:$A&amp;盘货信息!$B:$B&amp;盘货信息!$C:$C,盘货信息!$T:$T)="","","【优惠券】领"&amp;_xlfn.XLOOKUP($A357&amp;$B357&amp;$C357,盘货信息!$A:$A&amp;盘货信息!$B:$B&amp;盘货信息!$C:$C,盘货信息!$T:$T)&amp;"元优惠卷下单更优惠，领券链接："&amp;_xlfn.XLOOKUP($A357&amp;$B357&amp;$C357,盘货信息!$A:$A&amp;盘货信息!$B:$B&amp;盘货信息!$C:$C,盘货信息!$U:$U))</f>
        <v/>
      </c>
      <c r="M357" s="27" t="str" cm="1">
        <f t="array" ref="M357">IF(_xlfn.XLOOKUP($A357&amp;$B357&amp;$C357,盘货信息!$A:$A&amp;盘货信息!$B:$B&amp;盘货信息!$C:$C,盘货信息!$P:$P)="","","【限时】"&amp;_xlfn.XLOOKUP($A357&amp;$B357&amp;$C357,盘货信息!$A:$A&amp;盘货信息!$B:$B&amp;盘货信息!$C:$C,盘货信息!$P:$P))</f>
        <v/>
      </c>
      <c r="N357" s="27" t="str" cm="1">
        <f t="array" ref="N357">IF(_xlfn.XLOOKUP($A357&amp;$B357&amp;$C357,盘货信息!$A:$A&amp;盘货信息!$B:$B&amp;盘货信息!$C:$C,盘货信息!$V:$V)="","","【"&amp;盘货信息!$V$1&amp;"】"&amp;_xlfn.XLOOKUP($A357&amp;$B357&amp;$C357,盘货信息!$A:$A&amp;盘货信息!$B:$B&amp;盘货信息!$C:$C,盘货信息!$V:$V))</f>
        <v/>
      </c>
      <c r="O357" s="27" t="str" cm="1">
        <f t="array" ref="O357">IF(_xlfn.XLOOKUP($A357&amp;$B357&amp;$C357,盘货信息!$A:$A&amp;盘货信息!$B:$B&amp;盘货信息!$C:$C,盘货信息!$W:$W)="","","【"&amp;盘货信息!$W$1&amp;"】"&amp;_xlfn.XLOOKUP($A357&amp;$B357&amp;$C357,盘货信息!$A:$A&amp;盘货信息!$B:$B&amp;盘货信息!$C:$C,盘货信息!$W:$W))</f>
        <v/>
      </c>
      <c r="P357" s="27" t="str" cm="1">
        <f t="array" ref="P357">IF(_xlfn.XLOOKUP($A357&amp;$B357&amp;$C357,盘货信息!$A:$A&amp;盘货信息!$B:$B&amp;盘货信息!$C:$C,盘货信息!$S:$S)&lt;1,"","【"&amp;盘货信息!$S$1&amp;"】"&amp;"后返"&amp;_xlfn.XLOOKUP($A357&amp;$B357&amp;$C357,盘货信息!$A:$A&amp;盘货信息!$B:$B&amp;盘货信息!$C:$C,盘货信息!$S:$S)&amp;"元")</f>
        <v/>
      </c>
      <c r="Q357" s="27" t="str" cm="1">
        <f t="array" ref="Q357">IF(_xlfn.XLOOKUP($A357&amp;$B357&amp;$C357,盘货信息!$A:$A&amp;盘货信息!$B:$B&amp;盘货信息!$C:$C,盘货信息!$X:$X)="","","【"&amp;盘货信息!$X$1&amp;"】"&amp;_xlfn.XLOOKUP($A357&amp;$B357&amp;$C357,盘货信息!$A:$A&amp;盘货信息!$B:$B&amp;盘货信息!$C:$C,盘货信息!$X:$X))</f>
        <v/>
      </c>
      <c r="R357" s="27" t="str" cm="1">
        <f t="array" ref="R357">IF(_xlfn.XLOOKUP($A357&amp;$B357&amp;$C357,盘货信息!$A:$A&amp;盘货信息!$B:$B&amp;盘货信息!$C:$C,盘货信息!$Z:$Z)="","","【"&amp;盘货信息!$Z$1&amp;"】"&amp;_xlfn.XLOOKUP($A357&amp;$B357&amp;$C357,盘货信息!$A:$A&amp;盘货信息!$B:$B&amp;盘货信息!$C:$C,盘货信息!$Z:$Z))</f>
        <v/>
      </c>
      <c r="S357" s="27" t="str" cm="1">
        <f t="array" ref="S357">IF(_xlfn.XLOOKUP($A357&amp;$B357&amp;$C357,盘货信息!$A:$A&amp;盘货信息!$B:$B&amp;盘货信息!$C:$C,盘货信息!$Q:$Q)="","","【种草】站外带指定话题种草后返"&amp;_xlfn.XLOOKUP($A357&amp;$B357&amp;$C357,盘货信息!$A:$A&amp;盘货信息!$B:$B&amp;盘货信息!$C:$C,盘货信息!$Q:$Q)&amp;"元红包（每个淘宝账号仅限对应一个站外种草账号，同一个种草账号不可对应多个淘宝账号）")</f>
        <v/>
      </c>
      <c r="T357" s="27" t="str" cm="1">
        <f t="array" ref="T357">IF(_xlfn.XLOOKUP($A357&amp;$B357&amp;$C357,盘货信息!$A:$A&amp;盘货信息!$B:$B&amp;盘货信息!$C:$C,盘货信息!$R:$R)&lt;1,"","【以旧换新】"&amp;"享补贴"&amp;ROUND(_xlfn.XLOOKUP($A357&amp;$B357&amp;$C357,盘货信息!$A:$A&amp;盘货信息!$B:$B&amp;盘货信息!$C:$C,盘货信息!$R:$R),0)&amp;"元（可无旧机换新）")</f>
        <v/>
      </c>
      <c r="U357" s="27" t="str">
        <f>IF(AND($N357="",$O357="",$P357="",$Q357="",$R357="",$S357="",$T357=""),"",固定信息!$B$1)</f>
        <v/>
      </c>
      <c r="V357" s="27" t="str" cm="1">
        <f t="array" ref="V357">IF(_xlfn.XLOOKUP($A357&amp;$B357&amp;$C357,盘货信息!$A:$A&amp;盘货信息!$B:$B&amp;盘货信息!$C:$C,盘货信息!$Y:$Y)="","","【卡萨帝送赠】活动指定时间"&amp;_xlfn.TEXTBEFORE(_xlfn.TEXTAFTER(_xlfn.XLOOKUP($A357&amp;$B357&amp;$C357,盘货信息!$A:$A&amp;盘货信息!$B:$B&amp;盘货信息!$C:$C,盘货信息!$Y:$Y),"点"),"（"))</f>
        <v/>
      </c>
      <c r="W357" s="27" t="str" cm="1">
        <f t="array" ref="W357">IF(COUNTIF(_xlfn.XLOOKUP($A357&amp;$B357&amp;$C357,盘货信息!$A:$A&amp;盘货信息!$B:$B&amp;盘货信息!$C:$C,盘货信息!$O:$O),"*是*"),"【折扣】指定型号满2类享96折，满3类享94折","")</f>
        <v/>
      </c>
      <c r="X357" s="27" t="str" cm="1">
        <f t="array" ref="X357">IF(固定信息!$B$7="","",IF(_xlfn.XLOOKUP($A357&amp;$B357&amp;$C357,盘货信息!$A:$A&amp;盘货信息!$B:$B&amp;盘货信息!$C:$C,盘货信息!$N:$N)="是","【瓜分】"&amp;固定信息!$B$7,""))</f>
        <v/>
      </c>
      <c r="Y357" s="27" t="str">
        <f>IF(AND($V357="",$W357="",$X357=""),"",固定信息!$B$1)</f>
        <v/>
      </c>
      <c r="Z357" s="27" t="str" cm="1">
        <f t="array" ref="Z357">IF($C357="","",_xlfn.XLOOKUP($A357&amp;$B357&amp;$C357,服务!$A:$A&amp;服务!$B:$B&amp;服务!$C:$C,服务!$D:$D))</f>
        <v/>
      </c>
    </row>
    <row r="358" customHeight="1" spans="1:26">
      <c r="A358" s="23" t="str">
        <f>IF(盘货信息!A358="","",盘货信息!A358)</f>
        <v/>
      </c>
      <c r="B358" s="26" t="str">
        <f>IF(盘货信息!B358="","",盘货信息!B358)</f>
        <v/>
      </c>
      <c r="C358" s="23" t="str">
        <f>IF(盘货信息!C358="","",盘货信息!C358)</f>
        <v/>
      </c>
      <c r="D358" s="27" t="str">
        <f ca="1" t="shared" si="5"/>
        <v/>
      </c>
      <c r="E358" s="27" t="str">
        <f>IF(C358="","",固定信息!$B$2)</f>
        <v/>
      </c>
      <c r="F358" s="27" t="str">
        <f>IF(C358="","","【"&amp;C358&amp;"】"&amp;固定信息!$B$4)</f>
        <v/>
      </c>
      <c r="G358" s="27" t="str">
        <f>IF(C358="","","【"&amp;"活动时间："&amp;固定信息!$B$3&amp;"】")</f>
        <v/>
      </c>
      <c r="H358" s="27" t="str">
        <f>IF($C358="","",固定信息!$B$1)</f>
        <v/>
      </c>
      <c r="I358" s="27" t="str">
        <f>IF(OR(C358="",固定信息!$B$5=""),"","【1元预约锁好礼】"&amp;固定信息!$B$5)</f>
        <v/>
      </c>
      <c r="J358" s="27" t="str" cm="1">
        <f t="array" ref="J358">_xlfn.XLOOKUP($A358&amp;$B358&amp;$C358,价格信息!$A:$A&amp;价格信息!$B:$B&amp;价格信息!$C:$C,价格信息!$D:$D)</f>
        <v/>
      </c>
      <c r="K358" s="27" t="str">
        <f>IF($C358="","",固定信息!$B$1)</f>
        <v/>
      </c>
      <c r="L358" s="27" t="str" cm="1">
        <f t="array" ref="L358">IF(_xlfn.XLOOKUP($A358&amp;$B358&amp;$C358,盘货信息!$A:$A&amp;盘货信息!$B:$B&amp;盘货信息!$C:$C,盘货信息!$T:$T)="","","【优惠券】领"&amp;_xlfn.XLOOKUP($A358&amp;$B358&amp;$C358,盘货信息!$A:$A&amp;盘货信息!$B:$B&amp;盘货信息!$C:$C,盘货信息!$T:$T)&amp;"元优惠卷下单更优惠，领券链接："&amp;_xlfn.XLOOKUP($A358&amp;$B358&amp;$C358,盘货信息!$A:$A&amp;盘货信息!$B:$B&amp;盘货信息!$C:$C,盘货信息!$U:$U))</f>
        <v/>
      </c>
      <c r="M358" s="27" t="str" cm="1">
        <f t="array" ref="M358">IF(_xlfn.XLOOKUP($A358&amp;$B358&amp;$C358,盘货信息!$A:$A&amp;盘货信息!$B:$B&amp;盘货信息!$C:$C,盘货信息!$P:$P)="","","【限时】"&amp;_xlfn.XLOOKUP($A358&amp;$B358&amp;$C358,盘货信息!$A:$A&amp;盘货信息!$B:$B&amp;盘货信息!$C:$C,盘货信息!$P:$P))</f>
        <v/>
      </c>
      <c r="N358" s="27" t="str" cm="1">
        <f t="array" ref="N358">IF(_xlfn.XLOOKUP($A358&amp;$B358&amp;$C358,盘货信息!$A:$A&amp;盘货信息!$B:$B&amp;盘货信息!$C:$C,盘货信息!$V:$V)="","","【"&amp;盘货信息!$V$1&amp;"】"&amp;_xlfn.XLOOKUP($A358&amp;$B358&amp;$C358,盘货信息!$A:$A&amp;盘货信息!$B:$B&amp;盘货信息!$C:$C,盘货信息!$V:$V))</f>
        <v/>
      </c>
      <c r="O358" s="27" t="str" cm="1">
        <f t="array" ref="O358">IF(_xlfn.XLOOKUP($A358&amp;$B358&amp;$C358,盘货信息!$A:$A&amp;盘货信息!$B:$B&amp;盘货信息!$C:$C,盘货信息!$W:$W)="","","【"&amp;盘货信息!$W$1&amp;"】"&amp;_xlfn.XLOOKUP($A358&amp;$B358&amp;$C358,盘货信息!$A:$A&amp;盘货信息!$B:$B&amp;盘货信息!$C:$C,盘货信息!$W:$W))</f>
        <v/>
      </c>
      <c r="P358" s="27" t="str" cm="1">
        <f t="array" ref="P358">IF(_xlfn.XLOOKUP($A358&amp;$B358&amp;$C358,盘货信息!$A:$A&amp;盘货信息!$B:$B&amp;盘货信息!$C:$C,盘货信息!$S:$S)&lt;1,"","【"&amp;盘货信息!$S$1&amp;"】"&amp;"后返"&amp;_xlfn.XLOOKUP($A358&amp;$B358&amp;$C358,盘货信息!$A:$A&amp;盘货信息!$B:$B&amp;盘货信息!$C:$C,盘货信息!$S:$S)&amp;"元")</f>
        <v/>
      </c>
      <c r="Q358" s="27" t="str" cm="1">
        <f t="array" ref="Q358">IF(_xlfn.XLOOKUP($A358&amp;$B358&amp;$C358,盘货信息!$A:$A&amp;盘货信息!$B:$B&amp;盘货信息!$C:$C,盘货信息!$X:$X)="","","【"&amp;盘货信息!$X$1&amp;"】"&amp;_xlfn.XLOOKUP($A358&amp;$B358&amp;$C358,盘货信息!$A:$A&amp;盘货信息!$B:$B&amp;盘货信息!$C:$C,盘货信息!$X:$X))</f>
        <v/>
      </c>
      <c r="R358" s="27" t="str" cm="1">
        <f t="array" ref="R358">IF(_xlfn.XLOOKUP($A358&amp;$B358&amp;$C358,盘货信息!$A:$A&amp;盘货信息!$B:$B&amp;盘货信息!$C:$C,盘货信息!$Z:$Z)="","","【"&amp;盘货信息!$Z$1&amp;"】"&amp;_xlfn.XLOOKUP($A358&amp;$B358&amp;$C358,盘货信息!$A:$A&amp;盘货信息!$B:$B&amp;盘货信息!$C:$C,盘货信息!$Z:$Z))</f>
        <v/>
      </c>
      <c r="S358" s="27" t="str" cm="1">
        <f t="array" ref="S358">IF(_xlfn.XLOOKUP($A358&amp;$B358&amp;$C358,盘货信息!$A:$A&amp;盘货信息!$B:$B&amp;盘货信息!$C:$C,盘货信息!$Q:$Q)="","","【种草】站外带指定话题种草后返"&amp;_xlfn.XLOOKUP($A358&amp;$B358&amp;$C358,盘货信息!$A:$A&amp;盘货信息!$B:$B&amp;盘货信息!$C:$C,盘货信息!$Q:$Q)&amp;"元红包（每个淘宝账号仅限对应一个站外种草账号，同一个种草账号不可对应多个淘宝账号）")</f>
        <v/>
      </c>
      <c r="T358" s="27" t="str" cm="1">
        <f t="array" ref="T358">IF(_xlfn.XLOOKUP($A358&amp;$B358&amp;$C358,盘货信息!$A:$A&amp;盘货信息!$B:$B&amp;盘货信息!$C:$C,盘货信息!$R:$R)&lt;1,"","【以旧换新】"&amp;"享补贴"&amp;ROUND(_xlfn.XLOOKUP($A358&amp;$B358&amp;$C358,盘货信息!$A:$A&amp;盘货信息!$B:$B&amp;盘货信息!$C:$C,盘货信息!$R:$R),0)&amp;"元（可无旧机换新）")</f>
        <v/>
      </c>
      <c r="U358" s="27" t="str">
        <f>IF(AND($N358="",$O358="",$P358="",$Q358="",$R358="",$S358="",$T358=""),"",固定信息!$B$1)</f>
        <v/>
      </c>
      <c r="V358" s="27" t="str" cm="1">
        <f t="array" ref="V358">IF(_xlfn.XLOOKUP($A358&amp;$B358&amp;$C358,盘货信息!$A:$A&amp;盘货信息!$B:$B&amp;盘货信息!$C:$C,盘货信息!$Y:$Y)="","","【卡萨帝送赠】活动指定时间"&amp;_xlfn.TEXTBEFORE(_xlfn.TEXTAFTER(_xlfn.XLOOKUP($A358&amp;$B358&amp;$C358,盘货信息!$A:$A&amp;盘货信息!$B:$B&amp;盘货信息!$C:$C,盘货信息!$Y:$Y),"点"),"（"))</f>
        <v/>
      </c>
      <c r="W358" s="27" t="str" cm="1">
        <f t="array" ref="W358">IF(COUNTIF(_xlfn.XLOOKUP($A358&amp;$B358&amp;$C358,盘货信息!$A:$A&amp;盘货信息!$B:$B&amp;盘货信息!$C:$C,盘货信息!$O:$O),"*是*"),"【折扣】指定型号满2类享96折，满3类享94折","")</f>
        <v/>
      </c>
      <c r="X358" s="27" t="str" cm="1">
        <f t="array" ref="X358">IF(固定信息!$B$7="","",IF(_xlfn.XLOOKUP($A358&amp;$B358&amp;$C358,盘货信息!$A:$A&amp;盘货信息!$B:$B&amp;盘货信息!$C:$C,盘货信息!$N:$N)="是","【瓜分】"&amp;固定信息!$B$7,""))</f>
        <v/>
      </c>
      <c r="Y358" s="27" t="str">
        <f>IF(AND($V358="",$W358="",$X358=""),"",固定信息!$B$1)</f>
        <v/>
      </c>
      <c r="Z358" s="27" t="str" cm="1">
        <f t="array" ref="Z358">IF($C358="","",_xlfn.XLOOKUP($A358&amp;$B358&amp;$C358,服务!$A:$A&amp;服务!$B:$B&amp;服务!$C:$C,服务!$D:$D))</f>
        <v/>
      </c>
    </row>
    <row r="359" customHeight="1" spans="1:26">
      <c r="A359" s="23" t="str">
        <f>IF(盘货信息!A359="","",盘货信息!A359)</f>
        <v/>
      </c>
      <c r="B359" s="26" t="str">
        <f>IF(盘货信息!B359="","",盘货信息!B359)</f>
        <v/>
      </c>
      <c r="C359" s="23" t="str">
        <f>IF(盘货信息!C359="","",盘货信息!C359)</f>
        <v/>
      </c>
      <c r="D359" s="27" t="str">
        <f ca="1" t="shared" si="5"/>
        <v/>
      </c>
      <c r="E359" s="27" t="str">
        <f>IF(C359="","",固定信息!$B$2)</f>
        <v/>
      </c>
      <c r="F359" s="27" t="str">
        <f>IF(C359="","","【"&amp;C359&amp;"】"&amp;固定信息!$B$4)</f>
        <v/>
      </c>
      <c r="G359" s="27" t="str">
        <f>IF(C359="","","【"&amp;"活动时间："&amp;固定信息!$B$3&amp;"】")</f>
        <v/>
      </c>
      <c r="H359" s="27" t="str">
        <f>IF($C359="","",固定信息!$B$1)</f>
        <v/>
      </c>
      <c r="I359" s="27" t="str">
        <f>IF(OR(C359="",固定信息!$B$5=""),"","【1元预约锁好礼】"&amp;固定信息!$B$5)</f>
        <v/>
      </c>
      <c r="J359" s="27" t="str" cm="1">
        <f t="array" ref="J359">_xlfn.XLOOKUP($A359&amp;$B359&amp;$C359,价格信息!$A:$A&amp;价格信息!$B:$B&amp;价格信息!$C:$C,价格信息!$D:$D)</f>
        <v/>
      </c>
      <c r="K359" s="27" t="str">
        <f>IF($C359="","",固定信息!$B$1)</f>
        <v/>
      </c>
      <c r="L359" s="27" t="str" cm="1">
        <f t="array" ref="L359">IF(_xlfn.XLOOKUP($A359&amp;$B359&amp;$C359,盘货信息!$A:$A&amp;盘货信息!$B:$B&amp;盘货信息!$C:$C,盘货信息!$T:$T)="","","【优惠券】领"&amp;_xlfn.XLOOKUP($A359&amp;$B359&amp;$C359,盘货信息!$A:$A&amp;盘货信息!$B:$B&amp;盘货信息!$C:$C,盘货信息!$T:$T)&amp;"元优惠卷下单更优惠，领券链接："&amp;_xlfn.XLOOKUP($A359&amp;$B359&amp;$C359,盘货信息!$A:$A&amp;盘货信息!$B:$B&amp;盘货信息!$C:$C,盘货信息!$U:$U))</f>
        <v/>
      </c>
      <c r="M359" s="27" t="str" cm="1">
        <f t="array" ref="M359">IF(_xlfn.XLOOKUP($A359&amp;$B359&amp;$C359,盘货信息!$A:$A&amp;盘货信息!$B:$B&amp;盘货信息!$C:$C,盘货信息!$P:$P)="","","【限时】"&amp;_xlfn.XLOOKUP($A359&amp;$B359&amp;$C359,盘货信息!$A:$A&amp;盘货信息!$B:$B&amp;盘货信息!$C:$C,盘货信息!$P:$P))</f>
        <v/>
      </c>
      <c r="N359" s="27" t="str" cm="1">
        <f t="array" ref="N359">IF(_xlfn.XLOOKUP($A359&amp;$B359&amp;$C359,盘货信息!$A:$A&amp;盘货信息!$B:$B&amp;盘货信息!$C:$C,盘货信息!$V:$V)="","","【"&amp;盘货信息!$V$1&amp;"】"&amp;_xlfn.XLOOKUP($A359&amp;$B359&amp;$C359,盘货信息!$A:$A&amp;盘货信息!$B:$B&amp;盘货信息!$C:$C,盘货信息!$V:$V))</f>
        <v/>
      </c>
      <c r="O359" s="27" t="str" cm="1">
        <f t="array" ref="O359">IF(_xlfn.XLOOKUP($A359&amp;$B359&amp;$C359,盘货信息!$A:$A&amp;盘货信息!$B:$B&amp;盘货信息!$C:$C,盘货信息!$W:$W)="","","【"&amp;盘货信息!$W$1&amp;"】"&amp;_xlfn.XLOOKUP($A359&amp;$B359&amp;$C359,盘货信息!$A:$A&amp;盘货信息!$B:$B&amp;盘货信息!$C:$C,盘货信息!$W:$W))</f>
        <v/>
      </c>
      <c r="P359" s="27" t="str" cm="1">
        <f t="array" ref="P359">IF(_xlfn.XLOOKUP($A359&amp;$B359&amp;$C359,盘货信息!$A:$A&amp;盘货信息!$B:$B&amp;盘货信息!$C:$C,盘货信息!$S:$S)&lt;1,"","【"&amp;盘货信息!$S$1&amp;"】"&amp;"后返"&amp;_xlfn.XLOOKUP($A359&amp;$B359&amp;$C359,盘货信息!$A:$A&amp;盘货信息!$B:$B&amp;盘货信息!$C:$C,盘货信息!$S:$S)&amp;"元")</f>
        <v/>
      </c>
      <c r="Q359" s="27" t="str" cm="1">
        <f t="array" ref="Q359">IF(_xlfn.XLOOKUP($A359&amp;$B359&amp;$C359,盘货信息!$A:$A&amp;盘货信息!$B:$B&amp;盘货信息!$C:$C,盘货信息!$X:$X)="","","【"&amp;盘货信息!$X$1&amp;"】"&amp;_xlfn.XLOOKUP($A359&amp;$B359&amp;$C359,盘货信息!$A:$A&amp;盘货信息!$B:$B&amp;盘货信息!$C:$C,盘货信息!$X:$X))</f>
        <v/>
      </c>
      <c r="R359" s="27" t="str" cm="1">
        <f t="array" ref="R359">IF(_xlfn.XLOOKUP($A359&amp;$B359&amp;$C359,盘货信息!$A:$A&amp;盘货信息!$B:$B&amp;盘货信息!$C:$C,盘货信息!$Z:$Z)="","","【"&amp;盘货信息!$Z$1&amp;"】"&amp;_xlfn.XLOOKUP($A359&amp;$B359&amp;$C359,盘货信息!$A:$A&amp;盘货信息!$B:$B&amp;盘货信息!$C:$C,盘货信息!$Z:$Z))</f>
        <v/>
      </c>
      <c r="S359" s="27" t="str" cm="1">
        <f t="array" ref="S359">IF(_xlfn.XLOOKUP($A359&amp;$B359&amp;$C359,盘货信息!$A:$A&amp;盘货信息!$B:$B&amp;盘货信息!$C:$C,盘货信息!$Q:$Q)="","","【种草】站外带指定话题种草后返"&amp;_xlfn.XLOOKUP($A359&amp;$B359&amp;$C359,盘货信息!$A:$A&amp;盘货信息!$B:$B&amp;盘货信息!$C:$C,盘货信息!$Q:$Q)&amp;"元红包（每个淘宝账号仅限对应一个站外种草账号，同一个种草账号不可对应多个淘宝账号）")</f>
        <v/>
      </c>
      <c r="T359" s="27" t="str" cm="1">
        <f t="array" ref="T359">IF(_xlfn.XLOOKUP($A359&amp;$B359&amp;$C359,盘货信息!$A:$A&amp;盘货信息!$B:$B&amp;盘货信息!$C:$C,盘货信息!$R:$R)&lt;1,"","【以旧换新】"&amp;"享补贴"&amp;ROUND(_xlfn.XLOOKUP($A359&amp;$B359&amp;$C359,盘货信息!$A:$A&amp;盘货信息!$B:$B&amp;盘货信息!$C:$C,盘货信息!$R:$R),0)&amp;"元（可无旧机换新）")</f>
        <v/>
      </c>
      <c r="U359" s="27" t="str">
        <f>IF(AND($N359="",$O359="",$P359="",$Q359="",$R359="",$S359="",$T359=""),"",固定信息!$B$1)</f>
        <v/>
      </c>
      <c r="V359" s="27" t="str" cm="1">
        <f t="array" ref="V359">IF(_xlfn.XLOOKUP($A359&amp;$B359&amp;$C359,盘货信息!$A:$A&amp;盘货信息!$B:$B&amp;盘货信息!$C:$C,盘货信息!$Y:$Y)="","","【卡萨帝送赠】活动指定时间"&amp;_xlfn.TEXTBEFORE(_xlfn.TEXTAFTER(_xlfn.XLOOKUP($A359&amp;$B359&amp;$C359,盘货信息!$A:$A&amp;盘货信息!$B:$B&amp;盘货信息!$C:$C,盘货信息!$Y:$Y),"点"),"（"))</f>
        <v/>
      </c>
      <c r="W359" s="27" t="str" cm="1">
        <f t="array" ref="W359">IF(COUNTIF(_xlfn.XLOOKUP($A359&amp;$B359&amp;$C359,盘货信息!$A:$A&amp;盘货信息!$B:$B&amp;盘货信息!$C:$C,盘货信息!$O:$O),"*是*"),"【折扣】指定型号满2类享96折，满3类享94折","")</f>
        <v/>
      </c>
      <c r="X359" s="27" t="str" cm="1">
        <f t="array" ref="X359">IF(固定信息!$B$7="","",IF(_xlfn.XLOOKUP($A359&amp;$B359&amp;$C359,盘货信息!$A:$A&amp;盘货信息!$B:$B&amp;盘货信息!$C:$C,盘货信息!$N:$N)="是","【瓜分】"&amp;固定信息!$B$7,""))</f>
        <v/>
      </c>
      <c r="Y359" s="27" t="str">
        <f>IF(AND($V359="",$W359="",$X359=""),"",固定信息!$B$1)</f>
        <v/>
      </c>
      <c r="Z359" s="27" t="str" cm="1">
        <f t="array" ref="Z359">IF($C359="","",_xlfn.XLOOKUP($A359&amp;$B359&amp;$C359,服务!$A:$A&amp;服务!$B:$B&amp;服务!$C:$C,服务!$D:$D))</f>
        <v/>
      </c>
    </row>
    <row r="360" customHeight="1" spans="1:26">
      <c r="A360" s="23" t="str">
        <f>IF(盘货信息!A360="","",盘货信息!A360)</f>
        <v/>
      </c>
      <c r="B360" s="26" t="str">
        <f>IF(盘货信息!B360="","",盘货信息!B360)</f>
        <v/>
      </c>
      <c r="C360" s="23" t="str">
        <f>IF(盘货信息!C360="","",盘货信息!C360)</f>
        <v/>
      </c>
      <c r="D360" s="27" t="str">
        <f ca="1" t="shared" si="5"/>
        <v/>
      </c>
      <c r="E360" s="27" t="str">
        <f>IF(C360="","",固定信息!$B$2)</f>
        <v/>
      </c>
      <c r="F360" s="27" t="str">
        <f>IF(C360="","","【"&amp;C360&amp;"】"&amp;固定信息!$B$4)</f>
        <v/>
      </c>
      <c r="G360" s="27" t="str">
        <f>IF(C360="","","【"&amp;"活动时间："&amp;固定信息!$B$3&amp;"】")</f>
        <v/>
      </c>
      <c r="H360" s="27" t="str">
        <f>IF($C360="","",固定信息!$B$1)</f>
        <v/>
      </c>
      <c r="I360" s="27" t="str">
        <f>IF(OR(C360="",固定信息!$B$5=""),"","【1元预约锁好礼】"&amp;固定信息!$B$5)</f>
        <v/>
      </c>
      <c r="J360" s="27" t="str" cm="1">
        <f t="array" ref="J360">_xlfn.XLOOKUP($A360&amp;$B360&amp;$C360,价格信息!$A:$A&amp;价格信息!$B:$B&amp;价格信息!$C:$C,价格信息!$D:$D)</f>
        <v/>
      </c>
      <c r="K360" s="27" t="str">
        <f>IF($C360="","",固定信息!$B$1)</f>
        <v/>
      </c>
      <c r="L360" s="27" t="str" cm="1">
        <f t="array" ref="L360">IF(_xlfn.XLOOKUP($A360&amp;$B360&amp;$C360,盘货信息!$A:$A&amp;盘货信息!$B:$B&amp;盘货信息!$C:$C,盘货信息!$T:$T)="","","【优惠券】领"&amp;_xlfn.XLOOKUP($A360&amp;$B360&amp;$C360,盘货信息!$A:$A&amp;盘货信息!$B:$B&amp;盘货信息!$C:$C,盘货信息!$T:$T)&amp;"元优惠卷下单更优惠，领券链接："&amp;_xlfn.XLOOKUP($A360&amp;$B360&amp;$C360,盘货信息!$A:$A&amp;盘货信息!$B:$B&amp;盘货信息!$C:$C,盘货信息!$U:$U))</f>
        <v/>
      </c>
      <c r="M360" s="27" t="str" cm="1">
        <f t="array" ref="M360">IF(_xlfn.XLOOKUP($A360&amp;$B360&amp;$C360,盘货信息!$A:$A&amp;盘货信息!$B:$B&amp;盘货信息!$C:$C,盘货信息!$P:$P)="","","【限时】"&amp;_xlfn.XLOOKUP($A360&amp;$B360&amp;$C360,盘货信息!$A:$A&amp;盘货信息!$B:$B&amp;盘货信息!$C:$C,盘货信息!$P:$P))</f>
        <v/>
      </c>
      <c r="N360" s="27" t="str" cm="1">
        <f t="array" ref="N360">IF(_xlfn.XLOOKUP($A360&amp;$B360&amp;$C360,盘货信息!$A:$A&amp;盘货信息!$B:$B&amp;盘货信息!$C:$C,盘货信息!$V:$V)="","","【"&amp;盘货信息!$V$1&amp;"】"&amp;_xlfn.XLOOKUP($A360&amp;$B360&amp;$C360,盘货信息!$A:$A&amp;盘货信息!$B:$B&amp;盘货信息!$C:$C,盘货信息!$V:$V))</f>
        <v/>
      </c>
      <c r="O360" s="27" t="str" cm="1">
        <f t="array" ref="O360">IF(_xlfn.XLOOKUP($A360&amp;$B360&amp;$C360,盘货信息!$A:$A&amp;盘货信息!$B:$B&amp;盘货信息!$C:$C,盘货信息!$W:$W)="","","【"&amp;盘货信息!$W$1&amp;"】"&amp;_xlfn.XLOOKUP($A360&amp;$B360&amp;$C360,盘货信息!$A:$A&amp;盘货信息!$B:$B&amp;盘货信息!$C:$C,盘货信息!$W:$W))</f>
        <v/>
      </c>
      <c r="P360" s="27" t="str" cm="1">
        <f t="array" ref="P360">IF(_xlfn.XLOOKUP($A360&amp;$B360&amp;$C360,盘货信息!$A:$A&amp;盘货信息!$B:$B&amp;盘货信息!$C:$C,盘货信息!$S:$S)&lt;1,"","【"&amp;盘货信息!$S$1&amp;"】"&amp;"后返"&amp;_xlfn.XLOOKUP($A360&amp;$B360&amp;$C360,盘货信息!$A:$A&amp;盘货信息!$B:$B&amp;盘货信息!$C:$C,盘货信息!$S:$S)&amp;"元")</f>
        <v/>
      </c>
      <c r="Q360" s="27" t="str" cm="1">
        <f t="array" ref="Q360">IF(_xlfn.XLOOKUP($A360&amp;$B360&amp;$C360,盘货信息!$A:$A&amp;盘货信息!$B:$B&amp;盘货信息!$C:$C,盘货信息!$X:$X)="","","【"&amp;盘货信息!$X$1&amp;"】"&amp;_xlfn.XLOOKUP($A360&amp;$B360&amp;$C360,盘货信息!$A:$A&amp;盘货信息!$B:$B&amp;盘货信息!$C:$C,盘货信息!$X:$X))</f>
        <v/>
      </c>
      <c r="R360" s="27" t="str" cm="1">
        <f t="array" ref="R360">IF(_xlfn.XLOOKUP($A360&amp;$B360&amp;$C360,盘货信息!$A:$A&amp;盘货信息!$B:$B&amp;盘货信息!$C:$C,盘货信息!$Z:$Z)="","","【"&amp;盘货信息!$Z$1&amp;"】"&amp;_xlfn.XLOOKUP($A360&amp;$B360&amp;$C360,盘货信息!$A:$A&amp;盘货信息!$B:$B&amp;盘货信息!$C:$C,盘货信息!$Z:$Z))</f>
        <v/>
      </c>
      <c r="S360" s="27" t="str" cm="1">
        <f t="array" ref="S360">IF(_xlfn.XLOOKUP($A360&amp;$B360&amp;$C360,盘货信息!$A:$A&amp;盘货信息!$B:$B&amp;盘货信息!$C:$C,盘货信息!$Q:$Q)="","","【种草】站外带指定话题种草后返"&amp;_xlfn.XLOOKUP($A360&amp;$B360&amp;$C360,盘货信息!$A:$A&amp;盘货信息!$B:$B&amp;盘货信息!$C:$C,盘货信息!$Q:$Q)&amp;"元红包（每个淘宝账号仅限对应一个站外种草账号，同一个种草账号不可对应多个淘宝账号）")</f>
        <v/>
      </c>
      <c r="T360" s="27" t="str" cm="1">
        <f t="array" ref="T360">IF(_xlfn.XLOOKUP($A360&amp;$B360&amp;$C360,盘货信息!$A:$A&amp;盘货信息!$B:$B&amp;盘货信息!$C:$C,盘货信息!$R:$R)&lt;1,"","【以旧换新】"&amp;"享补贴"&amp;ROUND(_xlfn.XLOOKUP($A360&amp;$B360&amp;$C360,盘货信息!$A:$A&amp;盘货信息!$B:$B&amp;盘货信息!$C:$C,盘货信息!$R:$R),0)&amp;"元（可无旧机换新）")</f>
        <v/>
      </c>
      <c r="U360" s="27" t="str">
        <f>IF(AND($N360="",$O360="",$P360="",$Q360="",$R360="",$S360="",$T360=""),"",固定信息!$B$1)</f>
        <v/>
      </c>
      <c r="V360" s="27" t="str" cm="1">
        <f t="array" ref="V360">IF(_xlfn.XLOOKUP($A360&amp;$B360&amp;$C360,盘货信息!$A:$A&amp;盘货信息!$B:$B&amp;盘货信息!$C:$C,盘货信息!$Y:$Y)="","","【卡萨帝送赠】活动指定时间"&amp;_xlfn.TEXTBEFORE(_xlfn.TEXTAFTER(_xlfn.XLOOKUP($A360&amp;$B360&amp;$C360,盘货信息!$A:$A&amp;盘货信息!$B:$B&amp;盘货信息!$C:$C,盘货信息!$Y:$Y),"点"),"（"))</f>
        <v/>
      </c>
      <c r="W360" s="27" t="str" cm="1">
        <f t="array" ref="W360">IF(COUNTIF(_xlfn.XLOOKUP($A360&amp;$B360&amp;$C360,盘货信息!$A:$A&amp;盘货信息!$B:$B&amp;盘货信息!$C:$C,盘货信息!$O:$O),"*是*"),"【折扣】指定型号满2类享96折，满3类享94折","")</f>
        <v/>
      </c>
      <c r="X360" s="27" t="str" cm="1">
        <f t="array" ref="X360">IF(固定信息!$B$7="","",IF(_xlfn.XLOOKUP($A360&amp;$B360&amp;$C360,盘货信息!$A:$A&amp;盘货信息!$B:$B&amp;盘货信息!$C:$C,盘货信息!$N:$N)="是","【瓜分】"&amp;固定信息!$B$7,""))</f>
        <v/>
      </c>
      <c r="Y360" s="27" t="str">
        <f>IF(AND($V360="",$W360="",$X360=""),"",固定信息!$B$1)</f>
        <v/>
      </c>
      <c r="Z360" s="27" t="str" cm="1">
        <f t="array" ref="Z360">IF($C360="","",_xlfn.XLOOKUP($A360&amp;$B360&amp;$C360,服务!$A:$A&amp;服务!$B:$B&amp;服务!$C:$C,服务!$D:$D))</f>
        <v/>
      </c>
    </row>
    <row r="361" customHeight="1" spans="1:26">
      <c r="A361" s="23" t="str">
        <f>IF(盘货信息!A361="","",盘货信息!A361)</f>
        <v/>
      </c>
      <c r="B361" s="26" t="str">
        <f>IF(盘货信息!B361="","",盘货信息!B361)</f>
        <v/>
      </c>
      <c r="C361" s="23" t="str">
        <f>IF(盘货信息!C361="","",盘货信息!C361)</f>
        <v/>
      </c>
      <c r="D361" s="27" t="str">
        <f ca="1" t="shared" si="5"/>
        <v/>
      </c>
      <c r="E361" s="27" t="str">
        <f>IF(C361="","",固定信息!$B$2)</f>
        <v/>
      </c>
      <c r="F361" s="27" t="str">
        <f>IF(C361="","","【"&amp;C361&amp;"】"&amp;固定信息!$B$4)</f>
        <v/>
      </c>
      <c r="G361" s="27" t="str">
        <f>IF(C361="","","【"&amp;"活动时间："&amp;固定信息!$B$3&amp;"】")</f>
        <v/>
      </c>
      <c r="H361" s="27" t="str">
        <f>IF($C361="","",固定信息!$B$1)</f>
        <v/>
      </c>
      <c r="I361" s="27" t="str">
        <f>IF(OR(C361="",固定信息!$B$5=""),"","【1元预约锁好礼】"&amp;固定信息!$B$5)</f>
        <v/>
      </c>
      <c r="J361" s="27" t="str" cm="1">
        <f t="array" ref="J361">_xlfn.XLOOKUP($A361&amp;$B361&amp;$C361,价格信息!$A:$A&amp;价格信息!$B:$B&amp;价格信息!$C:$C,价格信息!$D:$D)</f>
        <v/>
      </c>
      <c r="K361" s="27" t="str">
        <f>IF($C361="","",固定信息!$B$1)</f>
        <v/>
      </c>
      <c r="L361" s="27" t="str" cm="1">
        <f t="array" ref="L361">IF(_xlfn.XLOOKUP($A361&amp;$B361&amp;$C361,盘货信息!$A:$A&amp;盘货信息!$B:$B&amp;盘货信息!$C:$C,盘货信息!$T:$T)="","","【优惠券】领"&amp;_xlfn.XLOOKUP($A361&amp;$B361&amp;$C361,盘货信息!$A:$A&amp;盘货信息!$B:$B&amp;盘货信息!$C:$C,盘货信息!$T:$T)&amp;"元优惠卷下单更优惠，领券链接："&amp;_xlfn.XLOOKUP($A361&amp;$B361&amp;$C361,盘货信息!$A:$A&amp;盘货信息!$B:$B&amp;盘货信息!$C:$C,盘货信息!$U:$U))</f>
        <v/>
      </c>
      <c r="M361" s="27" t="str" cm="1">
        <f t="array" ref="M361">IF(_xlfn.XLOOKUP($A361&amp;$B361&amp;$C361,盘货信息!$A:$A&amp;盘货信息!$B:$B&amp;盘货信息!$C:$C,盘货信息!$P:$P)="","","【限时】"&amp;_xlfn.XLOOKUP($A361&amp;$B361&amp;$C361,盘货信息!$A:$A&amp;盘货信息!$B:$B&amp;盘货信息!$C:$C,盘货信息!$P:$P))</f>
        <v/>
      </c>
      <c r="N361" s="27" t="str" cm="1">
        <f t="array" ref="N361">IF(_xlfn.XLOOKUP($A361&amp;$B361&amp;$C361,盘货信息!$A:$A&amp;盘货信息!$B:$B&amp;盘货信息!$C:$C,盘货信息!$V:$V)="","","【"&amp;盘货信息!$V$1&amp;"】"&amp;_xlfn.XLOOKUP($A361&amp;$B361&amp;$C361,盘货信息!$A:$A&amp;盘货信息!$B:$B&amp;盘货信息!$C:$C,盘货信息!$V:$V))</f>
        <v/>
      </c>
      <c r="O361" s="27" t="str" cm="1">
        <f t="array" ref="O361">IF(_xlfn.XLOOKUP($A361&amp;$B361&amp;$C361,盘货信息!$A:$A&amp;盘货信息!$B:$B&amp;盘货信息!$C:$C,盘货信息!$W:$W)="","","【"&amp;盘货信息!$W$1&amp;"】"&amp;_xlfn.XLOOKUP($A361&amp;$B361&amp;$C361,盘货信息!$A:$A&amp;盘货信息!$B:$B&amp;盘货信息!$C:$C,盘货信息!$W:$W))</f>
        <v/>
      </c>
      <c r="P361" s="27" t="str" cm="1">
        <f t="array" ref="P361">IF(_xlfn.XLOOKUP($A361&amp;$B361&amp;$C361,盘货信息!$A:$A&amp;盘货信息!$B:$B&amp;盘货信息!$C:$C,盘货信息!$S:$S)&lt;1,"","【"&amp;盘货信息!$S$1&amp;"】"&amp;"后返"&amp;_xlfn.XLOOKUP($A361&amp;$B361&amp;$C361,盘货信息!$A:$A&amp;盘货信息!$B:$B&amp;盘货信息!$C:$C,盘货信息!$S:$S)&amp;"元")</f>
        <v/>
      </c>
      <c r="Q361" s="27" t="str" cm="1">
        <f t="array" ref="Q361">IF(_xlfn.XLOOKUP($A361&amp;$B361&amp;$C361,盘货信息!$A:$A&amp;盘货信息!$B:$B&amp;盘货信息!$C:$C,盘货信息!$X:$X)="","","【"&amp;盘货信息!$X$1&amp;"】"&amp;_xlfn.XLOOKUP($A361&amp;$B361&amp;$C361,盘货信息!$A:$A&amp;盘货信息!$B:$B&amp;盘货信息!$C:$C,盘货信息!$X:$X))</f>
        <v/>
      </c>
      <c r="R361" s="27" t="str" cm="1">
        <f t="array" ref="R361">IF(_xlfn.XLOOKUP($A361&amp;$B361&amp;$C361,盘货信息!$A:$A&amp;盘货信息!$B:$B&amp;盘货信息!$C:$C,盘货信息!$Z:$Z)="","","【"&amp;盘货信息!$Z$1&amp;"】"&amp;_xlfn.XLOOKUP($A361&amp;$B361&amp;$C361,盘货信息!$A:$A&amp;盘货信息!$B:$B&amp;盘货信息!$C:$C,盘货信息!$Z:$Z))</f>
        <v/>
      </c>
      <c r="S361" s="27" t="str" cm="1">
        <f t="array" ref="S361">IF(_xlfn.XLOOKUP($A361&amp;$B361&amp;$C361,盘货信息!$A:$A&amp;盘货信息!$B:$B&amp;盘货信息!$C:$C,盘货信息!$Q:$Q)="","","【种草】站外带指定话题种草后返"&amp;_xlfn.XLOOKUP($A361&amp;$B361&amp;$C361,盘货信息!$A:$A&amp;盘货信息!$B:$B&amp;盘货信息!$C:$C,盘货信息!$Q:$Q)&amp;"元红包（每个淘宝账号仅限对应一个站外种草账号，同一个种草账号不可对应多个淘宝账号）")</f>
        <v/>
      </c>
      <c r="T361" s="27" t="str" cm="1">
        <f t="array" ref="T361">IF(_xlfn.XLOOKUP($A361&amp;$B361&amp;$C361,盘货信息!$A:$A&amp;盘货信息!$B:$B&amp;盘货信息!$C:$C,盘货信息!$R:$R)&lt;1,"","【以旧换新】"&amp;"享补贴"&amp;ROUND(_xlfn.XLOOKUP($A361&amp;$B361&amp;$C361,盘货信息!$A:$A&amp;盘货信息!$B:$B&amp;盘货信息!$C:$C,盘货信息!$R:$R),0)&amp;"元（可无旧机换新）")</f>
        <v/>
      </c>
      <c r="U361" s="27" t="str">
        <f>IF(AND($N361="",$O361="",$P361="",$Q361="",$R361="",$S361="",$T361=""),"",固定信息!$B$1)</f>
        <v/>
      </c>
      <c r="V361" s="27" t="str" cm="1">
        <f t="array" ref="V361">IF(_xlfn.XLOOKUP($A361&amp;$B361&amp;$C361,盘货信息!$A:$A&amp;盘货信息!$B:$B&amp;盘货信息!$C:$C,盘货信息!$Y:$Y)="","","【卡萨帝送赠】活动指定时间"&amp;_xlfn.TEXTBEFORE(_xlfn.TEXTAFTER(_xlfn.XLOOKUP($A361&amp;$B361&amp;$C361,盘货信息!$A:$A&amp;盘货信息!$B:$B&amp;盘货信息!$C:$C,盘货信息!$Y:$Y),"点"),"（"))</f>
        <v/>
      </c>
      <c r="W361" s="27" t="str" cm="1">
        <f t="array" ref="W361">IF(COUNTIF(_xlfn.XLOOKUP($A361&amp;$B361&amp;$C361,盘货信息!$A:$A&amp;盘货信息!$B:$B&amp;盘货信息!$C:$C,盘货信息!$O:$O),"*是*"),"【折扣】指定型号满2类享96折，满3类享94折","")</f>
        <v/>
      </c>
      <c r="X361" s="27" t="str" cm="1">
        <f t="array" ref="X361">IF(固定信息!$B$7="","",IF(_xlfn.XLOOKUP($A361&amp;$B361&amp;$C361,盘货信息!$A:$A&amp;盘货信息!$B:$B&amp;盘货信息!$C:$C,盘货信息!$N:$N)="是","【瓜分】"&amp;固定信息!$B$7,""))</f>
        <v/>
      </c>
      <c r="Y361" s="27" t="str">
        <f>IF(AND($V361="",$W361="",$X361=""),"",固定信息!$B$1)</f>
        <v/>
      </c>
      <c r="Z361" s="27" t="str" cm="1">
        <f t="array" ref="Z361">IF($C361="","",_xlfn.XLOOKUP($A361&amp;$B361&amp;$C361,服务!$A:$A&amp;服务!$B:$B&amp;服务!$C:$C,服务!$D:$D))</f>
        <v/>
      </c>
    </row>
    <row r="362" customHeight="1" spans="1:26">
      <c r="A362" s="23" t="str">
        <f>IF(盘货信息!A362="","",盘货信息!A362)</f>
        <v/>
      </c>
      <c r="B362" s="26" t="str">
        <f>IF(盘货信息!B362="","",盘货信息!B362)</f>
        <v/>
      </c>
      <c r="C362" s="23" t="str">
        <f>IF(盘货信息!C362="","",盘货信息!C362)</f>
        <v/>
      </c>
      <c r="D362" s="27" t="str">
        <f ca="1" t="shared" si="5"/>
        <v/>
      </c>
      <c r="E362" s="27" t="str">
        <f>IF(C362="","",固定信息!$B$2)</f>
        <v/>
      </c>
      <c r="F362" s="27" t="str">
        <f>IF(C362="","","【"&amp;C362&amp;"】"&amp;固定信息!$B$4)</f>
        <v/>
      </c>
      <c r="G362" s="27" t="str">
        <f>IF(C362="","","【"&amp;"活动时间："&amp;固定信息!$B$3&amp;"】")</f>
        <v/>
      </c>
      <c r="H362" s="27" t="str">
        <f>IF($C362="","",固定信息!$B$1)</f>
        <v/>
      </c>
      <c r="I362" s="27" t="str">
        <f>IF(OR(C362="",固定信息!$B$5=""),"","【1元预约锁好礼】"&amp;固定信息!$B$5)</f>
        <v/>
      </c>
      <c r="J362" s="27" t="str" cm="1">
        <f t="array" ref="J362">_xlfn.XLOOKUP($A362&amp;$B362&amp;$C362,价格信息!$A:$A&amp;价格信息!$B:$B&amp;价格信息!$C:$C,价格信息!$D:$D)</f>
        <v/>
      </c>
      <c r="K362" s="27" t="str">
        <f>IF($C362="","",固定信息!$B$1)</f>
        <v/>
      </c>
      <c r="L362" s="27" t="str" cm="1">
        <f t="array" ref="L362">IF(_xlfn.XLOOKUP($A362&amp;$B362&amp;$C362,盘货信息!$A:$A&amp;盘货信息!$B:$B&amp;盘货信息!$C:$C,盘货信息!$T:$T)="","","【优惠券】领"&amp;_xlfn.XLOOKUP($A362&amp;$B362&amp;$C362,盘货信息!$A:$A&amp;盘货信息!$B:$B&amp;盘货信息!$C:$C,盘货信息!$T:$T)&amp;"元优惠卷下单更优惠，领券链接："&amp;_xlfn.XLOOKUP($A362&amp;$B362&amp;$C362,盘货信息!$A:$A&amp;盘货信息!$B:$B&amp;盘货信息!$C:$C,盘货信息!$U:$U))</f>
        <v/>
      </c>
      <c r="M362" s="27" t="str" cm="1">
        <f t="array" ref="M362">IF(_xlfn.XLOOKUP($A362&amp;$B362&amp;$C362,盘货信息!$A:$A&amp;盘货信息!$B:$B&amp;盘货信息!$C:$C,盘货信息!$P:$P)="","","【限时】"&amp;_xlfn.XLOOKUP($A362&amp;$B362&amp;$C362,盘货信息!$A:$A&amp;盘货信息!$B:$B&amp;盘货信息!$C:$C,盘货信息!$P:$P))</f>
        <v/>
      </c>
      <c r="N362" s="27" t="str" cm="1">
        <f t="array" ref="N362">IF(_xlfn.XLOOKUP($A362&amp;$B362&amp;$C362,盘货信息!$A:$A&amp;盘货信息!$B:$B&amp;盘货信息!$C:$C,盘货信息!$V:$V)="","","【"&amp;盘货信息!$V$1&amp;"】"&amp;_xlfn.XLOOKUP($A362&amp;$B362&amp;$C362,盘货信息!$A:$A&amp;盘货信息!$B:$B&amp;盘货信息!$C:$C,盘货信息!$V:$V))</f>
        <v/>
      </c>
      <c r="O362" s="27" t="str" cm="1">
        <f t="array" ref="O362">IF(_xlfn.XLOOKUP($A362&amp;$B362&amp;$C362,盘货信息!$A:$A&amp;盘货信息!$B:$B&amp;盘货信息!$C:$C,盘货信息!$W:$W)="","","【"&amp;盘货信息!$W$1&amp;"】"&amp;_xlfn.XLOOKUP($A362&amp;$B362&amp;$C362,盘货信息!$A:$A&amp;盘货信息!$B:$B&amp;盘货信息!$C:$C,盘货信息!$W:$W))</f>
        <v/>
      </c>
      <c r="P362" s="27" t="str" cm="1">
        <f t="array" ref="P362">IF(_xlfn.XLOOKUP($A362&amp;$B362&amp;$C362,盘货信息!$A:$A&amp;盘货信息!$B:$B&amp;盘货信息!$C:$C,盘货信息!$S:$S)&lt;1,"","【"&amp;盘货信息!$S$1&amp;"】"&amp;"后返"&amp;_xlfn.XLOOKUP($A362&amp;$B362&amp;$C362,盘货信息!$A:$A&amp;盘货信息!$B:$B&amp;盘货信息!$C:$C,盘货信息!$S:$S)&amp;"元")</f>
        <v/>
      </c>
      <c r="Q362" s="27" t="str" cm="1">
        <f t="array" ref="Q362">IF(_xlfn.XLOOKUP($A362&amp;$B362&amp;$C362,盘货信息!$A:$A&amp;盘货信息!$B:$B&amp;盘货信息!$C:$C,盘货信息!$X:$X)="","","【"&amp;盘货信息!$X$1&amp;"】"&amp;_xlfn.XLOOKUP($A362&amp;$B362&amp;$C362,盘货信息!$A:$A&amp;盘货信息!$B:$B&amp;盘货信息!$C:$C,盘货信息!$X:$X))</f>
        <v/>
      </c>
      <c r="R362" s="27" t="str" cm="1">
        <f t="array" ref="R362">IF(_xlfn.XLOOKUP($A362&amp;$B362&amp;$C362,盘货信息!$A:$A&amp;盘货信息!$B:$B&amp;盘货信息!$C:$C,盘货信息!$Z:$Z)="","","【"&amp;盘货信息!$Z$1&amp;"】"&amp;_xlfn.XLOOKUP($A362&amp;$B362&amp;$C362,盘货信息!$A:$A&amp;盘货信息!$B:$B&amp;盘货信息!$C:$C,盘货信息!$Z:$Z))</f>
        <v/>
      </c>
      <c r="S362" s="27" t="str" cm="1">
        <f t="array" ref="S362">IF(_xlfn.XLOOKUP($A362&amp;$B362&amp;$C362,盘货信息!$A:$A&amp;盘货信息!$B:$B&amp;盘货信息!$C:$C,盘货信息!$Q:$Q)="","","【种草】站外带指定话题种草后返"&amp;_xlfn.XLOOKUP($A362&amp;$B362&amp;$C362,盘货信息!$A:$A&amp;盘货信息!$B:$B&amp;盘货信息!$C:$C,盘货信息!$Q:$Q)&amp;"元红包（每个淘宝账号仅限对应一个站外种草账号，同一个种草账号不可对应多个淘宝账号）")</f>
        <v/>
      </c>
      <c r="T362" s="27" t="str" cm="1">
        <f t="array" ref="T362">IF(_xlfn.XLOOKUP($A362&amp;$B362&amp;$C362,盘货信息!$A:$A&amp;盘货信息!$B:$B&amp;盘货信息!$C:$C,盘货信息!$R:$R)&lt;1,"","【以旧换新】"&amp;"享补贴"&amp;ROUND(_xlfn.XLOOKUP($A362&amp;$B362&amp;$C362,盘货信息!$A:$A&amp;盘货信息!$B:$B&amp;盘货信息!$C:$C,盘货信息!$R:$R),0)&amp;"元（可无旧机换新）")</f>
        <v/>
      </c>
      <c r="U362" s="27" t="str">
        <f>IF(AND($N362="",$O362="",$P362="",$Q362="",$R362="",$S362="",$T362=""),"",固定信息!$B$1)</f>
        <v/>
      </c>
      <c r="V362" s="27" t="str" cm="1">
        <f t="array" ref="V362">IF(_xlfn.XLOOKUP($A362&amp;$B362&amp;$C362,盘货信息!$A:$A&amp;盘货信息!$B:$B&amp;盘货信息!$C:$C,盘货信息!$Y:$Y)="","","【卡萨帝送赠】活动指定时间"&amp;_xlfn.TEXTBEFORE(_xlfn.TEXTAFTER(_xlfn.XLOOKUP($A362&amp;$B362&amp;$C362,盘货信息!$A:$A&amp;盘货信息!$B:$B&amp;盘货信息!$C:$C,盘货信息!$Y:$Y),"点"),"（"))</f>
        <v/>
      </c>
      <c r="W362" s="27" t="str" cm="1">
        <f t="array" ref="W362">IF(COUNTIF(_xlfn.XLOOKUP($A362&amp;$B362&amp;$C362,盘货信息!$A:$A&amp;盘货信息!$B:$B&amp;盘货信息!$C:$C,盘货信息!$O:$O),"*是*"),"【折扣】指定型号满2类享96折，满3类享94折","")</f>
        <v/>
      </c>
      <c r="X362" s="27" t="str" cm="1">
        <f t="array" ref="X362">IF(固定信息!$B$7="","",IF(_xlfn.XLOOKUP($A362&amp;$B362&amp;$C362,盘货信息!$A:$A&amp;盘货信息!$B:$B&amp;盘货信息!$C:$C,盘货信息!$N:$N)="是","【瓜分】"&amp;固定信息!$B$7,""))</f>
        <v/>
      </c>
      <c r="Y362" s="27" t="str">
        <f>IF(AND($V362="",$W362="",$X362=""),"",固定信息!$B$1)</f>
        <v/>
      </c>
      <c r="Z362" s="27" t="str" cm="1">
        <f t="array" ref="Z362">IF($C362="","",_xlfn.XLOOKUP($A362&amp;$B362&amp;$C362,服务!$A:$A&amp;服务!$B:$B&amp;服务!$C:$C,服务!$D:$D))</f>
        <v/>
      </c>
    </row>
    <row r="363" customHeight="1" spans="1:26">
      <c r="A363" s="23" t="str">
        <f>IF(盘货信息!A363="","",盘货信息!A363)</f>
        <v/>
      </c>
      <c r="B363" s="26" t="str">
        <f>IF(盘货信息!B363="","",盘货信息!B363)</f>
        <v/>
      </c>
      <c r="C363" s="23" t="str">
        <f>IF(盘货信息!C363="","",盘货信息!C363)</f>
        <v/>
      </c>
      <c r="D363" s="27" t="str">
        <f ca="1" t="shared" si="5"/>
        <v/>
      </c>
      <c r="E363" s="27" t="str">
        <f>IF(C363="","",固定信息!$B$2)</f>
        <v/>
      </c>
      <c r="F363" s="27" t="str">
        <f>IF(C363="","","【"&amp;C363&amp;"】"&amp;固定信息!$B$4)</f>
        <v/>
      </c>
      <c r="G363" s="27" t="str">
        <f>IF(C363="","","【"&amp;"活动时间："&amp;固定信息!$B$3&amp;"】")</f>
        <v/>
      </c>
      <c r="H363" s="27" t="str">
        <f>IF($C363="","",固定信息!$B$1)</f>
        <v/>
      </c>
      <c r="I363" s="27" t="str">
        <f>IF(OR(C363="",固定信息!$B$5=""),"","【1元预约锁好礼】"&amp;固定信息!$B$5)</f>
        <v/>
      </c>
      <c r="J363" s="27" t="str" cm="1">
        <f t="array" ref="J363">_xlfn.XLOOKUP($A363&amp;$B363&amp;$C363,价格信息!$A:$A&amp;价格信息!$B:$B&amp;价格信息!$C:$C,价格信息!$D:$D)</f>
        <v/>
      </c>
      <c r="K363" s="27" t="str">
        <f>IF($C363="","",固定信息!$B$1)</f>
        <v/>
      </c>
      <c r="L363" s="27" t="str" cm="1">
        <f t="array" ref="L363">IF(_xlfn.XLOOKUP($A363&amp;$B363&amp;$C363,盘货信息!$A:$A&amp;盘货信息!$B:$B&amp;盘货信息!$C:$C,盘货信息!$T:$T)="","","【优惠券】领"&amp;_xlfn.XLOOKUP($A363&amp;$B363&amp;$C363,盘货信息!$A:$A&amp;盘货信息!$B:$B&amp;盘货信息!$C:$C,盘货信息!$T:$T)&amp;"元优惠卷下单更优惠，领券链接："&amp;_xlfn.XLOOKUP($A363&amp;$B363&amp;$C363,盘货信息!$A:$A&amp;盘货信息!$B:$B&amp;盘货信息!$C:$C,盘货信息!$U:$U))</f>
        <v/>
      </c>
      <c r="M363" s="27" t="str" cm="1">
        <f t="array" ref="M363">IF(_xlfn.XLOOKUP($A363&amp;$B363&amp;$C363,盘货信息!$A:$A&amp;盘货信息!$B:$B&amp;盘货信息!$C:$C,盘货信息!$P:$P)="","","【限时】"&amp;_xlfn.XLOOKUP($A363&amp;$B363&amp;$C363,盘货信息!$A:$A&amp;盘货信息!$B:$B&amp;盘货信息!$C:$C,盘货信息!$P:$P))</f>
        <v/>
      </c>
      <c r="N363" s="27" t="str" cm="1">
        <f t="array" ref="N363">IF(_xlfn.XLOOKUP($A363&amp;$B363&amp;$C363,盘货信息!$A:$A&amp;盘货信息!$B:$B&amp;盘货信息!$C:$C,盘货信息!$V:$V)="","","【"&amp;盘货信息!$V$1&amp;"】"&amp;_xlfn.XLOOKUP($A363&amp;$B363&amp;$C363,盘货信息!$A:$A&amp;盘货信息!$B:$B&amp;盘货信息!$C:$C,盘货信息!$V:$V))</f>
        <v/>
      </c>
      <c r="O363" s="27" t="str" cm="1">
        <f t="array" ref="O363">IF(_xlfn.XLOOKUP($A363&amp;$B363&amp;$C363,盘货信息!$A:$A&amp;盘货信息!$B:$B&amp;盘货信息!$C:$C,盘货信息!$W:$W)="","","【"&amp;盘货信息!$W$1&amp;"】"&amp;_xlfn.XLOOKUP($A363&amp;$B363&amp;$C363,盘货信息!$A:$A&amp;盘货信息!$B:$B&amp;盘货信息!$C:$C,盘货信息!$W:$W))</f>
        <v/>
      </c>
      <c r="P363" s="27" t="str" cm="1">
        <f t="array" ref="P363">IF(_xlfn.XLOOKUP($A363&amp;$B363&amp;$C363,盘货信息!$A:$A&amp;盘货信息!$B:$B&amp;盘货信息!$C:$C,盘货信息!$S:$S)&lt;1,"","【"&amp;盘货信息!$S$1&amp;"】"&amp;"后返"&amp;_xlfn.XLOOKUP($A363&amp;$B363&amp;$C363,盘货信息!$A:$A&amp;盘货信息!$B:$B&amp;盘货信息!$C:$C,盘货信息!$S:$S)&amp;"元")</f>
        <v/>
      </c>
      <c r="Q363" s="27" t="str" cm="1">
        <f t="array" ref="Q363">IF(_xlfn.XLOOKUP($A363&amp;$B363&amp;$C363,盘货信息!$A:$A&amp;盘货信息!$B:$B&amp;盘货信息!$C:$C,盘货信息!$X:$X)="","","【"&amp;盘货信息!$X$1&amp;"】"&amp;_xlfn.XLOOKUP($A363&amp;$B363&amp;$C363,盘货信息!$A:$A&amp;盘货信息!$B:$B&amp;盘货信息!$C:$C,盘货信息!$X:$X))</f>
        <v/>
      </c>
      <c r="R363" s="27" t="str" cm="1">
        <f t="array" ref="R363">IF(_xlfn.XLOOKUP($A363&amp;$B363&amp;$C363,盘货信息!$A:$A&amp;盘货信息!$B:$B&amp;盘货信息!$C:$C,盘货信息!$Z:$Z)="","","【"&amp;盘货信息!$Z$1&amp;"】"&amp;_xlfn.XLOOKUP($A363&amp;$B363&amp;$C363,盘货信息!$A:$A&amp;盘货信息!$B:$B&amp;盘货信息!$C:$C,盘货信息!$Z:$Z))</f>
        <v/>
      </c>
      <c r="S363" s="27" t="str" cm="1">
        <f t="array" ref="S363">IF(_xlfn.XLOOKUP($A363&amp;$B363&amp;$C363,盘货信息!$A:$A&amp;盘货信息!$B:$B&amp;盘货信息!$C:$C,盘货信息!$Q:$Q)="","","【种草】站外带指定话题种草后返"&amp;_xlfn.XLOOKUP($A363&amp;$B363&amp;$C363,盘货信息!$A:$A&amp;盘货信息!$B:$B&amp;盘货信息!$C:$C,盘货信息!$Q:$Q)&amp;"元红包（每个淘宝账号仅限对应一个站外种草账号，同一个种草账号不可对应多个淘宝账号）")</f>
        <v/>
      </c>
      <c r="T363" s="27" t="str" cm="1">
        <f t="array" ref="T363">IF(_xlfn.XLOOKUP($A363&amp;$B363&amp;$C363,盘货信息!$A:$A&amp;盘货信息!$B:$B&amp;盘货信息!$C:$C,盘货信息!$R:$R)&lt;1,"","【以旧换新】"&amp;"享补贴"&amp;ROUND(_xlfn.XLOOKUP($A363&amp;$B363&amp;$C363,盘货信息!$A:$A&amp;盘货信息!$B:$B&amp;盘货信息!$C:$C,盘货信息!$R:$R),0)&amp;"元（可无旧机换新）")</f>
        <v/>
      </c>
      <c r="U363" s="27" t="str">
        <f>IF(AND($N363="",$O363="",$P363="",$Q363="",$R363="",$S363="",$T363=""),"",固定信息!$B$1)</f>
        <v/>
      </c>
      <c r="V363" s="27" t="str" cm="1">
        <f t="array" ref="V363">IF(_xlfn.XLOOKUP($A363&amp;$B363&amp;$C363,盘货信息!$A:$A&amp;盘货信息!$B:$B&amp;盘货信息!$C:$C,盘货信息!$Y:$Y)="","","【卡萨帝送赠】活动指定时间"&amp;_xlfn.TEXTBEFORE(_xlfn.TEXTAFTER(_xlfn.XLOOKUP($A363&amp;$B363&amp;$C363,盘货信息!$A:$A&amp;盘货信息!$B:$B&amp;盘货信息!$C:$C,盘货信息!$Y:$Y),"点"),"（"))</f>
        <v/>
      </c>
      <c r="W363" s="27" t="str" cm="1">
        <f t="array" ref="W363">IF(COUNTIF(_xlfn.XLOOKUP($A363&amp;$B363&amp;$C363,盘货信息!$A:$A&amp;盘货信息!$B:$B&amp;盘货信息!$C:$C,盘货信息!$O:$O),"*是*"),"【折扣】指定型号满2类享96折，满3类享94折","")</f>
        <v/>
      </c>
      <c r="X363" s="27" t="str" cm="1">
        <f t="array" ref="X363">IF(固定信息!$B$7="","",IF(_xlfn.XLOOKUP($A363&amp;$B363&amp;$C363,盘货信息!$A:$A&amp;盘货信息!$B:$B&amp;盘货信息!$C:$C,盘货信息!$N:$N)="是","【瓜分】"&amp;固定信息!$B$7,""))</f>
        <v/>
      </c>
      <c r="Y363" s="27" t="str">
        <f>IF(AND($V363="",$W363="",$X363=""),"",固定信息!$B$1)</f>
        <v/>
      </c>
      <c r="Z363" s="27" t="str" cm="1">
        <f t="array" ref="Z363">IF($C363="","",_xlfn.XLOOKUP($A363&amp;$B363&amp;$C363,服务!$A:$A&amp;服务!$B:$B&amp;服务!$C:$C,服务!$D:$D))</f>
        <v/>
      </c>
    </row>
    <row r="364" customHeight="1" spans="1:26">
      <c r="A364" s="23" t="str">
        <f>IF(盘货信息!A364="","",盘货信息!A364)</f>
        <v/>
      </c>
      <c r="B364" s="26" t="str">
        <f>IF(盘货信息!B364="","",盘货信息!B364)</f>
        <v/>
      </c>
      <c r="C364" s="23" t="str">
        <f>IF(盘货信息!C364="","",盘货信息!C364)</f>
        <v/>
      </c>
      <c r="D364" s="27" t="str">
        <f ca="1" t="shared" si="5"/>
        <v/>
      </c>
      <c r="E364" s="27" t="str">
        <f>IF(C364="","",固定信息!$B$2)</f>
        <v/>
      </c>
      <c r="F364" s="27" t="str">
        <f>IF(C364="","","【"&amp;C364&amp;"】"&amp;固定信息!$B$4)</f>
        <v/>
      </c>
      <c r="G364" s="27" t="str">
        <f>IF(C364="","","【"&amp;"活动时间："&amp;固定信息!$B$3&amp;"】")</f>
        <v/>
      </c>
      <c r="H364" s="27" t="str">
        <f>IF($C364="","",固定信息!$B$1)</f>
        <v/>
      </c>
      <c r="I364" s="27" t="str">
        <f>IF(OR(C364="",固定信息!$B$5=""),"","【1元预约锁好礼】"&amp;固定信息!$B$5)</f>
        <v/>
      </c>
      <c r="J364" s="27" t="str" cm="1">
        <f t="array" ref="J364">_xlfn.XLOOKUP($A364&amp;$B364&amp;$C364,价格信息!$A:$A&amp;价格信息!$B:$B&amp;价格信息!$C:$C,价格信息!$D:$D)</f>
        <v/>
      </c>
      <c r="K364" s="27" t="str">
        <f>IF($C364="","",固定信息!$B$1)</f>
        <v/>
      </c>
      <c r="L364" s="27" t="str" cm="1">
        <f t="array" ref="L364">IF(_xlfn.XLOOKUP($A364&amp;$B364&amp;$C364,盘货信息!$A:$A&amp;盘货信息!$B:$B&amp;盘货信息!$C:$C,盘货信息!$T:$T)="","","【优惠券】领"&amp;_xlfn.XLOOKUP($A364&amp;$B364&amp;$C364,盘货信息!$A:$A&amp;盘货信息!$B:$B&amp;盘货信息!$C:$C,盘货信息!$T:$T)&amp;"元优惠卷下单更优惠，领券链接："&amp;_xlfn.XLOOKUP($A364&amp;$B364&amp;$C364,盘货信息!$A:$A&amp;盘货信息!$B:$B&amp;盘货信息!$C:$C,盘货信息!$U:$U))</f>
        <v/>
      </c>
      <c r="M364" s="27" t="str" cm="1">
        <f t="array" ref="M364">IF(_xlfn.XLOOKUP($A364&amp;$B364&amp;$C364,盘货信息!$A:$A&amp;盘货信息!$B:$B&amp;盘货信息!$C:$C,盘货信息!$P:$P)="","","【限时】"&amp;_xlfn.XLOOKUP($A364&amp;$B364&amp;$C364,盘货信息!$A:$A&amp;盘货信息!$B:$B&amp;盘货信息!$C:$C,盘货信息!$P:$P))</f>
        <v/>
      </c>
      <c r="N364" s="27" t="str" cm="1">
        <f t="array" ref="N364">IF(_xlfn.XLOOKUP($A364&amp;$B364&amp;$C364,盘货信息!$A:$A&amp;盘货信息!$B:$B&amp;盘货信息!$C:$C,盘货信息!$V:$V)="","","【"&amp;盘货信息!$V$1&amp;"】"&amp;_xlfn.XLOOKUP($A364&amp;$B364&amp;$C364,盘货信息!$A:$A&amp;盘货信息!$B:$B&amp;盘货信息!$C:$C,盘货信息!$V:$V))</f>
        <v/>
      </c>
      <c r="O364" s="27" t="str" cm="1">
        <f t="array" ref="O364">IF(_xlfn.XLOOKUP($A364&amp;$B364&amp;$C364,盘货信息!$A:$A&amp;盘货信息!$B:$B&amp;盘货信息!$C:$C,盘货信息!$W:$W)="","","【"&amp;盘货信息!$W$1&amp;"】"&amp;_xlfn.XLOOKUP($A364&amp;$B364&amp;$C364,盘货信息!$A:$A&amp;盘货信息!$B:$B&amp;盘货信息!$C:$C,盘货信息!$W:$W))</f>
        <v/>
      </c>
      <c r="P364" s="27" t="str" cm="1">
        <f t="array" ref="P364">IF(_xlfn.XLOOKUP($A364&amp;$B364&amp;$C364,盘货信息!$A:$A&amp;盘货信息!$B:$B&amp;盘货信息!$C:$C,盘货信息!$S:$S)&lt;1,"","【"&amp;盘货信息!$S$1&amp;"】"&amp;"后返"&amp;_xlfn.XLOOKUP($A364&amp;$B364&amp;$C364,盘货信息!$A:$A&amp;盘货信息!$B:$B&amp;盘货信息!$C:$C,盘货信息!$S:$S)&amp;"元")</f>
        <v/>
      </c>
      <c r="Q364" s="27" t="str" cm="1">
        <f t="array" ref="Q364">IF(_xlfn.XLOOKUP($A364&amp;$B364&amp;$C364,盘货信息!$A:$A&amp;盘货信息!$B:$B&amp;盘货信息!$C:$C,盘货信息!$X:$X)="","","【"&amp;盘货信息!$X$1&amp;"】"&amp;_xlfn.XLOOKUP($A364&amp;$B364&amp;$C364,盘货信息!$A:$A&amp;盘货信息!$B:$B&amp;盘货信息!$C:$C,盘货信息!$X:$X))</f>
        <v/>
      </c>
      <c r="R364" s="27" t="str" cm="1">
        <f t="array" ref="R364">IF(_xlfn.XLOOKUP($A364&amp;$B364&amp;$C364,盘货信息!$A:$A&amp;盘货信息!$B:$B&amp;盘货信息!$C:$C,盘货信息!$Z:$Z)="","","【"&amp;盘货信息!$Z$1&amp;"】"&amp;_xlfn.XLOOKUP($A364&amp;$B364&amp;$C364,盘货信息!$A:$A&amp;盘货信息!$B:$B&amp;盘货信息!$C:$C,盘货信息!$Z:$Z))</f>
        <v/>
      </c>
      <c r="S364" s="27" t="str" cm="1">
        <f t="array" ref="S364">IF(_xlfn.XLOOKUP($A364&amp;$B364&amp;$C364,盘货信息!$A:$A&amp;盘货信息!$B:$B&amp;盘货信息!$C:$C,盘货信息!$Q:$Q)="","","【种草】站外带指定话题种草后返"&amp;_xlfn.XLOOKUP($A364&amp;$B364&amp;$C364,盘货信息!$A:$A&amp;盘货信息!$B:$B&amp;盘货信息!$C:$C,盘货信息!$Q:$Q)&amp;"元红包（每个淘宝账号仅限对应一个站外种草账号，同一个种草账号不可对应多个淘宝账号）")</f>
        <v/>
      </c>
      <c r="T364" s="27" t="str" cm="1">
        <f t="array" ref="T364">IF(_xlfn.XLOOKUP($A364&amp;$B364&amp;$C364,盘货信息!$A:$A&amp;盘货信息!$B:$B&amp;盘货信息!$C:$C,盘货信息!$R:$R)&lt;1,"","【以旧换新】"&amp;"享补贴"&amp;ROUND(_xlfn.XLOOKUP($A364&amp;$B364&amp;$C364,盘货信息!$A:$A&amp;盘货信息!$B:$B&amp;盘货信息!$C:$C,盘货信息!$R:$R),0)&amp;"元（可无旧机换新）")</f>
        <v/>
      </c>
      <c r="U364" s="27" t="str">
        <f>IF(AND($N364="",$O364="",$P364="",$Q364="",$R364="",$S364="",$T364=""),"",固定信息!$B$1)</f>
        <v/>
      </c>
      <c r="V364" s="27" t="str" cm="1">
        <f t="array" ref="V364">IF(_xlfn.XLOOKUP($A364&amp;$B364&amp;$C364,盘货信息!$A:$A&amp;盘货信息!$B:$B&amp;盘货信息!$C:$C,盘货信息!$Y:$Y)="","","【卡萨帝送赠】活动指定时间"&amp;_xlfn.TEXTBEFORE(_xlfn.TEXTAFTER(_xlfn.XLOOKUP($A364&amp;$B364&amp;$C364,盘货信息!$A:$A&amp;盘货信息!$B:$B&amp;盘货信息!$C:$C,盘货信息!$Y:$Y),"点"),"（"))</f>
        <v/>
      </c>
      <c r="W364" s="27" t="str" cm="1">
        <f t="array" ref="W364">IF(COUNTIF(_xlfn.XLOOKUP($A364&amp;$B364&amp;$C364,盘货信息!$A:$A&amp;盘货信息!$B:$B&amp;盘货信息!$C:$C,盘货信息!$O:$O),"*是*"),"【折扣】指定型号满2类享96折，满3类享94折","")</f>
        <v/>
      </c>
      <c r="X364" s="27" t="str" cm="1">
        <f t="array" ref="X364">IF(固定信息!$B$7="","",IF(_xlfn.XLOOKUP($A364&amp;$B364&amp;$C364,盘货信息!$A:$A&amp;盘货信息!$B:$B&amp;盘货信息!$C:$C,盘货信息!$N:$N)="是","【瓜分】"&amp;固定信息!$B$7,""))</f>
        <v/>
      </c>
      <c r="Y364" s="27" t="str">
        <f>IF(AND($V364="",$W364="",$X364=""),"",固定信息!$B$1)</f>
        <v/>
      </c>
      <c r="Z364" s="27" t="str" cm="1">
        <f t="array" ref="Z364">IF($C364="","",_xlfn.XLOOKUP($A364&amp;$B364&amp;$C364,服务!$A:$A&amp;服务!$B:$B&amp;服务!$C:$C,服务!$D:$D))</f>
        <v/>
      </c>
    </row>
    <row r="365" customHeight="1" spans="1:26">
      <c r="A365" s="23" t="str">
        <f>IF(盘货信息!A365="","",盘货信息!A365)</f>
        <v/>
      </c>
      <c r="B365" s="26" t="str">
        <f>IF(盘货信息!B365="","",盘货信息!B365)</f>
        <v/>
      </c>
      <c r="C365" s="23" t="str">
        <f>IF(盘货信息!C365="","",盘货信息!C365)</f>
        <v/>
      </c>
      <c r="D365" s="27" t="str">
        <f ca="1" t="shared" si="5"/>
        <v/>
      </c>
      <c r="E365" s="27" t="str">
        <f>IF(C365="","",固定信息!$B$2)</f>
        <v/>
      </c>
      <c r="F365" s="27" t="str">
        <f>IF(C365="","","【"&amp;C365&amp;"】"&amp;固定信息!$B$4)</f>
        <v/>
      </c>
      <c r="G365" s="27" t="str">
        <f>IF(C365="","","【"&amp;"活动时间："&amp;固定信息!$B$3&amp;"】")</f>
        <v/>
      </c>
      <c r="H365" s="27" t="str">
        <f>IF($C365="","",固定信息!$B$1)</f>
        <v/>
      </c>
      <c r="I365" s="27" t="str">
        <f>IF(OR(C365="",固定信息!$B$5=""),"","【1元预约锁好礼】"&amp;固定信息!$B$5)</f>
        <v/>
      </c>
      <c r="J365" s="27" t="str" cm="1">
        <f t="array" ref="J365">_xlfn.XLOOKUP($A365&amp;$B365&amp;$C365,价格信息!$A:$A&amp;价格信息!$B:$B&amp;价格信息!$C:$C,价格信息!$D:$D)</f>
        <v/>
      </c>
      <c r="K365" s="27" t="str">
        <f>IF($C365="","",固定信息!$B$1)</f>
        <v/>
      </c>
      <c r="L365" s="27" t="str" cm="1">
        <f t="array" ref="L365">IF(_xlfn.XLOOKUP($A365&amp;$B365&amp;$C365,盘货信息!$A:$A&amp;盘货信息!$B:$B&amp;盘货信息!$C:$C,盘货信息!$T:$T)="","","【优惠券】领"&amp;_xlfn.XLOOKUP($A365&amp;$B365&amp;$C365,盘货信息!$A:$A&amp;盘货信息!$B:$B&amp;盘货信息!$C:$C,盘货信息!$T:$T)&amp;"元优惠卷下单更优惠，领券链接："&amp;_xlfn.XLOOKUP($A365&amp;$B365&amp;$C365,盘货信息!$A:$A&amp;盘货信息!$B:$B&amp;盘货信息!$C:$C,盘货信息!$U:$U))</f>
        <v/>
      </c>
      <c r="M365" s="27" t="str" cm="1">
        <f t="array" ref="M365">IF(_xlfn.XLOOKUP($A365&amp;$B365&amp;$C365,盘货信息!$A:$A&amp;盘货信息!$B:$B&amp;盘货信息!$C:$C,盘货信息!$P:$P)="","","【限时】"&amp;_xlfn.XLOOKUP($A365&amp;$B365&amp;$C365,盘货信息!$A:$A&amp;盘货信息!$B:$B&amp;盘货信息!$C:$C,盘货信息!$P:$P))</f>
        <v/>
      </c>
      <c r="N365" s="27" t="str" cm="1">
        <f t="array" ref="N365">IF(_xlfn.XLOOKUP($A365&amp;$B365&amp;$C365,盘货信息!$A:$A&amp;盘货信息!$B:$B&amp;盘货信息!$C:$C,盘货信息!$V:$V)="","","【"&amp;盘货信息!$V$1&amp;"】"&amp;_xlfn.XLOOKUP($A365&amp;$B365&amp;$C365,盘货信息!$A:$A&amp;盘货信息!$B:$B&amp;盘货信息!$C:$C,盘货信息!$V:$V))</f>
        <v/>
      </c>
      <c r="O365" s="27" t="str" cm="1">
        <f t="array" ref="O365">IF(_xlfn.XLOOKUP($A365&amp;$B365&amp;$C365,盘货信息!$A:$A&amp;盘货信息!$B:$B&amp;盘货信息!$C:$C,盘货信息!$W:$W)="","","【"&amp;盘货信息!$W$1&amp;"】"&amp;_xlfn.XLOOKUP($A365&amp;$B365&amp;$C365,盘货信息!$A:$A&amp;盘货信息!$B:$B&amp;盘货信息!$C:$C,盘货信息!$W:$W))</f>
        <v/>
      </c>
      <c r="P365" s="27" t="str" cm="1">
        <f t="array" ref="P365">IF(_xlfn.XLOOKUP($A365&amp;$B365&amp;$C365,盘货信息!$A:$A&amp;盘货信息!$B:$B&amp;盘货信息!$C:$C,盘货信息!$S:$S)&lt;1,"","【"&amp;盘货信息!$S$1&amp;"】"&amp;"后返"&amp;_xlfn.XLOOKUP($A365&amp;$B365&amp;$C365,盘货信息!$A:$A&amp;盘货信息!$B:$B&amp;盘货信息!$C:$C,盘货信息!$S:$S)&amp;"元")</f>
        <v/>
      </c>
      <c r="Q365" s="27" t="str" cm="1">
        <f t="array" ref="Q365">IF(_xlfn.XLOOKUP($A365&amp;$B365&amp;$C365,盘货信息!$A:$A&amp;盘货信息!$B:$B&amp;盘货信息!$C:$C,盘货信息!$X:$X)="","","【"&amp;盘货信息!$X$1&amp;"】"&amp;_xlfn.XLOOKUP($A365&amp;$B365&amp;$C365,盘货信息!$A:$A&amp;盘货信息!$B:$B&amp;盘货信息!$C:$C,盘货信息!$X:$X))</f>
        <v/>
      </c>
      <c r="R365" s="27" t="str" cm="1">
        <f t="array" ref="R365">IF(_xlfn.XLOOKUP($A365&amp;$B365&amp;$C365,盘货信息!$A:$A&amp;盘货信息!$B:$B&amp;盘货信息!$C:$C,盘货信息!$Z:$Z)="","","【"&amp;盘货信息!$Z$1&amp;"】"&amp;_xlfn.XLOOKUP($A365&amp;$B365&amp;$C365,盘货信息!$A:$A&amp;盘货信息!$B:$B&amp;盘货信息!$C:$C,盘货信息!$Z:$Z))</f>
        <v/>
      </c>
      <c r="S365" s="27" t="str" cm="1">
        <f t="array" ref="S365">IF(_xlfn.XLOOKUP($A365&amp;$B365&amp;$C365,盘货信息!$A:$A&amp;盘货信息!$B:$B&amp;盘货信息!$C:$C,盘货信息!$Q:$Q)="","","【种草】站外带指定话题种草后返"&amp;_xlfn.XLOOKUP($A365&amp;$B365&amp;$C365,盘货信息!$A:$A&amp;盘货信息!$B:$B&amp;盘货信息!$C:$C,盘货信息!$Q:$Q)&amp;"元红包（每个淘宝账号仅限对应一个站外种草账号，同一个种草账号不可对应多个淘宝账号）")</f>
        <v/>
      </c>
      <c r="T365" s="27" t="str" cm="1">
        <f t="array" ref="T365">IF(_xlfn.XLOOKUP($A365&amp;$B365&amp;$C365,盘货信息!$A:$A&amp;盘货信息!$B:$B&amp;盘货信息!$C:$C,盘货信息!$R:$R)&lt;1,"","【以旧换新】"&amp;"享补贴"&amp;ROUND(_xlfn.XLOOKUP($A365&amp;$B365&amp;$C365,盘货信息!$A:$A&amp;盘货信息!$B:$B&amp;盘货信息!$C:$C,盘货信息!$R:$R),0)&amp;"元（可无旧机换新）")</f>
        <v/>
      </c>
      <c r="U365" s="27" t="str">
        <f>IF(AND($N365="",$O365="",$P365="",$Q365="",$R365="",$S365="",$T365=""),"",固定信息!$B$1)</f>
        <v/>
      </c>
      <c r="V365" s="27" t="str" cm="1">
        <f t="array" ref="V365">IF(_xlfn.XLOOKUP($A365&amp;$B365&amp;$C365,盘货信息!$A:$A&amp;盘货信息!$B:$B&amp;盘货信息!$C:$C,盘货信息!$Y:$Y)="","","【卡萨帝送赠】活动指定时间"&amp;_xlfn.TEXTBEFORE(_xlfn.TEXTAFTER(_xlfn.XLOOKUP($A365&amp;$B365&amp;$C365,盘货信息!$A:$A&amp;盘货信息!$B:$B&amp;盘货信息!$C:$C,盘货信息!$Y:$Y),"点"),"（"))</f>
        <v/>
      </c>
      <c r="W365" s="27" t="str" cm="1">
        <f t="array" ref="W365">IF(COUNTIF(_xlfn.XLOOKUP($A365&amp;$B365&amp;$C365,盘货信息!$A:$A&amp;盘货信息!$B:$B&amp;盘货信息!$C:$C,盘货信息!$O:$O),"*是*"),"【折扣】指定型号满2类享96折，满3类享94折","")</f>
        <v/>
      </c>
      <c r="X365" s="27" t="str" cm="1">
        <f t="array" ref="X365">IF(固定信息!$B$7="","",IF(_xlfn.XLOOKUP($A365&amp;$B365&amp;$C365,盘货信息!$A:$A&amp;盘货信息!$B:$B&amp;盘货信息!$C:$C,盘货信息!$N:$N)="是","【瓜分】"&amp;固定信息!$B$7,""))</f>
        <v/>
      </c>
      <c r="Y365" s="27" t="str">
        <f>IF(AND($V365="",$W365="",$X365=""),"",固定信息!$B$1)</f>
        <v/>
      </c>
      <c r="Z365" s="27" t="str" cm="1">
        <f t="array" ref="Z365">IF($C365="","",_xlfn.XLOOKUP($A365&amp;$B365&amp;$C365,服务!$A:$A&amp;服务!$B:$B&amp;服务!$C:$C,服务!$D:$D))</f>
        <v/>
      </c>
    </row>
    <row r="366" customHeight="1" spans="1:26">
      <c r="A366" s="23" t="str">
        <f>IF(盘货信息!A366="","",盘货信息!A366)</f>
        <v/>
      </c>
      <c r="B366" s="26" t="str">
        <f>IF(盘货信息!B366="","",盘货信息!B366)</f>
        <v/>
      </c>
      <c r="C366" s="23" t="str">
        <f>IF(盘货信息!C366="","",盘货信息!C366)</f>
        <v/>
      </c>
      <c r="D366" s="27" t="str">
        <f ca="1" t="shared" si="5"/>
        <v/>
      </c>
      <c r="E366" s="27" t="str">
        <f>IF(C366="","",固定信息!$B$2)</f>
        <v/>
      </c>
      <c r="F366" s="27" t="str">
        <f>IF(C366="","","【"&amp;C366&amp;"】"&amp;固定信息!$B$4)</f>
        <v/>
      </c>
      <c r="G366" s="27" t="str">
        <f>IF(C366="","","【"&amp;"活动时间："&amp;固定信息!$B$3&amp;"】")</f>
        <v/>
      </c>
      <c r="H366" s="27" t="str">
        <f>IF($C366="","",固定信息!$B$1)</f>
        <v/>
      </c>
      <c r="I366" s="27" t="str">
        <f>IF(OR(C366="",固定信息!$B$5=""),"","【1元预约锁好礼】"&amp;固定信息!$B$5)</f>
        <v/>
      </c>
      <c r="J366" s="27" t="str" cm="1">
        <f t="array" ref="J366">_xlfn.XLOOKUP($A366&amp;$B366&amp;$C366,价格信息!$A:$A&amp;价格信息!$B:$B&amp;价格信息!$C:$C,价格信息!$D:$D)</f>
        <v/>
      </c>
      <c r="K366" s="27" t="str">
        <f>IF($C366="","",固定信息!$B$1)</f>
        <v/>
      </c>
      <c r="L366" s="27" t="str" cm="1">
        <f t="array" ref="L366">IF(_xlfn.XLOOKUP($A366&amp;$B366&amp;$C366,盘货信息!$A:$A&amp;盘货信息!$B:$B&amp;盘货信息!$C:$C,盘货信息!$T:$T)="","","【优惠券】领"&amp;_xlfn.XLOOKUP($A366&amp;$B366&amp;$C366,盘货信息!$A:$A&amp;盘货信息!$B:$B&amp;盘货信息!$C:$C,盘货信息!$T:$T)&amp;"元优惠卷下单更优惠，领券链接："&amp;_xlfn.XLOOKUP($A366&amp;$B366&amp;$C366,盘货信息!$A:$A&amp;盘货信息!$B:$B&amp;盘货信息!$C:$C,盘货信息!$U:$U))</f>
        <v/>
      </c>
      <c r="M366" s="27" t="str" cm="1">
        <f t="array" ref="M366">IF(_xlfn.XLOOKUP($A366&amp;$B366&amp;$C366,盘货信息!$A:$A&amp;盘货信息!$B:$B&amp;盘货信息!$C:$C,盘货信息!$P:$P)="","","【限时】"&amp;_xlfn.XLOOKUP($A366&amp;$B366&amp;$C366,盘货信息!$A:$A&amp;盘货信息!$B:$B&amp;盘货信息!$C:$C,盘货信息!$P:$P))</f>
        <v/>
      </c>
      <c r="N366" s="27" t="str" cm="1">
        <f t="array" ref="N366">IF(_xlfn.XLOOKUP($A366&amp;$B366&amp;$C366,盘货信息!$A:$A&amp;盘货信息!$B:$B&amp;盘货信息!$C:$C,盘货信息!$V:$V)="","","【"&amp;盘货信息!$V$1&amp;"】"&amp;_xlfn.XLOOKUP($A366&amp;$B366&amp;$C366,盘货信息!$A:$A&amp;盘货信息!$B:$B&amp;盘货信息!$C:$C,盘货信息!$V:$V))</f>
        <v/>
      </c>
      <c r="O366" s="27" t="str" cm="1">
        <f t="array" ref="O366">IF(_xlfn.XLOOKUP($A366&amp;$B366&amp;$C366,盘货信息!$A:$A&amp;盘货信息!$B:$B&amp;盘货信息!$C:$C,盘货信息!$W:$W)="","","【"&amp;盘货信息!$W$1&amp;"】"&amp;_xlfn.XLOOKUP($A366&amp;$B366&amp;$C366,盘货信息!$A:$A&amp;盘货信息!$B:$B&amp;盘货信息!$C:$C,盘货信息!$W:$W))</f>
        <v/>
      </c>
      <c r="P366" s="27" t="str" cm="1">
        <f t="array" ref="P366">IF(_xlfn.XLOOKUP($A366&amp;$B366&amp;$C366,盘货信息!$A:$A&amp;盘货信息!$B:$B&amp;盘货信息!$C:$C,盘货信息!$S:$S)&lt;1,"","【"&amp;盘货信息!$S$1&amp;"】"&amp;"后返"&amp;_xlfn.XLOOKUP($A366&amp;$B366&amp;$C366,盘货信息!$A:$A&amp;盘货信息!$B:$B&amp;盘货信息!$C:$C,盘货信息!$S:$S)&amp;"元")</f>
        <v/>
      </c>
      <c r="Q366" s="27" t="str" cm="1">
        <f t="array" ref="Q366">IF(_xlfn.XLOOKUP($A366&amp;$B366&amp;$C366,盘货信息!$A:$A&amp;盘货信息!$B:$B&amp;盘货信息!$C:$C,盘货信息!$X:$X)="","","【"&amp;盘货信息!$X$1&amp;"】"&amp;_xlfn.XLOOKUP($A366&amp;$B366&amp;$C366,盘货信息!$A:$A&amp;盘货信息!$B:$B&amp;盘货信息!$C:$C,盘货信息!$X:$X))</f>
        <v/>
      </c>
      <c r="R366" s="27" t="str" cm="1">
        <f t="array" ref="R366">IF(_xlfn.XLOOKUP($A366&amp;$B366&amp;$C366,盘货信息!$A:$A&amp;盘货信息!$B:$B&amp;盘货信息!$C:$C,盘货信息!$Z:$Z)="","","【"&amp;盘货信息!$Z$1&amp;"】"&amp;_xlfn.XLOOKUP($A366&amp;$B366&amp;$C366,盘货信息!$A:$A&amp;盘货信息!$B:$B&amp;盘货信息!$C:$C,盘货信息!$Z:$Z))</f>
        <v/>
      </c>
      <c r="S366" s="27" t="str" cm="1">
        <f t="array" ref="S366">IF(_xlfn.XLOOKUP($A366&amp;$B366&amp;$C366,盘货信息!$A:$A&amp;盘货信息!$B:$B&amp;盘货信息!$C:$C,盘货信息!$Q:$Q)="","","【种草】站外带指定话题种草后返"&amp;_xlfn.XLOOKUP($A366&amp;$B366&amp;$C366,盘货信息!$A:$A&amp;盘货信息!$B:$B&amp;盘货信息!$C:$C,盘货信息!$Q:$Q)&amp;"元红包（每个淘宝账号仅限对应一个站外种草账号，同一个种草账号不可对应多个淘宝账号）")</f>
        <v/>
      </c>
      <c r="T366" s="27" t="str" cm="1">
        <f t="array" ref="T366">IF(_xlfn.XLOOKUP($A366&amp;$B366&amp;$C366,盘货信息!$A:$A&amp;盘货信息!$B:$B&amp;盘货信息!$C:$C,盘货信息!$R:$R)&lt;1,"","【以旧换新】"&amp;"享补贴"&amp;ROUND(_xlfn.XLOOKUP($A366&amp;$B366&amp;$C366,盘货信息!$A:$A&amp;盘货信息!$B:$B&amp;盘货信息!$C:$C,盘货信息!$R:$R),0)&amp;"元（可无旧机换新）")</f>
        <v/>
      </c>
      <c r="U366" s="27" t="str">
        <f>IF(AND($N366="",$O366="",$P366="",$Q366="",$R366="",$S366="",$T366=""),"",固定信息!$B$1)</f>
        <v/>
      </c>
      <c r="V366" s="27" t="str" cm="1">
        <f t="array" ref="V366">IF(_xlfn.XLOOKUP($A366&amp;$B366&amp;$C366,盘货信息!$A:$A&amp;盘货信息!$B:$B&amp;盘货信息!$C:$C,盘货信息!$Y:$Y)="","","【卡萨帝送赠】活动指定时间"&amp;_xlfn.TEXTBEFORE(_xlfn.TEXTAFTER(_xlfn.XLOOKUP($A366&amp;$B366&amp;$C366,盘货信息!$A:$A&amp;盘货信息!$B:$B&amp;盘货信息!$C:$C,盘货信息!$Y:$Y),"点"),"（"))</f>
        <v/>
      </c>
      <c r="W366" s="27" t="str" cm="1">
        <f t="array" ref="W366">IF(COUNTIF(_xlfn.XLOOKUP($A366&amp;$B366&amp;$C366,盘货信息!$A:$A&amp;盘货信息!$B:$B&amp;盘货信息!$C:$C,盘货信息!$O:$O),"*是*"),"【折扣】指定型号满2类享96折，满3类享94折","")</f>
        <v/>
      </c>
      <c r="X366" s="27" t="str" cm="1">
        <f t="array" ref="X366">IF(固定信息!$B$7="","",IF(_xlfn.XLOOKUP($A366&amp;$B366&amp;$C366,盘货信息!$A:$A&amp;盘货信息!$B:$B&amp;盘货信息!$C:$C,盘货信息!$N:$N)="是","【瓜分】"&amp;固定信息!$B$7,""))</f>
        <v/>
      </c>
      <c r="Y366" s="27" t="str">
        <f>IF(AND($V366="",$W366="",$X366=""),"",固定信息!$B$1)</f>
        <v/>
      </c>
      <c r="Z366" s="27" t="str" cm="1">
        <f t="array" ref="Z366">IF($C366="","",_xlfn.XLOOKUP($A366&amp;$B366&amp;$C366,服务!$A:$A&amp;服务!$B:$B&amp;服务!$C:$C,服务!$D:$D))</f>
        <v/>
      </c>
    </row>
    <row r="367" customHeight="1" spans="1:26">
      <c r="A367" s="23" t="str">
        <f>IF(盘货信息!A367="","",盘货信息!A367)</f>
        <v/>
      </c>
      <c r="B367" s="26" t="str">
        <f>IF(盘货信息!B367="","",盘货信息!B367)</f>
        <v/>
      </c>
      <c r="C367" s="23" t="str">
        <f>IF(盘货信息!C367="","",盘货信息!C367)</f>
        <v/>
      </c>
      <c r="D367" s="27" t="str">
        <f ca="1" t="shared" si="5"/>
        <v/>
      </c>
      <c r="E367" s="27" t="str">
        <f>IF(C367="","",固定信息!$B$2)</f>
        <v/>
      </c>
      <c r="F367" s="27" t="str">
        <f>IF(C367="","","【"&amp;C367&amp;"】"&amp;固定信息!$B$4)</f>
        <v/>
      </c>
      <c r="G367" s="27" t="str">
        <f>IF(C367="","","【"&amp;"活动时间："&amp;固定信息!$B$3&amp;"】")</f>
        <v/>
      </c>
      <c r="H367" s="27" t="str">
        <f>IF($C367="","",固定信息!$B$1)</f>
        <v/>
      </c>
      <c r="I367" s="27" t="str">
        <f>IF(OR(C367="",固定信息!$B$5=""),"","【1元预约锁好礼】"&amp;固定信息!$B$5)</f>
        <v/>
      </c>
      <c r="J367" s="27" t="str" cm="1">
        <f t="array" ref="J367">_xlfn.XLOOKUP($A367&amp;$B367&amp;$C367,价格信息!$A:$A&amp;价格信息!$B:$B&amp;价格信息!$C:$C,价格信息!$D:$D)</f>
        <v/>
      </c>
      <c r="K367" s="27" t="str">
        <f>IF($C367="","",固定信息!$B$1)</f>
        <v/>
      </c>
      <c r="L367" s="27" t="str" cm="1">
        <f t="array" ref="L367">IF(_xlfn.XLOOKUP($A367&amp;$B367&amp;$C367,盘货信息!$A:$A&amp;盘货信息!$B:$B&amp;盘货信息!$C:$C,盘货信息!$T:$T)="","","【优惠券】领"&amp;_xlfn.XLOOKUP($A367&amp;$B367&amp;$C367,盘货信息!$A:$A&amp;盘货信息!$B:$B&amp;盘货信息!$C:$C,盘货信息!$T:$T)&amp;"元优惠卷下单更优惠，领券链接："&amp;_xlfn.XLOOKUP($A367&amp;$B367&amp;$C367,盘货信息!$A:$A&amp;盘货信息!$B:$B&amp;盘货信息!$C:$C,盘货信息!$U:$U))</f>
        <v/>
      </c>
      <c r="M367" s="27" t="str" cm="1">
        <f t="array" ref="M367">IF(_xlfn.XLOOKUP($A367&amp;$B367&amp;$C367,盘货信息!$A:$A&amp;盘货信息!$B:$B&amp;盘货信息!$C:$C,盘货信息!$P:$P)="","","【限时】"&amp;_xlfn.XLOOKUP($A367&amp;$B367&amp;$C367,盘货信息!$A:$A&amp;盘货信息!$B:$B&amp;盘货信息!$C:$C,盘货信息!$P:$P))</f>
        <v/>
      </c>
      <c r="N367" s="27" t="str" cm="1">
        <f t="array" ref="N367">IF(_xlfn.XLOOKUP($A367&amp;$B367&amp;$C367,盘货信息!$A:$A&amp;盘货信息!$B:$B&amp;盘货信息!$C:$C,盘货信息!$V:$V)="","","【"&amp;盘货信息!$V$1&amp;"】"&amp;_xlfn.XLOOKUP($A367&amp;$B367&amp;$C367,盘货信息!$A:$A&amp;盘货信息!$B:$B&amp;盘货信息!$C:$C,盘货信息!$V:$V))</f>
        <v/>
      </c>
      <c r="O367" s="27" t="str" cm="1">
        <f t="array" ref="O367">IF(_xlfn.XLOOKUP($A367&amp;$B367&amp;$C367,盘货信息!$A:$A&amp;盘货信息!$B:$B&amp;盘货信息!$C:$C,盘货信息!$W:$W)="","","【"&amp;盘货信息!$W$1&amp;"】"&amp;_xlfn.XLOOKUP($A367&amp;$B367&amp;$C367,盘货信息!$A:$A&amp;盘货信息!$B:$B&amp;盘货信息!$C:$C,盘货信息!$W:$W))</f>
        <v/>
      </c>
      <c r="P367" s="27" t="str" cm="1">
        <f t="array" ref="P367">IF(_xlfn.XLOOKUP($A367&amp;$B367&amp;$C367,盘货信息!$A:$A&amp;盘货信息!$B:$B&amp;盘货信息!$C:$C,盘货信息!$S:$S)&lt;1,"","【"&amp;盘货信息!$S$1&amp;"】"&amp;"后返"&amp;_xlfn.XLOOKUP($A367&amp;$B367&amp;$C367,盘货信息!$A:$A&amp;盘货信息!$B:$B&amp;盘货信息!$C:$C,盘货信息!$S:$S)&amp;"元")</f>
        <v/>
      </c>
      <c r="Q367" s="27" t="str" cm="1">
        <f t="array" ref="Q367">IF(_xlfn.XLOOKUP($A367&amp;$B367&amp;$C367,盘货信息!$A:$A&amp;盘货信息!$B:$B&amp;盘货信息!$C:$C,盘货信息!$X:$X)="","","【"&amp;盘货信息!$X$1&amp;"】"&amp;_xlfn.XLOOKUP($A367&amp;$B367&amp;$C367,盘货信息!$A:$A&amp;盘货信息!$B:$B&amp;盘货信息!$C:$C,盘货信息!$X:$X))</f>
        <v/>
      </c>
      <c r="R367" s="27" t="str" cm="1">
        <f t="array" ref="R367">IF(_xlfn.XLOOKUP($A367&amp;$B367&amp;$C367,盘货信息!$A:$A&amp;盘货信息!$B:$B&amp;盘货信息!$C:$C,盘货信息!$Z:$Z)="","","【"&amp;盘货信息!$Z$1&amp;"】"&amp;_xlfn.XLOOKUP($A367&amp;$B367&amp;$C367,盘货信息!$A:$A&amp;盘货信息!$B:$B&amp;盘货信息!$C:$C,盘货信息!$Z:$Z))</f>
        <v/>
      </c>
      <c r="S367" s="27" t="str" cm="1">
        <f t="array" ref="S367">IF(_xlfn.XLOOKUP($A367&amp;$B367&amp;$C367,盘货信息!$A:$A&amp;盘货信息!$B:$B&amp;盘货信息!$C:$C,盘货信息!$Q:$Q)="","","【种草】站外带指定话题种草后返"&amp;_xlfn.XLOOKUP($A367&amp;$B367&amp;$C367,盘货信息!$A:$A&amp;盘货信息!$B:$B&amp;盘货信息!$C:$C,盘货信息!$Q:$Q)&amp;"元红包（每个淘宝账号仅限对应一个站外种草账号，同一个种草账号不可对应多个淘宝账号）")</f>
        <v/>
      </c>
      <c r="T367" s="27" t="str" cm="1">
        <f t="array" ref="T367">IF(_xlfn.XLOOKUP($A367&amp;$B367&amp;$C367,盘货信息!$A:$A&amp;盘货信息!$B:$B&amp;盘货信息!$C:$C,盘货信息!$R:$R)&lt;1,"","【以旧换新】"&amp;"享补贴"&amp;ROUND(_xlfn.XLOOKUP($A367&amp;$B367&amp;$C367,盘货信息!$A:$A&amp;盘货信息!$B:$B&amp;盘货信息!$C:$C,盘货信息!$R:$R),0)&amp;"元（可无旧机换新）")</f>
        <v/>
      </c>
      <c r="U367" s="27" t="str">
        <f>IF(AND($N367="",$O367="",$P367="",$Q367="",$R367="",$S367="",$T367=""),"",固定信息!$B$1)</f>
        <v/>
      </c>
      <c r="V367" s="27" t="str" cm="1">
        <f t="array" ref="V367">IF(_xlfn.XLOOKUP($A367&amp;$B367&amp;$C367,盘货信息!$A:$A&amp;盘货信息!$B:$B&amp;盘货信息!$C:$C,盘货信息!$Y:$Y)="","","【卡萨帝送赠】活动指定时间"&amp;_xlfn.TEXTBEFORE(_xlfn.TEXTAFTER(_xlfn.XLOOKUP($A367&amp;$B367&amp;$C367,盘货信息!$A:$A&amp;盘货信息!$B:$B&amp;盘货信息!$C:$C,盘货信息!$Y:$Y),"点"),"（"))</f>
        <v/>
      </c>
      <c r="W367" s="27" t="str" cm="1">
        <f t="array" ref="W367">IF(COUNTIF(_xlfn.XLOOKUP($A367&amp;$B367&amp;$C367,盘货信息!$A:$A&amp;盘货信息!$B:$B&amp;盘货信息!$C:$C,盘货信息!$O:$O),"*是*"),"【折扣】指定型号满2类享96折，满3类享94折","")</f>
        <v/>
      </c>
      <c r="X367" s="27" t="str" cm="1">
        <f t="array" ref="X367">IF(固定信息!$B$7="","",IF(_xlfn.XLOOKUP($A367&amp;$B367&amp;$C367,盘货信息!$A:$A&amp;盘货信息!$B:$B&amp;盘货信息!$C:$C,盘货信息!$N:$N)="是","【瓜分】"&amp;固定信息!$B$7,""))</f>
        <v/>
      </c>
      <c r="Y367" s="27" t="str">
        <f>IF(AND($V367="",$W367="",$X367=""),"",固定信息!$B$1)</f>
        <v/>
      </c>
      <c r="Z367" s="27" t="str" cm="1">
        <f t="array" ref="Z367">IF($C367="","",_xlfn.XLOOKUP($A367&amp;$B367&amp;$C367,服务!$A:$A&amp;服务!$B:$B&amp;服务!$C:$C,服务!$D:$D))</f>
        <v/>
      </c>
    </row>
    <row r="368" customHeight="1" spans="1:26">
      <c r="A368" s="23" t="str">
        <f>IF(盘货信息!A368="","",盘货信息!A368)</f>
        <v/>
      </c>
      <c r="B368" s="26" t="str">
        <f>IF(盘货信息!B368="","",盘货信息!B368)</f>
        <v/>
      </c>
      <c r="C368" s="23" t="str">
        <f>IF(盘货信息!C368="","",盘货信息!C368)</f>
        <v/>
      </c>
      <c r="D368" s="27" t="str">
        <f ca="1" t="shared" si="5"/>
        <v/>
      </c>
      <c r="E368" s="27" t="str">
        <f>IF(C368="","",固定信息!$B$2)</f>
        <v/>
      </c>
      <c r="F368" s="27" t="str">
        <f>IF(C368="","","【"&amp;C368&amp;"】"&amp;固定信息!$B$4)</f>
        <v/>
      </c>
      <c r="G368" s="27" t="str">
        <f>IF(C368="","","【"&amp;"活动时间："&amp;固定信息!$B$3&amp;"】")</f>
        <v/>
      </c>
      <c r="H368" s="27" t="str">
        <f>IF($C368="","",固定信息!$B$1)</f>
        <v/>
      </c>
      <c r="I368" s="27" t="str">
        <f>IF(OR(C368="",固定信息!$B$5=""),"","【1元预约锁好礼】"&amp;固定信息!$B$5)</f>
        <v/>
      </c>
      <c r="J368" s="27" t="str" cm="1">
        <f t="array" ref="J368">_xlfn.XLOOKUP($A368&amp;$B368&amp;$C368,价格信息!$A:$A&amp;价格信息!$B:$B&amp;价格信息!$C:$C,价格信息!$D:$D)</f>
        <v/>
      </c>
      <c r="K368" s="27" t="str">
        <f>IF($C368="","",固定信息!$B$1)</f>
        <v/>
      </c>
      <c r="L368" s="27" t="str" cm="1">
        <f t="array" ref="L368">IF(_xlfn.XLOOKUP($A368&amp;$B368&amp;$C368,盘货信息!$A:$A&amp;盘货信息!$B:$B&amp;盘货信息!$C:$C,盘货信息!$T:$T)="","","【优惠券】领"&amp;_xlfn.XLOOKUP($A368&amp;$B368&amp;$C368,盘货信息!$A:$A&amp;盘货信息!$B:$B&amp;盘货信息!$C:$C,盘货信息!$T:$T)&amp;"元优惠卷下单更优惠，领券链接："&amp;_xlfn.XLOOKUP($A368&amp;$B368&amp;$C368,盘货信息!$A:$A&amp;盘货信息!$B:$B&amp;盘货信息!$C:$C,盘货信息!$U:$U))</f>
        <v/>
      </c>
      <c r="M368" s="27" t="str" cm="1">
        <f t="array" ref="M368">IF(_xlfn.XLOOKUP($A368&amp;$B368&amp;$C368,盘货信息!$A:$A&amp;盘货信息!$B:$B&amp;盘货信息!$C:$C,盘货信息!$P:$P)="","","【限时】"&amp;_xlfn.XLOOKUP($A368&amp;$B368&amp;$C368,盘货信息!$A:$A&amp;盘货信息!$B:$B&amp;盘货信息!$C:$C,盘货信息!$P:$P))</f>
        <v/>
      </c>
      <c r="N368" s="27" t="str" cm="1">
        <f t="array" ref="N368">IF(_xlfn.XLOOKUP($A368&amp;$B368&amp;$C368,盘货信息!$A:$A&amp;盘货信息!$B:$B&amp;盘货信息!$C:$C,盘货信息!$V:$V)="","","【"&amp;盘货信息!$V$1&amp;"】"&amp;_xlfn.XLOOKUP($A368&amp;$B368&amp;$C368,盘货信息!$A:$A&amp;盘货信息!$B:$B&amp;盘货信息!$C:$C,盘货信息!$V:$V))</f>
        <v/>
      </c>
      <c r="O368" s="27" t="str" cm="1">
        <f t="array" ref="O368">IF(_xlfn.XLOOKUP($A368&amp;$B368&amp;$C368,盘货信息!$A:$A&amp;盘货信息!$B:$B&amp;盘货信息!$C:$C,盘货信息!$W:$W)="","","【"&amp;盘货信息!$W$1&amp;"】"&amp;_xlfn.XLOOKUP($A368&amp;$B368&amp;$C368,盘货信息!$A:$A&amp;盘货信息!$B:$B&amp;盘货信息!$C:$C,盘货信息!$W:$W))</f>
        <v/>
      </c>
      <c r="P368" s="27" t="str" cm="1">
        <f t="array" ref="P368">IF(_xlfn.XLOOKUP($A368&amp;$B368&amp;$C368,盘货信息!$A:$A&amp;盘货信息!$B:$B&amp;盘货信息!$C:$C,盘货信息!$S:$S)&lt;1,"","【"&amp;盘货信息!$S$1&amp;"】"&amp;"后返"&amp;_xlfn.XLOOKUP($A368&amp;$B368&amp;$C368,盘货信息!$A:$A&amp;盘货信息!$B:$B&amp;盘货信息!$C:$C,盘货信息!$S:$S)&amp;"元")</f>
        <v/>
      </c>
      <c r="Q368" s="27" t="str" cm="1">
        <f t="array" ref="Q368">IF(_xlfn.XLOOKUP($A368&amp;$B368&amp;$C368,盘货信息!$A:$A&amp;盘货信息!$B:$B&amp;盘货信息!$C:$C,盘货信息!$X:$X)="","","【"&amp;盘货信息!$X$1&amp;"】"&amp;_xlfn.XLOOKUP($A368&amp;$B368&amp;$C368,盘货信息!$A:$A&amp;盘货信息!$B:$B&amp;盘货信息!$C:$C,盘货信息!$X:$X))</f>
        <v/>
      </c>
      <c r="R368" s="27" t="str" cm="1">
        <f t="array" ref="R368">IF(_xlfn.XLOOKUP($A368&amp;$B368&amp;$C368,盘货信息!$A:$A&amp;盘货信息!$B:$B&amp;盘货信息!$C:$C,盘货信息!$Z:$Z)="","","【"&amp;盘货信息!$Z$1&amp;"】"&amp;_xlfn.XLOOKUP($A368&amp;$B368&amp;$C368,盘货信息!$A:$A&amp;盘货信息!$B:$B&amp;盘货信息!$C:$C,盘货信息!$Z:$Z))</f>
        <v/>
      </c>
      <c r="S368" s="27" t="str" cm="1">
        <f t="array" ref="S368">IF(_xlfn.XLOOKUP($A368&amp;$B368&amp;$C368,盘货信息!$A:$A&amp;盘货信息!$B:$B&amp;盘货信息!$C:$C,盘货信息!$Q:$Q)="","","【种草】站外带指定话题种草后返"&amp;_xlfn.XLOOKUP($A368&amp;$B368&amp;$C368,盘货信息!$A:$A&amp;盘货信息!$B:$B&amp;盘货信息!$C:$C,盘货信息!$Q:$Q)&amp;"元红包（每个淘宝账号仅限对应一个站外种草账号，同一个种草账号不可对应多个淘宝账号）")</f>
        <v/>
      </c>
      <c r="T368" s="27" t="str" cm="1">
        <f t="array" ref="T368">IF(_xlfn.XLOOKUP($A368&amp;$B368&amp;$C368,盘货信息!$A:$A&amp;盘货信息!$B:$B&amp;盘货信息!$C:$C,盘货信息!$R:$R)&lt;1,"","【以旧换新】"&amp;"享补贴"&amp;ROUND(_xlfn.XLOOKUP($A368&amp;$B368&amp;$C368,盘货信息!$A:$A&amp;盘货信息!$B:$B&amp;盘货信息!$C:$C,盘货信息!$R:$R),0)&amp;"元（可无旧机换新）")</f>
        <v/>
      </c>
      <c r="U368" s="27" t="str">
        <f>IF(AND($N368="",$O368="",$P368="",$Q368="",$R368="",$S368="",$T368=""),"",固定信息!$B$1)</f>
        <v/>
      </c>
      <c r="V368" s="27" t="str" cm="1">
        <f t="array" ref="V368">IF(_xlfn.XLOOKUP($A368&amp;$B368&amp;$C368,盘货信息!$A:$A&amp;盘货信息!$B:$B&amp;盘货信息!$C:$C,盘货信息!$Y:$Y)="","","【卡萨帝送赠】活动指定时间"&amp;_xlfn.TEXTBEFORE(_xlfn.TEXTAFTER(_xlfn.XLOOKUP($A368&amp;$B368&amp;$C368,盘货信息!$A:$A&amp;盘货信息!$B:$B&amp;盘货信息!$C:$C,盘货信息!$Y:$Y),"点"),"（"))</f>
        <v/>
      </c>
      <c r="W368" s="27" t="str" cm="1">
        <f t="array" ref="W368">IF(COUNTIF(_xlfn.XLOOKUP($A368&amp;$B368&amp;$C368,盘货信息!$A:$A&amp;盘货信息!$B:$B&amp;盘货信息!$C:$C,盘货信息!$O:$O),"*是*"),"【折扣】指定型号满2类享96折，满3类享94折","")</f>
        <v/>
      </c>
      <c r="X368" s="27" t="str" cm="1">
        <f t="array" ref="X368">IF(固定信息!$B$7="","",IF(_xlfn.XLOOKUP($A368&amp;$B368&amp;$C368,盘货信息!$A:$A&amp;盘货信息!$B:$B&amp;盘货信息!$C:$C,盘货信息!$N:$N)="是","【瓜分】"&amp;固定信息!$B$7,""))</f>
        <v/>
      </c>
      <c r="Y368" s="27" t="str">
        <f>IF(AND($V368="",$W368="",$X368=""),"",固定信息!$B$1)</f>
        <v/>
      </c>
      <c r="Z368" s="27" t="str" cm="1">
        <f t="array" ref="Z368">IF($C368="","",_xlfn.XLOOKUP($A368&amp;$B368&amp;$C368,服务!$A:$A&amp;服务!$B:$B&amp;服务!$C:$C,服务!$D:$D))</f>
        <v/>
      </c>
    </row>
    <row r="369" customHeight="1" spans="1:26">
      <c r="A369" s="23" t="str">
        <f>IF(盘货信息!A369="","",盘货信息!A369)</f>
        <v/>
      </c>
      <c r="B369" s="26" t="str">
        <f>IF(盘货信息!B369="","",盘货信息!B369)</f>
        <v/>
      </c>
      <c r="C369" s="23" t="str">
        <f>IF(盘货信息!C369="","",盘货信息!C369)</f>
        <v/>
      </c>
      <c r="D369" s="27" t="str">
        <f ca="1" t="shared" si="5"/>
        <v/>
      </c>
      <c r="E369" s="27" t="str">
        <f>IF(C369="","",固定信息!$B$2)</f>
        <v/>
      </c>
      <c r="F369" s="27" t="str">
        <f>IF(C369="","","【"&amp;C369&amp;"】"&amp;固定信息!$B$4)</f>
        <v/>
      </c>
      <c r="G369" s="27" t="str">
        <f>IF(C369="","","【"&amp;"活动时间："&amp;固定信息!$B$3&amp;"】")</f>
        <v/>
      </c>
      <c r="H369" s="27" t="str">
        <f>IF($C369="","",固定信息!$B$1)</f>
        <v/>
      </c>
      <c r="I369" s="27" t="str">
        <f>IF(OR(C369="",固定信息!$B$5=""),"","【1元预约锁好礼】"&amp;固定信息!$B$5)</f>
        <v/>
      </c>
      <c r="J369" s="27" t="str" cm="1">
        <f t="array" ref="J369">_xlfn.XLOOKUP($A369&amp;$B369&amp;$C369,价格信息!$A:$A&amp;价格信息!$B:$B&amp;价格信息!$C:$C,价格信息!$D:$D)</f>
        <v/>
      </c>
      <c r="K369" s="27" t="str">
        <f>IF($C369="","",固定信息!$B$1)</f>
        <v/>
      </c>
      <c r="L369" s="27" t="str" cm="1">
        <f t="array" ref="L369">IF(_xlfn.XLOOKUP($A369&amp;$B369&amp;$C369,盘货信息!$A:$A&amp;盘货信息!$B:$B&amp;盘货信息!$C:$C,盘货信息!$T:$T)="","","【优惠券】领"&amp;_xlfn.XLOOKUP($A369&amp;$B369&amp;$C369,盘货信息!$A:$A&amp;盘货信息!$B:$B&amp;盘货信息!$C:$C,盘货信息!$T:$T)&amp;"元优惠卷下单更优惠，领券链接："&amp;_xlfn.XLOOKUP($A369&amp;$B369&amp;$C369,盘货信息!$A:$A&amp;盘货信息!$B:$B&amp;盘货信息!$C:$C,盘货信息!$U:$U))</f>
        <v/>
      </c>
      <c r="M369" s="27" t="str" cm="1">
        <f t="array" ref="M369">IF(_xlfn.XLOOKUP($A369&amp;$B369&amp;$C369,盘货信息!$A:$A&amp;盘货信息!$B:$B&amp;盘货信息!$C:$C,盘货信息!$P:$P)="","","【限时】"&amp;_xlfn.XLOOKUP($A369&amp;$B369&amp;$C369,盘货信息!$A:$A&amp;盘货信息!$B:$B&amp;盘货信息!$C:$C,盘货信息!$P:$P))</f>
        <v/>
      </c>
      <c r="N369" s="27" t="str" cm="1">
        <f t="array" ref="N369">IF(_xlfn.XLOOKUP($A369&amp;$B369&amp;$C369,盘货信息!$A:$A&amp;盘货信息!$B:$B&amp;盘货信息!$C:$C,盘货信息!$V:$V)="","","【"&amp;盘货信息!$V$1&amp;"】"&amp;_xlfn.XLOOKUP($A369&amp;$B369&amp;$C369,盘货信息!$A:$A&amp;盘货信息!$B:$B&amp;盘货信息!$C:$C,盘货信息!$V:$V))</f>
        <v/>
      </c>
      <c r="O369" s="27" t="str" cm="1">
        <f t="array" ref="O369">IF(_xlfn.XLOOKUP($A369&amp;$B369&amp;$C369,盘货信息!$A:$A&amp;盘货信息!$B:$B&amp;盘货信息!$C:$C,盘货信息!$W:$W)="","","【"&amp;盘货信息!$W$1&amp;"】"&amp;_xlfn.XLOOKUP($A369&amp;$B369&amp;$C369,盘货信息!$A:$A&amp;盘货信息!$B:$B&amp;盘货信息!$C:$C,盘货信息!$W:$W))</f>
        <v/>
      </c>
      <c r="P369" s="27" t="str" cm="1">
        <f t="array" ref="P369">IF(_xlfn.XLOOKUP($A369&amp;$B369&amp;$C369,盘货信息!$A:$A&amp;盘货信息!$B:$B&amp;盘货信息!$C:$C,盘货信息!$S:$S)&lt;1,"","【"&amp;盘货信息!$S$1&amp;"】"&amp;"后返"&amp;_xlfn.XLOOKUP($A369&amp;$B369&amp;$C369,盘货信息!$A:$A&amp;盘货信息!$B:$B&amp;盘货信息!$C:$C,盘货信息!$S:$S)&amp;"元")</f>
        <v/>
      </c>
      <c r="Q369" s="27" t="str" cm="1">
        <f t="array" ref="Q369">IF(_xlfn.XLOOKUP($A369&amp;$B369&amp;$C369,盘货信息!$A:$A&amp;盘货信息!$B:$B&amp;盘货信息!$C:$C,盘货信息!$X:$X)="","","【"&amp;盘货信息!$X$1&amp;"】"&amp;_xlfn.XLOOKUP($A369&amp;$B369&amp;$C369,盘货信息!$A:$A&amp;盘货信息!$B:$B&amp;盘货信息!$C:$C,盘货信息!$X:$X))</f>
        <v/>
      </c>
      <c r="R369" s="27" t="str" cm="1">
        <f t="array" ref="R369">IF(_xlfn.XLOOKUP($A369&amp;$B369&amp;$C369,盘货信息!$A:$A&amp;盘货信息!$B:$B&amp;盘货信息!$C:$C,盘货信息!$Z:$Z)="","","【"&amp;盘货信息!$Z$1&amp;"】"&amp;_xlfn.XLOOKUP($A369&amp;$B369&amp;$C369,盘货信息!$A:$A&amp;盘货信息!$B:$B&amp;盘货信息!$C:$C,盘货信息!$Z:$Z))</f>
        <v/>
      </c>
      <c r="S369" s="27" t="str" cm="1">
        <f t="array" ref="S369">IF(_xlfn.XLOOKUP($A369&amp;$B369&amp;$C369,盘货信息!$A:$A&amp;盘货信息!$B:$B&amp;盘货信息!$C:$C,盘货信息!$Q:$Q)="","","【种草】站外带指定话题种草后返"&amp;_xlfn.XLOOKUP($A369&amp;$B369&amp;$C369,盘货信息!$A:$A&amp;盘货信息!$B:$B&amp;盘货信息!$C:$C,盘货信息!$Q:$Q)&amp;"元红包（每个淘宝账号仅限对应一个站外种草账号，同一个种草账号不可对应多个淘宝账号）")</f>
        <v/>
      </c>
      <c r="T369" s="27" t="str" cm="1">
        <f t="array" ref="T369">IF(_xlfn.XLOOKUP($A369&amp;$B369&amp;$C369,盘货信息!$A:$A&amp;盘货信息!$B:$B&amp;盘货信息!$C:$C,盘货信息!$R:$R)&lt;1,"","【以旧换新】"&amp;"享补贴"&amp;ROUND(_xlfn.XLOOKUP($A369&amp;$B369&amp;$C369,盘货信息!$A:$A&amp;盘货信息!$B:$B&amp;盘货信息!$C:$C,盘货信息!$R:$R),0)&amp;"元（可无旧机换新）")</f>
        <v/>
      </c>
      <c r="U369" s="27" t="str">
        <f>IF(AND($N369="",$O369="",$P369="",$Q369="",$R369="",$S369="",$T369=""),"",固定信息!$B$1)</f>
        <v/>
      </c>
      <c r="V369" s="27" t="str" cm="1">
        <f t="array" ref="V369">IF(_xlfn.XLOOKUP($A369&amp;$B369&amp;$C369,盘货信息!$A:$A&amp;盘货信息!$B:$B&amp;盘货信息!$C:$C,盘货信息!$Y:$Y)="","","【卡萨帝送赠】活动指定时间"&amp;_xlfn.TEXTBEFORE(_xlfn.TEXTAFTER(_xlfn.XLOOKUP($A369&amp;$B369&amp;$C369,盘货信息!$A:$A&amp;盘货信息!$B:$B&amp;盘货信息!$C:$C,盘货信息!$Y:$Y),"点"),"（"))</f>
        <v/>
      </c>
      <c r="W369" s="27" t="str" cm="1">
        <f t="array" ref="W369">IF(COUNTIF(_xlfn.XLOOKUP($A369&amp;$B369&amp;$C369,盘货信息!$A:$A&amp;盘货信息!$B:$B&amp;盘货信息!$C:$C,盘货信息!$O:$O),"*是*"),"【折扣】指定型号满2类享96折，满3类享94折","")</f>
        <v/>
      </c>
      <c r="X369" s="27" t="str" cm="1">
        <f t="array" ref="X369">IF(固定信息!$B$7="","",IF(_xlfn.XLOOKUP($A369&amp;$B369&amp;$C369,盘货信息!$A:$A&amp;盘货信息!$B:$B&amp;盘货信息!$C:$C,盘货信息!$N:$N)="是","【瓜分】"&amp;固定信息!$B$7,""))</f>
        <v/>
      </c>
      <c r="Y369" s="27" t="str">
        <f>IF(AND($V369="",$W369="",$X369=""),"",固定信息!$B$1)</f>
        <v/>
      </c>
      <c r="Z369" s="27" t="str" cm="1">
        <f t="array" ref="Z369">IF($C369="","",_xlfn.XLOOKUP($A369&amp;$B369&amp;$C369,服务!$A:$A&amp;服务!$B:$B&amp;服务!$C:$C,服务!$D:$D))</f>
        <v/>
      </c>
    </row>
    <row r="370" customHeight="1" spans="1:26">
      <c r="A370" s="23" t="str">
        <f>IF(盘货信息!A370="","",盘货信息!A370)</f>
        <v/>
      </c>
      <c r="B370" s="26" t="str">
        <f>IF(盘货信息!B370="","",盘货信息!B370)</f>
        <v/>
      </c>
      <c r="C370" s="23" t="str">
        <f>IF(盘货信息!C370="","",盘货信息!C370)</f>
        <v/>
      </c>
      <c r="D370" s="27" t="str">
        <f ca="1" t="shared" si="5"/>
        <v/>
      </c>
      <c r="E370" s="27" t="str">
        <f>IF(C370="","",固定信息!$B$2)</f>
        <v/>
      </c>
      <c r="F370" s="27" t="str">
        <f>IF(C370="","","【"&amp;C370&amp;"】"&amp;固定信息!$B$4)</f>
        <v/>
      </c>
      <c r="G370" s="27" t="str">
        <f>IF(C370="","","【"&amp;"活动时间："&amp;固定信息!$B$3&amp;"】")</f>
        <v/>
      </c>
      <c r="H370" s="27" t="str">
        <f>IF($C370="","",固定信息!$B$1)</f>
        <v/>
      </c>
      <c r="I370" s="27" t="str">
        <f>IF(OR(C370="",固定信息!$B$5=""),"","【1元预约锁好礼】"&amp;固定信息!$B$5)</f>
        <v/>
      </c>
      <c r="J370" s="27" t="str" cm="1">
        <f t="array" ref="J370">_xlfn.XLOOKUP($A370&amp;$B370&amp;$C370,价格信息!$A:$A&amp;价格信息!$B:$B&amp;价格信息!$C:$C,价格信息!$D:$D)</f>
        <v/>
      </c>
      <c r="K370" s="27" t="str">
        <f>IF($C370="","",固定信息!$B$1)</f>
        <v/>
      </c>
      <c r="L370" s="27" t="str" cm="1">
        <f t="array" ref="L370">IF(_xlfn.XLOOKUP($A370&amp;$B370&amp;$C370,盘货信息!$A:$A&amp;盘货信息!$B:$B&amp;盘货信息!$C:$C,盘货信息!$T:$T)="","","【优惠券】领"&amp;_xlfn.XLOOKUP($A370&amp;$B370&amp;$C370,盘货信息!$A:$A&amp;盘货信息!$B:$B&amp;盘货信息!$C:$C,盘货信息!$T:$T)&amp;"元优惠卷下单更优惠，领券链接："&amp;_xlfn.XLOOKUP($A370&amp;$B370&amp;$C370,盘货信息!$A:$A&amp;盘货信息!$B:$B&amp;盘货信息!$C:$C,盘货信息!$U:$U))</f>
        <v/>
      </c>
      <c r="M370" s="27" t="str" cm="1">
        <f t="array" ref="M370">IF(_xlfn.XLOOKUP($A370&amp;$B370&amp;$C370,盘货信息!$A:$A&amp;盘货信息!$B:$B&amp;盘货信息!$C:$C,盘货信息!$P:$P)="","","【限时】"&amp;_xlfn.XLOOKUP($A370&amp;$B370&amp;$C370,盘货信息!$A:$A&amp;盘货信息!$B:$B&amp;盘货信息!$C:$C,盘货信息!$P:$P))</f>
        <v/>
      </c>
      <c r="N370" s="27" t="str" cm="1">
        <f t="array" ref="N370">IF(_xlfn.XLOOKUP($A370&amp;$B370&amp;$C370,盘货信息!$A:$A&amp;盘货信息!$B:$B&amp;盘货信息!$C:$C,盘货信息!$V:$V)="","","【"&amp;盘货信息!$V$1&amp;"】"&amp;_xlfn.XLOOKUP($A370&amp;$B370&amp;$C370,盘货信息!$A:$A&amp;盘货信息!$B:$B&amp;盘货信息!$C:$C,盘货信息!$V:$V))</f>
        <v/>
      </c>
      <c r="O370" s="27" t="str" cm="1">
        <f t="array" ref="O370">IF(_xlfn.XLOOKUP($A370&amp;$B370&amp;$C370,盘货信息!$A:$A&amp;盘货信息!$B:$B&amp;盘货信息!$C:$C,盘货信息!$W:$W)="","","【"&amp;盘货信息!$W$1&amp;"】"&amp;_xlfn.XLOOKUP($A370&amp;$B370&amp;$C370,盘货信息!$A:$A&amp;盘货信息!$B:$B&amp;盘货信息!$C:$C,盘货信息!$W:$W))</f>
        <v/>
      </c>
      <c r="P370" s="27" t="str" cm="1">
        <f t="array" ref="P370">IF(_xlfn.XLOOKUP($A370&amp;$B370&amp;$C370,盘货信息!$A:$A&amp;盘货信息!$B:$B&amp;盘货信息!$C:$C,盘货信息!$S:$S)&lt;1,"","【"&amp;盘货信息!$S$1&amp;"】"&amp;"后返"&amp;_xlfn.XLOOKUP($A370&amp;$B370&amp;$C370,盘货信息!$A:$A&amp;盘货信息!$B:$B&amp;盘货信息!$C:$C,盘货信息!$S:$S)&amp;"元")</f>
        <v/>
      </c>
      <c r="Q370" s="27" t="str" cm="1">
        <f t="array" ref="Q370">IF(_xlfn.XLOOKUP($A370&amp;$B370&amp;$C370,盘货信息!$A:$A&amp;盘货信息!$B:$B&amp;盘货信息!$C:$C,盘货信息!$X:$X)="","","【"&amp;盘货信息!$X$1&amp;"】"&amp;_xlfn.XLOOKUP($A370&amp;$B370&amp;$C370,盘货信息!$A:$A&amp;盘货信息!$B:$B&amp;盘货信息!$C:$C,盘货信息!$X:$X))</f>
        <v/>
      </c>
      <c r="R370" s="27" t="str" cm="1">
        <f t="array" ref="R370">IF(_xlfn.XLOOKUP($A370&amp;$B370&amp;$C370,盘货信息!$A:$A&amp;盘货信息!$B:$B&amp;盘货信息!$C:$C,盘货信息!$Z:$Z)="","","【"&amp;盘货信息!$Z$1&amp;"】"&amp;_xlfn.XLOOKUP($A370&amp;$B370&amp;$C370,盘货信息!$A:$A&amp;盘货信息!$B:$B&amp;盘货信息!$C:$C,盘货信息!$Z:$Z))</f>
        <v/>
      </c>
      <c r="S370" s="27" t="str" cm="1">
        <f t="array" ref="S370">IF(_xlfn.XLOOKUP($A370&amp;$B370&amp;$C370,盘货信息!$A:$A&amp;盘货信息!$B:$B&amp;盘货信息!$C:$C,盘货信息!$Q:$Q)="","","【种草】站外带指定话题种草后返"&amp;_xlfn.XLOOKUP($A370&amp;$B370&amp;$C370,盘货信息!$A:$A&amp;盘货信息!$B:$B&amp;盘货信息!$C:$C,盘货信息!$Q:$Q)&amp;"元红包（每个淘宝账号仅限对应一个站外种草账号，同一个种草账号不可对应多个淘宝账号）")</f>
        <v/>
      </c>
      <c r="T370" s="27" t="str" cm="1">
        <f t="array" ref="T370">IF(_xlfn.XLOOKUP($A370&amp;$B370&amp;$C370,盘货信息!$A:$A&amp;盘货信息!$B:$B&amp;盘货信息!$C:$C,盘货信息!$R:$R)&lt;1,"","【以旧换新】"&amp;"享补贴"&amp;ROUND(_xlfn.XLOOKUP($A370&amp;$B370&amp;$C370,盘货信息!$A:$A&amp;盘货信息!$B:$B&amp;盘货信息!$C:$C,盘货信息!$R:$R),0)&amp;"元（可无旧机换新）")</f>
        <v/>
      </c>
      <c r="U370" s="27" t="str">
        <f>IF(AND($N370="",$O370="",$P370="",$Q370="",$R370="",$S370="",$T370=""),"",固定信息!$B$1)</f>
        <v/>
      </c>
      <c r="V370" s="27" t="str" cm="1">
        <f t="array" ref="V370">IF(_xlfn.XLOOKUP($A370&amp;$B370&amp;$C370,盘货信息!$A:$A&amp;盘货信息!$B:$B&amp;盘货信息!$C:$C,盘货信息!$Y:$Y)="","","【卡萨帝送赠】活动指定时间"&amp;_xlfn.TEXTBEFORE(_xlfn.TEXTAFTER(_xlfn.XLOOKUP($A370&amp;$B370&amp;$C370,盘货信息!$A:$A&amp;盘货信息!$B:$B&amp;盘货信息!$C:$C,盘货信息!$Y:$Y),"点"),"（"))</f>
        <v/>
      </c>
      <c r="W370" s="27" t="str" cm="1">
        <f t="array" ref="W370">IF(COUNTIF(_xlfn.XLOOKUP($A370&amp;$B370&amp;$C370,盘货信息!$A:$A&amp;盘货信息!$B:$B&amp;盘货信息!$C:$C,盘货信息!$O:$O),"*是*"),"【折扣】指定型号满2类享96折，满3类享94折","")</f>
        <v/>
      </c>
      <c r="X370" s="27" t="str" cm="1">
        <f t="array" ref="X370">IF(固定信息!$B$7="","",IF(_xlfn.XLOOKUP($A370&amp;$B370&amp;$C370,盘货信息!$A:$A&amp;盘货信息!$B:$B&amp;盘货信息!$C:$C,盘货信息!$N:$N)="是","【瓜分】"&amp;固定信息!$B$7,""))</f>
        <v/>
      </c>
      <c r="Y370" s="27" t="str">
        <f>IF(AND($V370="",$W370="",$X370=""),"",固定信息!$B$1)</f>
        <v/>
      </c>
      <c r="Z370" s="27" t="str" cm="1">
        <f t="array" ref="Z370">IF($C370="","",_xlfn.XLOOKUP($A370&amp;$B370&amp;$C370,服务!$A:$A&amp;服务!$B:$B&amp;服务!$C:$C,服务!$D:$D))</f>
        <v/>
      </c>
    </row>
    <row r="371" customHeight="1" spans="1:26">
      <c r="A371" s="23" t="str">
        <f>IF(盘货信息!A371="","",盘货信息!A371)</f>
        <v/>
      </c>
      <c r="B371" s="26" t="str">
        <f>IF(盘货信息!B371="","",盘货信息!B371)</f>
        <v/>
      </c>
      <c r="C371" s="23" t="str">
        <f>IF(盘货信息!C371="","",盘货信息!C371)</f>
        <v/>
      </c>
      <c r="D371" s="27" t="str">
        <f ca="1" t="shared" si="5"/>
        <v/>
      </c>
      <c r="E371" s="27" t="str">
        <f>IF(C371="","",固定信息!$B$2)</f>
        <v/>
      </c>
      <c r="F371" s="27" t="str">
        <f>IF(C371="","","【"&amp;C371&amp;"】"&amp;固定信息!$B$4)</f>
        <v/>
      </c>
      <c r="G371" s="27" t="str">
        <f>IF(C371="","","【"&amp;"活动时间："&amp;固定信息!$B$3&amp;"】")</f>
        <v/>
      </c>
      <c r="H371" s="27" t="str">
        <f>IF($C371="","",固定信息!$B$1)</f>
        <v/>
      </c>
      <c r="I371" s="27" t="str">
        <f>IF(OR(C371="",固定信息!$B$5=""),"","【1元预约锁好礼】"&amp;固定信息!$B$5)</f>
        <v/>
      </c>
      <c r="J371" s="27" t="str" cm="1">
        <f t="array" ref="J371">_xlfn.XLOOKUP($A371&amp;$B371&amp;$C371,价格信息!$A:$A&amp;价格信息!$B:$B&amp;价格信息!$C:$C,价格信息!$D:$D)</f>
        <v/>
      </c>
      <c r="K371" s="27" t="str">
        <f>IF($C371="","",固定信息!$B$1)</f>
        <v/>
      </c>
      <c r="L371" s="27" t="str" cm="1">
        <f t="array" ref="L371">IF(_xlfn.XLOOKUP($A371&amp;$B371&amp;$C371,盘货信息!$A:$A&amp;盘货信息!$B:$B&amp;盘货信息!$C:$C,盘货信息!$T:$T)="","","【优惠券】领"&amp;_xlfn.XLOOKUP($A371&amp;$B371&amp;$C371,盘货信息!$A:$A&amp;盘货信息!$B:$B&amp;盘货信息!$C:$C,盘货信息!$T:$T)&amp;"元优惠卷下单更优惠，领券链接："&amp;_xlfn.XLOOKUP($A371&amp;$B371&amp;$C371,盘货信息!$A:$A&amp;盘货信息!$B:$B&amp;盘货信息!$C:$C,盘货信息!$U:$U))</f>
        <v/>
      </c>
      <c r="M371" s="27" t="str" cm="1">
        <f t="array" ref="M371">IF(_xlfn.XLOOKUP($A371&amp;$B371&amp;$C371,盘货信息!$A:$A&amp;盘货信息!$B:$B&amp;盘货信息!$C:$C,盘货信息!$P:$P)="","","【限时】"&amp;_xlfn.XLOOKUP($A371&amp;$B371&amp;$C371,盘货信息!$A:$A&amp;盘货信息!$B:$B&amp;盘货信息!$C:$C,盘货信息!$P:$P))</f>
        <v/>
      </c>
      <c r="N371" s="27" t="str" cm="1">
        <f t="array" ref="N371">IF(_xlfn.XLOOKUP($A371&amp;$B371&amp;$C371,盘货信息!$A:$A&amp;盘货信息!$B:$B&amp;盘货信息!$C:$C,盘货信息!$V:$V)="","","【"&amp;盘货信息!$V$1&amp;"】"&amp;_xlfn.XLOOKUP($A371&amp;$B371&amp;$C371,盘货信息!$A:$A&amp;盘货信息!$B:$B&amp;盘货信息!$C:$C,盘货信息!$V:$V))</f>
        <v/>
      </c>
      <c r="O371" s="27" t="str" cm="1">
        <f t="array" ref="O371">IF(_xlfn.XLOOKUP($A371&amp;$B371&amp;$C371,盘货信息!$A:$A&amp;盘货信息!$B:$B&amp;盘货信息!$C:$C,盘货信息!$W:$W)="","","【"&amp;盘货信息!$W$1&amp;"】"&amp;_xlfn.XLOOKUP($A371&amp;$B371&amp;$C371,盘货信息!$A:$A&amp;盘货信息!$B:$B&amp;盘货信息!$C:$C,盘货信息!$W:$W))</f>
        <v/>
      </c>
      <c r="P371" s="27" t="str" cm="1">
        <f t="array" ref="P371">IF(_xlfn.XLOOKUP($A371&amp;$B371&amp;$C371,盘货信息!$A:$A&amp;盘货信息!$B:$B&amp;盘货信息!$C:$C,盘货信息!$S:$S)&lt;1,"","【"&amp;盘货信息!$S$1&amp;"】"&amp;"后返"&amp;_xlfn.XLOOKUP($A371&amp;$B371&amp;$C371,盘货信息!$A:$A&amp;盘货信息!$B:$B&amp;盘货信息!$C:$C,盘货信息!$S:$S)&amp;"元")</f>
        <v/>
      </c>
      <c r="Q371" s="27" t="str" cm="1">
        <f t="array" ref="Q371">IF(_xlfn.XLOOKUP($A371&amp;$B371&amp;$C371,盘货信息!$A:$A&amp;盘货信息!$B:$B&amp;盘货信息!$C:$C,盘货信息!$X:$X)="","","【"&amp;盘货信息!$X$1&amp;"】"&amp;_xlfn.XLOOKUP($A371&amp;$B371&amp;$C371,盘货信息!$A:$A&amp;盘货信息!$B:$B&amp;盘货信息!$C:$C,盘货信息!$X:$X))</f>
        <v/>
      </c>
      <c r="R371" s="27" t="str" cm="1">
        <f t="array" ref="R371">IF(_xlfn.XLOOKUP($A371&amp;$B371&amp;$C371,盘货信息!$A:$A&amp;盘货信息!$B:$B&amp;盘货信息!$C:$C,盘货信息!$Z:$Z)="","","【"&amp;盘货信息!$Z$1&amp;"】"&amp;_xlfn.XLOOKUP($A371&amp;$B371&amp;$C371,盘货信息!$A:$A&amp;盘货信息!$B:$B&amp;盘货信息!$C:$C,盘货信息!$Z:$Z))</f>
        <v/>
      </c>
      <c r="S371" s="27" t="str" cm="1">
        <f t="array" ref="S371">IF(_xlfn.XLOOKUP($A371&amp;$B371&amp;$C371,盘货信息!$A:$A&amp;盘货信息!$B:$B&amp;盘货信息!$C:$C,盘货信息!$Q:$Q)="","","【种草】站外带指定话题种草后返"&amp;_xlfn.XLOOKUP($A371&amp;$B371&amp;$C371,盘货信息!$A:$A&amp;盘货信息!$B:$B&amp;盘货信息!$C:$C,盘货信息!$Q:$Q)&amp;"元红包（每个淘宝账号仅限对应一个站外种草账号，同一个种草账号不可对应多个淘宝账号）")</f>
        <v/>
      </c>
      <c r="T371" s="27" t="str" cm="1">
        <f t="array" ref="T371">IF(_xlfn.XLOOKUP($A371&amp;$B371&amp;$C371,盘货信息!$A:$A&amp;盘货信息!$B:$B&amp;盘货信息!$C:$C,盘货信息!$R:$R)&lt;1,"","【以旧换新】"&amp;"享补贴"&amp;ROUND(_xlfn.XLOOKUP($A371&amp;$B371&amp;$C371,盘货信息!$A:$A&amp;盘货信息!$B:$B&amp;盘货信息!$C:$C,盘货信息!$R:$R),0)&amp;"元（可无旧机换新）")</f>
        <v/>
      </c>
      <c r="U371" s="27" t="str">
        <f>IF(AND($N371="",$O371="",$P371="",$Q371="",$R371="",$S371="",$T371=""),"",固定信息!$B$1)</f>
        <v/>
      </c>
      <c r="V371" s="27" t="str" cm="1">
        <f t="array" ref="V371">IF(_xlfn.XLOOKUP($A371&amp;$B371&amp;$C371,盘货信息!$A:$A&amp;盘货信息!$B:$B&amp;盘货信息!$C:$C,盘货信息!$Y:$Y)="","","【卡萨帝送赠】活动指定时间"&amp;_xlfn.TEXTBEFORE(_xlfn.TEXTAFTER(_xlfn.XLOOKUP($A371&amp;$B371&amp;$C371,盘货信息!$A:$A&amp;盘货信息!$B:$B&amp;盘货信息!$C:$C,盘货信息!$Y:$Y),"点"),"（"))</f>
        <v/>
      </c>
      <c r="W371" s="27" t="str" cm="1">
        <f t="array" ref="W371">IF(COUNTIF(_xlfn.XLOOKUP($A371&amp;$B371&amp;$C371,盘货信息!$A:$A&amp;盘货信息!$B:$B&amp;盘货信息!$C:$C,盘货信息!$O:$O),"*是*"),"【折扣】指定型号满2类享96折，满3类享94折","")</f>
        <v/>
      </c>
      <c r="X371" s="27" t="str" cm="1">
        <f t="array" ref="X371">IF(固定信息!$B$7="","",IF(_xlfn.XLOOKUP($A371&amp;$B371&amp;$C371,盘货信息!$A:$A&amp;盘货信息!$B:$B&amp;盘货信息!$C:$C,盘货信息!$N:$N)="是","【瓜分】"&amp;固定信息!$B$7,""))</f>
        <v/>
      </c>
      <c r="Y371" s="27" t="str">
        <f>IF(AND($V371="",$W371="",$X371=""),"",固定信息!$B$1)</f>
        <v/>
      </c>
      <c r="Z371" s="27" t="str" cm="1">
        <f t="array" ref="Z371">IF($C371="","",_xlfn.XLOOKUP($A371&amp;$B371&amp;$C371,服务!$A:$A&amp;服务!$B:$B&amp;服务!$C:$C,服务!$D:$D))</f>
        <v/>
      </c>
    </row>
    <row r="372" customHeight="1" spans="1:26">
      <c r="A372" s="23" t="str">
        <f>IF(盘货信息!A372="","",盘货信息!A372)</f>
        <v/>
      </c>
      <c r="B372" s="26" t="str">
        <f>IF(盘货信息!B372="","",盘货信息!B372)</f>
        <v/>
      </c>
      <c r="C372" s="23" t="str">
        <f>IF(盘货信息!C372="","",盘货信息!C372)</f>
        <v/>
      </c>
      <c r="D372" s="27" t="str">
        <f ca="1" t="shared" si="5"/>
        <v/>
      </c>
      <c r="E372" s="27" t="str">
        <f>IF(C372="","",固定信息!$B$2)</f>
        <v/>
      </c>
      <c r="F372" s="27" t="str">
        <f>IF(C372="","","【"&amp;C372&amp;"】"&amp;固定信息!$B$4)</f>
        <v/>
      </c>
      <c r="G372" s="27" t="str">
        <f>IF(C372="","","【"&amp;"活动时间："&amp;固定信息!$B$3&amp;"】")</f>
        <v/>
      </c>
      <c r="H372" s="27" t="str">
        <f>IF($C372="","",固定信息!$B$1)</f>
        <v/>
      </c>
      <c r="I372" s="27" t="str">
        <f>IF(OR(C372="",固定信息!$B$5=""),"","【1元预约锁好礼】"&amp;固定信息!$B$5)</f>
        <v/>
      </c>
      <c r="J372" s="27" t="str" cm="1">
        <f t="array" ref="J372">_xlfn.XLOOKUP($A372&amp;$B372&amp;$C372,价格信息!$A:$A&amp;价格信息!$B:$B&amp;价格信息!$C:$C,价格信息!$D:$D)</f>
        <v/>
      </c>
      <c r="K372" s="27" t="str">
        <f>IF($C372="","",固定信息!$B$1)</f>
        <v/>
      </c>
      <c r="L372" s="27" t="str" cm="1">
        <f t="array" ref="L372">IF(_xlfn.XLOOKUP($A372&amp;$B372&amp;$C372,盘货信息!$A:$A&amp;盘货信息!$B:$B&amp;盘货信息!$C:$C,盘货信息!$T:$T)="","","【优惠券】领"&amp;_xlfn.XLOOKUP($A372&amp;$B372&amp;$C372,盘货信息!$A:$A&amp;盘货信息!$B:$B&amp;盘货信息!$C:$C,盘货信息!$T:$T)&amp;"元优惠卷下单更优惠，领券链接："&amp;_xlfn.XLOOKUP($A372&amp;$B372&amp;$C372,盘货信息!$A:$A&amp;盘货信息!$B:$B&amp;盘货信息!$C:$C,盘货信息!$U:$U))</f>
        <v/>
      </c>
      <c r="M372" s="27" t="str" cm="1">
        <f t="array" ref="M372">IF(_xlfn.XLOOKUP($A372&amp;$B372&amp;$C372,盘货信息!$A:$A&amp;盘货信息!$B:$B&amp;盘货信息!$C:$C,盘货信息!$P:$P)="","","【限时】"&amp;_xlfn.XLOOKUP($A372&amp;$B372&amp;$C372,盘货信息!$A:$A&amp;盘货信息!$B:$B&amp;盘货信息!$C:$C,盘货信息!$P:$P))</f>
        <v/>
      </c>
      <c r="N372" s="27" t="str" cm="1">
        <f t="array" ref="N372">IF(_xlfn.XLOOKUP($A372&amp;$B372&amp;$C372,盘货信息!$A:$A&amp;盘货信息!$B:$B&amp;盘货信息!$C:$C,盘货信息!$V:$V)="","","【"&amp;盘货信息!$V$1&amp;"】"&amp;_xlfn.XLOOKUP($A372&amp;$B372&amp;$C372,盘货信息!$A:$A&amp;盘货信息!$B:$B&amp;盘货信息!$C:$C,盘货信息!$V:$V))</f>
        <v/>
      </c>
      <c r="O372" s="27" t="str" cm="1">
        <f t="array" ref="O372">IF(_xlfn.XLOOKUP($A372&amp;$B372&amp;$C372,盘货信息!$A:$A&amp;盘货信息!$B:$B&amp;盘货信息!$C:$C,盘货信息!$W:$W)="","","【"&amp;盘货信息!$W$1&amp;"】"&amp;_xlfn.XLOOKUP($A372&amp;$B372&amp;$C372,盘货信息!$A:$A&amp;盘货信息!$B:$B&amp;盘货信息!$C:$C,盘货信息!$W:$W))</f>
        <v/>
      </c>
      <c r="P372" s="27" t="str" cm="1">
        <f t="array" ref="P372">IF(_xlfn.XLOOKUP($A372&amp;$B372&amp;$C372,盘货信息!$A:$A&amp;盘货信息!$B:$B&amp;盘货信息!$C:$C,盘货信息!$S:$S)&lt;1,"","【"&amp;盘货信息!$S$1&amp;"】"&amp;"后返"&amp;_xlfn.XLOOKUP($A372&amp;$B372&amp;$C372,盘货信息!$A:$A&amp;盘货信息!$B:$B&amp;盘货信息!$C:$C,盘货信息!$S:$S)&amp;"元")</f>
        <v/>
      </c>
      <c r="Q372" s="27" t="str" cm="1">
        <f t="array" ref="Q372">IF(_xlfn.XLOOKUP($A372&amp;$B372&amp;$C372,盘货信息!$A:$A&amp;盘货信息!$B:$B&amp;盘货信息!$C:$C,盘货信息!$X:$X)="","","【"&amp;盘货信息!$X$1&amp;"】"&amp;_xlfn.XLOOKUP($A372&amp;$B372&amp;$C372,盘货信息!$A:$A&amp;盘货信息!$B:$B&amp;盘货信息!$C:$C,盘货信息!$X:$X))</f>
        <v/>
      </c>
      <c r="R372" s="27" t="str" cm="1">
        <f t="array" ref="R372">IF(_xlfn.XLOOKUP($A372&amp;$B372&amp;$C372,盘货信息!$A:$A&amp;盘货信息!$B:$B&amp;盘货信息!$C:$C,盘货信息!$Z:$Z)="","","【"&amp;盘货信息!$Z$1&amp;"】"&amp;_xlfn.XLOOKUP($A372&amp;$B372&amp;$C372,盘货信息!$A:$A&amp;盘货信息!$B:$B&amp;盘货信息!$C:$C,盘货信息!$Z:$Z))</f>
        <v/>
      </c>
      <c r="S372" s="27" t="str" cm="1">
        <f t="array" ref="S372">IF(_xlfn.XLOOKUP($A372&amp;$B372&amp;$C372,盘货信息!$A:$A&amp;盘货信息!$B:$B&amp;盘货信息!$C:$C,盘货信息!$Q:$Q)="","","【种草】站外带指定话题种草后返"&amp;_xlfn.XLOOKUP($A372&amp;$B372&amp;$C372,盘货信息!$A:$A&amp;盘货信息!$B:$B&amp;盘货信息!$C:$C,盘货信息!$Q:$Q)&amp;"元红包（每个淘宝账号仅限对应一个站外种草账号，同一个种草账号不可对应多个淘宝账号）")</f>
        <v/>
      </c>
      <c r="T372" s="27" t="str" cm="1">
        <f t="array" ref="T372">IF(_xlfn.XLOOKUP($A372&amp;$B372&amp;$C372,盘货信息!$A:$A&amp;盘货信息!$B:$B&amp;盘货信息!$C:$C,盘货信息!$R:$R)&lt;1,"","【以旧换新】"&amp;"享补贴"&amp;ROUND(_xlfn.XLOOKUP($A372&amp;$B372&amp;$C372,盘货信息!$A:$A&amp;盘货信息!$B:$B&amp;盘货信息!$C:$C,盘货信息!$R:$R),0)&amp;"元（可无旧机换新）")</f>
        <v/>
      </c>
      <c r="U372" s="27" t="str">
        <f>IF(AND($N372="",$O372="",$P372="",$Q372="",$R372="",$S372="",$T372=""),"",固定信息!$B$1)</f>
        <v/>
      </c>
      <c r="V372" s="27" t="str" cm="1">
        <f t="array" ref="V372">IF(_xlfn.XLOOKUP($A372&amp;$B372&amp;$C372,盘货信息!$A:$A&amp;盘货信息!$B:$B&amp;盘货信息!$C:$C,盘货信息!$Y:$Y)="","","【卡萨帝送赠】活动指定时间"&amp;_xlfn.TEXTBEFORE(_xlfn.TEXTAFTER(_xlfn.XLOOKUP($A372&amp;$B372&amp;$C372,盘货信息!$A:$A&amp;盘货信息!$B:$B&amp;盘货信息!$C:$C,盘货信息!$Y:$Y),"点"),"（"))</f>
        <v/>
      </c>
      <c r="W372" s="27" t="str" cm="1">
        <f t="array" ref="W372">IF(COUNTIF(_xlfn.XLOOKUP($A372&amp;$B372&amp;$C372,盘货信息!$A:$A&amp;盘货信息!$B:$B&amp;盘货信息!$C:$C,盘货信息!$O:$O),"*是*"),"【折扣】指定型号满2类享96折，满3类享94折","")</f>
        <v/>
      </c>
      <c r="X372" s="27" t="str" cm="1">
        <f t="array" ref="X372">IF(固定信息!$B$7="","",IF(_xlfn.XLOOKUP($A372&amp;$B372&amp;$C372,盘货信息!$A:$A&amp;盘货信息!$B:$B&amp;盘货信息!$C:$C,盘货信息!$N:$N)="是","【瓜分】"&amp;固定信息!$B$7,""))</f>
        <v/>
      </c>
      <c r="Y372" s="27" t="str">
        <f>IF(AND($V372="",$W372="",$X372=""),"",固定信息!$B$1)</f>
        <v/>
      </c>
      <c r="Z372" s="27" t="str" cm="1">
        <f t="array" ref="Z372">IF($C372="","",_xlfn.XLOOKUP($A372&amp;$B372&amp;$C372,服务!$A:$A&amp;服务!$B:$B&amp;服务!$C:$C,服务!$D:$D))</f>
        <v/>
      </c>
    </row>
    <row r="373" customHeight="1" spans="1:26">
      <c r="A373" s="23" t="str">
        <f>IF(盘货信息!A373="","",盘货信息!A373)</f>
        <v/>
      </c>
      <c r="B373" s="26" t="str">
        <f>IF(盘货信息!B373="","",盘货信息!B373)</f>
        <v/>
      </c>
      <c r="C373" s="23" t="str">
        <f>IF(盘货信息!C373="","",盘货信息!C373)</f>
        <v/>
      </c>
      <c r="D373" s="27" t="str">
        <f ca="1" t="shared" si="5"/>
        <v/>
      </c>
      <c r="E373" s="27" t="str">
        <f>IF(C373="","",固定信息!$B$2)</f>
        <v/>
      </c>
      <c r="F373" s="27" t="str">
        <f>IF(C373="","","【"&amp;C373&amp;"】"&amp;固定信息!$B$4)</f>
        <v/>
      </c>
      <c r="G373" s="27" t="str">
        <f>IF(C373="","","【"&amp;"活动时间："&amp;固定信息!$B$3&amp;"】")</f>
        <v/>
      </c>
      <c r="H373" s="27" t="str">
        <f>IF($C373="","",固定信息!$B$1)</f>
        <v/>
      </c>
      <c r="I373" s="27" t="str">
        <f>IF(OR(C373="",固定信息!$B$5=""),"","【1元预约锁好礼】"&amp;固定信息!$B$5)</f>
        <v/>
      </c>
      <c r="J373" s="27" t="str" cm="1">
        <f t="array" ref="J373">_xlfn.XLOOKUP($A373&amp;$B373&amp;$C373,价格信息!$A:$A&amp;价格信息!$B:$B&amp;价格信息!$C:$C,价格信息!$D:$D)</f>
        <v/>
      </c>
      <c r="K373" s="27" t="str">
        <f>IF($C373="","",固定信息!$B$1)</f>
        <v/>
      </c>
      <c r="L373" s="27" t="str" cm="1">
        <f t="array" ref="L373">IF(_xlfn.XLOOKUP($A373&amp;$B373&amp;$C373,盘货信息!$A:$A&amp;盘货信息!$B:$B&amp;盘货信息!$C:$C,盘货信息!$T:$T)="","","【优惠券】领"&amp;_xlfn.XLOOKUP($A373&amp;$B373&amp;$C373,盘货信息!$A:$A&amp;盘货信息!$B:$B&amp;盘货信息!$C:$C,盘货信息!$T:$T)&amp;"元优惠卷下单更优惠，领券链接："&amp;_xlfn.XLOOKUP($A373&amp;$B373&amp;$C373,盘货信息!$A:$A&amp;盘货信息!$B:$B&amp;盘货信息!$C:$C,盘货信息!$U:$U))</f>
        <v/>
      </c>
      <c r="M373" s="27" t="str" cm="1">
        <f t="array" ref="M373">IF(_xlfn.XLOOKUP($A373&amp;$B373&amp;$C373,盘货信息!$A:$A&amp;盘货信息!$B:$B&amp;盘货信息!$C:$C,盘货信息!$P:$P)="","","【限时】"&amp;_xlfn.XLOOKUP($A373&amp;$B373&amp;$C373,盘货信息!$A:$A&amp;盘货信息!$B:$B&amp;盘货信息!$C:$C,盘货信息!$P:$P))</f>
        <v/>
      </c>
      <c r="N373" s="27" t="str" cm="1">
        <f t="array" ref="N373">IF(_xlfn.XLOOKUP($A373&amp;$B373&amp;$C373,盘货信息!$A:$A&amp;盘货信息!$B:$B&amp;盘货信息!$C:$C,盘货信息!$V:$V)="","","【"&amp;盘货信息!$V$1&amp;"】"&amp;_xlfn.XLOOKUP($A373&amp;$B373&amp;$C373,盘货信息!$A:$A&amp;盘货信息!$B:$B&amp;盘货信息!$C:$C,盘货信息!$V:$V))</f>
        <v/>
      </c>
      <c r="O373" s="27" t="str" cm="1">
        <f t="array" ref="O373">IF(_xlfn.XLOOKUP($A373&amp;$B373&amp;$C373,盘货信息!$A:$A&amp;盘货信息!$B:$B&amp;盘货信息!$C:$C,盘货信息!$W:$W)="","","【"&amp;盘货信息!$W$1&amp;"】"&amp;_xlfn.XLOOKUP($A373&amp;$B373&amp;$C373,盘货信息!$A:$A&amp;盘货信息!$B:$B&amp;盘货信息!$C:$C,盘货信息!$W:$W))</f>
        <v/>
      </c>
      <c r="P373" s="27" t="str" cm="1">
        <f t="array" ref="P373">IF(_xlfn.XLOOKUP($A373&amp;$B373&amp;$C373,盘货信息!$A:$A&amp;盘货信息!$B:$B&amp;盘货信息!$C:$C,盘货信息!$S:$S)&lt;1,"","【"&amp;盘货信息!$S$1&amp;"】"&amp;"后返"&amp;_xlfn.XLOOKUP($A373&amp;$B373&amp;$C373,盘货信息!$A:$A&amp;盘货信息!$B:$B&amp;盘货信息!$C:$C,盘货信息!$S:$S)&amp;"元")</f>
        <v/>
      </c>
      <c r="Q373" s="27" t="str" cm="1">
        <f t="array" ref="Q373">IF(_xlfn.XLOOKUP($A373&amp;$B373&amp;$C373,盘货信息!$A:$A&amp;盘货信息!$B:$B&amp;盘货信息!$C:$C,盘货信息!$X:$X)="","","【"&amp;盘货信息!$X$1&amp;"】"&amp;_xlfn.XLOOKUP($A373&amp;$B373&amp;$C373,盘货信息!$A:$A&amp;盘货信息!$B:$B&amp;盘货信息!$C:$C,盘货信息!$X:$X))</f>
        <v/>
      </c>
      <c r="R373" s="27" t="str" cm="1">
        <f t="array" ref="R373">IF(_xlfn.XLOOKUP($A373&amp;$B373&amp;$C373,盘货信息!$A:$A&amp;盘货信息!$B:$B&amp;盘货信息!$C:$C,盘货信息!$Z:$Z)="","","【"&amp;盘货信息!$Z$1&amp;"】"&amp;_xlfn.XLOOKUP($A373&amp;$B373&amp;$C373,盘货信息!$A:$A&amp;盘货信息!$B:$B&amp;盘货信息!$C:$C,盘货信息!$Z:$Z))</f>
        <v/>
      </c>
      <c r="S373" s="27" t="str" cm="1">
        <f t="array" ref="S373">IF(_xlfn.XLOOKUP($A373&amp;$B373&amp;$C373,盘货信息!$A:$A&amp;盘货信息!$B:$B&amp;盘货信息!$C:$C,盘货信息!$Q:$Q)="","","【种草】站外带指定话题种草后返"&amp;_xlfn.XLOOKUP($A373&amp;$B373&amp;$C373,盘货信息!$A:$A&amp;盘货信息!$B:$B&amp;盘货信息!$C:$C,盘货信息!$Q:$Q)&amp;"元红包（每个淘宝账号仅限对应一个站外种草账号，同一个种草账号不可对应多个淘宝账号）")</f>
        <v/>
      </c>
      <c r="T373" s="27" t="str" cm="1">
        <f t="array" ref="T373">IF(_xlfn.XLOOKUP($A373&amp;$B373&amp;$C373,盘货信息!$A:$A&amp;盘货信息!$B:$B&amp;盘货信息!$C:$C,盘货信息!$R:$R)&lt;1,"","【以旧换新】"&amp;"享补贴"&amp;ROUND(_xlfn.XLOOKUP($A373&amp;$B373&amp;$C373,盘货信息!$A:$A&amp;盘货信息!$B:$B&amp;盘货信息!$C:$C,盘货信息!$R:$R),0)&amp;"元（可无旧机换新）")</f>
        <v/>
      </c>
      <c r="U373" s="27" t="str">
        <f>IF(AND($N373="",$O373="",$P373="",$Q373="",$R373="",$S373="",$T373=""),"",固定信息!$B$1)</f>
        <v/>
      </c>
      <c r="V373" s="27" t="str" cm="1">
        <f t="array" ref="V373">IF(_xlfn.XLOOKUP($A373&amp;$B373&amp;$C373,盘货信息!$A:$A&amp;盘货信息!$B:$B&amp;盘货信息!$C:$C,盘货信息!$Y:$Y)="","","【卡萨帝送赠】活动指定时间"&amp;_xlfn.TEXTBEFORE(_xlfn.TEXTAFTER(_xlfn.XLOOKUP($A373&amp;$B373&amp;$C373,盘货信息!$A:$A&amp;盘货信息!$B:$B&amp;盘货信息!$C:$C,盘货信息!$Y:$Y),"点"),"（"))</f>
        <v/>
      </c>
      <c r="W373" s="27" t="str" cm="1">
        <f t="array" ref="W373">IF(COUNTIF(_xlfn.XLOOKUP($A373&amp;$B373&amp;$C373,盘货信息!$A:$A&amp;盘货信息!$B:$B&amp;盘货信息!$C:$C,盘货信息!$O:$O),"*是*"),"【折扣】指定型号满2类享96折，满3类享94折","")</f>
        <v/>
      </c>
      <c r="X373" s="27" t="str" cm="1">
        <f t="array" ref="X373">IF(固定信息!$B$7="","",IF(_xlfn.XLOOKUP($A373&amp;$B373&amp;$C373,盘货信息!$A:$A&amp;盘货信息!$B:$B&amp;盘货信息!$C:$C,盘货信息!$N:$N)="是","【瓜分】"&amp;固定信息!$B$7,""))</f>
        <v/>
      </c>
      <c r="Y373" s="27" t="str">
        <f>IF(AND($V373="",$W373="",$X373=""),"",固定信息!$B$1)</f>
        <v/>
      </c>
      <c r="Z373" s="27" t="str" cm="1">
        <f t="array" ref="Z373">IF($C373="","",_xlfn.XLOOKUP($A373&amp;$B373&amp;$C373,服务!$A:$A&amp;服务!$B:$B&amp;服务!$C:$C,服务!$D:$D))</f>
        <v/>
      </c>
    </row>
    <row r="374" customHeight="1" spans="1:26">
      <c r="A374" s="23" t="str">
        <f>IF(盘货信息!A374="","",盘货信息!A374)</f>
        <v/>
      </c>
      <c r="B374" s="26" t="str">
        <f>IF(盘货信息!B374="","",盘货信息!B374)</f>
        <v/>
      </c>
      <c r="C374" s="23" t="str">
        <f>IF(盘货信息!C374="","",盘货信息!C374)</f>
        <v/>
      </c>
      <c r="D374" s="27" t="str">
        <f ca="1" t="shared" si="5"/>
        <v/>
      </c>
      <c r="E374" s="27" t="str">
        <f>IF(C374="","",固定信息!$B$2)</f>
        <v/>
      </c>
      <c r="F374" s="27" t="str">
        <f>IF(C374="","","【"&amp;C374&amp;"】"&amp;固定信息!$B$4)</f>
        <v/>
      </c>
      <c r="G374" s="27" t="str">
        <f>IF(C374="","","【"&amp;"活动时间："&amp;固定信息!$B$3&amp;"】")</f>
        <v/>
      </c>
      <c r="H374" s="27" t="str">
        <f>IF($C374="","",固定信息!$B$1)</f>
        <v/>
      </c>
      <c r="I374" s="27" t="str">
        <f>IF(OR(C374="",固定信息!$B$5=""),"","【1元预约锁好礼】"&amp;固定信息!$B$5)</f>
        <v/>
      </c>
      <c r="J374" s="27" t="str" cm="1">
        <f t="array" ref="J374">_xlfn.XLOOKUP($A374&amp;$B374&amp;$C374,价格信息!$A:$A&amp;价格信息!$B:$B&amp;价格信息!$C:$C,价格信息!$D:$D)</f>
        <v/>
      </c>
      <c r="K374" s="27" t="str">
        <f>IF($C374="","",固定信息!$B$1)</f>
        <v/>
      </c>
      <c r="L374" s="27" t="str" cm="1">
        <f t="array" ref="L374">IF(_xlfn.XLOOKUP($A374&amp;$B374&amp;$C374,盘货信息!$A:$A&amp;盘货信息!$B:$B&amp;盘货信息!$C:$C,盘货信息!$T:$T)="","","【优惠券】领"&amp;_xlfn.XLOOKUP($A374&amp;$B374&amp;$C374,盘货信息!$A:$A&amp;盘货信息!$B:$B&amp;盘货信息!$C:$C,盘货信息!$T:$T)&amp;"元优惠卷下单更优惠，领券链接："&amp;_xlfn.XLOOKUP($A374&amp;$B374&amp;$C374,盘货信息!$A:$A&amp;盘货信息!$B:$B&amp;盘货信息!$C:$C,盘货信息!$U:$U))</f>
        <v/>
      </c>
      <c r="M374" s="27" t="str" cm="1">
        <f t="array" ref="M374">IF(_xlfn.XLOOKUP($A374&amp;$B374&amp;$C374,盘货信息!$A:$A&amp;盘货信息!$B:$B&amp;盘货信息!$C:$C,盘货信息!$P:$P)="","","【限时】"&amp;_xlfn.XLOOKUP($A374&amp;$B374&amp;$C374,盘货信息!$A:$A&amp;盘货信息!$B:$B&amp;盘货信息!$C:$C,盘货信息!$P:$P))</f>
        <v/>
      </c>
      <c r="N374" s="27" t="str" cm="1">
        <f t="array" ref="N374">IF(_xlfn.XLOOKUP($A374&amp;$B374&amp;$C374,盘货信息!$A:$A&amp;盘货信息!$B:$B&amp;盘货信息!$C:$C,盘货信息!$V:$V)="","","【"&amp;盘货信息!$V$1&amp;"】"&amp;_xlfn.XLOOKUP($A374&amp;$B374&amp;$C374,盘货信息!$A:$A&amp;盘货信息!$B:$B&amp;盘货信息!$C:$C,盘货信息!$V:$V))</f>
        <v/>
      </c>
      <c r="O374" s="27" t="str" cm="1">
        <f t="array" ref="O374">IF(_xlfn.XLOOKUP($A374&amp;$B374&amp;$C374,盘货信息!$A:$A&amp;盘货信息!$B:$B&amp;盘货信息!$C:$C,盘货信息!$W:$W)="","","【"&amp;盘货信息!$W$1&amp;"】"&amp;_xlfn.XLOOKUP($A374&amp;$B374&amp;$C374,盘货信息!$A:$A&amp;盘货信息!$B:$B&amp;盘货信息!$C:$C,盘货信息!$W:$W))</f>
        <v/>
      </c>
      <c r="P374" s="27" t="str" cm="1">
        <f t="array" ref="P374">IF(_xlfn.XLOOKUP($A374&amp;$B374&amp;$C374,盘货信息!$A:$A&amp;盘货信息!$B:$B&amp;盘货信息!$C:$C,盘货信息!$S:$S)&lt;1,"","【"&amp;盘货信息!$S$1&amp;"】"&amp;"后返"&amp;_xlfn.XLOOKUP($A374&amp;$B374&amp;$C374,盘货信息!$A:$A&amp;盘货信息!$B:$B&amp;盘货信息!$C:$C,盘货信息!$S:$S)&amp;"元")</f>
        <v/>
      </c>
      <c r="Q374" s="27" t="str" cm="1">
        <f t="array" ref="Q374">IF(_xlfn.XLOOKUP($A374&amp;$B374&amp;$C374,盘货信息!$A:$A&amp;盘货信息!$B:$B&amp;盘货信息!$C:$C,盘货信息!$X:$X)="","","【"&amp;盘货信息!$X$1&amp;"】"&amp;_xlfn.XLOOKUP($A374&amp;$B374&amp;$C374,盘货信息!$A:$A&amp;盘货信息!$B:$B&amp;盘货信息!$C:$C,盘货信息!$X:$X))</f>
        <v/>
      </c>
      <c r="R374" s="27" t="str" cm="1">
        <f t="array" ref="R374">IF(_xlfn.XLOOKUP($A374&amp;$B374&amp;$C374,盘货信息!$A:$A&amp;盘货信息!$B:$B&amp;盘货信息!$C:$C,盘货信息!$Z:$Z)="","","【"&amp;盘货信息!$Z$1&amp;"】"&amp;_xlfn.XLOOKUP($A374&amp;$B374&amp;$C374,盘货信息!$A:$A&amp;盘货信息!$B:$B&amp;盘货信息!$C:$C,盘货信息!$Z:$Z))</f>
        <v/>
      </c>
      <c r="S374" s="27" t="str" cm="1">
        <f t="array" ref="S374">IF(_xlfn.XLOOKUP($A374&amp;$B374&amp;$C374,盘货信息!$A:$A&amp;盘货信息!$B:$B&amp;盘货信息!$C:$C,盘货信息!$Q:$Q)="","","【种草】站外带指定话题种草后返"&amp;_xlfn.XLOOKUP($A374&amp;$B374&amp;$C374,盘货信息!$A:$A&amp;盘货信息!$B:$B&amp;盘货信息!$C:$C,盘货信息!$Q:$Q)&amp;"元红包（每个淘宝账号仅限对应一个站外种草账号，同一个种草账号不可对应多个淘宝账号）")</f>
        <v/>
      </c>
      <c r="T374" s="27" t="str" cm="1">
        <f t="array" ref="T374">IF(_xlfn.XLOOKUP($A374&amp;$B374&amp;$C374,盘货信息!$A:$A&amp;盘货信息!$B:$B&amp;盘货信息!$C:$C,盘货信息!$R:$R)&lt;1,"","【以旧换新】"&amp;"享补贴"&amp;ROUND(_xlfn.XLOOKUP($A374&amp;$B374&amp;$C374,盘货信息!$A:$A&amp;盘货信息!$B:$B&amp;盘货信息!$C:$C,盘货信息!$R:$R),0)&amp;"元（可无旧机换新）")</f>
        <v/>
      </c>
      <c r="U374" s="27" t="str">
        <f>IF(AND($N374="",$O374="",$P374="",$Q374="",$R374="",$S374="",$T374=""),"",固定信息!$B$1)</f>
        <v/>
      </c>
      <c r="V374" s="27" t="str" cm="1">
        <f t="array" ref="V374">IF(_xlfn.XLOOKUP($A374&amp;$B374&amp;$C374,盘货信息!$A:$A&amp;盘货信息!$B:$B&amp;盘货信息!$C:$C,盘货信息!$Y:$Y)="","","【卡萨帝送赠】活动指定时间"&amp;_xlfn.TEXTBEFORE(_xlfn.TEXTAFTER(_xlfn.XLOOKUP($A374&amp;$B374&amp;$C374,盘货信息!$A:$A&amp;盘货信息!$B:$B&amp;盘货信息!$C:$C,盘货信息!$Y:$Y),"点"),"（"))</f>
        <v/>
      </c>
      <c r="W374" s="27" t="str" cm="1">
        <f t="array" ref="W374">IF(COUNTIF(_xlfn.XLOOKUP($A374&amp;$B374&amp;$C374,盘货信息!$A:$A&amp;盘货信息!$B:$B&amp;盘货信息!$C:$C,盘货信息!$O:$O),"*是*"),"【折扣】指定型号满2类享96折，满3类享94折","")</f>
        <v/>
      </c>
      <c r="X374" s="27" t="str" cm="1">
        <f t="array" ref="X374">IF(固定信息!$B$7="","",IF(_xlfn.XLOOKUP($A374&amp;$B374&amp;$C374,盘货信息!$A:$A&amp;盘货信息!$B:$B&amp;盘货信息!$C:$C,盘货信息!$N:$N)="是","【瓜分】"&amp;固定信息!$B$7,""))</f>
        <v/>
      </c>
      <c r="Y374" s="27" t="str">
        <f>IF(AND($V374="",$W374="",$X374=""),"",固定信息!$B$1)</f>
        <v/>
      </c>
      <c r="Z374" s="27" t="str" cm="1">
        <f t="array" ref="Z374">IF($C374="","",_xlfn.XLOOKUP($A374&amp;$B374&amp;$C374,服务!$A:$A&amp;服务!$B:$B&amp;服务!$C:$C,服务!$D:$D))</f>
        <v/>
      </c>
    </row>
    <row r="375" customHeight="1" spans="1:26">
      <c r="A375" s="23" t="str">
        <f>IF(盘货信息!A375="","",盘货信息!A375)</f>
        <v/>
      </c>
      <c r="B375" s="26" t="str">
        <f>IF(盘货信息!B375="","",盘货信息!B375)</f>
        <v/>
      </c>
      <c r="C375" s="23" t="str">
        <f>IF(盘货信息!C375="","",盘货信息!C375)</f>
        <v/>
      </c>
      <c r="D375" s="27" t="str">
        <f ca="1" t="shared" si="5"/>
        <v/>
      </c>
      <c r="E375" s="27" t="str">
        <f>IF(C375="","",固定信息!$B$2)</f>
        <v/>
      </c>
      <c r="F375" s="27" t="str">
        <f>IF(C375="","","【"&amp;C375&amp;"】"&amp;固定信息!$B$4)</f>
        <v/>
      </c>
      <c r="G375" s="27" t="str">
        <f>IF(C375="","","【"&amp;"活动时间："&amp;固定信息!$B$3&amp;"】")</f>
        <v/>
      </c>
      <c r="H375" s="27" t="str">
        <f>IF($C375="","",固定信息!$B$1)</f>
        <v/>
      </c>
      <c r="I375" s="27" t="str">
        <f>IF(OR(C375="",固定信息!$B$5=""),"","【1元预约锁好礼】"&amp;固定信息!$B$5)</f>
        <v/>
      </c>
      <c r="J375" s="27" t="str" cm="1">
        <f t="array" ref="J375">_xlfn.XLOOKUP($A375&amp;$B375&amp;$C375,价格信息!$A:$A&amp;价格信息!$B:$B&amp;价格信息!$C:$C,价格信息!$D:$D)</f>
        <v/>
      </c>
      <c r="K375" s="27" t="str">
        <f>IF($C375="","",固定信息!$B$1)</f>
        <v/>
      </c>
      <c r="L375" s="27" t="str" cm="1">
        <f t="array" ref="L375">IF(_xlfn.XLOOKUP($A375&amp;$B375&amp;$C375,盘货信息!$A:$A&amp;盘货信息!$B:$B&amp;盘货信息!$C:$C,盘货信息!$T:$T)="","","【优惠券】领"&amp;_xlfn.XLOOKUP($A375&amp;$B375&amp;$C375,盘货信息!$A:$A&amp;盘货信息!$B:$B&amp;盘货信息!$C:$C,盘货信息!$T:$T)&amp;"元优惠卷下单更优惠，领券链接："&amp;_xlfn.XLOOKUP($A375&amp;$B375&amp;$C375,盘货信息!$A:$A&amp;盘货信息!$B:$B&amp;盘货信息!$C:$C,盘货信息!$U:$U))</f>
        <v/>
      </c>
      <c r="M375" s="27" t="str" cm="1">
        <f t="array" ref="M375">IF(_xlfn.XLOOKUP($A375&amp;$B375&amp;$C375,盘货信息!$A:$A&amp;盘货信息!$B:$B&amp;盘货信息!$C:$C,盘货信息!$P:$P)="","","【限时】"&amp;_xlfn.XLOOKUP($A375&amp;$B375&amp;$C375,盘货信息!$A:$A&amp;盘货信息!$B:$B&amp;盘货信息!$C:$C,盘货信息!$P:$P))</f>
        <v/>
      </c>
      <c r="N375" s="27" t="str" cm="1">
        <f t="array" ref="N375">IF(_xlfn.XLOOKUP($A375&amp;$B375&amp;$C375,盘货信息!$A:$A&amp;盘货信息!$B:$B&amp;盘货信息!$C:$C,盘货信息!$V:$V)="","","【"&amp;盘货信息!$V$1&amp;"】"&amp;_xlfn.XLOOKUP($A375&amp;$B375&amp;$C375,盘货信息!$A:$A&amp;盘货信息!$B:$B&amp;盘货信息!$C:$C,盘货信息!$V:$V))</f>
        <v/>
      </c>
      <c r="O375" s="27" t="str" cm="1">
        <f t="array" ref="O375">IF(_xlfn.XLOOKUP($A375&amp;$B375&amp;$C375,盘货信息!$A:$A&amp;盘货信息!$B:$B&amp;盘货信息!$C:$C,盘货信息!$W:$W)="","","【"&amp;盘货信息!$W$1&amp;"】"&amp;_xlfn.XLOOKUP($A375&amp;$B375&amp;$C375,盘货信息!$A:$A&amp;盘货信息!$B:$B&amp;盘货信息!$C:$C,盘货信息!$W:$W))</f>
        <v/>
      </c>
      <c r="P375" s="27" t="str" cm="1">
        <f t="array" ref="P375">IF(_xlfn.XLOOKUP($A375&amp;$B375&amp;$C375,盘货信息!$A:$A&amp;盘货信息!$B:$B&amp;盘货信息!$C:$C,盘货信息!$S:$S)&lt;1,"","【"&amp;盘货信息!$S$1&amp;"】"&amp;"后返"&amp;_xlfn.XLOOKUP($A375&amp;$B375&amp;$C375,盘货信息!$A:$A&amp;盘货信息!$B:$B&amp;盘货信息!$C:$C,盘货信息!$S:$S)&amp;"元")</f>
        <v/>
      </c>
      <c r="Q375" s="27" t="str" cm="1">
        <f t="array" ref="Q375">IF(_xlfn.XLOOKUP($A375&amp;$B375&amp;$C375,盘货信息!$A:$A&amp;盘货信息!$B:$B&amp;盘货信息!$C:$C,盘货信息!$X:$X)="","","【"&amp;盘货信息!$X$1&amp;"】"&amp;_xlfn.XLOOKUP($A375&amp;$B375&amp;$C375,盘货信息!$A:$A&amp;盘货信息!$B:$B&amp;盘货信息!$C:$C,盘货信息!$X:$X))</f>
        <v/>
      </c>
      <c r="R375" s="27" t="str" cm="1">
        <f t="array" ref="R375">IF(_xlfn.XLOOKUP($A375&amp;$B375&amp;$C375,盘货信息!$A:$A&amp;盘货信息!$B:$B&amp;盘货信息!$C:$C,盘货信息!$Z:$Z)="","","【"&amp;盘货信息!$Z$1&amp;"】"&amp;_xlfn.XLOOKUP($A375&amp;$B375&amp;$C375,盘货信息!$A:$A&amp;盘货信息!$B:$B&amp;盘货信息!$C:$C,盘货信息!$Z:$Z))</f>
        <v/>
      </c>
      <c r="S375" s="27" t="str" cm="1">
        <f t="array" ref="S375">IF(_xlfn.XLOOKUP($A375&amp;$B375&amp;$C375,盘货信息!$A:$A&amp;盘货信息!$B:$B&amp;盘货信息!$C:$C,盘货信息!$Q:$Q)="","","【种草】站外带指定话题种草后返"&amp;_xlfn.XLOOKUP($A375&amp;$B375&amp;$C375,盘货信息!$A:$A&amp;盘货信息!$B:$B&amp;盘货信息!$C:$C,盘货信息!$Q:$Q)&amp;"元红包（每个淘宝账号仅限对应一个站外种草账号，同一个种草账号不可对应多个淘宝账号）")</f>
        <v/>
      </c>
      <c r="T375" s="27" t="str" cm="1">
        <f t="array" ref="T375">IF(_xlfn.XLOOKUP($A375&amp;$B375&amp;$C375,盘货信息!$A:$A&amp;盘货信息!$B:$B&amp;盘货信息!$C:$C,盘货信息!$R:$R)&lt;1,"","【以旧换新】"&amp;"享补贴"&amp;ROUND(_xlfn.XLOOKUP($A375&amp;$B375&amp;$C375,盘货信息!$A:$A&amp;盘货信息!$B:$B&amp;盘货信息!$C:$C,盘货信息!$R:$R),0)&amp;"元（可无旧机换新）")</f>
        <v/>
      </c>
      <c r="U375" s="27" t="str">
        <f>IF(AND($N375="",$O375="",$P375="",$Q375="",$R375="",$S375="",$T375=""),"",固定信息!$B$1)</f>
        <v/>
      </c>
      <c r="V375" s="27" t="str" cm="1">
        <f t="array" ref="V375">IF(_xlfn.XLOOKUP($A375&amp;$B375&amp;$C375,盘货信息!$A:$A&amp;盘货信息!$B:$B&amp;盘货信息!$C:$C,盘货信息!$Y:$Y)="","","【卡萨帝送赠】活动指定时间"&amp;_xlfn.TEXTBEFORE(_xlfn.TEXTAFTER(_xlfn.XLOOKUP($A375&amp;$B375&amp;$C375,盘货信息!$A:$A&amp;盘货信息!$B:$B&amp;盘货信息!$C:$C,盘货信息!$Y:$Y),"点"),"（"))</f>
        <v/>
      </c>
      <c r="W375" s="27" t="str" cm="1">
        <f t="array" ref="W375">IF(COUNTIF(_xlfn.XLOOKUP($A375&amp;$B375&amp;$C375,盘货信息!$A:$A&amp;盘货信息!$B:$B&amp;盘货信息!$C:$C,盘货信息!$O:$O),"*是*"),"【折扣】指定型号满2类享96折，满3类享94折","")</f>
        <v/>
      </c>
      <c r="X375" s="27" t="str" cm="1">
        <f t="array" ref="X375">IF(固定信息!$B$7="","",IF(_xlfn.XLOOKUP($A375&amp;$B375&amp;$C375,盘货信息!$A:$A&amp;盘货信息!$B:$B&amp;盘货信息!$C:$C,盘货信息!$N:$N)="是","【瓜分】"&amp;固定信息!$B$7,""))</f>
        <v/>
      </c>
      <c r="Y375" s="27" t="str">
        <f>IF(AND($V375="",$W375="",$X375=""),"",固定信息!$B$1)</f>
        <v/>
      </c>
      <c r="Z375" s="27" t="str" cm="1">
        <f t="array" ref="Z375">IF($C375="","",_xlfn.XLOOKUP($A375&amp;$B375&amp;$C375,服务!$A:$A&amp;服务!$B:$B&amp;服务!$C:$C,服务!$D:$D))</f>
        <v/>
      </c>
    </row>
    <row r="376" customHeight="1" spans="1:26">
      <c r="A376" s="23" t="str">
        <f>IF(盘货信息!A376="","",盘货信息!A376)</f>
        <v/>
      </c>
      <c r="B376" s="26" t="str">
        <f>IF(盘货信息!B376="","",盘货信息!B376)</f>
        <v/>
      </c>
      <c r="C376" s="23" t="str">
        <f>IF(盘货信息!C376="","",盘货信息!C376)</f>
        <v/>
      </c>
      <c r="D376" s="27" t="str">
        <f ca="1" t="shared" si="5"/>
        <v/>
      </c>
      <c r="E376" s="27" t="str">
        <f>IF(C376="","",固定信息!$B$2)</f>
        <v/>
      </c>
      <c r="F376" s="27" t="str">
        <f>IF(C376="","","【"&amp;C376&amp;"】"&amp;固定信息!$B$4)</f>
        <v/>
      </c>
      <c r="G376" s="27" t="str">
        <f>IF(C376="","","【"&amp;"活动时间："&amp;固定信息!$B$3&amp;"】")</f>
        <v/>
      </c>
      <c r="H376" s="27" t="str">
        <f>IF($C376="","",固定信息!$B$1)</f>
        <v/>
      </c>
      <c r="I376" s="27" t="str">
        <f>IF(OR(C376="",固定信息!$B$5=""),"","【1元预约锁好礼】"&amp;固定信息!$B$5)</f>
        <v/>
      </c>
      <c r="J376" s="27" t="str" cm="1">
        <f t="array" ref="J376">_xlfn.XLOOKUP($A376&amp;$B376&amp;$C376,价格信息!$A:$A&amp;价格信息!$B:$B&amp;价格信息!$C:$C,价格信息!$D:$D)</f>
        <v/>
      </c>
      <c r="K376" s="27" t="str">
        <f>IF($C376="","",固定信息!$B$1)</f>
        <v/>
      </c>
      <c r="L376" s="27" t="str" cm="1">
        <f t="array" ref="L376">IF(_xlfn.XLOOKUP($A376&amp;$B376&amp;$C376,盘货信息!$A:$A&amp;盘货信息!$B:$B&amp;盘货信息!$C:$C,盘货信息!$T:$T)="","","【优惠券】领"&amp;_xlfn.XLOOKUP($A376&amp;$B376&amp;$C376,盘货信息!$A:$A&amp;盘货信息!$B:$B&amp;盘货信息!$C:$C,盘货信息!$T:$T)&amp;"元优惠卷下单更优惠，领券链接："&amp;_xlfn.XLOOKUP($A376&amp;$B376&amp;$C376,盘货信息!$A:$A&amp;盘货信息!$B:$B&amp;盘货信息!$C:$C,盘货信息!$U:$U))</f>
        <v/>
      </c>
      <c r="M376" s="27" t="str" cm="1">
        <f t="array" ref="M376">IF(_xlfn.XLOOKUP($A376&amp;$B376&amp;$C376,盘货信息!$A:$A&amp;盘货信息!$B:$B&amp;盘货信息!$C:$C,盘货信息!$P:$P)="","","【限时】"&amp;_xlfn.XLOOKUP($A376&amp;$B376&amp;$C376,盘货信息!$A:$A&amp;盘货信息!$B:$B&amp;盘货信息!$C:$C,盘货信息!$P:$P))</f>
        <v/>
      </c>
      <c r="N376" s="27" t="str" cm="1">
        <f t="array" ref="N376">IF(_xlfn.XLOOKUP($A376&amp;$B376&amp;$C376,盘货信息!$A:$A&amp;盘货信息!$B:$B&amp;盘货信息!$C:$C,盘货信息!$V:$V)="","","【"&amp;盘货信息!$V$1&amp;"】"&amp;_xlfn.XLOOKUP($A376&amp;$B376&amp;$C376,盘货信息!$A:$A&amp;盘货信息!$B:$B&amp;盘货信息!$C:$C,盘货信息!$V:$V))</f>
        <v/>
      </c>
      <c r="O376" s="27" t="str" cm="1">
        <f t="array" ref="O376">IF(_xlfn.XLOOKUP($A376&amp;$B376&amp;$C376,盘货信息!$A:$A&amp;盘货信息!$B:$B&amp;盘货信息!$C:$C,盘货信息!$W:$W)="","","【"&amp;盘货信息!$W$1&amp;"】"&amp;_xlfn.XLOOKUP($A376&amp;$B376&amp;$C376,盘货信息!$A:$A&amp;盘货信息!$B:$B&amp;盘货信息!$C:$C,盘货信息!$W:$W))</f>
        <v/>
      </c>
      <c r="P376" s="27" t="str" cm="1">
        <f t="array" ref="P376">IF(_xlfn.XLOOKUP($A376&amp;$B376&amp;$C376,盘货信息!$A:$A&amp;盘货信息!$B:$B&amp;盘货信息!$C:$C,盘货信息!$S:$S)&lt;1,"","【"&amp;盘货信息!$S$1&amp;"】"&amp;"后返"&amp;_xlfn.XLOOKUP($A376&amp;$B376&amp;$C376,盘货信息!$A:$A&amp;盘货信息!$B:$B&amp;盘货信息!$C:$C,盘货信息!$S:$S)&amp;"元")</f>
        <v/>
      </c>
      <c r="Q376" s="27" t="str" cm="1">
        <f t="array" ref="Q376">IF(_xlfn.XLOOKUP($A376&amp;$B376&amp;$C376,盘货信息!$A:$A&amp;盘货信息!$B:$B&amp;盘货信息!$C:$C,盘货信息!$X:$X)="","","【"&amp;盘货信息!$X$1&amp;"】"&amp;_xlfn.XLOOKUP($A376&amp;$B376&amp;$C376,盘货信息!$A:$A&amp;盘货信息!$B:$B&amp;盘货信息!$C:$C,盘货信息!$X:$X))</f>
        <v/>
      </c>
      <c r="R376" s="27" t="str" cm="1">
        <f t="array" ref="R376">IF(_xlfn.XLOOKUP($A376&amp;$B376&amp;$C376,盘货信息!$A:$A&amp;盘货信息!$B:$B&amp;盘货信息!$C:$C,盘货信息!$Z:$Z)="","","【"&amp;盘货信息!$Z$1&amp;"】"&amp;_xlfn.XLOOKUP($A376&amp;$B376&amp;$C376,盘货信息!$A:$A&amp;盘货信息!$B:$B&amp;盘货信息!$C:$C,盘货信息!$Z:$Z))</f>
        <v/>
      </c>
      <c r="S376" s="27" t="str" cm="1">
        <f t="array" ref="S376">IF(_xlfn.XLOOKUP($A376&amp;$B376&amp;$C376,盘货信息!$A:$A&amp;盘货信息!$B:$B&amp;盘货信息!$C:$C,盘货信息!$Q:$Q)="","","【种草】站外带指定话题种草后返"&amp;_xlfn.XLOOKUP($A376&amp;$B376&amp;$C376,盘货信息!$A:$A&amp;盘货信息!$B:$B&amp;盘货信息!$C:$C,盘货信息!$Q:$Q)&amp;"元红包（每个淘宝账号仅限对应一个站外种草账号，同一个种草账号不可对应多个淘宝账号）")</f>
        <v/>
      </c>
      <c r="T376" s="27" t="str" cm="1">
        <f t="array" ref="T376">IF(_xlfn.XLOOKUP($A376&amp;$B376&amp;$C376,盘货信息!$A:$A&amp;盘货信息!$B:$B&amp;盘货信息!$C:$C,盘货信息!$R:$R)&lt;1,"","【以旧换新】"&amp;"享补贴"&amp;ROUND(_xlfn.XLOOKUP($A376&amp;$B376&amp;$C376,盘货信息!$A:$A&amp;盘货信息!$B:$B&amp;盘货信息!$C:$C,盘货信息!$R:$R),0)&amp;"元（可无旧机换新）")</f>
        <v/>
      </c>
      <c r="U376" s="27" t="str">
        <f>IF(AND($N376="",$O376="",$P376="",$Q376="",$R376="",$S376="",$T376=""),"",固定信息!$B$1)</f>
        <v/>
      </c>
      <c r="V376" s="27" t="str" cm="1">
        <f t="array" ref="V376">IF(_xlfn.XLOOKUP($A376&amp;$B376&amp;$C376,盘货信息!$A:$A&amp;盘货信息!$B:$B&amp;盘货信息!$C:$C,盘货信息!$Y:$Y)="","","【卡萨帝送赠】活动指定时间"&amp;_xlfn.TEXTBEFORE(_xlfn.TEXTAFTER(_xlfn.XLOOKUP($A376&amp;$B376&amp;$C376,盘货信息!$A:$A&amp;盘货信息!$B:$B&amp;盘货信息!$C:$C,盘货信息!$Y:$Y),"点"),"（"))</f>
        <v/>
      </c>
      <c r="W376" s="27" t="str" cm="1">
        <f t="array" ref="W376">IF(COUNTIF(_xlfn.XLOOKUP($A376&amp;$B376&amp;$C376,盘货信息!$A:$A&amp;盘货信息!$B:$B&amp;盘货信息!$C:$C,盘货信息!$O:$O),"*是*"),"【折扣】指定型号满2类享96折，满3类享94折","")</f>
        <v/>
      </c>
      <c r="X376" s="27" t="str" cm="1">
        <f t="array" ref="X376">IF(固定信息!$B$7="","",IF(_xlfn.XLOOKUP($A376&amp;$B376&amp;$C376,盘货信息!$A:$A&amp;盘货信息!$B:$B&amp;盘货信息!$C:$C,盘货信息!$N:$N)="是","【瓜分】"&amp;固定信息!$B$7,""))</f>
        <v/>
      </c>
      <c r="Y376" s="27" t="str">
        <f>IF(AND($V376="",$W376="",$X376=""),"",固定信息!$B$1)</f>
        <v/>
      </c>
      <c r="Z376" s="27" t="str" cm="1">
        <f t="array" ref="Z376">IF($C376="","",_xlfn.XLOOKUP($A376&amp;$B376&amp;$C376,服务!$A:$A&amp;服务!$B:$B&amp;服务!$C:$C,服务!$D:$D))</f>
        <v/>
      </c>
    </row>
    <row r="377" customHeight="1" spans="1:26">
      <c r="A377" s="23" t="str">
        <f>IF(盘货信息!A377="","",盘货信息!A377)</f>
        <v/>
      </c>
      <c r="B377" s="26" t="str">
        <f>IF(盘货信息!B377="","",盘货信息!B377)</f>
        <v/>
      </c>
      <c r="C377" s="23" t="str">
        <f>IF(盘货信息!C377="","",盘货信息!C377)</f>
        <v/>
      </c>
      <c r="D377" s="27" t="str">
        <f ca="1" t="shared" si="5"/>
        <v/>
      </c>
      <c r="E377" s="27" t="str">
        <f>IF(C377="","",固定信息!$B$2)</f>
        <v/>
      </c>
      <c r="F377" s="27" t="str">
        <f>IF(C377="","","【"&amp;C377&amp;"】"&amp;固定信息!$B$4)</f>
        <v/>
      </c>
      <c r="G377" s="27" t="str">
        <f>IF(C377="","","【"&amp;"活动时间："&amp;固定信息!$B$3&amp;"】")</f>
        <v/>
      </c>
      <c r="H377" s="27" t="str">
        <f>IF($C377="","",固定信息!$B$1)</f>
        <v/>
      </c>
      <c r="I377" s="27" t="str">
        <f>IF(OR(C377="",固定信息!$B$5=""),"","【1元预约锁好礼】"&amp;固定信息!$B$5)</f>
        <v/>
      </c>
      <c r="J377" s="27" t="str" cm="1">
        <f t="array" ref="J377">_xlfn.XLOOKUP($A377&amp;$B377&amp;$C377,价格信息!$A:$A&amp;价格信息!$B:$B&amp;价格信息!$C:$C,价格信息!$D:$D)</f>
        <v/>
      </c>
      <c r="K377" s="27" t="str">
        <f>IF($C377="","",固定信息!$B$1)</f>
        <v/>
      </c>
      <c r="L377" s="27" t="str" cm="1">
        <f t="array" ref="L377">IF(_xlfn.XLOOKUP($A377&amp;$B377&amp;$C377,盘货信息!$A:$A&amp;盘货信息!$B:$B&amp;盘货信息!$C:$C,盘货信息!$T:$T)="","","【优惠券】领"&amp;_xlfn.XLOOKUP($A377&amp;$B377&amp;$C377,盘货信息!$A:$A&amp;盘货信息!$B:$B&amp;盘货信息!$C:$C,盘货信息!$T:$T)&amp;"元优惠卷下单更优惠，领券链接："&amp;_xlfn.XLOOKUP($A377&amp;$B377&amp;$C377,盘货信息!$A:$A&amp;盘货信息!$B:$B&amp;盘货信息!$C:$C,盘货信息!$U:$U))</f>
        <v/>
      </c>
      <c r="M377" s="27" t="str" cm="1">
        <f t="array" ref="M377">IF(_xlfn.XLOOKUP($A377&amp;$B377&amp;$C377,盘货信息!$A:$A&amp;盘货信息!$B:$B&amp;盘货信息!$C:$C,盘货信息!$P:$P)="","","【限时】"&amp;_xlfn.XLOOKUP($A377&amp;$B377&amp;$C377,盘货信息!$A:$A&amp;盘货信息!$B:$B&amp;盘货信息!$C:$C,盘货信息!$P:$P))</f>
        <v/>
      </c>
      <c r="N377" s="27" t="str" cm="1">
        <f t="array" ref="N377">IF(_xlfn.XLOOKUP($A377&amp;$B377&amp;$C377,盘货信息!$A:$A&amp;盘货信息!$B:$B&amp;盘货信息!$C:$C,盘货信息!$V:$V)="","","【"&amp;盘货信息!$V$1&amp;"】"&amp;_xlfn.XLOOKUP($A377&amp;$B377&amp;$C377,盘货信息!$A:$A&amp;盘货信息!$B:$B&amp;盘货信息!$C:$C,盘货信息!$V:$V))</f>
        <v/>
      </c>
      <c r="O377" s="27" t="str" cm="1">
        <f t="array" ref="O377">IF(_xlfn.XLOOKUP($A377&amp;$B377&amp;$C377,盘货信息!$A:$A&amp;盘货信息!$B:$B&amp;盘货信息!$C:$C,盘货信息!$W:$W)="","","【"&amp;盘货信息!$W$1&amp;"】"&amp;_xlfn.XLOOKUP($A377&amp;$B377&amp;$C377,盘货信息!$A:$A&amp;盘货信息!$B:$B&amp;盘货信息!$C:$C,盘货信息!$W:$W))</f>
        <v/>
      </c>
      <c r="P377" s="27" t="str" cm="1">
        <f t="array" ref="P377">IF(_xlfn.XLOOKUP($A377&amp;$B377&amp;$C377,盘货信息!$A:$A&amp;盘货信息!$B:$B&amp;盘货信息!$C:$C,盘货信息!$S:$S)&lt;1,"","【"&amp;盘货信息!$S$1&amp;"】"&amp;"后返"&amp;_xlfn.XLOOKUP($A377&amp;$B377&amp;$C377,盘货信息!$A:$A&amp;盘货信息!$B:$B&amp;盘货信息!$C:$C,盘货信息!$S:$S)&amp;"元")</f>
        <v/>
      </c>
      <c r="Q377" s="27" t="str" cm="1">
        <f t="array" ref="Q377">IF(_xlfn.XLOOKUP($A377&amp;$B377&amp;$C377,盘货信息!$A:$A&amp;盘货信息!$B:$B&amp;盘货信息!$C:$C,盘货信息!$X:$X)="","","【"&amp;盘货信息!$X$1&amp;"】"&amp;_xlfn.XLOOKUP($A377&amp;$B377&amp;$C377,盘货信息!$A:$A&amp;盘货信息!$B:$B&amp;盘货信息!$C:$C,盘货信息!$X:$X))</f>
        <v/>
      </c>
      <c r="R377" s="27" t="str" cm="1">
        <f t="array" ref="R377">IF(_xlfn.XLOOKUP($A377&amp;$B377&amp;$C377,盘货信息!$A:$A&amp;盘货信息!$B:$B&amp;盘货信息!$C:$C,盘货信息!$Z:$Z)="","","【"&amp;盘货信息!$Z$1&amp;"】"&amp;_xlfn.XLOOKUP($A377&amp;$B377&amp;$C377,盘货信息!$A:$A&amp;盘货信息!$B:$B&amp;盘货信息!$C:$C,盘货信息!$Z:$Z))</f>
        <v/>
      </c>
      <c r="S377" s="27" t="str" cm="1">
        <f t="array" ref="S377">IF(_xlfn.XLOOKUP($A377&amp;$B377&amp;$C377,盘货信息!$A:$A&amp;盘货信息!$B:$B&amp;盘货信息!$C:$C,盘货信息!$Q:$Q)="","","【种草】站外带指定话题种草后返"&amp;_xlfn.XLOOKUP($A377&amp;$B377&amp;$C377,盘货信息!$A:$A&amp;盘货信息!$B:$B&amp;盘货信息!$C:$C,盘货信息!$Q:$Q)&amp;"元红包（每个淘宝账号仅限对应一个站外种草账号，同一个种草账号不可对应多个淘宝账号）")</f>
        <v/>
      </c>
      <c r="T377" s="27" t="str" cm="1">
        <f t="array" ref="T377">IF(_xlfn.XLOOKUP($A377&amp;$B377&amp;$C377,盘货信息!$A:$A&amp;盘货信息!$B:$B&amp;盘货信息!$C:$C,盘货信息!$R:$R)&lt;1,"","【以旧换新】"&amp;"享补贴"&amp;ROUND(_xlfn.XLOOKUP($A377&amp;$B377&amp;$C377,盘货信息!$A:$A&amp;盘货信息!$B:$B&amp;盘货信息!$C:$C,盘货信息!$R:$R),0)&amp;"元（可无旧机换新）")</f>
        <v/>
      </c>
      <c r="U377" s="27" t="str">
        <f>IF(AND($N377="",$O377="",$P377="",$Q377="",$R377="",$S377="",$T377=""),"",固定信息!$B$1)</f>
        <v/>
      </c>
      <c r="V377" s="27" t="str" cm="1">
        <f t="array" ref="V377">IF(_xlfn.XLOOKUP($A377&amp;$B377&amp;$C377,盘货信息!$A:$A&amp;盘货信息!$B:$B&amp;盘货信息!$C:$C,盘货信息!$Y:$Y)="","","【卡萨帝送赠】活动指定时间"&amp;_xlfn.TEXTBEFORE(_xlfn.TEXTAFTER(_xlfn.XLOOKUP($A377&amp;$B377&amp;$C377,盘货信息!$A:$A&amp;盘货信息!$B:$B&amp;盘货信息!$C:$C,盘货信息!$Y:$Y),"点"),"（"))</f>
        <v/>
      </c>
      <c r="W377" s="27" t="str" cm="1">
        <f t="array" ref="W377">IF(COUNTIF(_xlfn.XLOOKUP($A377&amp;$B377&amp;$C377,盘货信息!$A:$A&amp;盘货信息!$B:$B&amp;盘货信息!$C:$C,盘货信息!$O:$O),"*是*"),"【折扣】指定型号满2类享96折，满3类享94折","")</f>
        <v/>
      </c>
      <c r="X377" s="27" t="str" cm="1">
        <f t="array" ref="X377">IF(固定信息!$B$7="","",IF(_xlfn.XLOOKUP($A377&amp;$B377&amp;$C377,盘货信息!$A:$A&amp;盘货信息!$B:$B&amp;盘货信息!$C:$C,盘货信息!$N:$N)="是","【瓜分】"&amp;固定信息!$B$7,""))</f>
        <v/>
      </c>
      <c r="Y377" s="27" t="str">
        <f>IF(AND($V377="",$W377="",$X377=""),"",固定信息!$B$1)</f>
        <v/>
      </c>
      <c r="Z377" s="27" t="str" cm="1">
        <f t="array" ref="Z377">IF($C377="","",_xlfn.XLOOKUP($A377&amp;$B377&amp;$C377,服务!$A:$A&amp;服务!$B:$B&amp;服务!$C:$C,服务!$D:$D))</f>
        <v/>
      </c>
    </row>
    <row r="378" customHeight="1" spans="1:26">
      <c r="A378" s="23" t="str">
        <f>IF(盘货信息!A378="","",盘货信息!A378)</f>
        <v/>
      </c>
      <c r="B378" s="26" t="str">
        <f>IF(盘货信息!B378="","",盘货信息!B378)</f>
        <v/>
      </c>
      <c r="C378" s="23" t="str">
        <f>IF(盘货信息!C378="","",盘货信息!C378)</f>
        <v/>
      </c>
      <c r="D378" s="27" t="str">
        <f ca="1" t="shared" si="5"/>
        <v/>
      </c>
      <c r="E378" s="27" t="str">
        <f>IF(C378="","",固定信息!$B$2)</f>
        <v/>
      </c>
      <c r="F378" s="27" t="str">
        <f>IF(C378="","","【"&amp;C378&amp;"】"&amp;固定信息!$B$4)</f>
        <v/>
      </c>
      <c r="G378" s="27" t="str">
        <f>IF(C378="","","【"&amp;"活动时间："&amp;固定信息!$B$3&amp;"】")</f>
        <v/>
      </c>
      <c r="H378" s="27" t="str">
        <f>IF($C378="","",固定信息!$B$1)</f>
        <v/>
      </c>
      <c r="I378" s="27" t="str">
        <f>IF(OR(C378="",固定信息!$B$5=""),"","【1元预约锁好礼】"&amp;固定信息!$B$5)</f>
        <v/>
      </c>
      <c r="J378" s="27" t="str" cm="1">
        <f t="array" ref="J378">_xlfn.XLOOKUP($A378&amp;$B378&amp;$C378,价格信息!$A:$A&amp;价格信息!$B:$B&amp;价格信息!$C:$C,价格信息!$D:$D)</f>
        <v/>
      </c>
      <c r="K378" s="27" t="str">
        <f>IF($C378="","",固定信息!$B$1)</f>
        <v/>
      </c>
      <c r="L378" s="27" t="str" cm="1">
        <f t="array" ref="L378">IF(_xlfn.XLOOKUP($A378&amp;$B378&amp;$C378,盘货信息!$A:$A&amp;盘货信息!$B:$B&amp;盘货信息!$C:$C,盘货信息!$T:$T)="","","【优惠券】领"&amp;_xlfn.XLOOKUP($A378&amp;$B378&amp;$C378,盘货信息!$A:$A&amp;盘货信息!$B:$B&amp;盘货信息!$C:$C,盘货信息!$T:$T)&amp;"元优惠卷下单更优惠，领券链接："&amp;_xlfn.XLOOKUP($A378&amp;$B378&amp;$C378,盘货信息!$A:$A&amp;盘货信息!$B:$B&amp;盘货信息!$C:$C,盘货信息!$U:$U))</f>
        <v/>
      </c>
      <c r="M378" s="27" t="str" cm="1">
        <f t="array" ref="M378">IF(_xlfn.XLOOKUP($A378&amp;$B378&amp;$C378,盘货信息!$A:$A&amp;盘货信息!$B:$B&amp;盘货信息!$C:$C,盘货信息!$P:$P)="","","【限时】"&amp;_xlfn.XLOOKUP($A378&amp;$B378&amp;$C378,盘货信息!$A:$A&amp;盘货信息!$B:$B&amp;盘货信息!$C:$C,盘货信息!$P:$P))</f>
        <v/>
      </c>
      <c r="N378" s="27" t="str" cm="1">
        <f t="array" ref="N378">IF(_xlfn.XLOOKUP($A378&amp;$B378&amp;$C378,盘货信息!$A:$A&amp;盘货信息!$B:$B&amp;盘货信息!$C:$C,盘货信息!$V:$V)="","","【"&amp;盘货信息!$V$1&amp;"】"&amp;_xlfn.XLOOKUP($A378&amp;$B378&amp;$C378,盘货信息!$A:$A&amp;盘货信息!$B:$B&amp;盘货信息!$C:$C,盘货信息!$V:$V))</f>
        <v/>
      </c>
      <c r="O378" s="27" t="str" cm="1">
        <f t="array" ref="O378">IF(_xlfn.XLOOKUP($A378&amp;$B378&amp;$C378,盘货信息!$A:$A&amp;盘货信息!$B:$B&amp;盘货信息!$C:$C,盘货信息!$W:$W)="","","【"&amp;盘货信息!$W$1&amp;"】"&amp;_xlfn.XLOOKUP($A378&amp;$B378&amp;$C378,盘货信息!$A:$A&amp;盘货信息!$B:$B&amp;盘货信息!$C:$C,盘货信息!$W:$W))</f>
        <v/>
      </c>
      <c r="P378" s="27" t="str" cm="1">
        <f t="array" ref="P378">IF(_xlfn.XLOOKUP($A378&amp;$B378&amp;$C378,盘货信息!$A:$A&amp;盘货信息!$B:$B&amp;盘货信息!$C:$C,盘货信息!$S:$S)&lt;1,"","【"&amp;盘货信息!$S$1&amp;"】"&amp;"后返"&amp;_xlfn.XLOOKUP($A378&amp;$B378&amp;$C378,盘货信息!$A:$A&amp;盘货信息!$B:$B&amp;盘货信息!$C:$C,盘货信息!$S:$S)&amp;"元")</f>
        <v/>
      </c>
      <c r="Q378" s="27" t="str" cm="1">
        <f t="array" ref="Q378">IF(_xlfn.XLOOKUP($A378&amp;$B378&amp;$C378,盘货信息!$A:$A&amp;盘货信息!$B:$B&amp;盘货信息!$C:$C,盘货信息!$X:$X)="","","【"&amp;盘货信息!$X$1&amp;"】"&amp;_xlfn.XLOOKUP($A378&amp;$B378&amp;$C378,盘货信息!$A:$A&amp;盘货信息!$B:$B&amp;盘货信息!$C:$C,盘货信息!$X:$X))</f>
        <v/>
      </c>
      <c r="R378" s="27" t="str" cm="1">
        <f t="array" ref="R378">IF(_xlfn.XLOOKUP($A378&amp;$B378&amp;$C378,盘货信息!$A:$A&amp;盘货信息!$B:$B&amp;盘货信息!$C:$C,盘货信息!$Z:$Z)="","","【"&amp;盘货信息!$Z$1&amp;"】"&amp;_xlfn.XLOOKUP($A378&amp;$B378&amp;$C378,盘货信息!$A:$A&amp;盘货信息!$B:$B&amp;盘货信息!$C:$C,盘货信息!$Z:$Z))</f>
        <v/>
      </c>
      <c r="S378" s="27" t="str" cm="1">
        <f t="array" ref="S378">IF(_xlfn.XLOOKUP($A378&amp;$B378&amp;$C378,盘货信息!$A:$A&amp;盘货信息!$B:$B&amp;盘货信息!$C:$C,盘货信息!$Q:$Q)="","","【种草】站外带指定话题种草后返"&amp;_xlfn.XLOOKUP($A378&amp;$B378&amp;$C378,盘货信息!$A:$A&amp;盘货信息!$B:$B&amp;盘货信息!$C:$C,盘货信息!$Q:$Q)&amp;"元红包（每个淘宝账号仅限对应一个站外种草账号，同一个种草账号不可对应多个淘宝账号）")</f>
        <v/>
      </c>
      <c r="T378" s="27" t="str" cm="1">
        <f t="array" ref="T378">IF(_xlfn.XLOOKUP($A378&amp;$B378&amp;$C378,盘货信息!$A:$A&amp;盘货信息!$B:$B&amp;盘货信息!$C:$C,盘货信息!$R:$R)&lt;1,"","【以旧换新】"&amp;"享补贴"&amp;ROUND(_xlfn.XLOOKUP($A378&amp;$B378&amp;$C378,盘货信息!$A:$A&amp;盘货信息!$B:$B&amp;盘货信息!$C:$C,盘货信息!$R:$R),0)&amp;"元（可无旧机换新）")</f>
        <v/>
      </c>
      <c r="U378" s="27" t="str">
        <f>IF(AND($N378="",$O378="",$P378="",$Q378="",$R378="",$S378="",$T378=""),"",固定信息!$B$1)</f>
        <v/>
      </c>
      <c r="V378" s="27" t="str" cm="1">
        <f t="array" ref="V378">IF(_xlfn.XLOOKUP($A378&amp;$B378&amp;$C378,盘货信息!$A:$A&amp;盘货信息!$B:$B&amp;盘货信息!$C:$C,盘货信息!$Y:$Y)="","","【卡萨帝送赠】活动指定时间"&amp;_xlfn.TEXTBEFORE(_xlfn.TEXTAFTER(_xlfn.XLOOKUP($A378&amp;$B378&amp;$C378,盘货信息!$A:$A&amp;盘货信息!$B:$B&amp;盘货信息!$C:$C,盘货信息!$Y:$Y),"点"),"（"))</f>
        <v/>
      </c>
      <c r="W378" s="27" t="str" cm="1">
        <f t="array" ref="W378">IF(COUNTIF(_xlfn.XLOOKUP($A378&amp;$B378&amp;$C378,盘货信息!$A:$A&amp;盘货信息!$B:$B&amp;盘货信息!$C:$C,盘货信息!$O:$O),"*是*"),"【折扣】指定型号满2类享96折，满3类享94折","")</f>
        <v/>
      </c>
      <c r="X378" s="27" t="str" cm="1">
        <f t="array" ref="X378">IF(固定信息!$B$7="","",IF(_xlfn.XLOOKUP($A378&amp;$B378&amp;$C378,盘货信息!$A:$A&amp;盘货信息!$B:$B&amp;盘货信息!$C:$C,盘货信息!$N:$N)="是","【瓜分】"&amp;固定信息!$B$7,""))</f>
        <v/>
      </c>
      <c r="Y378" s="27" t="str">
        <f>IF(AND($V378="",$W378="",$X378=""),"",固定信息!$B$1)</f>
        <v/>
      </c>
      <c r="Z378" s="27" t="str" cm="1">
        <f t="array" ref="Z378">IF($C378="","",_xlfn.XLOOKUP($A378&amp;$B378&amp;$C378,服务!$A:$A&amp;服务!$B:$B&amp;服务!$C:$C,服务!$D:$D))</f>
        <v/>
      </c>
    </row>
    <row r="379" customHeight="1" spans="1:26">
      <c r="A379" s="23" t="str">
        <f>IF(盘货信息!A379="","",盘货信息!A379)</f>
        <v/>
      </c>
      <c r="B379" s="26" t="str">
        <f>IF(盘货信息!B379="","",盘货信息!B379)</f>
        <v/>
      </c>
      <c r="C379" s="23" t="str">
        <f>IF(盘货信息!C379="","",盘货信息!C379)</f>
        <v/>
      </c>
      <c r="D379" s="27" t="str">
        <f ca="1" t="shared" si="5"/>
        <v/>
      </c>
      <c r="E379" s="27" t="str">
        <f>IF(C379="","",固定信息!$B$2)</f>
        <v/>
      </c>
      <c r="F379" s="27" t="str">
        <f>IF(C379="","","【"&amp;C379&amp;"】"&amp;固定信息!$B$4)</f>
        <v/>
      </c>
      <c r="G379" s="27" t="str">
        <f>IF(C379="","","【"&amp;"活动时间："&amp;固定信息!$B$3&amp;"】")</f>
        <v/>
      </c>
      <c r="H379" s="27" t="str">
        <f>IF($C379="","",固定信息!$B$1)</f>
        <v/>
      </c>
      <c r="I379" s="27" t="str">
        <f>IF(OR(C379="",固定信息!$B$5=""),"","【1元预约锁好礼】"&amp;固定信息!$B$5)</f>
        <v/>
      </c>
      <c r="J379" s="27" t="str" cm="1">
        <f t="array" ref="J379">_xlfn.XLOOKUP($A379&amp;$B379&amp;$C379,价格信息!$A:$A&amp;价格信息!$B:$B&amp;价格信息!$C:$C,价格信息!$D:$D)</f>
        <v/>
      </c>
      <c r="K379" s="27" t="str">
        <f>IF($C379="","",固定信息!$B$1)</f>
        <v/>
      </c>
      <c r="L379" s="27" t="str" cm="1">
        <f t="array" ref="L379">IF(_xlfn.XLOOKUP($A379&amp;$B379&amp;$C379,盘货信息!$A:$A&amp;盘货信息!$B:$B&amp;盘货信息!$C:$C,盘货信息!$T:$T)="","","【优惠券】领"&amp;_xlfn.XLOOKUP($A379&amp;$B379&amp;$C379,盘货信息!$A:$A&amp;盘货信息!$B:$B&amp;盘货信息!$C:$C,盘货信息!$T:$T)&amp;"元优惠卷下单更优惠，领券链接："&amp;_xlfn.XLOOKUP($A379&amp;$B379&amp;$C379,盘货信息!$A:$A&amp;盘货信息!$B:$B&amp;盘货信息!$C:$C,盘货信息!$U:$U))</f>
        <v/>
      </c>
      <c r="M379" s="27" t="str" cm="1">
        <f t="array" ref="M379">IF(_xlfn.XLOOKUP($A379&amp;$B379&amp;$C379,盘货信息!$A:$A&amp;盘货信息!$B:$B&amp;盘货信息!$C:$C,盘货信息!$P:$P)="","","【限时】"&amp;_xlfn.XLOOKUP($A379&amp;$B379&amp;$C379,盘货信息!$A:$A&amp;盘货信息!$B:$B&amp;盘货信息!$C:$C,盘货信息!$P:$P))</f>
        <v/>
      </c>
      <c r="N379" s="27" t="str" cm="1">
        <f t="array" ref="N379">IF(_xlfn.XLOOKUP($A379&amp;$B379&amp;$C379,盘货信息!$A:$A&amp;盘货信息!$B:$B&amp;盘货信息!$C:$C,盘货信息!$V:$V)="","","【"&amp;盘货信息!$V$1&amp;"】"&amp;_xlfn.XLOOKUP($A379&amp;$B379&amp;$C379,盘货信息!$A:$A&amp;盘货信息!$B:$B&amp;盘货信息!$C:$C,盘货信息!$V:$V))</f>
        <v/>
      </c>
      <c r="O379" s="27" t="str" cm="1">
        <f t="array" ref="O379">IF(_xlfn.XLOOKUP($A379&amp;$B379&amp;$C379,盘货信息!$A:$A&amp;盘货信息!$B:$B&amp;盘货信息!$C:$C,盘货信息!$W:$W)="","","【"&amp;盘货信息!$W$1&amp;"】"&amp;_xlfn.XLOOKUP($A379&amp;$B379&amp;$C379,盘货信息!$A:$A&amp;盘货信息!$B:$B&amp;盘货信息!$C:$C,盘货信息!$W:$W))</f>
        <v/>
      </c>
      <c r="P379" s="27" t="str" cm="1">
        <f t="array" ref="P379">IF(_xlfn.XLOOKUP($A379&amp;$B379&amp;$C379,盘货信息!$A:$A&amp;盘货信息!$B:$B&amp;盘货信息!$C:$C,盘货信息!$S:$S)&lt;1,"","【"&amp;盘货信息!$S$1&amp;"】"&amp;"后返"&amp;_xlfn.XLOOKUP($A379&amp;$B379&amp;$C379,盘货信息!$A:$A&amp;盘货信息!$B:$B&amp;盘货信息!$C:$C,盘货信息!$S:$S)&amp;"元")</f>
        <v/>
      </c>
      <c r="Q379" s="27" t="str" cm="1">
        <f t="array" ref="Q379">IF(_xlfn.XLOOKUP($A379&amp;$B379&amp;$C379,盘货信息!$A:$A&amp;盘货信息!$B:$B&amp;盘货信息!$C:$C,盘货信息!$X:$X)="","","【"&amp;盘货信息!$X$1&amp;"】"&amp;_xlfn.XLOOKUP($A379&amp;$B379&amp;$C379,盘货信息!$A:$A&amp;盘货信息!$B:$B&amp;盘货信息!$C:$C,盘货信息!$X:$X))</f>
        <v/>
      </c>
      <c r="R379" s="27" t="str" cm="1">
        <f t="array" ref="R379">IF(_xlfn.XLOOKUP($A379&amp;$B379&amp;$C379,盘货信息!$A:$A&amp;盘货信息!$B:$B&amp;盘货信息!$C:$C,盘货信息!$Z:$Z)="","","【"&amp;盘货信息!$Z$1&amp;"】"&amp;_xlfn.XLOOKUP($A379&amp;$B379&amp;$C379,盘货信息!$A:$A&amp;盘货信息!$B:$B&amp;盘货信息!$C:$C,盘货信息!$Z:$Z))</f>
        <v/>
      </c>
      <c r="S379" s="27" t="str" cm="1">
        <f t="array" ref="S379">IF(_xlfn.XLOOKUP($A379&amp;$B379&amp;$C379,盘货信息!$A:$A&amp;盘货信息!$B:$B&amp;盘货信息!$C:$C,盘货信息!$Q:$Q)="","","【种草】站外带指定话题种草后返"&amp;_xlfn.XLOOKUP($A379&amp;$B379&amp;$C379,盘货信息!$A:$A&amp;盘货信息!$B:$B&amp;盘货信息!$C:$C,盘货信息!$Q:$Q)&amp;"元红包（每个淘宝账号仅限对应一个站外种草账号，同一个种草账号不可对应多个淘宝账号）")</f>
        <v/>
      </c>
      <c r="T379" s="27" t="str" cm="1">
        <f t="array" ref="T379">IF(_xlfn.XLOOKUP($A379&amp;$B379&amp;$C379,盘货信息!$A:$A&amp;盘货信息!$B:$B&amp;盘货信息!$C:$C,盘货信息!$R:$R)&lt;1,"","【以旧换新】"&amp;"享补贴"&amp;ROUND(_xlfn.XLOOKUP($A379&amp;$B379&amp;$C379,盘货信息!$A:$A&amp;盘货信息!$B:$B&amp;盘货信息!$C:$C,盘货信息!$R:$R),0)&amp;"元（可无旧机换新）")</f>
        <v/>
      </c>
      <c r="U379" s="27" t="str">
        <f>IF(AND($N379="",$O379="",$P379="",$Q379="",$R379="",$S379="",$T379=""),"",固定信息!$B$1)</f>
        <v/>
      </c>
      <c r="V379" s="27" t="str" cm="1">
        <f t="array" ref="V379">IF(_xlfn.XLOOKUP($A379&amp;$B379&amp;$C379,盘货信息!$A:$A&amp;盘货信息!$B:$B&amp;盘货信息!$C:$C,盘货信息!$Y:$Y)="","","【卡萨帝送赠】活动指定时间"&amp;_xlfn.TEXTBEFORE(_xlfn.TEXTAFTER(_xlfn.XLOOKUP($A379&amp;$B379&amp;$C379,盘货信息!$A:$A&amp;盘货信息!$B:$B&amp;盘货信息!$C:$C,盘货信息!$Y:$Y),"点"),"（"))</f>
        <v/>
      </c>
      <c r="W379" s="27" t="str" cm="1">
        <f t="array" ref="W379">IF(COUNTIF(_xlfn.XLOOKUP($A379&amp;$B379&amp;$C379,盘货信息!$A:$A&amp;盘货信息!$B:$B&amp;盘货信息!$C:$C,盘货信息!$O:$O),"*是*"),"【折扣】指定型号满2类享96折，满3类享94折","")</f>
        <v/>
      </c>
      <c r="X379" s="27" t="str" cm="1">
        <f t="array" ref="X379">IF(固定信息!$B$7="","",IF(_xlfn.XLOOKUP($A379&amp;$B379&amp;$C379,盘货信息!$A:$A&amp;盘货信息!$B:$B&amp;盘货信息!$C:$C,盘货信息!$N:$N)="是","【瓜分】"&amp;固定信息!$B$7,""))</f>
        <v/>
      </c>
      <c r="Y379" s="27" t="str">
        <f>IF(AND($V379="",$W379="",$X379=""),"",固定信息!$B$1)</f>
        <v/>
      </c>
      <c r="Z379" s="27" t="str" cm="1">
        <f t="array" ref="Z379">IF($C379="","",_xlfn.XLOOKUP($A379&amp;$B379&amp;$C379,服务!$A:$A&amp;服务!$B:$B&amp;服务!$C:$C,服务!$D:$D))</f>
        <v/>
      </c>
    </row>
    <row r="380" customHeight="1" spans="1:26">
      <c r="A380" s="23" t="str">
        <f>IF(盘货信息!A380="","",盘货信息!A380)</f>
        <v/>
      </c>
      <c r="B380" s="26" t="str">
        <f>IF(盘货信息!B380="","",盘货信息!B380)</f>
        <v/>
      </c>
      <c r="C380" s="23" t="str">
        <f>IF(盘货信息!C380="","",盘货信息!C380)</f>
        <v/>
      </c>
      <c r="D380" s="27" t="str">
        <f ca="1" t="shared" si="5"/>
        <v/>
      </c>
      <c r="E380" s="27" t="str">
        <f>IF(C380="","",固定信息!$B$2)</f>
        <v/>
      </c>
      <c r="F380" s="27" t="str">
        <f>IF(C380="","","【"&amp;C380&amp;"】"&amp;固定信息!$B$4)</f>
        <v/>
      </c>
      <c r="G380" s="27" t="str">
        <f>IF(C380="","","【"&amp;"活动时间："&amp;固定信息!$B$3&amp;"】")</f>
        <v/>
      </c>
      <c r="H380" s="27" t="str">
        <f>IF($C380="","",固定信息!$B$1)</f>
        <v/>
      </c>
      <c r="I380" s="27" t="str">
        <f>IF(OR(C380="",固定信息!$B$5=""),"","【1元预约锁好礼】"&amp;固定信息!$B$5)</f>
        <v/>
      </c>
      <c r="J380" s="27" t="str" cm="1">
        <f t="array" ref="J380">_xlfn.XLOOKUP($A380&amp;$B380&amp;$C380,价格信息!$A:$A&amp;价格信息!$B:$B&amp;价格信息!$C:$C,价格信息!$D:$D)</f>
        <v/>
      </c>
      <c r="K380" s="27" t="str">
        <f>IF($C380="","",固定信息!$B$1)</f>
        <v/>
      </c>
      <c r="L380" s="27" t="str" cm="1">
        <f t="array" ref="L380">IF(_xlfn.XLOOKUP($A380&amp;$B380&amp;$C380,盘货信息!$A:$A&amp;盘货信息!$B:$B&amp;盘货信息!$C:$C,盘货信息!$T:$T)="","","【优惠券】领"&amp;_xlfn.XLOOKUP($A380&amp;$B380&amp;$C380,盘货信息!$A:$A&amp;盘货信息!$B:$B&amp;盘货信息!$C:$C,盘货信息!$T:$T)&amp;"元优惠卷下单更优惠，领券链接："&amp;_xlfn.XLOOKUP($A380&amp;$B380&amp;$C380,盘货信息!$A:$A&amp;盘货信息!$B:$B&amp;盘货信息!$C:$C,盘货信息!$U:$U))</f>
        <v/>
      </c>
      <c r="M380" s="27" t="str" cm="1">
        <f t="array" ref="M380">IF(_xlfn.XLOOKUP($A380&amp;$B380&amp;$C380,盘货信息!$A:$A&amp;盘货信息!$B:$B&amp;盘货信息!$C:$C,盘货信息!$P:$P)="","","【限时】"&amp;_xlfn.XLOOKUP($A380&amp;$B380&amp;$C380,盘货信息!$A:$A&amp;盘货信息!$B:$B&amp;盘货信息!$C:$C,盘货信息!$P:$P))</f>
        <v/>
      </c>
      <c r="N380" s="27" t="str" cm="1">
        <f t="array" ref="N380">IF(_xlfn.XLOOKUP($A380&amp;$B380&amp;$C380,盘货信息!$A:$A&amp;盘货信息!$B:$B&amp;盘货信息!$C:$C,盘货信息!$V:$V)="","","【"&amp;盘货信息!$V$1&amp;"】"&amp;_xlfn.XLOOKUP($A380&amp;$B380&amp;$C380,盘货信息!$A:$A&amp;盘货信息!$B:$B&amp;盘货信息!$C:$C,盘货信息!$V:$V))</f>
        <v/>
      </c>
      <c r="O380" s="27" t="str" cm="1">
        <f t="array" ref="O380">IF(_xlfn.XLOOKUP($A380&amp;$B380&amp;$C380,盘货信息!$A:$A&amp;盘货信息!$B:$B&amp;盘货信息!$C:$C,盘货信息!$W:$W)="","","【"&amp;盘货信息!$W$1&amp;"】"&amp;_xlfn.XLOOKUP($A380&amp;$B380&amp;$C380,盘货信息!$A:$A&amp;盘货信息!$B:$B&amp;盘货信息!$C:$C,盘货信息!$W:$W))</f>
        <v/>
      </c>
      <c r="P380" s="27" t="str" cm="1">
        <f t="array" ref="P380">IF(_xlfn.XLOOKUP($A380&amp;$B380&amp;$C380,盘货信息!$A:$A&amp;盘货信息!$B:$B&amp;盘货信息!$C:$C,盘货信息!$S:$S)&lt;1,"","【"&amp;盘货信息!$S$1&amp;"】"&amp;"后返"&amp;_xlfn.XLOOKUP($A380&amp;$B380&amp;$C380,盘货信息!$A:$A&amp;盘货信息!$B:$B&amp;盘货信息!$C:$C,盘货信息!$S:$S)&amp;"元")</f>
        <v/>
      </c>
      <c r="Q380" s="27" t="str" cm="1">
        <f t="array" ref="Q380">IF(_xlfn.XLOOKUP($A380&amp;$B380&amp;$C380,盘货信息!$A:$A&amp;盘货信息!$B:$B&amp;盘货信息!$C:$C,盘货信息!$X:$X)="","","【"&amp;盘货信息!$X$1&amp;"】"&amp;_xlfn.XLOOKUP($A380&amp;$B380&amp;$C380,盘货信息!$A:$A&amp;盘货信息!$B:$B&amp;盘货信息!$C:$C,盘货信息!$X:$X))</f>
        <v/>
      </c>
      <c r="R380" s="27" t="str" cm="1">
        <f t="array" ref="R380">IF(_xlfn.XLOOKUP($A380&amp;$B380&amp;$C380,盘货信息!$A:$A&amp;盘货信息!$B:$B&amp;盘货信息!$C:$C,盘货信息!$Z:$Z)="","","【"&amp;盘货信息!$Z$1&amp;"】"&amp;_xlfn.XLOOKUP($A380&amp;$B380&amp;$C380,盘货信息!$A:$A&amp;盘货信息!$B:$B&amp;盘货信息!$C:$C,盘货信息!$Z:$Z))</f>
        <v/>
      </c>
      <c r="S380" s="27" t="str" cm="1">
        <f t="array" ref="S380">IF(_xlfn.XLOOKUP($A380&amp;$B380&amp;$C380,盘货信息!$A:$A&amp;盘货信息!$B:$B&amp;盘货信息!$C:$C,盘货信息!$Q:$Q)="","","【种草】站外带指定话题种草后返"&amp;_xlfn.XLOOKUP($A380&amp;$B380&amp;$C380,盘货信息!$A:$A&amp;盘货信息!$B:$B&amp;盘货信息!$C:$C,盘货信息!$Q:$Q)&amp;"元红包（每个淘宝账号仅限对应一个站外种草账号，同一个种草账号不可对应多个淘宝账号）")</f>
        <v/>
      </c>
      <c r="T380" s="27" t="str" cm="1">
        <f t="array" ref="T380">IF(_xlfn.XLOOKUP($A380&amp;$B380&amp;$C380,盘货信息!$A:$A&amp;盘货信息!$B:$B&amp;盘货信息!$C:$C,盘货信息!$R:$R)&lt;1,"","【以旧换新】"&amp;"享补贴"&amp;ROUND(_xlfn.XLOOKUP($A380&amp;$B380&amp;$C380,盘货信息!$A:$A&amp;盘货信息!$B:$B&amp;盘货信息!$C:$C,盘货信息!$R:$R),0)&amp;"元（可无旧机换新）")</f>
        <v/>
      </c>
      <c r="U380" s="27" t="str">
        <f>IF(AND($N380="",$O380="",$P380="",$Q380="",$R380="",$S380="",$T380=""),"",固定信息!$B$1)</f>
        <v/>
      </c>
      <c r="V380" s="27" t="str" cm="1">
        <f t="array" ref="V380">IF(_xlfn.XLOOKUP($A380&amp;$B380&amp;$C380,盘货信息!$A:$A&amp;盘货信息!$B:$B&amp;盘货信息!$C:$C,盘货信息!$Y:$Y)="","","【卡萨帝送赠】活动指定时间"&amp;_xlfn.TEXTBEFORE(_xlfn.TEXTAFTER(_xlfn.XLOOKUP($A380&amp;$B380&amp;$C380,盘货信息!$A:$A&amp;盘货信息!$B:$B&amp;盘货信息!$C:$C,盘货信息!$Y:$Y),"点"),"（"))</f>
        <v/>
      </c>
      <c r="W380" s="27" t="str" cm="1">
        <f t="array" ref="W380">IF(COUNTIF(_xlfn.XLOOKUP($A380&amp;$B380&amp;$C380,盘货信息!$A:$A&amp;盘货信息!$B:$B&amp;盘货信息!$C:$C,盘货信息!$O:$O),"*是*"),"【折扣】指定型号满2类享96折，满3类享94折","")</f>
        <v/>
      </c>
      <c r="X380" s="27" t="str" cm="1">
        <f t="array" ref="X380">IF(固定信息!$B$7="","",IF(_xlfn.XLOOKUP($A380&amp;$B380&amp;$C380,盘货信息!$A:$A&amp;盘货信息!$B:$B&amp;盘货信息!$C:$C,盘货信息!$N:$N)="是","【瓜分】"&amp;固定信息!$B$7,""))</f>
        <v/>
      </c>
      <c r="Y380" s="27" t="str">
        <f>IF(AND($V380="",$W380="",$X380=""),"",固定信息!$B$1)</f>
        <v/>
      </c>
      <c r="Z380" s="27" t="str" cm="1">
        <f t="array" ref="Z380">IF($C380="","",_xlfn.XLOOKUP($A380&amp;$B380&amp;$C380,服务!$A:$A&amp;服务!$B:$B&amp;服务!$C:$C,服务!$D:$D))</f>
        <v/>
      </c>
    </row>
    <row r="381" customHeight="1" spans="1:26">
      <c r="A381" s="23" t="str">
        <f>IF(盘货信息!A381="","",盘货信息!A381)</f>
        <v/>
      </c>
      <c r="B381" s="26" t="str">
        <f>IF(盘货信息!B381="","",盘货信息!B381)</f>
        <v/>
      </c>
      <c r="C381" s="23" t="str">
        <f>IF(盘货信息!C381="","",盘货信息!C381)</f>
        <v/>
      </c>
      <c r="D381" s="27" t="str">
        <f ca="1" t="shared" si="5"/>
        <v/>
      </c>
      <c r="E381" s="27" t="str">
        <f>IF(C381="","",固定信息!$B$2)</f>
        <v/>
      </c>
      <c r="F381" s="27" t="str">
        <f>IF(C381="","","【"&amp;C381&amp;"】"&amp;固定信息!$B$4)</f>
        <v/>
      </c>
      <c r="G381" s="27" t="str">
        <f>IF(C381="","","【"&amp;"活动时间："&amp;固定信息!$B$3&amp;"】")</f>
        <v/>
      </c>
      <c r="H381" s="27" t="str">
        <f>IF($C381="","",固定信息!$B$1)</f>
        <v/>
      </c>
      <c r="I381" s="27" t="str">
        <f>IF(OR(C381="",固定信息!$B$5=""),"","【1元预约锁好礼】"&amp;固定信息!$B$5)</f>
        <v/>
      </c>
      <c r="J381" s="27" t="str" cm="1">
        <f t="array" ref="J381">_xlfn.XLOOKUP($A381&amp;$B381&amp;$C381,价格信息!$A:$A&amp;价格信息!$B:$B&amp;价格信息!$C:$C,价格信息!$D:$D)</f>
        <v/>
      </c>
      <c r="K381" s="27" t="str">
        <f>IF($C381="","",固定信息!$B$1)</f>
        <v/>
      </c>
      <c r="L381" s="27" t="str" cm="1">
        <f t="array" ref="L381">IF(_xlfn.XLOOKUP($A381&amp;$B381&amp;$C381,盘货信息!$A:$A&amp;盘货信息!$B:$B&amp;盘货信息!$C:$C,盘货信息!$T:$T)="","","【优惠券】领"&amp;_xlfn.XLOOKUP($A381&amp;$B381&amp;$C381,盘货信息!$A:$A&amp;盘货信息!$B:$B&amp;盘货信息!$C:$C,盘货信息!$T:$T)&amp;"元优惠卷下单更优惠，领券链接："&amp;_xlfn.XLOOKUP($A381&amp;$B381&amp;$C381,盘货信息!$A:$A&amp;盘货信息!$B:$B&amp;盘货信息!$C:$C,盘货信息!$U:$U))</f>
        <v/>
      </c>
      <c r="M381" s="27" t="str" cm="1">
        <f t="array" ref="M381">IF(_xlfn.XLOOKUP($A381&amp;$B381&amp;$C381,盘货信息!$A:$A&amp;盘货信息!$B:$B&amp;盘货信息!$C:$C,盘货信息!$P:$P)="","","【限时】"&amp;_xlfn.XLOOKUP($A381&amp;$B381&amp;$C381,盘货信息!$A:$A&amp;盘货信息!$B:$B&amp;盘货信息!$C:$C,盘货信息!$P:$P))</f>
        <v/>
      </c>
      <c r="N381" s="27" t="str" cm="1">
        <f t="array" ref="N381">IF(_xlfn.XLOOKUP($A381&amp;$B381&amp;$C381,盘货信息!$A:$A&amp;盘货信息!$B:$B&amp;盘货信息!$C:$C,盘货信息!$V:$V)="","","【"&amp;盘货信息!$V$1&amp;"】"&amp;_xlfn.XLOOKUP($A381&amp;$B381&amp;$C381,盘货信息!$A:$A&amp;盘货信息!$B:$B&amp;盘货信息!$C:$C,盘货信息!$V:$V))</f>
        <v/>
      </c>
      <c r="O381" s="27" t="str" cm="1">
        <f t="array" ref="O381">IF(_xlfn.XLOOKUP($A381&amp;$B381&amp;$C381,盘货信息!$A:$A&amp;盘货信息!$B:$B&amp;盘货信息!$C:$C,盘货信息!$W:$W)="","","【"&amp;盘货信息!$W$1&amp;"】"&amp;_xlfn.XLOOKUP($A381&amp;$B381&amp;$C381,盘货信息!$A:$A&amp;盘货信息!$B:$B&amp;盘货信息!$C:$C,盘货信息!$W:$W))</f>
        <v/>
      </c>
      <c r="P381" s="27" t="str" cm="1">
        <f t="array" ref="P381">IF(_xlfn.XLOOKUP($A381&amp;$B381&amp;$C381,盘货信息!$A:$A&amp;盘货信息!$B:$B&amp;盘货信息!$C:$C,盘货信息!$S:$S)&lt;1,"","【"&amp;盘货信息!$S$1&amp;"】"&amp;"后返"&amp;_xlfn.XLOOKUP($A381&amp;$B381&amp;$C381,盘货信息!$A:$A&amp;盘货信息!$B:$B&amp;盘货信息!$C:$C,盘货信息!$S:$S)&amp;"元")</f>
        <v/>
      </c>
      <c r="Q381" s="27" t="str" cm="1">
        <f t="array" ref="Q381">IF(_xlfn.XLOOKUP($A381&amp;$B381&amp;$C381,盘货信息!$A:$A&amp;盘货信息!$B:$B&amp;盘货信息!$C:$C,盘货信息!$X:$X)="","","【"&amp;盘货信息!$X$1&amp;"】"&amp;_xlfn.XLOOKUP($A381&amp;$B381&amp;$C381,盘货信息!$A:$A&amp;盘货信息!$B:$B&amp;盘货信息!$C:$C,盘货信息!$X:$X))</f>
        <v/>
      </c>
      <c r="R381" s="27" t="str" cm="1">
        <f t="array" ref="R381">IF(_xlfn.XLOOKUP($A381&amp;$B381&amp;$C381,盘货信息!$A:$A&amp;盘货信息!$B:$B&amp;盘货信息!$C:$C,盘货信息!$Z:$Z)="","","【"&amp;盘货信息!$Z$1&amp;"】"&amp;_xlfn.XLOOKUP($A381&amp;$B381&amp;$C381,盘货信息!$A:$A&amp;盘货信息!$B:$B&amp;盘货信息!$C:$C,盘货信息!$Z:$Z))</f>
        <v/>
      </c>
      <c r="S381" s="27" t="str" cm="1">
        <f t="array" ref="S381">IF(_xlfn.XLOOKUP($A381&amp;$B381&amp;$C381,盘货信息!$A:$A&amp;盘货信息!$B:$B&amp;盘货信息!$C:$C,盘货信息!$Q:$Q)="","","【种草】站外带指定话题种草后返"&amp;_xlfn.XLOOKUP($A381&amp;$B381&amp;$C381,盘货信息!$A:$A&amp;盘货信息!$B:$B&amp;盘货信息!$C:$C,盘货信息!$Q:$Q)&amp;"元红包（每个淘宝账号仅限对应一个站外种草账号，同一个种草账号不可对应多个淘宝账号）")</f>
        <v/>
      </c>
      <c r="T381" s="27" t="str" cm="1">
        <f t="array" ref="T381">IF(_xlfn.XLOOKUP($A381&amp;$B381&amp;$C381,盘货信息!$A:$A&amp;盘货信息!$B:$B&amp;盘货信息!$C:$C,盘货信息!$R:$R)&lt;1,"","【以旧换新】"&amp;"享补贴"&amp;ROUND(_xlfn.XLOOKUP($A381&amp;$B381&amp;$C381,盘货信息!$A:$A&amp;盘货信息!$B:$B&amp;盘货信息!$C:$C,盘货信息!$R:$R),0)&amp;"元（可无旧机换新）")</f>
        <v/>
      </c>
      <c r="U381" s="27" t="str">
        <f>IF(AND($N381="",$O381="",$P381="",$Q381="",$R381="",$S381="",$T381=""),"",固定信息!$B$1)</f>
        <v/>
      </c>
      <c r="V381" s="27" t="str" cm="1">
        <f t="array" ref="V381">IF(_xlfn.XLOOKUP($A381&amp;$B381&amp;$C381,盘货信息!$A:$A&amp;盘货信息!$B:$B&amp;盘货信息!$C:$C,盘货信息!$Y:$Y)="","","【卡萨帝送赠】活动指定时间"&amp;_xlfn.TEXTBEFORE(_xlfn.TEXTAFTER(_xlfn.XLOOKUP($A381&amp;$B381&amp;$C381,盘货信息!$A:$A&amp;盘货信息!$B:$B&amp;盘货信息!$C:$C,盘货信息!$Y:$Y),"点"),"（"))</f>
        <v/>
      </c>
      <c r="W381" s="27" t="str" cm="1">
        <f t="array" ref="W381">IF(COUNTIF(_xlfn.XLOOKUP($A381&amp;$B381&amp;$C381,盘货信息!$A:$A&amp;盘货信息!$B:$B&amp;盘货信息!$C:$C,盘货信息!$O:$O),"*是*"),"【折扣】指定型号满2类享96折，满3类享94折","")</f>
        <v/>
      </c>
      <c r="X381" s="27" t="str" cm="1">
        <f t="array" ref="X381">IF(固定信息!$B$7="","",IF(_xlfn.XLOOKUP($A381&amp;$B381&amp;$C381,盘货信息!$A:$A&amp;盘货信息!$B:$B&amp;盘货信息!$C:$C,盘货信息!$N:$N)="是","【瓜分】"&amp;固定信息!$B$7,""))</f>
        <v/>
      </c>
      <c r="Y381" s="27" t="str">
        <f>IF(AND($V381="",$W381="",$X381=""),"",固定信息!$B$1)</f>
        <v/>
      </c>
      <c r="Z381" s="27" t="str" cm="1">
        <f t="array" ref="Z381">IF($C381="","",_xlfn.XLOOKUP($A381&amp;$B381&amp;$C381,服务!$A:$A&amp;服务!$B:$B&amp;服务!$C:$C,服务!$D:$D))</f>
        <v/>
      </c>
    </row>
    <row r="382" customHeight="1" spans="1:26">
      <c r="A382" s="23" t="str">
        <f>IF(盘货信息!A382="","",盘货信息!A382)</f>
        <v/>
      </c>
      <c r="B382" s="26" t="str">
        <f>IF(盘货信息!B382="","",盘货信息!B382)</f>
        <v/>
      </c>
      <c r="C382" s="23" t="str">
        <f>IF(盘货信息!C382="","",盘货信息!C382)</f>
        <v/>
      </c>
      <c r="D382" s="27" t="str">
        <f ca="1" t="shared" si="5"/>
        <v/>
      </c>
      <c r="E382" s="27" t="str">
        <f>IF(C382="","",固定信息!$B$2)</f>
        <v/>
      </c>
      <c r="F382" s="27" t="str">
        <f>IF(C382="","","【"&amp;C382&amp;"】"&amp;固定信息!$B$4)</f>
        <v/>
      </c>
      <c r="G382" s="27" t="str">
        <f>IF(C382="","","【"&amp;"活动时间："&amp;固定信息!$B$3&amp;"】")</f>
        <v/>
      </c>
      <c r="H382" s="27" t="str">
        <f>IF($C382="","",固定信息!$B$1)</f>
        <v/>
      </c>
      <c r="I382" s="27" t="str">
        <f>IF(OR(C382="",固定信息!$B$5=""),"","【1元预约锁好礼】"&amp;固定信息!$B$5)</f>
        <v/>
      </c>
      <c r="J382" s="27" t="str" cm="1">
        <f t="array" ref="J382">_xlfn.XLOOKUP($A382&amp;$B382&amp;$C382,价格信息!$A:$A&amp;价格信息!$B:$B&amp;价格信息!$C:$C,价格信息!$D:$D)</f>
        <v/>
      </c>
      <c r="K382" s="27" t="str">
        <f>IF($C382="","",固定信息!$B$1)</f>
        <v/>
      </c>
      <c r="L382" s="27" t="str" cm="1">
        <f t="array" ref="L382">IF(_xlfn.XLOOKUP($A382&amp;$B382&amp;$C382,盘货信息!$A:$A&amp;盘货信息!$B:$B&amp;盘货信息!$C:$C,盘货信息!$T:$T)="","","【优惠券】领"&amp;_xlfn.XLOOKUP($A382&amp;$B382&amp;$C382,盘货信息!$A:$A&amp;盘货信息!$B:$B&amp;盘货信息!$C:$C,盘货信息!$T:$T)&amp;"元优惠卷下单更优惠，领券链接："&amp;_xlfn.XLOOKUP($A382&amp;$B382&amp;$C382,盘货信息!$A:$A&amp;盘货信息!$B:$B&amp;盘货信息!$C:$C,盘货信息!$U:$U))</f>
        <v/>
      </c>
      <c r="M382" s="27" t="str" cm="1">
        <f t="array" ref="M382">IF(_xlfn.XLOOKUP($A382&amp;$B382&amp;$C382,盘货信息!$A:$A&amp;盘货信息!$B:$B&amp;盘货信息!$C:$C,盘货信息!$P:$P)="","","【限时】"&amp;_xlfn.XLOOKUP($A382&amp;$B382&amp;$C382,盘货信息!$A:$A&amp;盘货信息!$B:$B&amp;盘货信息!$C:$C,盘货信息!$P:$P))</f>
        <v/>
      </c>
      <c r="N382" s="27" t="str" cm="1">
        <f t="array" ref="N382">IF(_xlfn.XLOOKUP($A382&amp;$B382&amp;$C382,盘货信息!$A:$A&amp;盘货信息!$B:$B&amp;盘货信息!$C:$C,盘货信息!$V:$V)="","","【"&amp;盘货信息!$V$1&amp;"】"&amp;_xlfn.XLOOKUP($A382&amp;$B382&amp;$C382,盘货信息!$A:$A&amp;盘货信息!$B:$B&amp;盘货信息!$C:$C,盘货信息!$V:$V))</f>
        <v/>
      </c>
      <c r="O382" s="27" t="str" cm="1">
        <f t="array" ref="O382">IF(_xlfn.XLOOKUP($A382&amp;$B382&amp;$C382,盘货信息!$A:$A&amp;盘货信息!$B:$B&amp;盘货信息!$C:$C,盘货信息!$W:$W)="","","【"&amp;盘货信息!$W$1&amp;"】"&amp;_xlfn.XLOOKUP($A382&amp;$B382&amp;$C382,盘货信息!$A:$A&amp;盘货信息!$B:$B&amp;盘货信息!$C:$C,盘货信息!$W:$W))</f>
        <v/>
      </c>
      <c r="P382" s="27" t="str" cm="1">
        <f t="array" ref="P382">IF(_xlfn.XLOOKUP($A382&amp;$B382&amp;$C382,盘货信息!$A:$A&amp;盘货信息!$B:$B&amp;盘货信息!$C:$C,盘货信息!$S:$S)&lt;1,"","【"&amp;盘货信息!$S$1&amp;"】"&amp;"后返"&amp;_xlfn.XLOOKUP($A382&amp;$B382&amp;$C382,盘货信息!$A:$A&amp;盘货信息!$B:$B&amp;盘货信息!$C:$C,盘货信息!$S:$S)&amp;"元")</f>
        <v/>
      </c>
      <c r="Q382" s="27" t="str" cm="1">
        <f t="array" ref="Q382">IF(_xlfn.XLOOKUP($A382&amp;$B382&amp;$C382,盘货信息!$A:$A&amp;盘货信息!$B:$B&amp;盘货信息!$C:$C,盘货信息!$X:$X)="","","【"&amp;盘货信息!$X$1&amp;"】"&amp;_xlfn.XLOOKUP($A382&amp;$B382&amp;$C382,盘货信息!$A:$A&amp;盘货信息!$B:$B&amp;盘货信息!$C:$C,盘货信息!$X:$X))</f>
        <v/>
      </c>
      <c r="R382" s="27" t="str" cm="1">
        <f t="array" ref="R382">IF(_xlfn.XLOOKUP($A382&amp;$B382&amp;$C382,盘货信息!$A:$A&amp;盘货信息!$B:$B&amp;盘货信息!$C:$C,盘货信息!$Z:$Z)="","","【"&amp;盘货信息!$Z$1&amp;"】"&amp;_xlfn.XLOOKUP($A382&amp;$B382&amp;$C382,盘货信息!$A:$A&amp;盘货信息!$B:$B&amp;盘货信息!$C:$C,盘货信息!$Z:$Z))</f>
        <v/>
      </c>
      <c r="S382" s="27" t="str" cm="1">
        <f t="array" ref="S382">IF(_xlfn.XLOOKUP($A382&amp;$B382&amp;$C382,盘货信息!$A:$A&amp;盘货信息!$B:$B&amp;盘货信息!$C:$C,盘货信息!$Q:$Q)="","","【种草】站外带指定话题种草后返"&amp;_xlfn.XLOOKUP($A382&amp;$B382&amp;$C382,盘货信息!$A:$A&amp;盘货信息!$B:$B&amp;盘货信息!$C:$C,盘货信息!$Q:$Q)&amp;"元红包（每个淘宝账号仅限对应一个站外种草账号，同一个种草账号不可对应多个淘宝账号）")</f>
        <v/>
      </c>
      <c r="T382" s="27" t="str" cm="1">
        <f t="array" ref="T382">IF(_xlfn.XLOOKUP($A382&amp;$B382&amp;$C382,盘货信息!$A:$A&amp;盘货信息!$B:$B&amp;盘货信息!$C:$C,盘货信息!$R:$R)&lt;1,"","【以旧换新】"&amp;"享补贴"&amp;ROUND(_xlfn.XLOOKUP($A382&amp;$B382&amp;$C382,盘货信息!$A:$A&amp;盘货信息!$B:$B&amp;盘货信息!$C:$C,盘货信息!$R:$R),0)&amp;"元（可无旧机换新）")</f>
        <v/>
      </c>
      <c r="U382" s="27" t="str">
        <f>IF(AND($N382="",$O382="",$P382="",$Q382="",$R382="",$S382="",$T382=""),"",固定信息!$B$1)</f>
        <v/>
      </c>
      <c r="V382" s="27" t="str" cm="1">
        <f t="array" ref="V382">IF(_xlfn.XLOOKUP($A382&amp;$B382&amp;$C382,盘货信息!$A:$A&amp;盘货信息!$B:$B&amp;盘货信息!$C:$C,盘货信息!$Y:$Y)="","","【卡萨帝送赠】活动指定时间"&amp;_xlfn.TEXTBEFORE(_xlfn.TEXTAFTER(_xlfn.XLOOKUP($A382&amp;$B382&amp;$C382,盘货信息!$A:$A&amp;盘货信息!$B:$B&amp;盘货信息!$C:$C,盘货信息!$Y:$Y),"点"),"（"))</f>
        <v/>
      </c>
      <c r="W382" s="27" t="str" cm="1">
        <f t="array" ref="W382">IF(COUNTIF(_xlfn.XLOOKUP($A382&amp;$B382&amp;$C382,盘货信息!$A:$A&amp;盘货信息!$B:$B&amp;盘货信息!$C:$C,盘货信息!$O:$O),"*是*"),"【折扣】指定型号满2类享96折，满3类享94折","")</f>
        <v/>
      </c>
      <c r="X382" s="27" t="str" cm="1">
        <f t="array" ref="X382">IF(固定信息!$B$7="","",IF(_xlfn.XLOOKUP($A382&amp;$B382&amp;$C382,盘货信息!$A:$A&amp;盘货信息!$B:$B&amp;盘货信息!$C:$C,盘货信息!$N:$N)="是","【瓜分】"&amp;固定信息!$B$7,""))</f>
        <v/>
      </c>
      <c r="Y382" s="27" t="str">
        <f>IF(AND($V382="",$W382="",$X382=""),"",固定信息!$B$1)</f>
        <v/>
      </c>
      <c r="Z382" s="27" t="str" cm="1">
        <f t="array" ref="Z382">IF($C382="","",_xlfn.XLOOKUP($A382&amp;$B382&amp;$C382,服务!$A:$A&amp;服务!$B:$B&amp;服务!$C:$C,服务!$D:$D))</f>
        <v/>
      </c>
    </row>
    <row r="383" customHeight="1" spans="1:26">
      <c r="A383" s="23" t="str">
        <f>IF(盘货信息!A383="","",盘货信息!A383)</f>
        <v/>
      </c>
      <c r="B383" s="26" t="str">
        <f>IF(盘货信息!B383="","",盘货信息!B383)</f>
        <v/>
      </c>
      <c r="C383" s="23" t="str">
        <f>IF(盘货信息!C383="","",盘货信息!C383)</f>
        <v/>
      </c>
      <c r="D383" s="27" t="str">
        <f ca="1" t="shared" si="5"/>
        <v/>
      </c>
      <c r="E383" s="27" t="str">
        <f>IF(C383="","",固定信息!$B$2)</f>
        <v/>
      </c>
      <c r="F383" s="27" t="str">
        <f>IF(C383="","","【"&amp;C383&amp;"】"&amp;固定信息!$B$4)</f>
        <v/>
      </c>
      <c r="G383" s="27" t="str">
        <f>IF(C383="","","【"&amp;"活动时间："&amp;固定信息!$B$3&amp;"】")</f>
        <v/>
      </c>
      <c r="H383" s="27" t="str">
        <f>IF($C383="","",固定信息!$B$1)</f>
        <v/>
      </c>
      <c r="I383" s="27" t="str">
        <f>IF(OR(C383="",固定信息!$B$5=""),"","【1元预约锁好礼】"&amp;固定信息!$B$5)</f>
        <v/>
      </c>
      <c r="J383" s="27" t="str" cm="1">
        <f t="array" ref="J383">_xlfn.XLOOKUP($A383&amp;$B383&amp;$C383,价格信息!$A:$A&amp;价格信息!$B:$B&amp;价格信息!$C:$C,价格信息!$D:$D)</f>
        <v/>
      </c>
      <c r="K383" s="27" t="str">
        <f>IF($C383="","",固定信息!$B$1)</f>
        <v/>
      </c>
      <c r="L383" s="27" t="str" cm="1">
        <f t="array" ref="L383">IF(_xlfn.XLOOKUP($A383&amp;$B383&amp;$C383,盘货信息!$A:$A&amp;盘货信息!$B:$B&amp;盘货信息!$C:$C,盘货信息!$T:$T)="","","【优惠券】领"&amp;_xlfn.XLOOKUP($A383&amp;$B383&amp;$C383,盘货信息!$A:$A&amp;盘货信息!$B:$B&amp;盘货信息!$C:$C,盘货信息!$T:$T)&amp;"元优惠卷下单更优惠，领券链接："&amp;_xlfn.XLOOKUP($A383&amp;$B383&amp;$C383,盘货信息!$A:$A&amp;盘货信息!$B:$B&amp;盘货信息!$C:$C,盘货信息!$U:$U))</f>
        <v/>
      </c>
      <c r="M383" s="27" t="str" cm="1">
        <f t="array" ref="M383">IF(_xlfn.XLOOKUP($A383&amp;$B383&amp;$C383,盘货信息!$A:$A&amp;盘货信息!$B:$B&amp;盘货信息!$C:$C,盘货信息!$P:$P)="","","【限时】"&amp;_xlfn.XLOOKUP($A383&amp;$B383&amp;$C383,盘货信息!$A:$A&amp;盘货信息!$B:$B&amp;盘货信息!$C:$C,盘货信息!$P:$P))</f>
        <v/>
      </c>
      <c r="N383" s="27" t="str" cm="1">
        <f t="array" ref="N383">IF(_xlfn.XLOOKUP($A383&amp;$B383&amp;$C383,盘货信息!$A:$A&amp;盘货信息!$B:$B&amp;盘货信息!$C:$C,盘货信息!$V:$V)="","","【"&amp;盘货信息!$V$1&amp;"】"&amp;_xlfn.XLOOKUP($A383&amp;$B383&amp;$C383,盘货信息!$A:$A&amp;盘货信息!$B:$B&amp;盘货信息!$C:$C,盘货信息!$V:$V))</f>
        <v/>
      </c>
      <c r="O383" s="27" t="str" cm="1">
        <f t="array" ref="O383">IF(_xlfn.XLOOKUP($A383&amp;$B383&amp;$C383,盘货信息!$A:$A&amp;盘货信息!$B:$B&amp;盘货信息!$C:$C,盘货信息!$W:$W)="","","【"&amp;盘货信息!$W$1&amp;"】"&amp;_xlfn.XLOOKUP($A383&amp;$B383&amp;$C383,盘货信息!$A:$A&amp;盘货信息!$B:$B&amp;盘货信息!$C:$C,盘货信息!$W:$W))</f>
        <v/>
      </c>
      <c r="P383" s="27" t="str" cm="1">
        <f t="array" ref="P383">IF(_xlfn.XLOOKUP($A383&amp;$B383&amp;$C383,盘货信息!$A:$A&amp;盘货信息!$B:$B&amp;盘货信息!$C:$C,盘货信息!$S:$S)&lt;1,"","【"&amp;盘货信息!$S$1&amp;"】"&amp;"后返"&amp;_xlfn.XLOOKUP($A383&amp;$B383&amp;$C383,盘货信息!$A:$A&amp;盘货信息!$B:$B&amp;盘货信息!$C:$C,盘货信息!$S:$S)&amp;"元")</f>
        <v/>
      </c>
      <c r="Q383" s="27" t="str" cm="1">
        <f t="array" ref="Q383">IF(_xlfn.XLOOKUP($A383&amp;$B383&amp;$C383,盘货信息!$A:$A&amp;盘货信息!$B:$B&amp;盘货信息!$C:$C,盘货信息!$X:$X)="","","【"&amp;盘货信息!$X$1&amp;"】"&amp;_xlfn.XLOOKUP($A383&amp;$B383&amp;$C383,盘货信息!$A:$A&amp;盘货信息!$B:$B&amp;盘货信息!$C:$C,盘货信息!$X:$X))</f>
        <v/>
      </c>
      <c r="R383" s="27" t="str" cm="1">
        <f t="array" ref="R383">IF(_xlfn.XLOOKUP($A383&amp;$B383&amp;$C383,盘货信息!$A:$A&amp;盘货信息!$B:$B&amp;盘货信息!$C:$C,盘货信息!$Z:$Z)="","","【"&amp;盘货信息!$Z$1&amp;"】"&amp;_xlfn.XLOOKUP($A383&amp;$B383&amp;$C383,盘货信息!$A:$A&amp;盘货信息!$B:$B&amp;盘货信息!$C:$C,盘货信息!$Z:$Z))</f>
        <v/>
      </c>
      <c r="S383" s="27" t="str" cm="1">
        <f t="array" ref="S383">IF(_xlfn.XLOOKUP($A383&amp;$B383&amp;$C383,盘货信息!$A:$A&amp;盘货信息!$B:$B&amp;盘货信息!$C:$C,盘货信息!$Q:$Q)="","","【种草】站外带指定话题种草后返"&amp;_xlfn.XLOOKUP($A383&amp;$B383&amp;$C383,盘货信息!$A:$A&amp;盘货信息!$B:$B&amp;盘货信息!$C:$C,盘货信息!$Q:$Q)&amp;"元红包（每个淘宝账号仅限对应一个站外种草账号，同一个种草账号不可对应多个淘宝账号）")</f>
        <v/>
      </c>
      <c r="T383" s="27" t="str" cm="1">
        <f t="array" ref="T383">IF(_xlfn.XLOOKUP($A383&amp;$B383&amp;$C383,盘货信息!$A:$A&amp;盘货信息!$B:$B&amp;盘货信息!$C:$C,盘货信息!$R:$R)&lt;1,"","【以旧换新】"&amp;"享补贴"&amp;ROUND(_xlfn.XLOOKUP($A383&amp;$B383&amp;$C383,盘货信息!$A:$A&amp;盘货信息!$B:$B&amp;盘货信息!$C:$C,盘货信息!$R:$R),0)&amp;"元（可无旧机换新）")</f>
        <v/>
      </c>
      <c r="U383" s="27" t="str">
        <f>IF(AND($N383="",$O383="",$P383="",$Q383="",$R383="",$S383="",$T383=""),"",固定信息!$B$1)</f>
        <v/>
      </c>
      <c r="V383" s="27" t="str" cm="1">
        <f t="array" ref="V383">IF(_xlfn.XLOOKUP($A383&amp;$B383&amp;$C383,盘货信息!$A:$A&amp;盘货信息!$B:$B&amp;盘货信息!$C:$C,盘货信息!$Y:$Y)="","","【卡萨帝送赠】活动指定时间"&amp;_xlfn.TEXTBEFORE(_xlfn.TEXTAFTER(_xlfn.XLOOKUP($A383&amp;$B383&amp;$C383,盘货信息!$A:$A&amp;盘货信息!$B:$B&amp;盘货信息!$C:$C,盘货信息!$Y:$Y),"点"),"（"))</f>
        <v/>
      </c>
      <c r="W383" s="27" t="str" cm="1">
        <f t="array" ref="W383">IF(COUNTIF(_xlfn.XLOOKUP($A383&amp;$B383&amp;$C383,盘货信息!$A:$A&amp;盘货信息!$B:$B&amp;盘货信息!$C:$C,盘货信息!$O:$O),"*是*"),"【折扣】指定型号满2类享96折，满3类享94折","")</f>
        <v/>
      </c>
      <c r="X383" s="27" t="str" cm="1">
        <f t="array" ref="X383">IF(固定信息!$B$7="","",IF(_xlfn.XLOOKUP($A383&amp;$B383&amp;$C383,盘货信息!$A:$A&amp;盘货信息!$B:$B&amp;盘货信息!$C:$C,盘货信息!$N:$N)="是","【瓜分】"&amp;固定信息!$B$7,""))</f>
        <v/>
      </c>
      <c r="Y383" s="27" t="str">
        <f>IF(AND($V383="",$W383="",$X383=""),"",固定信息!$B$1)</f>
        <v/>
      </c>
      <c r="Z383" s="27" t="str" cm="1">
        <f t="array" ref="Z383">IF($C383="","",_xlfn.XLOOKUP($A383&amp;$B383&amp;$C383,服务!$A:$A&amp;服务!$B:$B&amp;服务!$C:$C,服务!$D:$D))</f>
        <v/>
      </c>
    </row>
    <row r="384" customHeight="1" spans="1:26">
      <c r="A384" s="23" t="str">
        <f>IF(盘货信息!A384="","",盘货信息!A384)</f>
        <v/>
      </c>
      <c r="B384" s="26" t="str">
        <f>IF(盘货信息!B384="","",盘货信息!B384)</f>
        <v/>
      </c>
      <c r="C384" s="23" t="str">
        <f>IF(盘货信息!C384="","",盘货信息!C384)</f>
        <v/>
      </c>
      <c r="D384" s="27" t="str">
        <f ca="1" t="shared" si="5"/>
        <v/>
      </c>
      <c r="E384" s="27" t="str">
        <f>IF(C384="","",固定信息!$B$2)</f>
        <v/>
      </c>
      <c r="F384" s="27" t="str">
        <f>IF(C384="","","【"&amp;C384&amp;"】"&amp;固定信息!$B$4)</f>
        <v/>
      </c>
      <c r="G384" s="27" t="str">
        <f>IF(C384="","","【"&amp;"活动时间："&amp;固定信息!$B$3&amp;"】")</f>
        <v/>
      </c>
      <c r="H384" s="27" t="str">
        <f>IF($C384="","",固定信息!$B$1)</f>
        <v/>
      </c>
      <c r="I384" s="27" t="str">
        <f>IF(OR(C384="",固定信息!$B$5=""),"","【1元预约锁好礼】"&amp;固定信息!$B$5)</f>
        <v/>
      </c>
      <c r="J384" s="27" t="str" cm="1">
        <f t="array" ref="J384">_xlfn.XLOOKUP($A384&amp;$B384&amp;$C384,价格信息!$A:$A&amp;价格信息!$B:$B&amp;价格信息!$C:$C,价格信息!$D:$D)</f>
        <v/>
      </c>
      <c r="K384" s="27" t="str">
        <f>IF($C384="","",固定信息!$B$1)</f>
        <v/>
      </c>
      <c r="L384" s="27" t="str" cm="1">
        <f t="array" ref="L384">IF(_xlfn.XLOOKUP($A384&amp;$B384&amp;$C384,盘货信息!$A:$A&amp;盘货信息!$B:$B&amp;盘货信息!$C:$C,盘货信息!$T:$T)="","","【优惠券】领"&amp;_xlfn.XLOOKUP($A384&amp;$B384&amp;$C384,盘货信息!$A:$A&amp;盘货信息!$B:$B&amp;盘货信息!$C:$C,盘货信息!$T:$T)&amp;"元优惠卷下单更优惠，领券链接："&amp;_xlfn.XLOOKUP($A384&amp;$B384&amp;$C384,盘货信息!$A:$A&amp;盘货信息!$B:$B&amp;盘货信息!$C:$C,盘货信息!$U:$U))</f>
        <v/>
      </c>
      <c r="M384" s="27" t="str" cm="1">
        <f t="array" ref="M384">IF(_xlfn.XLOOKUP($A384&amp;$B384&amp;$C384,盘货信息!$A:$A&amp;盘货信息!$B:$B&amp;盘货信息!$C:$C,盘货信息!$P:$P)="","","【限时】"&amp;_xlfn.XLOOKUP($A384&amp;$B384&amp;$C384,盘货信息!$A:$A&amp;盘货信息!$B:$B&amp;盘货信息!$C:$C,盘货信息!$P:$P))</f>
        <v/>
      </c>
      <c r="N384" s="27" t="str" cm="1">
        <f t="array" ref="N384">IF(_xlfn.XLOOKUP($A384&amp;$B384&amp;$C384,盘货信息!$A:$A&amp;盘货信息!$B:$B&amp;盘货信息!$C:$C,盘货信息!$V:$V)="","","【"&amp;盘货信息!$V$1&amp;"】"&amp;_xlfn.XLOOKUP($A384&amp;$B384&amp;$C384,盘货信息!$A:$A&amp;盘货信息!$B:$B&amp;盘货信息!$C:$C,盘货信息!$V:$V))</f>
        <v/>
      </c>
      <c r="O384" s="27" t="str" cm="1">
        <f t="array" ref="O384">IF(_xlfn.XLOOKUP($A384&amp;$B384&amp;$C384,盘货信息!$A:$A&amp;盘货信息!$B:$B&amp;盘货信息!$C:$C,盘货信息!$W:$W)="","","【"&amp;盘货信息!$W$1&amp;"】"&amp;_xlfn.XLOOKUP($A384&amp;$B384&amp;$C384,盘货信息!$A:$A&amp;盘货信息!$B:$B&amp;盘货信息!$C:$C,盘货信息!$W:$W))</f>
        <v/>
      </c>
      <c r="P384" s="27" t="str" cm="1">
        <f t="array" ref="P384">IF(_xlfn.XLOOKUP($A384&amp;$B384&amp;$C384,盘货信息!$A:$A&amp;盘货信息!$B:$B&amp;盘货信息!$C:$C,盘货信息!$S:$S)&lt;1,"","【"&amp;盘货信息!$S$1&amp;"】"&amp;"后返"&amp;_xlfn.XLOOKUP($A384&amp;$B384&amp;$C384,盘货信息!$A:$A&amp;盘货信息!$B:$B&amp;盘货信息!$C:$C,盘货信息!$S:$S)&amp;"元")</f>
        <v/>
      </c>
      <c r="Q384" s="27" t="str" cm="1">
        <f t="array" ref="Q384">IF(_xlfn.XLOOKUP($A384&amp;$B384&amp;$C384,盘货信息!$A:$A&amp;盘货信息!$B:$B&amp;盘货信息!$C:$C,盘货信息!$X:$X)="","","【"&amp;盘货信息!$X$1&amp;"】"&amp;_xlfn.XLOOKUP($A384&amp;$B384&amp;$C384,盘货信息!$A:$A&amp;盘货信息!$B:$B&amp;盘货信息!$C:$C,盘货信息!$X:$X))</f>
        <v/>
      </c>
      <c r="R384" s="27" t="str" cm="1">
        <f t="array" ref="R384">IF(_xlfn.XLOOKUP($A384&amp;$B384&amp;$C384,盘货信息!$A:$A&amp;盘货信息!$B:$B&amp;盘货信息!$C:$C,盘货信息!$Z:$Z)="","","【"&amp;盘货信息!$Z$1&amp;"】"&amp;_xlfn.XLOOKUP($A384&amp;$B384&amp;$C384,盘货信息!$A:$A&amp;盘货信息!$B:$B&amp;盘货信息!$C:$C,盘货信息!$Z:$Z))</f>
        <v/>
      </c>
      <c r="S384" s="27" t="str" cm="1">
        <f t="array" ref="S384">IF(_xlfn.XLOOKUP($A384&amp;$B384&amp;$C384,盘货信息!$A:$A&amp;盘货信息!$B:$B&amp;盘货信息!$C:$C,盘货信息!$Q:$Q)="","","【种草】站外带指定话题种草后返"&amp;_xlfn.XLOOKUP($A384&amp;$B384&amp;$C384,盘货信息!$A:$A&amp;盘货信息!$B:$B&amp;盘货信息!$C:$C,盘货信息!$Q:$Q)&amp;"元红包（每个淘宝账号仅限对应一个站外种草账号，同一个种草账号不可对应多个淘宝账号）")</f>
        <v/>
      </c>
      <c r="T384" s="27" t="str" cm="1">
        <f t="array" ref="T384">IF(_xlfn.XLOOKUP($A384&amp;$B384&amp;$C384,盘货信息!$A:$A&amp;盘货信息!$B:$B&amp;盘货信息!$C:$C,盘货信息!$R:$R)&lt;1,"","【以旧换新】"&amp;"享补贴"&amp;ROUND(_xlfn.XLOOKUP($A384&amp;$B384&amp;$C384,盘货信息!$A:$A&amp;盘货信息!$B:$B&amp;盘货信息!$C:$C,盘货信息!$R:$R),0)&amp;"元（可无旧机换新）")</f>
        <v/>
      </c>
      <c r="U384" s="27" t="str">
        <f>IF(AND($N384="",$O384="",$P384="",$Q384="",$R384="",$S384="",$T384=""),"",固定信息!$B$1)</f>
        <v/>
      </c>
      <c r="V384" s="27" t="str" cm="1">
        <f t="array" ref="V384">IF(_xlfn.XLOOKUP($A384&amp;$B384&amp;$C384,盘货信息!$A:$A&amp;盘货信息!$B:$B&amp;盘货信息!$C:$C,盘货信息!$Y:$Y)="","","【卡萨帝送赠】活动指定时间"&amp;_xlfn.TEXTBEFORE(_xlfn.TEXTAFTER(_xlfn.XLOOKUP($A384&amp;$B384&amp;$C384,盘货信息!$A:$A&amp;盘货信息!$B:$B&amp;盘货信息!$C:$C,盘货信息!$Y:$Y),"点"),"（"))</f>
        <v/>
      </c>
      <c r="W384" s="27" t="str" cm="1">
        <f t="array" ref="W384">IF(COUNTIF(_xlfn.XLOOKUP($A384&amp;$B384&amp;$C384,盘货信息!$A:$A&amp;盘货信息!$B:$B&amp;盘货信息!$C:$C,盘货信息!$O:$O),"*是*"),"【折扣】指定型号满2类享96折，满3类享94折","")</f>
        <v/>
      </c>
      <c r="X384" s="27" t="str" cm="1">
        <f t="array" ref="X384">IF(固定信息!$B$7="","",IF(_xlfn.XLOOKUP($A384&amp;$B384&amp;$C384,盘货信息!$A:$A&amp;盘货信息!$B:$B&amp;盘货信息!$C:$C,盘货信息!$N:$N)="是","【瓜分】"&amp;固定信息!$B$7,""))</f>
        <v/>
      </c>
      <c r="Y384" s="27" t="str">
        <f>IF(AND($V384="",$W384="",$X384=""),"",固定信息!$B$1)</f>
        <v/>
      </c>
      <c r="Z384" s="27" t="str" cm="1">
        <f t="array" ref="Z384">IF($C384="","",_xlfn.XLOOKUP($A384&amp;$B384&amp;$C384,服务!$A:$A&amp;服务!$B:$B&amp;服务!$C:$C,服务!$D:$D))</f>
        <v/>
      </c>
    </row>
    <row r="385" customHeight="1" spans="1:26">
      <c r="A385" s="23" t="str">
        <f>IF(盘货信息!A385="","",盘货信息!A385)</f>
        <v/>
      </c>
      <c r="B385" s="26" t="str">
        <f>IF(盘货信息!B385="","",盘货信息!B385)</f>
        <v/>
      </c>
      <c r="C385" s="23" t="str">
        <f>IF(盘货信息!C385="","",盘货信息!C385)</f>
        <v/>
      </c>
      <c r="D385" s="27" t="str">
        <f ca="1" t="shared" si="5"/>
        <v/>
      </c>
      <c r="E385" s="27" t="str">
        <f>IF(C385="","",固定信息!$B$2)</f>
        <v/>
      </c>
      <c r="F385" s="27" t="str">
        <f>IF(C385="","","【"&amp;C385&amp;"】"&amp;固定信息!$B$4)</f>
        <v/>
      </c>
      <c r="G385" s="27" t="str">
        <f>IF(C385="","","【"&amp;"活动时间："&amp;固定信息!$B$3&amp;"】")</f>
        <v/>
      </c>
      <c r="H385" s="27" t="str">
        <f>IF($C385="","",固定信息!$B$1)</f>
        <v/>
      </c>
      <c r="I385" s="27" t="str">
        <f>IF(OR(C385="",固定信息!$B$5=""),"","【1元预约锁好礼】"&amp;固定信息!$B$5)</f>
        <v/>
      </c>
      <c r="J385" s="27" t="str" cm="1">
        <f t="array" ref="J385">_xlfn.XLOOKUP($A385&amp;$B385&amp;$C385,价格信息!$A:$A&amp;价格信息!$B:$B&amp;价格信息!$C:$C,价格信息!$D:$D)</f>
        <v/>
      </c>
      <c r="K385" s="27" t="str">
        <f>IF($C385="","",固定信息!$B$1)</f>
        <v/>
      </c>
      <c r="L385" s="27" t="str" cm="1">
        <f t="array" ref="L385">IF(_xlfn.XLOOKUP($A385&amp;$B385&amp;$C385,盘货信息!$A:$A&amp;盘货信息!$B:$B&amp;盘货信息!$C:$C,盘货信息!$T:$T)="","","【优惠券】领"&amp;_xlfn.XLOOKUP($A385&amp;$B385&amp;$C385,盘货信息!$A:$A&amp;盘货信息!$B:$B&amp;盘货信息!$C:$C,盘货信息!$T:$T)&amp;"元优惠卷下单更优惠，领券链接："&amp;_xlfn.XLOOKUP($A385&amp;$B385&amp;$C385,盘货信息!$A:$A&amp;盘货信息!$B:$B&amp;盘货信息!$C:$C,盘货信息!$U:$U))</f>
        <v/>
      </c>
      <c r="M385" s="27" t="str" cm="1">
        <f t="array" ref="M385">IF(_xlfn.XLOOKUP($A385&amp;$B385&amp;$C385,盘货信息!$A:$A&amp;盘货信息!$B:$B&amp;盘货信息!$C:$C,盘货信息!$P:$P)="","","【限时】"&amp;_xlfn.XLOOKUP($A385&amp;$B385&amp;$C385,盘货信息!$A:$A&amp;盘货信息!$B:$B&amp;盘货信息!$C:$C,盘货信息!$P:$P))</f>
        <v/>
      </c>
      <c r="N385" s="27" t="str" cm="1">
        <f t="array" ref="N385">IF(_xlfn.XLOOKUP($A385&amp;$B385&amp;$C385,盘货信息!$A:$A&amp;盘货信息!$B:$B&amp;盘货信息!$C:$C,盘货信息!$V:$V)="","","【"&amp;盘货信息!$V$1&amp;"】"&amp;_xlfn.XLOOKUP($A385&amp;$B385&amp;$C385,盘货信息!$A:$A&amp;盘货信息!$B:$B&amp;盘货信息!$C:$C,盘货信息!$V:$V))</f>
        <v/>
      </c>
      <c r="O385" s="27" t="str" cm="1">
        <f t="array" ref="O385">IF(_xlfn.XLOOKUP($A385&amp;$B385&amp;$C385,盘货信息!$A:$A&amp;盘货信息!$B:$B&amp;盘货信息!$C:$C,盘货信息!$W:$W)="","","【"&amp;盘货信息!$W$1&amp;"】"&amp;_xlfn.XLOOKUP($A385&amp;$B385&amp;$C385,盘货信息!$A:$A&amp;盘货信息!$B:$B&amp;盘货信息!$C:$C,盘货信息!$W:$W))</f>
        <v/>
      </c>
      <c r="P385" s="27" t="str" cm="1">
        <f t="array" ref="P385">IF(_xlfn.XLOOKUP($A385&amp;$B385&amp;$C385,盘货信息!$A:$A&amp;盘货信息!$B:$B&amp;盘货信息!$C:$C,盘货信息!$S:$S)&lt;1,"","【"&amp;盘货信息!$S$1&amp;"】"&amp;"后返"&amp;_xlfn.XLOOKUP($A385&amp;$B385&amp;$C385,盘货信息!$A:$A&amp;盘货信息!$B:$B&amp;盘货信息!$C:$C,盘货信息!$S:$S)&amp;"元")</f>
        <v/>
      </c>
      <c r="Q385" s="27" t="str" cm="1">
        <f t="array" ref="Q385">IF(_xlfn.XLOOKUP($A385&amp;$B385&amp;$C385,盘货信息!$A:$A&amp;盘货信息!$B:$B&amp;盘货信息!$C:$C,盘货信息!$X:$X)="","","【"&amp;盘货信息!$X$1&amp;"】"&amp;_xlfn.XLOOKUP($A385&amp;$B385&amp;$C385,盘货信息!$A:$A&amp;盘货信息!$B:$B&amp;盘货信息!$C:$C,盘货信息!$X:$X))</f>
        <v/>
      </c>
      <c r="R385" s="27" t="str" cm="1">
        <f t="array" ref="R385">IF(_xlfn.XLOOKUP($A385&amp;$B385&amp;$C385,盘货信息!$A:$A&amp;盘货信息!$B:$B&amp;盘货信息!$C:$C,盘货信息!$Z:$Z)="","","【"&amp;盘货信息!$Z$1&amp;"】"&amp;_xlfn.XLOOKUP($A385&amp;$B385&amp;$C385,盘货信息!$A:$A&amp;盘货信息!$B:$B&amp;盘货信息!$C:$C,盘货信息!$Z:$Z))</f>
        <v/>
      </c>
      <c r="S385" s="27" t="str" cm="1">
        <f t="array" ref="S385">IF(_xlfn.XLOOKUP($A385&amp;$B385&amp;$C385,盘货信息!$A:$A&amp;盘货信息!$B:$B&amp;盘货信息!$C:$C,盘货信息!$Q:$Q)="","","【种草】站外带指定话题种草后返"&amp;_xlfn.XLOOKUP($A385&amp;$B385&amp;$C385,盘货信息!$A:$A&amp;盘货信息!$B:$B&amp;盘货信息!$C:$C,盘货信息!$Q:$Q)&amp;"元红包（每个淘宝账号仅限对应一个站外种草账号，同一个种草账号不可对应多个淘宝账号）")</f>
        <v/>
      </c>
      <c r="T385" s="27" t="str" cm="1">
        <f t="array" ref="T385">IF(_xlfn.XLOOKUP($A385&amp;$B385&amp;$C385,盘货信息!$A:$A&amp;盘货信息!$B:$B&amp;盘货信息!$C:$C,盘货信息!$R:$R)&lt;1,"","【以旧换新】"&amp;"享补贴"&amp;ROUND(_xlfn.XLOOKUP($A385&amp;$B385&amp;$C385,盘货信息!$A:$A&amp;盘货信息!$B:$B&amp;盘货信息!$C:$C,盘货信息!$R:$R),0)&amp;"元（可无旧机换新）")</f>
        <v/>
      </c>
      <c r="U385" s="27" t="str">
        <f>IF(AND($N385="",$O385="",$P385="",$Q385="",$R385="",$S385="",$T385=""),"",固定信息!$B$1)</f>
        <v/>
      </c>
      <c r="V385" s="27" t="str" cm="1">
        <f t="array" ref="V385">IF(_xlfn.XLOOKUP($A385&amp;$B385&amp;$C385,盘货信息!$A:$A&amp;盘货信息!$B:$B&amp;盘货信息!$C:$C,盘货信息!$Y:$Y)="","","【卡萨帝送赠】活动指定时间"&amp;_xlfn.TEXTBEFORE(_xlfn.TEXTAFTER(_xlfn.XLOOKUP($A385&amp;$B385&amp;$C385,盘货信息!$A:$A&amp;盘货信息!$B:$B&amp;盘货信息!$C:$C,盘货信息!$Y:$Y),"点"),"（"))</f>
        <v/>
      </c>
      <c r="W385" s="27" t="str" cm="1">
        <f t="array" ref="W385">IF(COUNTIF(_xlfn.XLOOKUP($A385&amp;$B385&amp;$C385,盘货信息!$A:$A&amp;盘货信息!$B:$B&amp;盘货信息!$C:$C,盘货信息!$O:$O),"*是*"),"【折扣】指定型号满2类享96折，满3类享94折","")</f>
        <v/>
      </c>
      <c r="X385" s="27" t="str" cm="1">
        <f t="array" ref="X385">IF(固定信息!$B$7="","",IF(_xlfn.XLOOKUP($A385&amp;$B385&amp;$C385,盘货信息!$A:$A&amp;盘货信息!$B:$B&amp;盘货信息!$C:$C,盘货信息!$N:$N)="是","【瓜分】"&amp;固定信息!$B$7,""))</f>
        <v/>
      </c>
      <c r="Y385" s="27" t="str">
        <f>IF(AND($V385="",$W385="",$X385=""),"",固定信息!$B$1)</f>
        <v/>
      </c>
      <c r="Z385" s="27" t="str" cm="1">
        <f t="array" ref="Z385">IF($C385="","",_xlfn.XLOOKUP($A385&amp;$B385&amp;$C385,服务!$A:$A&amp;服务!$B:$B&amp;服务!$C:$C,服务!$D:$D))</f>
        <v/>
      </c>
    </row>
    <row r="386" customHeight="1" spans="1:26">
      <c r="A386" s="23" t="str">
        <f>IF(盘货信息!A386="","",盘货信息!A386)</f>
        <v/>
      </c>
      <c r="B386" s="26" t="str">
        <f>IF(盘货信息!B386="","",盘货信息!B386)</f>
        <v/>
      </c>
      <c r="C386" s="23" t="str">
        <f>IF(盘货信息!C386="","",盘货信息!C386)</f>
        <v/>
      </c>
      <c r="D386" s="27" t="str">
        <f ca="1" t="shared" si="5"/>
        <v/>
      </c>
      <c r="E386" s="27" t="str">
        <f>IF(C386="","",固定信息!$B$2)</f>
        <v/>
      </c>
      <c r="F386" s="27" t="str">
        <f>IF(C386="","","【"&amp;C386&amp;"】"&amp;固定信息!$B$4)</f>
        <v/>
      </c>
      <c r="G386" s="27" t="str">
        <f>IF(C386="","","【"&amp;"活动时间："&amp;固定信息!$B$3&amp;"】")</f>
        <v/>
      </c>
      <c r="H386" s="27" t="str">
        <f>IF($C386="","",固定信息!$B$1)</f>
        <v/>
      </c>
      <c r="I386" s="27" t="str">
        <f>IF(OR(C386="",固定信息!$B$5=""),"","【1元预约锁好礼】"&amp;固定信息!$B$5)</f>
        <v/>
      </c>
      <c r="J386" s="27" t="str" cm="1">
        <f t="array" ref="J386">_xlfn.XLOOKUP($A386&amp;$B386&amp;$C386,价格信息!$A:$A&amp;价格信息!$B:$B&amp;价格信息!$C:$C,价格信息!$D:$D)</f>
        <v/>
      </c>
      <c r="K386" s="27" t="str">
        <f>IF($C386="","",固定信息!$B$1)</f>
        <v/>
      </c>
      <c r="L386" s="27" t="str" cm="1">
        <f t="array" ref="L386">IF(_xlfn.XLOOKUP($A386&amp;$B386&amp;$C386,盘货信息!$A:$A&amp;盘货信息!$B:$B&amp;盘货信息!$C:$C,盘货信息!$T:$T)="","","【优惠券】领"&amp;_xlfn.XLOOKUP($A386&amp;$B386&amp;$C386,盘货信息!$A:$A&amp;盘货信息!$B:$B&amp;盘货信息!$C:$C,盘货信息!$T:$T)&amp;"元优惠卷下单更优惠，领券链接："&amp;_xlfn.XLOOKUP($A386&amp;$B386&amp;$C386,盘货信息!$A:$A&amp;盘货信息!$B:$B&amp;盘货信息!$C:$C,盘货信息!$U:$U))</f>
        <v/>
      </c>
      <c r="M386" s="27" t="str" cm="1">
        <f t="array" ref="M386">IF(_xlfn.XLOOKUP($A386&amp;$B386&amp;$C386,盘货信息!$A:$A&amp;盘货信息!$B:$B&amp;盘货信息!$C:$C,盘货信息!$P:$P)="","","【限时】"&amp;_xlfn.XLOOKUP($A386&amp;$B386&amp;$C386,盘货信息!$A:$A&amp;盘货信息!$B:$B&amp;盘货信息!$C:$C,盘货信息!$P:$P))</f>
        <v/>
      </c>
      <c r="N386" s="27" t="str" cm="1">
        <f t="array" ref="N386">IF(_xlfn.XLOOKUP($A386&amp;$B386&amp;$C386,盘货信息!$A:$A&amp;盘货信息!$B:$B&amp;盘货信息!$C:$C,盘货信息!$V:$V)="","","【"&amp;盘货信息!$V$1&amp;"】"&amp;_xlfn.XLOOKUP($A386&amp;$B386&amp;$C386,盘货信息!$A:$A&amp;盘货信息!$B:$B&amp;盘货信息!$C:$C,盘货信息!$V:$V))</f>
        <v/>
      </c>
      <c r="O386" s="27" t="str" cm="1">
        <f t="array" ref="O386">IF(_xlfn.XLOOKUP($A386&amp;$B386&amp;$C386,盘货信息!$A:$A&amp;盘货信息!$B:$B&amp;盘货信息!$C:$C,盘货信息!$W:$W)="","","【"&amp;盘货信息!$W$1&amp;"】"&amp;_xlfn.XLOOKUP($A386&amp;$B386&amp;$C386,盘货信息!$A:$A&amp;盘货信息!$B:$B&amp;盘货信息!$C:$C,盘货信息!$W:$W))</f>
        <v/>
      </c>
      <c r="P386" s="27" t="str" cm="1">
        <f t="array" ref="P386">IF(_xlfn.XLOOKUP($A386&amp;$B386&amp;$C386,盘货信息!$A:$A&amp;盘货信息!$B:$B&amp;盘货信息!$C:$C,盘货信息!$S:$S)&lt;1,"","【"&amp;盘货信息!$S$1&amp;"】"&amp;"后返"&amp;_xlfn.XLOOKUP($A386&amp;$B386&amp;$C386,盘货信息!$A:$A&amp;盘货信息!$B:$B&amp;盘货信息!$C:$C,盘货信息!$S:$S)&amp;"元")</f>
        <v/>
      </c>
      <c r="Q386" s="27" t="str" cm="1">
        <f t="array" ref="Q386">IF(_xlfn.XLOOKUP($A386&amp;$B386&amp;$C386,盘货信息!$A:$A&amp;盘货信息!$B:$B&amp;盘货信息!$C:$C,盘货信息!$X:$X)="","","【"&amp;盘货信息!$X$1&amp;"】"&amp;_xlfn.XLOOKUP($A386&amp;$B386&amp;$C386,盘货信息!$A:$A&amp;盘货信息!$B:$B&amp;盘货信息!$C:$C,盘货信息!$X:$X))</f>
        <v/>
      </c>
      <c r="R386" s="27" t="str" cm="1">
        <f t="array" ref="R386">IF(_xlfn.XLOOKUP($A386&amp;$B386&amp;$C386,盘货信息!$A:$A&amp;盘货信息!$B:$B&amp;盘货信息!$C:$C,盘货信息!$Z:$Z)="","","【"&amp;盘货信息!$Z$1&amp;"】"&amp;_xlfn.XLOOKUP($A386&amp;$B386&amp;$C386,盘货信息!$A:$A&amp;盘货信息!$B:$B&amp;盘货信息!$C:$C,盘货信息!$Z:$Z))</f>
        <v/>
      </c>
      <c r="S386" s="27" t="str" cm="1">
        <f t="array" ref="S386">IF(_xlfn.XLOOKUP($A386&amp;$B386&amp;$C386,盘货信息!$A:$A&amp;盘货信息!$B:$B&amp;盘货信息!$C:$C,盘货信息!$Q:$Q)="","","【种草】站外带指定话题种草后返"&amp;_xlfn.XLOOKUP($A386&amp;$B386&amp;$C386,盘货信息!$A:$A&amp;盘货信息!$B:$B&amp;盘货信息!$C:$C,盘货信息!$Q:$Q)&amp;"元红包（每个淘宝账号仅限对应一个站外种草账号，同一个种草账号不可对应多个淘宝账号）")</f>
        <v/>
      </c>
      <c r="T386" s="27" t="str" cm="1">
        <f t="array" ref="T386">IF(_xlfn.XLOOKUP($A386&amp;$B386&amp;$C386,盘货信息!$A:$A&amp;盘货信息!$B:$B&amp;盘货信息!$C:$C,盘货信息!$R:$R)&lt;1,"","【以旧换新】"&amp;"享补贴"&amp;ROUND(_xlfn.XLOOKUP($A386&amp;$B386&amp;$C386,盘货信息!$A:$A&amp;盘货信息!$B:$B&amp;盘货信息!$C:$C,盘货信息!$R:$R),0)&amp;"元（可无旧机换新）")</f>
        <v/>
      </c>
      <c r="U386" s="27" t="str">
        <f>IF(AND($N386="",$O386="",$P386="",$Q386="",$R386="",$S386="",$T386=""),"",固定信息!$B$1)</f>
        <v/>
      </c>
      <c r="V386" s="27" t="str" cm="1">
        <f t="array" ref="V386">IF(_xlfn.XLOOKUP($A386&amp;$B386&amp;$C386,盘货信息!$A:$A&amp;盘货信息!$B:$B&amp;盘货信息!$C:$C,盘货信息!$Y:$Y)="","","【卡萨帝送赠】活动指定时间"&amp;_xlfn.TEXTBEFORE(_xlfn.TEXTAFTER(_xlfn.XLOOKUP($A386&amp;$B386&amp;$C386,盘货信息!$A:$A&amp;盘货信息!$B:$B&amp;盘货信息!$C:$C,盘货信息!$Y:$Y),"点"),"（"))</f>
        <v/>
      </c>
      <c r="W386" s="27" t="str" cm="1">
        <f t="array" ref="W386">IF(COUNTIF(_xlfn.XLOOKUP($A386&amp;$B386&amp;$C386,盘货信息!$A:$A&amp;盘货信息!$B:$B&amp;盘货信息!$C:$C,盘货信息!$O:$O),"*是*"),"【折扣】指定型号满2类享96折，满3类享94折","")</f>
        <v/>
      </c>
      <c r="X386" s="27" t="str" cm="1">
        <f t="array" ref="X386">IF(固定信息!$B$7="","",IF(_xlfn.XLOOKUP($A386&amp;$B386&amp;$C386,盘货信息!$A:$A&amp;盘货信息!$B:$B&amp;盘货信息!$C:$C,盘货信息!$N:$N)="是","【瓜分】"&amp;固定信息!$B$7,""))</f>
        <v/>
      </c>
      <c r="Y386" s="27" t="str">
        <f>IF(AND($V386="",$W386="",$X386=""),"",固定信息!$B$1)</f>
        <v/>
      </c>
      <c r="Z386" s="27" t="str" cm="1">
        <f t="array" ref="Z386">IF($C386="","",_xlfn.XLOOKUP($A386&amp;$B386&amp;$C386,服务!$A:$A&amp;服务!$B:$B&amp;服务!$C:$C,服务!$D:$D))</f>
        <v/>
      </c>
    </row>
    <row r="387" customHeight="1" spans="1:26">
      <c r="A387" s="23" t="str">
        <f>IF(盘货信息!A387="","",盘货信息!A387)</f>
        <v/>
      </c>
      <c r="B387" s="26" t="str">
        <f>IF(盘货信息!B387="","",盘货信息!B387)</f>
        <v/>
      </c>
      <c r="C387" s="23" t="str">
        <f>IF(盘货信息!C387="","",盘货信息!C387)</f>
        <v/>
      </c>
      <c r="D387" s="27" t="str">
        <f ca="1" t="shared" ref="D387:D450" si="6">_xlfn.TEXTJOIN(CHAR(10),TRUE,OFFSET(INDIRECT("RC",FALSE),0,1,1,30))</f>
        <v/>
      </c>
      <c r="E387" s="27" t="str">
        <f>IF(C387="","",固定信息!$B$2)</f>
        <v/>
      </c>
      <c r="F387" s="27" t="str">
        <f>IF(C387="","","【"&amp;C387&amp;"】"&amp;固定信息!$B$4)</f>
        <v/>
      </c>
      <c r="G387" s="27" t="str">
        <f>IF(C387="","","【"&amp;"活动时间："&amp;固定信息!$B$3&amp;"】")</f>
        <v/>
      </c>
      <c r="H387" s="27" t="str">
        <f>IF($C387="","",固定信息!$B$1)</f>
        <v/>
      </c>
      <c r="I387" s="27" t="str">
        <f>IF(OR(C387="",固定信息!$B$5=""),"","【1元预约锁好礼】"&amp;固定信息!$B$5)</f>
        <v/>
      </c>
      <c r="J387" s="27" t="str" cm="1">
        <f t="array" ref="J387">_xlfn.XLOOKUP($A387&amp;$B387&amp;$C387,价格信息!$A:$A&amp;价格信息!$B:$B&amp;价格信息!$C:$C,价格信息!$D:$D)</f>
        <v/>
      </c>
      <c r="K387" s="27" t="str">
        <f>IF($C387="","",固定信息!$B$1)</f>
        <v/>
      </c>
      <c r="L387" s="27" t="str" cm="1">
        <f t="array" ref="L387">IF(_xlfn.XLOOKUP($A387&amp;$B387&amp;$C387,盘货信息!$A:$A&amp;盘货信息!$B:$B&amp;盘货信息!$C:$C,盘货信息!$T:$T)="","","【优惠券】领"&amp;_xlfn.XLOOKUP($A387&amp;$B387&amp;$C387,盘货信息!$A:$A&amp;盘货信息!$B:$B&amp;盘货信息!$C:$C,盘货信息!$T:$T)&amp;"元优惠卷下单更优惠，领券链接："&amp;_xlfn.XLOOKUP($A387&amp;$B387&amp;$C387,盘货信息!$A:$A&amp;盘货信息!$B:$B&amp;盘货信息!$C:$C,盘货信息!$U:$U))</f>
        <v/>
      </c>
      <c r="M387" s="27" t="str" cm="1">
        <f t="array" ref="M387">IF(_xlfn.XLOOKUP($A387&amp;$B387&amp;$C387,盘货信息!$A:$A&amp;盘货信息!$B:$B&amp;盘货信息!$C:$C,盘货信息!$P:$P)="","","【限时】"&amp;_xlfn.XLOOKUP($A387&amp;$B387&amp;$C387,盘货信息!$A:$A&amp;盘货信息!$B:$B&amp;盘货信息!$C:$C,盘货信息!$P:$P))</f>
        <v/>
      </c>
      <c r="N387" s="27" t="str" cm="1">
        <f t="array" ref="N387">IF(_xlfn.XLOOKUP($A387&amp;$B387&amp;$C387,盘货信息!$A:$A&amp;盘货信息!$B:$B&amp;盘货信息!$C:$C,盘货信息!$V:$V)="","","【"&amp;盘货信息!$V$1&amp;"】"&amp;_xlfn.XLOOKUP($A387&amp;$B387&amp;$C387,盘货信息!$A:$A&amp;盘货信息!$B:$B&amp;盘货信息!$C:$C,盘货信息!$V:$V))</f>
        <v/>
      </c>
      <c r="O387" s="27" t="str" cm="1">
        <f t="array" ref="O387">IF(_xlfn.XLOOKUP($A387&amp;$B387&amp;$C387,盘货信息!$A:$A&amp;盘货信息!$B:$B&amp;盘货信息!$C:$C,盘货信息!$W:$W)="","","【"&amp;盘货信息!$W$1&amp;"】"&amp;_xlfn.XLOOKUP($A387&amp;$B387&amp;$C387,盘货信息!$A:$A&amp;盘货信息!$B:$B&amp;盘货信息!$C:$C,盘货信息!$W:$W))</f>
        <v/>
      </c>
      <c r="P387" s="27" t="str" cm="1">
        <f t="array" ref="P387">IF(_xlfn.XLOOKUP($A387&amp;$B387&amp;$C387,盘货信息!$A:$A&amp;盘货信息!$B:$B&amp;盘货信息!$C:$C,盘货信息!$S:$S)&lt;1,"","【"&amp;盘货信息!$S$1&amp;"】"&amp;"后返"&amp;_xlfn.XLOOKUP($A387&amp;$B387&amp;$C387,盘货信息!$A:$A&amp;盘货信息!$B:$B&amp;盘货信息!$C:$C,盘货信息!$S:$S)&amp;"元")</f>
        <v/>
      </c>
      <c r="Q387" s="27" t="str" cm="1">
        <f t="array" ref="Q387">IF(_xlfn.XLOOKUP($A387&amp;$B387&amp;$C387,盘货信息!$A:$A&amp;盘货信息!$B:$B&amp;盘货信息!$C:$C,盘货信息!$X:$X)="","","【"&amp;盘货信息!$X$1&amp;"】"&amp;_xlfn.XLOOKUP($A387&amp;$B387&amp;$C387,盘货信息!$A:$A&amp;盘货信息!$B:$B&amp;盘货信息!$C:$C,盘货信息!$X:$X))</f>
        <v/>
      </c>
      <c r="R387" s="27" t="str" cm="1">
        <f t="array" ref="R387">IF(_xlfn.XLOOKUP($A387&amp;$B387&amp;$C387,盘货信息!$A:$A&amp;盘货信息!$B:$B&amp;盘货信息!$C:$C,盘货信息!$Z:$Z)="","","【"&amp;盘货信息!$Z$1&amp;"】"&amp;_xlfn.XLOOKUP($A387&amp;$B387&amp;$C387,盘货信息!$A:$A&amp;盘货信息!$B:$B&amp;盘货信息!$C:$C,盘货信息!$Z:$Z))</f>
        <v/>
      </c>
      <c r="S387" s="27" t="str" cm="1">
        <f t="array" ref="S387">IF(_xlfn.XLOOKUP($A387&amp;$B387&amp;$C387,盘货信息!$A:$A&amp;盘货信息!$B:$B&amp;盘货信息!$C:$C,盘货信息!$Q:$Q)="","","【种草】站外带指定话题种草后返"&amp;_xlfn.XLOOKUP($A387&amp;$B387&amp;$C387,盘货信息!$A:$A&amp;盘货信息!$B:$B&amp;盘货信息!$C:$C,盘货信息!$Q:$Q)&amp;"元红包（每个淘宝账号仅限对应一个站外种草账号，同一个种草账号不可对应多个淘宝账号）")</f>
        <v/>
      </c>
      <c r="T387" s="27" t="str" cm="1">
        <f t="array" ref="T387">IF(_xlfn.XLOOKUP($A387&amp;$B387&amp;$C387,盘货信息!$A:$A&amp;盘货信息!$B:$B&amp;盘货信息!$C:$C,盘货信息!$R:$R)&lt;1,"","【以旧换新】"&amp;"享补贴"&amp;ROUND(_xlfn.XLOOKUP($A387&amp;$B387&amp;$C387,盘货信息!$A:$A&amp;盘货信息!$B:$B&amp;盘货信息!$C:$C,盘货信息!$R:$R),0)&amp;"元（可无旧机换新）")</f>
        <v/>
      </c>
      <c r="U387" s="27" t="str">
        <f>IF(AND($N387="",$O387="",$P387="",$Q387="",$R387="",$S387="",$T387=""),"",固定信息!$B$1)</f>
        <v/>
      </c>
      <c r="V387" s="27" t="str" cm="1">
        <f t="array" ref="V387">IF(_xlfn.XLOOKUP($A387&amp;$B387&amp;$C387,盘货信息!$A:$A&amp;盘货信息!$B:$B&amp;盘货信息!$C:$C,盘货信息!$Y:$Y)="","","【卡萨帝送赠】活动指定时间"&amp;_xlfn.TEXTBEFORE(_xlfn.TEXTAFTER(_xlfn.XLOOKUP($A387&amp;$B387&amp;$C387,盘货信息!$A:$A&amp;盘货信息!$B:$B&amp;盘货信息!$C:$C,盘货信息!$Y:$Y),"点"),"（"))</f>
        <v/>
      </c>
      <c r="W387" s="27" t="str" cm="1">
        <f t="array" ref="W387">IF(COUNTIF(_xlfn.XLOOKUP($A387&amp;$B387&amp;$C387,盘货信息!$A:$A&amp;盘货信息!$B:$B&amp;盘货信息!$C:$C,盘货信息!$O:$O),"*是*"),"【折扣】指定型号满2类享96折，满3类享94折","")</f>
        <v/>
      </c>
      <c r="X387" s="27" t="str" cm="1">
        <f t="array" ref="X387">IF(固定信息!$B$7="","",IF(_xlfn.XLOOKUP($A387&amp;$B387&amp;$C387,盘货信息!$A:$A&amp;盘货信息!$B:$B&amp;盘货信息!$C:$C,盘货信息!$N:$N)="是","【瓜分】"&amp;固定信息!$B$7,""))</f>
        <v/>
      </c>
      <c r="Y387" s="27" t="str">
        <f>IF(AND($V387="",$W387="",$X387=""),"",固定信息!$B$1)</f>
        <v/>
      </c>
      <c r="Z387" s="27" t="str" cm="1">
        <f t="array" ref="Z387">IF($C387="","",_xlfn.XLOOKUP($A387&amp;$B387&amp;$C387,服务!$A:$A&amp;服务!$B:$B&amp;服务!$C:$C,服务!$D:$D))</f>
        <v/>
      </c>
    </row>
    <row r="388" customHeight="1" spans="1:26">
      <c r="A388" s="23" t="str">
        <f>IF(盘货信息!A388="","",盘货信息!A388)</f>
        <v/>
      </c>
      <c r="B388" s="26" t="str">
        <f>IF(盘货信息!B388="","",盘货信息!B388)</f>
        <v/>
      </c>
      <c r="C388" s="23" t="str">
        <f>IF(盘货信息!C388="","",盘货信息!C388)</f>
        <v/>
      </c>
      <c r="D388" s="27" t="str">
        <f ca="1" t="shared" si="6"/>
        <v/>
      </c>
      <c r="E388" s="27" t="str">
        <f>IF(C388="","",固定信息!$B$2)</f>
        <v/>
      </c>
      <c r="F388" s="27" t="str">
        <f>IF(C388="","","【"&amp;C388&amp;"】"&amp;固定信息!$B$4)</f>
        <v/>
      </c>
      <c r="G388" s="27" t="str">
        <f>IF(C388="","","【"&amp;"活动时间："&amp;固定信息!$B$3&amp;"】")</f>
        <v/>
      </c>
      <c r="H388" s="27" t="str">
        <f>IF($C388="","",固定信息!$B$1)</f>
        <v/>
      </c>
      <c r="I388" s="27" t="str">
        <f>IF(OR(C388="",固定信息!$B$5=""),"","【1元预约锁好礼】"&amp;固定信息!$B$5)</f>
        <v/>
      </c>
      <c r="J388" s="27" t="str" cm="1">
        <f t="array" ref="J388">_xlfn.XLOOKUP($A388&amp;$B388&amp;$C388,价格信息!$A:$A&amp;价格信息!$B:$B&amp;价格信息!$C:$C,价格信息!$D:$D)</f>
        <v/>
      </c>
      <c r="K388" s="27" t="str">
        <f>IF($C388="","",固定信息!$B$1)</f>
        <v/>
      </c>
      <c r="L388" s="27" t="str" cm="1">
        <f t="array" ref="L388">IF(_xlfn.XLOOKUP($A388&amp;$B388&amp;$C388,盘货信息!$A:$A&amp;盘货信息!$B:$B&amp;盘货信息!$C:$C,盘货信息!$T:$T)="","","【优惠券】领"&amp;_xlfn.XLOOKUP($A388&amp;$B388&amp;$C388,盘货信息!$A:$A&amp;盘货信息!$B:$B&amp;盘货信息!$C:$C,盘货信息!$T:$T)&amp;"元优惠卷下单更优惠，领券链接："&amp;_xlfn.XLOOKUP($A388&amp;$B388&amp;$C388,盘货信息!$A:$A&amp;盘货信息!$B:$B&amp;盘货信息!$C:$C,盘货信息!$U:$U))</f>
        <v/>
      </c>
      <c r="M388" s="27" t="str" cm="1">
        <f t="array" ref="M388">IF(_xlfn.XLOOKUP($A388&amp;$B388&amp;$C388,盘货信息!$A:$A&amp;盘货信息!$B:$B&amp;盘货信息!$C:$C,盘货信息!$P:$P)="","","【限时】"&amp;_xlfn.XLOOKUP($A388&amp;$B388&amp;$C388,盘货信息!$A:$A&amp;盘货信息!$B:$B&amp;盘货信息!$C:$C,盘货信息!$P:$P))</f>
        <v/>
      </c>
      <c r="N388" s="27" t="str" cm="1">
        <f t="array" ref="N388">IF(_xlfn.XLOOKUP($A388&amp;$B388&amp;$C388,盘货信息!$A:$A&amp;盘货信息!$B:$B&amp;盘货信息!$C:$C,盘货信息!$V:$V)="","","【"&amp;盘货信息!$V$1&amp;"】"&amp;_xlfn.XLOOKUP($A388&amp;$B388&amp;$C388,盘货信息!$A:$A&amp;盘货信息!$B:$B&amp;盘货信息!$C:$C,盘货信息!$V:$V))</f>
        <v/>
      </c>
      <c r="O388" s="27" t="str" cm="1">
        <f t="array" ref="O388">IF(_xlfn.XLOOKUP($A388&amp;$B388&amp;$C388,盘货信息!$A:$A&amp;盘货信息!$B:$B&amp;盘货信息!$C:$C,盘货信息!$W:$W)="","","【"&amp;盘货信息!$W$1&amp;"】"&amp;_xlfn.XLOOKUP($A388&amp;$B388&amp;$C388,盘货信息!$A:$A&amp;盘货信息!$B:$B&amp;盘货信息!$C:$C,盘货信息!$W:$W))</f>
        <v/>
      </c>
      <c r="P388" s="27" t="str" cm="1">
        <f t="array" ref="P388">IF(_xlfn.XLOOKUP($A388&amp;$B388&amp;$C388,盘货信息!$A:$A&amp;盘货信息!$B:$B&amp;盘货信息!$C:$C,盘货信息!$S:$S)&lt;1,"","【"&amp;盘货信息!$S$1&amp;"】"&amp;"后返"&amp;_xlfn.XLOOKUP($A388&amp;$B388&amp;$C388,盘货信息!$A:$A&amp;盘货信息!$B:$B&amp;盘货信息!$C:$C,盘货信息!$S:$S)&amp;"元")</f>
        <v/>
      </c>
      <c r="Q388" s="27" t="str" cm="1">
        <f t="array" ref="Q388">IF(_xlfn.XLOOKUP($A388&amp;$B388&amp;$C388,盘货信息!$A:$A&amp;盘货信息!$B:$B&amp;盘货信息!$C:$C,盘货信息!$X:$X)="","","【"&amp;盘货信息!$X$1&amp;"】"&amp;_xlfn.XLOOKUP($A388&amp;$B388&amp;$C388,盘货信息!$A:$A&amp;盘货信息!$B:$B&amp;盘货信息!$C:$C,盘货信息!$X:$X))</f>
        <v/>
      </c>
      <c r="R388" s="27" t="str" cm="1">
        <f t="array" ref="R388">IF(_xlfn.XLOOKUP($A388&amp;$B388&amp;$C388,盘货信息!$A:$A&amp;盘货信息!$B:$B&amp;盘货信息!$C:$C,盘货信息!$Z:$Z)="","","【"&amp;盘货信息!$Z$1&amp;"】"&amp;_xlfn.XLOOKUP($A388&amp;$B388&amp;$C388,盘货信息!$A:$A&amp;盘货信息!$B:$B&amp;盘货信息!$C:$C,盘货信息!$Z:$Z))</f>
        <v/>
      </c>
      <c r="S388" s="27" t="str" cm="1">
        <f t="array" ref="S388">IF(_xlfn.XLOOKUP($A388&amp;$B388&amp;$C388,盘货信息!$A:$A&amp;盘货信息!$B:$B&amp;盘货信息!$C:$C,盘货信息!$Q:$Q)="","","【种草】站外带指定话题种草后返"&amp;_xlfn.XLOOKUP($A388&amp;$B388&amp;$C388,盘货信息!$A:$A&amp;盘货信息!$B:$B&amp;盘货信息!$C:$C,盘货信息!$Q:$Q)&amp;"元红包（每个淘宝账号仅限对应一个站外种草账号，同一个种草账号不可对应多个淘宝账号）")</f>
        <v/>
      </c>
      <c r="T388" s="27" t="str" cm="1">
        <f t="array" ref="T388">IF(_xlfn.XLOOKUP($A388&amp;$B388&amp;$C388,盘货信息!$A:$A&amp;盘货信息!$B:$B&amp;盘货信息!$C:$C,盘货信息!$R:$R)&lt;1,"","【以旧换新】"&amp;"享补贴"&amp;ROUND(_xlfn.XLOOKUP($A388&amp;$B388&amp;$C388,盘货信息!$A:$A&amp;盘货信息!$B:$B&amp;盘货信息!$C:$C,盘货信息!$R:$R),0)&amp;"元（可无旧机换新）")</f>
        <v/>
      </c>
      <c r="U388" s="27" t="str">
        <f>IF(AND($N388="",$O388="",$P388="",$Q388="",$R388="",$S388="",$T388=""),"",固定信息!$B$1)</f>
        <v/>
      </c>
      <c r="V388" s="27" t="str" cm="1">
        <f t="array" ref="V388">IF(_xlfn.XLOOKUP($A388&amp;$B388&amp;$C388,盘货信息!$A:$A&amp;盘货信息!$B:$B&amp;盘货信息!$C:$C,盘货信息!$Y:$Y)="","","【卡萨帝送赠】活动指定时间"&amp;_xlfn.TEXTBEFORE(_xlfn.TEXTAFTER(_xlfn.XLOOKUP($A388&amp;$B388&amp;$C388,盘货信息!$A:$A&amp;盘货信息!$B:$B&amp;盘货信息!$C:$C,盘货信息!$Y:$Y),"点"),"（"))</f>
        <v/>
      </c>
      <c r="W388" s="27" t="str" cm="1">
        <f t="array" ref="W388">IF(COUNTIF(_xlfn.XLOOKUP($A388&amp;$B388&amp;$C388,盘货信息!$A:$A&amp;盘货信息!$B:$B&amp;盘货信息!$C:$C,盘货信息!$O:$O),"*是*"),"【折扣】指定型号满2类享96折，满3类享94折","")</f>
        <v/>
      </c>
      <c r="X388" s="27" t="str" cm="1">
        <f t="array" ref="X388">IF(固定信息!$B$7="","",IF(_xlfn.XLOOKUP($A388&amp;$B388&amp;$C388,盘货信息!$A:$A&amp;盘货信息!$B:$B&amp;盘货信息!$C:$C,盘货信息!$N:$N)="是","【瓜分】"&amp;固定信息!$B$7,""))</f>
        <v/>
      </c>
      <c r="Y388" s="27" t="str">
        <f>IF(AND($V388="",$W388="",$X388=""),"",固定信息!$B$1)</f>
        <v/>
      </c>
      <c r="Z388" s="27" t="str" cm="1">
        <f t="array" ref="Z388">IF($C388="","",_xlfn.XLOOKUP($A388&amp;$B388&amp;$C388,服务!$A:$A&amp;服务!$B:$B&amp;服务!$C:$C,服务!$D:$D))</f>
        <v/>
      </c>
    </row>
    <row r="389" customHeight="1" spans="1:26">
      <c r="A389" s="23" t="str">
        <f>IF(盘货信息!A389="","",盘货信息!A389)</f>
        <v/>
      </c>
      <c r="B389" s="26" t="str">
        <f>IF(盘货信息!B389="","",盘货信息!B389)</f>
        <v/>
      </c>
      <c r="C389" s="23" t="str">
        <f>IF(盘货信息!C389="","",盘货信息!C389)</f>
        <v/>
      </c>
      <c r="D389" s="27" t="str">
        <f ca="1" t="shared" si="6"/>
        <v/>
      </c>
      <c r="E389" s="27" t="str">
        <f>IF(C389="","",固定信息!$B$2)</f>
        <v/>
      </c>
      <c r="F389" s="27" t="str">
        <f>IF(C389="","","【"&amp;C389&amp;"】"&amp;固定信息!$B$4)</f>
        <v/>
      </c>
      <c r="G389" s="27" t="str">
        <f>IF(C389="","","【"&amp;"活动时间："&amp;固定信息!$B$3&amp;"】")</f>
        <v/>
      </c>
      <c r="H389" s="27" t="str">
        <f>IF($C389="","",固定信息!$B$1)</f>
        <v/>
      </c>
      <c r="I389" s="27" t="str">
        <f>IF(OR(C389="",固定信息!$B$5=""),"","【1元预约锁好礼】"&amp;固定信息!$B$5)</f>
        <v/>
      </c>
      <c r="J389" s="27" t="str" cm="1">
        <f t="array" ref="J389">_xlfn.XLOOKUP($A389&amp;$B389&amp;$C389,价格信息!$A:$A&amp;价格信息!$B:$B&amp;价格信息!$C:$C,价格信息!$D:$D)</f>
        <v/>
      </c>
      <c r="K389" s="27" t="str">
        <f>IF($C389="","",固定信息!$B$1)</f>
        <v/>
      </c>
      <c r="L389" s="27" t="str" cm="1">
        <f t="array" ref="L389">IF(_xlfn.XLOOKUP($A389&amp;$B389&amp;$C389,盘货信息!$A:$A&amp;盘货信息!$B:$B&amp;盘货信息!$C:$C,盘货信息!$T:$T)="","","【优惠券】领"&amp;_xlfn.XLOOKUP($A389&amp;$B389&amp;$C389,盘货信息!$A:$A&amp;盘货信息!$B:$B&amp;盘货信息!$C:$C,盘货信息!$T:$T)&amp;"元优惠卷下单更优惠，领券链接："&amp;_xlfn.XLOOKUP($A389&amp;$B389&amp;$C389,盘货信息!$A:$A&amp;盘货信息!$B:$B&amp;盘货信息!$C:$C,盘货信息!$U:$U))</f>
        <v/>
      </c>
      <c r="M389" s="27" t="str" cm="1">
        <f t="array" ref="M389">IF(_xlfn.XLOOKUP($A389&amp;$B389&amp;$C389,盘货信息!$A:$A&amp;盘货信息!$B:$B&amp;盘货信息!$C:$C,盘货信息!$P:$P)="","","【限时】"&amp;_xlfn.XLOOKUP($A389&amp;$B389&amp;$C389,盘货信息!$A:$A&amp;盘货信息!$B:$B&amp;盘货信息!$C:$C,盘货信息!$P:$P))</f>
        <v/>
      </c>
      <c r="N389" s="27" t="str" cm="1">
        <f t="array" ref="N389">IF(_xlfn.XLOOKUP($A389&amp;$B389&amp;$C389,盘货信息!$A:$A&amp;盘货信息!$B:$B&amp;盘货信息!$C:$C,盘货信息!$V:$V)="","","【"&amp;盘货信息!$V$1&amp;"】"&amp;_xlfn.XLOOKUP($A389&amp;$B389&amp;$C389,盘货信息!$A:$A&amp;盘货信息!$B:$B&amp;盘货信息!$C:$C,盘货信息!$V:$V))</f>
        <v/>
      </c>
      <c r="O389" s="27" t="str" cm="1">
        <f t="array" ref="O389">IF(_xlfn.XLOOKUP($A389&amp;$B389&amp;$C389,盘货信息!$A:$A&amp;盘货信息!$B:$B&amp;盘货信息!$C:$C,盘货信息!$W:$W)="","","【"&amp;盘货信息!$W$1&amp;"】"&amp;_xlfn.XLOOKUP($A389&amp;$B389&amp;$C389,盘货信息!$A:$A&amp;盘货信息!$B:$B&amp;盘货信息!$C:$C,盘货信息!$W:$W))</f>
        <v/>
      </c>
      <c r="P389" s="27" t="str" cm="1">
        <f t="array" ref="P389">IF(_xlfn.XLOOKUP($A389&amp;$B389&amp;$C389,盘货信息!$A:$A&amp;盘货信息!$B:$B&amp;盘货信息!$C:$C,盘货信息!$S:$S)&lt;1,"","【"&amp;盘货信息!$S$1&amp;"】"&amp;"后返"&amp;_xlfn.XLOOKUP($A389&amp;$B389&amp;$C389,盘货信息!$A:$A&amp;盘货信息!$B:$B&amp;盘货信息!$C:$C,盘货信息!$S:$S)&amp;"元")</f>
        <v/>
      </c>
      <c r="Q389" s="27" t="str" cm="1">
        <f t="array" ref="Q389">IF(_xlfn.XLOOKUP($A389&amp;$B389&amp;$C389,盘货信息!$A:$A&amp;盘货信息!$B:$B&amp;盘货信息!$C:$C,盘货信息!$X:$X)="","","【"&amp;盘货信息!$X$1&amp;"】"&amp;_xlfn.XLOOKUP($A389&amp;$B389&amp;$C389,盘货信息!$A:$A&amp;盘货信息!$B:$B&amp;盘货信息!$C:$C,盘货信息!$X:$X))</f>
        <v/>
      </c>
      <c r="R389" s="27" t="str" cm="1">
        <f t="array" ref="R389">IF(_xlfn.XLOOKUP($A389&amp;$B389&amp;$C389,盘货信息!$A:$A&amp;盘货信息!$B:$B&amp;盘货信息!$C:$C,盘货信息!$Z:$Z)="","","【"&amp;盘货信息!$Z$1&amp;"】"&amp;_xlfn.XLOOKUP($A389&amp;$B389&amp;$C389,盘货信息!$A:$A&amp;盘货信息!$B:$B&amp;盘货信息!$C:$C,盘货信息!$Z:$Z))</f>
        <v/>
      </c>
      <c r="S389" s="27" t="str" cm="1">
        <f t="array" ref="S389">IF(_xlfn.XLOOKUP($A389&amp;$B389&amp;$C389,盘货信息!$A:$A&amp;盘货信息!$B:$B&amp;盘货信息!$C:$C,盘货信息!$Q:$Q)="","","【种草】站外带指定话题种草后返"&amp;_xlfn.XLOOKUP($A389&amp;$B389&amp;$C389,盘货信息!$A:$A&amp;盘货信息!$B:$B&amp;盘货信息!$C:$C,盘货信息!$Q:$Q)&amp;"元红包（每个淘宝账号仅限对应一个站外种草账号，同一个种草账号不可对应多个淘宝账号）")</f>
        <v/>
      </c>
      <c r="T389" s="27" t="str" cm="1">
        <f t="array" ref="T389">IF(_xlfn.XLOOKUP($A389&amp;$B389&amp;$C389,盘货信息!$A:$A&amp;盘货信息!$B:$B&amp;盘货信息!$C:$C,盘货信息!$R:$R)&lt;1,"","【以旧换新】"&amp;"享补贴"&amp;ROUND(_xlfn.XLOOKUP($A389&amp;$B389&amp;$C389,盘货信息!$A:$A&amp;盘货信息!$B:$B&amp;盘货信息!$C:$C,盘货信息!$R:$R),0)&amp;"元（可无旧机换新）")</f>
        <v/>
      </c>
      <c r="U389" s="27" t="str">
        <f>IF(AND($N389="",$O389="",$P389="",$Q389="",$R389="",$S389="",$T389=""),"",固定信息!$B$1)</f>
        <v/>
      </c>
      <c r="V389" s="27" t="str" cm="1">
        <f t="array" ref="V389">IF(_xlfn.XLOOKUP($A389&amp;$B389&amp;$C389,盘货信息!$A:$A&amp;盘货信息!$B:$B&amp;盘货信息!$C:$C,盘货信息!$Y:$Y)="","","【卡萨帝送赠】活动指定时间"&amp;_xlfn.TEXTBEFORE(_xlfn.TEXTAFTER(_xlfn.XLOOKUP($A389&amp;$B389&amp;$C389,盘货信息!$A:$A&amp;盘货信息!$B:$B&amp;盘货信息!$C:$C,盘货信息!$Y:$Y),"点"),"（"))</f>
        <v/>
      </c>
      <c r="W389" s="27" t="str" cm="1">
        <f t="array" ref="W389">IF(COUNTIF(_xlfn.XLOOKUP($A389&amp;$B389&amp;$C389,盘货信息!$A:$A&amp;盘货信息!$B:$B&amp;盘货信息!$C:$C,盘货信息!$O:$O),"*是*"),"【折扣】指定型号满2类享96折，满3类享94折","")</f>
        <v/>
      </c>
      <c r="X389" s="27" t="str" cm="1">
        <f t="array" ref="X389">IF(固定信息!$B$7="","",IF(_xlfn.XLOOKUP($A389&amp;$B389&amp;$C389,盘货信息!$A:$A&amp;盘货信息!$B:$B&amp;盘货信息!$C:$C,盘货信息!$N:$N)="是","【瓜分】"&amp;固定信息!$B$7,""))</f>
        <v/>
      </c>
      <c r="Y389" s="27" t="str">
        <f>IF(AND($V389="",$W389="",$X389=""),"",固定信息!$B$1)</f>
        <v/>
      </c>
      <c r="Z389" s="27" t="str" cm="1">
        <f t="array" ref="Z389">IF($C389="","",_xlfn.XLOOKUP($A389&amp;$B389&amp;$C389,服务!$A:$A&amp;服务!$B:$B&amp;服务!$C:$C,服务!$D:$D))</f>
        <v/>
      </c>
    </row>
    <row r="390" customHeight="1" spans="1:26">
      <c r="A390" s="23" t="str">
        <f>IF(盘货信息!A390="","",盘货信息!A390)</f>
        <v/>
      </c>
      <c r="B390" s="26" t="str">
        <f>IF(盘货信息!B390="","",盘货信息!B390)</f>
        <v/>
      </c>
      <c r="C390" s="23" t="str">
        <f>IF(盘货信息!C390="","",盘货信息!C390)</f>
        <v/>
      </c>
      <c r="D390" s="27" t="str">
        <f ca="1" t="shared" si="6"/>
        <v/>
      </c>
      <c r="E390" s="27" t="str">
        <f>IF(C390="","",固定信息!$B$2)</f>
        <v/>
      </c>
      <c r="F390" s="27" t="str">
        <f>IF(C390="","","【"&amp;C390&amp;"】"&amp;固定信息!$B$4)</f>
        <v/>
      </c>
      <c r="G390" s="27" t="str">
        <f>IF(C390="","","【"&amp;"活动时间："&amp;固定信息!$B$3&amp;"】")</f>
        <v/>
      </c>
      <c r="H390" s="27" t="str">
        <f>IF($C390="","",固定信息!$B$1)</f>
        <v/>
      </c>
      <c r="I390" s="27" t="str">
        <f>IF(OR(C390="",固定信息!$B$5=""),"","【1元预约锁好礼】"&amp;固定信息!$B$5)</f>
        <v/>
      </c>
      <c r="J390" s="27" t="str" cm="1">
        <f t="array" ref="J390">_xlfn.XLOOKUP($A390&amp;$B390&amp;$C390,价格信息!$A:$A&amp;价格信息!$B:$B&amp;价格信息!$C:$C,价格信息!$D:$D)</f>
        <v/>
      </c>
      <c r="K390" s="27" t="str">
        <f>IF($C390="","",固定信息!$B$1)</f>
        <v/>
      </c>
      <c r="L390" s="27" t="str" cm="1">
        <f t="array" ref="L390">IF(_xlfn.XLOOKUP($A390&amp;$B390&amp;$C390,盘货信息!$A:$A&amp;盘货信息!$B:$B&amp;盘货信息!$C:$C,盘货信息!$T:$T)="","","【优惠券】领"&amp;_xlfn.XLOOKUP($A390&amp;$B390&amp;$C390,盘货信息!$A:$A&amp;盘货信息!$B:$B&amp;盘货信息!$C:$C,盘货信息!$T:$T)&amp;"元优惠卷下单更优惠，领券链接："&amp;_xlfn.XLOOKUP($A390&amp;$B390&amp;$C390,盘货信息!$A:$A&amp;盘货信息!$B:$B&amp;盘货信息!$C:$C,盘货信息!$U:$U))</f>
        <v/>
      </c>
      <c r="M390" s="27" t="str" cm="1">
        <f t="array" ref="M390">IF(_xlfn.XLOOKUP($A390&amp;$B390&amp;$C390,盘货信息!$A:$A&amp;盘货信息!$B:$B&amp;盘货信息!$C:$C,盘货信息!$P:$P)="","","【限时】"&amp;_xlfn.XLOOKUP($A390&amp;$B390&amp;$C390,盘货信息!$A:$A&amp;盘货信息!$B:$B&amp;盘货信息!$C:$C,盘货信息!$P:$P))</f>
        <v/>
      </c>
      <c r="N390" s="27" t="str" cm="1">
        <f t="array" ref="N390">IF(_xlfn.XLOOKUP($A390&amp;$B390&amp;$C390,盘货信息!$A:$A&amp;盘货信息!$B:$B&amp;盘货信息!$C:$C,盘货信息!$V:$V)="","","【"&amp;盘货信息!$V$1&amp;"】"&amp;_xlfn.XLOOKUP($A390&amp;$B390&amp;$C390,盘货信息!$A:$A&amp;盘货信息!$B:$B&amp;盘货信息!$C:$C,盘货信息!$V:$V))</f>
        <v/>
      </c>
      <c r="O390" s="27" t="str" cm="1">
        <f t="array" ref="O390">IF(_xlfn.XLOOKUP($A390&amp;$B390&amp;$C390,盘货信息!$A:$A&amp;盘货信息!$B:$B&amp;盘货信息!$C:$C,盘货信息!$W:$W)="","","【"&amp;盘货信息!$W$1&amp;"】"&amp;_xlfn.XLOOKUP($A390&amp;$B390&amp;$C390,盘货信息!$A:$A&amp;盘货信息!$B:$B&amp;盘货信息!$C:$C,盘货信息!$W:$W))</f>
        <v/>
      </c>
      <c r="P390" s="27" t="str" cm="1">
        <f t="array" ref="P390">IF(_xlfn.XLOOKUP($A390&amp;$B390&amp;$C390,盘货信息!$A:$A&amp;盘货信息!$B:$B&amp;盘货信息!$C:$C,盘货信息!$S:$S)&lt;1,"","【"&amp;盘货信息!$S$1&amp;"】"&amp;"后返"&amp;_xlfn.XLOOKUP($A390&amp;$B390&amp;$C390,盘货信息!$A:$A&amp;盘货信息!$B:$B&amp;盘货信息!$C:$C,盘货信息!$S:$S)&amp;"元")</f>
        <v/>
      </c>
      <c r="Q390" s="27" t="str" cm="1">
        <f t="array" ref="Q390">IF(_xlfn.XLOOKUP($A390&amp;$B390&amp;$C390,盘货信息!$A:$A&amp;盘货信息!$B:$B&amp;盘货信息!$C:$C,盘货信息!$X:$X)="","","【"&amp;盘货信息!$X$1&amp;"】"&amp;_xlfn.XLOOKUP($A390&amp;$B390&amp;$C390,盘货信息!$A:$A&amp;盘货信息!$B:$B&amp;盘货信息!$C:$C,盘货信息!$X:$X))</f>
        <v/>
      </c>
      <c r="R390" s="27" t="str" cm="1">
        <f t="array" ref="R390">IF(_xlfn.XLOOKUP($A390&amp;$B390&amp;$C390,盘货信息!$A:$A&amp;盘货信息!$B:$B&amp;盘货信息!$C:$C,盘货信息!$Z:$Z)="","","【"&amp;盘货信息!$Z$1&amp;"】"&amp;_xlfn.XLOOKUP($A390&amp;$B390&amp;$C390,盘货信息!$A:$A&amp;盘货信息!$B:$B&amp;盘货信息!$C:$C,盘货信息!$Z:$Z))</f>
        <v/>
      </c>
      <c r="S390" s="27" t="str" cm="1">
        <f t="array" ref="S390">IF(_xlfn.XLOOKUP($A390&amp;$B390&amp;$C390,盘货信息!$A:$A&amp;盘货信息!$B:$B&amp;盘货信息!$C:$C,盘货信息!$Q:$Q)="","","【种草】站外带指定话题种草后返"&amp;_xlfn.XLOOKUP($A390&amp;$B390&amp;$C390,盘货信息!$A:$A&amp;盘货信息!$B:$B&amp;盘货信息!$C:$C,盘货信息!$Q:$Q)&amp;"元红包（每个淘宝账号仅限对应一个站外种草账号，同一个种草账号不可对应多个淘宝账号）")</f>
        <v/>
      </c>
      <c r="T390" s="27" t="str" cm="1">
        <f t="array" ref="T390">IF(_xlfn.XLOOKUP($A390&amp;$B390&amp;$C390,盘货信息!$A:$A&amp;盘货信息!$B:$B&amp;盘货信息!$C:$C,盘货信息!$R:$R)&lt;1,"","【以旧换新】"&amp;"享补贴"&amp;ROUND(_xlfn.XLOOKUP($A390&amp;$B390&amp;$C390,盘货信息!$A:$A&amp;盘货信息!$B:$B&amp;盘货信息!$C:$C,盘货信息!$R:$R),0)&amp;"元（可无旧机换新）")</f>
        <v/>
      </c>
      <c r="U390" s="27" t="str">
        <f>IF(AND($N390="",$O390="",$P390="",$Q390="",$R390="",$S390="",$T390=""),"",固定信息!$B$1)</f>
        <v/>
      </c>
      <c r="V390" s="27" t="str" cm="1">
        <f t="array" ref="V390">IF(_xlfn.XLOOKUP($A390&amp;$B390&amp;$C390,盘货信息!$A:$A&amp;盘货信息!$B:$B&amp;盘货信息!$C:$C,盘货信息!$Y:$Y)="","","【卡萨帝送赠】活动指定时间"&amp;_xlfn.TEXTBEFORE(_xlfn.TEXTAFTER(_xlfn.XLOOKUP($A390&amp;$B390&amp;$C390,盘货信息!$A:$A&amp;盘货信息!$B:$B&amp;盘货信息!$C:$C,盘货信息!$Y:$Y),"点"),"（"))</f>
        <v/>
      </c>
      <c r="W390" s="27" t="str" cm="1">
        <f t="array" ref="W390">IF(COUNTIF(_xlfn.XLOOKUP($A390&amp;$B390&amp;$C390,盘货信息!$A:$A&amp;盘货信息!$B:$B&amp;盘货信息!$C:$C,盘货信息!$O:$O),"*是*"),"【折扣】指定型号满2类享96折，满3类享94折","")</f>
        <v/>
      </c>
      <c r="X390" s="27" t="str" cm="1">
        <f t="array" ref="X390">IF(固定信息!$B$7="","",IF(_xlfn.XLOOKUP($A390&amp;$B390&amp;$C390,盘货信息!$A:$A&amp;盘货信息!$B:$B&amp;盘货信息!$C:$C,盘货信息!$N:$N)="是","【瓜分】"&amp;固定信息!$B$7,""))</f>
        <v/>
      </c>
      <c r="Y390" s="27" t="str">
        <f>IF(AND($V390="",$W390="",$X390=""),"",固定信息!$B$1)</f>
        <v/>
      </c>
      <c r="Z390" s="27" t="str" cm="1">
        <f t="array" ref="Z390">IF($C390="","",_xlfn.XLOOKUP($A390&amp;$B390&amp;$C390,服务!$A:$A&amp;服务!$B:$B&amp;服务!$C:$C,服务!$D:$D))</f>
        <v/>
      </c>
    </row>
    <row r="391" customHeight="1" spans="1:26">
      <c r="A391" s="23" t="str">
        <f>IF(盘货信息!A391="","",盘货信息!A391)</f>
        <v/>
      </c>
      <c r="B391" s="26" t="str">
        <f>IF(盘货信息!B391="","",盘货信息!B391)</f>
        <v/>
      </c>
      <c r="C391" s="23" t="str">
        <f>IF(盘货信息!C391="","",盘货信息!C391)</f>
        <v/>
      </c>
      <c r="D391" s="27" t="str">
        <f ca="1" t="shared" si="6"/>
        <v/>
      </c>
      <c r="E391" s="27" t="str">
        <f>IF(C391="","",固定信息!$B$2)</f>
        <v/>
      </c>
      <c r="F391" s="27" t="str">
        <f>IF(C391="","","【"&amp;C391&amp;"】"&amp;固定信息!$B$4)</f>
        <v/>
      </c>
      <c r="G391" s="27" t="str">
        <f>IF(C391="","","【"&amp;"活动时间："&amp;固定信息!$B$3&amp;"】")</f>
        <v/>
      </c>
      <c r="H391" s="27" t="str">
        <f>IF($C391="","",固定信息!$B$1)</f>
        <v/>
      </c>
      <c r="I391" s="27" t="str">
        <f>IF(OR(C391="",固定信息!$B$5=""),"","【1元预约锁好礼】"&amp;固定信息!$B$5)</f>
        <v/>
      </c>
      <c r="J391" s="27" t="str" cm="1">
        <f t="array" ref="J391">_xlfn.XLOOKUP($A391&amp;$B391&amp;$C391,价格信息!$A:$A&amp;价格信息!$B:$B&amp;价格信息!$C:$C,价格信息!$D:$D)</f>
        <v/>
      </c>
      <c r="K391" s="27" t="str">
        <f>IF($C391="","",固定信息!$B$1)</f>
        <v/>
      </c>
      <c r="L391" s="27" t="str" cm="1">
        <f t="array" ref="L391">IF(_xlfn.XLOOKUP($A391&amp;$B391&amp;$C391,盘货信息!$A:$A&amp;盘货信息!$B:$B&amp;盘货信息!$C:$C,盘货信息!$T:$T)="","","【优惠券】领"&amp;_xlfn.XLOOKUP($A391&amp;$B391&amp;$C391,盘货信息!$A:$A&amp;盘货信息!$B:$B&amp;盘货信息!$C:$C,盘货信息!$T:$T)&amp;"元优惠卷下单更优惠，领券链接："&amp;_xlfn.XLOOKUP($A391&amp;$B391&amp;$C391,盘货信息!$A:$A&amp;盘货信息!$B:$B&amp;盘货信息!$C:$C,盘货信息!$U:$U))</f>
        <v/>
      </c>
      <c r="M391" s="27" t="str" cm="1">
        <f t="array" ref="M391">IF(_xlfn.XLOOKUP($A391&amp;$B391&amp;$C391,盘货信息!$A:$A&amp;盘货信息!$B:$B&amp;盘货信息!$C:$C,盘货信息!$P:$P)="","","【限时】"&amp;_xlfn.XLOOKUP($A391&amp;$B391&amp;$C391,盘货信息!$A:$A&amp;盘货信息!$B:$B&amp;盘货信息!$C:$C,盘货信息!$P:$P))</f>
        <v/>
      </c>
      <c r="N391" s="27" t="str" cm="1">
        <f t="array" ref="N391">IF(_xlfn.XLOOKUP($A391&amp;$B391&amp;$C391,盘货信息!$A:$A&amp;盘货信息!$B:$B&amp;盘货信息!$C:$C,盘货信息!$V:$V)="","","【"&amp;盘货信息!$V$1&amp;"】"&amp;_xlfn.XLOOKUP($A391&amp;$B391&amp;$C391,盘货信息!$A:$A&amp;盘货信息!$B:$B&amp;盘货信息!$C:$C,盘货信息!$V:$V))</f>
        <v/>
      </c>
      <c r="O391" s="27" t="str" cm="1">
        <f t="array" ref="O391">IF(_xlfn.XLOOKUP($A391&amp;$B391&amp;$C391,盘货信息!$A:$A&amp;盘货信息!$B:$B&amp;盘货信息!$C:$C,盘货信息!$W:$W)="","","【"&amp;盘货信息!$W$1&amp;"】"&amp;_xlfn.XLOOKUP($A391&amp;$B391&amp;$C391,盘货信息!$A:$A&amp;盘货信息!$B:$B&amp;盘货信息!$C:$C,盘货信息!$W:$W))</f>
        <v/>
      </c>
      <c r="P391" s="27" t="str" cm="1">
        <f t="array" ref="P391">IF(_xlfn.XLOOKUP($A391&amp;$B391&amp;$C391,盘货信息!$A:$A&amp;盘货信息!$B:$B&amp;盘货信息!$C:$C,盘货信息!$S:$S)&lt;1,"","【"&amp;盘货信息!$S$1&amp;"】"&amp;"后返"&amp;_xlfn.XLOOKUP($A391&amp;$B391&amp;$C391,盘货信息!$A:$A&amp;盘货信息!$B:$B&amp;盘货信息!$C:$C,盘货信息!$S:$S)&amp;"元")</f>
        <v/>
      </c>
      <c r="Q391" s="27" t="str" cm="1">
        <f t="array" ref="Q391">IF(_xlfn.XLOOKUP($A391&amp;$B391&amp;$C391,盘货信息!$A:$A&amp;盘货信息!$B:$B&amp;盘货信息!$C:$C,盘货信息!$X:$X)="","","【"&amp;盘货信息!$X$1&amp;"】"&amp;_xlfn.XLOOKUP($A391&amp;$B391&amp;$C391,盘货信息!$A:$A&amp;盘货信息!$B:$B&amp;盘货信息!$C:$C,盘货信息!$X:$X))</f>
        <v/>
      </c>
      <c r="R391" s="27" t="str" cm="1">
        <f t="array" ref="R391">IF(_xlfn.XLOOKUP($A391&amp;$B391&amp;$C391,盘货信息!$A:$A&amp;盘货信息!$B:$B&amp;盘货信息!$C:$C,盘货信息!$Z:$Z)="","","【"&amp;盘货信息!$Z$1&amp;"】"&amp;_xlfn.XLOOKUP($A391&amp;$B391&amp;$C391,盘货信息!$A:$A&amp;盘货信息!$B:$B&amp;盘货信息!$C:$C,盘货信息!$Z:$Z))</f>
        <v/>
      </c>
      <c r="S391" s="27" t="str" cm="1">
        <f t="array" ref="S391">IF(_xlfn.XLOOKUP($A391&amp;$B391&amp;$C391,盘货信息!$A:$A&amp;盘货信息!$B:$B&amp;盘货信息!$C:$C,盘货信息!$Q:$Q)="","","【种草】站外带指定话题种草后返"&amp;_xlfn.XLOOKUP($A391&amp;$B391&amp;$C391,盘货信息!$A:$A&amp;盘货信息!$B:$B&amp;盘货信息!$C:$C,盘货信息!$Q:$Q)&amp;"元红包（每个淘宝账号仅限对应一个站外种草账号，同一个种草账号不可对应多个淘宝账号）")</f>
        <v/>
      </c>
      <c r="T391" s="27" t="str" cm="1">
        <f t="array" ref="T391">IF(_xlfn.XLOOKUP($A391&amp;$B391&amp;$C391,盘货信息!$A:$A&amp;盘货信息!$B:$B&amp;盘货信息!$C:$C,盘货信息!$R:$R)&lt;1,"","【以旧换新】"&amp;"享补贴"&amp;ROUND(_xlfn.XLOOKUP($A391&amp;$B391&amp;$C391,盘货信息!$A:$A&amp;盘货信息!$B:$B&amp;盘货信息!$C:$C,盘货信息!$R:$R),0)&amp;"元（可无旧机换新）")</f>
        <v/>
      </c>
      <c r="U391" s="27" t="str">
        <f>IF(AND($N391="",$O391="",$P391="",$Q391="",$R391="",$S391="",$T391=""),"",固定信息!$B$1)</f>
        <v/>
      </c>
      <c r="V391" s="27" t="str" cm="1">
        <f t="array" ref="V391">IF(_xlfn.XLOOKUP($A391&amp;$B391&amp;$C391,盘货信息!$A:$A&amp;盘货信息!$B:$B&amp;盘货信息!$C:$C,盘货信息!$Y:$Y)="","","【卡萨帝送赠】活动指定时间"&amp;_xlfn.TEXTBEFORE(_xlfn.TEXTAFTER(_xlfn.XLOOKUP($A391&amp;$B391&amp;$C391,盘货信息!$A:$A&amp;盘货信息!$B:$B&amp;盘货信息!$C:$C,盘货信息!$Y:$Y),"点"),"（"))</f>
        <v/>
      </c>
      <c r="W391" s="27" t="str" cm="1">
        <f t="array" ref="W391">IF(COUNTIF(_xlfn.XLOOKUP($A391&amp;$B391&amp;$C391,盘货信息!$A:$A&amp;盘货信息!$B:$B&amp;盘货信息!$C:$C,盘货信息!$O:$O),"*是*"),"【折扣】指定型号满2类享96折，满3类享94折","")</f>
        <v/>
      </c>
      <c r="X391" s="27" t="str" cm="1">
        <f t="array" ref="X391">IF(固定信息!$B$7="","",IF(_xlfn.XLOOKUP($A391&amp;$B391&amp;$C391,盘货信息!$A:$A&amp;盘货信息!$B:$B&amp;盘货信息!$C:$C,盘货信息!$N:$N)="是","【瓜分】"&amp;固定信息!$B$7,""))</f>
        <v/>
      </c>
      <c r="Y391" s="27" t="str">
        <f>IF(AND($V391="",$W391="",$X391=""),"",固定信息!$B$1)</f>
        <v/>
      </c>
      <c r="Z391" s="27" t="str" cm="1">
        <f t="array" ref="Z391">IF($C391="","",_xlfn.XLOOKUP($A391&amp;$B391&amp;$C391,服务!$A:$A&amp;服务!$B:$B&amp;服务!$C:$C,服务!$D:$D))</f>
        <v/>
      </c>
    </row>
    <row r="392" customHeight="1" spans="1:26">
      <c r="A392" s="23" t="str">
        <f>IF(盘货信息!A392="","",盘货信息!A392)</f>
        <v/>
      </c>
      <c r="B392" s="26" t="str">
        <f>IF(盘货信息!B392="","",盘货信息!B392)</f>
        <v/>
      </c>
      <c r="C392" s="23" t="str">
        <f>IF(盘货信息!C392="","",盘货信息!C392)</f>
        <v/>
      </c>
      <c r="D392" s="27" t="str">
        <f ca="1" t="shared" si="6"/>
        <v/>
      </c>
      <c r="E392" s="27" t="str">
        <f>IF(C392="","",固定信息!$B$2)</f>
        <v/>
      </c>
      <c r="F392" s="27" t="str">
        <f>IF(C392="","","【"&amp;C392&amp;"】"&amp;固定信息!$B$4)</f>
        <v/>
      </c>
      <c r="G392" s="27" t="str">
        <f>IF(C392="","","【"&amp;"活动时间："&amp;固定信息!$B$3&amp;"】")</f>
        <v/>
      </c>
      <c r="H392" s="27" t="str">
        <f>IF($C392="","",固定信息!$B$1)</f>
        <v/>
      </c>
      <c r="I392" s="27" t="str">
        <f>IF(OR(C392="",固定信息!$B$5=""),"","【1元预约锁好礼】"&amp;固定信息!$B$5)</f>
        <v/>
      </c>
      <c r="J392" s="27" t="str" cm="1">
        <f t="array" ref="J392">_xlfn.XLOOKUP($A392&amp;$B392&amp;$C392,价格信息!$A:$A&amp;价格信息!$B:$B&amp;价格信息!$C:$C,价格信息!$D:$D)</f>
        <v/>
      </c>
      <c r="K392" s="27" t="str">
        <f>IF($C392="","",固定信息!$B$1)</f>
        <v/>
      </c>
      <c r="L392" s="27" t="str" cm="1">
        <f t="array" ref="L392">IF(_xlfn.XLOOKUP($A392&amp;$B392&amp;$C392,盘货信息!$A:$A&amp;盘货信息!$B:$B&amp;盘货信息!$C:$C,盘货信息!$T:$T)="","","【优惠券】领"&amp;_xlfn.XLOOKUP($A392&amp;$B392&amp;$C392,盘货信息!$A:$A&amp;盘货信息!$B:$B&amp;盘货信息!$C:$C,盘货信息!$T:$T)&amp;"元优惠卷下单更优惠，领券链接："&amp;_xlfn.XLOOKUP($A392&amp;$B392&amp;$C392,盘货信息!$A:$A&amp;盘货信息!$B:$B&amp;盘货信息!$C:$C,盘货信息!$U:$U))</f>
        <v/>
      </c>
      <c r="M392" s="27" t="str" cm="1">
        <f t="array" ref="M392">IF(_xlfn.XLOOKUP($A392&amp;$B392&amp;$C392,盘货信息!$A:$A&amp;盘货信息!$B:$B&amp;盘货信息!$C:$C,盘货信息!$P:$P)="","","【限时】"&amp;_xlfn.XLOOKUP($A392&amp;$B392&amp;$C392,盘货信息!$A:$A&amp;盘货信息!$B:$B&amp;盘货信息!$C:$C,盘货信息!$P:$P))</f>
        <v/>
      </c>
      <c r="N392" s="27" t="str" cm="1">
        <f t="array" ref="N392">IF(_xlfn.XLOOKUP($A392&amp;$B392&amp;$C392,盘货信息!$A:$A&amp;盘货信息!$B:$B&amp;盘货信息!$C:$C,盘货信息!$V:$V)="","","【"&amp;盘货信息!$V$1&amp;"】"&amp;_xlfn.XLOOKUP($A392&amp;$B392&amp;$C392,盘货信息!$A:$A&amp;盘货信息!$B:$B&amp;盘货信息!$C:$C,盘货信息!$V:$V))</f>
        <v/>
      </c>
      <c r="O392" s="27" t="str" cm="1">
        <f t="array" ref="O392">IF(_xlfn.XLOOKUP($A392&amp;$B392&amp;$C392,盘货信息!$A:$A&amp;盘货信息!$B:$B&amp;盘货信息!$C:$C,盘货信息!$W:$W)="","","【"&amp;盘货信息!$W$1&amp;"】"&amp;_xlfn.XLOOKUP($A392&amp;$B392&amp;$C392,盘货信息!$A:$A&amp;盘货信息!$B:$B&amp;盘货信息!$C:$C,盘货信息!$W:$W))</f>
        <v/>
      </c>
      <c r="P392" s="27" t="str" cm="1">
        <f t="array" ref="P392">IF(_xlfn.XLOOKUP($A392&amp;$B392&amp;$C392,盘货信息!$A:$A&amp;盘货信息!$B:$B&amp;盘货信息!$C:$C,盘货信息!$S:$S)&lt;1,"","【"&amp;盘货信息!$S$1&amp;"】"&amp;"后返"&amp;_xlfn.XLOOKUP($A392&amp;$B392&amp;$C392,盘货信息!$A:$A&amp;盘货信息!$B:$B&amp;盘货信息!$C:$C,盘货信息!$S:$S)&amp;"元")</f>
        <v/>
      </c>
      <c r="Q392" s="27" t="str" cm="1">
        <f t="array" ref="Q392">IF(_xlfn.XLOOKUP($A392&amp;$B392&amp;$C392,盘货信息!$A:$A&amp;盘货信息!$B:$B&amp;盘货信息!$C:$C,盘货信息!$X:$X)="","","【"&amp;盘货信息!$X$1&amp;"】"&amp;_xlfn.XLOOKUP($A392&amp;$B392&amp;$C392,盘货信息!$A:$A&amp;盘货信息!$B:$B&amp;盘货信息!$C:$C,盘货信息!$X:$X))</f>
        <v/>
      </c>
      <c r="R392" s="27" t="str" cm="1">
        <f t="array" ref="R392">IF(_xlfn.XLOOKUP($A392&amp;$B392&amp;$C392,盘货信息!$A:$A&amp;盘货信息!$B:$B&amp;盘货信息!$C:$C,盘货信息!$Z:$Z)="","","【"&amp;盘货信息!$Z$1&amp;"】"&amp;_xlfn.XLOOKUP($A392&amp;$B392&amp;$C392,盘货信息!$A:$A&amp;盘货信息!$B:$B&amp;盘货信息!$C:$C,盘货信息!$Z:$Z))</f>
        <v/>
      </c>
      <c r="S392" s="27" t="str" cm="1">
        <f t="array" ref="S392">IF(_xlfn.XLOOKUP($A392&amp;$B392&amp;$C392,盘货信息!$A:$A&amp;盘货信息!$B:$B&amp;盘货信息!$C:$C,盘货信息!$Q:$Q)="","","【种草】站外带指定话题种草后返"&amp;_xlfn.XLOOKUP($A392&amp;$B392&amp;$C392,盘货信息!$A:$A&amp;盘货信息!$B:$B&amp;盘货信息!$C:$C,盘货信息!$Q:$Q)&amp;"元红包（每个淘宝账号仅限对应一个站外种草账号，同一个种草账号不可对应多个淘宝账号）")</f>
        <v/>
      </c>
      <c r="T392" s="27" t="str" cm="1">
        <f t="array" ref="T392">IF(_xlfn.XLOOKUP($A392&amp;$B392&amp;$C392,盘货信息!$A:$A&amp;盘货信息!$B:$B&amp;盘货信息!$C:$C,盘货信息!$R:$R)&lt;1,"","【以旧换新】"&amp;"享补贴"&amp;ROUND(_xlfn.XLOOKUP($A392&amp;$B392&amp;$C392,盘货信息!$A:$A&amp;盘货信息!$B:$B&amp;盘货信息!$C:$C,盘货信息!$R:$R),0)&amp;"元（可无旧机换新）")</f>
        <v/>
      </c>
      <c r="U392" s="27" t="str">
        <f>IF(AND($N392="",$O392="",$P392="",$Q392="",$R392="",$S392="",$T392=""),"",固定信息!$B$1)</f>
        <v/>
      </c>
      <c r="V392" s="27" t="str" cm="1">
        <f t="array" ref="V392">IF(_xlfn.XLOOKUP($A392&amp;$B392&amp;$C392,盘货信息!$A:$A&amp;盘货信息!$B:$B&amp;盘货信息!$C:$C,盘货信息!$Y:$Y)="","","【卡萨帝送赠】活动指定时间"&amp;_xlfn.TEXTBEFORE(_xlfn.TEXTAFTER(_xlfn.XLOOKUP($A392&amp;$B392&amp;$C392,盘货信息!$A:$A&amp;盘货信息!$B:$B&amp;盘货信息!$C:$C,盘货信息!$Y:$Y),"点"),"（"))</f>
        <v/>
      </c>
      <c r="W392" s="27" t="str" cm="1">
        <f t="array" ref="W392">IF(COUNTIF(_xlfn.XLOOKUP($A392&amp;$B392&amp;$C392,盘货信息!$A:$A&amp;盘货信息!$B:$B&amp;盘货信息!$C:$C,盘货信息!$O:$O),"*是*"),"【折扣】指定型号满2类享96折，满3类享94折","")</f>
        <v/>
      </c>
      <c r="X392" s="27" t="str" cm="1">
        <f t="array" ref="X392">IF(固定信息!$B$7="","",IF(_xlfn.XLOOKUP($A392&amp;$B392&amp;$C392,盘货信息!$A:$A&amp;盘货信息!$B:$B&amp;盘货信息!$C:$C,盘货信息!$N:$N)="是","【瓜分】"&amp;固定信息!$B$7,""))</f>
        <v/>
      </c>
      <c r="Y392" s="27" t="str">
        <f>IF(AND($V392="",$W392="",$X392=""),"",固定信息!$B$1)</f>
        <v/>
      </c>
      <c r="Z392" s="27" t="str" cm="1">
        <f t="array" ref="Z392">IF($C392="","",_xlfn.XLOOKUP($A392&amp;$B392&amp;$C392,服务!$A:$A&amp;服务!$B:$B&amp;服务!$C:$C,服务!$D:$D))</f>
        <v/>
      </c>
    </row>
    <row r="393" customHeight="1" spans="1:26">
      <c r="A393" s="23" t="str">
        <f>IF(盘货信息!A393="","",盘货信息!A393)</f>
        <v/>
      </c>
      <c r="B393" s="26" t="str">
        <f>IF(盘货信息!B393="","",盘货信息!B393)</f>
        <v/>
      </c>
      <c r="C393" s="23" t="str">
        <f>IF(盘货信息!C393="","",盘货信息!C393)</f>
        <v/>
      </c>
      <c r="D393" s="27" t="str">
        <f ca="1" t="shared" si="6"/>
        <v/>
      </c>
      <c r="E393" s="27" t="str">
        <f>IF(C393="","",固定信息!$B$2)</f>
        <v/>
      </c>
      <c r="F393" s="27" t="str">
        <f>IF(C393="","","【"&amp;C393&amp;"】"&amp;固定信息!$B$4)</f>
        <v/>
      </c>
      <c r="G393" s="27" t="str">
        <f>IF(C393="","","【"&amp;"活动时间："&amp;固定信息!$B$3&amp;"】")</f>
        <v/>
      </c>
      <c r="H393" s="27" t="str">
        <f>IF($C393="","",固定信息!$B$1)</f>
        <v/>
      </c>
      <c r="I393" s="27" t="str">
        <f>IF(OR(C393="",固定信息!$B$5=""),"","【1元预约锁好礼】"&amp;固定信息!$B$5)</f>
        <v/>
      </c>
      <c r="J393" s="27" t="str" cm="1">
        <f t="array" ref="J393">_xlfn.XLOOKUP($A393&amp;$B393&amp;$C393,价格信息!$A:$A&amp;价格信息!$B:$B&amp;价格信息!$C:$C,价格信息!$D:$D)</f>
        <v/>
      </c>
      <c r="K393" s="27" t="str">
        <f>IF($C393="","",固定信息!$B$1)</f>
        <v/>
      </c>
      <c r="L393" s="27" t="str" cm="1">
        <f t="array" ref="L393">IF(_xlfn.XLOOKUP($A393&amp;$B393&amp;$C393,盘货信息!$A:$A&amp;盘货信息!$B:$B&amp;盘货信息!$C:$C,盘货信息!$T:$T)="","","【优惠券】领"&amp;_xlfn.XLOOKUP($A393&amp;$B393&amp;$C393,盘货信息!$A:$A&amp;盘货信息!$B:$B&amp;盘货信息!$C:$C,盘货信息!$T:$T)&amp;"元优惠卷下单更优惠，领券链接："&amp;_xlfn.XLOOKUP($A393&amp;$B393&amp;$C393,盘货信息!$A:$A&amp;盘货信息!$B:$B&amp;盘货信息!$C:$C,盘货信息!$U:$U))</f>
        <v/>
      </c>
      <c r="M393" s="27" t="str" cm="1">
        <f t="array" ref="M393">IF(_xlfn.XLOOKUP($A393&amp;$B393&amp;$C393,盘货信息!$A:$A&amp;盘货信息!$B:$B&amp;盘货信息!$C:$C,盘货信息!$P:$P)="","","【限时】"&amp;_xlfn.XLOOKUP($A393&amp;$B393&amp;$C393,盘货信息!$A:$A&amp;盘货信息!$B:$B&amp;盘货信息!$C:$C,盘货信息!$P:$P))</f>
        <v/>
      </c>
      <c r="N393" s="27" t="str" cm="1">
        <f t="array" ref="N393">IF(_xlfn.XLOOKUP($A393&amp;$B393&amp;$C393,盘货信息!$A:$A&amp;盘货信息!$B:$B&amp;盘货信息!$C:$C,盘货信息!$V:$V)="","","【"&amp;盘货信息!$V$1&amp;"】"&amp;_xlfn.XLOOKUP($A393&amp;$B393&amp;$C393,盘货信息!$A:$A&amp;盘货信息!$B:$B&amp;盘货信息!$C:$C,盘货信息!$V:$V))</f>
        <v/>
      </c>
      <c r="O393" s="27" t="str" cm="1">
        <f t="array" ref="O393">IF(_xlfn.XLOOKUP($A393&amp;$B393&amp;$C393,盘货信息!$A:$A&amp;盘货信息!$B:$B&amp;盘货信息!$C:$C,盘货信息!$W:$W)="","","【"&amp;盘货信息!$W$1&amp;"】"&amp;_xlfn.XLOOKUP($A393&amp;$B393&amp;$C393,盘货信息!$A:$A&amp;盘货信息!$B:$B&amp;盘货信息!$C:$C,盘货信息!$W:$W))</f>
        <v/>
      </c>
      <c r="P393" s="27" t="str" cm="1">
        <f t="array" ref="P393">IF(_xlfn.XLOOKUP($A393&amp;$B393&amp;$C393,盘货信息!$A:$A&amp;盘货信息!$B:$B&amp;盘货信息!$C:$C,盘货信息!$S:$S)&lt;1,"","【"&amp;盘货信息!$S$1&amp;"】"&amp;"后返"&amp;_xlfn.XLOOKUP($A393&amp;$B393&amp;$C393,盘货信息!$A:$A&amp;盘货信息!$B:$B&amp;盘货信息!$C:$C,盘货信息!$S:$S)&amp;"元")</f>
        <v/>
      </c>
      <c r="Q393" s="27" t="str" cm="1">
        <f t="array" ref="Q393">IF(_xlfn.XLOOKUP($A393&amp;$B393&amp;$C393,盘货信息!$A:$A&amp;盘货信息!$B:$B&amp;盘货信息!$C:$C,盘货信息!$X:$X)="","","【"&amp;盘货信息!$X$1&amp;"】"&amp;_xlfn.XLOOKUP($A393&amp;$B393&amp;$C393,盘货信息!$A:$A&amp;盘货信息!$B:$B&amp;盘货信息!$C:$C,盘货信息!$X:$X))</f>
        <v/>
      </c>
      <c r="R393" s="27" t="str" cm="1">
        <f t="array" ref="R393">IF(_xlfn.XLOOKUP($A393&amp;$B393&amp;$C393,盘货信息!$A:$A&amp;盘货信息!$B:$B&amp;盘货信息!$C:$C,盘货信息!$Z:$Z)="","","【"&amp;盘货信息!$Z$1&amp;"】"&amp;_xlfn.XLOOKUP($A393&amp;$B393&amp;$C393,盘货信息!$A:$A&amp;盘货信息!$B:$B&amp;盘货信息!$C:$C,盘货信息!$Z:$Z))</f>
        <v/>
      </c>
      <c r="S393" s="27" t="str" cm="1">
        <f t="array" ref="S393">IF(_xlfn.XLOOKUP($A393&amp;$B393&amp;$C393,盘货信息!$A:$A&amp;盘货信息!$B:$B&amp;盘货信息!$C:$C,盘货信息!$Q:$Q)="","","【种草】站外带指定话题种草后返"&amp;_xlfn.XLOOKUP($A393&amp;$B393&amp;$C393,盘货信息!$A:$A&amp;盘货信息!$B:$B&amp;盘货信息!$C:$C,盘货信息!$Q:$Q)&amp;"元红包（每个淘宝账号仅限对应一个站外种草账号，同一个种草账号不可对应多个淘宝账号）")</f>
        <v/>
      </c>
      <c r="T393" s="27" t="str" cm="1">
        <f t="array" ref="T393">IF(_xlfn.XLOOKUP($A393&amp;$B393&amp;$C393,盘货信息!$A:$A&amp;盘货信息!$B:$B&amp;盘货信息!$C:$C,盘货信息!$R:$R)&lt;1,"","【以旧换新】"&amp;"享补贴"&amp;ROUND(_xlfn.XLOOKUP($A393&amp;$B393&amp;$C393,盘货信息!$A:$A&amp;盘货信息!$B:$B&amp;盘货信息!$C:$C,盘货信息!$R:$R),0)&amp;"元（可无旧机换新）")</f>
        <v/>
      </c>
      <c r="U393" s="27" t="str">
        <f>IF(AND($N393="",$O393="",$P393="",$Q393="",$R393="",$S393="",$T393=""),"",固定信息!$B$1)</f>
        <v/>
      </c>
      <c r="V393" s="27" t="str" cm="1">
        <f t="array" ref="V393">IF(_xlfn.XLOOKUP($A393&amp;$B393&amp;$C393,盘货信息!$A:$A&amp;盘货信息!$B:$B&amp;盘货信息!$C:$C,盘货信息!$Y:$Y)="","","【卡萨帝送赠】活动指定时间"&amp;_xlfn.TEXTBEFORE(_xlfn.TEXTAFTER(_xlfn.XLOOKUP($A393&amp;$B393&amp;$C393,盘货信息!$A:$A&amp;盘货信息!$B:$B&amp;盘货信息!$C:$C,盘货信息!$Y:$Y),"点"),"（"))</f>
        <v/>
      </c>
      <c r="W393" s="27" t="str" cm="1">
        <f t="array" ref="W393">IF(COUNTIF(_xlfn.XLOOKUP($A393&amp;$B393&amp;$C393,盘货信息!$A:$A&amp;盘货信息!$B:$B&amp;盘货信息!$C:$C,盘货信息!$O:$O),"*是*"),"【折扣】指定型号满2类享96折，满3类享94折","")</f>
        <v/>
      </c>
      <c r="X393" s="27" t="str" cm="1">
        <f t="array" ref="X393">IF(固定信息!$B$7="","",IF(_xlfn.XLOOKUP($A393&amp;$B393&amp;$C393,盘货信息!$A:$A&amp;盘货信息!$B:$B&amp;盘货信息!$C:$C,盘货信息!$N:$N)="是","【瓜分】"&amp;固定信息!$B$7,""))</f>
        <v/>
      </c>
      <c r="Y393" s="27" t="str">
        <f>IF(AND($V393="",$W393="",$X393=""),"",固定信息!$B$1)</f>
        <v/>
      </c>
      <c r="Z393" s="27" t="str" cm="1">
        <f t="array" ref="Z393">IF($C393="","",_xlfn.XLOOKUP($A393&amp;$B393&amp;$C393,服务!$A:$A&amp;服务!$B:$B&amp;服务!$C:$C,服务!$D:$D))</f>
        <v/>
      </c>
    </row>
    <row r="394" customHeight="1" spans="1:26">
      <c r="A394" s="23" t="str">
        <f>IF(盘货信息!A394="","",盘货信息!A394)</f>
        <v/>
      </c>
      <c r="B394" s="26" t="str">
        <f>IF(盘货信息!B394="","",盘货信息!B394)</f>
        <v/>
      </c>
      <c r="C394" s="23" t="str">
        <f>IF(盘货信息!C394="","",盘货信息!C394)</f>
        <v/>
      </c>
      <c r="D394" s="27" t="str">
        <f ca="1" t="shared" si="6"/>
        <v/>
      </c>
      <c r="E394" s="27" t="str">
        <f>IF(C394="","",固定信息!$B$2)</f>
        <v/>
      </c>
      <c r="F394" s="27" t="str">
        <f>IF(C394="","","【"&amp;C394&amp;"】"&amp;固定信息!$B$4)</f>
        <v/>
      </c>
      <c r="G394" s="27" t="str">
        <f>IF(C394="","","【"&amp;"活动时间："&amp;固定信息!$B$3&amp;"】")</f>
        <v/>
      </c>
      <c r="H394" s="27" t="str">
        <f>IF($C394="","",固定信息!$B$1)</f>
        <v/>
      </c>
      <c r="I394" s="27" t="str">
        <f>IF(OR(C394="",固定信息!$B$5=""),"","【1元预约锁好礼】"&amp;固定信息!$B$5)</f>
        <v/>
      </c>
      <c r="J394" s="27" t="str" cm="1">
        <f t="array" ref="J394">_xlfn.XLOOKUP($A394&amp;$B394&amp;$C394,价格信息!$A:$A&amp;价格信息!$B:$B&amp;价格信息!$C:$C,价格信息!$D:$D)</f>
        <v/>
      </c>
      <c r="K394" s="27" t="str">
        <f>IF($C394="","",固定信息!$B$1)</f>
        <v/>
      </c>
      <c r="L394" s="27" t="str" cm="1">
        <f t="array" ref="L394">IF(_xlfn.XLOOKUP($A394&amp;$B394&amp;$C394,盘货信息!$A:$A&amp;盘货信息!$B:$B&amp;盘货信息!$C:$C,盘货信息!$T:$T)="","","【优惠券】领"&amp;_xlfn.XLOOKUP($A394&amp;$B394&amp;$C394,盘货信息!$A:$A&amp;盘货信息!$B:$B&amp;盘货信息!$C:$C,盘货信息!$T:$T)&amp;"元优惠卷下单更优惠，领券链接："&amp;_xlfn.XLOOKUP($A394&amp;$B394&amp;$C394,盘货信息!$A:$A&amp;盘货信息!$B:$B&amp;盘货信息!$C:$C,盘货信息!$U:$U))</f>
        <v/>
      </c>
      <c r="M394" s="27" t="str" cm="1">
        <f t="array" ref="M394">IF(_xlfn.XLOOKUP($A394&amp;$B394&amp;$C394,盘货信息!$A:$A&amp;盘货信息!$B:$B&amp;盘货信息!$C:$C,盘货信息!$P:$P)="","","【限时】"&amp;_xlfn.XLOOKUP($A394&amp;$B394&amp;$C394,盘货信息!$A:$A&amp;盘货信息!$B:$B&amp;盘货信息!$C:$C,盘货信息!$P:$P))</f>
        <v/>
      </c>
      <c r="N394" s="27" t="str" cm="1">
        <f t="array" ref="N394">IF(_xlfn.XLOOKUP($A394&amp;$B394&amp;$C394,盘货信息!$A:$A&amp;盘货信息!$B:$B&amp;盘货信息!$C:$C,盘货信息!$V:$V)="","","【"&amp;盘货信息!$V$1&amp;"】"&amp;_xlfn.XLOOKUP($A394&amp;$B394&amp;$C394,盘货信息!$A:$A&amp;盘货信息!$B:$B&amp;盘货信息!$C:$C,盘货信息!$V:$V))</f>
        <v/>
      </c>
      <c r="O394" s="27" t="str" cm="1">
        <f t="array" ref="O394">IF(_xlfn.XLOOKUP($A394&amp;$B394&amp;$C394,盘货信息!$A:$A&amp;盘货信息!$B:$B&amp;盘货信息!$C:$C,盘货信息!$W:$W)="","","【"&amp;盘货信息!$W$1&amp;"】"&amp;_xlfn.XLOOKUP($A394&amp;$B394&amp;$C394,盘货信息!$A:$A&amp;盘货信息!$B:$B&amp;盘货信息!$C:$C,盘货信息!$W:$W))</f>
        <v/>
      </c>
      <c r="P394" s="27" t="str" cm="1">
        <f t="array" ref="P394">IF(_xlfn.XLOOKUP($A394&amp;$B394&amp;$C394,盘货信息!$A:$A&amp;盘货信息!$B:$B&amp;盘货信息!$C:$C,盘货信息!$S:$S)&lt;1,"","【"&amp;盘货信息!$S$1&amp;"】"&amp;"后返"&amp;_xlfn.XLOOKUP($A394&amp;$B394&amp;$C394,盘货信息!$A:$A&amp;盘货信息!$B:$B&amp;盘货信息!$C:$C,盘货信息!$S:$S)&amp;"元")</f>
        <v/>
      </c>
      <c r="Q394" s="27" t="str" cm="1">
        <f t="array" ref="Q394">IF(_xlfn.XLOOKUP($A394&amp;$B394&amp;$C394,盘货信息!$A:$A&amp;盘货信息!$B:$B&amp;盘货信息!$C:$C,盘货信息!$X:$X)="","","【"&amp;盘货信息!$X$1&amp;"】"&amp;_xlfn.XLOOKUP($A394&amp;$B394&amp;$C394,盘货信息!$A:$A&amp;盘货信息!$B:$B&amp;盘货信息!$C:$C,盘货信息!$X:$X))</f>
        <v/>
      </c>
      <c r="R394" s="27" t="str" cm="1">
        <f t="array" ref="R394">IF(_xlfn.XLOOKUP($A394&amp;$B394&amp;$C394,盘货信息!$A:$A&amp;盘货信息!$B:$B&amp;盘货信息!$C:$C,盘货信息!$Z:$Z)="","","【"&amp;盘货信息!$Z$1&amp;"】"&amp;_xlfn.XLOOKUP($A394&amp;$B394&amp;$C394,盘货信息!$A:$A&amp;盘货信息!$B:$B&amp;盘货信息!$C:$C,盘货信息!$Z:$Z))</f>
        <v/>
      </c>
      <c r="S394" s="27" t="str" cm="1">
        <f t="array" ref="S394">IF(_xlfn.XLOOKUP($A394&amp;$B394&amp;$C394,盘货信息!$A:$A&amp;盘货信息!$B:$B&amp;盘货信息!$C:$C,盘货信息!$Q:$Q)="","","【种草】站外带指定话题种草后返"&amp;_xlfn.XLOOKUP($A394&amp;$B394&amp;$C394,盘货信息!$A:$A&amp;盘货信息!$B:$B&amp;盘货信息!$C:$C,盘货信息!$Q:$Q)&amp;"元红包（每个淘宝账号仅限对应一个站外种草账号，同一个种草账号不可对应多个淘宝账号）")</f>
        <v/>
      </c>
      <c r="T394" s="27" t="str" cm="1">
        <f t="array" ref="T394">IF(_xlfn.XLOOKUP($A394&amp;$B394&amp;$C394,盘货信息!$A:$A&amp;盘货信息!$B:$B&amp;盘货信息!$C:$C,盘货信息!$R:$R)&lt;1,"","【以旧换新】"&amp;"享补贴"&amp;ROUND(_xlfn.XLOOKUP($A394&amp;$B394&amp;$C394,盘货信息!$A:$A&amp;盘货信息!$B:$B&amp;盘货信息!$C:$C,盘货信息!$R:$R),0)&amp;"元（可无旧机换新）")</f>
        <v/>
      </c>
      <c r="U394" s="27" t="str">
        <f>IF(AND($N394="",$O394="",$P394="",$Q394="",$R394="",$S394="",$T394=""),"",固定信息!$B$1)</f>
        <v/>
      </c>
      <c r="V394" s="27" t="str" cm="1">
        <f t="array" ref="V394">IF(_xlfn.XLOOKUP($A394&amp;$B394&amp;$C394,盘货信息!$A:$A&amp;盘货信息!$B:$B&amp;盘货信息!$C:$C,盘货信息!$Y:$Y)="","","【卡萨帝送赠】活动指定时间"&amp;_xlfn.TEXTBEFORE(_xlfn.TEXTAFTER(_xlfn.XLOOKUP($A394&amp;$B394&amp;$C394,盘货信息!$A:$A&amp;盘货信息!$B:$B&amp;盘货信息!$C:$C,盘货信息!$Y:$Y),"点"),"（"))</f>
        <v/>
      </c>
      <c r="W394" s="27" t="str" cm="1">
        <f t="array" ref="W394">IF(COUNTIF(_xlfn.XLOOKUP($A394&amp;$B394&amp;$C394,盘货信息!$A:$A&amp;盘货信息!$B:$B&amp;盘货信息!$C:$C,盘货信息!$O:$O),"*是*"),"【折扣】指定型号满2类享96折，满3类享94折","")</f>
        <v/>
      </c>
      <c r="X394" s="27" t="str" cm="1">
        <f t="array" ref="X394">IF(固定信息!$B$7="","",IF(_xlfn.XLOOKUP($A394&amp;$B394&amp;$C394,盘货信息!$A:$A&amp;盘货信息!$B:$B&amp;盘货信息!$C:$C,盘货信息!$N:$N)="是","【瓜分】"&amp;固定信息!$B$7,""))</f>
        <v/>
      </c>
      <c r="Y394" s="27" t="str">
        <f>IF(AND($V394="",$W394="",$X394=""),"",固定信息!$B$1)</f>
        <v/>
      </c>
      <c r="Z394" s="27" t="str" cm="1">
        <f t="array" ref="Z394">IF($C394="","",_xlfn.XLOOKUP($A394&amp;$B394&amp;$C394,服务!$A:$A&amp;服务!$B:$B&amp;服务!$C:$C,服务!$D:$D))</f>
        <v/>
      </c>
    </row>
    <row r="395" customHeight="1" spans="1:26">
      <c r="A395" s="23" t="str">
        <f>IF(盘货信息!A395="","",盘货信息!A395)</f>
        <v/>
      </c>
      <c r="B395" s="26" t="str">
        <f>IF(盘货信息!B395="","",盘货信息!B395)</f>
        <v/>
      </c>
      <c r="C395" s="23" t="str">
        <f>IF(盘货信息!C395="","",盘货信息!C395)</f>
        <v/>
      </c>
      <c r="D395" s="27" t="str">
        <f ca="1" t="shared" si="6"/>
        <v/>
      </c>
      <c r="E395" s="27" t="str">
        <f>IF(C395="","",固定信息!$B$2)</f>
        <v/>
      </c>
      <c r="F395" s="27" t="str">
        <f>IF(C395="","","【"&amp;C395&amp;"】"&amp;固定信息!$B$4)</f>
        <v/>
      </c>
      <c r="G395" s="27" t="str">
        <f>IF(C395="","","【"&amp;"活动时间："&amp;固定信息!$B$3&amp;"】")</f>
        <v/>
      </c>
      <c r="H395" s="27" t="str">
        <f>IF($C395="","",固定信息!$B$1)</f>
        <v/>
      </c>
      <c r="I395" s="27" t="str">
        <f>IF(OR(C395="",固定信息!$B$5=""),"","【1元预约锁好礼】"&amp;固定信息!$B$5)</f>
        <v/>
      </c>
      <c r="J395" s="27" t="str" cm="1">
        <f t="array" ref="J395">_xlfn.XLOOKUP($A395&amp;$B395&amp;$C395,价格信息!$A:$A&amp;价格信息!$B:$B&amp;价格信息!$C:$C,价格信息!$D:$D)</f>
        <v/>
      </c>
      <c r="K395" s="27" t="str">
        <f>IF($C395="","",固定信息!$B$1)</f>
        <v/>
      </c>
      <c r="L395" s="27" t="str" cm="1">
        <f t="array" ref="L395">IF(_xlfn.XLOOKUP($A395&amp;$B395&amp;$C395,盘货信息!$A:$A&amp;盘货信息!$B:$B&amp;盘货信息!$C:$C,盘货信息!$T:$T)="","","【优惠券】领"&amp;_xlfn.XLOOKUP($A395&amp;$B395&amp;$C395,盘货信息!$A:$A&amp;盘货信息!$B:$B&amp;盘货信息!$C:$C,盘货信息!$T:$T)&amp;"元优惠卷下单更优惠，领券链接："&amp;_xlfn.XLOOKUP($A395&amp;$B395&amp;$C395,盘货信息!$A:$A&amp;盘货信息!$B:$B&amp;盘货信息!$C:$C,盘货信息!$U:$U))</f>
        <v/>
      </c>
      <c r="M395" s="27" t="str" cm="1">
        <f t="array" ref="M395">IF(_xlfn.XLOOKUP($A395&amp;$B395&amp;$C395,盘货信息!$A:$A&amp;盘货信息!$B:$B&amp;盘货信息!$C:$C,盘货信息!$P:$P)="","","【限时】"&amp;_xlfn.XLOOKUP($A395&amp;$B395&amp;$C395,盘货信息!$A:$A&amp;盘货信息!$B:$B&amp;盘货信息!$C:$C,盘货信息!$P:$P))</f>
        <v/>
      </c>
      <c r="N395" s="27" t="str" cm="1">
        <f t="array" ref="N395">IF(_xlfn.XLOOKUP($A395&amp;$B395&amp;$C395,盘货信息!$A:$A&amp;盘货信息!$B:$B&amp;盘货信息!$C:$C,盘货信息!$V:$V)="","","【"&amp;盘货信息!$V$1&amp;"】"&amp;_xlfn.XLOOKUP($A395&amp;$B395&amp;$C395,盘货信息!$A:$A&amp;盘货信息!$B:$B&amp;盘货信息!$C:$C,盘货信息!$V:$V))</f>
        <v/>
      </c>
      <c r="O395" s="27" t="str" cm="1">
        <f t="array" ref="O395">IF(_xlfn.XLOOKUP($A395&amp;$B395&amp;$C395,盘货信息!$A:$A&amp;盘货信息!$B:$B&amp;盘货信息!$C:$C,盘货信息!$W:$W)="","","【"&amp;盘货信息!$W$1&amp;"】"&amp;_xlfn.XLOOKUP($A395&amp;$B395&amp;$C395,盘货信息!$A:$A&amp;盘货信息!$B:$B&amp;盘货信息!$C:$C,盘货信息!$W:$W))</f>
        <v/>
      </c>
      <c r="P395" s="27" t="str" cm="1">
        <f t="array" ref="P395">IF(_xlfn.XLOOKUP($A395&amp;$B395&amp;$C395,盘货信息!$A:$A&amp;盘货信息!$B:$B&amp;盘货信息!$C:$C,盘货信息!$S:$S)&lt;1,"","【"&amp;盘货信息!$S$1&amp;"】"&amp;"后返"&amp;_xlfn.XLOOKUP($A395&amp;$B395&amp;$C395,盘货信息!$A:$A&amp;盘货信息!$B:$B&amp;盘货信息!$C:$C,盘货信息!$S:$S)&amp;"元")</f>
        <v/>
      </c>
      <c r="Q395" s="27" t="str" cm="1">
        <f t="array" ref="Q395">IF(_xlfn.XLOOKUP($A395&amp;$B395&amp;$C395,盘货信息!$A:$A&amp;盘货信息!$B:$B&amp;盘货信息!$C:$C,盘货信息!$X:$X)="","","【"&amp;盘货信息!$X$1&amp;"】"&amp;_xlfn.XLOOKUP($A395&amp;$B395&amp;$C395,盘货信息!$A:$A&amp;盘货信息!$B:$B&amp;盘货信息!$C:$C,盘货信息!$X:$X))</f>
        <v/>
      </c>
      <c r="R395" s="27" t="str" cm="1">
        <f t="array" ref="R395">IF(_xlfn.XLOOKUP($A395&amp;$B395&amp;$C395,盘货信息!$A:$A&amp;盘货信息!$B:$B&amp;盘货信息!$C:$C,盘货信息!$Z:$Z)="","","【"&amp;盘货信息!$Z$1&amp;"】"&amp;_xlfn.XLOOKUP($A395&amp;$B395&amp;$C395,盘货信息!$A:$A&amp;盘货信息!$B:$B&amp;盘货信息!$C:$C,盘货信息!$Z:$Z))</f>
        <v/>
      </c>
      <c r="S395" s="27" t="str" cm="1">
        <f t="array" ref="S395">IF(_xlfn.XLOOKUP($A395&amp;$B395&amp;$C395,盘货信息!$A:$A&amp;盘货信息!$B:$B&amp;盘货信息!$C:$C,盘货信息!$Q:$Q)="","","【种草】站外带指定话题种草后返"&amp;_xlfn.XLOOKUP($A395&amp;$B395&amp;$C395,盘货信息!$A:$A&amp;盘货信息!$B:$B&amp;盘货信息!$C:$C,盘货信息!$Q:$Q)&amp;"元红包（每个淘宝账号仅限对应一个站外种草账号，同一个种草账号不可对应多个淘宝账号）")</f>
        <v/>
      </c>
      <c r="T395" s="27" t="str" cm="1">
        <f t="array" ref="T395">IF(_xlfn.XLOOKUP($A395&amp;$B395&amp;$C395,盘货信息!$A:$A&amp;盘货信息!$B:$B&amp;盘货信息!$C:$C,盘货信息!$R:$R)&lt;1,"","【以旧换新】"&amp;"享补贴"&amp;ROUND(_xlfn.XLOOKUP($A395&amp;$B395&amp;$C395,盘货信息!$A:$A&amp;盘货信息!$B:$B&amp;盘货信息!$C:$C,盘货信息!$R:$R),0)&amp;"元（可无旧机换新）")</f>
        <v/>
      </c>
      <c r="U395" s="27" t="str">
        <f>IF(AND($N395="",$O395="",$P395="",$Q395="",$R395="",$S395="",$T395=""),"",固定信息!$B$1)</f>
        <v/>
      </c>
      <c r="V395" s="27" t="str" cm="1">
        <f t="array" ref="V395">IF(_xlfn.XLOOKUP($A395&amp;$B395&amp;$C395,盘货信息!$A:$A&amp;盘货信息!$B:$B&amp;盘货信息!$C:$C,盘货信息!$Y:$Y)="","","【卡萨帝送赠】活动指定时间"&amp;_xlfn.TEXTBEFORE(_xlfn.TEXTAFTER(_xlfn.XLOOKUP($A395&amp;$B395&amp;$C395,盘货信息!$A:$A&amp;盘货信息!$B:$B&amp;盘货信息!$C:$C,盘货信息!$Y:$Y),"点"),"（"))</f>
        <v/>
      </c>
      <c r="W395" s="27" t="str" cm="1">
        <f t="array" ref="W395">IF(COUNTIF(_xlfn.XLOOKUP($A395&amp;$B395&amp;$C395,盘货信息!$A:$A&amp;盘货信息!$B:$B&amp;盘货信息!$C:$C,盘货信息!$O:$O),"*是*"),"【折扣】指定型号满2类享96折，满3类享94折","")</f>
        <v/>
      </c>
      <c r="X395" s="27" t="str" cm="1">
        <f t="array" ref="X395">IF(固定信息!$B$7="","",IF(_xlfn.XLOOKUP($A395&amp;$B395&amp;$C395,盘货信息!$A:$A&amp;盘货信息!$B:$B&amp;盘货信息!$C:$C,盘货信息!$N:$N)="是","【瓜分】"&amp;固定信息!$B$7,""))</f>
        <v/>
      </c>
      <c r="Y395" s="27" t="str">
        <f>IF(AND($V395="",$W395="",$X395=""),"",固定信息!$B$1)</f>
        <v/>
      </c>
      <c r="Z395" s="27" t="str" cm="1">
        <f t="array" ref="Z395">IF($C395="","",_xlfn.XLOOKUP($A395&amp;$B395&amp;$C395,服务!$A:$A&amp;服务!$B:$B&amp;服务!$C:$C,服务!$D:$D))</f>
        <v/>
      </c>
    </row>
    <row r="396" customHeight="1" spans="1:26">
      <c r="A396" s="23" t="str">
        <f>IF(盘货信息!A396="","",盘货信息!A396)</f>
        <v/>
      </c>
      <c r="B396" s="26" t="str">
        <f>IF(盘货信息!B396="","",盘货信息!B396)</f>
        <v/>
      </c>
      <c r="C396" s="23" t="str">
        <f>IF(盘货信息!C396="","",盘货信息!C396)</f>
        <v/>
      </c>
      <c r="D396" s="27" t="str">
        <f ca="1" t="shared" si="6"/>
        <v/>
      </c>
      <c r="E396" s="27" t="str">
        <f>IF(C396="","",固定信息!$B$2)</f>
        <v/>
      </c>
      <c r="F396" s="27" t="str">
        <f>IF(C396="","","【"&amp;C396&amp;"】"&amp;固定信息!$B$4)</f>
        <v/>
      </c>
      <c r="G396" s="27" t="str">
        <f>IF(C396="","","【"&amp;"活动时间："&amp;固定信息!$B$3&amp;"】")</f>
        <v/>
      </c>
      <c r="H396" s="27" t="str">
        <f>IF($C396="","",固定信息!$B$1)</f>
        <v/>
      </c>
      <c r="I396" s="27" t="str">
        <f>IF(OR(C396="",固定信息!$B$5=""),"","【1元预约锁好礼】"&amp;固定信息!$B$5)</f>
        <v/>
      </c>
      <c r="J396" s="27" t="str" cm="1">
        <f t="array" ref="J396">_xlfn.XLOOKUP($A396&amp;$B396&amp;$C396,价格信息!$A:$A&amp;价格信息!$B:$B&amp;价格信息!$C:$C,价格信息!$D:$D)</f>
        <v/>
      </c>
      <c r="K396" s="27" t="str">
        <f>IF($C396="","",固定信息!$B$1)</f>
        <v/>
      </c>
      <c r="L396" s="27" t="str" cm="1">
        <f t="array" ref="L396">IF(_xlfn.XLOOKUP($A396&amp;$B396&amp;$C396,盘货信息!$A:$A&amp;盘货信息!$B:$B&amp;盘货信息!$C:$C,盘货信息!$T:$T)="","","【优惠券】领"&amp;_xlfn.XLOOKUP($A396&amp;$B396&amp;$C396,盘货信息!$A:$A&amp;盘货信息!$B:$B&amp;盘货信息!$C:$C,盘货信息!$T:$T)&amp;"元优惠卷下单更优惠，领券链接："&amp;_xlfn.XLOOKUP($A396&amp;$B396&amp;$C396,盘货信息!$A:$A&amp;盘货信息!$B:$B&amp;盘货信息!$C:$C,盘货信息!$U:$U))</f>
        <v/>
      </c>
      <c r="M396" s="27" t="str" cm="1">
        <f t="array" ref="M396">IF(_xlfn.XLOOKUP($A396&amp;$B396&amp;$C396,盘货信息!$A:$A&amp;盘货信息!$B:$B&amp;盘货信息!$C:$C,盘货信息!$P:$P)="","","【限时】"&amp;_xlfn.XLOOKUP($A396&amp;$B396&amp;$C396,盘货信息!$A:$A&amp;盘货信息!$B:$B&amp;盘货信息!$C:$C,盘货信息!$P:$P))</f>
        <v/>
      </c>
      <c r="N396" s="27" t="str" cm="1">
        <f t="array" ref="N396">IF(_xlfn.XLOOKUP($A396&amp;$B396&amp;$C396,盘货信息!$A:$A&amp;盘货信息!$B:$B&amp;盘货信息!$C:$C,盘货信息!$V:$V)="","","【"&amp;盘货信息!$V$1&amp;"】"&amp;_xlfn.XLOOKUP($A396&amp;$B396&amp;$C396,盘货信息!$A:$A&amp;盘货信息!$B:$B&amp;盘货信息!$C:$C,盘货信息!$V:$V))</f>
        <v/>
      </c>
      <c r="O396" s="27" t="str" cm="1">
        <f t="array" ref="O396">IF(_xlfn.XLOOKUP($A396&amp;$B396&amp;$C396,盘货信息!$A:$A&amp;盘货信息!$B:$B&amp;盘货信息!$C:$C,盘货信息!$W:$W)="","","【"&amp;盘货信息!$W$1&amp;"】"&amp;_xlfn.XLOOKUP($A396&amp;$B396&amp;$C396,盘货信息!$A:$A&amp;盘货信息!$B:$B&amp;盘货信息!$C:$C,盘货信息!$W:$W))</f>
        <v/>
      </c>
      <c r="P396" s="27" t="str" cm="1">
        <f t="array" ref="P396">IF(_xlfn.XLOOKUP($A396&amp;$B396&amp;$C396,盘货信息!$A:$A&amp;盘货信息!$B:$B&amp;盘货信息!$C:$C,盘货信息!$S:$S)&lt;1,"","【"&amp;盘货信息!$S$1&amp;"】"&amp;"后返"&amp;_xlfn.XLOOKUP($A396&amp;$B396&amp;$C396,盘货信息!$A:$A&amp;盘货信息!$B:$B&amp;盘货信息!$C:$C,盘货信息!$S:$S)&amp;"元")</f>
        <v/>
      </c>
      <c r="Q396" s="27" t="str" cm="1">
        <f t="array" ref="Q396">IF(_xlfn.XLOOKUP($A396&amp;$B396&amp;$C396,盘货信息!$A:$A&amp;盘货信息!$B:$B&amp;盘货信息!$C:$C,盘货信息!$X:$X)="","","【"&amp;盘货信息!$X$1&amp;"】"&amp;_xlfn.XLOOKUP($A396&amp;$B396&amp;$C396,盘货信息!$A:$A&amp;盘货信息!$B:$B&amp;盘货信息!$C:$C,盘货信息!$X:$X))</f>
        <v/>
      </c>
      <c r="R396" s="27" t="str" cm="1">
        <f t="array" ref="R396">IF(_xlfn.XLOOKUP($A396&amp;$B396&amp;$C396,盘货信息!$A:$A&amp;盘货信息!$B:$B&amp;盘货信息!$C:$C,盘货信息!$Z:$Z)="","","【"&amp;盘货信息!$Z$1&amp;"】"&amp;_xlfn.XLOOKUP($A396&amp;$B396&amp;$C396,盘货信息!$A:$A&amp;盘货信息!$B:$B&amp;盘货信息!$C:$C,盘货信息!$Z:$Z))</f>
        <v/>
      </c>
      <c r="S396" s="27" t="str" cm="1">
        <f t="array" ref="S396">IF(_xlfn.XLOOKUP($A396&amp;$B396&amp;$C396,盘货信息!$A:$A&amp;盘货信息!$B:$B&amp;盘货信息!$C:$C,盘货信息!$Q:$Q)="","","【种草】站外带指定话题种草后返"&amp;_xlfn.XLOOKUP($A396&amp;$B396&amp;$C396,盘货信息!$A:$A&amp;盘货信息!$B:$B&amp;盘货信息!$C:$C,盘货信息!$Q:$Q)&amp;"元红包（每个淘宝账号仅限对应一个站外种草账号，同一个种草账号不可对应多个淘宝账号）")</f>
        <v/>
      </c>
      <c r="T396" s="27" t="str" cm="1">
        <f t="array" ref="T396">IF(_xlfn.XLOOKUP($A396&amp;$B396&amp;$C396,盘货信息!$A:$A&amp;盘货信息!$B:$B&amp;盘货信息!$C:$C,盘货信息!$R:$R)&lt;1,"","【以旧换新】"&amp;"享补贴"&amp;ROUND(_xlfn.XLOOKUP($A396&amp;$B396&amp;$C396,盘货信息!$A:$A&amp;盘货信息!$B:$B&amp;盘货信息!$C:$C,盘货信息!$R:$R),0)&amp;"元（可无旧机换新）")</f>
        <v/>
      </c>
      <c r="U396" s="27" t="str">
        <f>IF(AND($N396="",$O396="",$P396="",$Q396="",$R396="",$S396="",$T396=""),"",固定信息!$B$1)</f>
        <v/>
      </c>
      <c r="V396" s="27" t="str" cm="1">
        <f t="array" ref="V396">IF(_xlfn.XLOOKUP($A396&amp;$B396&amp;$C396,盘货信息!$A:$A&amp;盘货信息!$B:$B&amp;盘货信息!$C:$C,盘货信息!$Y:$Y)="","","【卡萨帝送赠】活动指定时间"&amp;_xlfn.TEXTBEFORE(_xlfn.TEXTAFTER(_xlfn.XLOOKUP($A396&amp;$B396&amp;$C396,盘货信息!$A:$A&amp;盘货信息!$B:$B&amp;盘货信息!$C:$C,盘货信息!$Y:$Y),"点"),"（"))</f>
        <v/>
      </c>
      <c r="W396" s="27" t="str" cm="1">
        <f t="array" ref="W396">IF(COUNTIF(_xlfn.XLOOKUP($A396&amp;$B396&amp;$C396,盘货信息!$A:$A&amp;盘货信息!$B:$B&amp;盘货信息!$C:$C,盘货信息!$O:$O),"*是*"),"【折扣】指定型号满2类享96折，满3类享94折","")</f>
        <v/>
      </c>
      <c r="X396" s="27" t="str" cm="1">
        <f t="array" ref="X396">IF(固定信息!$B$7="","",IF(_xlfn.XLOOKUP($A396&amp;$B396&amp;$C396,盘货信息!$A:$A&amp;盘货信息!$B:$B&amp;盘货信息!$C:$C,盘货信息!$N:$N)="是","【瓜分】"&amp;固定信息!$B$7,""))</f>
        <v/>
      </c>
      <c r="Y396" s="27" t="str">
        <f>IF(AND($V396="",$W396="",$X396=""),"",固定信息!$B$1)</f>
        <v/>
      </c>
      <c r="Z396" s="27" t="str" cm="1">
        <f t="array" ref="Z396">IF($C396="","",_xlfn.XLOOKUP($A396&amp;$B396&amp;$C396,服务!$A:$A&amp;服务!$B:$B&amp;服务!$C:$C,服务!$D:$D))</f>
        <v/>
      </c>
    </row>
    <row r="397" customHeight="1" spans="1:26">
      <c r="A397" s="23" t="str">
        <f>IF(盘货信息!A397="","",盘货信息!A397)</f>
        <v/>
      </c>
      <c r="B397" s="26" t="str">
        <f>IF(盘货信息!B397="","",盘货信息!B397)</f>
        <v/>
      </c>
      <c r="C397" s="23" t="str">
        <f>IF(盘货信息!C397="","",盘货信息!C397)</f>
        <v/>
      </c>
      <c r="D397" s="27" t="str">
        <f ca="1" t="shared" si="6"/>
        <v/>
      </c>
      <c r="E397" s="27" t="str">
        <f>IF(C397="","",固定信息!$B$2)</f>
        <v/>
      </c>
      <c r="F397" s="27" t="str">
        <f>IF(C397="","","【"&amp;C397&amp;"】"&amp;固定信息!$B$4)</f>
        <v/>
      </c>
      <c r="G397" s="27" t="str">
        <f>IF(C397="","","【"&amp;"活动时间："&amp;固定信息!$B$3&amp;"】")</f>
        <v/>
      </c>
      <c r="H397" s="27" t="str">
        <f>IF($C397="","",固定信息!$B$1)</f>
        <v/>
      </c>
      <c r="I397" s="27" t="str">
        <f>IF(OR(C397="",固定信息!$B$5=""),"","【1元预约锁好礼】"&amp;固定信息!$B$5)</f>
        <v/>
      </c>
      <c r="J397" s="27" t="str" cm="1">
        <f t="array" ref="J397">_xlfn.XLOOKUP($A397&amp;$B397&amp;$C397,价格信息!$A:$A&amp;价格信息!$B:$B&amp;价格信息!$C:$C,价格信息!$D:$D)</f>
        <v/>
      </c>
      <c r="K397" s="27" t="str">
        <f>IF($C397="","",固定信息!$B$1)</f>
        <v/>
      </c>
      <c r="L397" s="27" t="str" cm="1">
        <f t="array" ref="L397">IF(_xlfn.XLOOKUP($A397&amp;$B397&amp;$C397,盘货信息!$A:$A&amp;盘货信息!$B:$B&amp;盘货信息!$C:$C,盘货信息!$T:$T)="","","【优惠券】领"&amp;_xlfn.XLOOKUP($A397&amp;$B397&amp;$C397,盘货信息!$A:$A&amp;盘货信息!$B:$B&amp;盘货信息!$C:$C,盘货信息!$T:$T)&amp;"元优惠卷下单更优惠，领券链接："&amp;_xlfn.XLOOKUP($A397&amp;$B397&amp;$C397,盘货信息!$A:$A&amp;盘货信息!$B:$B&amp;盘货信息!$C:$C,盘货信息!$U:$U))</f>
        <v/>
      </c>
      <c r="M397" s="27" t="str" cm="1">
        <f t="array" ref="M397">IF(_xlfn.XLOOKUP($A397&amp;$B397&amp;$C397,盘货信息!$A:$A&amp;盘货信息!$B:$B&amp;盘货信息!$C:$C,盘货信息!$P:$P)="","","【限时】"&amp;_xlfn.XLOOKUP($A397&amp;$B397&amp;$C397,盘货信息!$A:$A&amp;盘货信息!$B:$B&amp;盘货信息!$C:$C,盘货信息!$P:$P))</f>
        <v/>
      </c>
      <c r="N397" s="27" t="str" cm="1">
        <f t="array" ref="N397">IF(_xlfn.XLOOKUP($A397&amp;$B397&amp;$C397,盘货信息!$A:$A&amp;盘货信息!$B:$B&amp;盘货信息!$C:$C,盘货信息!$V:$V)="","","【"&amp;盘货信息!$V$1&amp;"】"&amp;_xlfn.XLOOKUP($A397&amp;$B397&amp;$C397,盘货信息!$A:$A&amp;盘货信息!$B:$B&amp;盘货信息!$C:$C,盘货信息!$V:$V))</f>
        <v/>
      </c>
      <c r="O397" s="27" t="str" cm="1">
        <f t="array" ref="O397">IF(_xlfn.XLOOKUP($A397&amp;$B397&amp;$C397,盘货信息!$A:$A&amp;盘货信息!$B:$B&amp;盘货信息!$C:$C,盘货信息!$W:$W)="","","【"&amp;盘货信息!$W$1&amp;"】"&amp;_xlfn.XLOOKUP($A397&amp;$B397&amp;$C397,盘货信息!$A:$A&amp;盘货信息!$B:$B&amp;盘货信息!$C:$C,盘货信息!$W:$W))</f>
        <v/>
      </c>
      <c r="P397" s="27" t="str" cm="1">
        <f t="array" ref="P397">IF(_xlfn.XLOOKUP($A397&amp;$B397&amp;$C397,盘货信息!$A:$A&amp;盘货信息!$B:$B&amp;盘货信息!$C:$C,盘货信息!$S:$S)&lt;1,"","【"&amp;盘货信息!$S$1&amp;"】"&amp;"后返"&amp;_xlfn.XLOOKUP($A397&amp;$B397&amp;$C397,盘货信息!$A:$A&amp;盘货信息!$B:$B&amp;盘货信息!$C:$C,盘货信息!$S:$S)&amp;"元")</f>
        <v/>
      </c>
      <c r="Q397" s="27" t="str" cm="1">
        <f t="array" ref="Q397">IF(_xlfn.XLOOKUP($A397&amp;$B397&amp;$C397,盘货信息!$A:$A&amp;盘货信息!$B:$B&amp;盘货信息!$C:$C,盘货信息!$X:$X)="","","【"&amp;盘货信息!$X$1&amp;"】"&amp;_xlfn.XLOOKUP($A397&amp;$B397&amp;$C397,盘货信息!$A:$A&amp;盘货信息!$B:$B&amp;盘货信息!$C:$C,盘货信息!$X:$X))</f>
        <v/>
      </c>
      <c r="R397" s="27" t="str" cm="1">
        <f t="array" ref="R397">IF(_xlfn.XLOOKUP($A397&amp;$B397&amp;$C397,盘货信息!$A:$A&amp;盘货信息!$B:$B&amp;盘货信息!$C:$C,盘货信息!$Z:$Z)="","","【"&amp;盘货信息!$Z$1&amp;"】"&amp;_xlfn.XLOOKUP($A397&amp;$B397&amp;$C397,盘货信息!$A:$A&amp;盘货信息!$B:$B&amp;盘货信息!$C:$C,盘货信息!$Z:$Z))</f>
        <v/>
      </c>
      <c r="S397" s="27" t="str" cm="1">
        <f t="array" ref="S397">IF(_xlfn.XLOOKUP($A397&amp;$B397&amp;$C397,盘货信息!$A:$A&amp;盘货信息!$B:$B&amp;盘货信息!$C:$C,盘货信息!$Q:$Q)="","","【种草】站外带指定话题种草后返"&amp;_xlfn.XLOOKUP($A397&amp;$B397&amp;$C397,盘货信息!$A:$A&amp;盘货信息!$B:$B&amp;盘货信息!$C:$C,盘货信息!$Q:$Q)&amp;"元红包（每个淘宝账号仅限对应一个站外种草账号，同一个种草账号不可对应多个淘宝账号）")</f>
        <v/>
      </c>
      <c r="T397" s="27" t="str" cm="1">
        <f t="array" ref="T397">IF(_xlfn.XLOOKUP($A397&amp;$B397&amp;$C397,盘货信息!$A:$A&amp;盘货信息!$B:$B&amp;盘货信息!$C:$C,盘货信息!$R:$R)&lt;1,"","【以旧换新】"&amp;"享补贴"&amp;ROUND(_xlfn.XLOOKUP($A397&amp;$B397&amp;$C397,盘货信息!$A:$A&amp;盘货信息!$B:$B&amp;盘货信息!$C:$C,盘货信息!$R:$R),0)&amp;"元（可无旧机换新）")</f>
        <v/>
      </c>
      <c r="U397" s="27" t="str">
        <f>IF(AND($N397="",$O397="",$P397="",$Q397="",$R397="",$S397="",$T397=""),"",固定信息!$B$1)</f>
        <v/>
      </c>
      <c r="V397" s="27" t="str" cm="1">
        <f t="array" ref="V397">IF(_xlfn.XLOOKUP($A397&amp;$B397&amp;$C397,盘货信息!$A:$A&amp;盘货信息!$B:$B&amp;盘货信息!$C:$C,盘货信息!$Y:$Y)="","","【卡萨帝送赠】活动指定时间"&amp;_xlfn.TEXTBEFORE(_xlfn.TEXTAFTER(_xlfn.XLOOKUP($A397&amp;$B397&amp;$C397,盘货信息!$A:$A&amp;盘货信息!$B:$B&amp;盘货信息!$C:$C,盘货信息!$Y:$Y),"点"),"（"))</f>
        <v/>
      </c>
      <c r="W397" s="27" t="str" cm="1">
        <f t="array" ref="W397">IF(COUNTIF(_xlfn.XLOOKUP($A397&amp;$B397&amp;$C397,盘货信息!$A:$A&amp;盘货信息!$B:$B&amp;盘货信息!$C:$C,盘货信息!$O:$O),"*是*"),"【折扣】指定型号满2类享96折，满3类享94折","")</f>
        <v/>
      </c>
      <c r="X397" s="27" t="str" cm="1">
        <f t="array" ref="X397">IF(固定信息!$B$7="","",IF(_xlfn.XLOOKUP($A397&amp;$B397&amp;$C397,盘货信息!$A:$A&amp;盘货信息!$B:$B&amp;盘货信息!$C:$C,盘货信息!$N:$N)="是","【瓜分】"&amp;固定信息!$B$7,""))</f>
        <v/>
      </c>
      <c r="Y397" s="27" t="str">
        <f>IF(AND($V397="",$W397="",$X397=""),"",固定信息!$B$1)</f>
        <v/>
      </c>
      <c r="Z397" s="27" t="str" cm="1">
        <f t="array" ref="Z397">IF($C397="","",_xlfn.XLOOKUP($A397&amp;$B397&amp;$C397,服务!$A:$A&amp;服务!$B:$B&amp;服务!$C:$C,服务!$D:$D))</f>
        <v/>
      </c>
    </row>
    <row r="398" customHeight="1" spans="1:26">
      <c r="A398" s="23" t="str">
        <f>IF(盘货信息!A398="","",盘货信息!A398)</f>
        <v/>
      </c>
      <c r="B398" s="26" t="str">
        <f>IF(盘货信息!B398="","",盘货信息!B398)</f>
        <v/>
      </c>
      <c r="C398" s="23" t="str">
        <f>IF(盘货信息!C398="","",盘货信息!C398)</f>
        <v/>
      </c>
      <c r="D398" s="27" t="str">
        <f ca="1" t="shared" si="6"/>
        <v/>
      </c>
      <c r="E398" s="27" t="str">
        <f>IF(C398="","",固定信息!$B$2)</f>
        <v/>
      </c>
      <c r="F398" s="27" t="str">
        <f>IF(C398="","","【"&amp;C398&amp;"】"&amp;固定信息!$B$4)</f>
        <v/>
      </c>
      <c r="G398" s="27" t="str">
        <f>IF(C398="","","【"&amp;"活动时间："&amp;固定信息!$B$3&amp;"】")</f>
        <v/>
      </c>
      <c r="H398" s="27" t="str">
        <f>IF($C398="","",固定信息!$B$1)</f>
        <v/>
      </c>
      <c r="I398" s="27" t="str">
        <f>IF(OR(C398="",固定信息!$B$5=""),"","【1元预约锁好礼】"&amp;固定信息!$B$5)</f>
        <v/>
      </c>
      <c r="J398" s="27" t="str" cm="1">
        <f t="array" ref="J398">_xlfn.XLOOKUP($A398&amp;$B398&amp;$C398,价格信息!$A:$A&amp;价格信息!$B:$B&amp;价格信息!$C:$C,价格信息!$D:$D)</f>
        <v/>
      </c>
      <c r="K398" s="27" t="str">
        <f>IF($C398="","",固定信息!$B$1)</f>
        <v/>
      </c>
      <c r="L398" s="27" t="str" cm="1">
        <f t="array" ref="L398">IF(_xlfn.XLOOKUP($A398&amp;$B398&amp;$C398,盘货信息!$A:$A&amp;盘货信息!$B:$B&amp;盘货信息!$C:$C,盘货信息!$T:$T)="","","【优惠券】领"&amp;_xlfn.XLOOKUP($A398&amp;$B398&amp;$C398,盘货信息!$A:$A&amp;盘货信息!$B:$B&amp;盘货信息!$C:$C,盘货信息!$T:$T)&amp;"元优惠卷下单更优惠，领券链接："&amp;_xlfn.XLOOKUP($A398&amp;$B398&amp;$C398,盘货信息!$A:$A&amp;盘货信息!$B:$B&amp;盘货信息!$C:$C,盘货信息!$U:$U))</f>
        <v/>
      </c>
      <c r="M398" s="27" t="str" cm="1">
        <f t="array" ref="M398">IF(_xlfn.XLOOKUP($A398&amp;$B398&amp;$C398,盘货信息!$A:$A&amp;盘货信息!$B:$B&amp;盘货信息!$C:$C,盘货信息!$P:$P)="","","【限时】"&amp;_xlfn.XLOOKUP($A398&amp;$B398&amp;$C398,盘货信息!$A:$A&amp;盘货信息!$B:$B&amp;盘货信息!$C:$C,盘货信息!$P:$P))</f>
        <v/>
      </c>
      <c r="N398" s="27" t="str" cm="1">
        <f t="array" ref="N398">IF(_xlfn.XLOOKUP($A398&amp;$B398&amp;$C398,盘货信息!$A:$A&amp;盘货信息!$B:$B&amp;盘货信息!$C:$C,盘货信息!$V:$V)="","","【"&amp;盘货信息!$V$1&amp;"】"&amp;_xlfn.XLOOKUP($A398&amp;$B398&amp;$C398,盘货信息!$A:$A&amp;盘货信息!$B:$B&amp;盘货信息!$C:$C,盘货信息!$V:$V))</f>
        <v/>
      </c>
      <c r="O398" s="27" t="str" cm="1">
        <f t="array" ref="O398">IF(_xlfn.XLOOKUP($A398&amp;$B398&amp;$C398,盘货信息!$A:$A&amp;盘货信息!$B:$B&amp;盘货信息!$C:$C,盘货信息!$W:$W)="","","【"&amp;盘货信息!$W$1&amp;"】"&amp;_xlfn.XLOOKUP($A398&amp;$B398&amp;$C398,盘货信息!$A:$A&amp;盘货信息!$B:$B&amp;盘货信息!$C:$C,盘货信息!$W:$W))</f>
        <v/>
      </c>
      <c r="P398" s="27" t="str" cm="1">
        <f t="array" ref="P398">IF(_xlfn.XLOOKUP($A398&amp;$B398&amp;$C398,盘货信息!$A:$A&amp;盘货信息!$B:$B&amp;盘货信息!$C:$C,盘货信息!$S:$S)&lt;1,"","【"&amp;盘货信息!$S$1&amp;"】"&amp;"后返"&amp;_xlfn.XLOOKUP($A398&amp;$B398&amp;$C398,盘货信息!$A:$A&amp;盘货信息!$B:$B&amp;盘货信息!$C:$C,盘货信息!$S:$S)&amp;"元")</f>
        <v/>
      </c>
      <c r="Q398" s="27" t="str" cm="1">
        <f t="array" ref="Q398">IF(_xlfn.XLOOKUP($A398&amp;$B398&amp;$C398,盘货信息!$A:$A&amp;盘货信息!$B:$B&amp;盘货信息!$C:$C,盘货信息!$X:$X)="","","【"&amp;盘货信息!$X$1&amp;"】"&amp;_xlfn.XLOOKUP($A398&amp;$B398&amp;$C398,盘货信息!$A:$A&amp;盘货信息!$B:$B&amp;盘货信息!$C:$C,盘货信息!$X:$X))</f>
        <v/>
      </c>
      <c r="R398" s="27" t="str" cm="1">
        <f t="array" ref="R398">IF(_xlfn.XLOOKUP($A398&amp;$B398&amp;$C398,盘货信息!$A:$A&amp;盘货信息!$B:$B&amp;盘货信息!$C:$C,盘货信息!$Z:$Z)="","","【"&amp;盘货信息!$Z$1&amp;"】"&amp;_xlfn.XLOOKUP($A398&amp;$B398&amp;$C398,盘货信息!$A:$A&amp;盘货信息!$B:$B&amp;盘货信息!$C:$C,盘货信息!$Z:$Z))</f>
        <v/>
      </c>
      <c r="S398" s="27" t="str" cm="1">
        <f t="array" ref="S398">IF(_xlfn.XLOOKUP($A398&amp;$B398&amp;$C398,盘货信息!$A:$A&amp;盘货信息!$B:$B&amp;盘货信息!$C:$C,盘货信息!$Q:$Q)="","","【种草】站外带指定话题种草后返"&amp;_xlfn.XLOOKUP($A398&amp;$B398&amp;$C398,盘货信息!$A:$A&amp;盘货信息!$B:$B&amp;盘货信息!$C:$C,盘货信息!$Q:$Q)&amp;"元红包（每个淘宝账号仅限对应一个站外种草账号，同一个种草账号不可对应多个淘宝账号）")</f>
        <v/>
      </c>
      <c r="T398" s="27" t="str" cm="1">
        <f t="array" ref="T398">IF(_xlfn.XLOOKUP($A398&amp;$B398&amp;$C398,盘货信息!$A:$A&amp;盘货信息!$B:$B&amp;盘货信息!$C:$C,盘货信息!$R:$R)&lt;1,"","【以旧换新】"&amp;"享补贴"&amp;ROUND(_xlfn.XLOOKUP($A398&amp;$B398&amp;$C398,盘货信息!$A:$A&amp;盘货信息!$B:$B&amp;盘货信息!$C:$C,盘货信息!$R:$R),0)&amp;"元（可无旧机换新）")</f>
        <v/>
      </c>
      <c r="U398" s="27" t="str">
        <f>IF(AND($N398="",$O398="",$P398="",$Q398="",$R398="",$S398="",$T398=""),"",固定信息!$B$1)</f>
        <v/>
      </c>
      <c r="V398" s="27" t="str" cm="1">
        <f t="array" ref="V398">IF(_xlfn.XLOOKUP($A398&amp;$B398&amp;$C398,盘货信息!$A:$A&amp;盘货信息!$B:$B&amp;盘货信息!$C:$C,盘货信息!$Y:$Y)="","","【卡萨帝送赠】活动指定时间"&amp;_xlfn.TEXTBEFORE(_xlfn.TEXTAFTER(_xlfn.XLOOKUP($A398&amp;$B398&amp;$C398,盘货信息!$A:$A&amp;盘货信息!$B:$B&amp;盘货信息!$C:$C,盘货信息!$Y:$Y),"点"),"（"))</f>
        <v/>
      </c>
      <c r="W398" s="27" t="str" cm="1">
        <f t="array" ref="W398">IF(COUNTIF(_xlfn.XLOOKUP($A398&amp;$B398&amp;$C398,盘货信息!$A:$A&amp;盘货信息!$B:$B&amp;盘货信息!$C:$C,盘货信息!$O:$O),"*是*"),"【折扣】指定型号满2类享96折，满3类享94折","")</f>
        <v/>
      </c>
      <c r="X398" s="27" t="str" cm="1">
        <f t="array" ref="X398">IF(固定信息!$B$7="","",IF(_xlfn.XLOOKUP($A398&amp;$B398&amp;$C398,盘货信息!$A:$A&amp;盘货信息!$B:$B&amp;盘货信息!$C:$C,盘货信息!$N:$N)="是","【瓜分】"&amp;固定信息!$B$7,""))</f>
        <v/>
      </c>
      <c r="Y398" s="27" t="str">
        <f>IF(AND($V398="",$W398="",$X398=""),"",固定信息!$B$1)</f>
        <v/>
      </c>
      <c r="Z398" s="27" t="str" cm="1">
        <f t="array" ref="Z398">IF($C398="","",_xlfn.XLOOKUP($A398&amp;$B398&amp;$C398,服务!$A:$A&amp;服务!$B:$B&amp;服务!$C:$C,服务!$D:$D))</f>
        <v/>
      </c>
    </row>
    <row r="399" customHeight="1" spans="1:26">
      <c r="A399" s="23" t="str">
        <f>IF(盘货信息!A399="","",盘货信息!A399)</f>
        <v/>
      </c>
      <c r="B399" s="26" t="str">
        <f>IF(盘货信息!B399="","",盘货信息!B399)</f>
        <v/>
      </c>
      <c r="C399" s="23" t="str">
        <f>IF(盘货信息!C399="","",盘货信息!C399)</f>
        <v/>
      </c>
      <c r="D399" s="27" t="str">
        <f ca="1" t="shared" si="6"/>
        <v/>
      </c>
      <c r="E399" s="27" t="str">
        <f>IF(C399="","",固定信息!$B$2)</f>
        <v/>
      </c>
      <c r="F399" s="27" t="str">
        <f>IF(C399="","","【"&amp;C399&amp;"】"&amp;固定信息!$B$4)</f>
        <v/>
      </c>
      <c r="G399" s="27" t="str">
        <f>IF(C399="","","【"&amp;"活动时间："&amp;固定信息!$B$3&amp;"】")</f>
        <v/>
      </c>
      <c r="H399" s="27" t="str">
        <f>IF($C399="","",固定信息!$B$1)</f>
        <v/>
      </c>
      <c r="I399" s="27" t="str">
        <f>IF(OR(C399="",固定信息!$B$5=""),"","【1元预约锁好礼】"&amp;固定信息!$B$5)</f>
        <v/>
      </c>
      <c r="J399" s="27" t="str" cm="1">
        <f t="array" ref="J399">_xlfn.XLOOKUP($A399&amp;$B399&amp;$C399,价格信息!$A:$A&amp;价格信息!$B:$B&amp;价格信息!$C:$C,价格信息!$D:$D)</f>
        <v/>
      </c>
      <c r="K399" s="27" t="str">
        <f>IF($C399="","",固定信息!$B$1)</f>
        <v/>
      </c>
      <c r="L399" s="27" t="str" cm="1">
        <f t="array" ref="L399">IF(_xlfn.XLOOKUP($A399&amp;$B399&amp;$C399,盘货信息!$A:$A&amp;盘货信息!$B:$B&amp;盘货信息!$C:$C,盘货信息!$T:$T)="","","【优惠券】领"&amp;_xlfn.XLOOKUP($A399&amp;$B399&amp;$C399,盘货信息!$A:$A&amp;盘货信息!$B:$B&amp;盘货信息!$C:$C,盘货信息!$T:$T)&amp;"元优惠卷下单更优惠，领券链接："&amp;_xlfn.XLOOKUP($A399&amp;$B399&amp;$C399,盘货信息!$A:$A&amp;盘货信息!$B:$B&amp;盘货信息!$C:$C,盘货信息!$U:$U))</f>
        <v/>
      </c>
      <c r="M399" s="27" t="str" cm="1">
        <f t="array" ref="M399">IF(_xlfn.XLOOKUP($A399&amp;$B399&amp;$C399,盘货信息!$A:$A&amp;盘货信息!$B:$B&amp;盘货信息!$C:$C,盘货信息!$P:$P)="","","【限时】"&amp;_xlfn.XLOOKUP($A399&amp;$B399&amp;$C399,盘货信息!$A:$A&amp;盘货信息!$B:$B&amp;盘货信息!$C:$C,盘货信息!$P:$P))</f>
        <v/>
      </c>
      <c r="N399" s="27" t="str" cm="1">
        <f t="array" ref="N399">IF(_xlfn.XLOOKUP($A399&amp;$B399&amp;$C399,盘货信息!$A:$A&amp;盘货信息!$B:$B&amp;盘货信息!$C:$C,盘货信息!$V:$V)="","","【"&amp;盘货信息!$V$1&amp;"】"&amp;_xlfn.XLOOKUP($A399&amp;$B399&amp;$C399,盘货信息!$A:$A&amp;盘货信息!$B:$B&amp;盘货信息!$C:$C,盘货信息!$V:$V))</f>
        <v/>
      </c>
      <c r="O399" s="27" t="str" cm="1">
        <f t="array" ref="O399">IF(_xlfn.XLOOKUP($A399&amp;$B399&amp;$C399,盘货信息!$A:$A&amp;盘货信息!$B:$B&amp;盘货信息!$C:$C,盘货信息!$W:$W)="","","【"&amp;盘货信息!$W$1&amp;"】"&amp;_xlfn.XLOOKUP($A399&amp;$B399&amp;$C399,盘货信息!$A:$A&amp;盘货信息!$B:$B&amp;盘货信息!$C:$C,盘货信息!$W:$W))</f>
        <v/>
      </c>
      <c r="P399" s="27" t="str" cm="1">
        <f t="array" ref="P399">IF(_xlfn.XLOOKUP($A399&amp;$B399&amp;$C399,盘货信息!$A:$A&amp;盘货信息!$B:$B&amp;盘货信息!$C:$C,盘货信息!$S:$S)&lt;1,"","【"&amp;盘货信息!$S$1&amp;"】"&amp;"后返"&amp;_xlfn.XLOOKUP($A399&amp;$B399&amp;$C399,盘货信息!$A:$A&amp;盘货信息!$B:$B&amp;盘货信息!$C:$C,盘货信息!$S:$S)&amp;"元")</f>
        <v/>
      </c>
      <c r="Q399" s="27" t="str" cm="1">
        <f t="array" ref="Q399">IF(_xlfn.XLOOKUP($A399&amp;$B399&amp;$C399,盘货信息!$A:$A&amp;盘货信息!$B:$B&amp;盘货信息!$C:$C,盘货信息!$X:$X)="","","【"&amp;盘货信息!$X$1&amp;"】"&amp;_xlfn.XLOOKUP($A399&amp;$B399&amp;$C399,盘货信息!$A:$A&amp;盘货信息!$B:$B&amp;盘货信息!$C:$C,盘货信息!$X:$X))</f>
        <v/>
      </c>
      <c r="R399" s="27" t="str" cm="1">
        <f t="array" ref="R399">IF(_xlfn.XLOOKUP($A399&amp;$B399&amp;$C399,盘货信息!$A:$A&amp;盘货信息!$B:$B&amp;盘货信息!$C:$C,盘货信息!$Z:$Z)="","","【"&amp;盘货信息!$Z$1&amp;"】"&amp;_xlfn.XLOOKUP($A399&amp;$B399&amp;$C399,盘货信息!$A:$A&amp;盘货信息!$B:$B&amp;盘货信息!$C:$C,盘货信息!$Z:$Z))</f>
        <v/>
      </c>
      <c r="S399" s="27" t="str" cm="1">
        <f t="array" ref="S399">IF(_xlfn.XLOOKUP($A399&amp;$B399&amp;$C399,盘货信息!$A:$A&amp;盘货信息!$B:$B&amp;盘货信息!$C:$C,盘货信息!$Q:$Q)="","","【种草】站外带指定话题种草后返"&amp;_xlfn.XLOOKUP($A399&amp;$B399&amp;$C399,盘货信息!$A:$A&amp;盘货信息!$B:$B&amp;盘货信息!$C:$C,盘货信息!$Q:$Q)&amp;"元红包（每个淘宝账号仅限对应一个站外种草账号，同一个种草账号不可对应多个淘宝账号）")</f>
        <v/>
      </c>
      <c r="T399" s="27" t="str" cm="1">
        <f t="array" ref="T399">IF(_xlfn.XLOOKUP($A399&amp;$B399&amp;$C399,盘货信息!$A:$A&amp;盘货信息!$B:$B&amp;盘货信息!$C:$C,盘货信息!$R:$R)&lt;1,"","【以旧换新】"&amp;"享补贴"&amp;ROUND(_xlfn.XLOOKUP($A399&amp;$B399&amp;$C399,盘货信息!$A:$A&amp;盘货信息!$B:$B&amp;盘货信息!$C:$C,盘货信息!$R:$R),0)&amp;"元（可无旧机换新）")</f>
        <v/>
      </c>
      <c r="U399" s="27" t="str">
        <f>IF(AND($N399="",$O399="",$P399="",$Q399="",$R399="",$S399="",$T399=""),"",固定信息!$B$1)</f>
        <v/>
      </c>
      <c r="V399" s="27" t="str" cm="1">
        <f t="array" ref="V399">IF(_xlfn.XLOOKUP($A399&amp;$B399&amp;$C399,盘货信息!$A:$A&amp;盘货信息!$B:$B&amp;盘货信息!$C:$C,盘货信息!$Y:$Y)="","","【卡萨帝送赠】活动指定时间"&amp;_xlfn.TEXTBEFORE(_xlfn.TEXTAFTER(_xlfn.XLOOKUP($A399&amp;$B399&amp;$C399,盘货信息!$A:$A&amp;盘货信息!$B:$B&amp;盘货信息!$C:$C,盘货信息!$Y:$Y),"点"),"（"))</f>
        <v/>
      </c>
      <c r="W399" s="27" t="str" cm="1">
        <f t="array" ref="W399">IF(COUNTIF(_xlfn.XLOOKUP($A399&amp;$B399&amp;$C399,盘货信息!$A:$A&amp;盘货信息!$B:$B&amp;盘货信息!$C:$C,盘货信息!$O:$O),"*是*"),"【折扣】指定型号满2类享96折，满3类享94折","")</f>
        <v/>
      </c>
      <c r="X399" s="27" t="str" cm="1">
        <f t="array" ref="X399">IF(固定信息!$B$7="","",IF(_xlfn.XLOOKUP($A399&amp;$B399&amp;$C399,盘货信息!$A:$A&amp;盘货信息!$B:$B&amp;盘货信息!$C:$C,盘货信息!$N:$N)="是","【瓜分】"&amp;固定信息!$B$7,""))</f>
        <v/>
      </c>
      <c r="Y399" s="27" t="str">
        <f>IF(AND($V399="",$W399="",$X399=""),"",固定信息!$B$1)</f>
        <v/>
      </c>
      <c r="Z399" s="27" t="str" cm="1">
        <f t="array" ref="Z399">IF($C399="","",_xlfn.XLOOKUP($A399&amp;$B399&amp;$C399,服务!$A:$A&amp;服务!$B:$B&amp;服务!$C:$C,服务!$D:$D))</f>
        <v/>
      </c>
    </row>
    <row r="400" customHeight="1" spans="1:26">
      <c r="A400" s="23" t="str">
        <f>IF(盘货信息!A400="","",盘货信息!A400)</f>
        <v/>
      </c>
      <c r="B400" s="26" t="str">
        <f>IF(盘货信息!B400="","",盘货信息!B400)</f>
        <v/>
      </c>
      <c r="C400" s="23" t="str">
        <f>IF(盘货信息!C400="","",盘货信息!C400)</f>
        <v/>
      </c>
      <c r="D400" s="27" t="str">
        <f ca="1" t="shared" si="6"/>
        <v/>
      </c>
      <c r="E400" s="27" t="str">
        <f>IF(C400="","",固定信息!$B$2)</f>
        <v/>
      </c>
      <c r="F400" s="27" t="str">
        <f>IF(C400="","","【"&amp;C400&amp;"】"&amp;固定信息!$B$4)</f>
        <v/>
      </c>
      <c r="G400" s="27" t="str">
        <f>IF(C400="","","【"&amp;"活动时间："&amp;固定信息!$B$3&amp;"】")</f>
        <v/>
      </c>
      <c r="H400" s="27" t="str">
        <f>IF($C400="","",固定信息!$B$1)</f>
        <v/>
      </c>
      <c r="I400" s="27" t="str">
        <f>IF(OR(C400="",固定信息!$B$5=""),"","【1元预约锁好礼】"&amp;固定信息!$B$5)</f>
        <v/>
      </c>
      <c r="J400" s="27" t="str" cm="1">
        <f t="array" ref="J400">_xlfn.XLOOKUP($A400&amp;$B400&amp;$C400,价格信息!$A:$A&amp;价格信息!$B:$B&amp;价格信息!$C:$C,价格信息!$D:$D)</f>
        <v/>
      </c>
      <c r="K400" s="27" t="str">
        <f>IF($C400="","",固定信息!$B$1)</f>
        <v/>
      </c>
      <c r="L400" s="27" t="str" cm="1">
        <f t="array" ref="L400">IF(_xlfn.XLOOKUP($A400&amp;$B400&amp;$C400,盘货信息!$A:$A&amp;盘货信息!$B:$B&amp;盘货信息!$C:$C,盘货信息!$T:$T)="","","【优惠券】领"&amp;_xlfn.XLOOKUP($A400&amp;$B400&amp;$C400,盘货信息!$A:$A&amp;盘货信息!$B:$B&amp;盘货信息!$C:$C,盘货信息!$T:$T)&amp;"元优惠卷下单更优惠，领券链接："&amp;_xlfn.XLOOKUP($A400&amp;$B400&amp;$C400,盘货信息!$A:$A&amp;盘货信息!$B:$B&amp;盘货信息!$C:$C,盘货信息!$U:$U))</f>
        <v/>
      </c>
      <c r="M400" s="27" t="str" cm="1">
        <f t="array" ref="M400">IF(_xlfn.XLOOKUP($A400&amp;$B400&amp;$C400,盘货信息!$A:$A&amp;盘货信息!$B:$B&amp;盘货信息!$C:$C,盘货信息!$P:$P)="","","【限时】"&amp;_xlfn.XLOOKUP($A400&amp;$B400&amp;$C400,盘货信息!$A:$A&amp;盘货信息!$B:$B&amp;盘货信息!$C:$C,盘货信息!$P:$P))</f>
        <v/>
      </c>
      <c r="N400" s="27" t="str" cm="1">
        <f t="array" ref="N400">IF(_xlfn.XLOOKUP($A400&amp;$B400&amp;$C400,盘货信息!$A:$A&amp;盘货信息!$B:$B&amp;盘货信息!$C:$C,盘货信息!$V:$V)="","","【"&amp;盘货信息!$V$1&amp;"】"&amp;_xlfn.XLOOKUP($A400&amp;$B400&amp;$C400,盘货信息!$A:$A&amp;盘货信息!$B:$B&amp;盘货信息!$C:$C,盘货信息!$V:$V))</f>
        <v/>
      </c>
      <c r="O400" s="27" t="str" cm="1">
        <f t="array" ref="O400">IF(_xlfn.XLOOKUP($A400&amp;$B400&amp;$C400,盘货信息!$A:$A&amp;盘货信息!$B:$B&amp;盘货信息!$C:$C,盘货信息!$W:$W)="","","【"&amp;盘货信息!$W$1&amp;"】"&amp;_xlfn.XLOOKUP($A400&amp;$B400&amp;$C400,盘货信息!$A:$A&amp;盘货信息!$B:$B&amp;盘货信息!$C:$C,盘货信息!$W:$W))</f>
        <v/>
      </c>
      <c r="P400" s="27" t="str" cm="1">
        <f t="array" ref="P400">IF(_xlfn.XLOOKUP($A400&amp;$B400&amp;$C400,盘货信息!$A:$A&amp;盘货信息!$B:$B&amp;盘货信息!$C:$C,盘货信息!$S:$S)&lt;1,"","【"&amp;盘货信息!$S$1&amp;"】"&amp;"后返"&amp;_xlfn.XLOOKUP($A400&amp;$B400&amp;$C400,盘货信息!$A:$A&amp;盘货信息!$B:$B&amp;盘货信息!$C:$C,盘货信息!$S:$S)&amp;"元")</f>
        <v/>
      </c>
      <c r="Q400" s="27" t="str" cm="1">
        <f t="array" ref="Q400">IF(_xlfn.XLOOKUP($A400&amp;$B400&amp;$C400,盘货信息!$A:$A&amp;盘货信息!$B:$B&amp;盘货信息!$C:$C,盘货信息!$X:$X)="","","【"&amp;盘货信息!$X$1&amp;"】"&amp;_xlfn.XLOOKUP($A400&amp;$B400&amp;$C400,盘货信息!$A:$A&amp;盘货信息!$B:$B&amp;盘货信息!$C:$C,盘货信息!$X:$X))</f>
        <v/>
      </c>
      <c r="R400" s="27" t="str" cm="1">
        <f t="array" ref="R400">IF(_xlfn.XLOOKUP($A400&amp;$B400&amp;$C400,盘货信息!$A:$A&amp;盘货信息!$B:$B&amp;盘货信息!$C:$C,盘货信息!$Z:$Z)="","","【"&amp;盘货信息!$Z$1&amp;"】"&amp;_xlfn.XLOOKUP($A400&amp;$B400&amp;$C400,盘货信息!$A:$A&amp;盘货信息!$B:$B&amp;盘货信息!$C:$C,盘货信息!$Z:$Z))</f>
        <v/>
      </c>
      <c r="S400" s="27" t="str" cm="1">
        <f t="array" ref="S400">IF(_xlfn.XLOOKUP($A400&amp;$B400&amp;$C400,盘货信息!$A:$A&amp;盘货信息!$B:$B&amp;盘货信息!$C:$C,盘货信息!$Q:$Q)="","","【种草】站外带指定话题种草后返"&amp;_xlfn.XLOOKUP($A400&amp;$B400&amp;$C400,盘货信息!$A:$A&amp;盘货信息!$B:$B&amp;盘货信息!$C:$C,盘货信息!$Q:$Q)&amp;"元红包（每个淘宝账号仅限对应一个站外种草账号，同一个种草账号不可对应多个淘宝账号）")</f>
        <v/>
      </c>
      <c r="T400" s="27" t="str" cm="1">
        <f t="array" ref="T400">IF(_xlfn.XLOOKUP($A400&amp;$B400&amp;$C400,盘货信息!$A:$A&amp;盘货信息!$B:$B&amp;盘货信息!$C:$C,盘货信息!$R:$R)&lt;1,"","【以旧换新】"&amp;"享补贴"&amp;ROUND(_xlfn.XLOOKUP($A400&amp;$B400&amp;$C400,盘货信息!$A:$A&amp;盘货信息!$B:$B&amp;盘货信息!$C:$C,盘货信息!$R:$R),0)&amp;"元（可无旧机换新）")</f>
        <v/>
      </c>
      <c r="U400" s="27" t="str">
        <f>IF(AND($N400="",$O400="",$P400="",$Q400="",$R400="",$S400="",$T400=""),"",固定信息!$B$1)</f>
        <v/>
      </c>
      <c r="V400" s="27" t="str" cm="1">
        <f t="array" ref="V400">IF(_xlfn.XLOOKUP($A400&amp;$B400&amp;$C400,盘货信息!$A:$A&amp;盘货信息!$B:$B&amp;盘货信息!$C:$C,盘货信息!$Y:$Y)="","","【卡萨帝送赠】活动指定时间"&amp;_xlfn.TEXTBEFORE(_xlfn.TEXTAFTER(_xlfn.XLOOKUP($A400&amp;$B400&amp;$C400,盘货信息!$A:$A&amp;盘货信息!$B:$B&amp;盘货信息!$C:$C,盘货信息!$Y:$Y),"点"),"（"))</f>
        <v/>
      </c>
      <c r="W400" s="27" t="str" cm="1">
        <f t="array" ref="W400">IF(COUNTIF(_xlfn.XLOOKUP($A400&amp;$B400&amp;$C400,盘货信息!$A:$A&amp;盘货信息!$B:$B&amp;盘货信息!$C:$C,盘货信息!$O:$O),"*是*"),"【折扣】指定型号满2类享96折，满3类享94折","")</f>
        <v/>
      </c>
      <c r="X400" s="27" t="str" cm="1">
        <f t="array" ref="X400">IF(固定信息!$B$7="","",IF(_xlfn.XLOOKUP($A400&amp;$B400&amp;$C400,盘货信息!$A:$A&amp;盘货信息!$B:$B&amp;盘货信息!$C:$C,盘货信息!$N:$N)="是","【瓜分】"&amp;固定信息!$B$7,""))</f>
        <v/>
      </c>
      <c r="Y400" s="27" t="str">
        <f>IF(AND($V400="",$W400="",$X400=""),"",固定信息!$B$1)</f>
        <v/>
      </c>
      <c r="Z400" s="27" t="str" cm="1">
        <f t="array" ref="Z400">IF($C400="","",_xlfn.XLOOKUP($A400&amp;$B400&amp;$C400,服务!$A:$A&amp;服务!$B:$B&amp;服务!$C:$C,服务!$D:$D))</f>
        <v/>
      </c>
    </row>
    <row r="401" customHeight="1" spans="1:26">
      <c r="A401" s="23" t="str">
        <f>IF(盘货信息!A401="","",盘货信息!A401)</f>
        <v/>
      </c>
      <c r="B401" s="26" t="str">
        <f>IF(盘货信息!B401="","",盘货信息!B401)</f>
        <v/>
      </c>
      <c r="C401" s="23" t="str">
        <f>IF(盘货信息!C401="","",盘货信息!C401)</f>
        <v/>
      </c>
      <c r="D401" s="27" t="str">
        <f ca="1" t="shared" si="6"/>
        <v/>
      </c>
      <c r="E401" s="27" t="str">
        <f>IF(C401="","",固定信息!$B$2)</f>
        <v/>
      </c>
      <c r="F401" s="27" t="str">
        <f>IF(C401="","","【"&amp;C401&amp;"】"&amp;固定信息!$B$4)</f>
        <v/>
      </c>
      <c r="G401" s="27" t="str">
        <f>IF(C401="","","【"&amp;"活动时间："&amp;固定信息!$B$3&amp;"】")</f>
        <v/>
      </c>
      <c r="H401" s="27" t="str">
        <f>IF($C401="","",固定信息!$B$1)</f>
        <v/>
      </c>
      <c r="I401" s="27" t="str">
        <f>IF(OR(C401="",固定信息!$B$5=""),"","【1元预约锁好礼】"&amp;固定信息!$B$5)</f>
        <v/>
      </c>
      <c r="J401" s="27" t="str" cm="1">
        <f t="array" ref="J401">_xlfn.XLOOKUP($A401&amp;$B401&amp;$C401,价格信息!$A:$A&amp;价格信息!$B:$B&amp;价格信息!$C:$C,价格信息!$D:$D)</f>
        <v/>
      </c>
      <c r="K401" s="27" t="str">
        <f>IF($C401="","",固定信息!$B$1)</f>
        <v/>
      </c>
      <c r="L401" s="27" t="str" cm="1">
        <f t="array" ref="L401">IF(_xlfn.XLOOKUP($A401&amp;$B401&amp;$C401,盘货信息!$A:$A&amp;盘货信息!$B:$B&amp;盘货信息!$C:$C,盘货信息!$T:$T)="","","【优惠券】领"&amp;_xlfn.XLOOKUP($A401&amp;$B401&amp;$C401,盘货信息!$A:$A&amp;盘货信息!$B:$B&amp;盘货信息!$C:$C,盘货信息!$T:$T)&amp;"元优惠卷下单更优惠，领券链接："&amp;_xlfn.XLOOKUP($A401&amp;$B401&amp;$C401,盘货信息!$A:$A&amp;盘货信息!$B:$B&amp;盘货信息!$C:$C,盘货信息!$U:$U))</f>
        <v/>
      </c>
      <c r="M401" s="27" t="str" cm="1">
        <f t="array" ref="M401">IF(_xlfn.XLOOKUP($A401&amp;$B401&amp;$C401,盘货信息!$A:$A&amp;盘货信息!$B:$B&amp;盘货信息!$C:$C,盘货信息!$P:$P)="","","【限时】"&amp;_xlfn.XLOOKUP($A401&amp;$B401&amp;$C401,盘货信息!$A:$A&amp;盘货信息!$B:$B&amp;盘货信息!$C:$C,盘货信息!$P:$P))</f>
        <v/>
      </c>
      <c r="N401" s="27" t="str" cm="1">
        <f t="array" ref="N401">IF(_xlfn.XLOOKUP($A401&amp;$B401&amp;$C401,盘货信息!$A:$A&amp;盘货信息!$B:$B&amp;盘货信息!$C:$C,盘货信息!$V:$V)="","","【"&amp;盘货信息!$V$1&amp;"】"&amp;_xlfn.XLOOKUP($A401&amp;$B401&amp;$C401,盘货信息!$A:$A&amp;盘货信息!$B:$B&amp;盘货信息!$C:$C,盘货信息!$V:$V))</f>
        <v/>
      </c>
      <c r="O401" s="27" t="str" cm="1">
        <f t="array" ref="O401">IF(_xlfn.XLOOKUP($A401&amp;$B401&amp;$C401,盘货信息!$A:$A&amp;盘货信息!$B:$B&amp;盘货信息!$C:$C,盘货信息!$W:$W)="","","【"&amp;盘货信息!$W$1&amp;"】"&amp;_xlfn.XLOOKUP($A401&amp;$B401&amp;$C401,盘货信息!$A:$A&amp;盘货信息!$B:$B&amp;盘货信息!$C:$C,盘货信息!$W:$W))</f>
        <v/>
      </c>
      <c r="P401" s="27" t="str" cm="1">
        <f t="array" ref="P401">IF(_xlfn.XLOOKUP($A401&amp;$B401&amp;$C401,盘货信息!$A:$A&amp;盘货信息!$B:$B&amp;盘货信息!$C:$C,盘货信息!$S:$S)&lt;1,"","【"&amp;盘货信息!$S$1&amp;"】"&amp;"后返"&amp;_xlfn.XLOOKUP($A401&amp;$B401&amp;$C401,盘货信息!$A:$A&amp;盘货信息!$B:$B&amp;盘货信息!$C:$C,盘货信息!$S:$S)&amp;"元")</f>
        <v/>
      </c>
      <c r="Q401" s="27" t="str" cm="1">
        <f t="array" ref="Q401">IF(_xlfn.XLOOKUP($A401&amp;$B401&amp;$C401,盘货信息!$A:$A&amp;盘货信息!$B:$B&amp;盘货信息!$C:$C,盘货信息!$X:$X)="","","【"&amp;盘货信息!$X$1&amp;"】"&amp;_xlfn.XLOOKUP($A401&amp;$B401&amp;$C401,盘货信息!$A:$A&amp;盘货信息!$B:$B&amp;盘货信息!$C:$C,盘货信息!$X:$X))</f>
        <v/>
      </c>
      <c r="R401" s="27" t="str" cm="1">
        <f t="array" ref="R401">IF(_xlfn.XLOOKUP($A401&amp;$B401&amp;$C401,盘货信息!$A:$A&amp;盘货信息!$B:$B&amp;盘货信息!$C:$C,盘货信息!$Z:$Z)="","","【"&amp;盘货信息!$Z$1&amp;"】"&amp;_xlfn.XLOOKUP($A401&amp;$B401&amp;$C401,盘货信息!$A:$A&amp;盘货信息!$B:$B&amp;盘货信息!$C:$C,盘货信息!$Z:$Z))</f>
        <v/>
      </c>
      <c r="S401" s="27" t="str" cm="1">
        <f t="array" ref="S401">IF(_xlfn.XLOOKUP($A401&amp;$B401&amp;$C401,盘货信息!$A:$A&amp;盘货信息!$B:$B&amp;盘货信息!$C:$C,盘货信息!$Q:$Q)="","","【种草】站外带指定话题种草后返"&amp;_xlfn.XLOOKUP($A401&amp;$B401&amp;$C401,盘货信息!$A:$A&amp;盘货信息!$B:$B&amp;盘货信息!$C:$C,盘货信息!$Q:$Q)&amp;"元红包（每个淘宝账号仅限对应一个站外种草账号，同一个种草账号不可对应多个淘宝账号）")</f>
        <v/>
      </c>
      <c r="T401" s="27" t="str" cm="1">
        <f t="array" ref="T401">IF(_xlfn.XLOOKUP($A401&amp;$B401&amp;$C401,盘货信息!$A:$A&amp;盘货信息!$B:$B&amp;盘货信息!$C:$C,盘货信息!$R:$R)&lt;1,"","【以旧换新】"&amp;"享补贴"&amp;ROUND(_xlfn.XLOOKUP($A401&amp;$B401&amp;$C401,盘货信息!$A:$A&amp;盘货信息!$B:$B&amp;盘货信息!$C:$C,盘货信息!$R:$R),0)&amp;"元（可无旧机换新）")</f>
        <v/>
      </c>
      <c r="U401" s="27" t="str">
        <f>IF(AND($N401="",$O401="",$P401="",$Q401="",$R401="",$S401="",$T401=""),"",固定信息!$B$1)</f>
        <v/>
      </c>
      <c r="V401" s="27" t="str" cm="1">
        <f t="array" ref="V401">IF(_xlfn.XLOOKUP($A401&amp;$B401&amp;$C401,盘货信息!$A:$A&amp;盘货信息!$B:$B&amp;盘货信息!$C:$C,盘货信息!$Y:$Y)="","","【卡萨帝送赠】活动指定时间"&amp;_xlfn.TEXTBEFORE(_xlfn.TEXTAFTER(_xlfn.XLOOKUP($A401&amp;$B401&amp;$C401,盘货信息!$A:$A&amp;盘货信息!$B:$B&amp;盘货信息!$C:$C,盘货信息!$Y:$Y),"点"),"（"))</f>
        <v/>
      </c>
      <c r="W401" s="27" t="str" cm="1">
        <f t="array" ref="W401">IF(COUNTIF(_xlfn.XLOOKUP($A401&amp;$B401&amp;$C401,盘货信息!$A:$A&amp;盘货信息!$B:$B&amp;盘货信息!$C:$C,盘货信息!$O:$O),"*是*"),"【折扣】指定型号满2类享96折，满3类享94折","")</f>
        <v/>
      </c>
      <c r="X401" s="27" t="str" cm="1">
        <f t="array" ref="X401">IF(固定信息!$B$7="","",IF(_xlfn.XLOOKUP($A401&amp;$B401&amp;$C401,盘货信息!$A:$A&amp;盘货信息!$B:$B&amp;盘货信息!$C:$C,盘货信息!$N:$N)="是","【瓜分】"&amp;固定信息!$B$7,""))</f>
        <v/>
      </c>
      <c r="Y401" s="27" t="str">
        <f>IF(AND($V401="",$W401="",$X401=""),"",固定信息!$B$1)</f>
        <v/>
      </c>
      <c r="Z401" s="27" t="str" cm="1">
        <f t="array" ref="Z401">IF($C401="","",_xlfn.XLOOKUP($A401&amp;$B401&amp;$C401,服务!$A:$A&amp;服务!$B:$B&amp;服务!$C:$C,服务!$D:$D))</f>
        <v/>
      </c>
    </row>
    <row r="402" customHeight="1" spans="1:26">
      <c r="A402" s="23" t="str">
        <f>IF(盘货信息!A402="","",盘货信息!A402)</f>
        <v/>
      </c>
      <c r="B402" s="26" t="str">
        <f>IF(盘货信息!B402="","",盘货信息!B402)</f>
        <v/>
      </c>
      <c r="C402" s="23" t="str">
        <f>IF(盘货信息!C402="","",盘货信息!C402)</f>
        <v/>
      </c>
      <c r="D402" s="27" t="str">
        <f ca="1" t="shared" si="6"/>
        <v/>
      </c>
      <c r="E402" s="27" t="str">
        <f>IF(C402="","",固定信息!$B$2)</f>
        <v/>
      </c>
      <c r="F402" s="27" t="str">
        <f>IF(C402="","","【"&amp;C402&amp;"】"&amp;固定信息!$B$4)</f>
        <v/>
      </c>
      <c r="G402" s="27" t="str">
        <f>IF(C402="","","【"&amp;"活动时间："&amp;固定信息!$B$3&amp;"】")</f>
        <v/>
      </c>
      <c r="H402" s="27" t="str">
        <f>IF($C402="","",固定信息!$B$1)</f>
        <v/>
      </c>
      <c r="I402" s="27" t="str">
        <f>IF(OR(C402="",固定信息!$B$5=""),"","【1元预约锁好礼】"&amp;固定信息!$B$5)</f>
        <v/>
      </c>
      <c r="J402" s="27" t="str" cm="1">
        <f t="array" ref="J402">_xlfn.XLOOKUP($A402&amp;$B402&amp;$C402,价格信息!$A:$A&amp;价格信息!$B:$B&amp;价格信息!$C:$C,价格信息!$D:$D)</f>
        <v/>
      </c>
      <c r="K402" s="27" t="str">
        <f>IF($C402="","",固定信息!$B$1)</f>
        <v/>
      </c>
      <c r="L402" s="27" t="str" cm="1">
        <f t="array" ref="L402">IF(_xlfn.XLOOKUP($A402&amp;$B402&amp;$C402,盘货信息!$A:$A&amp;盘货信息!$B:$B&amp;盘货信息!$C:$C,盘货信息!$T:$T)="","","【优惠券】领"&amp;_xlfn.XLOOKUP($A402&amp;$B402&amp;$C402,盘货信息!$A:$A&amp;盘货信息!$B:$B&amp;盘货信息!$C:$C,盘货信息!$T:$T)&amp;"元优惠卷下单更优惠，领券链接："&amp;_xlfn.XLOOKUP($A402&amp;$B402&amp;$C402,盘货信息!$A:$A&amp;盘货信息!$B:$B&amp;盘货信息!$C:$C,盘货信息!$U:$U))</f>
        <v/>
      </c>
      <c r="M402" s="27" t="str" cm="1">
        <f t="array" ref="M402">IF(_xlfn.XLOOKUP($A402&amp;$B402&amp;$C402,盘货信息!$A:$A&amp;盘货信息!$B:$B&amp;盘货信息!$C:$C,盘货信息!$P:$P)="","","【限时】"&amp;_xlfn.XLOOKUP($A402&amp;$B402&amp;$C402,盘货信息!$A:$A&amp;盘货信息!$B:$B&amp;盘货信息!$C:$C,盘货信息!$P:$P))</f>
        <v/>
      </c>
      <c r="N402" s="27" t="str" cm="1">
        <f t="array" ref="N402">IF(_xlfn.XLOOKUP($A402&amp;$B402&amp;$C402,盘货信息!$A:$A&amp;盘货信息!$B:$B&amp;盘货信息!$C:$C,盘货信息!$V:$V)="","","【"&amp;盘货信息!$V$1&amp;"】"&amp;_xlfn.XLOOKUP($A402&amp;$B402&amp;$C402,盘货信息!$A:$A&amp;盘货信息!$B:$B&amp;盘货信息!$C:$C,盘货信息!$V:$V))</f>
        <v/>
      </c>
      <c r="O402" s="27" t="str" cm="1">
        <f t="array" ref="O402">IF(_xlfn.XLOOKUP($A402&amp;$B402&amp;$C402,盘货信息!$A:$A&amp;盘货信息!$B:$B&amp;盘货信息!$C:$C,盘货信息!$W:$W)="","","【"&amp;盘货信息!$W$1&amp;"】"&amp;_xlfn.XLOOKUP($A402&amp;$B402&amp;$C402,盘货信息!$A:$A&amp;盘货信息!$B:$B&amp;盘货信息!$C:$C,盘货信息!$W:$W))</f>
        <v/>
      </c>
      <c r="P402" s="27" t="str" cm="1">
        <f t="array" ref="P402">IF(_xlfn.XLOOKUP($A402&amp;$B402&amp;$C402,盘货信息!$A:$A&amp;盘货信息!$B:$B&amp;盘货信息!$C:$C,盘货信息!$S:$S)&lt;1,"","【"&amp;盘货信息!$S$1&amp;"】"&amp;"后返"&amp;_xlfn.XLOOKUP($A402&amp;$B402&amp;$C402,盘货信息!$A:$A&amp;盘货信息!$B:$B&amp;盘货信息!$C:$C,盘货信息!$S:$S)&amp;"元")</f>
        <v/>
      </c>
      <c r="Q402" s="27" t="str" cm="1">
        <f t="array" ref="Q402">IF(_xlfn.XLOOKUP($A402&amp;$B402&amp;$C402,盘货信息!$A:$A&amp;盘货信息!$B:$B&amp;盘货信息!$C:$C,盘货信息!$X:$X)="","","【"&amp;盘货信息!$X$1&amp;"】"&amp;_xlfn.XLOOKUP($A402&amp;$B402&amp;$C402,盘货信息!$A:$A&amp;盘货信息!$B:$B&amp;盘货信息!$C:$C,盘货信息!$X:$X))</f>
        <v/>
      </c>
      <c r="R402" s="27" t="str" cm="1">
        <f t="array" ref="R402">IF(_xlfn.XLOOKUP($A402&amp;$B402&amp;$C402,盘货信息!$A:$A&amp;盘货信息!$B:$B&amp;盘货信息!$C:$C,盘货信息!$Z:$Z)="","","【"&amp;盘货信息!$Z$1&amp;"】"&amp;_xlfn.XLOOKUP($A402&amp;$B402&amp;$C402,盘货信息!$A:$A&amp;盘货信息!$B:$B&amp;盘货信息!$C:$C,盘货信息!$Z:$Z))</f>
        <v/>
      </c>
      <c r="S402" s="27" t="str" cm="1">
        <f t="array" ref="S402">IF(_xlfn.XLOOKUP($A402&amp;$B402&amp;$C402,盘货信息!$A:$A&amp;盘货信息!$B:$B&amp;盘货信息!$C:$C,盘货信息!$Q:$Q)="","","【种草】站外带指定话题种草后返"&amp;_xlfn.XLOOKUP($A402&amp;$B402&amp;$C402,盘货信息!$A:$A&amp;盘货信息!$B:$B&amp;盘货信息!$C:$C,盘货信息!$Q:$Q)&amp;"元红包（每个淘宝账号仅限对应一个站外种草账号，同一个种草账号不可对应多个淘宝账号）")</f>
        <v/>
      </c>
      <c r="T402" s="27" t="str" cm="1">
        <f t="array" ref="T402">IF(_xlfn.XLOOKUP($A402&amp;$B402&amp;$C402,盘货信息!$A:$A&amp;盘货信息!$B:$B&amp;盘货信息!$C:$C,盘货信息!$R:$R)&lt;1,"","【以旧换新】"&amp;"享补贴"&amp;ROUND(_xlfn.XLOOKUP($A402&amp;$B402&amp;$C402,盘货信息!$A:$A&amp;盘货信息!$B:$B&amp;盘货信息!$C:$C,盘货信息!$R:$R),0)&amp;"元（可无旧机换新）")</f>
        <v/>
      </c>
      <c r="U402" s="27" t="str">
        <f>IF(AND($N402="",$O402="",$P402="",$Q402="",$R402="",$S402="",$T402=""),"",固定信息!$B$1)</f>
        <v/>
      </c>
      <c r="V402" s="27" t="str" cm="1">
        <f t="array" ref="V402">IF(_xlfn.XLOOKUP($A402&amp;$B402&amp;$C402,盘货信息!$A:$A&amp;盘货信息!$B:$B&amp;盘货信息!$C:$C,盘货信息!$Y:$Y)="","","【卡萨帝送赠】活动指定时间"&amp;_xlfn.TEXTBEFORE(_xlfn.TEXTAFTER(_xlfn.XLOOKUP($A402&amp;$B402&amp;$C402,盘货信息!$A:$A&amp;盘货信息!$B:$B&amp;盘货信息!$C:$C,盘货信息!$Y:$Y),"点"),"（"))</f>
        <v/>
      </c>
      <c r="W402" s="27" t="str" cm="1">
        <f t="array" ref="W402">IF(COUNTIF(_xlfn.XLOOKUP($A402&amp;$B402&amp;$C402,盘货信息!$A:$A&amp;盘货信息!$B:$B&amp;盘货信息!$C:$C,盘货信息!$O:$O),"*是*"),"【折扣】指定型号满2类享96折，满3类享94折","")</f>
        <v/>
      </c>
      <c r="X402" s="27" t="str" cm="1">
        <f t="array" ref="X402">IF(固定信息!$B$7="","",IF(_xlfn.XLOOKUP($A402&amp;$B402&amp;$C402,盘货信息!$A:$A&amp;盘货信息!$B:$B&amp;盘货信息!$C:$C,盘货信息!$N:$N)="是","【瓜分】"&amp;固定信息!$B$7,""))</f>
        <v/>
      </c>
      <c r="Y402" s="27" t="str">
        <f>IF(AND($V402="",$W402="",$X402=""),"",固定信息!$B$1)</f>
        <v/>
      </c>
      <c r="Z402" s="27" t="str" cm="1">
        <f t="array" ref="Z402">IF($C402="","",_xlfn.XLOOKUP($A402&amp;$B402&amp;$C402,服务!$A:$A&amp;服务!$B:$B&amp;服务!$C:$C,服务!$D:$D))</f>
        <v/>
      </c>
    </row>
    <row r="403" customHeight="1" spans="1:26">
      <c r="A403" s="23" t="str">
        <f>IF(盘货信息!A403="","",盘货信息!A403)</f>
        <v/>
      </c>
      <c r="B403" s="26" t="str">
        <f>IF(盘货信息!B403="","",盘货信息!B403)</f>
        <v/>
      </c>
      <c r="C403" s="23" t="str">
        <f>IF(盘货信息!C403="","",盘货信息!C403)</f>
        <v/>
      </c>
      <c r="D403" s="27" t="str">
        <f ca="1" t="shared" si="6"/>
        <v/>
      </c>
      <c r="E403" s="27" t="str">
        <f>IF(C403="","",固定信息!$B$2)</f>
        <v/>
      </c>
      <c r="F403" s="27" t="str">
        <f>IF(C403="","","【"&amp;C403&amp;"】"&amp;固定信息!$B$4)</f>
        <v/>
      </c>
      <c r="G403" s="27" t="str">
        <f>IF(C403="","","【"&amp;"活动时间："&amp;固定信息!$B$3&amp;"】")</f>
        <v/>
      </c>
      <c r="H403" s="27" t="str">
        <f>IF($C403="","",固定信息!$B$1)</f>
        <v/>
      </c>
      <c r="I403" s="27" t="str">
        <f>IF(OR(C403="",固定信息!$B$5=""),"","【1元预约锁好礼】"&amp;固定信息!$B$5)</f>
        <v/>
      </c>
      <c r="J403" s="27" t="str" cm="1">
        <f t="array" ref="J403">_xlfn.XLOOKUP($A403&amp;$B403&amp;$C403,价格信息!$A:$A&amp;价格信息!$B:$B&amp;价格信息!$C:$C,价格信息!$D:$D)</f>
        <v/>
      </c>
      <c r="K403" s="27" t="str">
        <f>IF($C403="","",固定信息!$B$1)</f>
        <v/>
      </c>
      <c r="L403" s="27" t="str" cm="1">
        <f t="array" ref="L403">IF(_xlfn.XLOOKUP($A403&amp;$B403&amp;$C403,盘货信息!$A:$A&amp;盘货信息!$B:$B&amp;盘货信息!$C:$C,盘货信息!$T:$T)="","","【优惠券】领"&amp;_xlfn.XLOOKUP($A403&amp;$B403&amp;$C403,盘货信息!$A:$A&amp;盘货信息!$B:$B&amp;盘货信息!$C:$C,盘货信息!$T:$T)&amp;"元优惠卷下单更优惠，领券链接："&amp;_xlfn.XLOOKUP($A403&amp;$B403&amp;$C403,盘货信息!$A:$A&amp;盘货信息!$B:$B&amp;盘货信息!$C:$C,盘货信息!$U:$U))</f>
        <v/>
      </c>
      <c r="M403" s="27" t="str" cm="1">
        <f t="array" ref="M403">IF(_xlfn.XLOOKUP($A403&amp;$B403&amp;$C403,盘货信息!$A:$A&amp;盘货信息!$B:$B&amp;盘货信息!$C:$C,盘货信息!$P:$P)="","","【限时】"&amp;_xlfn.XLOOKUP($A403&amp;$B403&amp;$C403,盘货信息!$A:$A&amp;盘货信息!$B:$B&amp;盘货信息!$C:$C,盘货信息!$P:$P))</f>
        <v/>
      </c>
      <c r="N403" s="27" t="str" cm="1">
        <f t="array" ref="N403">IF(_xlfn.XLOOKUP($A403&amp;$B403&amp;$C403,盘货信息!$A:$A&amp;盘货信息!$B:$B&amp;盘货信息!$C:$C,盘货信息!$V:$V)="","","【"&amp;盘货信息!$V$1&amp;"】"&amp;_xlfn.XLOOKUP($A403&amp;$B403&amp;$C403,盘货信息!$A:$A&amp;盘货信息!$B:$B&amp;盘货信息!$C:$C,盘货信息!$V:$V))</f>
        <v/>
      </c>
      <c r="O403" s="27" t="str" cm="1">
        <f t="array" ref="O403">IF(_xlfn.XLOOKUP($A403&amp;$B403&amp;$C403,盘货信息!$A:$A&amp;盘货信息!$B:$B&amp;盘货信息!$C:$C,盘货信息!$W:$W)="","","【"&amp;盘货信息!$W$1&amp;"】"&amp;_xlfn.XLOOKUP($A403&amp;$B403&amp;$C403,盘货信息!$A:$A&amp;盘货信息!$B:$B&amp;盘货信息!$C:$C,盘货信息!$W:$W))</f>
        <v/>
      </c>
      <c r="P403" s="27" t="str" cm="1">
        <f t="array" ref="P403">IF(_xlfn.XLOOKUP($A403&amp;$B403&amp;$C403,盘货信息!$A:$A&amp;盘货信息!$B:$B&amp;盘货信息!$C:$C,盘货信息!$S:$S)&lt;1,"","【"&amp;盘货信息!$S$1&amp;"】"&amp;"后返"&amp;_xlfn.XLOOKUP($A403&amp;$B403&amp;$C403,盘货信息!$A:$A&amp;盘货信息!$B:$B&amp;盘货信息!$C:$C,盘货信息!$S:$S)&amp;"元")</f>
        <v/>
      </c>
      <c r="Q403" s="27" t="str" cm="1">
        <f t="array" ref="Q403">IF(_xlfn.XLOOKUP($A403&amp;$B403&amp;$C403,盘货信息!$A:$A&amp;盘货信息!$B:$B&amp;盘货信息!$C:$C,盘货信息!$X:$X)="","","【"&amp;盘货信息!$X$1&amp;"】"&amp;_xlfn.XLOOKUP($A403&amp;$B403&amp;$C403,盘货信息!$A:$A&amp;盘货信息!$B:$B&amp;盘货信息!$C:$C,盘货信息!$X:$X))</f>
        <v/>
      </c>
      <c r="R403" s="27" t="str" cm="1">
        <f t="array" ref="R403">IF(_xlfn.XLOOKUP($A403&amp;$B403&amp;$C403,盘货信息!$A:$A&amp;盘货信息!$B:$B&amp;盘货信息!$C:$C,盘货信息!$Z:$Z)="","","【"&amp;盘货信息!$Z$1&amp;"】"&amp;_xlfn.XLOOKUP($A403&amp;$B403&amp;$C403,盘货信息!$A:$A&amp;盘货信息!$B:$B&amp;盘货信息!$C:$C,盘货信息!$Z:$Z))</f>
        <v/>
      </c>
      <c r="S403" s="27" t="str" cm="1">
        <f t="array" ref="S403">IF(_xlfn.XLOOKUP($A403&amp;$B403&amp;$C403,盘货信息!$A:$A&amp;盘货信息!$B:$B&amp;盘货信息!$C:$C,盘货信息!$Q:$Q)="","","【种草】站外带指定话题种草后返"&amp;_xlfn.XLOOKUP($A403&amp;$B403&amp;$C403,盘货信息!$A:$A&amp;盘货信息!$B:$B&amp;盘货信息!$C:$C,盘货信息!$Q:$Q)&amp;"元红包（每个淘宝账号仅限对应一个站外种草账号，同一个种草账号不可对应多个淘宝账号）")</f>
        <v/>
      </c>
      <c r="T403" s="27" t="str" cm="1">
        <f t="array" ref="T403">IF(_xlfn.XLOOKUP($A403&amp;$B403&amp;$C403,盘货信息!$A:$A&amp;盘货信息!$B:$B&amp;盘货信息!$C:$C,盘货信息!$R:$R)&lt;1,"","【以旧换新】"&amp;"享补贴"&amp;ROUND(_xlfn.XLOOKUP($A403&amp;$B403&amp;$C403,盘货信息!$A:$A&amp;盘货信息!$B:$B&amp;盘货信息!$C:$C,盘货信息!$R:$R),0)&amp;"元（可无旧机换新）")</f>
        <v/>
      </c>
      <c r="U403" s="27" t="str">
        <f>IF(AND($N403="",$O403="",$P403="",$Q403="",$R403="",$S403="",$T403=""),"",固定信息!$B$1)</f>
        <v/>
      </c>
      <c r="V403" s="27" t="str" cm="1">
        <f t="array" ref="V403">IF(_xlfn.XLOOKUP($A403&amp;$B403&amp;$C403,盘货信息!$A:$A&amp;盘货信息!$B:$B&amp;盘货信息!$C:$C,盘货信息!$Y:$Y)="","","【卡萨帝送赠】活动指定时间"&amp;_xlfn.TEXTBEFORE(_xlfn.TEXTAFTER(_xlfn.XLOOKUP($A403&amp;$B403&amp;$C403,盘货信息!$A:$A&amp;盘货信息!$B:$B&amp;盘货信息!$C:$C,盘货信息!$Y:$Y),"点"),"（"))</f>
        <v/>
      </c>
      <c r="W403" s="27" t="str" cm="1">
        <f t="array" ref="W403">IF(COUNTIF(_xlfn.XLOOKUP($A403&amp;$B403&amp;$C403,盘货信息!$A:$A&amp;盘货信息!$B:$B&amp;盘货信息!$C:$C,盘货信息!$O:$O),"*是*"),"【折扣】指定型号满2类享96折，满3类享94折","")</f>
        <v/>
      </c>
      <c r="X403" s="27" t="str" cm="1">
        <f t="array" ref="X403">IF(固定信息!$B$7="","",IF(_xlfn.XLOOKUP($A403&amp;$B403&amp;$C403,盘货信息!$A:$A&amp;盘货信息!$B:$B&amp;盘货信息!$C:$C,盘货信息!$N:$N)="是","【瓜分】"&amp;固定信息!$B$7,""))</f>
        <v/>
      </c>
      <c r="Y403" s="27" t="str">
        <f>IF(AND($V403="",$W403="",$X403=""),"",固定信息!$B$1)</f>
        <v/>
      </c>
      <c r="Z403" s="27" t="str" cm="1">
        <f t="array" ref="Z403">IF($C403="","",_xlfn.XLOOKUP($A403&amp;$B403&amp;$C403,服务!$A:$A&amp;服务!$B:$B&amp;服务!$C:$C,服务!$D:$D))</f>
        <v/>
      </c>
    </row>
    <row r="404" customHeight="1" spans="1:26">
      <c r="A404" s="23" t="str">
        <f>IF(盘货信息!A404="","",盘货信息!A404)</f>
        <v/>
      </c>
      <c r="B404" s="26" t="str">
        <f>IF(盘货信息!B404="","",盘货信息!B404)</f>
        <v/>
      </c>
      <c r="C404" s="23" t="str">
        <f>IF(盘货信息!C404="","",盘货信息!C404)</f>
        <v/>
      </c>
      <c r="D404" s="27" t="str">
        <f ca="1" t="shared" si="6"/>
        <v/>
      </c>
      <c r="E404" s="27" t="str">
        <f>IF(C404="","",固定信息!$B$2)</f>
        <v/>
      </c>
      <c r="F404" s="27" t="str">
        <f>IF(C404="","","【"&amp;C404&amp;"】"&amp;固定信息!$B$4)</f>
        <v/>
      </c>
      <c r="G404" s="27" t="str">
        <f>IF(C404="","","【"&amp;"活动时间："&amp;固定信息!$B$3&amp;"】")</f>
        <v/>
      </c>
      <c r="H404" s="27" t="str">
        <f>IF($C404="","",固定信息!$B$1)</f>
        <v/>
      </c>
      <c r="I404" s="27" t="str">
        <f>IF(OR(C404="",固定信息!$B$5=""),"","【1元预约锁好礼】"&amp;固定信息!$B$5)</f>
        <v/>
      </c>
      <c r="J404" s="27" t="str" cm="1">
        <f t="array" ref="J404">_xlfn.XLOOKUP($A404&amp;$B404&amp;$C404,价格信息!$A:$A&amp;价格信息!$B:$B&amp;价格信息!$C:$C,价格信息!$D:$D)</f>
        <v/>
      </c>
      <c r="K404" s="27" t="str">
        <f>IF($C404="","",固定信息!$B$1)</f>
        <v/>
      </c>
      <c r="L404" s="27" t="str" cm="1">
        <f t="array" ref="L404">IF(_xlfn.XLOOKUP($A404&amp;$B404&amp;$C404,盘货信息!$A:$A&amp;盘货信息!$B:$B&amp;盘货信息!$C:$C,盘货信息!$T:$T)="","","【优惠券】领"&amp;_xlfn.XLOOKUP($A404&amp;$B404&amp;$C404,盘货信息!$A:$A&amp;盘货信息!$B:$B&amp;盘货信息!$C:$C,盘货信息!$T:$T)&amp;"元优惠卷下单更优惠，领券链接："&amp;_xlfn.XLOOKUP($A404&amp;$B404&amp;$C404,盘货信息!$A:$A&amp;盘货信息!$B:$B&amp;盘货信息!$C:$C,盘货信息!$U:$U))</f>
        <v/>
      </c>
      <c r="M404" s="27" t="str" cm="1">
        <f t="array" ref="M404">IF(_xlfn.XLOOKUP($A404&amp;$B404&amp;$C404,盘货信息!$A:$A&amp;盘货信息!$B:$B&amp;盘货信息!$C:$C,盘货信息!$P:$P)="","","【限时】"&amp;_xlfn.XLOOKUP($A404&amp;$B404&amp;$C404,盘货信息!$A:$A&amp;盘货信息!$B:$B&amp;盘货信息!$C:$C,盘货信息!$P:$P))</f>
        <v/>
      </c>
      <c r="N404" s="27" t="str" cm="1">
        <f t="array" ref="N404">IF(_xlfn.XLOOKUP($A404&amp;$B404&amp;$C404,盘货信息!$A:$A&amp;盘货信息!$B:$B&amp;盘货信息!$C:$C,盘货信息!$V:$V)="","","【"&amp;盘货信息!$V$1&amp;"】"&amp;_xlfn.XLOOKUP($A404&amp;$B404&amp;$C404,盘货信息!$A:$A&amp;盘货信息!$B:$B&amp;盘货信息!$C:$C,盘货信息!$V:$V))</f>
        <v/>
      </c>
      <c r="O404" s="27" t="str" cm="1">
        <f t="array" ref="O404">IF(_xlfn.XLOOKUP($A404&amp;$B404&amp;$C404,盘货信息!$A:$A&amp;盘货信息!$B:$B&amp;盘货信息!$C:$C,盘货信息!$W:$W)="","","【"&amp;盘货信息!$W$1&amp;"】"&amp;_xlfn.XLOOKUP($A404&amp;$B404&amp;$C404,盘货信息!$A:$A&amp;盘货信息!$B:$B&amp;盘货信息!$C:$C,盘货信息!$W:$W))</f>
        <v/>
      </c>
      <c r="P404" s="27" t="str" cm="1">
        <f t="array" ref="P404">IF(_xlfn.XLOOKUP($A404&amp;$B404&amp;$C404,盘货信息!$A:$A&amp;盘货信息!$B:$B&amp;盘货信息!$C:$C,盘货信息!$S:$S)&lt;1,"","【"&amp;盘货信息!$S$1&amp;"】"&amp;"后返"&amp;_xlfn.XLOOKUP($A404&amp;$B404&amp;$C404,盘货信息!$A:$A&amp;盘货信息!$B:$B&amp;盘货信息!$C:$C,盘货信息!$S:$S)&amp;"元")</f>
        <v/>
      </c>
      <c r="Q404" s="27" t="str" cm="1">
        <f t="array" ref="Q404">IF(_xlfn.XLOOKUP($A404&amp;$B404&amp;$C404,盘货信息!$A:$A&amp;盘货信息!$B:$B&amp;盘货信息!$C:$C,盘货信息!$X:$X)="","","【"&amp;盘货信息!$X$1&amp;"】"&amp;_xlfn.XLOOKUP($A404&amp;$B404&amp;$C404,盘货信息!$A:$A&amp;盘货信息!$B:$B&amp;盘货信息!$C:$C,盘货信息!$X:$X))</f>
        <v/>
      </c>
      <c r="R404" s="27" t="str" cm="1">
        <f t="array" ref="R404">IF(_xlfn.XLOOKUP($A404&amp;$B404&amp;$C404,盘货信息!$A:$A&amp;盘货信息!$B:$B&amp;盘货信息!$C:$C,盘货信息!$Z:$Z)="","","【"&amp;盘货信息!$Z$1&amp;"】"&amp;_xlfn.XLOOKUP($A404&amp;$B404&amp;$C404,盘货信息!$A:$A&amp;盘货信息!$B:$B&amp;盘货信息!$C:$C,盘货信息!$Z:$Z))</f>
        <v/>
      </c>
      <c r="S404" s="27" t="str" cm="1">
        <f t="array" ref="S404">IF(_xlfn.XLOOKUP($A404&amp;$B404&amp;$C404,盘货信息!$A:$A&amp;盘货信息!$B:$B&amp;盘货信息!$C:$C,盘货信息!$Q:$Q)="","","【种草】站外带指定话题种草后返"&amp;_xlfn.XLOOKUP($A404&amp;$B404&amp;$C404,盘货信息!$A:$A&amp;盘货信息!$B:$B&amp;盘货信息!$C:$C,盘货信息!$Q:$Q)&amp;"元红包（每个淘宝账号仅限对应一个站外种草账号，同一个种草账号不可对应多个淘宝账号）")</f>
        <v/>
      </c>
      <c r="T404" s="27" t="str" cm="1">
        <f t="array" ref="T404">IF(_xlfn.XLOOKUP($A404&amp;$B404&amp;$C404,盘货信息!$A:$A&amp;盘货信息!$B:$B&amp;盘货信息!$C:$C,盘货信息!$R:$R)&lt;1,"","【以旧换新】"&amp;"享补贴"&amp;ROUND(_xlfn.XLOOKUP($A404&amp;$B404&amp;$C404,盘货信息!$A:$A&amp;盘货信息!$B:$B&amp;盘货信息!$C:$C,盘货信息!$R:$R),0)&amp;"元（可无旧机换新）")</f>
        <v/>
      </c>
      <c r="U404" s="27" t="str">
        <f>IF(AND($N404="",$O404="",$P404="",$Q404="",$R404="",$S404="",$T404=""),"",固定信息!$B$1)</f>
        <v/>
      </c>
      <c r="V404" s="27" t="str" cm="1">
        <f t="array" ref="V404">IF(_xlfn.XLOOKUP($A404&amp;$B404&amp;$C404,盘货信息!$A:$A&amp;盘货信息!$B:$B&amp;盘货信息!$C:$C,盘货信息!$Y:$Y)="","","【卡萨帝送赠】活动指定时间"&amp;_xlfn.TEXTBEFORE(_xlfn.TEXTAFTER(_xlfn.XLOOKUP($A404&amp;$B404&amp;$C404,盘货信息!$A:$A&amp;盘货信息!$B:$B&amp;盘货信息!$C:$C,盘货信息!$Y:$Y),"点"),"（"))</f>
        <v/>
      </c>
      <c r="W404" s="27" t="str" cm="1">
        <f t="array" ref="W404">IF(COUNTIF(_xlfn.XLOOKUP($A404&amp;$B404&amp;$C404,盘货信息!$A:$A&amp;盘货信息!$B:$B&amp;盘货信息!$C:$C,盘货信息!$O:$O),"*是*"),"【折扣】指定型号满2类享96折，满3类享94折","")</f>
        <v/>
      </c>
      <c r="X404" s="27" t="str" cm="1">
        <f t="array" ref="X404">IF(固定信息!$B$7="","",IF(_xlfn.XLOOKUP($A404&amp;$B404&amp;$C404,盘货信息!$A:$A&amp;盘货信息!$B:$B&amp;盘货信息!$C:$C,盘货信息!$N:$N)="是","【瓜分】"&amp;固定信息!$B$7,""))</f>
        <v/>
      </c>
      <c r="Y404" s="27" t="str">
        <f>IF(AND($V404="",$W404="",$X404=""),"",固定信息!$B$1)</f>
        <v/>
      </c>
      <c r="Z404" s="27" t="str" cm="1">
        <f t="array" ref="Z404">IF($C404="","",_xlfn.XLOOKUP($A404&amp;$B404&amp;$C404,服务!$A:$A&amp;服务!$B:$B&amp;服务!$C:$C,服务!$D:$D))</f>
        <v/>
      </c>
    </row>
    <row r="405" customHeight="1" spans="1:26">
      <c r="A405" s="23" t="str">
        <f>IF(盘货信息!A405="","",盘货信息!A405)</f>
        <v/>
      </c>
      <c r="B405" s="26" t="str">
        <f>IF(盘货信息!B405="","",盘货信息!B405)</f>
        <v/>
      </c>
      <c r="C405" s="23" t="str">
        <f>IF(盘货信息!C405="","",盘货信息!C405)</f>
        <v/>
      </c>
      <c r="D405" s="27" t="str">
        <f ca="1" t="shared" si="6"/>
        <v/>
      </c>
      <c r="E405" s="27" t="str">
        <f>IF(C405="","",固定信息!$B$2)</f>
        <v/>
      </c>
      <c r="F405" s="27" t="str">
        <f>IF(C405="","","【"&amp;C405&amp;"】"&amp;固定信息!$B$4)</f>
        <v/>
      </c>
      <c r="G405" s="27" t="str">
        <f>IF(C405="","","【"&amp;"活动时间："&amp;固定信息!$B$3&amp;"】")</f>
        <v/>
      </c>
      <c r="H405" s="27" t="str">
        <f>IF($C405="","",固定信息!$B$1)</f>
        <v/>
      </c>
      <c r="I405" s="27" t="str">
        <f>IF(OR(C405="",固定信息!$B$5=""),"","【1元预约锁好礼】"&amp;固定信息!$B$5)</f>
        <v/>
      </c>
      <c r="J405" s="27" t="str" cm="1">
        <f t="array" ref="J405">_xlfn.XLOOKUP($A405&amp;$B405&amp;$C405,价格信息!$A:$A&amp;价格信息!$B:$B&amp;价格信息!$C:$C,价格信息!$D:$D)</f>
        <v/>
      </c>
      <c r="K405" s="27" t="str">
        <f>IF($C405="","",固定信息!$B$1)</f>
        <v/>
      </c>
      <c r="L405" s="27" t="str" cm="1">
        <f t="array" ref="L405">IF(_xlfn.XLOOKUP($A405&amp;$B405&amp;$C405,盘货信息!$A:$A&amp;盘货信息!$B:$B&amp;盘货信息!$C:$C,盘货信息!$T:$T)="","","【优惠券】领"&amp;_xlfn.XLOOKUP($A405&amp;$B405&amp;$C405,盘货信息!$A:$A&amp;盘货信息!$B:$B&amp;盘货信息!$C:$C,盘货信息!$T:$T)&amp;"元优惠卷下单更优惠，领券链接："&amp;_xlfn.XLOOKUP($A405&amp;$B405&amp;$C405,盘货信息!$A:$A&amp;盘货信息!$B:$B&amp;盘货信息!$C:$C,盘货信息!$U:$U))</f>
        <v/>
      </c>
      <c r="M405" s="27" t="str" cm="1">
        <f t="array" ref="M405">IF(_xlfn.XLOOKUP($A405&amp;$B405&amp;$C405,盘货信息!$A:$A&amp;盘货信息!$B:$B&amp;盘货信息!$C:$C,盘货信息!$P:$P)="","","【限时】"&amp;_xlfn.XLOOKUP($A405&amp;$B405&amp;$C405,盘货信息!$A:$A&amp;盘货信息!$B:$B&amp;盘货信息!$C:$C,盘货信息!$P:$P))</f>
        <v/>
      </c>
      <c r="N405" s="27" t="str" cm="1">
        <f t="array" ref="N405">IF(_xlfn.XLOOKUP($A405&amp;$B405&amp;$C405,盘货信息!$A:$A&amp;盘货信息!$B:$B&amp;盘货信息!$C:$C,盘货信息!$V:$V)="","","【"&amp;盘货信息!$V$1&amp;"】"&amp;_xlfn.XLOOKUP($A405&amp;$B405&amp;$C405,盘货信息!$A:$A&amp;盘货信息!$B:$B&amp;盘货信息!$C:$C,盘货信息!$V:$V))</f>
        <v/>
      </c>
      <c r="O405" s="27" t="str" cm="1">
        <f t="array" ref="O405">IF(_xlfn.XLOOKUP($A405&amp;$B405&amp;$C405,盘货信息!$A:$A&amp;盘货信息!$B:$B&amp;盘货信息!$C:$C,盘货信息!$W:$W)="","","【"&amp;盘货信息!$W$1&amp;"】"&amp;_xlfn.XLOOKUP($A405&amp;$B405&amp;$C405,盘货信息!$A:$A&amp;盘货信息!$B:$B&amp;盘货信息!$C:$C,盘货信息!$W:$W))</f>
        <v/>
      </c>
      <c r="P405" s="27" t="str" cm="1">
        <f t="array" ref="P405">IF(_xlfn.XLOOKUP($A405&amp;$B405&amp;$C405,盘货信息!$A:$A&amp;盘货信息!$B:$B&amp;盘货信息!$C:$C,盘货信息!$S:$S)&lt;1,"","【"&amp;盘货信息!$S$1&amp;"】"&amp;"后返"&amp;_xlfn.XLOOKUP($A405&amp;$B405&amp;$C405,盘货信息!$A:$A&amp;盘货信息!$B:$B&amp;盘货信息!$C:$C,盘货信息!$S:$S)&amp;"元")</f>
        <v/>
      </c>
      <c r="Q405" s="27" t="str" cm="1">
        <f t="array" ref="Q405">IF(_xlfn.XLOOKUP($A405&amp;$B405&amp;$C405,盘货信息!$A:$A&amp;盘货信息!$B:$B&amp;盘货信息!$C:$C,盘货信息!$X:$X)="","","【"&amp;盘货信息!$X$1&amp;"】"&amp;_xlfn.XLOOKUP($A405&amp;$B405&amp;$C405,盘货信息!$A:$A&amp;盘货信息!$B:$B&amp;盘货信息!$C:$C,盘货信息!$X:$X))</f>
        <v/>
      </c>
      <c r="R405" s="27" t="str" cm="1">
        <f t="array" ref="R405">IF(_xlfn.XLOOKUP($A405&amp;$B405&amp;$C405,盘货信息!$A:$A&amp;盘货信息!$B:$B&amp;盘货信息!$C:$C,盘货信息!$Z:$Z)="","","【"&amp;盘货信息!$Z$1&amp;"】"&amp;_xlfn.XLOOKUP($A405&amp;$B405&amp;$C405,盘货信息!$A:$A&amp;盘货信息!$B:$B&amp;盘货信息!$C:$C,盘货信息!$Z:$Z))</f>
        <v/>
      </c>
      <c r="S405" s="27" t="str" cm="1">
        <f t="array" ref="S405">IF(_xlfn.XLOOKUP($A405&amp;$B405&amp;$C405,盘货信息!$A:$A&amp;盘货信息!$B:$B&amp;盘货信息!$C:$C,盘货信息!$Q:$Q)="","","【种草】站外带指定话题种草后返"&amp;_xlfn.XLOOKUP($A405&amp;$B405&amp;$C405,盘货信息!$A:$A&amp;盘货信息!$B:$B&amp;盘货信息!$C:$C,盘货信息!$Q:$Q)&amp;"元红包（每个淘宝账号仅限对应一个站外种草账号，同一个种草账号不可对应多个淘宝账号）")</f>
        <v/>
      </c>
      <c r="T405" s="27" t="str" cm="1">
        <f t="array" ref="T405">IF(_xlfn.XLOOKUP($A405&amp;$B405&amp;$C405,盘货信息!$A:$A&amp;盘货信息!$B:$B&amp;盘货信息!$C:$C,盘货信息!$R:$R)&lt;1,"","【以旧换新】"&amp;"享补贴"&amp;ROUND(_xlfn.XLOOKUP($A405&amp;$B405&amp;$C405,盘货信息!$A:$A&amp;盘货信息!$B:$B&amp;盘货信息!$C:$C,盘货信息!$R:$R),0)&amp;"元（可无旧机换新）")</f>
        <v/>
      </c>
      <c r="U405" s="27" t="str">
        <f>IF(AND($N405="",$O405="",$P405="",$Q405="",$R405="",$S405="",$T405=""),"",固定信息!$B$1)</f>
        <v/>
      </c>
      <c r="V405" s="27" t="str" cm="1">
        <f t="array" ref="V405">IF(_xlfn.XLOOKUP($A405&amp;$B405&amp;$C405,盘货信息!$A:$A&amp;盘货信息!$B:$B&amp;盘货信息!$C:$C,盘货信息!$Y:$Y)="","","【卡萨帝送赠】活动指定时间"&amp;_xlfn.TEXTBEFORE(_xlfn.TEXTAFTER(_xlfn.XLOOKUP($A405&amp;$B405&amp;$C405,盘货信息!$A:$A&amp;盘货信息!$B:$B&amp;盘货信息!$C:$C,盘货信息!$Y:$Y),"点"),"（"))</f>
        <v/>
      </c>
      <c r="W405" s="27" t="str" cm="1">
        <f t="array" ref="W405">IF(COUNTIF(_xlfn.XLOOKUP($A405&amp;$B405&amp;$C405,盘货信息!$A:$A&amp;盘货信息!$B:$B&amp;盘货信息!$C:$C,盘货信息!$O:$O),"*是*"),"【折扣】指定型号满2类享96折，满3类享94折","")</f>
        <v/>
      </c>
      <c r="X405" s="27" t="str" cm="1">
        <f t="array" ref="X405">IF(固定信息!$B$7="","",IF(_xlfn.XLOOKUP($A405&amp;$B405&amp;$C405,盘货信息!$A:$A&amp;盘货信息!$B:$B&amp;盘货信息!$C:$C,盘货信息!$N:$N)="是","【瓜分】"&amp;固定信息!$B$7,""))</f>
        <v/>
      </c>
      <c r="Y405" s="27" t="str">
        <f>IF(AND($V405="",$W405="",$X405=""),"",固定信息!$B$1)</f>
        <v/>
      </c>
      <c r="Z405" s="27" t="str" cm="1">
        <f t="array" ref="Z405">IF($C405="","",_xlfn.XLOOKUP($A405&amp;$B405&amp;$C405,服务!$A:$A&amp;服务!$B:$B&amp;服务!$C:$C,服务!$D:$D))</f>
        <v/>
      </c>
    </row>
    <row r="406" customHeight="1" spans="1:26">
      <c r="A406" s="23" t="str">
        <f>IF(盘货信息!A406="","",盘货信息!A406)</f>
        <v/>
      </c>
      <c r="B406" s="26" t="str">
        <f>IF(盘货信息!B406="","",盘货信息!B406)</f>
        <v/>
      </c>
      <c r="C406" s="23" t="str">
        <f>IF(盘货信息!C406="","",盘货信息!C406)</f>
        <v/>
      </c>
      <c r="D406" s="27" t="str">
        <f ca="1" t="shared" si="6"/>
        <v/>
      </c>
      <c r="E406" s="27" t="str">
        <f>IF(C406="","",固定信息!$B$2)</f>
        <v/>
      </c>
      <c r="F406" s="27" t="str">
        <f>IF(C406="","","【"&amp;C406&amp;"】"&amp;固定信息!$B$4)</f>
        <v/>
      </c>
      <c r="G406" s="27" t="str">
        <f>IF(C406="","","【"&amp;"活动时间："&amp;固定信息!$B$3&amp;"】")</f>
        <v/>
      </c>
      <c r="H406" s="27" t="str">
        <f>IF($C406="","",固定信息!$B$1)</f>
        <v/>
      </c>
      <c r="I406" s="27" t="str">
        <f>IF(OR(C406="",固定信息!$B$5=""),"","【1元预约锁好礼】"&amp;固定信息!$B$5)</f>
        <v/>
      </c>
      <c r="J406" s="27" t="str" cm="1">
        <f t="array" ref="J406">_xlfn.XLOOKUP($A406&amp;$B406&amp;$C406,价格信息!$A:$A&amp;价格信息!$B:$B&amp;价格信息!$C:$C,价格信息!$D:$D)</f>
        <v/>
      </c>
      <c r="K406" s="27" t="str">
        <f>IF($C406="","",固定信息!$B$1)</f>
        <v/>
      </c>
      <c r="L406" s="27" t="str" cm="1">
        <f t="array" ref="L406">IF(_xlfn.XLOOKUP($A406&amp;$B406&amp;$C406,盘货信息!$A:$A&amp;盘货信息!$B:$B&amp;盘货信息!$C:$C,盘货信息!$T:$T)="","","【优惠券】领"&amp;_xlfn.XLOOKUP($A406&amp;$B406&amp;$C406,盘货信息!$A:$A&amp;盘货信息!$B:$B&amp;盘货信息!$C:$C,盘货信息!$T:$T)&amp;"元优惠卷下单更优惠，领券链接："&amp;_xlfn.XLOOKUP($A406&amp;$B406&amp;$C406,盘货信息!$A:$A&amp;盘货信息!$B:$B&amp;盘货信息!$C:$C,盘货信息!$U:$U))</f>
        <v/>
      </c>
      <c r="M406" s="27" t="str" cm="1">
        <f t="array" ref="M406">IF(_xlfn.XLOOKUP($A406&amp;$B406&amp;$C406,盘货信息!$A:$A&amp;盘货信息!$B:$B&amp;盘货信息!$C:$C,盘货信息!$P:$P)="","","【限时】"&amp;_xlfn.XLOOKUP($A406&amp;$B406&amp;$C406,盘货信息!$A:$A&amp;盘货信息!$B:$B&amp;盘货信息!$C:$C,盘货信息!$P:$P))</f>
        <v/>
      </c>
      <c r="N406" s="27" t="str" cm="1">
        <f t="array" ref="N406">IF(_xlfn.XLOOKUP($A406&amp;$B406&amp;$C406,盘货信息!$A:$A&amp;盘货信息!$B:$B&amp;盘货信息!$C:$C,盘货信息!$V:$V)="","","【"&amp;盘货信息!$V$1&amp;"】"&amp;_xlfn.XLOOKUP($A406&amp;$B406&amp;$C406,盘货信息!$A:$A&amp;盘货信息!$B:$B&amp;盘货信息!$C:$C,盘货信息!$V:$V))</f>
        <v/>
      </c>
      <c r="O406" s="27" t="str" cm="1">
        <f t="array" ref="O406">IF(_xlfn.XLOOKUP($A406&amp;$B406&amp;$C406,盘货信息!$A:$A&amp;盘货信息!$B:$B&amp;盘货信息!$C:$C,盘货信息!$W:$W)="","","【"&amp;盘货信息!$W$1&amp;"】"&amp;_xlfn.XLOOKUP($A406&amp;$B406&amp;$C406,盘货信息!$A:$A&amp;盘货信息!$B:$B&amp;盘货信息!$C:$C,盘货信息!$W:$W))</f>
        <v/>
      </c>
      <c r="P406" s="27" t="str" cm="1">
        <f t="array" ref="P406">IF(_xlfn.XLOOKUP($A406&amp;$B406&amp;$C406,盘货信息!$A:$A&amp;盘货信息!$B:$B&amp;盘货信息!$C:$C,盘货信息!$S:$S)&lt;1,"","【"&amp;盘货信息!$S$1&amp;"】"&amp;"后返"&amp;_xlfn.XLOOKUP($A406&amp;$B406&amp;$C406,盘货信息!$A:$A&amp;盘货信息!$B:$B&amp;盘货信息!$C:$C,盘货信息!$S:$S)&amp;"元")</f>
        <v/>
      </c>
      <c r="Q406" s="27" t="str" cm="1">
        <f t="array" ref="Q406">IF(_xlfn.XLOOKUP($A406&amp;$B406&amp;$C406,盘货信息!$A:$A&amp;盘货信息!$B:$B&amp;盘货信息!$C:$C,盘货信息!$X:$X)="","","【"&amp;盘货信息!$X$1&amp;"】"&amp;_xlfn.XLOOKUP($A406&amp;$B406&amp;$C406,盘货信息!$A:$A&amp;盘货信息!$B:$B&amp;盘货信息!$C:$C,盘货信息!$X:$X))</f>
        <v/>
      </c>
      <c r="R406" s="27" t="str" cm="1">
        <f t="array" ref="R406">IF(_xlfn.XLOOKUP($A406&amp;$B406&amp;$C406,盘货信息!$A:$A&amp;盘货信息!$B:$B&amp;盘货信息!$C:$C,盘货信息!$Z:$Z)="","","【"&amp;盘货信息!$Z$1&amp;"】"&amp;_xlfn.XLOOKUP($A406&amp;$B406&amp;$C406,盘货信息!$A:$A&amp;盘货信息!$B:$B&amp;盘货信息!$C:$C,盘货信息!$Z:$Z))</f>
        <v/>
      </c>
      <c r="S406" s="27" t="str" cm="1">
        <f t="array" ref="S406">IF(_xlfn.XLOOKUP($A406&amp;$B406&amp;$C406,盘货信息!$A:$A&amp;盘货信息!$B:$B&amp;盘货信息!$C:$C,盘货信息!$Q:$Q)="","","【种草】站外带指定话题种草后返"&amp;_xlfn.XLOOKUP($A406&amp;$B406&amp;$C406,盘货信息!$A:$A&amp;盘货信息!$B:$B&amp;盘货信息!$C:$C,盘货信息!$Q:$Q)&amp;"元红包（每个淘宝账号仅限对应一个站外种草账号，同一个种草账号不可对应多个淘宝账号）")</f>
        <v/>
      </c>
      <c r="T406" s="27" t="str" cm="1">
        <f t="array" ref="T406">IF(_xlfn.XLOOKUP($A406&amp;$B406&amp;$C406,盘货信息!$A:$A&amp;盘货信息!$B:$B&amp;盘货信息!$C:$C,盘货信息!$R:$R)&lt;1,"","【以旧换新】"&amp;"享补贴"&amp;ROUND(_xlfn.XLOOKUP($A406&amp;$B406&amp;$C406,盘货信息!$A:$A&amp;盘货信息!$B:$B&amp;盘货信息!$C:$C,盘货信息!$R:$R),0)&amp;"元（可无旧机换新）")</f>
        <v/>
      </c>
      <c r="U406" s="27" t="str">
        <f>IF(AND($N406="",$O406="",$P406="",$Q406="",$R406="",$S406="",$T406=""),"",固定信息!$B$1)</f>
        <v/>
      </c>
      <c r="V406" s="27" t="str" cm="1">
        <f t="array" ref="V406">IF(_xlfn.XLOOKUP($A406&amp;$B406&amp;$C406,盘货信息!$A:$A&amp;盘货信息!$B:$B&amp;盘货信息!$C:$C,盘货信息!$Y:$Y)="","","【卡萨帝送赠】活动指定时间"&amp;_xlfn.TEXTBEFORE(_xlfn.TEXTAFTER(_xlfn.XLOOKUP($A406&amp;$B406&amp;$C406,盘货信息!$A:$A&amp;盘货信息!$B:$B&amp;盘货信息!$C:$C,盘货信息!$Y:$Y),"点"),"（"))</f>
        <v/>
      </c>
      <c r="W406" s="27" t="str" cm="1">
        <f t="array" ref="W406">IF(COUNTIF(_xlfn.XLOOKUP($A406&amp;$B406&amp;$C406,盘货信息!$A:$A&amp;盘货信息!$B:$B&amp;盘货信息!$C:$C,盘货信息!$O:$O),"*是*"),"【折扣】指定型号满2类享96折，满3类享94折","")</f>
        <v/>
      </c>
      <c r="X406" s="27" t="str" cm="1">
        <f t="array" ref="X406">IF(固定信息!$B$7="","",IF(_xlfn.XLOOKUP($A406&amp;$B406&amp;$C406,盘货信息!$A:$A&amp;盘货信息!$B:$B&amp;盘货信息!$C:$C,盘货信息!$N:$N)="是","【瓜分】"&amp;固定信息!$B$7,""))</f>
        <v/>
      </c>
      <c r="Y406" s="27" t="str">
        <f>IF(AND($V406="",$W406="",$X406=""),"",固定信息!$B$1)</f>
        <v/>
      </c>
      <c r="Z406" s="27" t="str" cm="1">
        <f t="array" ref="Z406">IF($C406="","",_xlfn.XLOOKUP($A406&amp;$B406&amp;$C406,服务!$A:$A&amp;服务!$B:$B&amp;服务!$C:$C,服务!$D:$D))</f>
        <v/>
      </c>
    </row>
    <row r="407" customHeight="1" spans="1:26">
      <c r="A407" s="23" t="str">
        <f>IF(盘货信息!A407="","",盘货信息!A407)</f>
        <v/>
      </c>
      <c r="B407" s="26" t="str">
        <f>IF(盘货信息!B407="","",盘货信息!B407)</f>
        <v/>
      </c>
      <c r="C407" s="23" t="str">
        <f>IF(盘货信息!C407="","",盘货信息!C407)</f>
        <v/>
      </c>
      <c r="D407" s="27" t="str">
        <f ca="1" t="shared" si="6"/>
        <v/>
      </c>
      <c r="E407" s="27" t="str">
        <f>IF(C407="","",固定信息!$B$2)</f>
        <v/>
      </c>
      <c r="F407" s="27" t="str">
        <f>IF(C407="","","【"&amp;C407&amp;"】"&amp;固定信息!$B$4)</f>
        <v/>
      </c>
      <c r="G407" s="27" t="str">
        <f>IF(C407="","","【"&amp;"活动时间："&amp;固定信息!$B$3&amp;"】")</f>
        <v/>
      </c>
      <c r="H407" s="27" t="str">
        <f>IF($C407="","",固定信息!$B$1)</f>
        <v/>
      </c>
      <c r="I407" s="27" t="str">
        <f>IF(OR(C407="",固定信息!$B$5=""),"","【1元预约锁好礼】"&amp;固定信息!$B$5)</f>
        <v/>
      </c>
      <c r="J407" s="27" t="str" cm="1">
        <f t="array" ref="J407">_xlfn.XLOOKUP($A407&amp;$B407&amp;$C407,价格信息!$A:$A&amp;价格信息!$B:$B&amp;价格信息!$C:$C,价格信息!$D:$D)</f>
        <v/>
      </c>
      <c r="K407" s="27" t="str">
        <f>IF($C407="","",固定信息!$B$1)</f>
        <v/>
      </c>
      <c r="L407" s="27" t="str" cm="1">
        <f t="array" ref="L407">IF(_xlfn.XLOOKUP($A407&amp;$B407&amp;$C407,盘货信息!$A:$A&amp;盘货信息!$B:$B&amp;盘货信息!$C:$C,盘货信息!$T:$T)="","","【优惠券】领"&amp;_xlfn.XLOOKUP($A407&amp;$B407&amp;$C407,盘货信息!$A:$A&amp;盘货信息!$B:$B&amp;盘货信息!$C:$C,盘货信息!$T:$T)&amp;"元优惠卷下单更优惠，领券链接："&amp;_xlfn.XLOOKUP($A407&amp;$B407&amp;$C407,盘货信息!$A:$A&amp;盘货信息!$B:$B&amp;盘货信息!$C:$C,盘货信息!$U:$U))</f>
        <v/>
      </c>
      <c r="M407" s="27" t="str" cm="1">
        <f t="array" ref="M407">IF(_xlfn.XLOOKUP($A407&amp;$B407&amp;$C407,盘货信息!$A:$A&amp;盘货信息!$B:$B&amp;盘货信息!$C:$C,盘货信息!$P:$P)="","","【限时】"&amp;_xlfn.XLOOKUP($A407&amp;$B407&amp;$C407,盘货信息!$A:$A&amp;盘货信息!$B:$B&amp;盘货信息!$C:$C,盘货信息!$P:$P))</f>
        <v/>
      </c>
      <c r="N407" s="27" t="str" cm="1">
        <f t="array" ref="N407">IF(_xlfn.XLOOKUP($A407&amp;$B407&amp;$C407,盘货信息!$A:$A&amp;盘货信息!$B:$B&amp;盘货信息!$C:$C,盘货信息!$V:$V)="","","【"&amp;盘货信息!$V$1&amp;"】"&amp;_xlfn.XLOOKUP($A407&amp;$B407&amp;$C407,盘货信息!$A:$A&amp;盘货信息!$B:$B&amp;盘货信息!$C:$C,盘货信息!$V:$V))</f>
        <v/>
      </c>
      <c r="O407" s="27" t="str" cm="1">
        <f t="array" ref="O407">IF(_xlfn.XLOOKUP($A407&amp;$B407&amp;$C407,盘货信息!$A:$A&amp;盘货信息!$B:$B&amp;盘货信息!$C:$C,盘货信息!$W:$W)="","","【"&amp;盘货信息!$W$1&amp;"】"&amp;_xlfn.XLOOKUP($A407&amp;$B407&amp;$C407,盘货信息!$A:$A&amp;盘货信息!$B:$B&amp;盘货信息!$C:$C,盘货信息!$W:$W))</f>
        <v/>
      </c>
      <c r="P407" s="27" t="str" cm="1">
        <f t="array" ref="P407">IF(_xlfn.XLOOKUP($A407&amp;$B407&amp;$C407,盘货信息!$A:$A&amp;盘货信息!$B:$B&amp;盘货信息!$C:$C,盘货信息!$S:$S)&lt;1,"","【"&amp;盘货信息!$S$1&amp;"】"&amp;"后返"&amp;_xlfn.XLOOKUP($A407&amp;$B407&amp;$C407,盘货信息!$A:$A&amp;盘货信息!$B:$B&amp;盘货信息!$C:$C,盘货信息!$S:$S)&amp;"元")</f>
        <v/>
      </c>
      <c r="Q407" s="27" t="str" cm="1">
        <f t="array" ref="Q407">IF(_xlfn.XLOOKUP($A407&amp;$B407&amp;$C407,盘货信息!$A:$A&amp;盘货信息!$B:$B&amp;盘货信息!$C:$C,盘货信息!$X:$X)="","","【"&amp;盘货信息!$X$1&amp;"】"&amp;_xlfn.XLOOKUP($A407&amp;$B407&amp;$C407,盘货信息!$A:$A&amp;盘货信息!$B:$B&amp;盘货信息!$C:$C,盘货信息!$X:$X))</f>
        <v/>
      </c>
      <c r="R407" s="27" t="str" cm="1">
        <f t="array" ref="R407">IF(_xlfn.XLOOKUP($A407&amp;$B407&amp;$C407,盘货信息!$A:$A&amp;盘货信息!$B:$B&amp;盘货信息!$C:$C,盘货信息!$Z:$Z)="","","【"&amp;盘货信息!$Z$1&amp;"】"&amp;_xlfn.XLOOKUP($A407&amp;$B407&amp;$C407,盘货信息!$A:$A&amp;盘货信息!$B:$B&amp;盘货信息!$C:$C,盘货信息!$Z:$Z))</f>
        <v/>
      </c>
      <c r="S407" s="27" t="str" cm="1">
        <f t="array" ref="S407">IF(_xlfn.XLOOKUP($A407&amp;$B407&amp;$C407,盘货信息!$A:$A&amp;盘货信息!$B:$B&amp;盘货信息!$C:$C,盘货信息!$Q:$Q)="","","【种草】站外带指定话题种草后返"&amp;_xlfn.XLOOKUP($A407&amp;$B407&amp;$C407,盘货信息!$A:$A&amp;盘货信息!$B:$B&amp;盘货信息!$C:$C,盘货信息!$Q:$Q)&amp;"元红包（每个淘宝账号仅限对应一个站外种草账号，同一个种草账号不可对应多个淘宝账号）")</f>
        <v/>
      </c>
      <c r="T407" s="27" t="str" cm="1">
        <f t="array" ref="T407">IF(_xlfn.XLOOKUP($A407&amp;$B407&amp;$C407,盘货信息!$A:$A&amp;盘货信息!$B:$B&amp;盘货信息!$C:$C,盘货信息!$R:$R)&lt;1,"","【以旧换新】"&amp;"享补贴"&amp;ROUND(_xlfn.XLOOKUP($A407&amp;$B407&amp;$C407,盘货信息!$A:$A&amp;盘货信息!$B:$B&amp;盘货信息!$C:$C,盘货信息!$R:$R),0)&amp;"元（可无旧机换新）")</f>
        <v/>
      </c>
      <c r="U407" s="27" t="str">
        <f>IF(AND($N407="",$O407="",$P407="",$Q407="",$R407="",$S407="",$T407=""),"",固定信息!$B$1)</f>
        <v/>
      </c>
      <c r="V407" s="27" t="str" cm="1">
        <f t="array" ref="V407">IF(_xlfn.XLOOKUP($A407&amp;$B407&amp;$C407,盘货信息!$A:$A&amp;盘货信息!$B:$B&amp;盘货信息!$C:$C,盘货信息!$Y:$Y)="","","【卡萨帝送赠】活动指定时间"&amp;_xlfn.TEXTBEFORE(_xlfn.TEXTAFTER(_xlfn.XLOOKUP($A407&amp;$B407&amp;$C407,盘货信息!$A:$A&amp;盘货信息!$B:$B&amp;盘货信息!$C:$C,盘货信息!$Y:$Y),"点"),"（"))</f>
        <v/>
      </c>
      <c r="W407" s="27" t="str" cm="1">
        <f t="array" ref="W407">IF(COUNTIF(_xlfn.XLOOKUP($A407&amp;$B407&amp;$C407,盘货信息!$A:$A&amp;盘货信息!$B:$B&amp;盘货信息!$C:$C,盘货信息!$O:$O),"*是*"),"【折扣】指定型号满2类享96折，满3类享94折","")</f>
        <v/>
      </c>
      <c r="X407" s="27" t="str" cm="1">
        <f t="array" ref="X407">IF(固定信息!$B$7="","",IF(_xlfn.XLOOKUP($A407&amp;$B407&amp;$C407,盘货信息!$A:$A&amp;盘货信息!$B:$B&amp;盘货信息!$C:$C,盘货信息!$N:$N)="是","【瓜分】"&amp;固定信息!$B$7,""))</f>
        <v/>
      </c>
      <c r="Y407" s="27" t="str">
        <f>IF(AND($V407="",$W407="",$X407=""),"",固定信息!$B$1)</f>
        <v/>
      </c>
      <c r="Z407" s="27" t="str" cm="1">
        <f t="array" ref="Z407">IF($C407="","",_xlfn.XLOOKUP($A407&amp;$B407&amp;$C407,服务!$A:$A&amp;服务!$B:$B&amp;服务!$C:$C,服务!$D:$D))</f>
        <v/>
      </c>
    </row>
    <row r="408" customHeight="1" spans="1:26">
      <c r="A408" s="23" t="str">
        <f>IF(盘货信息!A408="","",盘货信息!A408)</f>
        <v/>
      </c>
      <c r="B408" s="26" t="str">
        <f>IF(盘货信息!B408="","",盘货信息!B408)</f>
        <v/>
      </c>
      <c r="C408" s="23" t="str">
        <f>IF(盘货信息!C408="","",盘货信息!C408)</f>
        <v/>
      </c>
      <c r="D408" s="27" t="str">
        <f ca="1" t="shared" si="6"/>
        <v/>
      </c>
      <c r="E408" s="27" t="str">
        <f>IF(C408="","",固定信息!$B$2)</f>
        <v/>
      </c>
      <c r="F408" s="27" t="str">
        <f>IF(C408="","","【"&amp;C408&amp;"】"&amp;固定信息!$B$4)</f>
        <v/>
      </c>
      <c r="G408" s="27" t="str">
        <f>IF(C408="","","【"&amp;"活动时间："&amp;固定信息!$B$3&amp;"】")</f>
        <v/>
      </c>
      <c r="H408" s="27" t="str">
        <f>IF($C408="","",固定信息!$B$1)</f>
        <v/>
      </c>
      <c r="I408" s="27" t="str">
        <f>IF(OR(C408="",固定信息!$B$5=""),"","【1元预约锁好礼】"&amp;固定信息!$B$5)</f>
        <v/>
      </c>
      <c r="J408" s="27" t="str" cm="1">
        <f t="array" ref="J408">_xlfn.XLOOKUP($A408&amp;$B408&amp;$C408,价格信息!$A:$A&amp;价格信息!$B:$B&amp;价格信息!$C:$C,价格信息!$D:$D)</f>
        <v/>
      </c>
      <c r="K408" s="27" t="str">
        <f>IF($C408="","",固定信息!$B$1)</f>
        <v/>
      </c>
      <c r="L408" s="27" t="str" cm="1">
        <f t="array" ref="L408">IF(_xlfn.XLOOKUP($A408&amp;$B408&amp;$C408,盘货信息!$A:$A&amp;盘货信息!$B:$B&amp;盘货信息!$C:$C,盘货信息!$T:$T)="","","【优惠券】领"&amp;_xlfn.XLOOKUP($A408&amp;$B408&amp;$C408,盘货信息!$A:$A&amp;盘货信息!$B:$B&amp;盘货信息!$C:$C,盘货信息!$T:$T)&amp;"元优惠卷下单更优惠，领券链接："&amp;_xlfn.XLOOKUP($A408&amp;$B408&amp;$C408,盘货信息!$A:$A&amp;盘货信息!$B:$B&amp;盘货信息!$C:$C,盘货信息!$U:$U))</f>
        <v/>
      </c>
      <c r="M408" s="27" t="str" cm="1">
        <f t="array" ref="M408">IF(_xlfn.XLOOKUP($A408&amp;$B408&amp;$C408,盘货信息!$A:$A&amp;盘货信息!$B:$B&amp;盘货信息!$C:$C,盘货信息!$P:$P)="","","【限时】"&amp;_xlfn.XLOOKUP($A408&amp;$B408&amp;$C408,盘货信息!$A:$A&amp;盘货信息!$B:$B&amp;盘货信息!$C:$C,盘货信息!$P:$P))</f>
        <v/>
      </c>
      <c r="N408" s="27" t="str" cm="1">
        <f t="array" ref="N408">IF(_xlfn.XLOOKUP($A408&amp;$B408&amp;$C408,盘货信息!$A:$A&amp;盘货信息!$B:$B&amp;盘货信息!$C:$C,盘货信息!$V:$V)="","","【"&amp;盘货信息!$V$1&amp;"】"&amp;_xlfn.XLOOKUP($A408&amp;$B408&amp;$C408,盘货信息!$A:$A&amp;盘货信息!$B:$B&amp;盘货信息!$C:$C,盘货信息!$V:$V))</f>
        <v/>
      </c>
      <c r="O408" s="27" t="str" cm="1">
        <f t="array" ref="O408">IF(_xlfn.XLOOKUP($A408&amp;$B408&amp;$C408,盘货信息!$A:$A&amp;盘货信息!$B:$B&amp;盘货信息!$C:$C,盘货信息!$W:$W)="","","【"&amp;盘货信息!$W$1&amp;"】"&amp;_xlfn.XLOOKUP($A408&amp;$B408&amp;$C408,盘货信息!$A:$A&amp;盘货信息!$B:$B&amp;盘货信息!$C:$C,盘货信息!$W:$W))</f>
        <v/>
      </c>
      <c r="P408" s="27" t="str" cm="1">
        <f t="array" ref="P408">IF(_xlfn.XLOOKUP($A408&amp;$B408&amp;$C408,盘货信息!$A:$A&amp;盘货信息!$B:$B&amp;盘货信息!$C:$C,盘货信息!$S:$S)&lt;1,"","【"&amp;盘货信息!$S$1&amp;"】"&amp;"后返"&amp;_xlfn.XLOOKUP($A408&amp;$B408&amp;$C408,盘货信息!$A:$A&amp;盘货信息!$B:$B&amp;盘货信息!$C:$C,盘货信息!$S:$S)&amp;"元")</f>
        <v/>
      </c>
      <c r="Q408" s="27" t="str" cm="1">
        <f t="array" ref="Q408">IF(_xlfn.XLOOKUP($A408&amp;$B408&amp;$C408,盘货信息!$A:$A&amp;盘货信息!$B:$B&amp;盘货信息!$C:$C,盘货信息!$X:$X)="","","【"&amp;盘货信息!$X$1&amp;"】"&amp;_xlfn.XLOOKUP($A408&amp;$B408&amp;$C408,盘货信息!$A:$A&amp;盘货信息!$B:$B&amp;盘货信息!$C:$C,盘货信息!$X:$X))</f>
        <v/>
      </c>
      <c r="R408" s="27" t="str" cm="1">
        <f t="array" ref="R408">IF(_xlfn.XLOOKUP($A408&amp;$B408&amp;$C408,盘货信息!$A:$A&amp;盘货信息!$B:$B&amp;盘货信息!$C:$C,盘货信息!$Z:$Z)="","","【"&amp;盘货信息!$Z$1&amp;"】"&amp;_xlfn.XLOOKUP($A408&amp;$B408&amp;$C408,盘货信息!$A:$A&amp;盘货信息!$B:$B&amp;盘货信息!$C:$C,盘货信息!$Z:$Z))</f>
        <v/>
      </c>
      <c r="S408" s="27" t="str" cm="1">
        <f t="array" ref="S408">IF(_xlfn.XLOOKUP($A408&amp;$B408&amp;$C408,盘货信息!$A:$A&amp;盘货信息!$B:$B&amp;盘货信息!$C:$C,盘货信息!$Q:$Q)="","","【种草】站外带指定话题种草后返"&amp;_xlfn.XLOOKUP($A408&amp;$B408&amp;$C408,盘货信息!$A:$A&amp;盘货信息!$B:$B&amp;盘货信息!$C:$C,盘货信息!$Q:$Q)&amp;"元红包（每个淘宝账号仅限对应一个站外种草账号，同一个种草账号不可对应多个淘宝账号）")</f>
        <v/>
      </c>
      <c r="T408" s="27" t="str" cm="1">
        <f t="array" ref="T408">IF(_xlfn.XLOOKUP($A408&amp;$B408&amp;$C408,盘货信息!$A:$A&amp;盘货信息!$B:$B&amp;盘货信息!$C:$C,盘货信息!$R:$R)&lt;1,"","【以旧换新】"&amp;"享补贴"&amp;ROUND(_xlfn.XLOOKUP($A408&amp;$B408&amp;$C408,盘货信息!$A:$A&amp;盘货信息!$B:$B&amp;盘货信息!$C:$C,盘货信息!$R:$R),0)&amp;"元（可无旧机换新）")</f>
        <v/>
      </c>
      <c r="U408" s="27" t="str">
        <f>IF(AND($N408="",$O408="",$P408="",$Q408="",$R408="",$S408="",$T408=""),"",固定信息!$B$1)</f>
        <v/>
      </c>
      <c r="V408" s="27" t="str" cm="1">
        <f t="array" ref="V408">IF(_xlfn.XLOOKUP($A408&amp;$B408&amp;$C408,盘货信息!$A:$A&amp;盘货信息!$B:$B&amp;盘货信息!$C:$C,盘货信息!$Y:$Y)="","","【卡萨帝送赠】活动指定时间"&amp;_xlfn.TEXTBEFORE(_xlfn.TEXTAFTER(_xlfn.XLOOKUP($A408&amp;$B408&amp;$C408,盘货信息!$A:$A&amp;盘货信息!$B:$B&amp;盘货信息!$C:$C,盘货信息!$Y:$Y),"点"),"（"))</f>
        <v/>
      </c>
      <c r="W408" s="27" t="str" cm="1">
        <f t="array" ref="W408">IF(COUNTIF(_xlfn.XLOOKUP($A408&amp;$B408&amp;$C408,盘货信息!$A:$A&amp;盘货信息!$B:$B&amp;盘货信息!$C:$C,盘货信息!$O:$O),"*是*"),"【折扣】指定型号满2类享96折，满3类享94折","")</f>
        <v/>
      </c>
      <c r="X408" s="27" t="str" cm="1">
        <f t="array" ref="X408">IF(固定信息!$B$7="","",IF(_xlfn.XLOOKUP($A408&amp;$B408&amp;$C408,盘货信息!$A:$A&amp;盘货信息!$B:$B&amp;盘货信息!$C:$C,盘货信息!$N:$N)="是","【瓜分】"&amp;固定信息!$B$7,""))</f>
        <v/>
      </c>
      <c r="Y408" s="27" t="str">
        <f>IF(AND($V408="",$W408="",$X408=""),"",固定信息!$B$1)</f>
        <v/>
      </c>
      <c r="Z408" s="27" t="str" cm="1">
        <f t="array" ref="Z408">IF($C408="","",_xlfn.XLOOKUP($A408&amp;$B408&amp;$C408,服务!$A:$A&amp;服务!$B:$B&amp;服务!$C:$C,服务!$D:$D))</f>
        <v/>
      </c>
    </row>
    <row r="409" customHeight="1" spans="1:26">
      <c r="A409" s="23" t="str">
        <f>IF(盘货信息!A409="","",盘货信息!A409)</f>
        <v/>
      </c>
      <c r="B409" s="26" t="str">
        <f>IF(盘货信息!B409="","",盘货信息!B409)</f>
        <v/>
      </c>
      <c r="C409" s="23" t="str">
        <f>IF(盘货信息!C409="","",盘货信息!C409)</f>
        <v/>
      </c>
      <c r="D409" s="27" t="str">
        <f ca="1" t="shared" si="6"/>
        <v/>
      </c>
      <c r="E409" s="27" t="str">
        <f>IF(C409="","",固定信息!$B$2)</f>
        <v/>
      </c>
      <c r="F409" s="27" t="str">
        <f>IF(C409="","","【"&amp;C409&amp;"】"&amp;固定信息!$B$4)</f>
        <v/>
      </c>
      <c r="G409" s="27" t="str">
        <f>IF(C409="","","【"&amp;"活动时间："&amp;固定信息!$B$3&amp;"】")</f>
        <v/>
      </c>
      <c r="H409" s="27" t="str">
        <f>IF($C409="","",固定信息!$B$1)</f>
        <v/>
      </c>
      <c r="I409" s="27" t="str">
        <f>IF(OR(C409="",固定信息!$B$5=""),"","【1元预约锁好礼】"&amp;固定信息!$B$5)</f>
        <v/>
      </c>
      <c r="J409" s="27" t="str" cm="1">
        <f t="array" ref="J409">_xlfn.XLOOKUP($A409&amp;$B409&amp;$C409,价格信息!$A:$A&amp;价格信息!$B:$B&amp;价格信息!$C:$C,价格信息!$D:$D)</f>
        <v/>
      </c>
      <c r="K409" s="27" t="str">
        <f>IF($C409="","",固定信息!$B$1)</f>
        <v/>
      </c>
      <c r="L409" s="27" t="str" cm="1">
        <f t="array" ref="L409">IF(_xlfn.XLOOKUP($A409&amp;$B409&amp;$C409,盘货信息!$A:$A&amp;盘货信息!$B:$B&amp;盘货信息!$C:$C,盘货信息!$T:$T)="","","【优惠券】领"&amp;_xlfn.XLOOKUP($A409&amp;$B409&amp;$C409,盘货信息!$A:$A&amp;盘货信息!$B:$B&amp;盘货信息!$C:$C,盘货信息!$T:$T)&amp;"元优惠卷下单更优惠，领券链接："&amp;_xlfn.XLOOKUP($A409&amp;$B409&amp;$C409,盘货信息!$A:$A&amp;盘货信息!$B:$B&amp;盘货信息!$C:$C,盘货信息!$U:$U))</f>
        <v/>
      </c>
      <c r="M409" s="27" t="str" cm="1">
        <f t="array" ref="M409">IF(_xlfn.XLOOKUP($A409&amp;$B409&amp;$C409,盘货信息!$A:$A&amp;盘货信息!$B:$B&amp;盘货信息!$C:$C,盘货信息!$P:$P)="","","【限时】"&amp;_xlfn.XLOOKUP($A409&amp;$B409&amp;$C409,盘货信息!$A:$A&amp;盘货信息!$B:$B&amp;盘货信息!$C:$C,盘货信息!$P:$P))</f>
        <v/>
      </c>
      <c r="N409" s="27" t="str" cm="1">
        <f t="array" ref="N409">IF(_xlfn.XLOOKUP($A409&amp;$B409&amp;$C409,盘货信息!$A:$A&amp;盘货信息!$B:$B&amp;盘货信息!$C:$C,盘货信息!$V:$V)="","","【"&amp;盘货信息!$V$1&amp;"】"&amp;_xlfn.XLOOKUP($A409&amp;$B409&amp;$C409,盘货信息!$A:$A&amp;盘货信息!$B:$B&amp;盘货信息!$C:$C,盘货信息!$V:$V))</f>
        <v/>
      </c>
      <c r="O409" s="27" t="str" cm="1">
        <f t="array" ref="O409">IF(_xlfn.XLOOKUP($A409&amp;$B409&amp;$C409,盘货信息!$A:$A&amp;盘货信息!$B:$B&amp;盘货信息!$C:$C,盘货信息!$W:$W)="","","【"&amp;盘货信息!$W$1&amp;"】"&amp;_xlfn.XLOOKUP($A409&amp;$B409&amp;$C409,盘货信息!$A:$A&amp;盘货信息!$B:$B&amp;盘货信息!$C:$C,盘货信息!$W:$W))</f>
        <v/>
      </c>
      <c r="P409" s="27" t="str" cm="1">
        <f t="array" ref="P409">IF(_xlfn.XLOOKUP($A409&amp;$B409&amp;$C409,盘货信息!$A:$A&amp;盘货信息!$B:$B&amp;盘货信息!$C:$C,盘货信息!$S:$S)&lt;1,"","【"&amp;盘货信息!$S$1&amp;"】"&amp;"后返"&amp;_xlfn.XLOOKUP($A409&amp;$B409&amp;$C409,盘货信息!$A:$A&amp;盘货信息!$B:$B&amp;盘货信息!$C:$C,盘货信息!$S:$S)&amp;"元")</f>
        <v/>
      </c>
      <c r="Q409" s="27" t="str" cm="1">
        <f t="array" ref="Q409">IF(_xlfn.XLOOKUP($A409&amp;$B409&amp;$C409,盘货信息!$A:$A&amp;盘货信息!$B:$B&amp;盘货信息!$C:$C,盘货信息!$X:$X)="","","【"&amp;盘货信息!$X$1&amp;"】"&amp;_xlfn.XLOOKUP($A409&amp;$B409&amp;$C409,盘货信息!$A:$A&amp;盘货信息!$B:$B&amp;盘货信息!$C:$C,盘货信息!$X:$X))</f>
        <v/>
      </c>
      <c r="R409" s="27" t="str" cm="1">
        <f t="array" ref="R409">IF(_xlfn.XLOOKUP($A409&amp;$B409&amp;$C409,盘货信息!$A:$A&amp;盘货信息!$B:$B&amp;盘货信息!$C:$C,盘货信息!$Z:$Z)="","","【"&amp;盘货信息!$Z$1&amp;"】"&amp;_xlfn.XLOOKUP($A409&amp;$B409&amp;$C409,盘货信息!$A:$A&amp;盘货信息!$B:$B&amp;盘货信息!$C:$C,盘货信息!$Z:$Z))</f>
        <v/>
      </c>
      <c r="S409" s="27" t="str" cm="1">
        <f t="array" ref="S409">IF(_xlfn.XLOOKUP($A409&amp;$B409&amp;$C409,盘货信息!$A:$A&amp;盘货信息!$B:$B&amp;盘货信息!$C:$C,盘货信息!$Q:$Q)="","","【种草】站外带指定话题种草后返"&amp;_xlfn.XLOOKUP($A409&amp;$B409&amp;$C409,盘货信息!$A:$A&amp;盘货信息!$B:$B&amp;盘货信息!$C:$C,盘货信息!$Q:$Q)&amp;"元红包（每个淘宝账号仅限对应一个站外种草账号，同一个种草账号不可对应多个淘宝账号）")</f>
        <v/>
      </c>
      <c r="T409" s="27" t="str" cm="1">
        <f t="array" ref="T409">IF(_xlfn.XLOOKUP($A409&amp;$B409&amp;$C409,盘货信息!$A:$A&amp;盘货信息!$B:$B&amp;盘货信息!$C:$C,盘货信息!$R:$R)&lt;1,"","【以旧换新】"&amp;"享补贴"&amp;ROUND(_xlfn.XLOOKUP($A409&amp;$B409&amp;$C409,盘货信息!$A:$A&amp;盘货信息!$B:$B&amp;盘货信息!$C:$C,盘货信息!$R:$R),0)&amp;"元（可无旧机换新）")</f>
        <v/>
      </c>
      <c r="U409" s="27" t="str">
        <f>IF(AND($N409="",$O409="",$P409="",$Q409="",$R409="",$S409="",$T409=""),"",固定信息!$B$1)</f>
        <v/>
      </c>
      <c r="V409" s="27" t="str" cm="1">
        <f t="array" ref="V409">IF(_xlfn.XLOOKUP($A409&amp;$B409&amp;$C409,盘货信息!$A:$A&amp;盘货信息!$B:$B&amp;盘货信息!$C:$C,盘货信息!$Y:$Y)="","","【卡萨帝送赠】活动指定时间"&amp;_xlfn.TEXTBEFORE(_xlfn.TEXTAFTER(_xlfn.XLOOKUP($A409&amp;$B409&amp;$C409,盘货信息!$A:$A&amp;盘货信息!$B:$B&amp;盘货信息!$C:$C,盘货信息!$Y:$Y),"点"),"（"))</f>
        <v/>
      </c>
      <c r="W409" s="27" t="str" cm="1">
        <f t="array" ref="W409">IF(COUNTIF(_xlfn.XLOOKUP($A409&amp;$B409&amp;$C409,盘货信息!$A:$A&amp;盘货信息!$B:$B&amp;盘货信息!$C:$C,盘货信息!$O:$O),"*是*"),"【折扣】指定型号满2类享96折，满3类享94折","")</f>
        <v/>
      </c>
      <c r="X409" s="27" t="str" cm="1">
        <f t="array" ref="X409">IF(固定信息!$B$7="","",IF(_xlfn.XLOOKUP($A409&amp;$B409&amp;$C409,盘货信息!$A:$A&amp;盘货信息!$B:$B&amp;盘货信息!$C:$C,盘货信息!$N:$N)="是","【瓜分】"&amp;固定信息!$B$7,""))</f>
        <v/>
      </c>
      <c r="Y409" s="27" t="str">
        <f>IF(AND($V409="",$W409="",$X409=""),"",固定信息!$B$1)</f>
        <v/>
      </c>
      <c r="Z409" s="27" t="str" cm="1">
        <f t="array" ref="Z409">IF($C409="","",_xlfn.XLOOKUP($A409&amp;$B409&amp;$C409,服务!$A:$A&amp;服务!$B:$B&amp;服务!$C:$C,服务!$D:$D))</f>
        <v/>
      </c>
    </row>
    <row r="410" customHeight="1" spans="1:26">
      <c r="A410" s="23" t="str">
        <f>IF(盘货信息!A410="","",盘货信息!A410)</f>
        <v/>
      </c>
      <c r="B410" s="26" t="str">
        <f>IF(盘货信息!B410="","",盘货信息!B410)</f>
        <v/>
      </c>
      <c r="C410" s="23" t="str">
        <f>IF(盘货信息!C410="","",盘货信息!C410)</f>
        <v/>
      </c>
      <c r="D410" s="27" t="str">
        <f ca="1" t="shared" si="6"/>
        <v/>
      </c>
      <c r="E410" s="27" t="str">
        <f>IF(C410="","",固定信息!$B$2)</f>
        <v/>
      </c>
      <c r="F410" s="27" t="str">
        <f>IF(C410="","","【"&amp;C410&amp;"】"&amp;固定信息!$B$4)</f>
        <v/>
      </c>
      <c r="G410" s="27" t="str">
        <f>IF(C410="","","【"&amp;"活动时间："&amp;固定信息!$B$3&amp;"】")</f>
        <v/>
      </c>
      <c r="H410" s="27" t="str">
        <f>IF($C410="","",固定信息!$B$1)</f>
        <v/>
      </c>
      <c r="I410" s="27" t="str">
        <f>IF(OR(C410="",固定信息!$B$5=""),"","【1元预约锁好礼】"&amp;固定信息!$B$5)</f>
        <v/>
      </c>
      <c r="J410" s="27" t="str" cm="1">
        <f t="array" ref="J410">_xlfn.XLOOKUP($A410&amp;$B410&amp;$C410,价格信息!$A:$A&amp;价格信息!$B:$B&amp;价格信息!$C:$C,价格信息!$D:$D)</f>
        <v/>
      </c>
      <c r="K410" s="27" t="str">
        <f>IF($C410="","",固定信息!$B$1)</f>
        <v/>
      </c>
      <c r="L410" s="27" t="str" cm="1">
        <f t="array" ref="L410">IF(_xlfn.XLOOKUP($A410&amp;$B410&amp;$C410,盘货信息!$A:$A&amp;盘货信息!$B:$B&amp;盘货信息!$C:$C,盘货信息!$T:$T)="","","【优惠券】领"&amp;_xlfn.XLOOKUP($A410&amp;$B410&amp;$C410,盘货信息!$A:$A&amp;盘货信息!$B:$B&amp;盘货信息!$C:$C,盘货信息!$T:$T)&amp;"元优惠卷下单更优惠，领券链接："&amp;_xlfn.XLOOKUP($A410&amp;$B410&amp;$C410,盘货信息!$A:$A&amp;盘货信息!$B:$B&amp;盘货信息!$C:$C,盘货信息!$U:$U))</f>
        <v/>
      </c>
      <c r="M410" s="27" t="str" cm="1">
        <f t="array" ref="M410">IF(_xlfn.XLOOKUP($A410&amp;$B410&amp;$C410,盘货信息!$A:$A&amp;盘货信息!$B:$B&amp;盘货信息!$C:$C,盘货信息!$P:$P)="","","【限时】"&amp;_xlfn.XLOOKUP($A410&amp;$B410&amp;$C410,盘货信息!$A:$A&amp;盘货信息!$B:$B&amp;盘货信息!$C:$C,盘货信息!$P:$P))</f>
        <v/>
      </c>
      <c r="N410" s="27" t="str" cm="1">
        <f t="array" ref="N410">IF(_xlfn.XLOOKUP($A410&amp;$B410&amp;$C410,盘货信息!$A:$A&amp;盘货信息!$B:$B&amp;盘货信息!$C:$C,盘货信息!$V:$V)="","","【"&amp;盘货信息!$V$1&amp;"】"&amp;_xlfn.XLOOKUP($A410&amp;$B410&amp;$C410,盘货信息!$A:$A&amp;盘货信息!$B:$B&amp;盘货信息!$C:$C,盘货信息!$V:$V))</f>
        <v/>
      </c>
      <c r="O410" s="27" t="str" cm="1">
        <f t="array" ref="O410">IF(_xlfn.XLOOKUP($A410&amp;$B410&amp;$C410,盘货信息!$A:$A&amp;盘货信息!$B:$B&amp;盘货信息!$C:$C,盘货信息!$W:$W)="","","【"&amp;盘货信息!$W$1&amp;"】"&amp;_xlfn.XLOOKUP($A410&amp;$B410&amp;$C410,盘货信息!$A:$A&amp;盘货信息!$B:$B&amp;盘货信息!$C:$C,盘货信息!$W:$W))</f>
        <v/>
      </c>
      <c r="P410" s="27" t="str" cm="1">
        <f t="array" ref="P410">IF(_xlfn.XLOOKUP($A410&amp;$B410&amp;$C410,盘货信息!$A:$A&amp;盘货信息!$B:$B&amp;盘货信息!$C:$C,盘货信息!$S:$S)&lt;1,"","【"&amp;盘货信息!$S$1&amp;"】"&amp;"后返"&amp;_xlfn.XLOOKUP($A410&amp;$B410&amp;$C410,盘货信息!$A:$A&amp;盘货信息!$B:$B&amp;盘货信息!$C:$C,盘货信息!$S:$S)&amp;"元")</f>
        <v/>
      </c>
      <c r="Q410" s="27" t="str" cm="1">
        <f t="array" ref="Q410">IF(_xlfn.XLOOKUP($A410&amp;$B410&amp;$C410,盘货信息!$A:$A&amp;盘货信息!$B:$B&amp;盘货信息!$C:$C,盘货信息!$X:$X)="","","【"&amp;盘货信息!$X$1&amp;"】"&amp;_xlfn.XLOOKUP($A410&amp;$B410&amp;$C410,盘货信息!$A:$A&amp;盘货信息!$B:$B&amp;盘货信息!$C:$C,盘货信息!$X:$X))</f>
        <v/>
      </c>
      <c r="R410" s="27" t="str" cm="1">
        <f t="array" ref="R410">IF(_xlfn.XLOOKUP($A410&amp;$B410&amp;$C410,盘货信息!$A:$A&amp;盘货信息!$B:$B&amp;盘货信息!$C:$C,盘货信息!$Z:$Z)="","","【"&amp;盘货信息!$Z$1&amp;"】"&amp;_xlfn.XLOOKUP($A410&amp;$B410&amp;$C410,盘货信息!$A:$A&amp;盘货信息!$B:$B&amp;盘货信息!$C:$C,盘货信息!$Z:$Z))</f>
        <v/>
      </c>
      <c r="S410" s="27" t="str" cm="1">
        <f t="array" ref="S410">IF(_xlfn.XLOOKUP($A410&amp;$B410&amp;$C410,盘货信息!$A:$A&amp;盘货信息!$B:$B&amp;盘货信息!$C:$C,盘货信息!$Q:$Q)="","","【种草】站外带指定话题种草后返"&amp;_xlfn.XLOOKUP($A410&amp;$B410&amp;$C410,盘货信息!$A:$A&amp;盘货信息!$B:$B&amp;盘货信息!$C:$C,盘货信息!$Q:$Q)&amp;"元红包（每个淘宝账号仅限对应一个站外种草账号，同一个种草账号不可对应多个淘宝账号）")</f>
        <v/>
      </c>
      <c r="T410" s="27" t="str" cm="1">
        <f t="array" ref="T410">IF(_xlfn.XLOOKUP($A410&amp;$B410&amp;$C410,盘货信息!$A:$A&amp;盘货信息!$B:$B&amp;盘货信息!$C:$C,盘货信息!$R:$R)&lt;1,"","【以旧换新】"&amp;"享补贴"&amp;ROUND(_xlfn.XLOOKUP($A410&amp;$B410&amp;$C410,盘货信息!$A:$A&amp;盘货信息!$B:$B&amp;盘货信息!$C:$C,盘货信息!$R:$R),0)&amp;"元（可无旧机换新）")</f>
        <v/>
      </c>
      <c r="U410" s="27" t="str">
        <f>IF(AND($N410="",$O410="",$P410="",$Q410="",$R410="",$S410="",$T410=""),"",固定信息!$B$1)</f>
        <v/>
      </c>
      <c r="V410" s="27" t="str" cm="1">
        <f t="array" ref="V410">IF(_xlfn.XLOOKUP($A410&amp;$B410&amp;$C410,盘货信息!$A:$A&amp;盘货信息!$B:$B&amp;盘货信息!$C:$C,盘货信息!$Y:$Y)="","","【卡萨帝送赠】活动指定时间"&amp;_xlfn.TEXTBEFORE(_xlfn.TEXTAFTER(_xlfn.XLOOKUP($A410&amp;$B410&amp;$C410,盘货信息!$A:$A&amp;盘货信息!$B:$B&amp;盘货信息!$C:$C,盘货信息!$Y:$Y),"点"),"（"))</f>
        <v/>
      </c>
      <c r="W410" s="27" t="str" cm="1">
        <f t="array" ref="W410">IF(COUNTIF(_xlfn.XLOOKUP($A410&amp;$B410&amp;$C410,盘货信息!$A:$A&amp;盘货信息!$B:$B&amp;盘货信息!$C:$C,盘货信息!$O:$O),"*是*"),"【折扣】指定型号满2类享96折，满3类享94折","")</f>
        <v/>
      </c>
      <c r="X410" s="27" t="str" cm="1">
        <f t="array" ref="X410">IF(固定信息!$B$7="","",IF(_xlfn.XLOOKUP($A410&amp;$B410&amp;$C410,盘货信息!$A:$A&amp;盘货信息!$B:$B&amp;盘货信息!$C:$C,盘货信息!$N:$N)="是","【瓜分】"&amp;固定信息!$B$7,""))</f>
        <v/>
      </c>
      <c r="Y410" s="27" t="str">
        <f>IF(AND($V410="",$W410="",$X410=""),"",固定信息!$B$1)</f>
        <v/>
      </c>
      <c r="Z410" s="27" t="str" cm="1">
        <f t="array" ref="Z410">IF($C410="","",_xlfn.XLOOKUP($A410&amp;$B410&amp;$C410,服务!$A:$A&amp;服务!$B:$B&amp;服务!$C:$C,服务!$D:$D))</f>
        <v/>
      </c>
    </row>
    <row r="411" customHeight="1" spans="1:26">
      <c r="A411" s="23" t="str">
        <f>IF(盘货信息!A411="","",盘货信息!A411)</f>
        <v/>
      </c>
      <c r="B411" s="26" t="str">
        <f>IF(盘货信息!B411="","",盘货信息!B411)</f>
        <v/>
      </c>
      <c r="C411" s="23" t="str">
        <f>IF(盘货信息!C411="","",盘货信息!C411)</f>
        <v/>
      </c>
      <c r="D411" s="27" t="str">
        <f ca="1" t="shared" si="6"/>
        <v/>
      </c>
      <c r="E411" s="27" t="str">
        <f>IF(C411="","",固定信息!$B$2)</f>
        <v/>
      </c>
      <c r="F411" s="27" t="str">
        <f>IF(C411="","","【"&amp;C411&amp;"】"&amp;固定信息!$B$4)</f>
        <v/>
      </c>
      <c r="G411" s="27" t="str">
        <f>IF(C411="","","【"&amp;"活动时间："&amp;固定信息!$B$3&amp;"】")</f>
        <v/>
      </c>
      <c r="H411" s="27" t="str">
        <f>IF($C411="","",固定信息!$B$1)</f>
        <v/>
      </c>
      <c r="I411" s="27" t="str">
        <f>IF(OR(C411="",固定信息!$B$5=""),"","【1元预约锁好礼】"&amp;固定信息!$B$5)</f>
        <v/>
      </c>
      <c r="J411" s="27" t="str" cm="1">
        <f t="array" ref="J411">_xlfn.XLOOKUP($A411&amp;$B411&amp;$C411,价格信息!$A:$A&amp;价格信息!$B:$B&amp;价格信息!$C:$C,价格信息!$D:$D)</f>
        <v/>
      </c>
      <c r="K411" s="27" t="str">
        <f>IF($C411="","",固定信息!$B$1)</f>
        <v/>
      </c>
      <c r="L411" s="27" t="str" cm="1">
        <f t="array" ref="L411">IF(_xlfn.XLOOKUP($A411&amp;$B411&amp;$C411,盘货信息!$A:$A&amp;盘货信息!$B:$B&amp;盘货信息!$C:$C,盘货信息!$T:$T)="","","【优惠券】领"&amp;_xlfn.XLOOKUP($A411&amp;$B411&amp;$C411,盘货信息!$A:$A&amp;盘货信息!$B:$B&amp;盘货信息!$C:$C,盘货信息!$T:$T)&amp;"元优惠卷下单更优惠，领券链接："&amp;_xlfn.XLOOKUP($A411&amp;$B411&amp;$C411,盘货信息!$A:$A&amp;盘货信息!$B:$B&amp;盘货信息!$C:$C,盘货信息!$U:$U))</f>
        <v/>
      </c>
      <c r="M411" s="27" t="str" cm="1">
        <f t="array" ref="M411">IF(_xlfn.XLOOKUP($A411&amp;$B411&amp;$C411,盘货信息!$A:$A&amp;盘货信息!$B:$B&amp;盘货信息!$C:$C,盘货信息!$P:$P)="","","【限时】"&amp;_xlfn.XLOOKUP($A411&amp;$B411&amp;$C411,盘货信息!$A:$A&amp;盘货信息!$B:$B&amp;盘货信息!$C:$C,盘货信息!$P:$P))</f>
        <v/>
      </c>
      <c r="N411" s="27" t="str" cm="1">
        <f t="array" ref="N411">IF(_xlfn.XLOOKUP($A411&amp;$B411&amp;$C411,盘货信息!$A:$A&amp;盘货信息!$B:$B&amp;盘货信息!$C:$C,盘货信息!$V:$V)="","","【"&amp;盘货信息!$V$1&amp;"】"&amp;_xlfn.XLOOKUP($A411&amp;$B411&amp;$C411,盘货信息!$A:$A&amp;盘货信息!$B:$B&amp;盘货信息!$C:$C,盘货信息!$V:$V))</f>
        <v/>
      </c>
      <c r="O411" s="27" t="str" cm="1">
        <f t="array" ref="O411">IF(_xlfn.XLOOKUP($A411&amp;$B411&amp;$C411,盘货信息!$A:$A&amp;盘货信息!$B:$B&amp;盘货信息!$C:$C,盘货信息!$W:$W)="","","【"&amp;盘货信息!$W$1&amp;"】"&amp;_xlfn.XLOOKUP($A411&amp;$B411&amp;$C411,盘货信息!$A:$A&amp;盘货信息!$B:$B&amp;盘货信息!$C:$C,盘货信息!$W:$W))</f>
        <v/>
      </c>
      <c r="P411" s="27" t="str" cm="1">
        <f t="array" ref="P411">IF(_xlfn.XLOOKUP($A411&amp;$B411&amp;$C411,盘货信息!$A:$A&amp;盘货信息!$B:$B&amp;盘货信息!$C:$C,盘货信息!$S:$S)&lt;1,"","【"&amp;盘货信息!$S$1&amp;"】"&amp;"后返"&amp;_xlfn.XLOOKUP($A411&amp;$B411&amp;$C411,盘货信息!$A:$A&amp;盘货信息!$B:$B&amp;盘货信息!$C:$C,盘货信息!$S:$S)&amp;"元")</f>
        <v/>
      </c>
      <c r="Q411" s="27" t="str" cm="1">
        <f t="array" ref="Q411">IF(_xlfn.XLOOKUP($A411&amp;$B411&amp;$C411,盘货信息!$A:$A&amp;盘货信息!$B:$B&amp;盘货信息!$C:$C,盘货信息!$X:$X)="","","【"&amp;盘货信息!$X$1&amp;"】"&amp;_xlfn.XLOOKUP($A411&amp;$B411&amp;$C411,盘货信息!$A:$A&amp;盘货信息!$B:$B&amp;盘货信息!$C:$C,盘货信息!$X:$X))</f>
        <v/>
      </c>
      <c r="R411" s="27" t="str" cm="1">
        <f t="array" ref="R411">IF(_xlfn.XLOOKUP($A411&amp;$B411&amp;$C411,盘货信息!$A:$A&amp;盘货信息!$B:$B&amp;盘货信息!$C:$C,盘货信息!$Z:$Z)="","","【"&amp;盘货信息!$Z$1&amp;"】"&amp;_xlfn.XLOOKUP($A411&amp;$B411&amp;$C411,盘货信息!$A:$A&amp;盘货信息!$B:$B&amp;盘货信息!$C:$C,盘货信息!$Z:$Z))</f>
        <v/>
      </c>
      <c r="S411" s="27" t="str" cm="1">
        <f t="array" ref="S411">IF(_xlfn.XLOOKUP($A411&amp;$B411&amp;$C411,盘货信息!$A:$A&amp;盘货信息!$B:$B&amp;盘货信息!$C:$C,盘货信息!$Q:$Q)="","","【种草】站外带指定话题种草后返"&amp;_xlfn.XLOOKUP($A411&amp;$B411&amp;$C411,盘货信息!$A:$A&amp;盘货信息!$B:$B&amp;盘货信息!$C:$C,盘货信息!$Q:$Q)&amp;"元红包（每个淘宝账号仅限对应一个站外种草账号，同一个种草账号不可对应多个淘宝账号）")</f>
        <v/>
      </c>
      <c r="T411" s="27" t="str" cm="1">
        <f t="array" ref="T411">IF(_xlfn.XLOOKUP($A411&amp;$B411&amp;$C411,盘货信息!$A:$A&amp;盘货信息!$B:$B&amp;盘货信息!$C:$C,盘货信息!$R:$R)&lt;1,"","【以旧换新】"&amp;"享补贴"&amp;ROUND(_xlfn.XLOOKUP($A411&amp;$B411&amp;$C411,盘货信息!$A:$A&amp;盘货信息!$B:$B&amp;盘货信息!$C:$C,盘货信息!$R:$R),0)&amp;"元（可无旧机换新）")</f>
        <v/>
      </c>
      <c r="U411" s="27" t="str">
        <f>IF(AND($N411="",$O411="",$P411="",$Q411="",$R411="",$S411="",$T411=""),"",固定信息!$B$1)</f>
        <v/>
      </c>
      <c r="V411" s="27" t="str" cm="1">
        <f t="array" ref="V411">IF(_xlfn.XLOOKUP($A411&amp;$B411&amp;$C411,盘货信息!$A:$A&amp;盘货信息!$B:$B&amp;盘货信息!$C:$C,盘货信息!$Y:$Y)="","","【卡萨帝送赠】活动指定时间"&amp;_xlfn.TEXTBEFORE(_xlfn.TEXTAFTER(_xlfn.XLOOKUP($A411&amp;$B411&amp;$C411,盘货信息!$A:$A&amp;盘货信息!$B:$B&amp;盘货信息!$C:$C,盘货信息!$Y:$Y),"点"),"（"))</f>
        <v/>
      </c>
      <c r="W411" s="27" t="str" cm="1">
        <f t="array" ref="W411">IF(COUNTIF(_xlfn.XLOOKUP($A411&amp;$B411&amp;$C411,盘货信息!$A:$A&amp;盘货信息!$B:$B&amp;盘货信息!$C:$C,盘货信息!$O:$O),"*是*"),"【折扣】指定型号满2类享96折，满3类享94折","")</f>
        <v/>
      </c>
      <c r="X411" s="27" t="str" cm="1">
        <f t="array" ref="X411">IF(固定信息!$B$7="","",IF(_xlfn.XLOOKUP($A411&amp;$B411&amp;$C411,盘货信息!$A:$A&amp;盘货信息!$B:$B&amp;盘货信息!$C:$C,盘货信息!$N:$N)="是","【瓜分】"&amp;固定信息!$B$7,""))</f>
        <v/>
      </c>
      <c r="Y411" s="27" t="str">
        <f>IF(AND($V411="",$W411="",$X411=""),"",固定信息!$B$1)</f>
        <v/>
      </c>
      <c r="Z411" s="27" t="str" cm="1">
        <f t="array" ref="Z411">IF($C411="","",_xlfn.XLOOKUP($A411&amp;$B411&amp;$C411,服务!$A:$A&amp;服务!$B:$B&amp;服务!$C:$C,服务!$D:$D))</f>
        <v/>
      </c>
    </row>
    <row r="412" customHeight="1" spans="1:26">
      <c r="A412" s="23" t="str">
        <f>IF(盘货信息!A412="","",盘货信息!A412)</f>
        <v/>
      </c>
      <c r="B412" s="26" t="str">
        <f>IF(盘货信息!B412="","",盘货信息!B412)</f>
        <v/>
      </c>
      <c r="C412" s="23" t="str">
        <f>IF(盘货信息!C412="","",盘货信息!C412)</f>
        <v/>
      </c>
      <c r="D412" s="27" t="str">
        <f ca="1" t="shared" si="6"/>
        <v/>
      </c>
      <c r="E412" s="27" t="str">
        <f>IF(C412="","",固定信息!$B$2)</f>
        <v/>
      </c>
      <c r="F412" s="27" t="str">
        <f>IF(C412="","","【"&amp;C412&amp;"】"&amp;固定信息!$B$4)</f>
        <v/>
      </c>
      <c r="G412" s="27" t="str">
        <f>IF(C412="","","【"&amp;"活动时间："&amp;固定信息!$B$3&amp;"】")</f>
        <v/>
      </c>
      <c r="H412" s="27" t="str">
        <f>IF($C412="","",固定信息!$B$1)</f>
        <v/>
      </c>
      <c r="I412" s="27" t="str">
        <f>IF(OR(C412="",固定信息!$B$5=""),"","【1元预约锁好礼】"&amp;固定信息!$B$5)</f>
        <v/>
      </c>
      <c r="J412" s="27" t="str" cm="1">
        <f t="array" ref="J412">_xlfn.XLOOKUP($A412&amp;$B412&amp;$C412,价格信息!$A:$A&amp;价格信息!$B:$B&amp;价格信息!$C:$C,价格信息!$D:$D)</f>
        <v/>
      </c>
      <c r="K412" s="27" t="str">
        <f>IF($C412="","",固定信息!$B$1)</f>
        <v/>
      </c>
      <c r="L412" s="27" t="str" cm="1">
        <f t="array" ref="L412">IF(_xlfn.XLOOKUP($A412&amp;$B412&amp;$C412,盘货信息!$A:$A&amp;盘货信息!$B:$B&amp;盘货信息!$C:$C,盘货信息!$T:$T)="","","【优惠券】领"&amp;_xlfn.XLOOKUP($A412&amp;$B412&amp;$C412,盘货信息!$A:$A&amp;盘货信息!$B:$B&amp;盘货信息!$C:$C,盘货信息!$T:$T)&amp;"元优惠卷下单更优惠，领券链接："&amp;_xlfn.XLOOKUP($A412&amp;$B412&amp;$C412,盘货信息!$A:$A&amp;盘货信息!$B:$B&amp;盘货信息!$C:$C,盘货信息!$U:$U))</f>
        <v/>
      </c>
      <c r="M412" s="27" t="str" cm="1">
        <f t="array" ref="M412">IF(_xlfn.XLOOKUP($A412&amp;$B412&amp;$C412,盘货信息!$A:$A&amp;盘货信息!$B:$B&amp;盘货信息!$C:$C,盘货信息!$P:$P)="","","【限时】"&amp;_xlfn.XLOOKUP($A412&amp;$B412&amp;$C412,盘货信息!$A:$A&amp;盘货信息!$B:$B&amp;盘货信息!$C:$C,盘货信息!$P:$P))</f>
        <v/>
      </c>
      <c r="N412" s="27" t="str" cm="1">
        <f t="array" ref="N412">IF(_xlfn.XLOOKUP($A412&amp;$B412&amp;$C412,盘货信息!$A:$A&amp;盘货信息!$B:$B&amp;盘货信息!$C:$C,盘货信息!$V:$V)="","","【"&amp;盘货信息!$V$1&amp;"】"&amp;_xlfn.XLOOKUP($A412&amp;$B412&amp;$C412,盘货信息!$A:$A&amp;盘货信息!$B:$B&amp;盘货信息!$C:$C,盘货信息!$V:$V))</f>
        <v/>
      </c>
      <c r="O412" s="27" t="str" cm="1">
        <f t="array" ref="O412">IF(_xlfn.XLOOKUP($A412&amp;$B412&amp;$C412,盘货信息!$A:$A&amp;盘货信息!$B:$B&amp;盘货信息!$C:$C,盘货信息!$W:$W)="","","【"&amp;盘货信息!$W$1&amp;"】"&amp;_xlfn.XLOOKUP($A412&amp;$B412&amp;$C412,盘货信息!$A:$A&amp;盘货信息!$B:$B&amp;盘货信息!$C:$C,盘货信息!$W:$W))</f>
        <v/>
      </c>
      <c r="P412" s="27" t="str" cm="1">
        <f t="array" ref="P412">IF(_xlfn.XLOOKUP($A412&amp;$B412&amp;$C412,盘货信息!$A:$A&amp;盘货信息!$B:$B&amp;盘货信息!$C:$C,盘货信息!$S:$S)&lt;1,"","【"&amp;盘货信息!$S$1&amp;"】"&amp;"后返"&amp;_xlfn.XLOOKUP($A412&amp;$B412&amp;$C412,盘货信息!$A:$A&amp;盘货信息!$B:$B&amp;盘货信息!$C:$C,盘货信息!$S:$S)&amp;"元")</f>
        <v/>
      </c>
      <c r="Q412" s="27" t="str" cm="1">
        <f t="array" ref="Q412">IF(_xlfn.XLOOKUP($A412&amp;$B412&amp;$C412,盘货信息!$A:$A&amp;盘货信息!$B:$B&amp;盘货信息!$C:$C,盘货信息!$X:$X)="","","【"&amp;盘货信息!$X$1&amp;"】"&amp;_xlfn.XLOOKUP($A412&amp;$B412&amp;$C412,盘货信息!$A:$A&amp;盘货信息!$B:$B&amp;盘货信息!$C:$C,盘货信息!$X:$X))</f>
        <v/>
      </c>
      <c r="R412" s="27" t="str" cm="1">
        <f t="array" ref="R412">IF(_xlfn.XLOOKUP($A412&amp;$B412&amp;$C412,盘货信息!$A:$A&amp;盘货信息!$B:$B&amp;盘货信息!$C:$C,盘货信息!$Z:$Z)="","","【"&amp;盘货信息!$Z$1&amp;"】"&amp;_xlfn.XLOOKUP($A412&amp;$B412&amp;$C412,盘货信息!$A:$A&amp;盘货信息!$B:$B&amp;盘货信息!$C:$C,盘货信息!$Z:$Z))</f>
        <v/>
      </c>
      <c r="S412" s="27" t="str" cm="1">
        <f t="array" ref="S412">IF(_xlfn.XLOOKUP($A412&amp;$B412&amp;$C412,盘货信息!$A:$A&amp;盘货信息!$B:$B&amp;盘货信息!$C:$C,盘货信息!$Q:$Q)="","","【种草】站外带指定话题种草后返"&amp;_xlfn.XLOOKUP($A412&amp;$B412&amp;$C412,盘货信息!$A:$A&amp;盘货信息!$B:$B&amp;盘货信息!$C:$C,盘货信息!$Q:$Q)&amp;"元红包（每个淘宝账号仅限对应一个站外种草账号，同一个种草账号不可对应多个淘宝账号）")</f>
        <v/>
      </c>
      <c r="T412" s="27" t="str" cm="1">
        <f t="array" ref="T412">IF(_xlfn.XLOOKUP($A412&amp;$B412&amp;$C412,盘货信息!$A:$A&amp;盘货信息!$B:$B&amp;盘货信息!$C:$C,盘货信息!$R:$R)&lt;1,"","【以旧换新】"&amp;"享补贴"&amp;ROUND(_xlfn.XLOOKUP($A412&amp;$B412&amp;$C412,盘货信息!$A:$A&amp;盘货信息!$B:$B&amp;盘货信息!$C:$C,盘货信息!$R:$R),0)&amp;"元（可无旧机换新）")</f>
        <v/>
      </c>
      <c r="U412" s="27" t="str">
        <f>IF(AND($N412="",$O412="",$P412="",$Q412="",$R412="",$S412="",$T412=""),"",固定信息!$B$1)</f>
        <v/>
      </c>
      <c r="V412" s="27" t="str" cm="1">
        <f t="array" ref="V412">IF(_xlfn.XLOOKUP($A412&amp;$B412&amp;$C412,盘货信息!$A:$A&amp;盘货信息!$B:$B&amp;盘货信息!$C:$C,盘货信息!$Y:$Y)="","","【卡萨帝送赠】活动指定时间"&amp;_xlfn.TEXTBEFORE(_xlfn.TEXTAFTER(_xlfn.XLOOKUP($A412&amp;$B412&amp;$C412,盘货信息!$A:$A&amp;盘货信息!$B:$B&amp;盘货信息!$C:$C,盘货信息!$Y:$Y),"点"),"（"))</f>
        <v/>
      </c>
      <c r="W412" s="27" t="str" cm="1">
        <f t="array" ref="W412">IF(COUNTIF(_xlfn.XLOOKUP($A412&amp;$B412&amp;$C412,盘货信息!$A:$A&amp;盘货信息!$B:$B&amp;盘货信息!$C:$C,盘货信息!$O:$O),"*是*"),"【折扣】指定型号满2类享96折，满3类享94折","")</f>
        <v/>
      </c>
      <c r="X412" s="27" t="str" cm="1">
        <f t="array" ref="X412">IF(固定信息!$B$7="","",IF(_xlfn.XLOOKUP($A412&amp;$B412&amp;$C412,盘货信息!$A:$A&amp;盘货信息!$B:$B&amp;盘货信息!$C:$C,盘货信息!$N:$N)="是","【瓜分】"&amp;固定信息!$B$7,""))</f>
        <v/>
      </c>
      <c r="Y412" s="27" t="str">
        <f>IF(AND($V412="",$W412="",$X412=""),"",固定信息!$B$1)</f>
        <v/>
      </c>
      <c r="Z412" s="27" t="str" cm="1">
        <f t="array" ref="Z412">IF($C412="","",_xlfn.XLOOKUP($A412&amp;$B412&amp;$C412,服务!$A:$A&amp;服务!$B:$B&amp;服务!$C:$C,服务!$D:$D))</f>
        <v/>
      </c>
    </row>
    <row r="413" customHeight="1" spans="1:26">
      <c r="A413" s="23" t="str">
        <f>IF(盘货信息!A413="","",盘货信息!A413)</f>
        <v/>
      </c>
      <c r="B413" s="26" t="str">
        <f>IF(盘货信息!B413="","",盘货信息!B413)</f>
        <v/>
      </c>
      <c r="C413" s="23" t="str">
        <f>IF(盘货信息!C413="","",盘货信息!C413)</f>
        <v/>
      </c>
      <c r="D413" s="27" t="str">
        <f ca="1" t="shared" si="6"/>
        <v/>
      </c>
      <c r="E413" s="27" t="str">
        <f>IF(C413="","",固定信息!$B$2)</f>
        <v/>
      </c>
      <c r="F413" s="27" t="str">
        <f>IF(C413="","","【"&amp;C413&amp;"】"&amp;固定信息!$B$4)</f>
        <v/>
      </c>
      <c r="G413" s="27" t="str">
        <f>IF(C413="","","【"&amp;"活动时间："&amp;固定信息!$B$3&amp;"】")</f>
        <v/>
      </c>
      <c r="H413" s="27" t="str">
        <f>IF($C413="","",固定信息!$B$1)</f>
        <v/>
      </c>
      <c r="I413" s="27" t="str">
        <f>IF(OR(C413="",固定信息!$B$5=""),"","【1元预约锁好礼】"&amp;固定信息!$B$5)</f>
        <v/>
      </c>
      <c r="J413" s="27" t="str" cm="1">
        <f t="array" ref="J413">_xlfn.XLOOKUP($A413&amp;$B413&amp;$C413,价格信息!$A:$A&amp;价格信息!$B:$B&amp;价格信息!$C:$C,价格信息!$D:$D)</f>
        <v/>
      </c>
      <c r="K413" s="27" t="str">
        <f>IF($C413="","",固定信息!$B$1)</f>
        <v/>
      </c>
      <c r="L413" s="27" t="str" cm="1">
        <f t="array" ref="L413">IF(_xlfn.XLOOKUP($A413&amp;$B413&amp;$C413,盘货信息!$A:$A&amp;盘货信息!$B:$B&amp;盘货信息!$C:$C,盘货信息!$T:$T)="","","【优惠券】领"&amp;_xlfn.XLOOKUP($A413&amp;$B413&amp;$C413,盘货信息!$A:$A&amp;盘货信息!$B:$B&amp;盘货信息!$C:$C,盘货信息!$T:$T)&amp;"元优惠卷下单更优惠，领券链接："&amp;_xlfn.XLOOKUP($A413&amp;$B413&amp;$C413,盘货信息!$A:$A&amp;盘货信息!$B:$B&amp;盘货信息!$C:$C,盘货信息!$U:$U))</f>
        <v/>
      </c>
      <c r="M413" s="27" t="str" cm="1">
        <f t="array" ref="M413">IF(_xlfn.XLOOKUP($A413&amp;$B413&amp;$C413,盘货信息!$A:$A&amp;盘货信息!$B:$B&amp;盘货信息!$C:$C,盘货信息!$P:$P)="","","【限时】"&amp;_xlfn.XLOOKUP($A413&amp;$B413&amp;$C413,盘货信息!$A:$A&amp;盘货信息!$B:$B&amp;盘货信息!$C:$C,盘货信息!$P:$P))</f>
        <v/>
      </c>
      <c r="N413" s="27" t="str" cm="1">
        <f t="array" ref="N413">IF(_xlfn.XLOOKUP($A413&amp;$B413&amp;$C413,盘货信息!$A:$A&amp;盘货信息!$B:$B&amp;盘货信息!$C:$C,盘货信息!$V:$V)="","","【"&amp;盘货信息!$V$1&amp;"】"&amp;_xlfn.XLOOKUP($A413&amp;$B413&amp;$C413,盘货信息!$A:$A&amp;盘货信息!$B:$B&amp;盘货信息!$C:$C,盘货信息!$V:$V))</f>
        <v/>
      </c>
      <c r="O413" s="27" t="str" cm="1">
        <f t="array" ref="O413">IF(_xlfn.XLOOKUP($A413&amp;$B413&amp;$C413,盘货信息!$A:$A&amp;盘货信息!$B:$B&amp;盘货信息!$C:$C,盘货信息!$W:$W)="","","【"&amp;盘货信息!$W$1&amp;"】"&amp;_xlfn.XLOOKUP($A413&amp;$B413&amp;$C413,盘货信息!$A:$A&amp;盘货信息!$B:$B&amp;盘货信息!$C:$C,盘货信息!$W:$W))</f>
        <v/>
      </c>
      <c r="P413" s="27" t="str" cm="1">
        <f t="array" ref="P413">IF(_xlfn.XLOOKUP($A413&amp;$B413&amp;$C413,盘货信息!$A:$A&amp;盘货信息!$B:$B&amp;盘货信息!$C:$C,盘货信息!$S:$S)&lt;1,"","【"&amp;盘货信息!$S$1&amp;"】"&amp;"后返"&amp;_xlfn.XLOOKUP($A413&amp;$B413&amp;$C413,盘货信息!$A:$A&amp;盘货信息!$B:$B&amp;盘货信息!$C:$C,盘货信息!$S:$S)&amp;"元")</f>
        <v/>
      </c>
      <c r="Q413" s="27" t="str" cm="1">
        <f t="array" ref="Q413">IF(_xlfn.XLOOKUP($A413&amp;$B413&amp;$C413,盘货信息!$A:$A&amp;盘货信息!$B:$B&amp;盘货信息!$C:$C,盘货信息!$X:$X)="","","【"&amp;盘货信息!$X$1&amp;"】"&amp;_xlfn.XLOOKUP($A413&amp;$B413&amp;$C413,盘货信息!$A:$A&amp;盘货信息!$B:$B&amp;盘货信息!$C:$C,盘货信息!$X:$X))</f>
        <v/>
      </c>
      <c r="R413" s="27" t="str" cm="1">
        <f t="array" ref="R413">IF(_xlfn.XLOOKUP($A413&amp;$B413&amp;$C413,盘货信息!$A:$A&amp;盘货信息!$B:$B&amp;盘货信息!$C:$C,盘货信息!$Z:$Z)="","","【"&amp;盘货信息!$Z$1&amp;"】"&amp;_xlfn.XLOOKUP($A413&amp;$B413&amp;$C413,盘货信息!$A:$A&amp;盘货信息!$B:$B&amp;盘货信息!$C:$C,盘货信息!$Z:$Z))</f>
        <v/>
      </c>
      <c r="S413" s="27" t="str" cm="1">
        <f t="array" ref="S413">IF(_xlfn.XLOOKUP($A413&amp;$B413&amp;$C413,盘货信息!$A:$A&amp;盘货信息!$B:$B&amp;盘货信息!$C:$C,盘货信息!$Q:$Q)="","","【种草】站外带指定话题种草后返"&amp;_xlfn.XLOOKUP($A413&amp;$B413&amp;$C413,盘货信息!$A:$A&amp;盘货信息!$B:$B&amp;盘货信息!$C:$C,盘货信息!$Q:$Q)&amp;"元红包（每个淘宝账号仅限对应一个站外种草账号，同一个种草账号不可对应多个淘宝账号）")</f>
        <v/>
      </c>
      <c r="T413" s="27" t="str" cm="1">
        <f t="array" ref="T413">IF(_xlfn.XLOOKUP($A413&amp;$B413&amp;$C413,盘货信息!$A:$A&amp;盘货信息!$B:$B&amp;盘货信息!$C:$C,盘货信息!$R:$R)&lt;1,"","【以旧换新】"&amp;"享补贴"&amp;ROUND(_xlfn.XLOOKUP($A413&amp;$B413&amp;$C413,盘货信息!$A:$A&amp;盘货信息!$B:$B&amp;盘货信息!$C:$C,盘货信息!$R:$R),0)&amp;"元（可无旧机换新）")</f>
        <v/>
      </c>
      <c r="U413" s="27" t="str">
        <f>IF(AND($N413="",$O413="",$P413="",$Q413="",$R413="",$S413="",$T413=""),"",固定信息!$B$1)</f>
        <v/>
      </c>
      <c r="V413" s="27" t="str" cm="1">
        <f t="array" ref="V413">IF(_xlfn.XLOOKUP($A413&amp;$B413&amp;$C413,盘货信息!$A:$A&amp;盘货信息!$B:$B&amp;盘货信息!$C:$C,盘货信息!$Y:$Y)="","","【卡萨帝送赠】活动指定时间"&amp;_xlfn.TEXTBEFORE(_xlfn.TEXTAFTER(_xlfn.XLOOKUP($A413&amp;$B413&amp;$C413,盘货信息!$A:$A&amp;盘货信息!$B:$B&amp;盘货信息!$C:$C,盘货信息!$Y:$Y),"点"),"（"))</f>
        <v/>
      </c>
      <c r="W413" s="27" t="str" cm="1">
        <f t="array" ref="W413">IF(COUNTIF(_xlfn.XLOOKUP($A413&amp;$B413&amp;$C413,盘货信息!$A:$A&amp;盘货信息!$B:$B&amp;盘货信息!$C:$C,盘货信息!$O:$O),"*是*"),"【折扣】指定型号满2类享96折，满3类享94折","")</f>
        <v/>
      </c>
      <c r="X413" s="27" t="str" cm="1">
        <f t="array" ref="X413">IF(固定信息!$B$7="","",IF(_xlfn.XLOOKUP($A413&amp;$B413&amp;$C413,盘货信息!$A:$A&amp;盘货信息!$B:$B&amp;盘货信息!$C:$C,盘货信息!$N:$N)="是","【瓜分】"&amp;固定信息!$B$7,""))</f>
        <v/>
      </c>
      <c r="Y413" s="27" t="str">
        <f>IF(AND($V413="",$W413="",$X413=""),"",固定信息!$B$1)</f>
        <v/>
      </c>
      <c r="Z413" s="27" t="str" cm="1">
        <f t="array" ref="Z413">IF($C413="","",_xlfn.XLOOKUP($A413&amp;$B413&amp;$C413,服务!$A:$A&amp;服务!$B:$B&amp;服务!$C:$C,服务!$D:$D))</f>
        <v/>
      </c>
    </row>
    <row r="414" customHeight="1" spans="1:26">
      <c r="A414" s="23" t="str">
        <f>IF(盘货信息!A414="","",盘货信息!A414)</f>
        <v/>
      </c>
      <c r="B414" s="26" t="str">
        <f>IF(盘货信息!B414="","",盘货信息!B414)</f>
        <v/>
      </c>
      <c r="C414" s="23" t="str">
        <f>IF(盘货信息!C414="","",盘货信息!C414)</f>
        <v/>
      </c>
      <c r="D414" s="27" t="str">
        <f ca="1" t="shared" si="6"/>
        <v/>
      </c>
      <c r="E414" s="27" t="str">
        <f>IF(C414="","",固定信息!$B$2)</f>
        <v/>
      </c>
      <c r="F414" s="27" t="str">
        <f>IF(C414="","","【"&amp;C414&amp;"】"&amp;固定信息!$B$4)</f>
        <v/>
      </c>
      <c r="G414" s="27" t="str">
        <f>IF(C414="","","【"&amp;"活动时间："&amp;固定信息!$B$3&amp;"】")</f>
        <v/>
      </c>
      <c r="H414" s="27" t="str">
        <f>IF($C414="","",固定信息!$B$1)</f>
        <v/>
      </c>
      <c r="I414" s="27" t="str">
        <f>IF(OR(C414="",固定信息!$B$5=""),"","【1元预约锁好礼】"&amp;固定信息!$B$5)</f>
        <v/>
      </c>
      <c r="J414" s="27" t="str" cm="1">
        <f t="array" ref="J414">_xlfn.XLOOKUP($A414&amp;$B414&amp;$C414,价格信息!$A:$A&amp;价格信息!$B:$B&amp;价格信息!$C:$C,价格信息!$D:$D)</f>
        <v/>
      </c>
      <c r="K414" s="27" t="str">
        <f>IF($C414="","",固定信息!$B$1)</f>
        <v/>
      </c>
      <c r="L414" s="27" t="str" cm="1">
        <f t="array" ref="L414">IF(_xlfn.XLOOKUP($A414&amp;$B414&amp;$C414,盘货信息!$A:$A&amp;盘货信息!$B:$B&amp;盘货信息!$C:$C,盘货信息!$T:$T)="","","【优惠券】领"&amp;_xlfn.XLOOKUP($A414&amp;$B414&amp;$C414,盘货信息!$A:$A&amp;盘货信息!$B:$B&amp;盘货信息!$C:$C,盘货信息!$T:$T)&amp;"元优惠卷下单更优惠，领券链接："&amp;_xlfn.XLOOKUP($A414&amp;$B414&amp;$C414,盘货信息!$A:$A&amp;盘货信息!$B:$B&amp;盘货信息!$C:$C,盘货信息!$U:$U))</f>
        <v/>
      </c>
      <c r="M414" s="27" t="str" cm="1">
        <f t="array" ref="M414">IF(_xlfn.XLOOKUP($A414&amp;$B414&amp;$C414,盘货信息!$A:$A&amp;盘货信息!$B:$B&amp;盘货信息!$C:$C,盘货信息!$P:$P)="","","【限时】"&amp;_xlfn.XLOOKUP($A414&amp;$B414&amp;$C414,盘货信息!$A:$A&amp;盘货信息!$B:$B&amp;盘货信息!$C:$C,盘货信息!$P:$P))</f>
        <v/>
      </c>
      <c r="N414" s="27" t="str" cm="1">
        <f t="array" ref="N414">IF(_xlfn.XLOOKUP($A414&amp;$B414&amp;$C414,盘货信息!$A:$A&amp;盘货信息!$B:$B&amp;盘货信息!$C:$C,盘货信息!$V:$V)="","","【"&amp;盘货信息!$V$1&amp;"】"&amp;_xlfn.XLOOKUP($A414&amp;$B414&amp;$C414,盘货信息!$A:$A&amp;盘货信息!$B:$B&amp;盘货信息!$C:$C,盘货信息!$V:$V))</f>
        <v/>
      </c>
      <c r="O414" s="27" t="str" cm="1">
        <f t="array" ref="O414">IF(_xlfn.XLOOKUP($A414&amp;$B414&amp;$C414,盘货信息!$A:$A&amp;盘货信息!$B:$B&amp;盘货信息!$C:$C,盘货信息!$W:$W)="","","【"&amp;盘货信息!$W$1&amp;"】"&amp;_xlfn.XLOOKUP($A414&amp;$B414&amp;$C414,盘货信息!$A:$A&amp;盘货信息!$B:$B&amp;盘货信息!$C:$C,盘货信息!$W:$W))</f>
        <v/>
      </c>
      <c r="P414" s="27" t="str" cm="1">
        <f t="array" ref="P414">IF(_xlfn.XLOOKUP($A414&amp;$B414&amp;$C414,盘货信息!$A:$A&amp;盘货信息!$B:$B&amp;盘货信息!$C:$C,盘货信息!$S:$S)&lt;1,"","【"&amp;盘货信息!$S$1&amp;"】"&amp;"后返"&amp;_xlfn.XLOOKUP($A414&amp;$B414&amp;$C414,盘货信息!$A:$A&amp;盘货信息!$B:$B&amp;盘货信息!$C:$C,盘货信息!$S:$S)&amp;"元")</f>
        <v/>
      </c>
      <c r="Q414" s="27" t="str" cm="1">
        <f t="array" ref="Q414">IF(_xlfn.XLOOKUP($A414&amp;$B414&amp;$C414,盘货信息!$A:$A&amp;盘货信息!$B:$B&amp;盘货信息!$C:$C,盘货信息!$X:$X)="","","【"&amp;盘货信息!$X$1&amp;"】"&amp;_xlfn.XLOOKUP($A414&amp;$B414&amp;$C414,盘货信息!$A:$A&amp;盘货信息!$B:$B&amp;盘货信息!$C:$C,盘货信息!$X:$X))</f>
        <v/>
      </c>
      <c r="R414" s="27" t="str" cm="1">
        <f t="array" ref="R414">IF(_xlfn.XLOOKUP($A414&amp;$B414&amp;$C414,盘货信息!$A:$A&amp;盘货信息!$B:$B&amp;盘货信息!$C:$C,盘货信息!$Z:$Z)="","","【"&amp;盘货信息!$Z$1&amp;"】"&amp;_xlfn.XLOOKUP($A414&amp;$B414&amp;$C414,盘货信息!$A:$A&amp;盘货信息!$B:$B&amp;盘货信息!$C:$C,盘货信息!$Z:$Z))</f>
        <v/>
      </c>
      <c r="S414" s="27" t="str" cm="1">
        <f t="array" ref="S414">IF(_xlfn.XLOOKUP($A414&amp;$B414&amp;$C414,盘货信息!$A:$A&amp;盘货信息!$B:$B&amp;盘货信息!$C:$C,盘货信息!$Q:$Q)="","","【种草】站外带指定话题种草后返"&amp;_xlfn.XLOOKUP($A414&amp;$B414&amp;$C414,盘货信息!$A:$A&amp;盘货信息!$B:$B&amp;盘货信息!$C:$C,盘货信息!$Q:$Q)&amp;"元红包（每个淘宝账号仅限对应一个站外种草账号，同一个种草账号不可对应多个淘宝账号）")</f>
        <v/>
      </c>
      <c r="T414" s="27" t="str" cm="1">
        <f t="array" ref="T414">IF(_xlfn.XLOOKUP($A414&amp;$B414&amp;$C414,盘货信息!$A:$A&amp;盘货信息!$B:$B&amp;盘货信息!$C:$C,盘货信息!$R:$R)&lt;1,"","【以旧换新】"&amp;"享补贴"&amp;ROUND(_xlfn.XLOOKUP($A414&amp;$B414&amp;$C414,盘货信息!$A:$A&amp;盘货信息!$B:$B&amp;盘货信息!$C:$C,盘货信息!$R:$R),0)&amp;"元（可无旧机换新）")</f>
        <v/>
      </c>
      <c r="U414" s="27" t="str">
        <f>IF(AND($N414="",$O414="",$P414="",$Q414="",$R414="",$S414="",$T414=""),"",固定信息!$B$1)</f>
        <v/>
      </c>
      <c r="V414" s="27" t="str" cm="1">
        <f t="array" ref="V414">IF(_xlfn.XLOOKUP($A414&amp;$B414&amp;$C414,盘货信息!$A:$A&amp;盘货信息!$B:$B&amp;盘货信息!$C:$C,盘货信息!$Y:$Y)="","","【卡萨帝送赠】活动指定时间"&amp;_xlfn.TEXTBEFORE(_xlfn.TEXTAFTER(_xlfn.XLOOKUP($A414&amp;$B414&amp;$C414,盘货信息!$A:$A&amp;盘货信息!$B:$B&amp;盘货信息!$C:$C,盘货信息!$Y:$Y),"点"),"（"))</f>
        <v/>
      </c>
      <c r="W414" s="27" t="str" cm="1">
        <f t="array" ref="W414">IF(COUNTIF(_xlfn.XLOOKUP($A414&amp;$B414&amp;$C414,盘货信息!$A:$A&amp;盘货信息!$B:$B&amp;盘货信息!$C:$C,盘货信息!$O:$O),"*是*"),"【折扣】指定型号满2类享96折，满3类享94折","")</f>
        <v/>
      </c>
      <c r="X414" s="27" t="str" cm="1">
        <f t="array" ref="X414">IF(固定信息!$B$7="","",IF(_xlfn.XLOOKUP($A414&amp;$B414&amp;$C414,盘货信息!$A:$A&amp;盘货信息!$B:$B&amp;盘货信息!$C:$C,盘货信息!$N:$N)="是","【瓜分】"&amp;固定信息!$B$7,""))</f>
        <v/>
      </c>
      <c r="Y414" s="27" t="str">
        <f>IF(AND($V414="",$W414="",$X414=""),"",固定信息!$B$1)</f>
        <v/>
      </c>
      <c r="Z414" s="27" t="str" cm="1">
        <f t="array" ref="Z414">IF($C414="","",_xlfn.XLOOKUP($A414&amp;$B414&amp;$C414,服务!$A:$A&amp;服务!$B:$B&amp;服务!$C:$C,服务!$D:$D))</f>
        <v/>
      </c>
    </row>
    <row r="415" customHeight="1" spans="1:26">
      <c r="A415" s="23" t="str">
        <f>IF(盘货信息!A415="","",盘货信息!A415)</f>
        <v/>
      </c>
      <c r="B415" s="26" t="str">
        <f>IF(盘货信息!B415="","",盘货信息!B415)</f>
        <v/>
      </c>
      <c r="C415" s="23" t="str">
        <f>IF(盘货信息!C415="","",盘货信息!C415)</f>
        <v/>
      </c>
      <c r="D415" s="27" t="str">
        <f ca="1" t="shared" si="6"/>
        <v/>
      </c>
      <c r="E415" s="27" t="str">
        <f>IF(C415="","",固定信息!$B$2)</f>
        <v/>
      </c>
      <c r="F415" s="27" t="str">
        <f>IF(C415="","","【"&amp;C415&amp;"】"&amp;固定信息!$B$4)</f>
        <v/>
      </c>
      <c r="G415" s="27" t="str">
        <f>IF(C415="","","【"&amp;"活动时间："&amp;固定信息!$B$3&amp;"】")</f>
        <v/>
      </c>
      <c r="H415" s="27" t="str">
        <f>IF($C415="","",固定信息!$B$1)</f>
        <v/>
      </c>
      <c r="I415" s="27" t="str">
        <f>IF(OR(C415="",固定信息!$B$5=""),"","【1元预约锁好礼】"&amp;固定信息!$B$5)</f>
        <v/>
      </c>
      <c r="J415" s="27" t="str" cm="1">
        <f t="array" ref="J415">_xlfn.XLOOKUP($A415&amp;$B415&amp;$C415,价格信息!$A:$A&amp;价格信息!$B:$B&amp;价格信息!$C:$C,价格信息!$D:$D)</f>
        <v/>
      </c>
      <c r="K415" s="27" t="str">
        <f>IF($C415="","",固定信息!$B$1)</f>
        <v/>
      </c>
      <c r="L415" s="27" t="str" cm="1">
        <f t="array" ref="L415">IF(_xlfn.XLOOKUP($A415&amp;$B415&amp;$C415,盘货信息!$A:$A&amp;盘货信息!$B:$B&amp;盘货信息!$C:$C,盘货信息!$T:$T)="","","【优惠券】领"&amp;_xlfn.XLOOKUP($A415&amp;$B415&amp;$C415,盘货信息!$A:$A&amp;盘货信息!$B:$B&amp;盘货信息!$C:$C,盘货信息!$T:$T)&amp;"元优惠卷下单更优惠，领券链接："&amp;_xlfn.XLOOKUP($A415&amp;$B415&amp;$C415,盘货信息!$A:$A&amp;盘货信息!$B:$B&amp;盘货信息!$C:$C,盘货信息!$U:$U))</f>
        <v/>
      </c>
      <c r="M415" s="27" t="str" cm="1">
        <f t="array" ref="M415">IF(_xlfn.XLOOKUP($A415&amp;$B415&amp;$C415,盘货信息!$A:$A&amp;盘货信息!$B:$B&amp;盘货信息!$C:$C,盘货信息!$P:$P)="","","【限时】"&amp;_xlfn.XLOOKUP($A415&amp;$B415&amp;$C415,盘货信息!$A:$A&amp;盘货信息!$B:$B&amp;盘货信息!$C:$C,盘货信息!$P:$P))</f>
        <v/>
      </c>
      <c r="N415" s="27" t="str" cm="1">
        <f t="array" ref="N415">IF(_xlfn.XLOOKUP($A415&amp;$B415&amp;$C415,盘货信息!$A:$A&amp;盘货信息!$B:$B&amp;盘货信息!$C:$C,盘货信息!$V:$V)="","","【"&amp;盘货信息!$V$1&amp;"】"&amp;_xlfn.XLOOKUP($A415&amp;$B415&amp;$C415,盘货信息!$A:$A&amp;盘货信息!$B:$B&amp;盘货信息!$C:$C,盘货信息!$V:$V))</f>
        <v/>
      </c>
      <c r="O415" s="27" t="str" cm="1">
        <f t="array" ref="O415">IF(_xlfn.XLOOKUP($A415&amp;$B415&amp;$C415,盘货信息!$A:$A&amp;盘货信息!$B:$B&amp;盘货信息!$C:$C,盘货信息!$W:$W)="","","【"&amp;盘货信息!$W$1&amp;"】"&amp;_xlfn.XLOOKUP($A415&amp;$B415&amp;$C415,盘货信息!$A:$A&amp;盘货信息!$B:$B&amp;盘货信息!$C:$C,盘货信息!$W:$W))</f>
        <v/>
      </c>
      <c r="P415" s="27" t="str" cm="1">
        <f t="array" ref="P415">IF(_xlfn.XLOOKUP($A415&amp;$B415&amp;$C415,盘货信息!$A:$A&amp;盘货信息!$B:$B&amp;盘货信息!$C:$C,盘货信息!$S:$S)&lt;1,"","【"&amp;盘货信息!$S$1&amp;"】"&amp;"后返"&amp;_xlfn.XLOOKUP($A415&amp;$B415&amp;$C415,盘货信息!$A:$A&amp;盘货信息!$B:$B&amp;盘货信息!$C:$C,盘货信息!$S:$S)&amp;"元")</f>
        <v/>
      </c>
      <c r="Q415" s="27" t="str" cm="1">
        <f t="array" ref="Q415">IF(_xlfn.XLOOKUP($A415&amp;$B415&amp;$C415,盘货信息!$A:$A&amp;盘货信息!$B:$B&amp;盘货信息!$C:$C,盘货信息!$X:$X)="","","【"&amp;盘货信息!$X$1&amp;"】"&amp;_xlfn.XLOOKUP($A415&amp;$B415&amp;$C415,盘货信息!$A:$A&amp;盘货信息!$B:$B&amp;盘货信息!$C:$C,盘货信息!$X:$X))</f>
        <v/>
      </c>
      <c r="R415" s="27" t="str" cm="1">
        <f t="array" ref="R415">IF(_xlfn.XLOOKUP($A415&amp;$B415&amp;$C415,盘货信息!$A:$A&amp;盘货信息!$B:$B&amp;盘货信息!$C:$C,盘货信息!$Z:$Z)="","","【"&amp;盘货信息!$Z$1&amp;"】"&amp;_xlfn.XLOOKUP($A415&amp;$B415&amp;$C415,盘货信息!$A:$A&amp;盘货信息!$B:$B&amp;盘货信息!$C:$C,盘货信息!$Z:$Z))</f>
        <v/>
      </c>
      <c r="S415" s="27" t="str" cm="1">
        <f t="array" ref="S415">IF(_xlfn.XLOOKUP($A415&amp;$B415&amp;$C415,盘货信息!$A:$A&amp;盘货信息!$B:$B&amp;盘货信息!$C:$C,盘货信息!$Q:$Q)="","","【种草】站外带指定话题种草后返"&amp;_xlfn.XLOOKUP($A415&amp;$B415&amp;$C415,盘货信息!$A:$A&amp;盘货信息!$B:$B&amp;盘货信息!$C:$C,盘货信息!$Q:$Q)&amp;"元红包（每个淘宝账号仅限对应一个站外种草账号，同一个种草账号不可对应多个淘宝账号）")</f>
        <v/>
      </c>
      <c r="T415" s="27" t="str" cm="1">
        <f t="array" ref="T415">IF(_xlfn.XLOOKUP($A415&amp;$B415&amp;$C415,盘货信息!$A:$A&amp;盘货信息!$B:$B&amp;盘货信息!$C:$C,盘货信息!$R:$R)&lt;1,"","【以旧换新】"&amp;"享补贴"&amp;ROUND(_xlfn.XLOOKUP($A415&amp;$B415&amp;$C415,盘货信息!$A:$A&amp;盘货信息!$B:$B&amp;盘货信息!$C:$C,盘货信息!$R:$R),0)&amp;"元（可无旧机换新）")</f>
        <v/>
      </c>
      <c r="U415" s="27" t="str">
        <f>IF(AND($N415="",$O415="",$P415="",$Q415="",$R415="",$S415="",$T415=""),"",固定信息!$B$1)</f>
        <v/>
      </c>
      <c r="V415" s="27" t="str" cm="1">
        <f t="array" ref="V415">IF(_xlfn.XLOOKUP($A415&amp;$B415&amp;$C415,盘货信息!$A:$A&amp;盘货信息!$B:$B&amp;盘货信息!$C:$C,盘货信息!$Y:$Y)="","","【卡萨帝送赠】活动指定时间"&amp;_xlfn.TEXTBEFORE(_xlfn.TEXTAFTER(_xlfn.XLOOKUP($A415&amp;$B415&amp;$C415,盘货信息!$A:$A&amp;盘货信息!$B:$B&amp;盘货信息!$C:$C,盘货信息!$Y:$Y),"点"),"（"))</f>
        <v/>
      </c>
      <c r="W415" s="27" t="str" cm="1">
        <f t="array" ref="W415">IF(COUNTIF(_xlfn.XLOOKUP($A415&amp;$B415&amp;$C415,盘货信息!$A:$A&amp;盘货信息!$B:$B&amp;盘货信息!$C:$C,盘货信息!$O:$O),"*是*"),"【折扣】指定型号满2类享96折，满3类享94折","")</f>
        <v/>
      </c>
      <c r="X415" s="27" t="str" cm="1">
        <f t="array" ref="X415">IF(固定信息!$B$7="","",IF(_xlfn.XLOOKUP($A415&amp;$B415&amp;$C415,盘货信息!$A:$A&amp;盘货信息!$B:$B&amp;盘货信息!$C:$C,盘货信息!$N:$N)="是","【瓜分】"&amp;固定信息!$B$7,""))</f>
        <v/>
      </c>
      <c r="Y415" s="27" t="str">
        <f>IF(AND($V415="",$W415="",$X415=""),"",固定信息!$B$1)</f>
        <v/>
      </c>
      <c r="Z415" s="27" t="str" cm="1">
        <f t="array" ref="Z415">IF($C415="","",_xlfn.XLOOKUP($A415&amp;$B415&amp;$C415,服务!$A:$A&amp;服务!$B:$B&amp;服务!$C:$C,服务!$D:$D))</f>
        <v/>
      </c>
    </row>
    <row r="416" customHeight="1" spans="1:26">
      <c r="A416" s="23" t="str">
        <f>IF(盘货信息!A416="","",盘货信息!A416)</f>
        <v/>
      </c>
      <c r="B416" s="26" t="str">
        <f>IF(盘货信息!B416="","",盘货信息!B416)</f>
        <v/>
      </c>
      <c r="C416" s="23" t="str">
        <f>IF(盘货信息!C416="","",盘货信息!C416)</f>
        <v/>
      </c>
      <c r="D416" s="27" t="str">
        <f ca="1" t="shared" si="6"/>
        <v/>
      </c>
      <c r="E416" s="27" t="str">
        <f>IF(C416="","",固定信息!$B$2)</f>
        <v/>
      </c>
      <c r="F416" s="27" t="str">
        <f>IF(C416="","","【"&amp;C416&amp;"】"&amp;固定信息!$B$4)</f>
        <v/>
      </c>
      <c r="G416" s="27" t="str">
        <f>IF(C416="","","【"&amp;"活动时间："&amp;固定信息!$B$3&amp;"】")</f>
        <v/>
      </c>
      <c r="H416" s="27" t="str">
        <f>IF($C416="","",固定信息!$B$1)</f>
        <v/>
      </c>
      <c r="I416" s="27" t="str">
        <f>IF(OR(C416="",固定信息!$B$5=""),"","【1元预约锁好礼】"&amp;固定信息!$B$5)</f>
        <v/>
      </c>
      <c r="J416" s="27" t="str" cm="1">
        <f t="array" ref="J416">_xlfn.XLOOKUP($A416&amp;$B416&amp;$C416,价格信息!$A:$A&amp;价格信息!$B:$B&amp;价格信息!$C:$C,价格信息!$D:$D)</f>
        <v/>
      </c>
      <c r="K416" s="27" t="str">
        <f>IF($C416="","",固定信息!$B$1)</f>
        <v/>
      </c>
      <c r="L416" s="27" t="str" cm="1">
        <f t="array" ref="L416">IF(_xlfn.XLOOKUP($A416&amp;$B416&amp;$C416,盘货信息!$A:$A&amp;盘货信息!$B:$B&amp;盘货信息!$C:$C,盘货信息!$T:$T)="","","【优惠券】领"&amp;_xlfn.XLOOKUP($A416&amp;$B416&amp;$C416,盘货信息!$A:$A&amp;盘货信息!$B:$B&amp;盘货信息!$C:$C,盘货信息!$T:$T)&amp;"元优惠卷下单更优惠，领券链接："&amp;_xlfn.XLOOKUP($A416&amp;$B416&amp;$C416,盘货信息!$A:$A&amp;盘货信息!$B:$B&amp;盘货信息!$C:$C,盘货信息!$U:$U))</f>
        <v/>
      </c>
      <c r="M416" s="27" t="str" cm="1">
        <f t="array" ref="M416">IF(_xlfn.XLOOKUP($A416&amp;$B416&amp;$C416,盘货信息!$A:$A&amp;盘货信息!$B:$B&amp;盘货信息!$C:$C,盘货信息!$P:$P)="","","【限时】"&amp;_xlfn.XLOOKUP($A416&amp;$B416&amp;$C416,盘货信息!$A:$A&amp;盘货信息!$B:$B&amp;盘货信息!$C:$C,盘货信息!$P:$P))</f>
        <v/>
      </c>
      <c r="N416" s="27" t="str" cm="1">
        <f t="array" ref="N416">IF(_xlfn.XLOOKUP($A416&amp;$B416&amp;$C416,盘货信息!$A:$A&amp;盘货信息!$B:$B&amp;盘货信息!$C:$C,盘货信息!$V:$V)="","","【"&amp;盘货信息!$V$1&amp;"】"&amp;_xlfn.XLOOKUP($A416&amp;$B416&amp;$C416,盘货信息!$A:$A&amp;盘货信息!$B:$B&amp;盘货信息!$C:$C,盘货信息!$V:$V))</f>
        <v/>
      </c>
      <c r="O416" s="27" t="str" cm="1">
        <f t="array" ref="O416">IF(_xlfn.XLOOKUP($A416&amp;$B416&amp;$C416,盘货信息!$A:$A&amp;盘货信息!$B:$B&amp;盘货信息!$C:$C,盘货信息!$W:$W)="","","【"&amp;盘货信息!$W$1&amp;"】"&amp;_xlfn.XLOOKUP($A416&amp;$B416&amp;$C416,盘货信息!$A:$A&amp;盘货信息!$B:$B&amp;盘货信息!$C:$C,盘货信息!$W:$W))</f>
        <v/>
      </c>
      <c r="P416" s="27" t="str" cm="1">
        <f t="array" ref="P416">IF(_xlfn.XLOOKUP($A416&amp;$B416&amp;$C416,盘货信息!$A:$A&amp;盘货信息!$B:$B&amp;盘货信息!$C:$C,盘货信息!$S:$S)&lt;1,"","【"&amp;盘货信息!$S$1&amp;"】"&amp;"后返"&amp;_xlfn.XLOOKUP($A416&amp;$B416&amp;$C416,盘货信息!$A:$A&amp;盘货信息!$B:$B&amp;盘货信息!$C:$C,盘货信息!$S:$S)&amp;"元")</f>
        <v/>
      </c>
      <c r="Q416" s="27" t="str" cm="1">
        <f t="array" ref="Q416">IF(_xlfn.XLOOKUP($A416&amp;$B416&amp;$C416,盘货信息!$A:$A&amp;盘货信息!$B:$B&amp;盘货信息!$C:$C,盘货信息!$X:$X)="","","【"&amp;盘货信息!$X$1&amp;"】"&amp;_xlfn.XLOOKUP($A416&amp;$B416&amp;$C416,盘货信息!$A:$A&amp;盘货信息!$B:$B&amp;盘货信息!$C:$C,盘货信息!$X:$X))</f>
        <v/>
      </c>
      <c r="R416" s="27" t="str" cm="1">
        <f t="array" ref="R416">IF(_xlfn.XLOOKUP($A416&amp;$B416&amp;$C416,盘货信息!$A:$A&amp;盘货信息!$B:$B&amp;盘货信息!$C:$C,盘货信息!$Z:$Z)="","","【"&amp;盘货信息!$Z$1&amp;"】"&amp;_xlfn.XLOOKUP($A416&amp;$B416&amp;$C416,盘货信息!$A:$A&amp;盘货信息!$B:$B&amp;盘货信息!$C:$C,盘货信息!$Z:$Z))</f>
        <v/>
      </c>
      <c r="S416" s="27" t="str" cm="1">
        <f t="array" ref="S416">IF(_xlfn.XLOOKUP($A416&amp;$B416&amp;$C416,盘货信息!$A:$A&amp;盘货信息!$B:$B&amp;盘货信息!$C:$C,盘货信息!$Q:$Q)="","","【种草】站外带指定话题种草后返"&amp;_xlfn.XLOOKUP($A416&amp;$B416&amp;$C416,盘货信息!$A:$A&amp;盘货信息!$B:$B&amp;盘货信息!$C:$C,盘货信息!$Q:$Q)&amp;"元红包（每个淘宝账号仅限对应一个站外种草账号，同一个种草账号不可对应多个淘宝账号）")</f>
        <v/>
      </c>
      <c r="T416" s="27" t="str" cm="1">
        <f t="array" ref="T416">IF(_xlfn.XLOOKUP($A416&amp;$B416&amp;$C416,盘货信息!$A:$A&amp;盘货信息!$B:$B&amp;盘货信息!$C:$C,盘货信息!$R:$R)&lt;1,"","【以旧换新】"&amp;"享补贴"&amp;ROUND(_xlfn.XLOOKUP($A416&amp;$B416&amp;$C416,盘货信息!$A:$A&amp;盘货信息!$B:$B&amp;盘货信息!$C:$C,盘货信息!$R:$R),0)&amp;"元（可无旧机换新）")</f>
        <v/>
      </c>
      <c r="U416" s="27" t="str">
        <f>IF(AND($N416="",$O416="",$P416="",$Q416="",$R416="",$S416="",$T416=""),"",固定信息!$B$1)</f>
        <v/>
      </c>
      <c r="V416" s="27" t="str" cm="1">
        <f t="array" ref="V416">IF(_xlfn.XLOOKUP($A416&amp;$B416&amp;$C416,盘货信息!$A:$A&amp;盘货信息!$B:$B&amp;盘货信息!$C:$C,盘货信息!$Y:$Y)="","","【卡萨帝送赠】活动指定时间"&amp;_xlfn.TEXTBEFORE(_xlfn.TEXTAFTER(_xlfn.XLOOKUP($A416&amp;$B416&amp;$C416,盘货信息!$A:$A&amp;盘货信息!$B:$B&amp;盘货信息!$C:$C,盘货信息!$Y:$Y),"点"),"（"))</f>
        <v/>
      </c>
      <c r="W416" s="27" t="str" cm="1">
        <f t="array" ref="W416">IF(COUNTIF(_xlfn.XLOOKUP($A416&amp;$B416&amp;$C416,盘货信息!$A:$A&amp;盘货信息!$B:$B&amp;盘货信息!$C:$C,盘货信息!$O:$O),"*是*"),"【折扣】指定型号满2类享96折，满3类享94折","")</f>
        <v/>
      </c>
      <c r="X416" s="27" t="str" cm="1">
        <f t="array" ref="X416">IF(固定信息!$B$7="","",IF(_xlfn.XLOOKUP($A416&amp;$B416&amp;$C416,盘货信息!$A:$A&amp;盘货信息!$B:$B&amp;盘货信息!$C:$C,盘货信息!$N:$N)="是","【瓜分】"&amp;固定信息!$B$7,""))</f>
        <v/>
      </c>
      <c r="Y416" s="27" t="str">
        <f>IF(AND($V416="",$W416="",$X416=""),"",固定信息!$B$1)</f>
        <v/>
      </c>
      <c r="Z416" s="27" t="str" cm="1">
        <f t="array" ref="Z416">IF($C416="","",_xlfn.XLOOKUP($A416&amp;$B416&amp;$C416,服务!$A:$A&amp;服务!$B:$B&amp;服务!$C:$C,服务!$D:$D))</f>
        <v/>
      </c>
    </row>
    <row r="417" customHeight="1" spans="1:26">
      <c r="A417" s="23" t="str">
        <f>IF(盘货信息!A417="","",盘货信息!A417)</f>
        <v/>
      </c>
      <c r="B417" s="26" t="str">
        <f>IF(盘货信息!B417="","",盘货信息!B417)</f>
        <v/>
      </c>
      <c r="C417" s="23" t="str">
        <f>IF(盘货信息!C417="","",盘货信息!C417)</f>
        <v/>
      </c>
      <c r="D417" s="27" t="str">
        <f ca="1" t="shared" si="6"/>
        <v/>
      </c>
      <c r="E417" s="27" t="str">
        <f>IF(C417="","",固定信息!$B$2)</f>
        <v/>
      </c>
      <c r="F417" s="27" t="str">
        <f>IF(C417="","","【"&amp;C417&amp;"】"&amp;固定信息!$B$4)</f>
        <v/>
      </c>
      <c r="G417" s="27" t="str">
        <f>IF(C417="","","【"&amp;"活动时间："&amp;固定信息!$B$3&amp;"】")</f>
        <v/>
      </c>
      <c r="H417" s="27" t="str">
        <f>IF($C417="","",固定信息!$B$1)</f>
        <v/>
      </c>
      <c r="I417" s="27" t="str">
        <f>IF(OR(C417="",固定信息!$B$5=""),"","【1元预约锁好礼】"&amp;固定信息!$B$5)</f>
        <v/>
      </c>
      <c r="J417" s="27" t="str" cm="1">
        <f t="array" ref="J417">_xlfn.XLOOKUP($A417&amp;$B417&amp;$C417,价格信息!$A:$A&amp;价格信息!$B:$B&amp;价格信息!$C:$C,价格信息!$D:$D)</f>
        <v/>
      </c>
      <c r="K417" s="27" t="str">
        <f>IF($C417="","",固定信息!$B$1)</f>
        <v/>
      </c>
      <c r="L417" s="27" t="str" cm="1">
        <f t="array" ref="L417">IF(_xlfn.XLOOKUP($A417&amp;$B417&amp;$C417,盘货信息!$A:$A&amp;盘货信息!$B:$B&amp;盘货信息!$C:$C,盘货信息!$T:$T)="","","【优惠券】领"&amp;_xlfn.XLOOKUP($A417&amp;$B417&amp;$C417,盘货信息!$A:$A&amp;盘货信息!$B:$B&amp;盘货信息!$C:$C,盘货信息!$T:$T)&amp;"元优惠卷下单更优惠，领券链接："&amp;_xlfn.XLOOKUP($A417&amp;$B417&amp;$C417,盘货信息!$A:$A&amp;盘货信息!$B:$B&amp;盘货信息!$C:$C,盘货信息!$U:$U))</f>
        <v/>
      </c>
      <c r="M417" s="27" t="str" cm="1">
        <f t="array" ref="M417">IF(_xlfn.XLOOKUP($A417&amp;$B417&amp;$C417,盘货信息!$A:$A&amp;盘货信息!$B:$B&amp;盘货信息!$C:$C,盘货信息!$P:$P)="","","【限时】"&amp;_xlfn.XLOOKUP($A417&amp;$B417&amp;$C417,盘货信息!$A:$A&amp;盘货信息!$B:$B&amp;盘货信息!$C:$C,盘货信息!$P:$P))</f>
        <v/>
      </c>
      <c r="N417" s="27" t="str" cm="1">
        <f t="array" ref="N417">IF(_xlfn.XLOOKUP($A417&amp;$B417&amp;$C417,盘货信息!$A:$A&amp;盘货信息!$B:$B&amp;盘货信息!$C:$C,盘货信息!$V:$V)="","","【"&amp;盘货信息!$V$1&amp;"】"&amp;_xlfn.XLOOKUP($A417&amp;$B417&amp;$C417,盘货信息!$A:$A&amp;盘货信息!$B:$B&amp;盘货信息!$C:$C,盘货信息!$V:$V))</f>
        <v/>
      </c>
      <c r="O417" s="27" t="str" cm="1">
        <f t="array" ref="O417">IF(_xlfn.XLOOKUP($A417&amp;$B417&amp;$C417,盘货信息!$A:$A&amp;盘货信息!$B:$B&amp;盘货信息!$C:$C,盘货信息!$W:$W)="","","【"&amp;盘货信息!$W$1&amp;"】"&amp;_xlfn.XLOOKUP($A417&amp;$B417&amp;$C417,盘货信息!$A:$A&amp;盘货信息!$B:$B&amp;盘货信息!$C:$C,盘货信息!$W:$W))</f>
        <v/>
      </c>
      <c r="P417" s="27" t="str" cm="1">
        <f t="array" ref="P417">IF(_xlfn.XLOOKUP($A417&amp;$B417&amp;$C417,盘货信息!$A:$A&amp;盘货信息!$B:$B&amp;盘货信息!$C:$C,盘货信息!$S:$S)&lt;1,"","【"&amp;盘货信息!$S$1&amp;"】"&amp;"后返"&amp;_xlfn.XLOOKUP($A417&amp;$B417&amp;$C417,盘货信息!$A:$A&amp;盘货信息!$B:$B&amp;盘货信息!$C:$C,盘货信息!$S:$S)&amp;"元")</f>
        <v/>
      </c>
      <c r="Q417" s="27" t="str" cm="1">
        <f t="array" ref="Q417">IF(_xlfn.XLOOKUP($A417&amp;$B417&amp;$C417,盘货信息!$A:$A&amp;盘货信息!$B:$B&amp;盘货信息!$C:$C,盘货信息!$X:$X)="","","【"&amp;盘货信息!$X$1&amp;"】"&amp;_xlfn.XLOOKUP($A417&amp;$B417&amp;$C417,盘货信息!$A:$A&amp;盘货信息!$B:$B&amp;盘货信息!$C:$C,盘货信息!$X:$X))</f>
        <v/>
      </c>
      <c r="R417" s="27" t="str" cm="1">
        <f t="array" ref="R417">IF(_xlfn.XLOOKUP($A417&amp;$B417&amp;$C417,盘货信息!$A:$A&amp;盘货信息!$B:$B&amp;盘货信息!$C:$C,盘货信息!$Z:$Z)="","","【"&amp;盘货信息!$Z$1&amp;"】"&amp;_xlfn.XLOOKUP($A417&amp;$B417&amp;$C417,盘货信息!$A:$A&amp;盘货信息!$B:$B&amp;盘货信息!$C:$C,盘货信息!$Z:$Z))</f>
        <v/>
      </c>
      <c r="S417" s="27" t="str" cm="1">
        <f t="array" ref="S417">IF(_xlfn.XLOOKUP($A417&amp;$B417&amp;$C417,盘货信息!$A:$A&amp;盘货信息!$B:$B&amp;盘货信息!$C:$C,盘货信息!$Q:$Q)="","","【种草】站外带指定话题种草后返"&amp;_xlfn.XLOOKUP($A417&amp;$B417&amp;$C417,盘货信息!$A:$A&amp;盘货信息!$B:$B&amp;盘货信息!$C:$C,盘货信息!$Q:$Q)&amp;"元红包（每个淘宝账号仅限对应一个站外种草账号，同一个种草账号不可对应多个淘宝账号）")</f>
        <v/>
      </c>
      <c r="T417" s="27" t="str" cm="1">
        <f t="array" ref="T417">IF(_xlfn.XLOOKUP($A417&amp;$B417&amp;$C417,盘货信息!$A:$A&amp;盘货信息!$B:$B&amp;盘货信息!$C:$C,盘货信息!$R:$R)&lt;1,"","【以旧换新】"&amp;"享补贴"&amp;ROUND(_xlfn.XLOOKUP($A417&amp;$B417&amp;$C417,盘货信息!$A:$A&amp;盘货信息!$B:$B&amp;盘货信息!$C:$C,盘货信息!$R:$R),0)&amp;"元（可无旧机换新）")</f>
        <v/>
      </c>
      <c r="U417" s="27" t="str">
        <f>IF(AND($N417="",$O417="",$P417="",$Q417="",$R417="",$S417="",$T417=""),"",固定信息!$B$1)</f>
        <v/>
      </c>
      <c r="V417" s="27" t="str" cm="1">
        <f t="array" ref="V417">IF(_xlfn.XLOOKUP($A417&amp;$B417&amp;$C417,盘货信息!$A:$A&amp;盘货信息!$B:$B&amp;盘货信息!$C:$C,盘货信息!$Y:$Y)="","","【卡萨帝送赠】活动指定时间"&amp;_xlfn.TEXTBEFORE(_xlfn.TEXTAFTER(_xlfn.XLOOKUP($A417&amp;$B417&amp;$C417,盘货信息!$A:$A&amp;盘货信息!$B:$B&amp;盘货信息!$C:$C,盘货信息!$Y:$Y),"点"),"（"))</f>
        <v/>
      </c>
      <c r="W417" s="27" t="str" cm="1">
        <f t="array" ref="W417">IF(COUNTIF(_xlfn.XLOOKUP($A417&amp;$B417&amp;$C417,盘货信息!$A:$A&amp;盘货信息!$B:$B&amp;盘货信息!$C:$C,盘货信息!$O:$O),"*是*"),"【折扣】指定型号满2类享96折，满3类享94折","")</f>
        <v/>
      </c>
      <c r="X417" s="27" t="str" cm="1">
        <f t="array" ref="X417">IF(固定信息!$B$7="","",IF(_xlfn.XLOOKUP($A417&amp;$B417&amp;$C417,盘货信息!$A:$A&amp;盘货信息!$B:$B&amp;盘货信息!$C:$C,盘货信息!$N:$N)="是","【瓜分】"&amp;固定信息!$B$7,""))</f>
        <v/>
      </c>
      <c r="Y417" s="27" t="str">
        <f>IF(AND($V417="",$W417="",$X417=""),"",固定信息!$B$1)</f>
        <v/>
      </c>
      <c r="Z417" s="27" t="str" cm="1">
        <f t="array" ref="Z417">IF($C417="","",_xlfn.XLOOKUP($A417&amp;$B417&amp;$C417,服务!$A:$A&amp;服务!$B:$B&amp;服务!$C:$C,服务!$D:$D))</f>
        <v/>
      </c>
    </row>
    <row r="418" customHeight="1" spans="1:26">
      <c r="A418" s="23" t="str">
        <f>IF(盘货信息!A418="","",盘货信息!A418)</f>
        <v/>
      </c>
      <c r="B418" s="26" t="str">
        <f>IF(盘货信息!B418="","",盘货信息!B418)</f>
        <v/>
      </c>
      <c r="C418" s="23" t="str">
        <f>IF(盘货信息!C418="","",盘货信息!C418)</f>
        <v/>
      </c>
      <c r="D418" s="27" t="str">
        <f ca="1" t="shared" si="6"/>
        <v/>
      </c>
      <c r="E418" s="27" t="str">
        <f>IF(C418="","",固定信息!$B$2)</f>
        <v/>
      </c>
      <c r="F418" s="27" t="str">
        <f>IF(C418="","","【"&amp;C418&amp;"】"&amp;固定信息!$B$4)</f>
        <v/>
      </c>
      <c r="G418" s="27" t="str">
        <f>IF(C418="","","【"&amp;"活动时间："&amp;固定信息!$B$3&amp;"】")</f>
        <v/>
      </c>
      <c r="H418" s="27" t="str">
        <f>IF($C418="","",固定信息!$B$1)</f>
        <v/>
      </c>
      <c r="I418" s="27" t="str">
        <f>IF(OR(C418="",固定信息!$B$5=""),"","【1元预约锁好礼】"&amp;固定信息!$B$5)</f>
        <v/>
      </c>
      <c r="J418" s="27" t="str" cm="1">
        <f t="array" ref="J418">_xlfn.XLOOKUP($A418&amp;$B418&amp;$C418,价格信息!$A:$A&amp;价格信息!$B:$B&amp;价格信息!$C:$C,价格信息!$D:$D)</f>
        <v/>
      </c>
      <c r="K418" s="27" t="str">
        <f>IF($C418="","",固定信息!$B$1)</f>
        <v/>
      </c>
      <c r="L418" s="27" t="str" cm="1">
        <f t="array" ref="L418">IF(_xlfn.XLOOKUP($A418&amp;$B418&amp;$C418,盘货信息!$A:$A&amp;盘货信息!$B:$B&amp;盘货信息!$C:$C,盘货信息!$T:$T)="","","【优惠券】领"&amp;_xlfn.XLOOKUP($A418&amp;$B418&amp;$C418,盘货信息!$A:$A&amp;盘货信息!$B:$B&amp;盘货信息!$C:$C,盘货信息!$T:$T)&amp;"元优惠卷下单更优惠，领券链接："&amp;_xlfn.XLOOKUP($A418&amp;$B418&amp;$C418,盘货信息!$A:$A&amp;盘货信息!$B:$B&amp;盘货信息!$C:$C,盘货信息!$U:$U))</f>
        <v/>
      </c>
      <c r="M418" s="27" t="str" cm="1">
        <f t="array" ref="M418">IF(_xlfn.XLOOKUP($A418&amp;$B418&amp;$C418,盘货信息!$A:$A&amp;盘货信息!$B:$B&amp;盘货信息!$C:$C,盘货信息!$P:$P)="","","【限时】"&amp;_xlfn.XLOOKUP($A418&amp;$B418&amp;$C418,盘货信息!$A:$A&amp;盘货信息!$B:$B&amp;盘货信息!$C:$C,盘货信息!$P:$P))</f>
        <v/>
      </c>
      <c r="N418" s="27" t="str" cm="1">
        <f t="array" ref="N418">IF(_xlfn.XLOOKUP($A418&amp;$B418&amp;$C418,盘货信息!$A:$A&amp;盘货信息!$B:$B&amp;盘货信息!$C:$C,盘货信息!$V:$V)="","","【"&amp;盘货信息!$V$1&amp;"】"&amp;_xlfn.XLOOKUP($A418&amp;$B418&amp;$C418,盘货信息!$A:$A&amp;盘货信息!$B:$B&amp;盘货信息!$C:$C,盘货信息!$V:$V))</f>
        <v/>
      </c>
      <c r="O418" s="27" t="str" cm="1">
        <f t="array" ref="O418">IF(_xlfn.XLOOKUP($A418&amp;$B418&amp;$C418,盘货信息!$A:$A&amp;盘货信息!$B:$B&amp;盘货信息!$C:$C,盘货信息!$W:$W)="","","【"&amp;盘货信息!$W$1&amp;"】"&amp;_xlfn.XLOOKUP($A418&amp;$B418&amp;$C418,盘货信息!$A:$A&amp;盘货信息!$B:$B&amp;盘货信息!$C:$C,盘货信息!$W:$W))</f>
        <v/>
      </c>
      <c r="P418" s="27" t="str" cm="1">
        <f t="array" ref="P418">IF(_xlfn.XLOOKUP($A418&amp;$B418&amp;$C418,盘货信息!$A:$A&amp;盘货信息!$B:$B&amp;盘货信息!$C:$C,盘货信息!$S:$S)&lt;1,"","【"&amp;盘货信息!$S$1&amp;"】"&amp;"后返"&amp;_xlfn.XLOOKUP($A418&amp;$B418&amp;$C418,盘货信息!$A:$A&amp;盘货信息!$B:$B&amp;盘货信息!$C:$C,盘货信息!$S:$S)&amp;"元")</f>
        <v/>
      </c>
      <c r="Q418" s="27" t="str" cm="1">
        <f t="array" ref="Q418">IF(_xlfn.XLOOKUP($A418&amp;$B418&amp;$C418,盘货信息!$A:$A&amp;盘货信息!$B:$B&amp;盘货信息!$C:$C,盘货信息!$X:$X)="","","【"&amp;盘货信息!$X$1&amp;"】"&amp;_xlfn.XLOOKUP($A418&amp;$B418&amp;$C418,盘货信息!$A:$A&amp;盘货信息!$B:$B&amp;盘货信息!$C:$C,盘货信息!$X:$X))</f>
        <v/>
      </c>
      <c r="R418" s="27" t="str" cm="1">
        <f t="array" ref="R418">IF(_xlfn.XLOOKUP($A418&amp;$B418&amp;$C418,盘货信息!$A:$A&amp;盘货信息!$B:$B&amp;盘货信息!$C:$C,盘货信息!$Z:$Z)="","","【"&amp;盘货信息!$Z$1&amp;"】"&amp;_xlfn.XLOOKUP($A418&amp;$B418&amp;$C418,盘货信息!$A:$A&amp;盘货信息!$B:$B&amp;盘货信息!$C:$C,盘货信息!$Z:$Z))</f>
        <v/>
      </c>
      <c r="S418" s="27" t="str" cm="1">
        <f t="array" ref="S418">IF(_xlfn.XLOOKUP($A418&amp;$B418&amp;$C418,盘货信息!$A:$A&amp;盘货信息!$B:$B&amp;盘货信息!$C:$C,盘货信息!$Q:$Q)="","","【种草】站外带指定话题种草后返"&amp;_xlfn.XLOOKUP($A418&amp;$B418&amp;$C418,盘货信息!$A:$A&amp;盘货信息!$B:$B&amp;盘货信息!$C:$C,盘货信息!$Q:$Q)&amp;"元红包（每个淘宝账号仅限对应一个站外种草账号，同一个种草账号不可对应多个淘宝账号）")</f>
        <v/>
      </c>
      <c r="T418" s="27" t="str" cm="1">
        <f t="array" ref="T418">IF(_xlfn.XLOOKUP($A418&amp;$B418&amp;$C418,盘货信息!$A:$A&amp;盘货信息!$B:$B&amp;盘货信息!$C:$C,盘货信息!$R:$R)&lt;1,"","【以旧换新】"&amp;"享补贴"&amp;ROUND(_xlfn.XLOOKUP($A418&amp;$B418&amp;$C418,盘货信息!$A:$A&amp;盘货信息!$B:$B&amp;盘货信息!$C:$C,盘货信息!$R:$R),0)&amp;"元（可无旧机换新）")</f>
        <v/>
      </c>
      <c r="U418" s="27" t="str">
        <f>IF(AND($N418="",$O418="",$P418="",$Q418="",$R418="",$S418="",$T418=""),"",固定信息!$B$1)</f>
        <v/>
      </c>
      <c r="V418" s="27" t="str" cm="1">
        <f t="array" ref="V418">IF(_xlfn.XLOOKUP($A418&amp;$B418&amp;$C418,盘货信息!$A:$A&amp;盘货信息!$B:$B&amp;盘货信息!$C:$C,盘货信息!$Y:$Y)="","","【卡萨帝送赠】活动指定时间"&amp;_xlfn.TEXTBEFORE(_xlfn.TEXTAFTER(_xlfn.XLOOKUP($A418&amp;$B418&amp;$C418,盘货信息!$A:$A&amp;盘货信息!$B:$B&amp;盘货信息!$C:$C,盘货信息!$Y:$Y),"点"),"（"))</f>
        <v/>
      </c>
      <c r="W418" s="27" t="str" cm="1">
        <f t="array" ref="W418">IF(COUNTIF(_xlfn.XLOOKUP($A418&amp;$B418&amp;$C418,盘货信息!$A:$A&amp;盘货信息!$B:$B&amp;盘货信息!$C:$C,盘货信息!$O:$O),"*是*"),"【折扣】指定型号满2类享96折，满3类享94折","")</f>
        <v/>
      </c>
      <c r="X418" s="27" t="str" cm="1">
        <f t="array" ref="X418">IF(固定信息!$B$7="","",IF(_xlfn.XLOOKUP($A418&amp;$B418&amp;$C418,盘货信息!$A:$A&amp;盘货信息!$B:$B&amp;盘货信息!$C:$C,盘货信息!$N:$N)="是","【瓜分】"&amp;固定信息!$B$7,""))</f>
        <v/>
      </c>
      <c r="Y418" s="27" t="str">
        <f>IF(AND($V418="",$W418="",$X418=""),"",固定信息!$B$1)</f>
        <v/>
      </c>
      <c r="Z418" s="27" t="str" cm="1">
        <f t="array" ref="Z418">IF($C418="","",_xlfn.XLOOKUP($A418&amp;$B418&amp;$C418,服务!$A:$A&amp;服务!$B:$B&amp;服务!$C:$C,服务!$D:$D))</f>
        <v/>
      </c>
    </row>
    <row r="419" customHeight="1" spans="1:26">
      <c r="A419" s="23" t="str">
        <f>IF(盘货信息!A419="","",盘货信息!A419)</f>
        <v/>
      </c>
      <c r="B419" s="26" t="str">
        <f>IF(盘货信息!B419="","",盘货信息!B419)</f>
        <v/>
      </c>
      <c r="C419" s="23" t="str">
        <f>IF(盘货信息!C419="","",盘货信息!C419)</f>
        <v/>
      </c>
      <c r="D419" s="27" t="str">
        <f ca="1" t="shared" si="6"/>
        <v/>
      </c>
      <c r="E419" s="27" t="str">
        <f>IF(C419="","",固定信息!$B$2)</f>
        <v/>
      </c>
      <c r="F419" s="27" t="str">
        <f>IF(C419="","","【"&amp;C419&amp;"】"&amp;固定信息!$B$4)</f>
        <v/>
      </c>
      <c r="G419" s="27" t="str">
        <f>IF(C419="","","【"&amp;"活动时间："&amp;固定信息!$B$3&amp;"】")</f>
        <v/>
      </c>
      <c r="H419" s="27" t="str">
        <f>IF($C419="","",固定信息!$B$1)</f>
        <v/>
      </c>
      <c r="I419" s="27" t="str">
        <f>IF(OR(C419="",固定信息!$B$5=""),"","【1元预约锁好礼】"&amp;固定信息!$B$5)</f>
        <v/>
      </c>
      <c r="J419" s="27" t="str" cm="1">
        <f t="array" ref="J419">_xlfn.XLOOKUP($A419&amp;$B419&amp;$C419,价格信息!$A:$A&amp;价格信息!$B:$B&amp;价格信息!$C:$C,价格信息!$D:$D)</f>
        <v/>
      </c>
      <c r="K419" s="27" t="str">
        <f>IF($C419="","",固定信息!$B$1)</f>
        <v/>
      </c>
      <c r="L419" s="27" t="str" cm="1">
        <f t="array" ref="L419">IF(_xlfn.XLOOKUP($A419&amp;$B419&amp;$C419,盘货信息!$A:$A&amp;盘货信息!$B:$B&amp;盘货信息!$C:$C,盘货信息!$T:$T)="","","【优惠券】领"&amp;_xlfn.XLOOKUP($A419&amp;$B419&amp;$C419,盘货信息!$A:$A&amp;盘货信息!$B:$B&amp;盘货信息!$C:$C,盘货信息!$T:$T)&amp;"元优惠卷下单更优惠，领券链接："&amp;_xlfn.XLOOKUP($A419&amp;$B419&amp;$C419,盘货信息!$A:$A&amp;盘货信息!$B:$B&amp;盘货信息!$C:$C,盘货信息!$U:$U))</f>
        <v/>
      </c>
      <c r="M419" s="27" t="str" cm="1">
        <f t="array" ref="M419">IF(_xlfn.XLOOKUP($A419&amp;$B419&amp;$C419,盘货信息!$A:$A&amp;盘货信息!$B:$B&amp;盘货信息!$C:$C,盘货信息!$P:$P)="","","【限时】"&amp;_xlfn.XLOOKUP($A419&amp;$B419&amp;$C419,盘货信息!$A:$A&amp;盘货信息!$B:$B&amp;盘货信息!$C:$C,盘货信息!$P:$P))</f>
        <v/>
      </c>
      <c r="N419" s="27" t="str" cm="1">
        <f t="array" ref="N419">IF(_xlfn.XLOOKUP($A419&amp;$B419&amp;$C419,盘货信息!$A:$A&amp;盘货信息!$B:$B&amp;盘货信息!$C:$C,盘货信息!$V:$V)="","","【"&amp;盘货信息!$V$1&amp;"】"&amp;_xlfn.XLOOKUP($A419&amp;$B419&amp;$C419,盘货信息!$A:$A&amp;盘货信息!$B:$B&amp;盘货信息!$C:$C,盘货信息!$V:$V))</f>
        <v/>
      </c>
      <c r="O419" s="27" t="str" cm="1">
        <f t="array" ref="O419">IF(_xlfn.XLOOKUP($A419&amp;$B419&amp;$C419,盘货信息!$A:$A&amp;盘货信息!$B:$B&amp;盘货信息!$C:$C,盘货信息!$W:$W)="","","【"&amp;盘货信息!$W$1&amp;"】"&amp;_xlfn.XLOOKUP($A419&amp;$B419&amp;$C419,盘货信息!$A:$A&amp;盘货信息!$B:$B&amp;盘货信息!$C:$C,盘货信息!$W:$W))</f>
        <v/>
      </c>
      <c r="P419" s="27" t="str" cm="1">
        <f t="array" ref="P419">IF(_xlfn.XLOOKUP($A419&amp;$B419&amp;$C419,盘货信息!$A:$A&amp;盘货信息!$B:$B&amp;盘货信息!$C:$C,盘货信息!$S:$S)&lt;1,"","【"&amp;盘货信息!$S$1&amp;"】"&amp;"后返"&amp;_xlfn.XLOOKUP($A419&amp;$B419&amp;$C419,盘货信息!$A:$A&amp;盘货信息!$B:$B&amp;盘货信息!$C:$C,盘货信息!$S:$S)&amp;"元")</f>
        <v/>
      </c>
      <c r="Q419" s="27" t="str" cm="1">
        <f t="array" ref="Q419">IF(_xlfn.XLOOKUP($A419&amp;$B419&amp;$C419,盘货信息!$A:$A&amp;盘货信息!$B:$B&amp;盘货信息!$C:$C,盘货信息!$X:$X)="","","【"&amp;盘货信息!$X$1&amp;"】"&amp;_xlfn.XLOOKUP($A419&amp;$B419&amp;$C419,盘货信息!$A:$A&amp;盘货信息!$B:$B&amp;盘货信息!$C:$C,盘货信息!$X:$X))</f>
        <v/>
      </c>
      <c r="R419" s="27" t="str" cm="1">
        <f t="array" ref="R419">IF(_xlfn.XLOOKUP($A419&amp;$B419&amp;$C419,盘货信息!$A:$A&amp;盘货信息!$B:$B&amp;盘货信息!$C:$C,盘货信息!$Z:$Z)="","","【"&amp;盘货信息!$Z$1&amp;"】"&amp;_xlfn.XLOOKUP($A419&amp;$B419&amp;$C419,盘货信息!$A:$A&amp;盘货信息!$B:$B&amp;盘货信息!$C:$C,盘货信息!$Z:$Z))</f>
        <v/>
      </c>
      <c r="S419" s="27" t="str" cm="1">
        <f t="array" ref="S419">IF(_xlfn.XLOOKUP($A419&amp;$B419&amp;$C419,盘货信息!$A:$A&amp;盘货信息!$B:$B&amp;盘货信息!$C:$C,盘货信息!$Q:$Q)="","","【种草】站外带指定话题种草后返"&amp;_xlfn.XLOOKUP($A419&amp;$B419&amp;$C419,盘货信息!$A:$A&amp;盘货信息!$B:$B&amp;盘货信息!$C:$C,盘货信息!$Q:$Q)&amp;"元红包（每个淘宝账号仅限对应一个站外种草账号，同一个种草账号不可对应多个淘宝账号）")</f>
        <v/>
      </c>
      <c r="T419" s="27" t="str" cm="1">
        <f t="array" ref="T419">IF(_xlfn.XLOOKUP($A419&amp;$B419&amp;$C419,盘货信息!$A:$A&amp;盘货信息!$B:$B&amp;盘货信息!$C:$C,盘货信息!$R:$R)&lt;1,"","【以旧换新】"&amp;"享补贴"&amp;ROUND(_xlfn.XLOOKUP($A419&amp;$B419&amp;$C419,盘货信息!$A:$A&amp;盘货信息!$B:$B&amp;盘货信息!$C:$C,盘货信息!$R:$R),0)&amp;"元（可无旧机换新）")</f>
        <v/>
      </c>
      <c r="U419" s="27" t="str">
        <f>IF(AND($N419="",$O419="",$P419="",$Q419="",$R419="",$S419="",$T419=""),"",固定信息!$B$1)</f>
        <v/>
      </c>
      <c r="V419" s="27" t="str" cm="1">
        <f t="array" ref="V419">IF(_xlfn.XLOOKUP($A419&amp;$B419&amp;$C419,盘货信息!$A:$A&amp;盘货信息!$B:$B&amp;盘货信息!$C:$C,盘货信息!$Y:$Y)="","","【卡萨帝送赠】活动指定时间"&amp;_xlfn.TEXTBEFORE(_xlfn.TEXTAFTER(_xlfn.XLOOKUP($A419&amp;$B419&amp;$C419,盘货信息!$A:$A&amp;盘货信息!$B:$B&amp;盘货信息!$C:$C,盘货信息!$Y:$Y),"点"),"（"))</f>
        <v/>
      </c>
      <c r="W419" s="27" t="str" cm="1">
        <f t="array" ref="W419">IF(COUNTIF(_xlfn.XLOOKUP($A419&amp;$B419&amp;$C419,盘货信息!$A:$A&amp;盘货信息!$B:$B&amp;盘货信息!$C:$C,盘货信息!$O:$O),"*是*"),"【折扣】指定型号满2类享96折，满3类享94折","")</f>
        <v/>
      </c>
      <c r="X419" s="27" t="str" cm="1">
        <f t="array" ref="X419">IF(固定信息!$B$7="","",IF(_xlfn.XLOOKUP($A419&amp;$B419&amp;$C419,盘货信息!$A:$A&amp;盘货信息!$B:$B&amp;盘货信息!$C:$C,盘货信息!$N:$N)="是","【瓜分】"&amp;固定信息!$B$7,""))</f>
        <v/>
      </c>
      <c r="Y419" s="27" t="str">
        <f>IF(AND($V419="",$W419="",$X419=""),"",固定信息!$B$1)</f>
        <v/>
      </c>
      <c r="Z419" s="27" t="str" cm="1">
        <f t="array" ref="Z419">IF($C419="","",_xlfn.XLOOKUP($A419&amp;$B419&amp;$C419,服务!$A:$A&amp;服务!$B:$B&amp;服务!$C:$C,服务!$D:$D))</f>
        <v/>
      </c>
    </row>
    <row r="420" customHeight="1" spans="1:26">
      <c r="A420" s="23" t="str">
        <f>IF(盘货信息!A420="","",盘货信息!A420)</f>
        <v/>
      </c>
      <c r="B420" s="26" t="str">
        <f>IF(盘货信息!B420="","",盘货信息!B420)</f>
        <v/>
      </c>
      <c r="C420" s="23" t="str">
        <f>IF(盘货信息!C420="","",盘货信息!C420)</f>
        <v/>
      </c>
      <c r="D420" s="27" t="str">
        <f ca="1" t="shared" si="6"/>
        <v/>
      </c>
      <c r="E420" s="27" t="str">
        <f>IF(C420="","",固定信息!$B$2)</f>
        <v/>
      </c>
      <c r="F420" s="27" t="str">
        <f>IF(C420="","","【"&amp;C420&amp;"】"&amp;固定信息!$B$4)</f>
        <v/>
      </c>
      <c r="G420" s="27" t="str">
        <f>IF(C420="","","【"&amp;"活动时间："&amp;固定信息!$B$3&amp;"】")</f>
        <v/>
      </c>
      <c r="H420" s="27" t="str">
        <f>IF($C420="","",固定信息!$B$1)</f>
        <v/>
      </c>
      <c r="I420" s="27" t="str">
        <f>IF(OR(C420="",固定信息!$B$5=""),"","【1元预约锁好礼】"&amp;固定信息!$B$5)</f>
        <v/>
      </c>
      <c r="J420" s="27" t="str" cm="1">
        <f t="array" ref="J420">_xlfn.XLOOKUP($A420&amp;$B420&amp;$C420,价格信息!$A:$A&amp;价格信息!$B:$B&amp;价格信息!$C:$C,价格信息!$D:$D)</f>
        <v/>
      </c>
      <c r="K420" s="27" t="str">
        <f>IF($C420="","",固定信息!$B$1)</f>
        <v/>
      </c>
      <c r="L420" s="27" t="str" cm="1">
        <f t="array" ref="L420">IF(_xlfn.XLOOKUP($A420&amp;$B420&amp;$C420,盘货信息!$A:$A&amp;盘货信息!$B:$B&amp;盘货信息!$C:$C,盘货信息!$T:$T)="","","【优惠券】领"&amp;_xlfn.XLOOKUP($A420&amp;$B420&amp;$C420,盘货信息!$A:$A&amp;盘货信息!$B:$B&amp;盘货信息!$C:$C,盘货信息!$T:$T)&amp;"元优惠卷下单更优惠，领券链接："&amp;_xlfn.XLOOKUP($A420&amp;$B420&amp;$C420,盘货信息!$A:$A&amp;盘货信息!$B:$B&amp;盘货信息!$C:$C,盘货信息!$U:$U))</f>
        <v/>
      </c>
      <c r="M420" s="27" t="str" cm="1">
        <f t="array" ref="M420">IF(_xlfn.XLOOKUP($A420&amp;$B420&amp;$C420,盘货信息!$A:$A&amp;盘货信息!$B:$B&amp;盘货信息!$C:$C,盘货信息!$P:$P)="","","【限时】"&amp;_xlfn.XLOOKUP($A420&amp;$B420&amp;$C420,盘货信息!$A:$A&amp;盘货信息!$B:$B&amp;盘货信息!$C:$C,盘货信息!$P:$P))</f>
        <v/>
      </c>
      <c r="N420" s="27" t="str" cm="1">
        <f t="array" ref="N420">IF(_xlfn.XLOOKUP($A420&amp;$B420&amp;$C420,盘货信息!$A:$A&amp;盘货信息!$B:$B&amp;盘货信息!$C:$C,盘货信息!$V:$V)="","","【"&amp;盘货信息!$V$1&amp;"】"&amp;_xlfn.XLOOKUP($A420&amp;$B420&amp;$C420,盘货信息!$A:$A&amp;盘货信息!$B:$B&amp;盘货信息!$C:$C,盘货信息!$V:$V))</f>
        <v/>
      </c>
      <c r="O420" s="27" t="str" cm="1">
        <f t="array" ref="O420">IF(_xlfn.XLOOKUP($A420&amp;$B420&amp;$C420,盘货信息!$A:$A&amp;盘货信息!$B:$B&amp;盘货信息!$C:$C,盘货信息!$W:$W)="","","【"&amp;盘货信息!$W$1&amp;"】"&amp;_xlfn.XLOOKUP($A420&amp;$B420&amp;$C420,盘货信息!$A:$A&amp;盘货信息!$B:$B&amp;盘货信息!$C:$C,盘货信息!$W:$W))</f>
        <v/>
      </c>
      <c r="P420" s="27" t="str" cm="1">
        <f t="array" ref="P420">IF(_xlfn.XLOOKUP($A420&amp;$B420&amp;$C420,盘货信息!$A:$A&amp;盘货信息!$B:$B&amp;盘货信息!$C:$C,盘货信息!$S:$S)&lt;1,"","【"&amp;盘货信息!$S$1&amp;"】"&amp;"后返"&amp;_xlfn.XLOOKUP($A420&amp;$B420&amp;$C420,盘货信息!$A:$A&amp;盘货信息!$B:$B&amp;盘货信息!$C:$C,盘货信息!$S:$S)&amp;"元")</f>
        <v/>
      </c>
      <c r="Q420" s="27" t="str" cm="1">
        <f t="array" ref="Q420">IF(_xlfn.XLOOKUP($A420&amp;$B420&amp;$C420,盘货信息!$A:$A&amp;盘货信息!$B:$B&amp;盘货信息!$C:$C,盘货信息!$X:$X)="","","【"&amp;盘货信息!$X$1&amp;"】"&amp;_xlfn.XLOOKUP($A420&amp;$B420&amp;$C420,盘货信息!$A:$A&amp;盘货信息!$B:$B&amp;盘货信息!$C:$C,盘货信息!$X:$X))</f>
        <v/>
      </c>
      <c r="R420" s="27" t="str" cm="1">
        <f t="array" ref="R420">IF(_xlfn.XLOOKUP($A420&amp;$B420&amp;$C420,盘货信息!$A:$A&amp;盘货信息!$B:$B&amp;盘货信息!$C:$C,盘货信息!$Z:$Z)="","","【"&amp;盘货信息!$Z$1&amp;"】"&amp;_xlfn.XLOOKUP($A420&amp;$B420&amp;$C420,盘货信息!$A:$A&amp;盘货信息!$B:$B&amp;盘货信息!$C:$C,盘货信息!$Z:$Z))</f>
        <v/>
      </c>
      <c r="S420" s="27" t="str" cm="1">
        <f t="array" ref="S420">IF(_xlfn.XLOOKUP($A420&amp;$B420&amp;$C420,盘货信息!$A:$A&amp;盘货信息!$B:$B&amp;盘货信息!$C:$C,盘货信息!$Q:$Q)="","","【种草】站外带指定话题种草后返"&amp;_xlfn.XLOOKUP($A420&amp;$B420&amp;$C420,盘货信息!$A:$A&amp;盘货信息!$B:$B&amp;盘货信息!$C:$C,盘货信息!$Q:$Q)&amp;"元红包（每个淘宝账号仅限对应一个站外种草账号，同一个种草账号不可对应多个淘宝账号）")</f>
        <v/>
      </c>
      <c r="T420" s="27" t="str" cm="1">
        <f t="array" ref="T420">IF(_xlfn.XLOOKUP($A420&amp;$B420&amp;$C420,盘货信息!$A:$A&amp;盘货信息!$B:$B&amp;盘货信息!$C:$C,盘货信息!$R:$R)&lt;1,"","【以旧换新】"&amp;"享补贴"&amp;ROUND(_xlfn.XLOOKUP($A420&amp;$B420&amp;$C420,盘货信息!$A:$A&amp;盘货信息!$B:$B&amp;盘货信息!$C:$C,盘货信息!$R:$R),0)&amp;"元（可无旧机换新）")</f>
        <v/>
      </c>
      <c r="U420" s="27" t="str">
        <f>IF(AND($N420="",$O420="",$P420="",$Q420="",$R420="",$S420="",$T420=""),"",固定信息!$B$1)</f>
        <v/>
      </c>
      <c r="V420" s="27" t="str" cm="1">
        <f t="array" ref="V420">IF(_xlfn.XLOOKUP($A420&amp;$B420&amp;$C420,盘货信息!$A:$A&amp;盘货信息!$B:$B&amp;盘货信息!$C:$C,盘货信息!$Y:$Y)="","","【卡萨帝送赠】活动指定时间"&amp;_xlfn.TEXTBEFORE(_xlfn.TEXTAFTER(_xlfn.XLOOKUP($A420&amp;$B420&amp;$C420,盘货信息!$A:$A&amp;盘货信息!$B:$B&amp;盘货信息!$C:$C,盘货信息!$Y:$Y),"点"),"（"))</f>
        <v/>
      </c>
      <c r="W420" s="27" t="str" cm="1">
        <f t="array" ref="W420">IF(COUNTIF(_xlfn.XLOOKUP($A420&amp;$B420&amp;$C420,盘货信息!$A:$A&amp;盘货信息!$B:$B&amp;盘货信息!$C:$C,盘货信息!$O:$O),"*是*"),"【折扣】指定型号满2类享96折，满3类享94折","")</f>
        <v/>
      </c>
      <c r="X420" s="27" t="str" cm="1">
        <f t="array" ref="X420">IF(固定信息!$B$7="","",IF(_xlfn.XLOOKUP($A420&amp;$B420&amp;$C420,盘货信息!$A:$A&amp;盘货信息!$B:$B&amp;盘货信息!$C:$C,盘货信息!$N:$N)="是","【瓜分】"&amp;固定信息!$B$7,""))</f>
        <v/>
      </c>
      <c r="Y420" s="27" t="str">
        <f>IF(AND($V420="",$W420="",$X420=""),"",固定信息!$B$1)</f>
        <v/>
      </c>
      <c r="Z420" s="27" t="str" cm="1">
        <f t="array" ref="Z420">IF($C420="","",_xlfn.XLOOKUP($A420&amp;$B420&amp;$C420,服务!$A:$A&amp;服务!$B:$B&amp;服务!$C:$C,服务!$D:$D))</f>
        <v/>
      </c>
    </row>
    <row r="421" customHeight="1" spans="1:26">
      <c r="A421" s="23" t="str">
        <f>IF(盘货信息!A421="","",盘货信息!A421)</f>
        <v/>
      </c>
      <c r="B421" s="26" t="str">
        <f>IF(盘货信息!B421="","",盘货信息!B421)</f>
        <v/>
      </c>
      <c r="C421" s="23" t="str">
        <f>IF(盘货信息!C421="","",盘货信息!C421)</f>
        <v/>
      </c>
      <c r="D421" s="27" t="str">
        <f ca="1" t="shared" si="6"/>
        <v/>
      </c>
      <c r="E421" s="27" t="str">
        <f>IF(C421="","",固定信息!$B$2)</f>
        <v/>
      </c>
      <c r="F421" s="27" t="str">
        <f>IF(C421="","","【"&amp;C421&amp;"】"&amp;固定信息!$B$4)</f>
        <v/>
      </c>
      <c r="G421" s="27" t="str">
        <f>IF(C421="","","【"&amp;"活动时间："&amp;固定信息!$B$3&amp;"】")</f>
        <v/>
      </c>
      <c r="H421" s="27" t="str">
        <f>IF($C421="","",固定信息!$B$1)</f>
        <v/>
      </c>
      <c r="I421" s="27" t="str">
        <f>IF(OR(C421="",固定信息!$B$5=""),"","【1元预约锁好礼】"&amp;固定信息!$B$5)</f>
        <v/>
      </c>
      <c r="J421" s="27" t="str" cm="1">
        <f t="array" ref="J421">_xlfn.XLOOKUP($A421&amp;$B421&amp;$C421,价格信息!$A:$A&amp;价格信息!$B:$B&amp;价格信息!$C:$C,价格信息!$D:$D)</f>
        <v/>
      </c>
      <c r="K421" s="27" t="str">
        <f>IF($C421="","",固定信息!$B$1)</f>
        <v/>
      </c>
      <c r="L421" s="27" t="str" cm="1">
        <f t="array" ref="L421">IF(_xlfn.XLOOKUP($A421&amp;$B421&amp;$C421,盘货信息!$A:$A&amp;盘货信息!$B:$B&amp;盘货信息!$C:$C,盘货信息!$T:$T)="","","【优惠券】领"&amp;_xlfn.XLOOKUP($A421&amp;$B421&amp;$C421,盘货信息!$A:$A&amp;盘货信息!$B:$B&amp;盘货信息!$C:$C,盘货信息!$T:$T)&amp;"元优惠卷下单更优惠，领券链接："&amp;_xlfn.XLOOKUP($A421&amp;$B421&amp;$C421,盘货信息!$A:$A&amp;盘货信息!$B:$B&amp;盘货信息!$C:$C,盘货信息!$U:$U))</f>
        <v/>
      </c>
      <c r="M421" s="27" t="str" cm="1">
        <f t="array" ref="M421">IF(_xlfn.XLOOKUP($A421&amp;$B421&amp;$C421,盘货信息!$A:$A&amp;盘货信息!$B:$B&amp;盘货信息!$C:$C,盘货信息!$P:$P)="","","【限时】"&amp;_xlfn.XLOOKUP($A421&amp;$B421&amp;$C421,盘货信息!$A:$A&amp;盘货信息!$B:$B&amp;盘货信息!$C:$C,盘货信息!$P:$P))</f>
        <v/>
      </c>
      <c r="N421" s="27" t="str" cm="1">
        <f t="array" ref="N421">IF(_xlfn.XLOOKUP($A421&amp;$B421&amp;$C421,盘货信息!$A:$A&amp;盘货信息!$B:$B&amp;盘货信息!$C:$C,盘货信息!$V:$V)="","","【"&amp;盘货信息!$V$1&amp;"】"&amp;_xlfn.XLOOKUP($A421&amp;$B421&amp;$C421,盘货信息!$A:$A&amp;盘货信息!$B:$B&amp;盘货信息!$C:$C,盘货信息!$V:$V))</f>
        <v/>
      </c>
      <c r="O421" s="27" t="str" cm="1">
        <f t="array" ref="O421">IF(_xlfn.XLOOKUP($A421&amp;$B421&amp;$C421,盘货信息!$A:$A&amp;盘货信息!$B:$B&amp;盘货信息!$C:$C,盘货信息!$W:$W)="","","【"&amp;盘货信息!$W$1&amp;"】"&amp;_xlfn.XLOOKUP($A421&amp;$B421&amp;$C421,盘货信息!$A:$A&amp;盘货信息!$B:$B&amp;盘货信息!$C:$C,盘货信息!$W:$W))</f>
        <v/>
      </c>
      <c r="P421" s="27" t="str" cm="1">
        <f t="array" ref="P421">IF(_xlfn.XLOOKUP($A421&amp;$B421&amp;$C421,盘货信息!$A:$A&amp;盘货信息!$B:$B&amp;盘货信息!$C:$C,盘货信息!$S:$S)&lt;1,"","【"&amp;盘货信息!$S$1&amp;"】"&amp;"后返"&amp;_xlfn.XLOOKUP($A421&amp;$B421&amp;$C421,盘货信息!$A:$A&amp;盘货信息!$B:$B&amp;盘货信息!$C:$C,盘货信息!$S:$S)&amp;"元")</f>
        <v/>
      </c>
      <c r="Q421" s="27" t="str" cm="1">
        <f t="array" ref="Q421">IF(_xlfn.XLOOKUP($A421&amp;$B421&amp;$C421,盘货信息!$A:$A&amp;盘货信息!$B:$B&amp;盘货信息!$C:$C,盘货信息!$X:$X)="","","【"&amp;盘货信息!$X$1&amp;"】"&amp;_xlfn.XLOOKUP($A421&amp;$B421&amp;$C421,盘货信息!$A:$A&amp;盘货信息!$B:$B&amp;盘货信息!$C:$C,盘货信息!$X:$X))</f>
        <v/>
      </c>
      <c r="R421" s="27" t="str" cm="1">
        <f t="array" ref="R421">IF(_xlfn.XLOOKUP($A421&amp;$B421&amp;$C421,盘货信息!$A:$A&amp;盘货信息!$B:$B&amp;盘货信息!$C:$C,盘货信息!$Z:$Z)="","","【"&amp;盘货信息!$Z$1&amp;"】"&amp;_xlfn.XLOOKUP($A421&amp;$B421&amp;$C421,盘货信息!$A:$A&amp;盘货信息!$B:$B&amp;盘货信息!$C:$C,盘货信息!$Z:$Z))</f>
        <v/>
      </c>
      <c r="S421" s="27" t="str" cm="1">
        <f t="array" ref="S421">IF(_xlfn.XLOOKUP($A421&amp;$B421&amp;$C421,盘货信息!$A:$A&amp;盘货信息!$B:$B&amp;盘货信息!$C:$C,盘货信息!$Q:$Q)="","","【种草】站外带指定话题种草后返"&amp;_xlfn.XLOOKUP($A421&amp;$B421&amp;$C421,盘货信息!$A:$A&amp;盘货信息!$B:$B&amp;盘货信息!$C:$C,盘货信息!$Q:$Q)&amp;"元红包（每个淘宝账号仅限对应一个站外种草账号，同一个种草账号不可对应多个淘宝账号）")</f>
        <v/>
      </c>
      <c r="T421" s="27" t="str" cm="1">
        <f t="array" ref="T421">IF(_xlfn.XLOOKUP($A421&amp;$B421&amp;$C421,盘货信息!$A:$A&amp;盘货信息!$B:$B&amp;盘货信息!$C:$C,盘货信息!$R:$R)&lt;1,"","【以旧换新】"&amp;"享补贴"&amp;ROUND(_xlfn.XLOOKUP($A421&amp;$B421&amp;$C421,盘货信息!$A:$A&amp;盘货信息!$B:$B&amp;盘货信息!$C:$C,盘货信息!$R:$R),0)&amp;"元（可无旧机换新）")</f>
        <v/>
      </c>
      <c r="U421" s="27" t="str">
        <f>IF(AND($N421="",$O421="",$P421="",$Q421="",$R421="",$S421="",$T421=""),"",固定信息!$B$1)</f>
        <v/>
      </c>
      <c r="V421" s="27" t="str" cm="1">
        <f t="array" ref="V421">IF(_xlfn.XLOOKUP($A421&amp;$B421&amp;$C421,盘货信息!$A:$A&amp;盘货信息!$B:$B&amp;盘货信息!$C:$C,盘货信息!$Y:$Y)="","","【卡萨帝送赠】活动指定时间"&amp;_xlfn.TEXTBEFORE(_xlfn.TEXTAFTER(_xlfn.XLOOKUP($A421&amp;$B421&amp;$C421,盘货信息!$A:$A&amp;盘货信息!$B:$B&amp;盘货信息!$C:$C,盘货信息!$Y:$Y),"点"),"（"))</f>
        <v/>
      </c>
      <c r="W421" s="27" t="str" cm="1">
        <f t="array" ref="W421">IF(COUNTIF(_xlfn.XLOOKUP($A421&amp;$B421&amp;$C421,盘货信息!$A:$A&amp;盘货信息!$B:$B&amp;盘货信息!$C:$C,盘货信息!$O:$O),"*是*"),"【折扣】指定型号满2类享96折，满3类享94折","")</f>
        <v/>
      </c>
      <c r="X421" s="27" t="str" cm="1">
        <f t="array" ref="X421">IF(固定信息!$B$7="","",IF(_xlfn.XLOOKUP($A421&amp;$B421&amp;$C421,盘货信息!$A:$A&amp;盘货信息!$B:$B&amp;盘货信息!$C:$C,盘货信息!$N:$N)="是","【瓜分】"&amp;固定信息!$B$7,""))</f>
        <v/>
      </c>
      <c r="Y421" s="27" t="str">
        <f>IF(AND($V421="",$W421="",$X421=""),"",固定信息!$B$1)</f>
        <v/>
      </c>
      <c r="Z421" s="27" t="str" cm="1">
        <f t="array" ref="Z421">IF($C421="","",_xlfn.XLOOKUP($A421&amp;$B421&amp;$C421,服务!$A:$A&amp;服务!$B:$B&amp;服务!$C:$C,服务!$D:$D))</f>
        <v/>
      </c>
    </row>
    <row r="422" customHeight="1" spans="1:26">
      <c r="A422" s="23" t="str">
        <f>IF(盘货信息!A422="","",盘货信息!A422)</f>
        <v/>
      </c>
      <c r="B422" s="26" t="str">
        <f>IF(盘货信息!B422="","",盘货信息!B422)</f>
        <v/>
      </c>
      <c r="C422" s="23" t="str">
        <f>IF(盘货信息!C422="","",盘货信息!C422)</f>
        <v/>
      </c>
      <c r="D422" s="27" t="str">
        <f ca="1" t="shared" si="6"/>
        <v/>
      </c>
      <c r="E422" s="27" t="str">
        <f>IF(C422="","",固定信息!$B$2)</f>
        <v/>
      </c>
      <c r="F422" s="27" t="str">
        <f>IF(C422="","","【"&amp;C422&amp;"】"&amp;固定信息!$B$4)</f>
        <v/>
      </c>
      <c r="G422" s="27" t="str">
        <f>IF(C422="","","【"&amp;"活动时间："&amp;固定信息!$B$3&amp;"】")</f>
        <v/>
      </c>
      <c r="H422" s="27" t="str">
        <f>IF($C422="","",固定信息!$B$1)</f>
        <v/>
      </c>
      <c r="I422" s="27" t="str">
        <f>IF(OR(C422="",固定信息!$B$5=""),"","【1元预约锁好礼】"&amp;固定信息!$B$5)</f>
        <v/>
      </c>
      <c r="J422" s="27" t="str" cm="1">
        <f t="array" ref="J422">_xlfn.XLOOKUP($A422&amp;$B422&amp;$C422,价格信息!$A:$A&amp;价格信息!$B:$B&amp;价格信息!$C:$C,价格信息!$D:$D)</f>
        <v/>
      </c>
      <c r="K422" s="27" t="str">
        <f>IF($C422="","",固定信息!$B$1)</f>
        <v/>
      </c>
      <c r="L422" s="27" t="str" cm="1">
        <f t="array" ref="L422">IF(_xlfn.XLOOKUP($A422&amp;$B422&amp;$C422,盘货信息!$A:$A&amp;盘货信息!$B:$B&amp;盘货信息!$C:$C,盘货信息!$T:$T)="","","【优惠券】领"&amp;_xlfn.XLOOKUP($A422&amp;$B422&amp;$C422,盘货信息!$A:$A&amp;盘货信息!$B:$B&amp;盘货信息!$C:$C,盘货信息!$T:$T)&amp;"元优惠卷下单更优惠，领券链接："&amp;_xlfn.XLOOKUP($A422&amp;$B422&amp;$C422,盘货信息!$A:$A&amp;盘货信息!$B:$B&amp;盘货信息!$C:$C,盘货信息!$U:$U))</f>
        <v/>
      </c>
      <c r="M422" s="27" t="str" cm="1">
        <f t="array" ref="M422">IF(_xlfn.XLOOKUP($A422&amp;$B422&amp;$C422,盘货信息!$A:$A&amp;盘货信息!$B:$B&amp;盘货信息!$C:$C,盘货信息!$P:$P)="","","【限时】"&amp;_xlfn.XLOOKUP($A422&amp;$B422&amp;$C422,盘货信息!$A:$A&amp;盘货信息!$B:$B&amp;盘货信息!$C:$C,盘货信息!$P:$P))</f>
        <v/>
      </c>
      <c r="N422" s="27" t="str" cm="1">
        <f t="array" ref="N422">IF(_xlfn.XLOOKUP($A422&amp;$B422&amp;$C422,盘货信息!$A:$A&amp;盘货信息!$B:$B&amp;盘货信息!$C:$C,盘货信息!$V:$V)="","","【"&amp;盘货信息!$V$1&amp;"】"&amp;_xlfn.XLOOKUP($A422&amp;$B422&amp;$C422,盘货信息!$A:$A&amp;盘货信息!$B:$B&amp;盘货信息!$C:$C,盘货信息!$V:$V))</f>
        <v/>
      </c>
      <c r="O422" s="27" t="str" cm="1">
        <f t="array" ref="O422">IF(_xlfn.XLOOKUP($A422&amp;$B422&amp;$C422,盘货信息!$A:$A&amp;盘货信息!$B:$B&amp;盘货信息!$C:$C,盘货信息!$W:$W)="","","【"&amp;盘货信息!$W$1&amp;"】"&amp;_xlfn.XLOOKUP($A422&amp;$B422&amp;$C422,盘货信息!$A:$A&amp;盘货信息!$B:$B&amp;盘货信息!$C:$C,盘货信息!$W:$W))</f>
        <v/>
      </c>
      <c r="P422" s="27" t="str" cm="1">
        <f t="array" ref="P422">IF(_xlfn.XLOOKUP($A422&amp;$B422&amp;$C422,盘货信息!$A:$A&amp;盘货信息!$B:$B&amp;盘货信息!$C:$C,盘货信息!$S:$S)&lt;1,"","【"&amp;盘货信息!$S$1&amp;"】"&amp;"后返"&amp;_xlfn.XLOOKUP($A422&amp;$B422&amp;$C422,盘货信息!$A:$A&amp;盘货信息!$B:$B&amp;盘货信息!$C:$C,盘货信息!$S:$S)&amp;"元")</f>
        <v/>
      </c>
      <c r="Q422" s="27" t="str" cm="1">
        <f t="array" ref="Q422">IF(_xlfn.XLOOKUP($A422&amp;$B422&amp;$C422,盘货信息!$A:$A&amp;盘货信息!$B:$B&amp;盘货信息!$C:$C,盘货信息!$X:$X)="","","【"&amp;盘货信息!$X$1&amp;"】"&amp;_xlfn.XLOOKUP($A422&amp;$B422&amp;$C422,盘货信息!$A:$A&amp;盘货信息!$B:$B&amp;盘货信息!$C:$C,盘货信息!$X:$X))</f>
        <v/>
      </c>
      <c r="R422" s="27" t="str" cm="1">
        <f t="array" ref="R422">IF(_xlfn.XLOOKUP($A422&amp;$B422&amp;$C422,盘货信息!$A:$A&amp;盘货信息!$B:$B&amp;盘货信息!$C:$C,盘货信息!$Z:$Z)="","","【"&amp;盘货信息!$Z$1&amp;"】"&amp;_xlfn.XLOOKUP($A422&amp;$B422&amp;$C422,盘货信息!$A:$A&amp;盘货信息!$B:$B&amp;盘货信息!$C:$C,盘货信息!$Z:$Z))</f>
        <v/>
      </c>
      <c r="S422" s="27" t="str" cm="1">
        <f t="array" ref="S422">IF(_xlfn.XLOOKUP($A422&amp;$B422&amp;$C422,盘货信息!$A:$A&amp;盘货信息!$B:$B&amp;盘货信息!$C:$C,盘货信息!$Q:$Q)="","","【种草】站外带指定话题种草后返"&amp;_xlfn.XLOOKUP($A422&amp;$B422&amp;$C422,盘货信息!$A:$A&amp;盘货信息!$B:$B&amp;盘货信息!$C:$C,盘货信息!$Q:$Q)&amp;"元红包（每个淘宝账号仅限对应一个站外种草账号，同一个种草账号不可对应多个淘宝账号）")</f>
        <v/>
      </c>
      <c r="T422" s="27" t="str" cm="1">
        <f t="array" ref="T422">IF(_xlfn.XLOOKUP($A422&amp;$B422&amp;$C422,盘货信息!$A:$A&amp;盘货信息!$B:$B&amp;盘货信息!$C:$C,盘货信息!$R:$R)&lt;1,"","【以旧换新】"&amp;"享补贴"&amp;ROUND(_xlfn.XLOOKUP($A422&amp;$B422&amp;$C422,盘货信息!$A:$A&amp;盘货信息!$B:$B&amp;盘货信息!$C:$C,盘货信息!$R:$R),0)&amp;"元（可无旧机换新）")</f>
        <v/>
      </c>
      <c r="U422" s="27" t="str">
        <f>IF(AND($N422="",$O422="",$P422="",$Q422="",$R422="",$S422="",$T422=""),"",固定信息!$B$1)</f>
        <v/>
      </c>
      <c r="V422" s="27" t="str" cm="1">
        <f t="array" ref="V422">IF(_xlfn.XLOOKUP($A422&amp;$B422&amp;$C422,盘货信息!$A:$A&amp;盘货信息!$B:$B&amp;盘货信息!$C:$C,盘货信息!$Y:$Y)="","","【卡萨帝送赠】活动指定时间"&amp;_xlfn.TEXTBEFORE(_xlfn.TEXTAFTER(_xlfn.XLOOKUP($A422&amp;$B422&amp;$C422,盘货信息!$A:$A&amp;盘货信息!$B:$B&amp;盘货信息!$C:$C,盘货信息!$Y:$Y),"点"),"（"))</f>
        <v/>
      </c>
      <c r="W422" s="27" t="str" cm="1">
        <f t="array" ref="W422">IF(COUNTIF(_xlfn.XLOOKUP($A422&amp;$B422&amp;$C422,盘货信息!$A:$A&amp;盘货信息!$B:$B&amp;盘货信息!$C:$C,盘货信息!$O:$O),"*是*"),"【折扣】指定型号满2类享96折，满3类享94折","")</f>
        <v/>
      </c>
      <c r="X422" s="27" t="str" cm="1">
        <f t="array" ref="X422">IF(固定信息!$B$7="","",IF(_xlfn.XLOOKUP($A422&amp;$B422&amp;$C422,盘货信息!$A:$A&amp;盘货信息!$B:$B&amp;盘货信息!$C:$C,盘货信息!$N:$N)="是","【瓜分】"&amp;固定信息!$B$7,""))</f>
        <v/>
      </c>
      <c r="Y422" s="27" t="str">
        <f>IF(AND($V422="",$W422="",$X422=""),"",固定信息!$B$1)</f>
        <v/>
      </c>
      <c r="Z422" s="27" t="str" cm="1">
        <f t="array" ref="Z422">IF($C422="","",_xlfn.XLOOKUP($A422&amp;$B422&amp;$C422,服务!$A:$A&amp;服务!$B:$B&amp;服务!$C:$C,服务!$D:$D))</f>
        <v/>
      </c>
    </row>
    <row r="423" customHeight="1" spans="1:26">
      <c r="A423" s="23" t="str">
        <f>IF(盘货信息!A423="","",盘货信息!A423)</f>
        <v/>
      </c>
      <c r="B423" s="26" t="str">
        <f>IF(盘货信息!B423="","",盘货信息!B423)</f>
        <v/>
      </c>
      <c r="C423" s="23" t="str">
        <f>IF(盘货信息!C423="","",盘货信息!C423)</f>
        <v/>
      </c>
      <c r="D423" s="27" t="str">
        <f ca="1" t="shared" si="6"/>
        <v/>
      </c>
      <c r="E423" s="27" t="str">
        <f>IF(C423="","",固定信息!$B$2)</f>
        <v/>
      </c>
      <c r="F423" s="27" t="str">
        <f>IF(C423="","","【"&amp;C423&amp;"】"&amp;固定信息!$B$4)</f>
        <v/>
      </c>
      <c r="G423" s="27" t="str">
        <f>IF(C423="","","【"&amp;"活动时间："&amp;固定信息!$B$3&amp;"】")</f>
        <v/>
      </c>
      <c r="H423" s="27" t="str">
        <f>IF($C423="","",固定信息!$B$1)</f>
        <v/>
      </c>
      <c r="I423" s="27" t="str">
        <f>IF(OR(C423="",固定信息!$B$5=""),"","【1元预约锁好礼】"&amp;固定信息!$B$5)</f>
        <v/>
      </c>
      <c r="J423" s="27" t="str" cm="1">
        <f t="array" ref="J423">_xlfn.XLOOKUP($A423&amp;$B423&amp;$C423,价格信息!$A:$A&amp;价格信息!$B:$B&amp;价格信息!$C:$C,价格信息!$D:$D)</f>
        <v/>
      </c>
      <c r="K423" s="27" t="str">
        <f>IF($C423="","",固定信息!$B$1)</f>
        <v/>
      </c>
      <c r="L423" s="27" t="str" cm="1">
        <f t="array" ref="L423">IF(_xlfn.XLOOKUP($A423&amp;$B423&amp;$C423,盘货信息!$A:$A&amp;盘货信息!$B:$B&amp;盘货信息!$C:$C,盘货信息!$T:$T)="","","【优惠券】领"&amp;_xlfn.XLOOKUP($A423&amp;$B423&amp;$C423,盘货信息!$A:$A&amp;盘货信息!$B:$B&amp;盘货信息!$C:$C,盘货信息!$T:$T)&amp;"元优惠卷下单更优惠，领券链接："&amp;_xlfn.XLOOKUP($A423&amp;$B423&amp;$C423,盘货信息!$A:$A&amp;盘货信息!$B:$B&amp;盘货信息!$C:$C,盘货信息!$U:$U))</f>
        <v/>
      </c>
      <c r="M423" s="27" t="str" cm="1">
        <f t="array" ref="M423">IF(_xlfn.XLOOKUP($A423&amp;$B423&amp;$C423,盘货信息!$A:$A&amp;盘货信息!$B:$B&amp;盘货信息!$C:$C,盘货信息!$P:$P)="","","【限时】"&amp;_xlfn.XLOOKUP($A423&amp;$B423&amp;$C423,盘货信息!$A:$A&amp;盘货信息!$B:$B&amp;盘货信息!$C:$C,盘货信息!$P:$P))</f>
        <v/>
      </c>
      <c r="N423" s="27" t="str" cm="1">
        <f t="array" ref="N423">IF(_xlfn.XLOOKUP($A423&amp;$B423&amp;$C423,盘货信息!$A:$A&amp;盘货信息!$B:$B&amp;盘货信息!$C:$C,盘货信息!$V:$V)="","","【"&amp;盘货信息!$V$1&amp;"】"&amp;_xlfn.XLOOKUP($A423&amp;$B423&amp;$C423,盘货信息!$A:$A&amp;盘货信息!$B:$B&amp;盘货信息!$C:$C,盘货信息!$V:$V))</f>
        <v/>
      </c>
      <c r="O423" s="27" t="str" cm="1">
        <f t="array" ref="O423">IF(_xlfn.XLOOKUP($A423&amp;$B423&amp;$C423,盘货信息!$A:$A&amp;盘货信息!$B:$B&amp;盘货信息!$C:$C,盘货信息!$W:$W)="","","【"&amp;盘货信息!$W$1&amp;"】"&amp;_xlfn.XLOOKUP($A423&amp;$B423&amp;$C423,盘货信息!$A:$A&amp;盘货信息!$B:$B&amp;盘货信息!$C:$C,盘货信息!$W:$W))</f>
        <v/>
      </c>
      <c r="P423" s="27" t="str" cm="1">
        <f t="array" ref="P423">IF(_xlfn.XLOOKUP($A423&amp;$B423&amp;$C423,盘货信息!$A:$A&amp;盘货信息!$B:$B&amp;盘货信息!$C:$C,盘货信息!$S:$S)&lt;1,"","【"&amp;盘货信息!$S$1&amp;"】"&amp;"后返"&amp;_xlfn.XLOOKUP($A423&amp;$B423&amp;$C423,盘货信息!$A:$A&amp;盘货信息!$B:$B&amp;盘货信息!$C:$C,盘货信息!$S:$S)&amp;"元")</f>
        <v/>
      </c>
      <c r="Q423" s="27" t="str" cm="1">
        <f t="array" ref="Q423">IF(_xlfn.XLOOKUP($A423&amp;$B423&amp;$C423,盘货信息!$A:$A&amp;盘货信息!$B:$B&amp;盘货信息!$C:$C,盘货信息!$X:$X)="","","【"&amp;盘货信息!$X$1&amp;"】"&amp;_xlfn.XLOOKUP($A423&amp;$B423&amp;$C423,盘货信息!$A:$A&amp;盘货信息!$B:$B&amp;盘货信息!$C:$C,盘货信息!$X:$X))</f>
        <v/>
      </c>
      <c r="R423" s="27" t="str" cm="1">
        <f t="array" ref="R423">IF(_xlfn.XLOOKUP($A423&amp;$B423&amp;$C423,盘货信息!$A:$A&amp;盘货信息!$B:$B&amp;盘货信息!$C:$C,盘货信息!$Z:$Z)="","","【"&amp;盘货信息!$Z$1&amp;"】"&amp;_xlfn.XLOOKUP($A423&amp;$B423&amp;$C423,盘货信息!$A:$A&amp;盘货信息!$B:$B&amp;盘货信息!$C:$C,盘货信息!$Z:$Z))</f>
        <v/>
      </c>
      <c r="S423" s="27" t="str" cm="1">
        <f t="array" ref="S423">IF(_xlfn.XLOOKUP($A423&amp;$B423&amp;$C423,盘货信息!$A:$A&amp;盘货信息!$B:$B&amp;盘货信息!$C:$C,盘货信息!$Q:$Q)="","","【种草】站外带指定话题种草后返"&amp;_xlfn.XLOOKUP($A423&amp;$B423&amp;$C423,盘货信息!$A:$A&amp;盘货信息!$B:$B&amp;盘货信息!$C:$C,盘货信息!$Q:$Q)&amp;"元红包（每个淘宝账号仅限对应一个站外种草账号，同一个种草账号不可对应多个淘宝账号）")</f>
        <v/>
      </c>
      <c r="T423" s="27" t="str" cm="1">
        <f t="array" ref="T423">IF(_xlfn.XLOOKUP($A423&amp;$B423&amp;$C423,盘货信息!$A:$A&amp;盘货信息!$B:$B&amp;盘货信息!$C:$C,盘货信息!$R:$R)&lt;1,"","【以旧换新】"&amp;"享补贴"&amp;ROUND(_xlfn.XLOOKUP($A423&amp;$B423&amp;$C423,盘货信息!$A:$A&amp;盘货信息!$B:$B&amp;盘货信息!$C:$C,盘货信息!$R:$R),0)&amp;"元（可无旧机换新）")</f>
        <v/>
      </c>
      <c r="U423" s="27" t="str">
        <f>IF(AND($N423="",$O423="",$P423="",$Q423="",$R423="",$S423="",$T423=""),"",固定信息!$B$1)</f>
        <v/>
      </c>
      <c r="V423" s="27" t="str" cm="1">
        <f t="array" ref="V423">IF(_xlfn.XLOOKUP($A423&amp;$B423&amp;$C423,盘货信息!$A:$A&amp;盘货信息!$B:$B&amp;盘货信息!$C:$C,盘货信息!$Y:$Y)="","","【卡萨帝送赠】活动指定时间"&amp;_xlfn.TEXTBEFORE(_xlfn.TEXTAFTER(_xlfn.XLOOKUP($A423&amp;$B423&amp;$C423,盘货信息!$A:$A&amp;盘货信息!$B:$B&amp;盘货信息!$C:$C,盘货信息!$Y:$Y),"点"),"（"))</f>
        <v/>
      </c>
      <c r="W423" s="27" t="str" cm="1">
        <f t="array" ref="W423">IF(COUNTIF(_xlfn.XLOOKUP($A423&amp;$B423&amp;$C423,盘货信息!$A:$A&amp;盘货信息!$B:$B&amp;盘货信息!$C:$C,盘货信息!$O:$O),"*是*"),"【折扣】指定型号满2类享96折，满3类享94折","")</f>
        <v/>
      </c>
      <c r="X423" s="27" t="str" cm="1">
        <f t="array" ref="X423">IF(固定信息!$B$7="","",IF(_xlfn.XLOOKUP($A423&amp;$B423&amp;$C423,盘货信息!$A:$A&amp;盘货信息!$B:$B&amp;盘货信息!$C:$C,盘货信息!$N:$N)="是","【瓜分】"&amp;固定信息!$B$7,""))</f>
        <v/>
      </c>
      <c r="Y423" s="27" t="str">
        <f>IF(AND($V423="",$W423="",$X423=""),"",固定信息!$B$1)</f>
        <v/>
      </c>
      <c r="Z423" s="27" t="str" cm="1">
        <f t="array" ref="Z423">IF($C423="","",_xlfn.XLOOKUP($A423&amp;$B423&amp;$C423,服务!$A:$A&amp;服务!$B:$B&amp;服务!$C:$C,服务!$D:$D))</f>
        <v/>
      </c>
    </row>
    <row r="424" customHeight="1" spans="1:26">
      <c r="A424" s="23" t="str">
        <f>IF(盘货信息!A424="","",盘货信息!A424)</f>
        <v/>
      </c>
      <c r="B424" s="26" t="str">
        <f>IF(盘货信息!B424="","",盘货信息!B424)</f>
        <v/>
      </c>
      <c r="C424" s="23" t="str">
        <f>IF(盘货信息!C424="","",盘货信息!C424)</f>
        <v/>
      </c>
      <c r="D424" s="27" t="str">
        <f ca="1" t="shared" si="6"/>
        <v/>
      </c>
      <c r="E424" s="27" t="str">
        <f>IF(C424="","",固定信息!$B$2)</f>
        <v/>
      </c>
      <c r="F424" s="27" t="str">
        <f>IF(C424="","","【"&amp;C424&amp;"】"&amp;固定信息!$B$4)</f>
        <v/>
      </c>
      <c r="G424" s="27" t="str">
        <f>IF(C424="","","【"&amp;"活动时间："&amp;固定信息!$B$3&amp;"】")</f>
        <v/>
      </c>
      <c r="H424" s="27" t="str">
        <f>IF($C424="","",固定信息!$B$1)</f>
        <v/>
      </c>
      <c r="I424" s="27" t="str">
        <f>IF(OR(C424="",固定信息!$B$5=""),"","【1元预约锁好礼】"&amp;固定信息!$B$5)</f>
        <v/>
      </c>
      <c r="J424" s="27" t="str" cm="1">
        <f t="array" ref="J424">_xlfn.XLOOKUP($A424&amp;$B424&amp;$C424,价格信息!$A:$A&amp;价格信息!$B:$B&amp;价格信息!$C:$C,价格信息!$D:$D)</f>
        <v/>
      </c>
      <c r="K424" s="27" t="str">
        <f>IF($C424="","",固定信息!$B$1)</f>
        <v/>
      </c>
      <c r="L424" s="27" t="str" cm="1">
        <f t="array" ref="L424">IF(_xlfn.XLOOKUP($A424&amp;$B424&amp;$C424,盘货信息!$A:$A&amp;盘货信息!$B:$B&amp;盘货信息!$C:$C,盘货信息!$T:$T)="","","【优惠券】领"&amp;_xlfn.XLOOKUP($A424&amp;$B424&amp;$C424,盘货信息!$A:$A&amp;盘货信息!$B:$B&amp;盘货信息!$C:$C,盘货信息!$T:$T)&amp;"元优惠卷下单更优惠，领券链接："&amp;_xlfn.XLOOKUP($A424&amp;$B424&amp;$C424,盘货信息!$A:$A&amp;盘货信息!$B:$B&amp;盘货信息!$C:$C,盘货信息!$U:$U))</f>
        <v/>
      </c>
      <c r="M424" s="27" t="str" cm="1">
        <f t="array" ref="M424">IF(_xlfn.XLOOKUP($A424&amp;$B424&amp;$C424,盘货信息!$A:$A&amp;盘货信息!$B:$B&amp;盘货信息!$C:$C,盘货信息!$P:$P)="","","【限时】"&amp;_xlfn.XLOOKUP($A424&amp;$B424&amp;$C424,盘货信息!$A:$A&amp;盘货信息!$B:$B&amp;盘货信息!$C:$C,盘货信息!$P:$P))</f>
        <v/>
      </c>
      <c r="N424" s="27" t="str" cm="1">
        <f t="array" ref="N424">IF(_xlfn.XLOOKUP($A424&amp;$B424&amp;$C424,盘货信息!$A:$A&amp;盘货信息!$B:$B&amp;盘货信息!$C:$C,盘货信息!$V:$V)="","","【"&amp;盘货信息!$V$1&amp;"】"&amp;_xlfn.XLOOKUP($A424&amp;$B424&amp;$C424,盘货信息!$A:$A&amp;盘货信息!$B:$B&amp;盘货信息!$C:$C,盘货信息!$V:$V))</f>
        <v/>
      </c>
      <c r="O424" s="27" t="str" cm="1">
        <f t="array" ref="O424">IF(_xlfn.XLOOKUP($A424&amp;$B424&amp;$C424,盘货信息!$A:$A&amp;盘货信息!$B:$B&amp;盘货信息!$C:$C,盘货信息!$W:$W)="","","【"&amp;盘货信息!$W$1&amp;"】"&amp;_xlfn.XLOOKUP($A424&amp;$B424&amp;$C424,盘货信息!$A:$A&amp;盘货信息!$B:$B&amp;盘货信息!$C:$C,盘货信息!$W:$W))</f>
        <v/>
      </c>
      <c r="P424" s="27" t="str" cm="1">
        <f t="array" ref="P424">IF(_xlfn.XLOOKUP($A424&amp;$B424&amp;$C424,盘货信息!$A:$A&amp;盘货信息!$B:$B&amp;盘货信息!$C:$C,盘货信息!$S:$S)&lt;1,"","【"&amp;盘货信息!$S$1&amp;"】"&amp;"后返"&amp;_xlfn.XLOOKUP($A424&amp;$B424&amp;$C424,盘货信息!$A:$A&amp;盘货信息!$B:$B&amp;盘货信息!$C:$C,盘货信息!$S:$S)&amp;"元")</f>
        <v/>
      </c>
      <c r="Q424" s="27" t="str" cm="1">
        <f t="array" ref="Q424">IF(_xlfn.XLOOKUP($A424&amp;$B424&amp;$C424,盘货信息!$A:$A&amp;盘货信息!$B:$B&amp;盘货信息!$C:$C,盘货信息!$X:$X)="","","【"&amp;盘货信息!$X$1&amp;"】"&amp;_xlfn.XLOOKUP($A424&amp;$B424&amp;$C424,盘货信息!$A:$A&amp;盘货信息!$B:$B&amp;盘货信息!$C:$C,盘货信息!$X:$X))</f>
        <v/>
      </c>
      <c r="R424" s="27" t="str" cm="1">
        <f t="array" ref="R424">IF(_xlfn.XLOOKUP($A424&amp;$B424&amp;$C424,盘货信息!$A:$A&amp;盘货信息!$B:$B&amp;盘货信息!$C:$C,盘货信息!$Z:$Z)="","","【"&amp;盘货信息!$Z$1&amp;"】"&amp;_xlfn.XLOOKUP($A424&amp;$B424&amp;$C424,盘货信息!$A:$A&amp;盘货信息!$B:$B&amp;盘货信息!$C:$C,盘货信息!$Z:$Z))</f>
        <v/>
      </c>
      <c r="S424" s="27" t="str" cm="1">
        <f t="array" ref="S424">IF(_xlfn.XLOOKUP($A424&amp;$B424&amp;$C424,盘货信息!$A:$A&amp;盘货信息!$B:$B&amp;盘货信息!$C:$C,盘货信息!$Q:$Q)="","","【种草】站外带指定话题种草后返"&amp;_xlfn.XLOOKUP($A424&amp;$B424&amp;$C424,盘货信息!$A:$A&amp;盘货信息!$B:$B&amp;盘货信息!$C:$C,盘货信息!$Q:$Q)&amp;"元红包（每个淘宝账号仅限对应一个站外种草账号，同一个种草账号不可对应多个淘宝账号）")</f>
        <v/>
      </c>
      <c r="T424" s="27" t="str" cm="1">
        <f t="array" ref="T424">IF(_xlfn.XLOOKUP($A424&amp;$B424&amp;$C424,盘货信息!$A:$A&amp;盘货信息!$B:$B&amp;盘货信息!$C:$C,盘货信息!$R:$R)&lt;1,"","【以旧换新】"&amp;"享补贴"&amp;ROUND(_xlfn.XLOOKUP($A424&amp;$B424&amp;$C424,盘货信息!$A:$A&amp;盘货信息!$B:$B&amp;盘货信息!$C:$C,盘货信息!$R:$R),0)&amp;"元（可无旧机换新）")</f>
        <v/>
      </c>
      <c r="U424" s="27" t="str">
        <f>IF(AND($N424="",$O424="",$P424="",$Q424="",$R424="",$S424="",$T424=""),"",固定信息!$B$1)</f>
        <v/>
      </c>
      <c r="V424" s="27" t="str" cm="1">
        <f t="array" ref="V424">IF(_xlfn.XLOOKUP($A424&amp;$B424&amp;$C424,盘货信息!$A:$A&amp;盘货信息!$B:$B&amp;盘货信息!$C:$C,盘货信息!$Y:$Y)="","","【卡萨帝送赠】活动指定时间"&amp;_xlfn.TEXTBEFORE(_xlfn.TEXTAFTER(_xlfn.XLOOKUP($A424&amp;$B424&amp;$C424,盘货信息!$A:$A&amp;盘货信息!$B:$B&amp;盘货信息!$C:$C,盘货信息!$Y:$Y),"点"),"（"))</f>
        <v/>
      </c>
      <c r="W424" s="27" t="str" cm="1">
        <f t="array" ref="W424">IF(COUNTIF(_xlfn.XLOOKUP($A424&amp;$B424&amp;$C424,盘货信息!$A:$A&amp;盘货信息!$B:$B&amp;盘货信息!$C:$C,盘货信息!$O:$O),"*是*"),"【折扣】指定型号满2类享96折，满3类享94折","")</f>
        <v/>
      </c>
      <c r="X424" s="27" t="str" cm="1">
        <f t="array" ref="X424">IF(固定信息!$B$7="","",IF(_xlfn.XLOOKUP($A424&amp;$B424&amp;$C424,盘货信息!$A:$A&amp;盘货信息!$B:$B&amp;盘货信息!$C:$C,盘货信息!$N:$N)="是","【瓜分】"&amp;固定信息!$B$7,""))</f>
        <v/>
      </c>
      <c r="Y424" s="27" t="str">
        <f>IF(AND($V424="",$W424="",$X424=""),"",固定信息!$B$1)</f>
        <v/>
      </c>
      <c r="Z424" s="27" t="str" cm="1">
        <f t="array" ref="Z424">IF($C424="","",_xlfn.XLOOKUP($A424&amp;$B424&amp;$C424,服务!$A:$A&amp;服务!$B:$B&amp;服务!$C:$C,服务!$D:$D))</f>
        <v/>
      </c>
    </row>
    <row r="425" customHeight="1" spans="1:26">
      <c r="A425" s="23" t="str">
        <f>IF(盘货信息!A425="","",盘货信息!A425)</f>
        <v/>
      </c>
      <c r="B425" s="26" t="str">
        <f>IF(盘货信息!B425="","",盘货信息!B425)</f>
        <v/>
      </c>
      <c r="C425" s="23" t="str">
        <f>IF(盘货信息!C425="","",盘货信息!C425)</f>
        <v/>
      </c>
      <c r="D425" s="27" t="str">
        <f ca="1" t="shared" si="6"/>
        <v/>
      </c>
      <c r="E425" s="27" t="str">
        <f>IF(C425="","",固定信息!$B$2)</f>
        <v/>
      </c>
      <c r="F425" s="27" t="str">
        <f>IF(C425="","","【"&amp;C425&amp;"】"&amp;固定信息!$B$4)</f>
        <v/>
      </c>
      <c r="G425" s="27" t="str">
        <f>IF(C425="","","【"&amp;"活动时间："&amp;固定信息!$B$3&amp;"】")</f>
        <v/>
      </c>
      <c r="H425" s="27" t="str">
        <f>IF($C425="","",固定信息!$B$1)</f>
        <v/>
      </c>
      <c r="I425" s="27" t="str">
        <f>IF(OR(C425="",固定信息!$B$5=""),"","【1元预约锁好礼】"&amp;固定信息!$B$5)</f>
        <v/>
      </c>
      <c r="J425" s="27" t="str" cm="1">
        <f t="array" ref="J425">_xlfn.XLOOKUP($A425&amp;$B425&amp;$C425,价格信息!$A:$A&amp;价格信息!$B:$B&amp;价格信息!$C:$C,价格信息!$D:$D)</f>
        <v/>
      </c>
      <c r="K425" s="27" t="str">
        <f>IF($C425="","",固定信息!$B$1)</f>
        <v/>
      </c>
      <c r="L425" s="27" t="str" cm="1">
        <f t="array" ref="L425">IF(_xlfn.XLOOKUP($A425&amp;$B425&amp;$C425,盘货信息!$A:$A&amp;盘货信息!$B:$B&amp;盘货信息!$C:$C,盘货信息!$T:$T)="","","【优惠券】领"&amp;_xlfn.XLOOKUP($A425&amp;$B425&amp;$C425,盘货信息!$A:$A&amp;盘货信息!$B:$B&amp;盘货信息!$C:$C,盘货信息!$T:$T)&amp;"元优惠卷下单更优惠，领券链接："&amp;_xlfn.XLOOKUP($A425&amp;$B425&amp;$C425,盘货信息!$A:$A&amp;盘货信息!$B:$B&amp;盘货信息!$C:$C,盘货信息!$U:$U))</f>
        <v/>
      </c>
      <c r="M425" s="27" t="str" cm="1">
        <f t="array" ref="M425">IF(_xlfn.XLOOKUP($A425&amp;$B425&amp;$C425,盘货信息!$A:$A&amp;盘货信息!$B:$B&amp;盘货信息!$C:$C,盘货信息!$P:$P)="","","【限时】"&amp;_xlfn.XLOOKUP($A425&amp;$B425&amp;$C425,盘货信息!$A:$A&amp;盘货信息!$B:$B&amp;盘货信息!$C:$C,盘货信息!$P:$P))</f>
        <v/>
      </c>
      <c r="N425" s="27" t="str" cm="1">
        <f t="array" ref="N425">IF(_xlfn.XLOOKUP($A425&amp;$B425&amp;$C425,盘货信息!$A:$A&amp;盘货信息!$B:$B&amp;盘货信息!$C:$C,盘货信息!$V:$V)="","","【"&amp;盘货信息!$V$1&amp;"】"&amp;_xlfn.XLOOKUP($A425&amp;$B425&amp;$C425,盘货信息!$A:$A&amp;盘货信息!$B:$B&amp;盘货信息!$C:$C,盘货信息!$V:$V))</f>
        <v/>
      </c>
      <c r="O425" s="27" t="str" cm="1">
        <f t="array" ref="O425">IF(_xlfn.XLOOKUP($A425&amp;$B425&amp;$C425,盘货信息!$A:$A&amp;盘货信息!$B:$B&amp;盘货信息!$C:$C,盘货信息!$W:$W)="","","【"&amp;盘货信息!$W$1&amp;"】"&amp;_xlfn.XLOOKUP($A425&amp;$B425&amp;$C425,盘货信息!$A:$A&amp;盘货信息!$B:$B&amp;盘货信息!$C:$C,盘货信息!$W:$W))</f>
        <v/>
      </c>
      <c r="P425" s="27" t="str" cm="1">
        <f t="array" ref="P425">IF(_xlfn.XLOOKUP($A425&amp;$B425&amp;$C425,盘货信息!$A:$A&amp;盘货信息!$B:$B&amp;盘货信息!$C:$C,盘货信息!$S:$S)&lt;1,"","【"&amp;盘货信息!$S$1&amp;"】"&amp;"后返"&amp;_xlfn.XLOOKUP($A425&amp;$B425&amp;$C425,盘货信息!$A:$A&amp;盘货信息!$B:$B&amp;盘货信息!$C:$C,盘货信息!$S:$S)&amp;"元")</f>
        <v/>
      </c>
      <c r="Q425" s="27" t="str" cm="1">
        <f t="array" ref="Q425">IF(_xlfn.XLOOKUP($A425&amp;$B425&amp;$C425,盘货信息!$A:$A&amp;盘货信息!$B:$B&amp;盘货信息!$C:$C,盘货信息!$X:$X)="","","【"&amp;盘货信息!$X$1&amp;"】"&amp;_xlfn.XLOOKUP($A425&amp;$B425&amp;$C425,盘货信息!$A:$A&amp;盘货信息!$B:$B&amp;盘货信息!$C:$C,盘货信息!$X:$X))</f>
        <v/>
      </c>
      <c r="R425" s="27" t="str" cm="1">
        <f t="array" ref="R425">IF(_xlfn.XLOOKUP($A425&amp;$B425&amp;$C425,盘货信息!$A:$A&amp;盘货信息!$B:$B&amp;盘货信息!$C:$C,盘货信息!$Z:$Z)="","","【"&amp;盘货信息!$Z$1&amp;"】"&amp;_xlfn.XLOOKUP($A425&amp;$B425&amp;$C425,盘货信息!$A:$A&amp;盘货信息!$B:$B&amp;盘货信息!$C:$C,盘货信息!$Z:$Z))</f>
        <v/>
      </c>
      <c r="S425" s="27" t="str" cm="1">
        <f t="array" ref="S425">IF(_xlfn.XLOOKUP($A425&amp;$B425&amp;$C425,盘货信息!$A:$A&amp;盘货信息!$B:$B&amp;盘货信息!$C:$C,盘货信息!$Q:$Q)="","","【种草】站外带指定话题种草后返"&amp;_xlfn.XLOOKUP($A425&amp;$B425&amp;$C425,盘货信息!$A:$A&amp;盘货信息!$B:$B&amp;盘货信息!$C:$C,盘货信息!$Q:$Q)&amp;"元红包（每个淘宝账号仅限对应一个站外种草账号，同一个种草账号不可对应多个淘宝账号）")</f>
        <v/>
      </c>
      <c r="T425" s="27" t="str" cm="1">
        <f t="array" ref="T425">IF(_xlfn.XLOOKUP($A425&amp;$B425&amp;$C425,盘货信息!$A:$A&amp;盘货信息!$B:$B&amp;盘货信息!$C:$C,盘货信息!$R:$R)&lt;1,"","【以旧换新】"&amp;"享补贴"&amp;ROUND(_xlfn.XLOOKUP($A425&amp;$B425&amp;$C425,盘货信息!$A:$A&amp;盘货信息!$B:$B&amp;盘货信息!$C:$C,盘货信息!$R:$R),0)&amp;"元（可无旧机换新）")</f>
        <v/>
      </c>
      <c r="U425" s="27" t="str">
        <f>IF(AND($N425="",$O425="",$P425="",$Q425="",$R425="",$S425="",$T425=""),"",固定信息!$B$1)</f>
        <v/>
      </c>
      <c r="V425" s="27" t="str" cm="1">
        <f t="array" ref="V425">IF(_xlfn.XLOOKUP($A425&amp;$B425&amp;$C425,盘货信息!$A:$A&amp;盘货信息!$B:$B&amp;盘货信息!$C:$C,盘货信息!$Y:$Y)="","","【卡萨帝送赠】活动指定时间"&amp;_xlfn.TEXTBEFORE(_xlfn.TEXTAFTER(_xlfn.XLOOKUP($A425&amp;$B425&amp;$C425,盘货信息!$A:$A&amp;盘货信息!$B:$B&amp;盘货信息!$C:$C,盘货信息!$Y:$Y),"点"),"（"))</f>
        <v/>
      </c>
      <c r="W425" s="27" t="str" cm="1">
        <f t="array" ref="W425">IF(COUNTIF(_xlfn.XLOOKUP($A425&amp;$B425&amp;$C425,盘货信息!$A:$A&amp;盘货信息!$B:$B&amp;盘货信息!$C:$C,盘货信息!$O:$O),"*是*"),"【折扣】指定型号满2类享96折，满3类享94折","")</f>
        <v/>
      </c>
      <c r="X425" s="27" t="str" cm="1">
        <f t="array" ref="X425">IF(固定信息!$B$7="","",IF(_xlfn.XLOOKUP($A425&amp;$B425&amp;$C425,盘货信息!$A:$A&amp;盘货信息!$B:$B&amp;盘货信息!$C:$C,盘货信息!$N:$N)="是","【瓜分】"&amp;固定信息!$B$7,""))</f>
        <v/>
      </c>
      <c r="Y425" s="27" t="str">
        <f>IF(AND($V425="",$W425="",$X425=""),"",固定信息!$B$1)</f>
        <v/>
      </c>
      <c r="Z425" s="27" t="str" cm="1">
        <f t="array" ref="Z425">IF($C425="","",_xlfn.XLOOKUP($A425&amp;$B425&amp;$C425,服务!$A:$A&amp;服务!$B:$B&amp;服务!$C:$C,服务!$D:$D))</f>
        <v/>
      </c>
    </row>
    <row r="426" customHeight="1" spans="1:26">
      <c r="A426" s="23" t="str">
        <f>IF(盘货信息!A426="","",盘货信息!A426)</f>
        <v/>
      </c>
      <c r="B426" s="26" t="str">
        <f>IF(盘货信息!B426="","",盘货信息!B426)</f>
        <v/>
      </c>
      <c r="C426" s="23" t="str">
        <f>IF(盘货信息!C426="","",盘货信息!C426)</f>
        <v/>
      </c>
      <c r="D426" s="27" t="str">
        <f ca="1" t="shared" si="6"/>
        <v/>
      </c>
      <c r="E426" s="27" t="str">
        <f>IF(C426="","",固定信息!$B$2)</f>
        <v/>
      </c>
      <c r="F426" s="27" t="str">
        <f>IF(C426="","","【"&amp;C426&amp;"】"&amp;固定信息!$B$4)</f>
        <v/>
      </c>
      <c r="G426" s="27" t="str">
        <f>IF(C426="","","【"&amp;"活动时间："&amp;固定信息!$B$3&amp;"】")</f>
        <v/>
      </c>
      <c r="H426" s="27" t="str">
        <f>IF($C426="","",固定信息!$B$1)</f>
        <v/>
      </c>
      <c r="I426" s="27" t="str">
        <f>IF(OR(C426="",固定信息!$B$5=""),"","【1元预约锁好礼】"&amp;固定信息!$B$5)</f>
        <v/>
      </c>
      <c r="J426" s="27" t="str" cm="1">
        <f t="array" ref="J426">_xlfn.XLOOKUP($A426&amp;$B426&amp;$C426,价格信息!$A:$A&amp;价格信息!$B:$B&amp;价格信息!$C:$C,价格信息!$D:$D)</f>
        <v/>
      </c>
      <c r="K426" s="27" t="str">
        <f>IF($C426="","",固定信息!$B$1)</f>
        <v/>
      </c>
      <c r="L426" s="27" t="str" cm="1">
        <f t="array" ref="L426">IF(_xlfn.XLOOKUP($A426&amp;$B426&amp;$C426,盘货信息!$A:$A&amp;盘货信息!$B:$B&amp;盘货信息!$C:$C,盘货信息!$T:$T)="","","【优惠券】领"&amp;_xlfn.XLOOKUP($A426&amp;$B426&amp;$C426,盘货信息!$A:$A&amp;盘货信息!$B:$B&amp;盘货信息!$C:$C,盘货信息!$T:$T)&amp;"元优惠卷下单更优惠，领券链接："&amp;_xlfn.XLOOKUP($A426&amp;$B426&amp;$C426,盘货信息!$A:$A&amp;盘货信息!$B:$B&amp;盘货信息!$C:$C,盘货信息!$U:$U))</f>
        <v/>
      </c>
      <c r="M426" s="27" t="str" cm="1">
        <f t="array" ref="M426">IF(_xlfn.XLOOKUP($A426&amp;$B426&amp;$C426,盘货信息!$A:$A&amp;盘货信息!$B:$B&amp;盘货信息!$C:$C,盘货信息!$P:$P)="","","【限时】"&amp;_xlfn.XLOOKUP($A426&amp;$B426&amp;$C426,盘货信息!$A:$A&amp;盘货信息!$B:$B&amp;盘货信息!$C:$C,盘货信息!$P:$P))</f>
        <v/>
      </c>
      <c r="N426" s="27" t="str" cm="1">
        <f t="array" ref="N426">IF(_xlfn.XLOOKUP($A426&amp;$B426&amp;$C426,盘货信息!$A:$A&amp;盘货信息!$B:$B&amp;盘货信息!$C:$C,盘货信息!$V:$V)="","","【"&amp;盘货信息!$V$1&amp;"】"&amp;_xlfn.XLOOKUP($A426&amp;$B426&amp;$C426,盘货信息!$A:$A&amp;盘货信息!$B:$B&amp;盘货信息!$C:$C,盘货信息!$V:$V))</f>
        <v/>
      </c>
      <c r="O426" s="27" t="str" cm="1">
        <f t="array" ref="O426">IF(_xlfn.XLOOKUP($A426&amp;$B426&amp;$C426,盘货信息!$A:$A&amp;盘货信息!$B:$B&amp;盘货信息!$C:$C,盘货信息!$W:$W)="","","【"&amp;盘货信息!$W$1&amp;"】"&amp;_xlfn.XLOOKUP($A426&amp;$B426&amp;$C426,盘货信息!$A:$A&amp;盘货信息!$B:$B&amp;盘货信息!$C:$C,盘货信息!$W:$W))</f>
        <v/>
      </c>
      <c r="P426" s="27" t="str" cm="1">
        <f t="array" ref="P426">IF(_xlfn.XLOOKUP($A426&amp;$B426&amp;$C426,盘货信息!$A:$A&amp;盘货信息!$B:$B&amp;盘货信息!$C:$C,盘货信息!$S:$S)&lt;1,"","【"&amp;盘货信息!$S$1&amp;"】"&amp;"后返"&amp;_xlfn.XLOOKUP($A426&amp;$B426&amp;$C426,盘货信息!$A:$A&amp;盘货信息!$B:$B&amp;盘货信息!$C:$C,盘货信息!$S:$S)&amp;"元")</f>
        <v/>
      </c>
      <c r="Q426" s="27" t="str" cm="1">
        <f t="array" ref="Q426">IF(_xlfn.XLOOKUP($A426&amp;$B426&amp;$C426,盘货信息!$A:$A&amp;盘货信息!$B:$B&amp;盘货信息!$C:$C,盘货信息!$X:$X)="","","【"&amp;盘货信息!$X$1&amp;"】"&amp;_xlfn.XLOOKUP($A426&amp;$B426&amp;$C426,盘货信息!$A:$A&amp;盘货信息!$B:$B&amp;盘货信息!$C:$C,盘货信息!$X:$X))</f>
        <v/>
      </c>
      <c r="R426" s="27" t="str" cm="1">
        <f t="array" ref="R426">IF(_xlfn.XLOOKUP($A426&amp;$B426&amp;$C426,盘货信息!$A:$A&amp;盘货信息!$B:$B&amp;盘货信息!$C:$C,盘货信息!$Z:$Z)="","","【"&amp;盘货信息!$Z$1&amp;"】"&amp;_xlfn.XLOOKUP($A426&amp;$B426&amp;$C426,盘货信息!$A:$A&amp;盘货信息!$B:$B&amp;盘货信息!$C:$C,盘货信息!$Z:$Z))</f>
        <v/>
      </c>
      <c r="S426" s="27" t="str" cm="1">
        <f t="array" ref="S426">IF(_xlfn.XLOOKUP($A426&amp;$B426&amp;$C426,盘货信息!$A:$A&amp;盘货信息!$B:$B&amp;盘货信息!$C:$C,盘货信息!$Q:$Q)="","","【种草】站外带指定话题种草后返"&amp;_xlfn.XLOOKUP($A426&amp;$B426&amp;$C426,盘货信息!$A:$A&amp;盘货信息!$B:$B&amp;盘货信息!$C:$C,盘货信息!$Q:$Q)&amp;"元红包（每个淘宝账号仅限对应一个站外种草账号，同一个种草账号不可对应多个淘宝账号）")</f>
        <v/>
      </c>
      <c r="T426" s="27" t="str" cm="1">
        <f t="array" ref="T426">IF(_xlfn.XLOOKUP($A426&amp;$B426&amp;$C426,盘货信息!$A:$A&amp;盘货信息!$B:$B&amp;盘货信息!$C:$C,盘货信息!$R:$R)&lt;1,"","【以旧换新】"&amp;"享补贴"&amp;ROUND(_xlfn.XLOOKUP($A426&amp;$B426&amp;$C426,盘货信息!$A:$A&amp;盘货信息!$B:$B&amp;盘货信息!$C:$C,盘货信息!$R:$R),0)&amp;"元（可无旧机换新）")</f>
        <v/>
      </c>
      <c r="U426" s="27" t="str">
        <f>IF(AND($N426="",$O426="",$P426="",$Q426="",$R426="",$S426="",$T426=""),"",固定信息!$B$1)</f>
        <v/>
      </c>
      <c r="V426" s="27" t="str" cm="1">
        <f t="array" ref="V426">IF(_xlfn.XLOOKUP($A426&amp;$B426&amp;$C426,盘货信息!$A:$A&amp;盘货信息!$B:$B&amp;盘货信息!$C:$C,盘货信息!$Y:$Y)="","","【卡萨帝送赠】活动指定时间"&amp;_xlfn.TEXTBEFORE(_xlfn.TEXTAFTER(_xlfn.XLOOKUP($A426&amp;$B426&amp;$C426,盘货信息!$A:$A&amp;盘货信息!$B:$B&amp;盘货信息!$C:$C,盘货信息!$Y:$Y),"点"),"（"))</f>
        <v/>
      </c>
      <c r="W426" s="27" t="str" cm="1">
        <f t="array" ref="W426">IF(COUNTIF(_xlfn.XLOOKUP($A426&amp;$B426&amp;$C426,盘货信息!$A:$A&amp;盘货信息!$B:$B&amp;盘货信息!$C:$C,盘货信息!$O:$O),"*是*"),"【折扣】指定型号满2类享96折，满3类享94折","")</f>
        <v/>
      </c>
      <c r="X426" s="27" t="str" cm="1">
        <f t="array" ref="X426">IF(固定信息!$B$7="","",IF(_xlfn.XLOOKUP($A426&amp;$B426&amp;$C426,盘货信息!$A:$A&amp;盘货信息!$B:$B&amp;盘货信息!$C:$C,盘货信息!$N:$N)="是","【瓜分】"&amp;固定信息!$B$7,""))</f>
        <v/>
      </c>
      <c r="Y426" s="27" t="str">
        <f>IF(AND($V426="",$W426="",$X426=""),"",固定信息!$B$1)</f>
        <v/>
      </c>
      <c r="Z426" s="27" t="str" cm="1">
        <f t="array" ref="Z426">IF($C426="","",_xlfn.XLOOKUP($A426&amp;$B426&amp;$C426,服务!$A:$A&amp;服务!$B:$B&amp;服务!$C:$C,服务!$D:$D))</f>
        <v/>
      </c>
    </row>
    <row r="427" customHeight="1" spans="1:26">
      <c r="A427" s="23" t="str">
        <f>IF(盘货信息!A427="","",盘货信息!A427)</f>
        <v/>
      </c>
      <c r="B427" s="26" t="str">
        <f>IF(盘货信息!B427="","",盘货信息!B427)</f>
        <v/>
      </c>
      <c r="C427" s="23" t="str">
        <f>IF(盘货信息!C427="","",盘货信息!C427)</f>
        <v/>
      </c>
      <c r="D427" s="27" t="str">
        <f ca="1" t="shared" si="6"/>
        <v/>
      </c>
      <c r="E427" s="27" t="str">
        <f>IF(C427="","",固定信息!$B$2)</f>
        <v/>
      </c>
      <c r="F427" s="27" t="str">
        <f>IF(C427="","","【"&amp;C427&amp;"】"&amp;固定信息!$B$4)</f>
        <v/>
      </c>
      <c r="G427" s="27" t="str">
        <f>IF(C427="","","【"&amp;"活动时间："&amp;固定信息!$B$3&amp;"】")</f>
        <v/>
      </c>
      <c r="H427" s="27" t="str">
        <f>IF($C427="","",固定信息!$B$1)</f>
        <v/>
      </c>
      <c r="I427" s="27" t="str">
        <f>IF(OR(C427="",固定信息!$B$5=""),"","【1元预约锁好礼】"&amp;固定信息!$B$5)</f>
        <v/>
      </c>
      <c r="J427" s="27" t="str" cm="1">
        <f t="array" ref="J427">_xlfn.XLOOKUP($A427&amp;$B427&amp;$C427,价格信息!$A:$A&amp;价格信息!$B:$B&amp;价格信息!$C:$C,价格信息!$D:$D)</f>
        <v/>
      </c>
      <c r="K427" s="27" t="str">
        <f>IF($C427="","",固定信息!$B$1)</f>
        <v/>
      </c>
      <c r="L427" s="27" t="str" cm="1">
        <f t="array" ref="L427">IF(_xlfn.XLOOKUP($A427&amp;$B427&amp;$C427,盘货信息!$A:$A&amp;盘货信息!$B:$B&amp;盘货信息!$C:$C,盘货信息!$T:$T)="","","【优惠券】领"&amp;_xlfn.XLOOKUP($A427&amp;$B427&amp;$C427,盘货信息!$A:$A&amp;盘货信息!$B:$B&amp;盘货信息!$C:$C,盘货信息!$T:$T)&amp;"元优惠卷下单更优惠，领券链接："&amp;_xlfn.XLOOKUP($A427&amp;$B427&amp;$C427,盘货信息!$A:$A&amp;盘货信息!$B:$B&amp;盘货信息!$C:$C,盘货信息!$U:$U))</f>
        <v/>
      </c>
      <c r="M427" s="27" t="str" cm="1">
        <f t="array" ref="M427">IF(_xlfn.XLOOKUP($A427&amp;$B427&amp;$C427,盘货信息!$A:$A&amp;盘货信息!$B:$B&amp;盘货信息!$C:$C,盘货信息!$P:$P)="","","【限时】"&amp;_xlfn.XLOOKUP($A427&amp;$B427&amp;$C427,盘货信息!$A:$A&amp;盘货信息!$B:$B&amp;盘货信息!$C:$C,盘货信息!$P:$P))</f>
        <v/>
      </c>
      <c r="N427" s="27" t="str" cm="1">
        <f t="array" ref="N427">IF(_xlfn.XLOOKUP($A427&amp;$B427&amp;$C427,盘货信息!$A:$A&amp;盘货信息!$B:$B&amp;盘货信息!$C:$C,盘货信息!$V:$V)="","","【"&amp;盘货信息!$V$1&amp;"】"&amp;_xlfn.XLOOKUP($A427&amp;$B427&amp;$C427,盘货信息!$A:$A&amp;盘货信息!$B:$B&amp;盘货信息!$C:$C,盘货信息!$V:$V))</f>
        <v/>
      </c>
      <c r="O427" s="27" t="str" cm="1">
        <f t="array" ref="O427">IF(_xlfn.XLOOKUP($A427&amp;$B427&amp;$C427,盘货信息!$A:$A&amp;盘货信息!$B:$B&amp;盘货信息!$C:$C,盘货信息!$W:$W)="","","【"&amp;盘货信息!$W$1&amp;"】"&amp;_xlfn.XLOOKUP($A427&amp;$B427&amp;$C427,盘货信息!$A:$A&amp;盘货信息!$B:$B&amp;盘货信息!$C:$C,盘货信息!$W:$W))</f>
        <v/>
      </c>
      <c r="P427" s="27" t="str" cm="1">
        <f t="array" ref="P427">IF(_xlfn.XLOOKUP($A427&amp;$B427&amp;$C427,盘货信息!$A:$A&amp;盘货信息!$B:$B&amp;盘货信息!$C:$C,盘货信息!$S:$S)&lt;1,"","【"&amp;盘货信息!$S$1&amp;"】"&amp;"后返"&amp;_xlfn.XLOOKUP($A427&amp;$B427&amp;$C427,盘货信息!$A:$A&amp;盘货信息!$B:$B&amp;盘货信息!$C:$C,盘货信息!$S:$S)&amp;"元")</f>
        <v/>
      </c>
      <c r="Q427" s="27" t="str" cm="1">
        <f t="array" ref="Q427">IF(_xlfn.XLOOKUP($A427&amp;$B427&amp;$C427,盘货信息!$A:$A&amp;盘货信息!$B:$B&amp;盘货信息!$C:$C,盘货信息!$X:$X)="","","【"&amp;盘货信息!$X$1&amp;"】"&amp;_xlfn.XLOOKUP($A427&amp;$B427&amp;$C427,盘货信息!$A:$A&amp;盘货信息!$B:$B&amp;盘货信息!$C:$C,盘货信息!$X:$X))</f>
        <v/>
      </c>
      <c r="R427" s="27" t="str" cm="1">
        <f t="array" ref="R427">IF(_xlfn.XLOOKUP($A427&amp;$B427&amp;$C427,盘货信息!$A:$A&amp;盘货信息!$B:$B&amp;盘货信息!$C:$C,盘货信息!$Z:$Z)="","","【"&amp;盘货信息!$Z$1&amp;"】"&amp;_xlfn.XLOOKUP($A427&amp;$B427&amp;$C427,盘货信息!$A:$A&amp;盘货信息!$B:$B&amp;盘货信息!$C:$C,盘货信息!$Z:$Z))</f>
        <v/>
      </c>
      <c r="S427" s="27" t="str" cm="1">
        <f t="array" ref="S427">IF(_xlfn.XLOOKUP($A427&amp;$B427&amp;$C427,盘货信息!$A:$A&amp;盘货信息!$B:$B&amp;盘货信息!$C:$C,盘货信息!$Q:$Q)="","","【种草】站外带指定话题种草后返"&amp;_xlfn.XLOOKUP($A427&amp;$B427&amp;$C427,盘货信息!$A:$A&amp;盘货信息!$B:$B&amp;盘货信息!$C:$C,盘货信息!$Q:$Q)&amp;"元红包（每个淘宝账号仅限对应一个站外种草账号，同一个种草账号不可对应多个淘宝账号）")</f>
        <v/>
      </c>
      <c r="T427" s="27" t="str" cm="1">
        <f t="array" ref="T427">IF(_xlfn.XLOOKUP($A427&amp;$B427&amp;$C427,盘货信息!$A:$A&amp;盘货信息!$B:$B&amp;盘货信息!$C:$C,盘货信息!$R:$R)&lt;1,"","【以旧换新】"&amp;"享补贴"&amp;ROUND(_xlfn.XLOOKUP($A427&amp;$B427&amp;$C427,盘货信息!$A:$A&amp;盘货信息!$B:$B&amp;盘货信息!$C:$C,盘货信息!$R:$R),0)&amp;"元（可无旧机换新）")</f>
        <v/>
      </c>
      <c r="U427" s="27" t="str">
        <f>IF(AND($N427="",$O427="",$P427="",$Q427="",$R427="",$S427="",$T427=""),"",固定信息!$B$1)</f>
        <v/>
      </c>
      <c r="V427" s="27" t="str" cm="1">
        <f t="array" ref="V427">IF(_xlfn.XLOOKUP($A427&amp;$B427&amp;$C427,盘货信息!$A:$A&amp;盘货信息!$B:$B&amp;盘货信息!$C:$C,盘货信息!$Y:$Y)="","","【卡萨帝送赠】活动指定时间"&amp;_xlfn.TEXTBEFORE(_xlfn.TEXTAFTER(_xlfn.XLOOKUP($A427&amp;$B427&amp;$C427,盘货信息!$A:$A&amp;盘货信息!$B:$B&amp;盘货信息!$C:$C,盘货信息!$Y:$Y),"点"),"（"))</f>
        <v/>
      </c>
      <c r="W427" s="27" t="str" cm="1">
        <f t="array" ref="W427">IF(COUNTIF(_xlfn.XLOOKUP($A427&amp;$B427&amp;$C427,盘货信息!$A:$A&amp;盘货信息!$B:$B&amp;盘货信息!$C:$C,盘货信息!$O:$O),"*是*"),"【折扣】指定型号满2类享96折，满3类享94折","")</f>
        <v/>
      </c>
      <c r="X427" s="27" t="str" cm="1">
        <f t="array" ref="X427">IF(固定信息!$B$7="","",IF(_xlfn.XLOOKUP($A427&amp;$B427&amp;$C427,盘货信息!$A:$A&amp;盘货信息!$B:$B&amp;盘货信息!$C:$C,盘货信息!$N:$N)="是","【瓜分】"&amp;固定信息!$B$7,""))</f>
        <v/>
      </c>
      <c r="Y427" s="27" t="str">
        <f>IF(AND($V427="",$W427="",$X427=""),"",固定信息!$B$1)</f>
        <v/>
      </c>
      <c r="Z427" s="27" t="str" cm="1">
        <f t="array" ref="Z427">IF($C427="","",_xlfn.XLOOKUP($A427&amp;$B427&amp;$C427,服务!$A:$A&amp;服务!$B:$B&amp;服务!$C:$C,服务!$D:$D))</f>
        <v/>
      </c>
    </row>
    <row r="428" customHeight="1" spans="1:26">
      <c r="A428" s="23" t="str">
        <f>IF(盘货信息!A428="","",盘货信息!A428)</f>
        <v/>
      </c>
      <c r="B428" s="26" t="str">
        <f>IF(盘货信息!B428="","",盘货信息!B428)</f>
        <v/>
      </c>
      <c r="C428" s="23" t="str">
        <f>IF(盘货信息!C428="","",盘货信息!C428)</f>
        <v/>
      </c>
      <c r="D428" s="27" t="str">
        <f ca="1" t="shared" si="6"/>
        <v/>
      </c>
      <c r="E428" s="27" t="str">
        <f>IF(C428="","",固定信息!$B$2)</f>
        <v/>
      </c>
      <c r="F428" s="27" t="str">
        <f>IF(C428="","","【"&amp;C428&amp;"】"&amp;固定信息!$B$4)</f>
        <v/>
      </c>
      <c r="G428" s="27" t="str">
        <f>IF(C428="","","【"&amp;"活动时间："&amp;固定信息!$B$3&amp;"】")</f>
        <v/>
      </c>
      <c r="H428" s="27" t="str">
        <f>IF($C428="","",固定信息!$B$1)</f>
        <v/>
      </c>
      <c r="I428" s="27" t="str">
        <f>IF(OR(C428="",固定信息!$B$5=""),"","【1元预约锁好礼】"&amp;固定信息!$B$5)</f>
        <v/>
      </c>
      <c r="J428" s="27" t="str" cm="1">
        <f t="array" ref="J428">_xlfn.XLOOKUP($A428&amp;$B428&amp;$C428,价格信息!$A:$A&amp;价格信息!$B:$B&amp;价格信息!$C:$C,价格信息!$D:$D)</f>
        <v/>
      </c>
      <c r="K428" s="27" t="str">
        <f>IF($C428="","",固定信息!$B$1)</f>
        <v/>
      </c>
      <c r="L428" s="27" t="str" cm="1">
        <f t="array" ref="L428">IF(_xlfn.XLOOKUP($A428&amp;$B428&amp;$C428,盘货信息!$A:$A&amp;盘货信息!$B:$B&amp;盘货信息!$C:$C,盘货信息!$T:$T)="","","【优惠券】领"&amp;_xlfn.XLOOKUP($A428&amp;$B428&amp;$C428,盘货信息!$A:$A&amp;盘货信息!$B:$B&amp;盘货信息!$C:$C,盘货信息!$T:$T)&amp;"元优惠卷下单更优惠，领券链接："&amp;_xlfn.XLOOKUP($A428&amp;$B428&amp;$C428,盘货信息!$A:$A&amp;盘货信息!$B:$B&amp;盘货信息!$C:$C,盘货信息!$U:$U))</f>
        <v/>
      </c>
      <c r="M428" s="27" t="str" cm="1">
        <f t="array" ref="M428">IF(_xlfn.XLOOKUP($A428&amp;$B428&amp;$C428,盘货信息!$A:$A&amp;盘货信息!$B:$B&amp;盘货信息!$C:$C,盘货信息!$P:$P)="","","【限时】"&amp;_xlfn.XLOOKUP($A428&amp;$B428&amp;$C428,盘货信息!$A:$A&amp;盘货信息!$B:$B&amp;盘货信息!$C:$C,盘货信息!$P:$P))</f>
        <v/>
      </c>
      <c r="N428" s="27" t="str" cm="1">
        <f t="array" ref="N428">IF(_xlfn.XLOOKUP($A428&amp;$B428&amp;$C428,盘货信息!$A:$A&amp;盘货信息!$B:$B&amp;盘货信息!$C:$C,盘货信息!$V:$V)="","","【"&amp;盘货信息!$V$1&amp;"】"&amp;_xlfn.XLOOKUP($A428&amp;$B428&amp;$C428,盘货信息!$A:$A&amp;盘货信息!$B:$B&amp;盘货信息!$C:$C,盘货信息!$V:$V))</f>
        <v/>
      </c>
      <c r="O428" s="27" t="str" cm="1">
        <f t="array" ref="O428">IF(_xlfn.XLOOKUP($A428&amp;$B428&amp;$C428,盘货信息!$A:$A&amp;盘货信息!$B:$B&amp;盘货信息!$C:$C,盘货信息!$W:$W)="","","【"&amp;盘货信息!$W$1&amp;"】"&amp;_xlfn.XLOOKUP($A428&amp;$B428&amp;$C428,盘货信息!$A:$A&amp;盘货信息!$B:$B&amp;盘货信息!$C:$C,盘货信息!$W:$W))</f>
        <v/>
      </c>
      <c r="P428" s="27" t="str" cm="1">
        <f t="array" ref="P428">IF(_xlfn.XLOOKUP($A428&amp;$B428&amp;$C428,盘货信息!$A:$A&amp;盘货信息!$B:$B&amp;盘货信息!$C:$C,盘货信息!$S:$S)&lt;1,"","【"&amp;盘货信息!$S$1&amp;"】"&amp;"后返"&amp;_xlfn.XLOOKUP($A428&amp;$B428&amp;$C428,盘货信息!$A:$A&amp;盘货信息!$B:$B&amp;盘货信息!$C:$C,盘货信息!$S:$S)&amp;"元")</f>
        <v/>
      </c>
      <c r="Q428" s="27" t="str" cm="1">
        <f t="array" ref="Q428">IF(_xlfn.XLOOKUP($A428&amp;$B428&amp;$C428,盘货信息!$A:$A&amp;盘货信息!$B:$B&amp;盘货信息!$C:$C,盘货信息!$X:$X)="","","【"&amp;盘货信息!$X$1&amp;"】"&amp;_xlfn.XLOOKUP($A428&amp;$B428&amp;$C428,盘货信息!$A:$A&amp;盘货信息!$B:$B&amp;盘货信息!$C:$C,盘货信息!$X:$X))</f>
        <v/>
      </c>
      <c r="R428" s="27" t="str" cm="1">
        <f t="array" ref="R428">IF(_xlfn.XLOOKUP($A428&amp;$B428&amp;$C428,盘货信息!$A:$A&amp;盘货信息!$B:$B&amp;盘货信息!$C:$C,盘货信息!$Z:$Z)="","","【"&amp;盘货信息!$Z$1&amp;"】"&amp;_xlfn.XLOOKUP($A428&amp;$B428&amp;$C428,盘货信息!$A:$A&amp;盘货信息!$B:$B&amp;盘货信息!$C:$C,盘货信息!$Z:$Z))</f>
        <v/>
      </c>
      <c r="S428" s="27" t="str" cm="1">
        <f t="array" ref="S428">IF(_xlfn.XLOOKUP($A428&amp;$B428&amp;$C428,盘货信息!$A:$A&amp;盘货信息!$B:$B&amp;盘货信息!$C:$C,盘货信息!$Q:$Q)="","","【种草】站外带指定话题种草后返"&amp;_xlfn.XLOOKUP($A428&amp;$B428&amp;$C428,盘货信息!$A:$A&amp;盘货信息!$B:$B&amp;盘货信息!$C:$C,盘货信息!$Q:$Q)&amp;"元红包（每个淘宝账号仅限对应一个站外种草账号，同一个种草账号不可对应多个淘宝账号）")</f>
        <v/>
      </c>
      <c r="T428" s="27" t="str" cm="1">
        <f t="array" ref="T428">IF(_xlfn.XLOOKUP($A428&amp;$B428&amp;$C428,盘货信息!$A:$A&amp;盘货信息!$B:$B&amp;盘货信息!$C:$C,盘货信息!$R:$R)&lt;1,"","【以旧换新】"&amp;"享补贴"&amp;ROUND(_xlfn.XLOOKUP($A428&amp;$B428&amp;$C428,盘货信息!$A:$A&amp;盘货信息!$B:$B&amp;盘货信息!$C:$C,盘货信息!$R:$R),0)&amp;"元（可无旧机换新）")</f>
        <v/>
      </c>
      <c r="U428" s="27" t="str">
        <f>IF(AND($N428="",$O428="",$P428="",$Q428="",$R428="",$S428="",$T428=""),"",固定信息!$B$1)</f>
        <v/>
      </c>
      <c r="V428" s="27" t="str" cm="1">
        <f t="array" ref="V428">IF(_xlfn.XLOOKUP($A428&amp;$B428&amp;$C428,盘货信息!$A:$A&amp;盘货信息!$B:$B&amp;盘货信息!$C:$C,盘货信息!$Y:$Y)="","","【卡萨帝送赠】活动指定时间"&amp;_xlfn.TEXTBEFORE(_xlfn.TEXTAFTER(_xlfn.XLOOKUP($A428&amp;$B428&amp;$C428,盘货信息!$A:$A&amp;盘货信息!$B:$B&amp;盘货信息!$C:$C,盘货信息!$Y:$Y),"点"),"（"))</f>
        <v/>
      </c>
      <c r="W428" s="27" t="str" cm="1">
        <f t="array" ref="W428">IF(COUNTIF(_xlfn.XLOOKUP($A428&amp;$B428&amp;$C428,盘货信息!$A:$A&amp;盘货信息!$B:$B&amp;盘货信息!$C:$C,盘货信息!$O:$O),"*是*"),"【折扣】指定型号满2类享96折，满3类享94折","")</f>
        <v/>
      </c>
      <c r="X428" s="27" t="str" cm="1">
        <f t="array" ref="X428">IF(固定信息!$B$7="","",IF(_xlfn.XLOOKUP($A428&amp;$B428&amp;$C428,盘货信息!$A:$A&amp;盘货信息!$B:$B&amp;盘货信息!$C:$C,盘货信息!$N:$N)="是","【瓜分】"&amp;固定信息!$B$7,""))</f>
        <v/>
      </c>
      <c r="Y428" s="27" t="str">
        <f>IF(AND($V428="",$W428="",$X428=""),"",固定信息!$B$1)</f>
        <v/>
      </c>
      <c r="Z428" s="27" t="str" cm="1">
        <f t="array" ref="Z428">IF($C428="","",_xlfn.XLOOKUP($A428&amp;$B428&amp;$C428,服务!$A:$A&amp;服务!$B:$B&amp;服务!$C:$C,服务!$D:$D))</f>
        <v/>
      </c>
    </row>
    <row r="429" customHeight="1" spans="1:26">
      <c r="A429" s="23" t="str">
        <f>IF(盘货信息!A429="","",盘货信息!A429)</f>
        <v/>
      </c>
      <c r="B429" s="26" t="str">
        <f>IF(盘货信息!B429="","",盘货信息!B429)</f>
        <v/>
      </c>
      <c r="C429" s="23" t="str">
        <f>IF(盘货信息!C429="","",盘货信息!C429)</f>
        <v/>
      </c>
      <c r="D429" s="27" t="str">
        <f ca="1" t="shared" si="6"/>
        <v/>
      </c>
      <c r="E429" s="27" t="str">
        <f>IF(C429="","",固定信息!$B$2)</f>
        <v/>
      </c>
      <c r="F429" s="27" t="str">
        <f>IF(C429="","","【"&amp;C429&amp;"】"&amp;固定信息!$B$4)</f>
        <v/>
      </c>
      <c r="G429" s="27" t="str">
        <f>IF(C429="","","【"&amp;"活动时间："&amp;固定信息!$B$3&amp;"】")</f>
        <v/>
      </c>
      <c r="H429" s="27" t="str">
        <f>IF($C429="","",固定信息!$B$1)</f>
        <v/>
      </c>
      <c r="I429" s="27" t="str">
        <f>IF(OR(C429="",固定信息!$B$5=""),"","【1元预约锁好礼】"&amp;固定信息!$B$5)</f>
        <v/>
      </c>
      <c r="J429" s="27" t="str" cm="1">
        <f t="array" ref="J429">_xlfn.XLOOKUP($A429&amp;$B429&amp;$C429,价格信息!$A:$A&amp;价格信息!$B:$B&amp;价格信息!$C:$C,价格信息!$D:$D)</f>
        <v/>
      </c>
      <c r="K429" s="27" t="str">
        <f>IF($C429="","",固定信息!$B$1)</f>
        <v/>
      </c>
      <c r="L429" s="27" t="str" cm="1">
        <f t="array" ref="L429">IF(_xlfn.XLOOKUP($A429&amp;$B429&amp;$C429,盘货信息!$A:$A&amp;盘货信息!$B:$B&amp;盘货信息!$C:$C,盘货信息!$T:$T)="","","【优惠券】领"&amp;_xlfn.XLOOKUP($A429&amp;$B429&amp;$C429,盘货信息!$A:$A&amp;盘货信息!$B:$B&amp;盘货信息!$C:$C,盘货信息!$T:$T)&amp;"元优惠卷下单更优惠，领券链接："&amp;_xlfn.XLOOKUP($A429&amp;$B429&amp;$C429,盘货信息!$A:$A&amp;盘货信息!$B:$B&amp;盘货信息!$C:$C,盘货信息!$U:$U))</f>
        <v/>
      </c>
      <c r="M429" s="27" t="str" cm="1">
        <f t="array" ref="M429">IF(_xlfn.XLOOKUP($A429&amp;$B429&amp;$C429,盘货信息!$A:$A&amp;盘货信息!$B:$B&amp;盘货信息!$C:$C,盘货信息!$P:$P)="","","【限时】"&amp;_xlfn.XLOOKUP($A429&amp;$B429&amp;$C429,盘货信息!$A:$A&amp;盘货信息!$B:$B&amp;盘货信息!$C:$C,盘货信息!$P:$P))</f>
        <v/>
      </c>
      <c r="N429" s="27" t="str" cm="1">
        <f t="array" ref="N429">IF(_xlfn.XLOOKUP($A429&amp;$B429&amp;$C429,盘货信息!$A:$A&amp;盘货信息!$B:$B&amp;盘货信息!$C:$C,盘货信息!$V:$V)="","","【"&amp;盘货信息!$V$1&amp;"】"&amp;_xlfn.XLOOKUP($A429&amp;$B429&amp;$C429,盘货信息!$A:$A&amp;盘货信息!$B:$B&amp;盘货信息!$C:$C,盘货信息!$V:$V))</f>
        <v/>
      </c>
      <c r="O429" s="27" t="str" cm="1">
        <f t="array" ref="O429">IF(_xlfn.XLOOKUP($A429&amp;$B429&amp;$C429,盘货信息!$A:$A&amp;盘货信息!$B:$B&amp;盘货信息!$C:$C,盘货信息!$W:$W)="","","【"&amp;盘货信息!$W$1&amp;"】"&amp;_xlfn.XLOOKUP($A429&amp;$B429&amp;$C429,盘货信息!$A:$A&amp;盘货信息!$B:$B&amp;盘货信息!$C:$C,盘货信息!$W:$W))</f>
        <v/>
      </c>
      <c r="P429" s="27" t="str" cm="1">
        <f t="array" ref="P429">IF(_xlfn.XLOOKUP($A429&amp;$B429&amp;$C429,盘货信息!$A:$A&amp;盘货信息!$B:$B&amp;盘货信息!$C:$C,盘货信息!$S:$S)&lt;1,"","【"&amp;盘货信息!$S$1&amp;"】"&amp;"后返"&amp;_xlfn.XLOOKUP($A429&amp;$B429&amp;$C429,盘货信息!$A:$A&amp;盘货信息!$B:$B&amp;盘货信息!$C:$C,盘货信息!$S:$S)&amp;"元")</f>
        <v/>
      </c>
      <c r="Q429" s="27" t="str" cm="1">
        <f t="array" ref="Q429">IF(_xlfn.XLOOKUP($A429&amp;$B429&amp;$C429,盘货信息!$A:$A&amp;盘货信息!$B:$B&amp;盘货信息!$C:$C,盘货信息!$X:$X)="","","【"&amp;盘货信息!$X$1&amp;"】"&amp;_xlfn.XLOOKUP($A429&amp;$B429&amp;$C429,盘货信息!$A:$A&amp;盘货信息!$B:$B&amp;盘货信息!$C:$C,盘货信息!$X:$X))</f>
        <v/>
      </c>
      <c r="R429" s="27" t="str" cm="1">
        <f t="array" ref="R429">IF(_xlfn.XLOOKUP($A429&amp;$B429&amp;$C429,盘货信息!$A:$A&amp;盘货信息!$B:$B&amp;盘货信息!$C:$C,盘货信息!$Z:$Z)="","","【"&amp;盘货信息!$Z$1&amp;"】"&amp;_xlfn.XLOOKUP($A429&amp;$B429&amp;$C429,盘货信息!$A:$A&amp;盘货信息!$B:$B&amp;盘货信息!$C:$C,盘货信息!$Z:$Z))</f>
        <v/>
      </c>
      <c r="S429" s="27" t="str" cm="1">
        <f t="array" ref="S429">IF(_xlfn.XLOOKUP($A429&amp;$B429&amp;$C429,盘货信息!$A:$A&amp;盘货信息!$B:$B&amp;盘货信息!$C:$C,盘货信息!$Q:$Q)="","","【种草】站外带指定话题种草后返"&amp;_xlfn.XLOOKUP($A429&amp;$B429&amp;$C429,盘货信息!$A:$A&amp;盘货信息!$B:$B&amp;盘货信息!$C:$C,盘货信息!$Q:$Q)&amp;"元红包（每个淘宝账号仅限对应一个站外种草账号，同一个种草账号不可对应多个淘宝账号）")</f>
        <v/>
      </c>
      <c r="T429" s="27" t="str" cm="1">
        <f t="array" ref="T429">IF(_xlfn.XLOOKUP($A429&amp;$B429&amp;$C429,盘货信息!$A:$A&amp;盘货信息!$B:$B&amp;盘货信息!$C:$C,盘货信息!$R:$R)&lt;1,"","【以旧换新】"&amp;"享补贴"&amp;ROUND(_xlfn.XLOOKUP($A429&amp;$B429&amp;$C429,盘货信息!$A:$A&amp;盘货信息!$B:$B&amp;盘货信息!$C:$C,盘货信息!$R:$R),0)&amp;"元（可无旧机换新）")</f>
        <v/>
      </c>
      <c r="U429" s="27" t="str">
        <f>IF(AND($N429="",$O429="",$P429="",$Q429="",$R429="",$S429="",$T429=""),"",固定信息!$B$1)</f>
        <v/>
      </c>
      <c r="V429" s="27" t="str" cm="1">
        <f t="array" ref="V429">IF(_xlfn.XLOOKUP($A429&amp;$B429&amp;$C429,盘货信息!$A:$A&amp;盘货信息!$B:$B&amp;盘货信息!$C:$C,盘货信息!$Y:$Y)="","","【卡萨帝送赠】活动指定时间"&amp;_xlfn.TEXTBEFORE(_xlfn.TEXTAFTER(_xlfn.XLOOKUP($A429&amp;$B429&amp;$C429,盘货信息!$A:$A&amp;盘货信息!$B:$B&amp;盘货信息!$C:$C,盘货信息!$Y:$Y),"点"),"（"))</f>
        <v/>
      </c>
      <c r="W429" s="27" t="str" cm="1">
        <f t="array" ref="W429">IF(COUNTIF(_xlfn.XLOOKUP($A429&amp;$B429&amp;$C429,盘货信息!$A:$A&amp;盘货信息!$B:$B&amp;盘货信息!$C:$C,盘货信息!$O:$O),"*是*"),"【折扣】指定型号满2类享96折，满3类享94折","")</f>
        <v/>
      </c>
      <c r="X429" s="27" t="str" cm="1">
        <f t="array" ref="X429">IF(固定信息!$B$7="","",IF(_xlfn.XLOOKUP($A429&amp;$B429&amp;$C429,盘货信息!$A:$A&amp;盘货信息!$B:$B&amp;盘货信息!$C:$C,盘货信息!$N:$N)="是","【瓜分】"&amp;固定信息!$B$7,""))</f>
        <v/>
      </c>
      <c r="Y429" s="27" t="str">
        <f>IF(AND($V429="",$W429="",$X429=""),"",固定信息!$B$1)</f>
        <v/>
      </c>
      <c r="Z429" s="27" t="str" cm="1">
        <f t="array" ref="Z429">IF($C429="","",_xlfn.XLOOKUP($A429&amp;$B429&amp;$C429,服务!$A:$A&amp;服务!$B:$B&amp;服务!$C:$C,服务!$D:$D))</f>
        <v/>
      </c>
    </row>
    <row r="430" customHeight="1" spans="1:26">
      <c r="A430" s="23" t="str">
        <f>IF(盘货信息!A430="","",盘货信息!A430)</f>
        <v/>
      </c>
      <c r="B430" s="26" t="str">
        <f>IF(盘货信息!B430="","",盘货信息!B430)</f>
        <v/>
      </c>
      <c r="C430" s="23" t="str">
        <f>IF(盘货信息!C430="","",盘货信息!C430)</f>
        <v/>
      </c>
      <c r="D430" s="27" t="str">
        <f ca="1" t="shared" si="6"/>
        <v/>
      </c>
      <c r="E430" s="27" t="str">
        <f>IF(C430="","",固定信息!$B$2)</f>
        <v/>
      </c>
      <c r="F430" s="27" t="str">
        <f>IF(C430="","","【"&amp;C430&amp;"】"&amp;固定信息!$B$4)</f>
        <v/>
      </c>
      <c r="G430" s="27" t="str">
        <f>IF(C430="","","【"&amp;"活动时间："&amp;固定信息!$B$3&amp;"】")</f>
        <v/>
      </c>
      <c r="H430" s="27" t="str">
        <f>IF($C430="","",固定信息!$B$1)</f>
        <v/>
      </c>
      <c r="I430" s="27" t="str">
        <f>IF(OR(C430="",固定信息!$B$5=""),"","【1元预约锁好礼】"&amp;固定信息!$B$5)</f>
        <v/>
      </c>
      <c r="J430" s="27" t="str" cm="1">
        <f t="array" ref="J430">_xlfn.XLOOKUP($A430&amp;$B430&amp;$C430,价格信息!$A:$A&amp;价格信息!$B:$B&amp;价格信息!$C:$C,价格信息!$D:$D)</f>
        <v/>
      </c>
      <c r="K430" s="27" t="str">
        <f>IF($C430="","",固定信息!$B$1)</f>
        <v/>
      </c>
      <c r="L430" s="27" t="str" cm="1">
        <f t="array" ref="L430">IF(_xlfn.XLOOKUP($A430&amp;$B430&amp;$C430,盘货信息!$A:$A&amp;盘货信息!$B:$B&amp;盘货信息!$C:$C,盘货信息!$T:$T)="","","【优惠券】领"&amp;_xlfn.XLOOKUP($A430&amp;$B430&amp;$C430,盘货信息!$A:$A&amp;盘货信息!$B:$B&amp;盘货信息!$C:$C,盘货信息!$T:$T)&amp;"元优惠卷下单更优惠，领券链接："&amp;_xlfn.XLOOKUP($A430&amp;$B430&amp;$C430,盘货信息!$A:$A&amp;盘货信息!$B:$B&amp;盘货信息!$C:$C,盘货信息!$U:$U))</f>
        <v/>
      </c>
      <c r="M430" s="27" t="str" cm="1">
        <f t="array" ref="M430">IF(_xlfn.XLOOKUP($A430&amp;$B430&amp;$C430,盘货信息!$A:$A&amp;盘货信息!$B:$B&amp;盘货信息!$C:$C,盘货信息!$P:$P)="","","【限时】"&amp;_xlfn.XLOOKUP($A430&amp;$B430&amp;$C430,盘货信息!$A:$A&amp;盘货信息!$B:$B&amp;盘货信息!$C:$C,盘货信息!$P:$P))</f>
        <v/>
      </c>
      <c r="N430" s="27" t="str" cm="1">
        <f t="array" ref="N430">IF(_xlfn.XLOOKUP($A430&amp;$B430&amp;$C430,盘货信息!$A:$A&amp;盘货信息!$B:$B&amp;盘货信息!$C:$C,盘货信息!$V:$V)="","","【"&amp;盘货信息!$V$1&amp;"】"&amp;_xlfn.XLOOKUP($A430&amp;$B430&amp;$C430,盘货信息!$A:$A&amp;盘货信息!$B:$B&amp;盘货信息!$C:$C,盘货信息!$V:$V))</f>
        <v/>
      </c>
      <c r="O430" s="27" t="str" cm="1">
        <f t="array" ref="O430">IF(_xlfn.XLOOKUP($A430&amp;$B430&amp;$C430,盘货信息!$A:$A&amp;盘货信息!$B:$B&amp;盘货信息!$C:$C,盘货信息!$W:$W)="","","【"&amp;盘货信息!$W$1&amp;"】"&amp;_xlfn.XLOOKUP($A430&amp;$B430&amp;$C430,盘货信息!$A:$A&amp;盘货信息!$B:$B&amp;盘货信息!$C:$C,盘货信息!$W:$W))</f>
        <v/>
      </c>
      <c r="P430" s="27" t="str" cm="1">
        <f t="array" ref="P430">IF(_xlfn.XLOOKUP($A430&amp;$B430&amp;$C430,盘货信息!$A:$A&amp;盘货信息!$B:$B&amp;盘货信息!$C:$C,盘货信息!$S:$S)&lt;1,"","【"&amp;盘货信息!$S$1&amp;"】"&amp;"后返"&amp;_xlfn.XLOOKUP($A430&amp;$B430&amp;$C430,盘货信息!$A:$A&amp;盘货信息!$B:$B&amp;盘货信息!$C:$C,盘货信息!$S:$S)&amp;"元")</f>
        <v/>
      </c>
      <c r="Q430" s="27" t="str" cm="1">
        <f t="array" ref="Q430">IF(_xlfn.XLOOKUP($A430&amp;$B430&amp;$C430,盘货信息!$A:$A&amp;盘货信息!$B:$B&amp;盘货信息!$C:$C,盘货信息!$X:$X)="","","【"&amp;盘货信息!$X$1&amp;"】"&amp;_xlfn.XLOOKUP($A430&amp;$B430&amp;$C430,盘货信息!$A:$A&amp;盘货信息!$B:$B&amp;盘货信息!$C:$C,盘货信息!$X:$X))</f>
        <v/>
      </c>
      <c r="R430" s="27" t="str" cm="1">
        <f t="array" ref="R430">IF(_xlfn.XLOOKUP($A430&amp;$B430&amp;$C430,盘货信息!$A:$A&amp;盘货信息!$B:$B&amp;盘货信息!$C:$C,盘货信息!$Z:$Z)="","","【"&amp;盘货信息!$Z$1&amp;"】"&amp;_xlfn.XLOOKUP($A430&amp;$B430&amp;$C430,盘货信息!$A:$A&amp;盘货信息!$B:$B&amp;盘货信息!$C:$C,盘货信息!$Z:$Z))</f>
        <v/>
      </c>
      <c r="S430" s="27" t="str" cm="1">
        <f t="array" ref="S430">IF(_xlfn.XLOOKUP($A430&amp;$B430&amp;$C430,盘货信息!$A:$A&amp;盘货信息!$B:$B&amp;盘货信息!$C:$C,盘货信息!$Q:$Q)="","","【种草】站外带指定话题种草后返"&amp;_xlfn.XLOOKUP($A430&amp;$B430&amp;$C430,盘货信息!$A:$A&amp;盘货信息!$B:$B&amp;盘货信息!$C:$C,盘货信息!$Q:$Q)&amp;"元红包（每个淘宝账号仅限对应一个站外种草账号，同一个种草账号不可对应多个淘宝账号）")</f>
        <v/>
      </c>
      <c r="T430" s="27" t="str" cm="1">
        <f t="array" ref="T430">IF(_xlfn.XLOOKUP($A430&amp;$B430&amp;$C430,盘货信息!$A:$A&amp;盘货信息!$B:$B&amp;盘货信息!$C:$C,盘货信息!$R:$R)&lt;1,"","【以旧换新】"&amp;"享补贴"&amp;ROUND(_xlfn.XLOOKUP($A430&amp;$B430&amp;$C430,盘货信息!$A:$A&amp;盘货信息!$B:$B&amp;盘货信息!$C:$C,盘货信息!$R:$R),0)&amp;"元（可无旧机换新）")</f>
        <v/>
      </c>
      <c r="U430" s="27" t="str">
        <f>IF(AND($N430="",$O430="",$P430="",$Q430="",$R430="",$S430="",$T430=""),"",固定信息!$B$1)</f>
        <v/>
      </c>
      <c r="V430" s="27" t="str" cm="1">
        <f t="array" ref="V430">IF(_xlfn.XLOOKUP($A430&amp;$B430&amp;$C430,盘货信息!$A:$A&amp;盘货信息!$B:$B&amp;盘货信息!$C:$C,盘货信息!$Y:$Y)="","","【卡萨帝送赠】活动指定时间"&amp;_xlfn.TEXTBEFORE(_xlfn.TEXTAFTER(_xlfn.XLOOKUP($A430&amp;$B430&amp;$C430,盘货信息!$A:$A&amp;盘货信息!$B:$B&amp;盘货信息!$C:$C,盘货信息!$Y:$Y),"点"),"（"))</f>
        <v/>
      </c>
      <c r="W430" s="27" t="str" cm="1">
        <f t="array" ref="W430">IF(COUNTIF(_xlfn.XLOOKUP($A430&amp;$B430&amp;$C430,盘货信息!$A:$A&amp;盘货信息!$B:$B&amp;盘货信息!$C:$C,盘货信息!$O:$O),"*是*"),"【折扣】指定型号满2类享96折，满3类享94折","")</f>
        <v/>
      </c>
      <c r="X430" s="27" t="str" cm="1">
        <f t="array" ref="X430">IF(固定信息!$B$7="","",IF(_xlfn.XLOOKUP($A430&amp;$B430&amp;$C430,盘货信息!$A:$A&amp;盘货信息!$B:$B&amp;盘货信息!$C:$C,盘货信息!$N:$N)="是","【瓜分】"&amp;固定信息!$B$7,""))</f>
        <v/>
      </c>
      <c r="Y430" s="27" t="str">
        <f>IF(AND($V430="",$W430="",$X430=""),"",固定信息!$B$1)</f>
        <v/>
      </c>
      <c r="Z430" s="27" t="str" cm="1">
        <f t="array" ref="Z430">IF($C430="","",_xlfn.XLOOKUP($A430&amp;$B430&amp;$C430,服务!$A:$A&amp;服务!$B:$B&amp;服务!$C:$C,服务!$D:$D))</f>
        <v/>
      </c>
    </row>
    <row r="431" customHeight="1" spans="1:26">
      <c r="A431" s="23" t="str">
        <f>IF(盘货信息!A431="","",盘货信息!A431)</f>
        <v/>
      </c>
      <c r="B431" s="26" t="str">
        <f>IF(盘货信息!B431="","",盘货信息!B431)</f>
        <v/>
      </c>
      <c r="C431" s="23" t="str">
        <f>IF(盘货信息!C431="","",盘货信息!C431)</f>
        <v/>
      </c>
      <c r="D431" s="27" t="str">
        <f ca="1" t="shared" si="6"/>
        <v/>
      </c>
      <c r="E431" s="27" t="str">
        <f>IF(C431="","",固定信息!$B$2)</f>
        <v/>
      </c>
      <c r="F431" s="27" t="str">
        <f>IF(C431="","","【"&amp;C431&amp;"】"&amp;固定信息!$B$4)</f>
        <v/>
      </c>
      <c r="G431" s="27" t="str">
        <f>IF(C431="","","【"&amp;"活动时间："&amp;固定信息!$B$3&amp;"】")</f>
        <v/>
      </c>
      <c r="H431" s="27" t="str">
        <f>IF($C431="","",固定信息!$B$1)</f>
        <v/>
      </c>
      <c r="I431" s="27" t="str">
        <f>IF(OR(C431="",固定信息!$B$5=""),"","【1元预约锁好礼】"&amp;固定信息!$B$5)</f>
        <v/>
      </c>
      <c r="J431" s="27" t="str" cm="1">
        <f t="array" ref="J431">_xlfn.XLOOKUP($A431&amp;$B431&amp;$C431,价格信息!$A:$A&amp;价格信息!$B:$B&amp;价格信息!$C:$C,价格信息!$D:$D)</f>
        <v/>
      </c>
      <c r="K431" s="27" t="str">
        <f>IF($C431="","",固定信息!$B$1)</f>
        <v/>
      </c>
      <c r="L431" s="27" t="str" cm="1">
        <f t="array" ref="L431">IF(_xlfn.XLOOKUP($A431&amp;$B431&amp;$C431,盘货信息!$A:$A&amp;盘货信息!$B:$B&amp;盘货信息!$C:$C,盘货信息!$T:$T)="","","【优惠券】领"&amp;_xlfn.XLOOKUP($A431&amp;$B431&amp;$C431,盘货信息!$A:$A&amp;盘货信息!$B:$B&amp;盘货信息!$C:$C,盘货信息!$T:$T)&amp;"元优惠卷下单更优惠，领券链接："&amp;_xlfn.XLOOKUP($A431&amp;$B431&amp;$C431,盘货信息!$A:$A&amp;盘货信息!$B:$B&amp;盘货信息!$C:$C,盘货信息!$U:$U))</f>
        <v/>
      </c>
      <c r="M431" s="27" t="str" cm="1">
        <f t="array" ref="M431">IF(_xlfn.XLOOKUP($A431&amp;$B431&amp;$C431,盘货信息!$A:$A&amp;盘货信息!$B:$B&amp;盘货信息!$C:$C,盘货信息!$P:$P)="","","【限时】"&amp;_xlfn.XLOOKUP($A431&amp;$B431&amp;$C431,盘货信息!$A:$A&amp;盘货信息!$B:$B&amp;盘货信息!$C:$C,盘货信息!$P:$P))</f>
        <v/>
      </c>
      <c r="N431" s="27" t="str" cm="1">
        <f t="array" ref="N431">IF(_xlfn.XLOOKUP($A431&amp;$B431&amp;$C431,盘货信息!$A:$A&amp;盘货信息!$B:$B&amp;盘货信息!$C:$C,盘货信息!$V:$V)="","","【"&amp;盘货信息!$V$1&amp;"】"&amp;_xlfn.XLOOKUP($A431&amp;$B431&amp;$C431,盘货信息!$A:$A&amp;盘货信息!$B:$B&amp;盘货信息!$C:$C,盘货信息!$V:$V))</f>
        <v/>
      </c>
      <c r="O431" s="27" t="str" cm="1">
        <f t="array" ref="O431">IF(_xlfn.XLOOKUP($A431&amp;$B431&amp;$C431,盘货信息!$A:$A&amp;盘货信息!$B:$B&amp;盘货信息!$C:$C,盘货信息!$W:$W)="","","【"&amp;盘货信息!$W$1&amp;"】"&amp;_xlfn.XLOOKUP($A431&amp;$B431&amp;$C431,盘货信息!$A:$A&amp;盘货信息!$B:$B&amp;盘货信息!$C:$C,盘货信息!$W:$W))</f>
        <v/>
      </c>
      <c r="P431" s="27" t="str" cm="1">
        <f t="array" ref="P431">IF(_xlfn.XLOOKUP($A431&amp;$B431&amp;$C431,盘货信息!$A:$A&amp;盘货信息!$B:$B&amp;盘货信息!$C:$C,盘货信息!$S:$S)&lt;1,"","【"&amp;盘货信息!$S$1&amp;"】"&amp;"后返"&amp;_xlfn.XLOOKUP($A431&amp;$B431&amp;$C431,盘货信息!$A:$A&amp;盘货信息!$B:$B&amp;盘货信息!$C:$C,盘货信息!$S:$S)&amp;"元")</f>
        <v/>
      </c>
      <c r="Q431" s="27" t="str" cm="1">
        <f t="array" ref="Q431">IF(_xlfn.XLOOKUP($A431&amp;$B431&amp;$C431,盘货信息!$A:$A&amp;盘货信息!$B:$B&amp;盘货信息!$C:$C,盘货信息!$X:$X)="","","【"&amp;盘货信息!$X$1&amp;"】"&amp;_xlfn.XLOOKUP($A431&amp;$B431&amp;$C431,盘货信息!$A:$A&amp;盘货信息!$B:$B&amp;盘货信息!$C:$C,盘货信息!$X:$X))</f>
        <v/>
      </c>
      <c r="R431" s="27" t="str" cm="1">
        <f t="array" ref="R431">IF(_xlfn.XLOOKUP($A431&amp;$B431&amp;$C431,盘货信息!$A:$A&amp;盘货信息!$B:$B&amp;盘货信息!$C:$C,盘货信息!$Z:$Z)="","","【"&amp;盘货信息!$Z$1&amp;"】"&amp;_xlfn.XLOOKUP($A431&amp;$B431&amp;$C431,盘货信息!$A:$A&amp;盘货信息!$B:$B&amp;盘货信息!$C:$C,盘货信息!$Z:$Z))</f>
        <v/>
      </c>
      <c r="S431" s="27" t="str" cm="1">
        <f t="array" ref="S431">IF(_xlfn.XLOOKUP($A431&amp;$B431&amp;$C431,盘货信息!$A:$A&amp;盘货信息!$B:$B&amp;盘货信息!$C:$C,盘货信息!$Q:$Q)="","","【种草】站外带指定话题种草后返"&amp;_xlfn.XLOOKUP($A431&amp;$B431&amp;$C431,盘货信息!$A:$A&amp;盘货信息!$B:$B&amp;盘货信息!$C:$C,盘货信息!$Q:$Q)&amp;"元红包（每个淘宝账号仅限对应一个站外种草账号，同一个种草账号不可对应多个淘宝账号）")</f>
        <v/>
      </c>
      <c r="T431" s="27" t="str" cm="1">
        <f t="array" ref="T431">IF(_xlfn.XLOOKUP($A431&amp;$B431&amp;$C431,盘货信息!$A:$A&amp;盘货信息!$B:$B&amp;盘货信息!$C:$C,盘货信息!$R:$R)&lt;1,"","【以旧换新】"&amp;"享补贴"&amp;ROUND(_xlfn.XLOOKUP($A431&amp;$B431&amp;$C431,盘货信息!$A:$A&amp;盘货信息!$B:$B&amp;盘货信息!$C:$C,盘货信息!$R:$R),0)&amp;"元（可无旧机换新）")</f>
        <v/>
      </c>
      <c r="U431" s="27" t="str">
        <f>IF(AND($N431="",$O431="",$P431="",$Q431="",$R431="",$S431="",$T431=""),"",固定信息!$B$1)</f>
        <v/>
      </c>
      <c r="V431" s="27" t="str" cm="1">
        <f t="array" ref="V431">IF(_xlfn.XLOOKUP($A431&amp;$B431&amp;$C431,盘货信息!$A:$A&amp;盘货信息!$B:$B&amp;盘货信息!$C:$C,盘货信息!$Y:$Y)="","","【卡萨帝送赠】活动指定时间"&amp;_xlfn.TEXTBEFORE(_xlfn.TEXTAFTER(_xlfn.XLOOKUP($A431&amp;$B431&amp;$C431,盘货信息!$A:$A&amp;盘货信息!$B:$B&amp;盘货信息!$C:$C,盘货信息!$Y:$Y),"点"),"（"))</f>
        <v/>
      </c>
      <c r="W431" s="27" t="str" cm="1">
        <f t="array" ref="W431">IF(COUNTIF(_xlfn.XLOOKUP($A431&amp;$B431&amp;$C431,盘货信息!$A:$A&amp;盘货信息!$B:$B&amp;盘货信息!$C:$C,盘货信息!$O:$O),"*是*"),"【折扣】指定型号满2类享96折，满3类享94折","")</f>
        <v/>
      </c>
      <c r="X431" s="27" t="str" cm="1">
        <f t="array" ref="X431">IF(固定信息!$B$7="","",IF(_xlfn.XLOOKUP($A431&amp;$B431&amp;$C431,盘货信息!$A:$A&amp;盘货信息!$B:$B&amp;盘货信息!$C:$C,盘货信息!$N:$N)="是","【瓜分】"&amp;固定信息!$B$7,""))</f>
        <v/>
      </c>
      <c r="Y431" s="27" t="str">
        <f>IF(AND($V431="",$W431="",$X431=""),"",固定信息!$B$1)</f>
        <v/>
      </c>
      <c r="Z431" s="27" t="str" cm="1">
        <f t="array" ref="Z431">IF($C431="","",_xlfn.XLOOKUP($A431&amp;$B431&amp;$C431,服务!$A:$A&amp;服务!$B:$B&amp;服务!$C:$C,服务!$D:$D))</f>
        <v/>
      </c>
    </row>
    <row r="432" customHeight="1" spans="1:26">
      <c r="A432" s="23" t="str">
        <f>IF(盘货信息!A432="","",盘货信息!A432)</f>
        <v/>
      </c>
      <c r="B432" s="26" t="str">
        <f>IF(盘货信息!B432="","",盘货信息!B432)</f>
        <v/>
      </c>
      <c r="C432" s="23" t="str">
        <f>IF(盘货信息!C432="","",盘货信息!C432)</f>
        <v/>
      </c>
      <c r="D432" s="27" t="str">
        <f ca="1" t="shared" si="6"/>
        <v/>
      </c>
      <c r="E432" s="27" t="str">
        <f>IF(C432="","",固定信息!$B$2)</f>
        <v/>
      </c>
      <c r="F432" s="27" t="str">
        <f>IF(C432="","","【"&amp;C432&amp;"】"&amp;固定信息!$B$4)</f>
        <v/>
      </c>
      <c r="G432" s="27" t="str">
        <f>IF(C432="","","【"&amp;"活动时间："&amp;固定信息!$B$3&amp;"】")</f>
        <v/>
      </c>
      <c r="H432" s="27" t="str">
        <f>IF($C432="","",固定信息!$B$1)</f>
        <v/>
      </c>
      <c r="I432" s="27" t="str">
        <f>IF(OR(C432="",固定信息!$B$5=""),"","【1元预约锁好礼】"&amp;固定信息!$B$5)</f>
        <v/>
      </c>
      <c r="J432" s="27" t="str" cm="1">
        <f t="array" ref="J432">_xlfn.XLOOKUP($A432&amp;$B432&amp;$C432,价格信息!$A:$A&amp;价格信息!$B:$B&amp;价格信息!$C:$C,价格信息!$D:$D)</f>
        <v/>
      </c>
      <c r="K432" s="27" t="str">
        <f>IF($C432="","",固定信息!$B$1)</f>
        <v/>
      </c>
      <c r="L432" s="27" t="str" cm="1">
        <f t="array" ref="L432">IF(_xlfn.XLOOKUP($A432&amp;$B432&amp;$C432,盘货信息!$A:$A&amp;盘货信息!$B:$B&amp;盘货信息!$C:$C,盘货信息!$T:$T)="","","【优惠券】领"&amp;_xlfn.XLOOKUP($A432&amp;$B432&amp;$C432,盘货信息!$A:$A&amp;盘货信息!$B:$B&amp;盘货信息!$C:$C,盘货信息!$T:$T)&amp;"元优惠卷下单更优惠，领券链接："&amp;_xlfn.XLOOKUP($A432&amp;$B432&amp;$C432,盘货信息!$A:$A&amp;盘货信息!$B:$B&amp;盘货信息!$C:$C,盘货信息!$U:$U))</f>
        <v/>
      </c>
      <c r="M432" s="27" t="str" cm="1">
        <f t="array" ref="M432">IF(_xlfn.XLOOKUP($A432&amp;$B432&amp;$C432,盘货信息!$A:$A&amp;盘货信息!$B:$B&amp;盘货信息!$C:$C,盘货信息!$P:$P)="","","【限时】"&amp;_xlfn.XLOOKUP($A432&amp;$B432&amp;$C432,盘货信息!$A:$A&amp;盘货信息!$B:$B&amp;盘货信息!$C:$C,盘货信息!$P:$P))</f>
        <v/>
      </c>
      <c r="N432" s="27" t="str" cm="1">
        <f t="array" ref="N432">IF(_xlfn.XLOOKUP($A432&amp;$B432&amp;$C432,盘货信息!$A:$A&amp;盘货信息!$B:$B&amp;盘货信息!$C:$C,盘货信息!$V:$V)="","","【"&amp;盘货信息!$V$1&amp;"】"&amp;_xlfn.XLOOKUP($A432&amp;$B432&amp;$C432,盘货信息!$A:$A&amp;盘货信息!$B:$B&amp;盘货信息!$C:$C,盘货信息!$V:$V))</f>
        <v/>
      </c>
      <c r="O432" s="27" t="str" cm="1">
        <f t="array" ref="O432">IF(_xlfn.XLOOKUP($A432&amp;$B432&amp;$C432,盘货信息!$A:$A&amp;盘货信息!$B:$B&amp;盘货信息!$C:$C,盘货信息!$W:$W)="","","【"&amp;盘货信息!$W$1&amp;"】"&amp;_xlfn.XLOOKUP($A432&amp;$B432&amp;$C432,盘货信息!$A:$A&amp;盘货信息!$B:$B&amp;盘货信息!$C:$C,盘货信息!$W:$W))</f>
        <v/>
      </c>
      <c r="P432" s="27" t="str" cm="1">
        <f t="array" ref="P432">IF(_xlfn.XLOOKUP($A432&amp;$B432&amp;$C432,盘货信息!$A:$A&amp;盘货信息!$B:$B&amp;盘货信息!$C:$C,盘货信息!$S:$S)&lt;1,"","【"&amp;盘货信息!$S$1&amp;"】"&amp;"后返"&amp;_xlfn.XLOOKUP($A432&amp;$B432&amp;$C432,盘货信息!$A:$A&amp;盘货信息!$B:$B&amp;盘货信息!$C:$C,盘货信息!$S:$S)&amp;"元")</f>
        <v/>
      </c>
      <c r="Q432" s="27" t="str" cm="1">
        <f t="array" ref="Q432">IF(_xlfn.XLOOKUP($A432&amp;$B432&amp;$C432,盘货信息!$A:$A&amp;盘货信息!$B:$B&amp;盘货信息!$C:$C,盘货信息!$X:$X)="","","【"&amp;盘货信息!$X$1&amp;"】"&amp;_xlfn.XLOOKUP($A432&amp;$B432&amp;$C432,盘货信息!$A:$A&amp;盘货信息!$B:$B&amp;盘货信息!$C:$C,盘货信息!$X:$X))</f>
        <v/>
      </c>
      <c r="R432" s="27" t="str" cm="1">
        <f t="array" ref="R432">IF(_xlfn.XLOOKUP($A432&amp;$B432&amp;$C432,盘货信息!$A:$A&amp;盘货信息!$B:$B&amp;盘货信息!$C:$C,盘货信息!$Z:$Z)="","","【"&amp;盘货信息!$Z$1&amp;"】"&amp;_xlfn.XLOOKUP($A432&amp;$B432&amp;$C432,盘货信息!$A:$A&amp;盘货信息!$B:$B&amp;盘货信息!$C:$C,盘货信息!$Z:$Z))</f>
        <v/>
      </c>
      <c r="S432" s="27" t="str" cm="1">
        <f t="array" ref="S432">IF(_xlfn.XLOOKUP($A432&amp;$B432&amp;$C432,盘货信息!$A:$A&amp;盘货信息!$B:$B&amp;盘货信息!$C:$C,盘货信息!$Q:$Q)="","","【种草】站外带指定话题种草后返"&amp;_xlfn.XLOOKUP($A432&amp;$B432&amp;$C432,盘货信息!$A:$A&amp;盘货信息!$B:$B&amp;盘货信息!$C:$C,盘货信息!$Q:$Q)&amp;"元红包（每个淘宝账号仅限对应一个站外种草账号，同一个种草账号不可对应多个淘宝账号）")</f>
        <v/>
      </c>
      <c r="T432" s="27" t="str" cm="1">
        <f t="array" ref="T432">IF(_xlfn.XLOOKUP($A432&amp;$B432&amp;$C432,盘货信息!$A:$A&amp;盘货信息!$B:$B&amp;盘货信息!$C:$C,盘货信息!$R:$R)&lt;1,"","【以旧换新】"&amp;"享补贴"&amp;ROUND(_xlfn.XLOOKUP($A432&amp;$B432&amp;$C432,盘货信息!$A:$A&amp;盘货信息!$B:$B&amp;盘货信息!$C:$C,盘货信息!$R:$R),0)&amp;"元（可无旧机换新）")</f>
        <v/>
      </c>
      <c r="U432" s="27" t="str">
        <f>IF(AND($N432="",$O432="",$P432="",$Q432="",$R432="",$S432="",$T432=""),"",固定信息!$B$1)</f>
        <v/>
      </c>
      <c r="V432" s="27" t="str" cm="1">
        <f t="array" ref="V432">IF(_xlfn.XLOOKUP($A432&amp;$B432&amp;$C432,盘货信息!$A:$A&amp;盘货信息!$B:$B&amp;盘货信息!$C:$C,盘货信息!$Y:$Y)="","","【卡萨帝送赠】活动指定时间"&amp;_xlfn.TEXTBEFORE(_xlfn.TEXTAFTER(_xlfn.XLOOKUP($A432&amp;$B432&amp;$C432,盘货信息!$A:$A&amp;盘货信息!$B:$B&amp;盘货信息!$C:$C,盘货信息!$Y:$Y),"点"),"（"))</f>
        <v/>
      </c>
      <c r="W432" s="27" t="str" cm="1">
        <f t="array" ref="W432">IF(COUNTIF(_xlfn.XLOOKUP($A432&amp;$B432&amp;$C432,盘货信息!$A:$A&amp;盘货信息!$B:$B&amp;盘货信息!$C:$C,盘货信息!$O:$O),"*是*"),"【折扣】指定型号满2类享96折，满3类享94折","")</f>
        <v/>
      </c>
      <c r="X432" s="27" t="str" cm="1">
        <f t="array" ref="X432">IF(固定信息!$B$7="","",IF(_xlfn.XLOOKUP($A432&amp;$B432&amp;$C432,盘货信息!$A:$A&amp;盘货信息!$B:$B&amp;盘货信息!$C:$C,盘货信息!$N:$N)="是","【瓜分】"&amp;固定信息!$B$7,""))</f>
        <v/>
      </c>
      <c r="Y432" s="27" t="str">
        <f>IF(AND($V432="",$W432="",$X432=""),"",固定信息!$B$1)</f>
        <v/>
      </c>
      <c r="Z432" s="27" t="str" cm="1">
        <f t="array" ref="Z432">IF($C432="","",_xlfn.XLOOKUP($A432&amp;$B432&amp;$C432,服务!$A:$A&amp;服务!$B:$B&amp;服务!$C:$C,服务!$D:$D))</f>
        <v/>
      </c>
    </row>
    <row r="433" customHeight="1" spans="1:26">
      <c r="A433" s="23" t="str">
        <f>IF(盘货信息!A433="","",盘货信息!A433)</f>
        <v/>
      </c>
      <c r="B433" s="26" t="str">
        <f>IF(盘货信息!B433="","",盘货信息!B433)</f>
        <v/>
      </c>
      <c r="C433" s="23" t="str">
        <f>IF(盘货信息!C433="","",盘货信息!C433)</f>
        <v/>
      </c>
      <c r="D433" s="27" t="str">
        <f ca="1" t="shared" si="6"/>
        <v/>
      </c>
      <c r="E433" s="27" t="str">
        <f>IF(C433="","",固定信息!$B$2)</f>
        <v/>
      </c>
      <c r="F433" s="27" t="str">
        <f>IF(C433="","","【"&amp;C433&amp;"】"&amp;固定信息!$B$4)</f>
        <v/>
      </c>
      <c r="G433" s="27" t="str">
        <f>IF(C433="","","【"&amp;"活动时间："&amp;固定信息!$B$3&amp;"】")</f>
        <v/>
      </c>
      <c r="H433" s="27" t="str">
        <f>IF($C433="","",固定信息!$B$1)</f>
        <v/>
      </c>
      <c r="I433" s="27" t="str">
        <f>IF(OR(C433="",固定信息!$B$5=""),"","【1元预约锁好礼】"&amp;固定信息!$B$5)</f>
        <v/>
      </c>
      <c r="J433" s="27" t="str" cm="1">
        <f t="array" ref="J433">_xlfn.XLOOKUP($A433&amp;$B433&amp;$C433,价格信息!$A:$A&amp;价格信息!$B:$B&amp;价格信息!$C:$C,价格信息!$D:$D)</f>
        <v/>
      </c>
      <c r="K433" s="27" t="str">
        <f>IF($C433="","",固定信息!$B$1)</f>
        <v/>
      </c>
      <c r="L433" s="27" t="str" cm="1">
        <f t="array" ref="L433">IF(_xlfn.XLOOKUP($A433&amp;$B433&amp;$C433,盘货信息!$A:$A&amp;盘货信息!$B:$B&amp;盘货信息!$C:$C,盘货信息!$T:$T)="","","【优惠券】领"&amp;_xlfn.XLOOKUP($A433&amp;$B433&amp;$C433,盘货信息!$A:$A&amp;盘货信息!$B:$B&amp;盘货信息!$C:$C,盘货信息!$T:$T)&amp;"元优惠卷下单更优惠，领券链接："&amp;_xlfn.XLOOKUP($A433&amp;$B433&amp;$C433,盘货信息!$A:$A&amp;盘货信息!$B:$B&amp;盘货信息!$C:$C,盘货信息!$U:$U))</f>
        <v/>
      </c>
      <c r="M433" s="27" t="str" cm="1">
        <f t="array" ref="M433">IF(_xlfn.XLOOKUP($A433&amp;$B433&amp;$C433,盘货信息!$A:$A&amp;盘货信息!$B:$B&amp;盘货信息!$C:$C,盘货信息!$P:$P)="","","【限时】"&amp;_xlfn.XLOOKUP($A433&amp;$B433&amp;$C433,盘货信息!$A:$A&amp;盘货信息!$B:$B&amp;盘货信息!$C:$C,盘货信息!$P:$P))</f>
        <v/>
      </c>
      <c r="N433" s="27" t="str" cm="1">
        <f t="array" ref="N433">IF(_xlfn.XLOOKUP($A433&amp;$B433&amp;$C433,盘货信息!$A:$A&amp;盘货信息!$B:$B&amp;盘货信息!$C:$C,盘货信息!$V:$V)="","","【"&amp;盘货信息!$V$1&amp;"】"&amp;_xlfn.XLOOKUP($A433&amp;$B433&amp;$C433,盘货信息!$A:$A&amp;盘货信息!$B:$B&amp;盘货信息!$C:$C,盘货信息!$V:$V))</f>
        <v/>
      </c>
      <c r="O433" s="27" t="str" cm="1">
        <f t="array" ref="O433">IF(_xlfn.XLOOKUP($A433&amp;$B433&amp;$C433,盘货信息!$A:$A&amp;盘货信息!$B:$B&amp;盘货信息!$C:$C,盘货信息!$W:$W)="","","【"&amp;盘货信息!$W$1&amp;"】"&amp;_xlfn.XLOOKUP($A433&amp;$B433&amp;$C433,盘货信息!$A:$A&amp;盘货信息!$B:$B&amp;盘货信息!$C:$C,盘货信息!$W:$W))</f>
        <v/>
      </c>
      <c r="P433" s="27" t="str" cm="1">
        <f t="array" ref="P433">IF(_xlfn.XLOOKUP($A433&amp;$B433&amp;$C433,盘货信息!$A:$A&amp;盘货信息!$B:$B&amp;盘货信息!$C:$C,盘货信息!$S:$S)&lt;1,"","【"&amp;盘货信息!$S$1&amp;"】"&amp;"后返"&amp;_xlfn.XLOOKUP($A433&amp;$B433&amp;$C433,盘货信息!$A:$A&amp;盘货信息!$B:$B&amp;盘货信息!$C:$C,盘货信息!$S:$S)&amp;"元")</f>
        <v/>
      </c>
      <c r="Q433" s="27" t="str" cm="1">
        <f t="array" ref="Q433">IF(_xlfn.XLOOKUP($A433&amp;$B433&amp;$C433,盘货信息!$A:$A&amp;盘货信息!$B:$B&amp;盘货信息!$C:$C,盘货信息!$X:$X)="","","【"&amp;盘货信息!$X$1&amp;"】"&amp;_xlfn.XLOOKUP($A433&amp;$B433&amp;$C433,盘货信息!$A:$A&amp;盘货信息!$B:$B&amp;盘货信息!$C:$C,盘货信息!$X:$X))</f>
        <v/>
      </c>
      <c r="R433" s="27" t="str" cm="1">
        <f t="array" ref="R433">IF(_xlfn.XLOOKUP($A433&amp;$B433&amp;$C433,盘货信息!$A:$A&amp;盘货信息!$B:$B&amp;盘货信息!$C:$C,盘货信息!$Z:$Z)="","","【"&amp;盘货信息!$Z$1&amp;"】"&amp;_xlfn.XLOOKUP($A433&amp;$B433&amp;$C433,盘货信息!$A:$A&amp;盘货信息!$B:$B&amp;盘货信息!$C:$C,盘货信息!$Z:$Z))</f>
        <v/>
      </c>
      <c r="S433" s="27" t="str" cm="1">
        <f t="array" ref="S433">IF(_xlfn.XLOOKUP($A433&amp;$B433&amp;$C433,盘货信息!$A:$A&amp;盘货信息!$B:$B&amp;盘货信息!$C:$C,盘货信息!$Q:$Q)="","","【种草】站外带指定话题种草后返"&amp;_xlfn.XLOOKUP($A433&amp;$B433&amp;$C433,盘货信息!$A:$A&amp;盘货信息!$B:$B&amp;盘货信息!$C:$C,盘货信息!$Q:$Q)&amp;"元红包（每个淘宝账号仅限对应一个站外种草账号，同一个种草账号不可对应多个淘宝账号）")</f>
        <v/>
      </c>
      <c r="T433" s="27" t="str" cm="1">
        <f t="array" ref="T433">IF(_xlfn.XLOOKUP($A433&amp;$B433&amp;$C433,盘货信息!$A:$A&amp;盘货信息!$B:$B&amp;盘货信息!$C:$C,盘货信息!$R:$R)&lt;1,"","【以旧换新】"&amp;"享补贴"&amp;ROUND(_xlfn.XLOOKUP($A433&amp;$B433&amp;$C433,盘货信息!$A:$A&amp;盘货信息!$B:$B&amp;盘货信息!$C:$C,盘货信息!$R:$R),0)&amp;"元（可无旧机换新）")</f>
        <v/>
      </c>
      <c r="U433" s="27" t="str">
        <f>IF(AND($N433="",$O433="",$P433="",$Q433="",$R433="",$S433="",$T433=""),"",固定信息!$B$1)</f>
        <v/>
      </c>
      <c r="V433" s="27" t="str" cm="1">
        <f t="array" ref="V433">IF(_xlfn.XLOOKUP($A433&amp;$B433&amp;$C433,盘货信息!$A:$A&amp;盘货信息!$B:$B&amp;盘货信息!$C:$C,盘货信息!$Y:$Y)="","","【卡萨帝送赠】活动指定时间"&amp;_xlfn.TEXTBEFORE(_xlfn.TEXTAFTER(_xlfn.XLOOKUP($A433&amp;$B433&amp;$C433,盘货信息!$A:$A&amp;盘货信息!$B:$B&amp;盘货信息!$C:$C,盘货信息!$Y:$Y),"点"),"（"))</f>
        <v/>
      </c>
      <c r="W433" s="27" t="str" cm="1">
        <f t="array" ref="W433">IF(COUNTIF(_xlfn.XLOOKUP($A433&amp;$B433&amp;$C433,盘货信息!$A:$A&amp;盘货信息!$B:$B&amp;盘货信息!$C:$C,盘货信息!$O:$O),"*是*"),"【折扣】指定型号满2类享96折，满3类享94折","")</f>
        <v/>
      </c>
      <c r="X433" s="27" t="str" cm="1">
        <f t="array" ref="X433">IF(固定信息!$B$7="","",IF(_xlfn.XLOOKUP($A433&amp;$B433&amp;$C433,盘货信息!$A:$A&amp;盘货信息!$B:$B&amp;盘货信息!$C:$C,盘货信息!$N:$N)="是","【瓜分】"&amp;固定信息!$B$7,""))</f>
        <v/>
      </c>
      <c r="Y433" s="27" t="str">
        <f>IF(AND($V433="",$W433="",$X433=""),"",固定信息!$B$1)</f>
        <v/>
      </c>
      <c r="Z433" s="27" t="str" cm="1">
        <f t="array" ref="Z433">IF($C433="","",_xlfn.XLOOKUP($A433&amp;$B433&amp;$C433,服务!$A:$A&amp;服务!$B:$B&amp;服务!$C:$C,服务!$D:$D))</f>
        <v/>
      </c>
    </row>
    <row r="434" customHeight="1" spans="1:26">
      <c r="A434" s="23" t="str">
        <f>IF(盘货信息!A434="","",盘货信息!A434)</f>
        <v/>
      </c>
      <c r="B434" s="26" t="str">
        <f>IF(盘货信息!B434="","",盘货信息!B434)</f>
        <v/>
      </c>
      <c r="C434" s="23" t="str">
        <f>IF(盘货信息!C434="","",盘货信息!C434)</f>
        <v/>
      </c>
      <c r="D434" s="27" t="str">
        <f ca="1" t="shared" si="6"/>
        <v/>
      </c>
      <c r="E434" s="27" t="str">
        <f>IF(C434="","",固定信息!$B$2)</f>
        <v/>
      </c>
      <c r="F434" s="27" t="str">
        <f>IF(C434="","","【"&amp;C434&amp;"】"&amp;固定信息!$B$4)</f>
        <v/>
      </c>
      <c r="G434" s="27" t="str">
        <f>IF(C434="","","【"&amp;"活动时间："&amp;固定信息!$B$3&amp;"】")</f>
        <v/>
      </c>
      <c r="H434" s="27" t="str">
        <f>IF($C434="","",固定信息!$B$1)</f>
        <v/>
      </c>
      <c r="I434" s="27" t="str">
        <f>IF(OR(C434="",固定信息!$B$5=""),"","【1元预约锁好礼】"&amp;固定信息!$B$5)</f>
        <v/>
      </c>
      <c r="J434" s="27" t="str" cm="1">
        <f t="array" ref="J434">_xlfn.XLOOKUP($A434&amp;$B434&amp;$C434,价格信息!$A:$A&amp;价格信息!$B:$B&amp;价格信息!$C:$C,价格信息!$D:$D)</f>
        <v/>
      </c>
      <c r="K434" s="27" t="str">
        <f>IF($C434="","",固定信息!$B$1)</f>
        <v/>
      </c>
      <c r="L434" s="27" t="str" cm="1">
        <f t="array" ref="L434">IF(_xlfn.XLOOKUP($A434&amp;$B434&amp;$C434,盘货信息!$A:$A&amp;盘货信息!$B:$B&amp;盘货信息!$C:$C,盘货信息!$T:$T)="","","【优惠券】领"&amp;_xlfn.XLOOKUP($A434&amp;$B434&amp;$C434,盘货信息!$A:$A&amp;盘货信息!$B:$B&amp;盘货信息!$C:$C,盘货信息!$T:$T)&amp;"元优惠卷下单更优惠，领券链接："&amp;_xlfn.XLOOKUP($A434&amp;$B434&amp;$C434,盘货信息!$A:$A&amp;盘货信息!$B:$B&amp;盘货信息!$C:$C,盘货信息!$U:$U))</f>
        <v/>
      </c>
      <c r="M434" s="27" t="str" cm="1">
        <f t="array" ref="M434">IF(_xlfn.XLOOKUP($A434&amp;$B434&amp;$C434,盘货信息!$A:$A&amp;盘货信息!$B:$B&amp;盘货信息!$C:$C,盘货信息!$P:$P)="","","【限时】"&amp;_xlfn.XLOOKUP($A434&amp;$B434&amp;$C434,盘货信息!$A:$A&amp;盘货信息!$B:$B&amp;盘货信息!$C:$C,盘货信息!$P:$P))</f>
        <v/>
      </c>
      <c r="N434" s="27" t="str" cm="1">
        <f t="array" ref="N434">IF(_xlfn.XLOOKUP($A434&amp;$B434&amp;$C434,盘货信息!$A:$A&amp;盘货信息!$B:$B&amp;盘货信息!$C:$C,盘货信息!$V:$V)="","","【"&amp;盘货信息!$V$1&amp;"】"&amp;_xlfn.XLOOKUP($A434&amp;$B434&amp;$C434,盘货信息!$A:$A&amp;盘货信息!$B:$B&amp;盘货信息!$C:$C,盘货信息!$V:$V))</f>
        <v/>
      </c>
      <c r="O434" s="27" t="str" cm="1">
        <f t="array" ref="O434">IF(_xlfn.XLOOKUP($A434&amp;$B434&amp;$C434,盘货信息!$A:$A&amp;盘货信息!$B:$B&amp;盘货信息!$C:$C,盘货信息!$W:$W)="","","【"&amp;盘货信息!$W$1&amp;"】"&amp;_xlfn.XLOOKUP($A434&amp;$B434&amp;$C434,盘货信息!$A:$A&amp;盘货信息!$B:$B&amp;盘货信息!$C:$C,盘货信息!$W:$W))</f>
        <v/>
      </c>
      <c r="P434" s="27" t="str" cm="1">
        <f t="array" ref="P434">IF(_xlfn.XLOOKUP($A434&amp;$B434&amp;$C434,盘货信息!$A:$A&amp;盘货信息!$B:$B&amp;盘货信息!$C:$C,盘货信息!$S:$S)&lt;1,"","【"&amp;盘货信息!$S$1&amp;"】"&amp;"后返"&amp;_xlfn.XLOOKUP($A434&amp;$B434&amp;$C434,盘货信息!$A:$A&amp;盘货信息!$B:$B&amp;盘货信息!$C:$C,盘货信息!$S:$S)&amp;"元")</f>
        <v/>
      </c>
      <c r="Q434" s="27" t="str" cm="1">
        <f t="array" ref="Q434">IF(_xlfn.XLOOKUP($A434&amp;$B434&amp;$C434,盘货信息!$A:$A&amp;盘货信息!$B:$B&amp;盘货信息!$C:$C,盘货信息!$X:$X)="","","【"&amp;盘货信息!$X$1&amp;"】"&amp;_xlfn.XLOOKUP($A434&amp;$B434&amp;$C434,盘货信息!$A:$A&amp;盘货信息!$B:$B&amp;盘货信息!$C:$C,盘货信息!$X:$X))</f>
        <v/>
      </c>
      <c r="R434" s="27" t="str" cm="1">
        <f t="array" ref="R434">IF(_xlfn.XLOOKUP($A434&amp;$B434&amp;$C434,盘货信息!$A:$A&amp;盘货信息!$B:$B&amp;盘货信息!$C:$C,盘货信息!$Z:$Z)="","","【"&amp;盘货信息!$Z$1&amp;"】"&amp;_xlfn.XLOOKUP($A434&amp;$B434&amp;$C434,盘货信息!$A:$A&amp;盘货信息!$B:$B&amp;盘货信息!$C:$C,盘货信息!$Z:$Z))</f>
        <v/>
      </c>
      <c r="S434" s="27" t="str" cm="1">
        <f t="array" ref="S434">IF(_xlfn.XLOOKUP($A434&amp;$B434&amp;$C434,盘货信息!$A:$A&amp;盘货信息!$B:$B&amp;盘货信息!$C:$C,盘货信息!$Q:$Q)="","","【种草】站外带指定话题种草后返"&amp;_xlfn.XLOOKUP($A434&amp;$B434&amp;$C434,盘货信息!$A:$A&amp;盘货信息!$B:$B&amp;盘货信息!$C:$C,盘货信息!$Q:$Q)&amp;"元红包（每个淘宝账号仅限对应一个站外种草账号，同一个种草账号不可对应多个淘宝账号）")</f>
        <v/>
      </c>
      <c r="T434" s="27" t="str" cm="1">
        <f t="array" ref="T434">IF(_xlfn.XLOOKUP($A434&amp;$B434&amp;$C434,盘货信息!$A:$A&amp;盘货信息!$B:$B&amp;盘货信息!$C:$C,盘货信息!$R:$R)&lt;1,"","【以旧换新】"&amp;"享补贴"&amp;ROUND(_xlfn.XLOOKUP($A434&amp;$B434&amp;$C434,盘货信息!$A:$A&amp;盘货信息!$B:$B&amp;盘货信息!$C:$C,盘货信息!$R:$R),0)&amp;"元（可无旧机换新）")</f>
        <v/>
      </c>
      <c r="U434" s="27" t="str">
        <f>IF(AND($N434="",$O434="",$P434="",$Q434="",$R434="",$S434="",$T434=""),"",固定信息!$B$1)</f>
        <v/>
      </c>
      <c r="V434" s="27" t="str" cm="1">
        <f t="array" ref="V434">IF(_xlfn.XLOOKUP($A434&amp;$B434&amp;$C434,盘货信息!$A:$A&amp;盘货信息!$B:$B&amp;盘货信息!$C:$C,盘货信息!$Y:$Y)="","","【卡萨帝送赠】活动指定时间"&amp;_xlfn.TEXTBEFORE(_xlfn.TEXTAFTER(_xlfn.XLOOKUP($A434&amp;$B434&amp;$C434,盘货信息!$A:$A&amp;盘货信息!$B:$B&amp;盘货信息!$C:$C,盘货信息!$Y:$Y),"点"),"（"))</f>
        <v/>
      </c>
      <c r="W434" s="27" t="str" cm="1">
        <f t="array" ref="W434">IF(COUNTIF(_xlfn.XLOOKUP($A434&amp;$B434&amp;$C434,盘货信息!$A:$A&amp;盘货信息!$B:$B&amp;盘货信息!$C:$C,盘货信息!$O:$O),"*是*"),"【折扣】指定型号满2类享96折，满3类享94折","")</f>
        <v/>
      </c>
      <c r="X434" s="27" t="str" cm="1">
        <f t="array" ref="X434">IF(固定信息!$B$7="","",IF(_xlfn.XLOOKUP($A434&amp;$B434&amp;$C434,盘货信息!$A:$A&amp;盘货信息!$B:$B&amp;盘货信息!$C:$C,盘货信息!$N:$N)="是","【瓜分】"&amp;固定信息!$B$7,""))</f>
        <v/>
      </c>
      <c r="Y434" s="27" t="str">
        <f>IF(AND($V434="",$W434="",$X434=""),"",固定信息!$B$1)</f>
        <v/>
      </c>
      <c r="Z434" s="27" t="str" cm="1">
        <f t="array" ref="Z434">IF($C434="","",_xlfn.XLOOKUP($A434&amp;$B434&amp;$C434,服务!$A:$A&amp;服务!$B:$B&amp;服务!$C:$C,服务!$D:$D))</f>
        <v/>
      </c>
    </row>
    <row r="435" customHeight="1" spans="1:26">
      <c r="A435" s="23" t="str">
        <f>IF(盘货信息!A435="","",盘货信息!A435)</f>
        <v/>
      </c>
      <c r="B435" s="26" t="str">
        <f>IF(盘货信息!B435="","",盘货信息!B435)</f>
        <v/>
      </c>
      <c r="C435" s="23" t="str">
        <f>IF(盘货信息!C435="","",盘货信息!C435)</f>
        <v/>
      </c>
      <c r="D435" s="27" t="str">
        <f ca="1" t="shared" si="6"/>
        <v/>
      </c>
      <c r="E435" s="27" t="str">
        <f>IF(C435="","",固定信息!$B$2)</f>
        <v/>
      </c>
      <c r="F435" s="27" t="str">
        <f>IF(C435="","","【"&amp;C435&amp;"】"&amp;固定信息!$B$4)</f>
        <v/>
      </c>
      <c r="G435" s="27" t="str">
        <f>IF(C435="","","【"&amp;"活动时间："&amp;固定信息!$B$3&amp;"】")</f>
        <v/>
      </c>
      <c r="H435" s="27" t="str">
        <f>IF($C435="","",固定信息!$B$1)</f>
        <v/>
      </c>
      <c r="I435" s="27" t="str">
        <f>IF(OR(C435="",固定信息!$B$5=""),"","【1元预约锁好礼】"&amp;固定信息!$B$5)</f>
        <v/>
      </c>
      <c r="J435" s="27" t="str" cm="1">
        <f t="array" ref="J435">_xlfn.XLOOKUP($A435&amp;$B435&amp;$C435,价格信息!$A:$A&amp;价格信息!$B:$B&amp;价格信息!$C:$C,价格信息!$D:$D)</f>
        <v/>
      </c>
      <c r="K435" s="27" t="str">
        <f>IF($C435="","",固定信息!$B$1)</f>
        <v/>
      </c>
      <c r="L435" s="27" t="str" cm="1">
        <f t="array" ref="L435">IF(_xlfn.XLOOKUP($A435&amp;$B435&amp;$C435,盘货信息!$A:$A&amp;盘货信息!$B:$B&amp;盘货信息!$C:$C,盘货信息!$T:$T)="","","【优惠券】领"&amp;_xlfn.XLOOKUP($A435&amp;$B435&amp;$C435,盘货信息!$A:$A&amp;盘货信息!$B:$B&amp;盘货信息!$C:$C,盘货信息!$T:$T)&amp;"元优惠卷下单更优惠，领券链接："&amp;_xlfn.XLOOKUP($A435&amp;$B435&amp;$C435,盘货信息!$A:$A&amp;盘货信息!$B:$B&amp;盘货信息!$C:$C,盘货信息!$U:$U))</f>
        <v/>
      </c>
      <c r="M435" s="27" t="str" cm="1">
        <f t="array" ref="M435">IF(_xlfn.XLOOKUP($A435&amp;$B435&amp;$C435,盘货信息!$A:$A&amp;盘货信息!$B:$B&amp;盘货信息!$C:$C,盘货信息!$P:$P)="","","【限时】"&amp;_xlfn.XLOOKUP($A435&amp;$B435&amp;$C435,盘货信息!$A:$A&amp;盘货信息!$B:$B&amp;盘货信息!$C:$C,盘货信息!$P:$P))</f>
        <v/>
      </c>
      <c r="N435" s="27" t="str" cm="1">
        <f t="array" ref="N435">IF(_xlfn.XLOOKUP($A435&amp;$B435&amp;$C435,盘货信息!$A:$A&amp;盘货信息!$B:$B&amp;盘货信息!$C:$C,盘货信息!$V:$V)="","","【"&amp;盘货信息!$V$1&amp;"】"&amp;_xlfn.XLOOKUP($A435&amp;$B435&amp;$C435,盘货信息!$A:$A&amp;盘货信息!$B:$B&amp;盘货信息!$C:$C,盘货信息!$V:$V))</f>
        <v/>
      </c>
      <c r="O435" s="27" t="str" cm="1">
        <f t="array" ref="O435">IF(_xlfn.XLOOKUP($A435&amp;$B435&amp;$C435,盘货信息!$A:$A&amp;盘货信息!$B:$B&amp;盘货信息!$C:$C,盘货信息!$W:$W)="","","【"&amp;盘货信息!$W$1&amp;"】"&amp;_xlfn.XLOOKUP($A435&amp;$B435&amp;$C435,盘货信息!$A:$A&amp;盘货信息!$B:$B&amp;盘货信息!$C:$C,盘货信息!$W:$W))</f>
        <v/>
      </c>
      <c r="P435" s="27" t="str" cm="1">
        <f t="array" ref="P435">IF(_xlfn.XLOOKUP($A435&amp;$B435&amp;$C435,盘货信息!$A:$A&amp;盘货信息!$B:$B&amp;盘货信息!$C:$C,盘货信息!$S:$S)&lt;1,"","【"&amp;盘货信息!$S$1&amp;"】"&amp;"后返"&amp;_xlfn.XLOOKUP($A435&amp;$B435&amp;$C435,盘货信息!$A:$A&amp;盘货信息!$B:$B&amp;盘货信息!$C:$C,盘货信息!$S:$S)&amp;"元")</f>
        <v/>
      </c>
      <c r="Q435" s="27" t="str" cm="1">
        <f t="array" ref="Q435">IF(_xlfn.XLOOKUP($A435&amp;$B435&amp;$C435,盘货信息!$A:$A&amp;盘货信息!$B:$B&amp;盘货信息!$C:$C,盘货信息!$X:$X)="","","【"&amp;盘货信息!$X$1&amp;"】"&amp;_xlfn.XLOOKUP($A435&amp;$B435&amp;$C435,盘货信息!$A:$A&amp;盘货信息!$B:$B&amp;盘货信息!$C:$C,盘货信息!$X:$X))</f>
        <v/>
      </c>
      <c r="R435" s="27" t="str" cm="1">
        <f t="array" ref="R435">IF(_xlfn.XLOOKUP($A435&amp;$B435&amp;$C435,盘货信息!$A:$A&amp;盘货信息!$B:$B&amp;盘货信息!$C:$C,盘货信息!$Z:$Z)="","","【"&amp;盘货信息!$Z$1&amp;"】"&amp;_xlfn.XLOOKUP($A435&amp;$B435&amp;$C435,盘货信息!$A:$A&amp;盘货信息!$B:$B&amp;盘货信息!$C:$C,盘货信息!$Z:$Z))</f>
        <v/>
      </c>
      <c r="S435" s="27" t="str" cm="1">
        <f t="array" ref="S435">IF(_xlfn.XLOOKUP($A435&amp;$B435&amp;$C435,盘货信息!$A:$A&amp;盘货信息!$B:$B&amp;盘货信息!$C:$C,盘货信息!$Q:$Q)="","","【种草】站外带指定话题种草后返"&amp;_xlfn.XLOOKUP($A435&amp;$B435&amp;$C435,盘货信息!$A:$A&amp;盘货信息!$B:$B&amp;盘货信息!$C:$C,盘货信息!$Q:$Q)&amp;"元红包（每个淘宝账号仅限对应一个站外种草账号，同一个种草账号不可对应多个淘宝账号）")</f>
        <v/>
      </c>
      <c r="T435" s="27" t="str" cm="1">
        <f t="array" ref="T435">IF(_xlfn.XLOOKUP($A435&amp;$B435&amp;$C435,盘货信息!$A:$A&amp;盘货信息!$B:$B&amp;盘货信息!$C:$C,盘货信息!$R:$R)&lt;1,"","【以旧换新】"&amp;"享补贴"&amp;ROUND(_xlfn.XLOOKUP($A435&amp;$B435&amp;$C435,盘货信息!$A:$A&amp;盘货信息!$B:$B&amp;盘货信息!$C:$C,盘货信息!$R:$R),0)&amp;"元（可无旧机换新）")</f>
        <v/>
      </c>
      <c r="U435" s="27" t="str">
        <f>IF(AND($N435="",$O435="",$P435="",$Q435="",$R435="",$S435="",$T435=""),"",固定信息!$B$1)</f>
        <v/>
      </c>
      <c r="V435" s="27" t="str" cm="1">
        <f t="array" ref="V435">IF(_xlfn.XLOOKUP($A435&amp;$B435&amp;$C435,盘货信息!$A:$A&amp;盘货信息!$B:$B&amp;盘货信息!$C:$C,盘货信息!$Y:$Y)="","","【卡萨帝送赠】活动指定时间"&amp;_xlfn.TEXTBEFORE(_xlfn.TEXTAFTER(_xlfn.XLOOKUP($A435&amp;$B435&amp;$C435,盘货信息!$A:$A&amp;盘货信息!$B:$B&amp;盘货信息!$C:$C,盘货信息!$Y:$Y),"点"),"（"))</f>
        <v/>
      </c>
      <c r="W435" s="27" t="str" cm="1">
        <f t="array" ref="W435">IF(COUNTIF(_xlfn.XLOOKUP($A435&amp;$B435&amp;$C435,盘货信息!$A:$A&amp;盘货信息!$B:$B&amp;盘货信息!$C:$C,盘货信息!$O:$O),"*是*"),"【折扣】指定型号满2类享96折，满3类享94折","")</f>
        <v/>
      </c>
      <c r="X435" s="27" t="str" cm="1">
        <f t="array" ref="X435">IF(固定信息!$B$7="","",IF(_xlfn.XLOOKUP($A435&amp;$B435&amp;$C435,盘货信息!$A:$A&amp;盘货信息!$B:$B&amp;盘货信息!$C:$C,盘货信息!$N:$N)="是","【瓜分】"&amp;固定信息!$B$7,""))</f>
        <v/>
      </c>
      <c r="Y435" s="27" t="str">
        <f>IF(AND($V435="",$W435="",$X435=""),"",固定信息!$B$1)</f>
        <v/>
      </c>
      <c r="Z435" s="27" t="str" cm="1">
        <f t="array" ref="Z435">IF($C435="","",_xlfn.XLOOKUP($A435&amp;$B435&amp;$C435,服务!$A:$A&amp;服务!$B:$B&amp;服务!$C:$C,服务!$D:$D))</f>
        <v/>
      </c>
    </row>
    <row r="436" customHeight="1" spans="1:26">
      <c r="A436" s="23" t="str">
        <f>IF(盘货信息!A436="","",盘货信息!A436)</f>
        <v/>
      </c>
      <c r="B436" s="26" t="str">
        <f>IF(盘货信息!B436="","",盘货信息!B436)</f>
        <v/>
      </c>
      <c r="C436" s="23" t="str">
        <f>IF(盘货信息!C436="","",盘货信息!C436)</f>
        <v/>
      </c>
      <c r="D436" s="27" t="str">
        <f ca="1" t="shared" si="6"/>
        <v/>
      </c>
      <c r="E436" s="27" t="str">
        <f>IF(C436="","",固定信息!$B$2)</f>
        <v/>
      </c>
      <c r="F436" s="27" t="str">
        <f>IF(C436="","","【"&amp;C436&amp;"】"&amp;固定信息!$B$4)</f>
        <v/>
      </c>
      <c r="G436" s="27" t="str">
        <f>IF(C436="","","【"&amp;"活动时间："&amp;固定信息!$B$3&amp;"】")</f>
        <v/>
      </c>
      <c r="H436" s="27" t="str">
        <f>IF($C436="","",固定信息!$B$1)</f>
        <v/>
      </c>
      <c r="I436" s="27" t="str">
        <f>IF(OR(C436="",固定信息!$B$5=""),"","【1元预约锁好礼】"&amp;固定信息!$B$5)</f>
        <v/>
      </c>
      <c r="J436" s="27" t="str" cm="1">
        <f t="array" ref="J436">_xlfn.XLOOKUP($A436&amp;$B436&amp;$C436,价格信息!$A:$A&amp;价格信息!$B:$B&amp;价格信息!$C:$C,价格信息!$D:$D)</f>
        <v/>
      </c>
      <c r="K436" s="27" t="str">
        <f>IF($C436="","",固定信息!$B$1)</f>
        <v/>
      </c>
      <c r="L436" s="27" t="str" cm="1">
        <f t="array" ref="L436">IF(_xlfn.XLOOKUP($A436&amp;$B436&amp;$C436,盘货信息!$A:$A&amp;盘货信息!$B:$B&amp;盘货信息!$C:$C,盘货信息!$T:$T)="","","【优惠券】领"&amp;_xlfn.XLOOKUP($A436&amp;$B436&amp;$C436,盘货信息!$A:$A&amp;盘货信息!$B:$B&amp;盘货信息!$C:$C,盘货信息!$T:$T)&amp;"元优惠卷下单更优惠，领券链接："&amp;_xlfn.XLOOKUP($A436&amp;$B436&amp;$C436,盘货信息!$A:$A&amp;盘货信息!$B:$B&amp;盘货信息!$C:$C,盘货信息!$U:$U))</f>
        <v/>
      </c>
      <c r="M436" s="27" t="str" cm="1">
        <f t="array" ref="M436">IF(_xlfn.XLOOKUP($A436&amp;$B436&amp;$C436,盘货信息!$A:$A&amp;盘货信息!$B:$B&amp;盘货信息!$C:$C,盘货信息!$P:$P)="","","【限时】"&amp;_xlfn.XLOOKUP($A436&amp;$B436&amp;$C436,盘货信息!$A:$A&amp;盘货信息!$B:$B&amp;盘货信息!$C:$C,盘货信息!$P:$P))</f>
        <v/>
      </c>
      <c r="N436" s="27" t="str" cm="1">
        <f t="array" ref="N436">IF(_xlfn.XLOOKUP($A436&amp;$B436&amp;$C436,盘货信息!$A:$A&amp;盘货信息!$B:$B&amp;盘货信息!$C:$C,盘货信息!$V:$V)="","","【"&amp;盘货信息!$V$1&amp;"】"&amp;_xlfn.XLOOKUP($A436&amp;$B436&amp;$C436,盘货信息!$A:$A&amp;盘货信息!$B:$B&amp;盘货信息!$C:$C,盘货信息!$V:$V))</f>
        <v/>
      </c>
      <c r="O436" s="27" t="str" cm="1">
        <f t="array" ref="O436">IF(_xlfn.XLOOKUP($A436&amp;$B436&amp;$C436,盘货信息!$A:$A&amp;盘货信息!$B:$B&amp;盘货信息!$C:$C,盘货信息!$W:$W)="","","【"&amp;盘货信息!$W$1&amp;"】"&amp;_xlfn.XLOOKUP($A436&amp;$B436&amp;$C436,盘货信息!$A:$A&amp;盘货信息!$B:$B&amp;盘货信息!$C:$C,盘货信息!$W:$W))</f>
        <v/>
      </c>
      <c r="P436" s="27" t="str" cm="1">
        <f t="array" ref="P436">IF(_xlfn.XLOOKUP($A436&amp;$B436&amp;$C436,盘货信息!$A:$A&amp;盘货信息!$B:$B&amp;盘货信息!$C:$C,盘货信息!$S:$S)&lt;1,"","【"&amp;盘货信息!$S$1&amp;"】"&amp;"后返"&amp;_xlfn.XLOOKUP($A436&amp;$B436&amp;$C436,盘货信息!$A:$A&amp;盘货信息!$B:$B&amp;盘货信息!$C:$C,盘货信息!$S:$S)&amp;"元")</f>
        <v/>
      </c>
      <c r="Q436" s="27" t="str" cm="1">
        <f t="array" ref="Q436">IF(_xlfn.XLOOKUP($A436&amp;$B436&amp;$C436,盘货信息!$A:$A&amp;盘货信息!$B:$B&amp;盘货信息!$C:$C,盘货信息!$X:$X)="","","【"&amp;盘货信息!$X$1&amp;"】"&amp;_xlfn.XLOOKUP($A436&amp;$B436&amp;$C436,盘货信息!$A:$A&amp;盘货信息!$B:$B&amp;盘货信息!$C:$C,盘货信息!$X:$X))</f>
        <v/>
      </c>
      <c r="R436" s="27" t="str" cm="1">
        <f t="array" ref="R436">IF(_xlfn.XLOOKUP($A436&amp;$B436&amp;$C436,盘货信息!$A:$A&amp;盘货信息!$B:$B&amp;盘货信息!$C:$C,盘货信息!$Z:$Z)="","","【"&amp;盘货信息!$Z$1&amp;"】"&amp;_xlfn.XLOOKUP($A436&amp;$B436&amp;$C436,盘货信息!$A:$A&amp;盘货信息!$B:$B&amp;盘货信息!$C:$C,盘货信息!$Z:$Z))</f>
        <v/>
      </c>
      <c r="S436" s="27" t="str" cm="1">
        <f t="array" ref="S436">IF(_xlfn.XLOOKUP($A436&amp;$B436&amp;$C436,盘货信息!$A:$A&amp;盘货信息!$B:$B&amp;盘货信息!$C:$C,盘货信息!$Q:$Q)="","","【种草】站外带指定话题种草后返"&amp;_xlfn.XLOOKUP($A436&amp;$B436&amp;$C436,盘货信息!$A:$A&amp;盘货信息!$B:$B&amp;盘货信息!$C:$C,盘货信息!$Q:$Q)&amp;"元红包（每个淘宝账号仅限对应一个站外种草账号，同一个种草账号不可对应多个淘宝账号）")</f>
        <v/>
      </c>
      <c r="T436" s="27" t="str" cm="1">
        <f t="array" ref="T436">IF(_xlfn.XLOOKUP($A436&amp;$B436&amp;$C436,盘货信息!$A:$A&amp;盘货信息!$B:$B&amp;盘货信息!$C:$C,盘货信息!$R:$R)&lt;1,"","【以旧换新】"&amp;"享补贴"&amp;ROUND(_xlfn.XLOOKUP($A436&amp;$B436&amp;$C436,盘货信息!$A:$A&amp;盘货信息!$B:$B&amp;盘货信息!$C:$C,盘货信息!$R:$R),0)&amp;"元（可无旧机换新）")</f>
        <v/>
      </c>
      <c r="U436" s="27" t="str">
        <f>IF(AND($N436="",$O436="",$P436="",$Q436="",$R436="",$S436="",$T436=""),"",固定信息!$B$1)</f>
        <v/>
      </c>
      <c r="V436" s="27" t="str" cm="1">
        <f t="array" ref="V436">IF(_xlfn.XLOOKUP($A436&amp;$B436&amp;$C436,盘货信息!$A:$A&amp;盘货信息!$B:$B&amp;盘货信息!$C:$C,盘货信息!$Y:$Y)="","","【卡萨帝送赠】活动指定时间"&amp;_xlfn.TEXTBEFORE(_xlfn.TEXTAFTER(_xlfn.XLOOKUP($A436&amp;$B436&amp;$C436,盘货信息!$A:$A&amp;盘货信息!$B:$B&amp;盘货信息!$C:$C,盘货信息!$Y:$Y),"点"),"（"))</f>
        <v/>
      </c>
      <c r="W436" s="27" t="str" cm="1">
        <f t="array" ref="W436">IF(COUNTIF(_xlfn.XLOOKUP($A436&amp;$B436&amp;$C436,盘货信息!$A:$A&amp;盘货信息!$B:$B&amp;盘货信息!$C:$C,盘货信息!$O:$O),"*是*"),"【折扣】指定型号满2类享96折，满3类享94折","")</f>
        <v/>
      </c>
      <c r="X436" s="27" t="str" cm="1">
        <f t="array" ref="X436">IF(固定信息!$B$7="","",IF(_xlfn.XLOOKUP($A436&amp;$B436&amp;$C436,盘货信息!$A:$A&amp;盘货信息!$B:$B&amp;盘货信息!$C:$C,盘货信息!$N:$N)="是","【瓜分】"&amp;固定信息!$B$7,""))</f>
        <v/>
      </c>
      <c r="Y436" s="27" t="str">
        <f>IF(AND($V436="",$W436="",$X436=""),"",固定信息!$B$1)</f>
        <v/>
      </c>
      <c r="Z436" s="27" t="str" cm="1">
        <f t="array" ref="Z436">IF($C436="","",_xlfn.XLOOKUP($A436&amp;$B436&amp;$C436,服务!$A:$A&amp;服务!$B:$B&amp;服务!$C:$C,服务!$D:$D))</f>
        <v/>
      </c>
    </row>
    <row r="437" customHeight="1" spans="1:26">
      <c r="A437" s="23" t="str">
        <f>IF(盘货信息!A437="","",盘货信息!A437)</f>
        <v/>
      </c>
      <c r="B437" s="26" t="str">
        <f>IF(盘货信息!B437="","",盘货信息!B437)</f>
        <v/>
      </c>
      <c r="C437" s="23" t="str">
        <f>IF(盘货信息!C437="","",盘货信息!C437)</f>
        <v/>
      </c>
      <c r="D437" s="27" t="str">
        <f ca="1" t="shared" si="6"/>
        <v/>
      </c>
      <c r="E437" s="27" t="str">
        <f>IF(C437="","",固定信息!$B$2)</f>
        <v/>
      </c>
      <c r="F437" s="27" t="str">
        <f>IF(C437="","","【"&amp;C437&amp;"】"&amp;固定信息!$B$4)</f>
        <v/>
      </c>
      <c r="G437" s="27" t="str">
        <f>IF(C437="","","【"&amp;"活动时间："&amp;固定信息!$B$3&amp;"】")</f>
        <v/>
      </c>
      <c r="H437" s="27" t="str">
        <f>IF($C437="","",固定信息!$B$1)</f>
        <v/>
      </c>
      <c r="I437" s="27" t="str">
        <f>IF(OR(C437="",固定信息!$B$5=""),"","【1元预约锁好礼】"&amp;固定信息!$B$5)</f>
        <v/>
      </c>
      <c r="J437" s="27" t="str" cm="1">
        <f t="array" ref="J437">_xlfn.XLOOKUP($A437&amp;$B437&amp;$C437,价格信息!$A:$A&amp;价格信息!$B:$B&amp;价格信息!$C:$C,价格信息!$D:$D)</f>
        <v/>
      </c>
      <c r="K437" s="27" t="str">
        <f>IF($C437="","",固定信息!$B$1)</f>
        <v/>
      </c>
      <c r="L437" s="27" t="str" cm="1">
        <f t="array" ref="L437">IF(_xlfn.XLOOKUP($A437&amp;$B437&amp;$C437,盘货信息!$A:$A&amp;盘货信息!$B:$B&amp;盘货信息!$C:$C,盘货信息!$T:$T)="","","【优惠券】领"&amp;_xlfn.XLOOKUP($A437&amp;$B437&amp;$C437,盘货信息!$A:$A&amp;盘货信息!$B:$B&amp;盘货信息!$C:$C,盘货信息!$T:$T)&amp;"元优惠卷下单更优惠，领券链接："&amp;_xlfn.XLOOKUP($A437&amp;$B437&amp;$C437,盘货信息!$A:$A&amp;盘货信息!$B:$B&amp;盘货信息!$C:$C,盘货信息!$U:$U))</f>
        <v/>
      </c>
      <c r="M437" s="27" t="str" cm="1">
        <f t="array" ref="M437">IF(_xlfn.XLOOKUP($A437&amp;$B437&amp;$C437,盘货信息!$A:$A&amp;盘货信息!$B:$B&amp;盘货信息!$C:$C,盘货信息!$P:$P)="","","【限时】"&amp;_xlfn.XLOOKUP($A437&amp;$B437&amp;$C437,盘货信息!$A:$A&amp;盘货信息!$B:$B&amp;盘货信息!$C:$C,盘货信息!$P:$P))</f>
        <v/>
      </c>
      <c r="N437" s="27" t="str" cm="1">
        <f t="array" ref="N437">IF(_xlfn.XLOOKUP($A437&amp;$B437&amp;$C437,盘货信息!$A:$A&amp;盘货信息!$B:$B&amp;盘货信息!$C:$C,盘货信息!$V:$V)="","","【"&amp;盘货信息!$V$1&amp;"】"&amp;_xlfn.XLOOKUP($A437&amp;$B437&amp;$C437,盘货信息!$A:$A&amp;盘货信息!$B:$B&amp;盘货信息!$C:$C,盘货信息!$V:$V))</f>
        <v/>
      </c>
      <c r="O437" s="27" t="str" cm="1">
        <f t="array" ref="O437">IF(_xlfn.XLOOKUP($A437&amp;$B437&amp;$C437,盘货信息!$A:$A&amp;盘货信息!$B:$B&amp;盘货信息!$C:$C,盘货信息!$W:$W)="","","【"&amp;盘货信息!$W$1&amp;"】"&amp;_xlfn.XLOOKUP($A437&amp;$B437&amp;$C437,盘货信息!$A:$A&amp;盘货信息!$B:$B&amp;盘货信息!$C:$C,盘货信息!$W:$W))</f>
        <v/>
      </c>
      <c r="P437" s="27" t="str" cm="1">
        <f t="array" ref="P437">IF(_xlfn.XLOOKUP($A437&amp;$B437&amp;$C437,盘货信息!$A:$A&amp;盘货信息!$B:$B&amp;盘货信息!$C:$C,盘货信息!$S:$S)&lt;1,"","【"&amp;盘货信息!$S$1&amp;"】"&amp;"后返"&amp;_xlfn.XLOOKUP($A437&amp;$B437&amp;$C437,盘货信息!$A:$A&amp;盘货信息!$B:$B&amp;盘货信息!$C:$C,盘货信息!$S:$S)&amp;"元")</f>
        <v/>
      </c>
      <c r="Q437" s="27" t="str" cm="1">
        <f t="array" ref="Q437">IF(_xlfn.XLOOKUP($A437&amp;$B437&amp;$C437,盘货信息!$A:$A&amp;盘货信息!$B:$B&amp;盘货信息!$C:$C,盘货信息!$X:$X)="","","【"&amp;盘货信息!$X$1&amp;"】"&amp;_xlfn.XLOOKUP($A437&amp;$B437&amp;$C437,盘货信息!$A:$A&amp;盘货信息!$B:$B&amp;盘货信息!$C:$C,盘货信息!$X:$X))</f>
        <v/>
      </c>
      <c r="R437" s="27" t="str" cm="1">
        <f t="array" ref="R437">IF(_xlfn.XLOOKUP($A437&amp;$B437&amp;$C437,盘货信息!$A:$A&amp;盘货信息!$B:$B&amp;盘货信息!$C:$C,盘货信息!$Z:$Z)="","","【"&amp;盘货信息!$Z$1&amp;"】"&amp;_xlfn.XLOOKUP($A437&amp;$B437&amp;$C437,盘货信息!$A:$A&amp;盘货信息!$B:$B&amp;盘货信息!$C:$C,盘货信息!$Z:$Z))</f>
        <v/>
      </c>
      <c r="S437" s="27" t="str" cm="1">
        <f t="array" ref="S437">IF(_xlfn.XLOOKUP($A437&amp;$B437&amp;$C437,盘货信息!$A:$A&amp;盘货信息!$B:$B&amp;盘货信息!$C:$C,盘货信息!$Q:$Q)="","","【种草】站外带指定话题种草后返"&amp;_xlfn.XLOOKUP($A437&amp;$B437&amp;$C437,盘货信息!$A:$A&amp;盘货信息!$B:$B&amp;盘货信息!$C:$C,盘货信息!$Q:$Q)&amp;"元红包（每个淘宝账号仅限对应一个站外种草账号，同一个种草账号不可对应多个淘宝账号）")</f>
        <v/>
      </c>
      <c r="T437" s="27" t="str" cm="1">
        <f t="array" ref="T437">IF(_xlfn.XLOOKUP($A437&amp;$B437&amp;$C437,盘货信息!$A:$A&amp;盘货信息!$B:$B&amp;盘货信息!$C:$C,盘货信息!$R:$R)&lt;1,"","【以旧换新】"&amp;"享补贴"&amp;ROUND(_xlfn.XLOOKUP($A437&amp;$B437&amp;$C437,盘货信息!$A:$A&amp;盘货信息!$B:$B&amp;盘货信息!$C:$C,盘货信息!$R:$R),0)&amp;"元（可无旧机换新）")</f>
        <v/>
      </c>
      <c r="U437" s="27" t="str">
        <f>IF(AND($N437="",$O437="",$P437="",$Q437="",$R437="",$S437="",$T437=""),"",固定信息!$B$1)</f>
        <v/>
      </c>
      <c r="V437" s="27" t="str" cm="1">
        <f t="array" ref="V437">IF(_xlfn.XLOOKUP($A437&amp;$B437&amp;$C437,盘货信息!$A:$A&amp;盘货信息!$B:$B&amp;盘货信息!$C:$C,盘货信息!$Y:$Y)="","","【卡萨帝送赠】活动指定时间"&amp;_xlfn.TEXTBEFORE(_xlfn.TEXTAFTER(_xlfn.XLOOKUP($A437&amp;$B437&amp;$C437,盘货信息!$A:$A&amp;盘货信息!$B:$B&amp;盘货信息!$C:$C,盘货信息!$Y:$Y),"点"),"（"))</f>
        <v/>
      </c>
      <c r="W437" s="27" t="str" cm="1">
        <f t="array" ref="W437">IF(COUNTIF(_xlfn.XLOOKUP($A437&amp;$B437&amp;$C437,盘货信息!$A:$A&amp;盘货信息!$B:$B&amp;盘货信息!$C:$C,盘货信息!$O:$O),"*是*"),"【折扣】指定型号满2类享96折，满3类享94折","")</f>
        <v/>
      </c>
      <c r="X437" s="27" t="str" cm="1">
        <f t="array" ref="X437">IF(固定信息!$B$7="","",IF(_xlfn.XLOOKUP($A437&amp;$B437&amp;$C437,盘货信息!$A:$A&amp;盘货信息!$B:$B&amp;盘货信息!$C:$C,盘货信息!$N:$N)="是","【瓜分】"&amp;固定信息!$B$7,""))</f>
        <v/>
      </c>
      <c r="Y437" s="27" t="str">
        <f>IF(AND($V437="",$W437="",$X437=""),"",固定信息!$B$1)</f>
        <v/>
      </c>
      <c r="Z437" s="27" t="str" cm="1">
        <f t="array" ref="Z437">IF($C437="","",_xlfn.XLOOKUP($A437&amp;$B437&amp;$C437,服务!$A:$A&amp;服务!$B:$B&amp;服务!$C:$C,服务!$D:$D))</f>
        <v/>
      </c>
    </row>
    <row r="438" customHeight="1" spans="1:26">
      <c r="A438" s="23" t="str">
        <f>IF(盘货信息!A438="","",盘货信息!A438)</f>
        <v/>
      </c>
      <c r="B438" s="26" t="str">
        <f>IF(盘货信息!B438="","",盘货信息!B438)</f>
        <v/>
      </c>
      <c r="C438" s="23" t="str">
        <f>IF(盘货信息!C438="","",盘货信息!C438)</f>
        <v/>
      </c>
      <c r="D438" s="27" t="str">
        <f ca="1" t="shared" si="6"/>
        <v/>
      </c>
      <c r="E438" s="27" t="str">
        <f>IF(C438="","",固定信息!$B$2)</f>
        <v/>
      </c>
      <c r="F438" s="27" t="str">
        <f>IF(C438="","","【"&amp;C438&amp;"】"&amp;固定信息!$B$4)</f>
        <v/>
      </c>
      <c r="G438" s="27" t="str">
        <f>IF(C438="","","【"&amp;"活动时间："&amp;固定信息!$B$3&amp;"】")</f>
        <v/>
      </c>
      <c r="H438" s="27" t="str">
        <f>IF($C438="","",固定信息!$B$1)</f>
        <v/>
      </c>
      <c r="I438" s="27" t="str">
        <f>IF(OR(C438="",固定信息!$B$5=""),"","【1元预约锁好礼】"&amp;固定信息!$B$5)</f>
        <v/>
      </c>
      <c r="J438" s="27" t="str" cm="1">
        <f t="array" ref="J438">_xlfn.XLOOKUP($A438&amp;$B438&amp;$C438,价格信息!$A:$A&amp;价格信息!$B:$B&amp;价格信息!$C:$C,价格信息!$D:$D)</f>
        <v/>
      </c>
      <c r="K438" s="27" t="str">
        <f>IF($C438="","",固定信息!$B$1)</f>
        <v/>
      </c>
      <c r="L438" s="27" t="str" cm="1">
        <f t="array" ref="L438">IF(_xlfn.XLOOKUP($A438&amp;$B438&amp;$C438,盘货信息!$A:$A&amp;盘货信息!$B:$B&amp;盘货信息!$C:$C,盘货信息!$T:$T)="","","【优惠券】领"&amp;_xlfn.XLOOKUP($A438&amp;$B438&amp;$C438,盘货信息!$A:$A&amp;盘货信息!$B:$B&amp;盘货信息!$C:$C,盘货信息!$T:$T)&amp;"元优惠卷下单更优惠，领券链接："&amp;_xlfn.XLOOKUP($A438&amp;$B438&amp;$C438,盘货信息!$A:$A&amp;盘货信息!$B:$B&amp;盘货信息!$C:$C,盘货信息!$U:$U))</f>
        <v/>
      </c>
      <c r="M438" s="27" t="str" cm="1">
        <f t="array" ref="M438">IF(_xlfn.XLOOKUP($A438&amp;$B438&amp;$C438,盘货信息!$A:$A&amp;盘货信息!$B:$B&amp;盘货信息!$C:$C,盘货信息!$P:$P)="","","【限时】"&amp;_xlfn.XLOOKUP($A438&amp;$B438&amp;$C438,盘货信息!$A:$A&amp;盘货信息!$B:$B&amp;盘货信息!$C:$C,盘货信息!$P:$P))</f>
        <v/>
      </c>
      <c r="N438" s="27" t="str" cm="1">
        <f t="array" ref="N438">IF(_xlfn.XLOOKUP($A438&amp;$B438&amp;$C438,盘货信息!$A:$A&amp;盘货信息!$B:$B&amp;盘货信息!$C:$C,盘货信息!$V:$V)="","","【"&amp;盘货信息!$V$1&amp;"】"&amp;_xlfn.XLOOKUP($A438&amp;$B438&amp;$C438,盘货信息!$A:$A&amp;盘货信息!$B:$B&amp;盘货信息!$C:$C,盘货信息!$V:$V))</f>
        <v/>
      </c>
      <c r="O438" s="27" t="str" cm="1">
        <f t="array" ref="O438">IF(_xlfn.XLOOKUP($A438&amp;$B438&amp;$C438,盘货信息!$A:$A&amp;盘货信息!$B:$B&amp;盘货信息!$C:$C,盘货信息!$W:$W)="","","【"&amp;盘货信息!$W$1&amp;"】"&amp;_xlfn.XLOOKUP($A438&amp;$B438&amp;$C438,盘货信息!$A:$A&amp;盘货信息!$B:$B&amp;盘货信息!$C:$C,盘货信息!$W:$W))</f>
        <v/>
      </c>
      <c r="P438" s="27" t="str" cm="1">
        <f t="array" ref="P438">IF(_xlfn.XLOOKUP($A438&amp;$B438&amp;$C438,盘货信息!$A:$A&amp;盘货信息!$B:$B&amp;盘货信息!$C:$C,盘货信息!$S:$S)&lt;1,"","【"&amp;盘货信息!$S$1&amp;"】"&amp;"后返"&amp;_xlfn.XLOOKUP($A438&amp;$B438&amp;$C438,盘货信息!$A:$A&amp;盘货信息!$B:$B&amp;盘货信息!$C:$C,盘货信息!$S:$S)&amp;"元")</f>
        <v/>
      </c>
      <c r="Q438" s="27" t="str" cm="1">
        <f t="array" ref="Q438">IF(_xlfn.XLOOKUP($A438&amp;$B438&amp;$C438,盘货信息!$A:$A&amp;盘货信息!$B:$B&amp;盘货信息!$C:$C,盘货信息!$X:$X)="","","【"&amp;盘货信息!$X$1&amp;"】"&amp;_xlfn.XLOOKUP($A438&amp;$B438&amp;$C438,盘货信息!$A:$A&amp;盘货信息!$B:$B&amp;盘货信息!$C:$C,盘货信息!$X:$X))</f>
        <v/>
      </c>
      <c r="R438" s="27" t="str" cm="1">
        <f t="array" ref="R438">IF(_xlfn.XLOOKUP($A438&amp;$B438&amp;$C438,盘货信息!$A:$A&amp;盘货信息!$B:$B&amp;盘货信息!$C:$C,盘货信息!$Z:$Z)="","","【"&amp;盘货信息!$Z$1&amp;"】"&amp;_xlfn.XLOOKUP($A438&amp;$B438&amp;$C438,盘货信息!$A:$A&amp;盘货信息!$B:$B&amp;盘货信息!$C:$C,盘货信息!$Z:$Z))</f>
        <v/>
      </c>
      <c r="S438" s="27" t="str" cm="1">
        <f t="array" ref="S438">IF(_xlfn.XLOOKUP($A438&amp;$B438&amp;$C438,盘货信息!$A:$A&amp;盘货信息!$B:$B&amp;盘货信息!$C:$C,盘货信息!$Q:$Q)="","","【种草】站外带指定话题种草后返"&amp;_xlfn.XLOOKUP($A438&amp;$B438&amp;$C438,盘货信息!$A:$A&amp;盘货信息!$B:$B&amp;盘货信息!$C:$C,盘货信息!$Q:$Q)&amp;"元红包（每个淘宝账号仅限对应一个站外种草账号，同一个种草账号不可对应多个淘宝账号）")</f>
        <v/>
      </c>
      <c r="T438" s="27" t="str" cm="1">
        <f t="array" ref="T438">IF(_xlfn.XLOOKUP($A438&amp;$B438&amp;$C438,盘货信息!$A:$A&amp;盘货信息!$B:$B&amp;盘货信息!$C:$C,盘货信息!$R:$R)&lt;1,"","【以旧换新】"&amp;"享补贴"&amp;ROUND(_xlfn.XLOOKUP($A438&amp;$B438&amp;$C438,盘货信息!$A:$A&amp;盘货信息!$B:$B&amp;盘货信息!$C:$C,盘货信息!$R:$R),0)&amp;"元（可无旧机换新）")</f>
        <v/>
      </c>
      <c r="U438" s="27" t="str">
        <f>IF(AND($N438="",$O438="",$P438="",$Q438="",$R438="",$S438="",$T438=""),"",固定信息!$B$1)</f>
        <v/>
      </c>
      <c r="V438" s="27" t="str" cm="1">
        <f t="array" ref="V438">IF(_xlfn.XLOOKUP($A438&amp;$B438&amp;$C438,盘货信息!$A:$A&amp;盘货信息!$B:$B&amp;盘货信息!$C:$C,盘货信息!$Y:$Y)="","","【卡萨帝送赠】活动指定时间"&amp;_xlfn.TEXTBEFORE(_xlfn.TEXTAFTER(_xlfn.XLOOKUP($A438&amp;$B438&amp;$C438,盘货信息!$A:$A&amp;盘货信息!$B:$B&amp;盘货信息!$C:$C,盘货信息!$Y:$Y),"点"),"（"))</f>
        <v/>
      </c>
      <c r="W438" s="27" t="str" cm="1">
        <f t="array" ref="W438">IF(COUNTIF(_xlfn.XLOOKUP($A438&amp;$B438&amp;$C438,盘货信息!$A:$A&amp;盘货信息!$B:$B&amp;盘货信息!$C:$C,盘货信息!$O:$O),"*是*"),"【折扣】指定型号满2类享96折，满3类享94折","")</f>
        <v/>
      </c>
      <c r="X438" s="27" t="str" cm="1">
        <f t="array" ref="X438">IF(固定信息!$B$7="","",IF(_xlfn.XLOOKUP($A438&amp;$B438&amp;$C438,盘货信息!$A:$A&amp;盘货信息!$B:$B&amp;盘货信息!$C:$C,盘货信息!$N:$N)="是","【瓜分】"&amp;固定信息!$B$7,""))</f>
        <v/>
      </c>
      <c r="Y438" s="27" t="str">
        <f>IF(AND($V438="",$W438="",$X438=""),"",固定信息!$B$1)</f>
        <v/>
      </c>
      <c r="Z438" s="27" t="str" cm="1">
        <f t="array" ref="Z438">IF($C438="","",_xlfn.XLOOKUP($A438&amp;$B438&amp;$C438,服务!$A:$A&amp;服务!$B:$B&amp;服务!$C:$C,服务!$D:$D))</f>
        <v/>
      </c>
    </row>
    <row r="439" customHeight="1" spans="1:26">
      <c r="A439" s="23" t="str">
        <f>IF(盘货信息!A439="","",盘货信息!A439)</f>
        <v/>
      </c>
      <c r="B439" s="26" t="str">
        <f>IF(盘货信息!B439="","",盘货信息!B439)</f>
        <v/>
      </c>
      <c r="C439" s="23" t="str">
        <f>IF(盘货信息!C439="","",盘货信息!C439)</f>
        <v/>
      </c>
      <c r="D439" s="27" t="str">
        <f ca="1" t="shared" si="6"/>
        <v/>
      </c>
      <c r="E439" s="27" t="str">
        <f>IF(C439="","",固定信息!$B$2)</f>
        <v/>
      </c>
      <c r="F439" s="27" t="str">
        <f>IF(C439="","","【"&amp;C439&amp;"】"&amp;固定信息!$B$4)</f>
        <v/>
      </c>
      <c r="G439" s="27" t="str">
        <f>IF(C439="","","【"&amp;"活动时间："&amp;固定信息!$B$3&amp;"】")</f>
        <v/>
      </c>
      <c r="H439" s="27" t="str">
        <f>IF($C439="","",固定信息!$B$1)</f>
        <v/>
      </c>
      <c r="I439" s="27" t="str">
        <f>IF(OR(C439="",固定信息!$B$5=""),"","【1元预约锁好礼】"&amp;固定信息!$B$5)</f>
        <v/>
      </c>
      <c r="J439" s="27" t="str" cm="1">
        <f t="array" ref="J439">_xlfn.XLOOKUP($A439&amp;$B439&amp;$C439,价格信息!$A:$A&amp;价格信息!$B:$B&amp;价格信息!$C:$C,价格信息!$D:$D)</f>
        <v/>
      </c>
      <c r="K439" s="27" t="str">
        <f>IF($C439="","",固定信息!$B$1)</f>
        <v/>
      </c>
      <c r="L439" s="27" t="str" cm="1">
        <f t="array" ref="L439">IF(_xlfn.XLOOKUP($A439&amp;$B439&amp;$C439,盘货信息!$A:$A&amp;盘货信息!$B:$B&amp;盘货信息!$C:$C,盘货信息!$T:$T)="","","【优惠券】领"&amp;_xlfn.XLOOKUP($A439&amp;$B439&amp;$C439,盘货信息!$A:$A&amp;盘货信息!$B:$B&amp;盘货信息!$C:$C,盘货信息!$T:$T)&amp;"元优惠卷下单更优惠，领券链接："&amp;_xlfn.XLOOKUP($A439&amp;$B439&amp;$C439,盘货信息!$A:$A&amp;盘货信息!$B:$B&amp;盘货信息!$C:$C,盘货信息!$U:$U))</f>
        <v/>
      </c>
      <c r="M439" s="27" t="str" cm="1">
        <f t="array" ref="M439">IF(_xlfn.XLOOKUP($A439&amp;$B439&amp;$C439,盘货信息!$A:$A&amp;盘货信息!$B:$B&amp;盘货信息!$C:$C,盘货信息!$P:$P)="","","【限时】"&amp;_xlfn.XLOOKUP($A439&amp;$B439&amp;$C439,盘货信息!$A:$A&amp;盘货信息!$B:$B&amp;盘货信息!$C:$C,盘货信息!$P:$P))</f>
        <v/>
      </c>
      <c r="N439" s="27" t="str" cm="1">
        <f t="array" ref="N439">IF(_xlfn.XLOOKUP($A439&amp;$B439&amp;$C439,盘货信息!$A:$A&amp;盘货信息!$B:$B&amp;盘货信息!$C:$C,盘货信息!$V:$V)="","","【"&amp;盘货信息!$V$1&amp;"】"&amp;_xlfn.XLOOKUP($A439&amp;$B439&amp;$C439,盘货信息!$A:$A&amp;盘货信息!$B:$B&amp;盘货信息!$C:$C,盘货信息!$V:$V))</f>
        <v/>
      </c>
      <c r="O439" s="27" t="str" cm="1">
        <f t="array" ref="O439">IF(_xlfn.XLOOKUP($A439&amp;$B439&amp;$C439,盘货信息!$A:$A&amp;盘货信息!$B:$B&amp;盘货信息!$C:$C,盘货信息!$W:$W)="","","【"&amp;盘货信息!$W$1&amp;"】"&amp;_xlfn.XLOOKUP($A439&amp;$B439&amp;$C439,盘货信息!$A:$A&amp;盘货信息!$B:$B&amp;盘货信息!$C:$C,盘货信息!$W:$W))</f>
        <v/>
      </c>
      <c r="P439" s="27" t="str" cm="1">
        <f t="array" ref="P439">IF(_xlfn.XLOOKUP($A439&amp;$B439&amp;$C439,盘货信息!$A:$A&amp;盘货信息!$B:$B&amp;盘货信息!$C:$C,盘货信息!$S:$S)&lt;1,"","【"&amp;盘货信息!$S$1&amp;"】"&amp;"后返"&amp;_xlfn.XLOOKUP($A439&amp;$B439&amp;$C439,盘货信息!$A:$A&amp;盘货信息!$B:$B&amp;盘货信息!$C:$C,盘货信息!$S:$S)&amp;"元")</f>
        <v/>
      </c>
      <c r="Q439" s="27" t="str" cm="1">
        <f t="array" ref="Q439">IF(_xlfn.XLOOKUP($A439&amp;$B439&amp;$C439,盘货信息!$A:$A&amp;盘货信息!$B:$B&amp;盘货信息!$C:$C,盘货信息!$X:$X)="","","【"&amp;盘货信息!$X$1&amp;"】"&amp;_xlfn.XLOOKUP($A439&amp;$B439&amp;$C439,盘货信息!$A:$A&amp;盘货信息!$B:$B&amp;盘货信息!$C:$C,盘货信息!$X:$X))</f>
        <v/>
      </c>
      <c r="R439" s="27" t="str" cm="1">
        <f t="array" ref="R439">IF(_xlfn.XLOOKUP($A439&amp;$B439&amp;$C439,盘货信息!$A:$A&amp;盘货信息!$B:$B&amp;盘货信息!$C:$C,盘货信息!$Z:$Z)="","","【"&amp;盘货信息!$Z$1&amp;"】"&amp;_xlfn.XLOOKUP($A439&amp;$B439&amp;$C439,盘货信息!$A:$A&amp;盘货信息!$B:$B&amp;盘货信息!$C:$C,盘货信息!$Z:$Z))</f>
        <v/>
      </c>
      <c r="S439" s="27" t="str" cm="1">
        <f t="array" ref="S439">IF(_xlfn.XLOOKUP($A439&amp;$B439&amp;$C439,盘货信息!$A:$A&amp;盘货信息!$B:$B&amp;盘货信息!$C:$C,盘货信息!$Q:$Q)="","","【种草】站外带指定话题种草后返"&amp;_xlfn.XLOOKUP($A439&amp;$B439&amp;$C439,盘货信息!$A:$A&amp;盘货信息!$B:$B&amp;盘货信息!$C:$C,盘货信息!$Q:$Q)&amp;"元红包（每个淘宝账号仅限对应一个站外种草账号，同一个种草账号不可对应多个淘宝账号）")</f>
        <v/>
      </c>
      <c r="T439" s="27" t="str" cm="1">
        <f t="array" ref="T439">IF(_xlfn.XLOOKUP($A439&amp;$B439&amp;$C439,盘货信息!$A:$A&amp;盘货信息!$B:$B&amp;盘货信息!$C:$C,盘货信息!$R:$R)&lt;1,"","【以旧换新】"&amp;"享补贴"&amp;ROUND(_xlfn.XLOOKUP($A439&amp;$B439&amp;$C439,盘货信息!$A:$A&amp;盘货信息!$B:$B&amp;盘货信息!$C:$C,盘货信息!$R:$R),0)&amp;"元（可无旧机换新）")</f>
        <v/>
      </c>
      <c r="U439" s="27" t="str">
        <f>IF(AND($N439="",$O439="",$P439="",$Q439="",$R439="",$S439="",$T439=""),"",固定信息!$B$1)</f>
        <v/>
      </c>
      <c r="V439" s="27" t="str" cm="1">
        <f t="array" ref="V439">IF(_xlfn.XLOOKUP($A439&amp;$B439&amp;$C439,盘货信息!$A:$A&amp;盘货信息!$B:$B&amp;盘货信息!$C:$C,盘货信息!$Y:$Y)="","","【卡萨帝送赠】活动指定时间"&amp;_xlfn.TEXTBEFORE(_xlfn.TEXTAFTER(_xlfn.XLOOKUP($A439&amp;$B439&amp;$C439,盘货信息!$A:$A&amp;盘货信息!$B:$B&amp;盘货信息!$C:$C,盘货信息!$Y:$Y),"点"),"（"))</f>
        <v/>
      </c>
      <c r="W439" s="27" t="str" cm="1">
        <f t="array" ref="W439">IF(COUNTIF(_xlfn.XLOOKUP($A439&amp;$B439&amp;$C439,盘货信息!$A:$A&amp;盘货信息!$B:$B&amp;盘货信息!$C:$C,盘货信息!$O:$O),"*是*"),"【折扣】指定型号满2类享96折，满3类享94折","")</f>
        <v/>
      </c>
      <c r="X439" s="27" t="str" cm="1">
        <f t="array" ref="X439">IF(固定信息!$B$7="","",IF(_xlfn.XLOOKUP($A439&amp;$B439&amp;$C439,盘货信息!$A:$A&amp;盘货信息!$B:$B&amp;盘货信息!$C:$C,盘货信息!$N:$N)="是","【瓜分】"&amp;固定信息!$B$7,""))</f>
        <v/>
      </c>
      <c r="Y439" s="27" t="str">
        <f>IF(AND($V439="",$W439="",$X439=""),"",固定信息!$B$1)</f>
        <v/>
      </c>
      <c r="Z439" s="27" t="str" cm="1">
        <f t="array" ref="Z439">IF($C439="","",_xlfn.XLOOKUP($A439&amp;$B439&amp;$C439,服务!$A:$A&amp;服务!$B:$B&amp;服务!$C:$C,服务!$D:$D))</f>
        <v/>
      </c>
    </row>
    <row r="440" customHeight="1" spans="1:26">
      <c r="A440" s="23" t="str">
        <f>IF(盘货信息!A440="","",盘货信息!A440)</f>
        <v/>
      </c>
      <c r="B440" s="26" t="str">
        <f>IF(盘货信息!B440="","",盘货信息!B440)</f>
        <v/>
      </c>
      <c r="C440" s="23" t="str">
        <f>IF(盘货信息!C440="","",盘货信息!C440)</f>
        <v/>
      </c>
      <c r="D440" s="27" t="str">
        <f ca="1" t="shared" si="6"/>
        <v/>
      </c>
      <c r="E440" s="27" t="str">
        <f>IF(C440="","",固定信息!$B$2)</f>
        <v/>
      </c>
      <c r="F440" s="27" t="str">
        <f>IF(C440="","","【"&amp;C440&amp;"】"&amp;固定信息!$B$4)</f>
        <v/>
      </c>
      <c r="G440" s="27" t="str">
        <f>IF(C440="","","【"&amp;"活动时间："&amp;固定信息!$B$3&amp;"】")</f>
        <v/>
      </c>
      <c r="H440" s="27" t="str">
        <f>IF($C440="","",固定信息!$B$1)</f>
        <v/>
      </c>
      <c r="I440" s="27" t="str">
        <f>IF(OR(C440="",固定信息!$B$5=""),"","【1元预约锁好礼】"&amp;固定信息!$B$5)</f>
        <v/>
      </c>
      <c r="J440" s="27" t="str" cm="1">
        <f t="array" ref="J440">_xlfn.XLOOKUP($A440&amp;$B440&amp;$C440,价格信息!$A:$A&amp;价格信息!$B:$B&amp;价格信息!$C:$C,价格信息!$D:$D)</f>
        <v/>
      </c>
      <c r="K440" s="27" t="str">
        <f>IF($C440="","",固定信息!$B$1)</f>
        <v/>
      </c>
      <c r="L440" s="27" t="str" cm="1">
        <f t="array" ref="L440">IF(_xlfn.XLOOKUP($A440&amp;$B440&amp;$C440,盘货信息!$A:$A&amp;盘货信息!$B:$B&amp;盘货信息!$C:$C,盘货信息!$T:$T)="","","【优惠券】领"&amp;_xlfn.XLOOKUP($A440&amp;$B440&amp;$C440,盘货信息!$A:$A&amp;盘货信息!$B:$B&amp;盘货信息!$C:$C,盘货信息!$T:$T)&amp;"元优惠卷下单更优惠，领券链接："&amp;_xlfn.XLOOKUP($A440&amp;$B440&amp;$C440,盘货信息!$A:$A&amp;盘货信息!$B:$B&amp;盘货信息!$C:$C,盘货信息!$U:$U))</f>
        <v/>
      </c>
      <c r="M440" s="27" t="str" cm="1">
        <f t="array" ref="M440">IF(_xlfn.XLOOKUP($A440&amp;$B440&amp;$C440,盘货信息!$A:$A&amp;盘货信息!$B:$B&amp;盘货信息!$C:$C,盘货信息!$P:$P)="","","【限时】"&amp;_xlfn.XLOOKUP($A440&amp;$B440&amp;$C440,盘货信息!$A:$A&amp;盘货信息!$B:$B&amp;盘货信息!$C:$C,盘货信息!$P:$P))</f>
        <v/>
      </c>
      <c r="N440" s="27" t="str" cm="1">
        <f t="array" ref="N440">IF(_xlfn.XLOOKUP($A440&amp;$B440&amp;$C440,盘货信息!$A:$A&amp;盘货信息!$B:$B&amp;盘货信息!$C:$C,盘货信息!$V:$V)="","","【"&amp;盘货信息!$V$1&amp;"】"&amp;_xlfn.XLOOKUP($A440&amp;$B440&amp;$C440,盘货信息!$A:$A&amp;盘货信息!$B:$B&amp;盘货信息!$C:$C,盘货信息!$V:$V))</f>
        <v/>
      </c>
      <c r="O440" s="27" t="str" cm="1">
        <f t="array" ref="O440">IF(_xlfn.XLOOKUP($A440&amp;$B440&amp;$C440,盘货信息!$A:$A&amp;盘货信息!$B:$B&amp;盘货信息!$C:$C,盘货信息!$W:$W)="","","【"&amp;盘货信息!$W$1&amp;"】"&amp;_xlfn.XLOOKUP($A440&amp;$B440&amp;$C440,盘货信息!$A:$A&amp;盘货信息!$B:$B&amp;盘货信息!$C:$C,盘货信息!$W:$W))</f>
        <v/>
      </c>
      <c r="P440" s="27" t="str" cm="1">
        <f t="array" ref="P440">IF(_xlfn.XLOOKUP($A440&amp;$B440&amp;$C440,盘货信息!$A:$A&amp;盘货信息!$B:$B&amp;盘货信息!$C:$C,盘货信息!$S:$S)&lt;1,"","【"&amp;盘货信息!$S$1&amp;"】"&amp;"后返"&amp;_xlfn.XLOOKUP($A440&amp;$B440&amp;$C440,盘货信息!$A:$A&amp;盘货信息!$B:$B&amp;盘货信息!$C:$C,盘货信息!$S:$S)&amp;"元")</f>
        <v/>
      </c>
      <c r="Q440" s="27" t="str" cm="1">
        <f t="array" ref="Q440">IF(_xlfn.XLOOKUP($A440&amp;$B440&amp;$C440,盘货信息!$A:$A&amp;盘货信息!$B:$B&amp;盘货信息!$C:$C,盘货信息!$X:$X)="","","【"&amp;盘货信息!$X$1&amp;"】"&amp;_xlfn.XLOOKUP($A440&amp;$B440&amp;$C440,盘货信息!$A:$A&amp;盘货信息!$B:$B&amp;盘货信息!$C:$C,盘货信息!$X:$X))</f>
        <v/>
      </c>
      <c r="R440" s="27" t="str" cm="1">
        <f t="array" ref="R440">IF(_xlfn.XLOOKUP($A440&amp;$B440&amp;$C440,盘货信息!$A:$A&amp;盘货信息!$B:$B&amp;盘货信息!$C:$C,盘货信息!$Z:$Z)="","","【"&amp;盘货信息!$Z$1&amp;"】"&amp;_xlfn.XLOOKUP($A440&amp;$B440&amp;$C440,盘货信息!$A:$A&amp;盘货信息!$B:$B&amp;盘货信息!$C:$C,盘货信息!$Z:$Z))</f>
        <v/>
      </c>
      <c r="S440" s="27" t="str" cm="1">
        <f t="array" ref="S440">IF(_xlfn.XLOOKUP($A440&amp;$B440&amp;$C440,盘货信息!$A:$A&amp;盘货信息!$B:$B&amp;盘货信息!$C:$C,盘货信息!$Q:$Q)="","","【种草】站外带指定话题种草后返"&amp;_xlfn.XLOOKUP($A440&amp;$B440&amp;$C440,盘货信息!$A:$A&amp;盘货信息!$B:$B&amp;盘货信息!$C:$C,盘货信息!$Q:$Q)&amp;"元红包（每个淘宝账号仅限对应一个站外种草账号，同一个种草账号不可对应多个淘宝账号）")</f>
        <v/>
      </c>
      <c r="T440" s="27" t="str" cm="1">
        <f t="array" ref="T440">IF(_xlfn.XLOOKUP($A440&amp;$B440&amp;$C440,盘货信息!$A:$A&amp;盘货信息!$B:$B&amp;盘货信息!$C:$C,盘货信息!$R:$R)&lt;1,"","【以旧换新】"&amp;"享补贴"&amp;ROUND(_xlfn.XLOOKUP($A440&amp;$B440&amp;$C440,盘货信息!$A:$A&amp;盘货信息!$B:$B&amp;盘货信息!$C:$C,盘货信息!$R:$R),0)&amp;"元（可无旧机换新）")</f>
        <v/>
      </c>
      <c r="U440" s="27" t="str">
        <f>IF(AND($N440="",$O440="",$P440="",$Q440="",$R440="",$S440="",$T440=""),"",固定信息!$B$1)</f>
        <v/>
      </c>
      <c r="V440" s="27" t="str" cm="1">
        <f t="array" ref="V440">IF(_xlfn.XLOOKUP($A440&amp;$B440&amp;$C440,盘货信息!$A:$A&amp;盘货信息!$B:$B&amp;盘货信息!$C:$C,盘货信息!$Y:$Y)="","","【卡萨帝送赠】活动指定时间"&amp;_xlfn.TEXTBEFORE(_xlfn.TEXTAFTER(_xlfn.XLOOKUP($A440&amp;$B440&amp;$C440,盘货信息!$A:$A&amp;盘货信息!$B:$B&amp;盘货信息!$C:$C,盘货信息!$Y:$Y),"点"),"（"))</f>
        <v/>
      </c>
      <c r="W440" s="27" t="str" cm="1">
        <f t="array" ref="W440">IF(COUNTIF(_xlfn.XLOOKUP($A440&amp;$B440&amp;$C440,盘货信息!$A:$A&amp;盘货信息!$B:$B&amp;盘货信息!$C:$C,盘货信息!$O:$O),"*是*"),"【折扣】指定型号满2类享96折，满3类享94折","")</f>
        <v/>
      </c>
      <c r="X440" s="27" t="str" cm="1">
        <f t="array" ref="X440">IF(固定信息!$B$7="","",IF(_xlfn.XLOOKUP($A440&amp;$B440&amp;$C440,盘货信息!$A:$A&amp;盘货信息!$B:$B&amp;盘货信息!$C:$C,盘货信息!$N:$N)="是","【瓜分】"&amp;固定信息!$B$7,""))</f>
        <v/>
      </c>
      <c r="Y440" s="27" t="str">
        <f>IF(AND($V440="",$W440="",$X440=""),"",固定信息!$B$1)</f>
        <v/>
      </c>
      <c r="Z440" s="27" t="str" cm="1">
        <f t="array" ref="Z440">IF($C440="","",_xlfn.XLOOKUP($A440&amp;$B440&amp;$C440,服务!$A:$A&amp;服务!$B:$B&amp;服务!$C:$C,服务!$D:$D))</f>
        <v/>
      </c>
    </row>
    <row r="441" customHeight="1" spans="1:26">
      <c r="A441" s="23" t="str">
        <f>IF(盘货信息!A441="","",盘货信息!A441)</f>
        <v/>
      </c>
      <c r="B441" s="26" t="str">
        <f>IF(盘货信息!B441="","",盘货信息!B441)</f>
        <v/>
      </c>
      <c r="C441" s="23" t="str">
        <f>IF(盘货信息!C441="","",盘货信息!C441)</f>
        <v/>
      </c>
      <c r="D441" s="27" t="str">
        <f ca="1" t="shared" si="6"/>
        <v/>
      </c>
      <c r="E441" s="27" t="str">
        <f>IF(C441="","",固定信息!$B$2)</f>
        <v/>
      </c>
      <c r="F441" s="27" t="str">
        <f>IF(C441="","","【"&amp;C441&amp;"】"&amp;固定信息!$B$4)</f>
        <v/>
      </c>
      <c r="G441" s="27" t="str">
        <f>IF(C441="","","【"&amp;"活动时间："&amp;固定信息!$B$3&amp;"】")</f>
        <v/>
      </c>
      <c r="H441" s="27" t="str">
        <f>IF($C441="","",固定信息!$B$1)</f>
        <v/>
      </c>
      <c r="I441" s="27" t="str">
        <f>IF(OR(C441="",固定信息!$B$5=""),"","【1元预约锁好礼】"&amp;固定信息!$B$5)</f>
        <v/>
      </c>
      <c r="J441" s="27" t="str" cm="1">
        <f t="array" ref="J441">_xlfn.XLOOKUP($A441&amp;$B441&amp;$C441,价格信息!$A:$A&amp;价格信息!$B:$B&amp;价格信息!$C:$C,价格信息!$D:$D)</f>
        <v/>
      </c>
      <c r="K441" s="27" t="str">
        <f>IF($C441="","",固定信息!$B$1)</f>
        <v/>
      </c>
      <c r="L441" s="27" t="str" cm="1">
        <f t="array" ref="L441">IF(_xlfn.XLOOKUP($A441&amp;$B441&amp;$C441,盘货信息!$A:$A&amp;盘货信息!$B:$B&amp;盘货信息!$C:$C,盘货信息!$T:$T)="","","【优惠券】领"&amp;_xlfn.XLOOKUP($A441&amp;$B441&amp;$C441,盘货信息!$A:$A&amp;盘货信息!$B:$B&amp;盘货信息!$C:$C,盘货信息!$T:$T)&amp;"元优惠卷下单更优惠，领券链接："&amp;_xlfn.XLOOKUP($A441&amp;$B441&amp;$C441,盘货信息!$A:$A&amp;盘货信息!$B:$B&amp;盘货信息!$C:$C,盘货信息!$U:$U))</f>
        <v/>
      </c>
      <c r="M441" s="27" t="str" cm="1">
        <f t="array" ref="M441">IF(_xlfn.XLOOKUP($A441&amp;$B441&amp;$C441,盘货信息!$A:$A&amp;盘货信息!$B:$B&amp;盘货信息!$C:$C,盘货信息!$P:$P)="","","【限时】"&amp;_xlfn.XLOOKUP($A441&amp;$B441&amp;$C441,盘货信息!$A:$A&amp;盘货信息!$B:$B&amp;盘货信息!$C:$C,盘货信息!$P:$P))</f>
        <v/>
      </c>
      <c r="N441" s="27" t="str" cm="1">
        <f t="array" ref="N441">IF(_xlfn.XLOOKUP($A441&amp;$B441&amp;$C441,盘货信息!$A:$A&amp;盘货信息!$B:$B&amp;盘货信息!$C:$C,盘货信息!$V:$V)="","","【"&amp;盘货信息!$V$1&amp;"】"&amp;_xlfn.XLOOKUP($A441&amp;$B441&amp;$C441,盘货信息!$A:$A&amp;盘货信息!$B:$B&amp;盘货信息!$C:$C,盘货信息!$V:$V))</f>
        <v/>
      </c>
      <c r="O441" s="27" t="str" cm="1">
        <f t="array" ref="O441">IF(_xlfn.XLOOKUP($A441&amp;$B441&amp;$C441,盘货信息!$A:$A&amp;盘货信息!$B:$B&amp;盘货信息!$C:$C,盘货信息!$W:$W)="","","【"&amp;盘货信息!$W$1&amp;"】"&amp;_xlfn.XLOOKUP($A441&amp;$B441&amp;$C441,盘货信息!$A:$A&amp;盘货信息!$B:$B&amp;盘货信息!$C:$C,盘货信息!$W:$W))</f>
        <v/>
      </c>
      <c r="P441" s="27" t="str" cm="1">
        <f t="array" ref="P441">IF(_xlfn.XLOOKUP($A441&amp;$B441&amp;$C441,盘货信息!$A:$A&amp;盘货信息!$B:$B&amp;盘货信息!$C:$C,盘货信息!$S:$S)&lt;1,"","【"&amp;盘货信息!$S$1&amp;"】"&amp;"后返"&amp;_xlfn.XLOOKUP($A441&amp;$B441&amp;$C441,盘货信息!$A:$A&amp;盘货信息!$B:$B&amp;盘货信息!$C:$C,盘货信息!$S:$S)&amp;"元")</f>
        <v/>
      </c>
      <c r="Q441" s="27" t="str" cm="1">
        <f t="array" ref="Q441">IF(_xlfn.XLOOKUP($A441&amp;$B441&amp;$C441,盘货信息!$A:$A&amp;盘货信息!$B:$B&amp;盘货信息!$C:$C,盘货信息!$X:$X)="","","【"&amp;盘货信息!$X$1&amp;"】"&amp;_xlfn.XLOOKUP($A441&amp;$B441&amp;$C441,盘货信息!$A:$A&amp;盘货信息!$B:$B&amp;盘货信息!$C:$C,盘货信息!$X:$X))</f>
        <v/>
      </c>
      <c r="R441" s="27" t="str" cm="1">
        <f t="array" ref="R441">IF(_xlfn.XLOOKUP($A441&amp;$B441&amp;$C441,盘货信息!$A:$A&amp;盘货信息!$B:$B&amp;盘货信息!$C:$C,盘货信息!$Z:$Z)="","","【"&amp;盘货信息!$Z$1&amp;"】"&amp;_xlfn.XLOOKUP($A441&amp;$B441&amp;$C441,盘货信息!$A:$A&amp;盘货信息!$B:$B&amp;盘货信息!$C:$C,盘货信息!$Z:$Z))</f>
        <v/>
      </c>
      <c r="S441" s="27" t="str" cm="1">
        <f t="array" ref="S441">IF(_xlfn.XLOOKUP($A441&amp;$B441&amp;$C441,盘货信息!$A:$A&amp;盘货信息!$B:$B&amp;盘货信息!$C:$C,盘货信息!$Q:$Q)="","","【种草】站外带指定话题种草后返"&amp;_xlfn.XLOOKUP($A441&amp;$B441&amp;$C441,盘货信息!$A:$A&amp;盘货信息!$B:$B&amp;盘货信息!$C:$C,盘货信息!$Q:$Q)&amp;"元红包（每个淘宝账号仅限对应一个站外种草账号，同一个种草账号不可对应多个淘宝账号）")</f>
        <v/>
      </c>
      <c r="T441" s="27" t="str" cm="1">
        <f t="array" ref="T441">IF(_xlfn.XLOOKUP($A441&amp;$B441&amp;$C441,盘货信息!$A:$A&amp;盘货信息!$B:$B&amp;盘货信息!$C:$C,盘货信息!$R:$R)&lt;1,"","【以旧换新】"&amp;"享补贴"&amp;ROUND(_xlfn.XLOOKUP($A441&amp;$B441&amp;$C441,盘货信息!$A:$A&amp;盘货信息!$B:$B&amp;盘货信息!$C:$C,盘货信息!$R:$R),0)&amp;"元（可无旧机换新）")</f>
        <v/>
      </c>
      <c r="U441" s="27" t="str">
        <f>IF(AND($N441="",$O441="",$P441="",$Q441="",$R441="",$S441="",$T441=""),"",固定信息!$B$1)</f>
        <v/>
      </c>
      <c r="V441" s="27" t="str" cm="1">
        <f t="array" ref="V441">IF(_xlfn.XLOOKUP($A441&amp;$B441&amp;$C441,盘货信息!$A:$A&amp;盘货信息!$B:$B&amp;盘货信息!$C:$C,盘货信息!$Y:$Y)="","","【卡萨帝送赠】活动指定时间"&amp;_xlfn.TEXTBEFORE(_xlfn.TEXTAFTER(_xlfn.XLOOKUP($A441&amp;$B441&amp;$C441,盘货信息!$A:$A&amp;盘货信息!$B:$B&amp;盘货信息!$C:$C,盘货信息!$Y:$Y),"点"),"（"))</f>
        <v/>
      </c>
      <c r="W441" s="27" t="str" cm="1">
        <f t="array" ref="W441">IF(COUNTIF(_xlfn.XLOOKUP($A441&amp;$B441&amp;$C441,盘货信息!$A:$A&amp;盘货信息!$B:$B&amp;盘货信息!$C:$C,盘货信息!$O:$O),"*是*"),"【折扣】指定型号满2类享96折，满3类享94折","")</f>
        <v/>
      </c>
      <c r="X441" s="27" t="str" cm="1">
        <f t="array" ref="X441">IF(固定信息!$B$7="","",IF(_xlfn.XLOOKUP($A441&amp;$B441&amp;$C441,盘货信息!$A:$A&amp;盘货信息!$B:$B&amp;盘货信息!$C:$C,盘货信息!$N:$N)="是","【瓜分】"&amp;固定信息!$B$7,""))</f>
        <v/>
      </c>
      <c r="Y441" s="27" t="str">
        <f>IF(AND($V441="",$W441="",$X441=""),"",固定信息!$B$1)</f>
        <v/>
      </c>
      <c r="Z441" s="27" t="str" cm="1">
        <f t="array" ref="Z441">IF($C441="","",_xlfn.XLOOKUP($A441&amp;$B441&amp;$C441,服务!$A:$A&amp;服务!$B:$B&amp;服务!$C:$C,服务!$D:$D))</f>
        <v/>
      </c>
    </row>
    <row r="442" customHeight="1" spans="1:26">
      <c r="A442" s="23" t="str">
        <f>IF(盘货信息!A442="","",盘货信息!A442)</f>
        <v/>
      </c>
      <c r="B442" s="26" t="str">
        <f>IF(盘货信息!B442="","",盘货信息!B442)</f>
        <v/>
      </c>
      <c r="C442" s="23" t="str">
        <f>IF(盘货信息!C442="","",盘货信息!C442)</f>
        <v/>
      </c>
      <c r="D442" s="27" t="str">
        <f ca="1" t="shared" si="6"/>
        <v/>
      </c>
      <c r="E442" s="27" t="str">
        <f>IF(C442="","",固定信息!$B$2)</f>
        <v/>
      </c>
      <c r="F442" s="27" t="str">
        <f>IF(C442="","","【"&amp;C442&amp;"】"&amp;固定信息!$B$4)</f>
        <v/>
      </c>
      <c r="G442" s="27" t="str">
        <f>IF(C442="","","【"&amp;"活动时间："&amp;固定信息!$B$3&amp;"】")</f>
        <v/>
      </c>
      <c r="H442" s="27" t="str">
        <f>IF($C442="","",固定信息!$B$1)</f>
        <v/>
      </c>
      <c r="I442" s="27" t="str">
        <f>IF(OR(C442="",固定信息!$B$5=""),"","【1元预约锁好礼】"&amp;固定信息!$B$5)</f>
        <v/>
      </c>
      <c r="J442" s="27" t="str" cm="1">
        <f t="array" ref="J442">_xlfn.XLOOKUP($A442&amp;$B442&amp;$C442,价格信息!$A:$A&amp;价格信息!$B:$B&amp;价格信息!$C:$C,价格信息!$D:$D)</f>
        <v/>
      </c>
      <c r="K442" s="27" t="str">
        <f>IF($C442="","",固定信息!$B$1)</f>
        <v/>
      </c>
      <c r="L442" s="27" t="str" cm="1">
        <f t="array" ref="L442">IF(_xlfn.XLOOKUP($A442&amp;$B442&amp;$C442,盘货信息!$A:$A&amp;盘货信息!$B:$B&amp;盘货信息!$C:$C,盘货信息!$T:$T)="","","【优惠券】领"&amp;_xlfn.XLOOKUP($A442&amp;$B442&amp;$C442,盘货信息!$A:$A&amp;盘货信息!$B:$B&amp;盘货信息!$C:$C,盘货信息!$T:$T)&amp;"元优惠卷下单更优惠，领券链接："&amp;_xlfn.XLOOKUP($A442&amp;$B442&amp;$C442,盘货信息!$A:$A&amp;盘货信息!$B:$B&amp;盘货信息!$C:$C,盘货信息!$U:$U))</f>
        <v/>
      </c>
      <c r="M442" s="27" t="str" cm="1">
        <f t="array" ref="M442">IF(_xlfn.XLOOKUP($A442&amp;$B442&amp;$C442,盘货信息!$A:$A&amp;盘货信息!$B:$B&amp;盘货信息!$C:$C,盘货信息!$P:$P)="","","【限时】"&amp;_xlfn.XLOOKUP($A442&amp;$B442&amp;$C442,盘货信息!$A:$A&amp;盘货信息!$B:$B&amp;盘货信息!$C:$C,盘货信息!$P:$P))</f>
        <v/>
      </c>
      <c r="N442" s="27" t="str" cm="1">
        <f t="array" ref="N442">IF(_xlfn.XLOOKUP($A442&amp;$B442&amp;$C442,盘货信息!$A:$A&amp;盘货信息!$B:$B&amp;盘货信息!$C:$C,盘货信息!$V:$V)="","","【"&amp;盘货信息!$V$1&amp;"】"&amp;_xlfn.XLOOKUP($A442&amp;$B442&amp;$C442,盘货信息!$A:$A&amp;盘货信息!$B:$B&amp;盘货信息!$C:$C,盘货信息!$V:$V))</f>
        <v/>
      </c>
      <c r="O442" s="27" t="str" cm="1">
        <f t="array" ref="O442">IF(_xlfn.XLOOKUP($A442&amp;$B442&amp;$C442,盘货信息!$A:$A&amp;盘货信息!$B:$B&amp;盘货信息!$C:$C,盘货信息!$W:$W)="","","【"&amp;盘货信息!$W$1&amp;"】"&amp;_xlfn.XLOOKUP($A442&amp;$B442&amp;$C442,盘货信息!$A:$A&amp;盘货信息!$B:$B&amp;盘货信息!$C:$C,盘货信息!$W:$W))</f>
        <v/>
      </c>
      <c r="P442" s="27" t="str" cm="1">
        <f t="array" ref="P442">IF(_xlfn.XLOOKUP($A442&amp;$B442&amp;$C442,盘货信息!$A:$A&amp;盘货信息!$B:$B&amp;盘货信息!$C:$C,盘货信息!$S:$S)&lt;1,"","【"&amp;盘货信息!$S$1&amp;"】"&amp;"后返"&amp;_xlfn.XLOOKUP($A442&amp;$B442&amp;$C442,盘货信息!$A:$A&amp;盘货信息!$B:$B&amp;盘货信息!$C:$C,盘货信息!$S:$S)&amp;"元")</f>
        <v/>
      </c>
      <c r="Q442" s="27" t="str" cm="1">
        <f t="array" ref="Q442">IF(_xlfn.XLOOKUP($A442&amp;$B442&amp;$C442,盘货信息!$A:$A&amp;盘货信息!$B:$B&amp;盘货信息!$C:$C,盘货信息!$X:$X)="","","【"&amp;盘货信息!$X$1&amp;"】"&amp;_xlfn.XLOOKUP($A442&amp;$B442&amp;$C442,盘货信息!$A:$A&amp;盘货信息!$B:$B&amp;盘货信息!$C:$C,盘货信息!$X:$X))</f>
        <v/>
      </c>
      <c r="R442" s="27" t="str" cm="1">
        <f t="array" ref="R442">IF(_xlfn.XLOOKUP($A442&amp;$B442&amp;$C442,盘货信息!$A:$A&amp;盘货信息!$B:$B&amp;盘货信息!$C:$C,盘货信息!$Z:$Z)="","","【"&amp;盘货信息!$Z$1&amp;"】"&amp;_xlfn.XLOOKUP($A442&amp;$B442&amp;$C442,盘货信息!$A:$A&amp;盘货信息!$B:$B&amp;盘货信息!$C:$C,盘货信息!$Z:$Z))</f>
        <v/>
      </c>
      <c r="S442" s="27" t="str" cm="1">
        <f t="array" ref="S442">IF(_xlfn.XLOOKUP($A442&amp;$B442&amp;$C442,盘货信息!$A:$A&amp;盘货信息!$B:$B&amp;盘货信息!$C:$C,盘货信息!$Q:$Q)="","","【种草】站外带指定话题种草后返"&amp;_xlfn.XLOOKUP($A442&amp;$B442&amp;$C442,盘货信息!$A:$A&amp;盘货信息!$B:$B&amp;盘货信息!$C:$C,盘货信息!$Q:$Q)&amp;"元红包（每个淘宝账号仅限对应一个站外种草账号，同一个种草账号不可对应多个淘宝账号）")</f>
        <v/>
      </c>
      <c r="T442" s="27" t="str" cm="1">
        <f t="array" ref="T442">IF(_xlfn.XLOOKUP($A442&amp;$B442&amp;$C442,盘货信息!$A:$A&amp;盘货信息!$B:$B&amp;盘货信息!$C:$C,盘货信息!$R:$R)&lt;1,"","【以旧换新】"&amp;"享补贴"&amp;ROUND(_xlfn.XLOOKUP($A442&amp;$B442&amp;$C442,盘货信息!$A:$A&amp;盘货信息!$B:$B&amp;盘货信息!$C:$C,盘货信息!$R:$R),0)&amp;"元（可无旧机换新）")</f>
        <v/>
      </c>
      <c r="U442" s="27" t="str">
        <f>IF(AND($N442="",$O442="",$P442="",$Q442="",$R442="",$S442="",$T442=""),"",固定信息!$B$1)</f>
        <v/>
      </c>
      <c r="V442" s="27" t="str" cm="1">
        <f t="array" ref="V442">IF(_xlfn.XLOOKUP($A442&amp;$B442&amp;$C442,盘货信息!$A:$A&amp;盘货信息!$B:$B&amp;盘货信息!$C:$C,盘货信息!$Y:$Y)="","","【卡萨帝送赠】活动指定时间"&amp;_xlfn.TEXTBEFORE(_xlfn.TEXTAFTER(_xlfn.XLOOKUP($A442&amp;$B442&amp;$C442,盘货信息!$A:$A&amp;盘货信息!$B:$B&amp;盘货信息!$C:$C,盘货信息!$Y:$Y),"点"),"（"))</f>
        <v/>
      </c>
      <c r="W442" s="27" t="str" cm="1">
        <f t="array" ref="W442">IF(COUNTIF(_xlfn.XLOOKUP($A442&amp;$B442&amp;$C442,盘货信息!$A:$A&amp;盘货信息!$B:$B&amp;盘货信息!$C:$C,盘货信息!$O:$O),"*是*"),"【折扣】指定型号满2类享96折，满3类享94折","")</f>
        <v/>
      </c>
      <c r="X442" s="27" t="str" cm="1">
        <f t="array" ref="X442">IF(固定信息!$B$7="","",IF(_xlfn.XLOOKUP($A442&amp;$B442&amp;$C442,盘货信息!$A:$A&amp;盘货信息!$B:$B&amp;盘货信息!$C:$C,盘货信息!$N:$N)="是","【瓜分】"&amp;固定信息!$B$7,""))</f>
        <v/>
      </c>
      <c r="Y442" s="27" t="str">
        <f>IF(AND($V442="",$W442="",$X442=""),"",固定信息!$B$1)</f>
        <v/>
      </c>
      <c r="Z442" s="27" t="str" cm="1">
        <f t="array" ref="Z442">IF($C442="","",_xlfn.XLOOKUP($A442&amp;$B442&amp;$C442,服务!$A:$A&amp;服务!$B:$B&amp;服务!$C:$C,服务!$D:$D))</f>
        <v/>
      </c>
    </row>
    <row r="443" customHeight="1" spans="1:26">
      <c r="A443" s="23" t="str">
        <f>IF(盘货信息!A443="","",盘货信息!A443)</f>
        <v/>
      </c>
      <c r="B443" s="26" t="str">
        <f>IF(盘货信息!B443="","",盘货信息!B443)</f>
        <v/>
      </c>
      <c r="C443" s="23" t="str">
        <f>IF(盘货信息!C443="","",盘货信息!C443)</f>
        <v/>
      </c>
      <c r="D443" s="27" t="str">
        <f ca="1" t="shared" si="6"/>
        <v/>
      </c>
      <c r="E443" s="27" t="str">
        <f>IF(C443="","",固定信息!$B$2)</f>
        <v/>
      </c>
      <c r="F443" s="27" t="str">
        <f>IF(C443="","","【"&amp;C443&amp;"】"&amp;固定信息!$B$4)</f>
        <v/>
      </c>
      <c r="G443" s="27" t="str">
        <f>IF(C443="","","【"&amp;"活动时间："&amp;固定信息!$B$3&amp;"】")</f>
        <v/>
      </c>
      <c r="H443" s="27" t="str">
        <f>IF($C443="","",固定信息!$B$1)</f>
        <v/>
      </c>
      <c r="I443" s="27" t="str">
        <f>IF(OR(C443="",固定信息!$B$5=""),"","【1元预约锁好礼】"&amp;固定信息!$B$5)</f>
        <v/>
      </c>
      <c r="J443" s="27" t="str" cm="1">
        <f t="array" ref="J443">_xlfn.XLOOKUP($A443&amp;$B443&amp;$C443,价格信息!$A:$A&amp;价格信息!$B:$B&amp;价格信息!$C:$C,价格信息!$D:$D)</f>
        <v/>
      </c>
      <c r="K443" s="27" t="str">
        <f>IF($C443="","",固定信息!$B$1)</f>
        <v/>
      </c>
      <c r="L443" s="27" t="str" cm="1">
        <f t="array" ref="L443">IF(_xlfn.XLOOKUP($A443&amp;$B443&amp;$C443,盘货信息!$A:$A&amp;盘货信息!$B:$B&amp;盘货信息!$C:$C,盘货信息!$T:$T)="","","【优惠券】领"&amp;_xlfn.XLOOKUP($A443&amp;$B443&amp;$C443,盘货信息!$A:$A&amp;盘货信息!$B:$B&amp;盘货信息!$C:$C,盘货信息!$T:$T)&amp;"元优惠卷下单更优惠，领券链接："&amp;_xlfn.XLOOKUP($A443&amp;$B443&amp;$C443,盘货信息!$A:$A&amp;盘货信息!$B:$B&amp;盘货信息!$C:$C,盘货信息!$U:$U))</f>
        <v/>
      </c>
      <c r="M443" s="27" t="str" cm="1">
        <f t="array" ref="M443">IF(_xlfn.XLOOKUP($A443&amp;$B443&amp;$C443,盘货信息!$A:$A&amp;盘货信息!$B:$B&amp;盘货信息!$C:$C,盘货信息!$P:$P)="","","【限时】"&amp;_xlfn.XLOOKUP($A443&amp;$B443&amp;$C443,盘货信息!$A:$A&amp;盘货信息!$B:$B&amp;盘货信息!$C:$C,盘货信息!$P:$P))</f>
        <v/>
      </c>
      <c r="N443" s="27" t="str" cm="1">
        <f t="array" ref="N443">IF(_xlfn.XLOOKUP($A443&amp;$B443&amp;$C443,盘货信息!$A:$A&amp;盘货信息!$B:$B&amp;盘货信息!$C:$C,盘货信息!$V:$V)="","","【"&amp;盘货信息!$V$1&amp;"】"&amp;_xlfn.XLOOKUP($A443&amp;$B443&amp;$C443,盘货信息!$A:$A&amp;盘货信息!$B:$B&amp;盘货信息!$C:$C,盘货信息!$V:$V))</f>
        <v/>
      </c>
      <c r="O443" s="27" t="str" cm="1">
        <f t="array" ref="O443">IF(_xlfn.XLOOKUP($A443&amp;$B443&amp;$C443,盘货信息!$A:$A&amp;盘货信息!$B:$B&amp;盘货信息!$C:$C,盘货信息!$W:$W)="","","【"&amp;盘货信息!$W$1&amp;"】"&amp;_xlfn.XLOOKUP($A443&amp;$B443&amp;$C443,盘货信息!$A:$A&amp;盘货信息!$B:$B&amp;盘货信息!$C:$C,盘货信息!$W:$W))</f>
        <v/>
      </c>
      <c r="P443" s="27" t="str" cm="1">
        <f t="array" ref="P443">IF(_xlfn.XLOOKUP($A443&amp;$B443&amp;$C443,盘货信息!$A:$A&amp;盘货信息!$B:$B&amp;盘货信息!$C:$C,盘货信息!$S:$S)&lt;1,"","【"&amp;盘货信息!$S$1&amp;"】"&amp;"后返"&amp;_xlfn.XLOOKUP($A443&amp;$B443&amp;$C443,盘货信息!$A:$A&amp;盘货信息!$B:$B&amp;盘货信息!$C:$C,盘货信息!$S:$S)&amp;"元")</f>
        <v/>
      </c>
      <c r="Q443" s="27" t="str" cm="1">
        <f t="array" ref="Q443">IF(_xlfn.XLOOKUP($A443&amp;$B443&amp;$C443,盘货信息!$A:$A&amp;盘货信息!$B:$B&amp;盘货信息!$C:$C,盘货信息!$X:$X)="","","【"&amp;盘货信息!$X$1&amp;"】"&amp;_xlfn.XLOOKUP($A443&amp;$B443&amp;$C443,盘货信息!$A:$A&amp;盘货信息!$B:$B&amp;盘货信息!$C:$C,盘货信息!$X:$X))</f>
        <v/>
      </c>
      <c r="R443" s="27" t="str" cm="1">
        <f t="array" ref="R443">IF(_xlfn.XLOOKUP($A443&amp;$B443&amp;$C443,盘货信息!$A:$A&amp;盘货信息!$B:$B&amp;盘货信息!$C:$C,盘货信息!$Z:$Z)="","","【"&amp;盘货信息!$Z$1&amp;"】"&amp;_xlfn.XLOOKUP($A443&amp;$B443&amp;$C443,盘货信息!$A:$A&amp;盘货信息!$B:$B&amp;盘货信息!$C:$C,盘货信息!$Z:$Z))</f>
        <v/>
      </c>
      <c r="S443" s="27" t="str" cm="1">
        <f t="array" ref="S443">IF(_xlfn.XLOOKUP($A443&amp;$B443&amp;$C443,盘货信息!$A:$A&amp;盘货信息!$B:$B&amp;盘货信息!$C:$C,盘货信息!$Q:$Q)="","","【种草】站外带指定话题种草后返"&amp;_xlfn.XLOOKUP($A443&amp;$B443&amp;$C443,盘货信息!$A:$A&amp;盘货信息!$B:$B&amp;盘货信息!$C:$C,盘货信息!$Q:$Q)&amp;"元红包（每个淘宝账号仅限对应一个站外种草账号，同一个种草账号不可对应多个淘宝账号）")</f>
        <v/>
      </c>
      <c r="T443" s="27" t="str" cm="1">
        <f t="array" ref="T443">IF(_xlfn.XLOOKUP($A443&amp;$B443&amp;$C443,盘货信息!$A:$A&amp;盘货信息!$B:$B&amp;盘货信息!$C:$C,盘货信息!$R:$R)&lt;1,"","【以旧换新】"&amp;"享补贴"&amp;ROUND(_xlfn.XLOOKUP($A443&amp;$B443&amp;$C443,盘货信息!$A:$A&amp;盘货信息!$B:$B&amp;盘货信息!$C:$C,盘货信息!$R:$R),0)&amp;"元（可无旧机换新）")</f>
        <v/>
      </c>
      <c r="U443" s="27" t="str">
        <f>IF(AND($N443="",$O443="",$P443="",$Q443="",$R443="",$S443="",$T443=""),"",固定信息!$B$1)</f>
        <v/>
      </c>
      <c r="V443" s="27" t="str" cm="1">
        <f t="array" ref="V443">IF(_xlfn.XLOOKUP($A443&amp;$B443&amp;$C443,盘货信息!$A:$A&amp;盘货信息!$B:$B&amp;盘货信息!$C:$C,盘货信息!$Y:$Y)="","","【卡萨帝送赠】活动指定时间"&amp;_xlfn.TEXTBEFORE(_xlfn.TEXTAFTER(_xlfn.XLOOKUP($A443&amp;$B443&amp;$C443,盘货信息!$A:$A&amp;盘货信息!$B:$B&amp;盘货信息!$C:$C,盘货信息!$Y:$Y),"点"),"（"))</f>
        <v/>
      </c>
      <c r="W443" s="27" t="str" cm="1">
        <f t="array" ref="W443">IF(COUNTIF(_xlfn.XLOOKUP($A443&amp;$B443&amp;$C443,盘货信息!$A:$A&amp;盘货信息!$B:$B&amp;盘货信息!$C:$C,盘货信息!$O:$O),"*是*"),"【折扣】指定型号满2类享96折，满3类享94折","")</f>
        <v/>
      </c>
      <c r="X443" s="27" t="str" cm="1">
        <f t="array" ref="X443">IF(固定信息!$B$7="","",IF(_xlfn.XLOOKUP($A443&amp;$B443&amp;$C443,盘货信息!$A:$A&amp;盘货信息!$B:$B&amp;盘货信息!$C:$C,盘货信息!$N:$N)="是","【瓜分】"&amp;固定信息!$B$7,""))</f>
        <v/>
      </c>
      <c r="Y443" s="27" t="str">
        <f>IF(AND($V443="",$W443="",$X443=""),"",固定信息!$B$1)</f>
        <v/>
      </c>
      <c r="Z443" s="27" t="str" cm="1">
        <f t="array" ref="Z443">IF($C443="","",_xlfn.XLOOKUP($A443&amp;$B443&amp;$C443,服务!$A:$A&amp;服务!$B:$B&amp;服务!$C:$C,服务!$D:$D))</f>
        <v/>
      </c>
    </row>
    <row r="444" customHeight="1" spans="1:26">
      <c r="A444" s="23" t="str">
        <f>IF(盘货信息!A444="","",盘货信息!A444)</f>
        <v/>
      </c>
      <c r="B444" s="26" t="str">
        <f>IF(盘货信息!B444="","",盘货信息!B444)</f>
        <v/>
      </c>
      <c r="C444" s="23" t="str">
        <f>IF(盘货信息!C444="","",盘货信息!C444)</f>
        <v/>
      </c>
      <c r="D444" s="27" t="str">
        <f ca="1" t="shared" si="6"/>
        <v/>
      </c>
      <c r="E444" s="27" t="str">
        <f>IF(C444="","",固定信息!$B$2)</f>
        <v/>
      </c>
      <c r="F444" s="27" t="str">
        <f>IF(C444="","","【"&amp;C444&amp;"】"&amp;固定信息!$B$4)</f>
        <v/>
      </c>
      <c r="G444" s="27" t="str">
        <f>IF(C444="","","【"&amp;"活动时间："&amp;固定信息!$B$3&amp;"】")</f>
        <v/>
      </c>
      <c r="H444" s="27" t="str">
        <f>IF($C444="","",固定信息!$B$1)</f>
        <v/>
      </c>
      <c r="I444" s="27" t="str">
        <f>IF(OR(C444="",固定信息!$B$5=""),"","【1元预约锁好礼】"&amp;固定信息!$B$5)</f>
        <v/>
      </c>
      <c r="J444" s="27" t="str" cm="1">
        <f t="array" ref="J444">_xlfn.XLOOKUP($A444&amp;$B444&amp;$C444,价格信息!$A:$A&amp;价格信息!$B:$B&amp;价格信息!$C:$C,价格信息!$D:$D)</f>
        <v/>
      </c>
      <c r="K444" s="27" t="str">
        <f>IF($C444="","",固定信息!$B$1)</f>
        <v/>
      </c>
      <c r="L444" s="27" t="str" cm="1">
        <f t="array" ref="L444">IF(_xlfn.XLOOKUP($A444&amp;$B444&amp;$C444,盘货信息!$A:$A&amp;盘货信息!$B:$B&amp;盘货信息!$C:$C,盘货信息!$T:$T)="","","【优惠券】领"&amp;_xlfn.XLOOKUP($A444&amp;$B444&amp;$C444,盘货信息!$A:$A&amp;盘货信息!$B:$B&amp;盘货信息!$C:$C,盘货信息!$T:$T)&amp;"元优惠卷下单更优惠，领券链接："&amp;_xlfn.XLOOKUP($A444&amp;$B444&amp;$C444,盘货信息!$A:$A&amp;盘货信息!$B:$B&amp;盘货信息!$C:$C,盘货信息!$U:$U))</f>
        <v/>
      </c>
      <c r="M444" s="27" t="str" cm="1">
        <f t="array" ref="M444">IF(_xlfn.XLOOKUP($A444&amp;$B444&amp;$C444,盘货信息!$A:$A&amp;盘货信息!$B:$B&amp;盘货信息!$C:$C,盘货信息!$P:$P)="","","【限时】"&amp;_xlfn.XLOOKUP($A444&amp;$B444&amp;$C444,盘货信息!$A:$A&amp;盘货信息!$B:$B&amp;盘货信息!$C:$C,盘货信息!$P:$P))</f>
        <v/>
      </c>
      <c r="N444" s="27" t="str" cm="1">
        <f t="array" ref="N444">IF(_xlfn.XLOOKUP($A444&amp;$B444&amp;$C444,盘货信息!$A:$A&amp;盘货信息!$B:$B&amp;盘货信息!$C:$C,盘货信息!$V:$V)="","","【"&amp;盘货信息!$V$1&amp;"】"&amp;_xlfn.XLOOKUP($A444&amp;$B444&amp;$C444,盘货信息!$A:$A&amp;盘货信息!$B:$B&amp;盘货信息!$C:$C,盘货信息!$V:$V))</f>
        <v/>
      </c>
      <c r="O444" s="27" t="str" cm="1">
        <f t="array" ref="O444">IF(_xlfn.XLOOKUP($A444&amp;$B444&amp;$C444,盘货信息!$A:$A&amp;盘货信息!$B:$B&amp;盘货信息!$C:$C,盘货信息!$W:$W)="","","【"&amp;盘货信息!$W$1&amp;"】"&amp;_xlfn.XLOOKUP($A444&amp;$B444&amp;$C444,盘货信息!$A:$A&amp;盘货信息!$B:$B&amp;盘货信息!$C:$C,盘货信息!$W:$W))</f>
        <v/>
      </c>
      <c r="P444" s="27" t="str" cm="1">
        <f t="array" ref="P444">IF(_xlfn.XLOOKUP($A444&amp;$B444&amp;$C444,盘货信息!$A:$A&amp;盘货信息!$B:$B&amp;盘货信息!$C:$C,盘货信息!$S:$S)&lt;1,"","【"&amp;盘货信息!$S$1&amp;"】"&amp;"后返"&amp;_xlfn.XLOOKUP($A444&amp;$B444&amp;$C444,盘货信息!$A:$A&amp;盘货信息!$B:$B&amp;盘货信息!$C:$C,盘货信息!$S:$S)&amp;"元")</f>
        <v/>
      </c>
      <c r="Q444" s="27" t="str" cm="1">
        <f t="array" ref="Q444">IF(_xlfn.XLOOKUP($A444&amp;$B444&amp;$C444,盘货信息!$A:$A&amp;盘货信息!$B:$B&amp;盘货信息!$C:$C,盘货信息!$X:$X)="","","【"&amp;盘货信息!$X$1&amp;"】"&amp;_xlfn.XLOOKUP($A444&amp;$B444&amp;$C444,盘货信息!$A:$A&amp;盘货信息!$B:$B&amp;盘货信息!$C:$C,盘货信息!$X:$X))</f>
        <v/>
      </c>
      <c r="R444" s="27" t="str" cm="1">
        <f t="array" ref="R444">IF(_xlfn.XLOOKUP($A444&amp;$B444&amp;$C444,盘货信息!$A:$A&amp;盘货信息!$B:$B&amp;盘货信息!$C:$C,盘货信息!$Z:$Z)="","","【"&amp;盘货信息!$Z$1&amp;"】"&amp;_xlfn.XLOOKUP($A444&amp;$B444&amp;$C444,盘货信息!$A:$A&amp;盘货信息!$B:$B&amp;盘货信息!$C:$C,盘货信息!$Z:$Z))</f>
        <v/>
      </c>
      <c r="S444" s="27" t="str" cm="1">
        <f t="array" ref="S444">IF(_xlfn.XLOOKUP($A444&amp;$B444&amp;$C444,盘货信息!$A:$A&amp;盘货信息!$B:$B&amp;盘货信息!$C:$C,盘货信息!$Q:$Q)="","","【种草】站外带指定话题种草后返"&amp;_xlfn.XLOOKUP($A444&amp;$B444&amp;$C444,盘货信息!$A:$A&amp;盘货信息!$B:$B&amp;盘货信息!$C:$C,盘货信息!$Q:$Q)&amp;"元红包（每个淘宝账号仅限对应一个站外种草账号，同一个种草账号不可对应多个淘宝账号）")</f>
        <v/>
      </c>
      <c r="T444" s="27" t="str" cm="1">
        <f t="array" ref="T444">IF(_xlfn.XLOOKUP($A444&amp;$B444&amp;$C444,盘货信息!$A:$A&amp;盘货信息!$B:$B&amp;盘货信息!$C:$C,盘货信息!$R:$R)&lt;1,"","【以旧换新】"&amp;"享补贴"&amp;ROUND(_xlfn.XLOOKUP($A444&amp;$B444&amp;$C444,盘货信息!$A:$A&amp;盘货信息!$B:$B&amp;盘货信息!$C:$C,盘货信息!$R:$R),0)&amp;"元（可无旧机换新）")</f>
        <v/>
      </c>
      <c r="U444" s="27" t="str">
        <f>IF(AND($N444="",$O444="",$P444="",$Q444="",$R444="",$S444="",$T444=""),"",固定信息!$B$1)</f>
        <v/>
      </c>
      <c r="V444" s="27" t="str" cm="1">
        <f t="array" ref="V444">IF(_xlfn.XLOOKUP($A444&amp;$B444&amp;$C444,盘货信息!$A:$A&amp;盘货信息!$B:$B&amp;盘货信息!$C:$C,盘货信息!$Y:$Y)="","","【卡萨帝送赠】活动指定时间"&amp;_xlfn.TEXTBEFORE(_xlfn.TEXTAFTER(_xlfn.XLOOKUP($A444&amp;$B444&amp;$C444,盘货信息!$A:$A&amp;盘货信息!$B:$B&amp;盘货信息!$C:$C,盘货信息!$Y:$Y),"点"),"（"))</f>
        <v/>
      </c>
      <c r="W444" s="27" t="str" cm="1">
        <f t="array" ref="W444">IF(COUNTIF(_xlfn.XLOOKUP($A444&amp;$B444&amp;$C444,盘货信息!$A:$A&amp;盘货信息!$B:$B&amp;盘货信息!$C:$C,盘货信息!$O:$O),"*是*"),"【折扣】指定型号满2类享96折，满3类享94折","")</f>
        <v/>
      </c>
      <c r="X444" s="27" t="str" cm="1">
        <f t="array" ref="X444">IF(固定信息!$B$7="","",IF(_xlfn.XLOOKUP($A444&amp;$B444&amp;$C444,盘货信息!$A:$A&amp;盘货信息!$B:$B&amp;盘货信息!$C:$C,盘货信息!$N:$N)="是","【瓜分】"&amp;固定信息!$B$7,""))</f>
        <v/>
      </c>
      <c r="Y444" s="27" t="str">
        <f>IF(AND($V444="",$W444="",$X444=""),"",固定信息!$B$1)</f>
        <v/>
      </c>
      <c r="Z444" s="27" t="str" cm="1">
        <f t="array" ref="Z444">IF($C444="","",_xlfn.XLOOKUP($A444&amp;$B444&amp;$C444,服务!$A:$A&amp;服务!$B:$B&amp;服务!$C:$C,服务!$D:$D))</f>
        <v/>
      </c>
    </row>
    <row r="445" customHeight="1" spans="1:26">
      <c r="A445" s="23" t="str">
        <f>IF(盘货信息!A445="","",盘货信息!A445)</f>
        <v/>
      </c>
      <c r="B445" s="26" t="str">
        <f>IF(盘货信息!B445="","",盘货信息!B445)</f>
        <v/>
      </c>
      <c r="C445" s="23" t="str">
        <f>IF(盘货信息!C445="","",盘货信息!C445)</f>
        <v/>
      </c>
      <c r="D445" s="27" t="str">
        <f ca="1" t="shared" si="6"/>
        <v/>
      </c>
      <c r="E445" s="27" t="str">
        <f>IF(C445="","",固定信息!$B$2)</f>
        <v/>
      </c>
      <c r="F445" s="27" t="str">
        <f>IF(C445="","","【"&amp;C445&amp;"】"&amp;固定信息!$B$4)</f>
        <v/>
      </c>
      <c r="G445" s="27" t="str">
        <f>IF(C445="","","【"&amp;"活动时间："&amp;固定信息!$B$3&amp;"】")</f>
        <v/>
      </c>
      <c r="H445" s="27" t="str">
        <f>IF($C445="","",固定信息!$B$1)</f>
        <v/>
      </c>
      <c r="I445" s="27" t="str">
        <f>IF(OR(C445="",固定信息!$B$5=""),"","【1元预约锁好礼】"&amp;固定信息!$B$5)</f>
        <v/>
      </c>
      <c r="J445" s="27" t="str" cm="1">
        <f t="array" ref="J445">_xlfn.XLOOKUP($A445&amp;$B445&amp;$C445,价格信息!$A:$A&amp;价格信息!$B:$B&amp;价格信息!$C:$C,价格信息!$D:$D)</f>
        <v/>
      </c>
      <c r="K445" s="27" t="str">
        <f>IF($C445="","",固定信息!$B$1)</f>
        <v/>
      </c>
      <c r="L445" s="27" t="str" cm="1">
        <f t="array" ref="L445">IF(_xlfn.XLOOKUP($A445&amp;$B445&amp;$C445,盘货信息!$A:$A&amp;盘货信息!$B:$B&amp;盘货信息!$C:$C,盘货信息!$T:$T)="","","【优惠券】领"&amp;_xlfn.XLOOKUP($A445&amp;$B445&amp;$C445,盘货信息!$A:$A&amp;盘货信息!$B:$B&amp;盘货信息!$C:$C,盘货信息!$T:$T)&amp;"元优惠卷下单更优惠，领券链接："&amp;_xlfn.XLOOKUP($A445&amp;$B445&amp;$C445,盘货信息!$A:$A&amp;盘货信息!$B:$B&amp;盘货信息!$C:$C,盘货信息!$U:$U))</f>
        <v/>
      </c>
      <c r="M445" s="27" t="str" cm="1">
        <f t="array" ref="M445">IF(_xlfn.XLOOKUP($A445&amp;$B445&amp;$C445,盘货信息!$A:$A&amp;盘货信息!$B:$B&amp;盘货信息!$C:$C,盘货信息!$P:$P)="","","【限时】"&amp;_xlfn.XLOOKUP($A445&amp;$B445&amp;$C445,盘货信息!$A:$A&amp;盘货信息!$B:$B&amp;盘货信息!$C:$C,盘货信息!$P:$P))</f>
        <v/>
      </c>
      <c r="N445" s="27" t="str" cm="1">
        <f t="array" ref="N445">IF(_xlfn.XLOOKUP($A445&amp;$B445&amp;$C445,盘货信息!$A:$A&amp;盘货信息!$B:$B&amp;盘货信息!$C:$C,盘货信息!$V:$V)="","","【"&amp;盘货信息!$V$1&amp;"】"&amp;_xlfn.XLOOKUP($A445&amp;$B445&amp;$C445,盘货信息!$A:$A&amp;盘货信息!$B:$B&amp;盘货信息!$C:$C,盘货信息!$V:$V))</f>
        <v/>
      </c>
      <c r="O445" s="27" t="str" cm="1">
        <f t="array" ref="O445">IF(_xlfn.XLOOKUP($A445&amp;$B445&amp;$C445,盘货信息!$A:$A&amp;盘货信息!$B:$B&amp;盘货信息!$C:$C,盘货信息!$W:$W)="","","【"&amp;盘货信息!$W$1&amp;"】"&amp;_xlfn.XLOOKUP($A445&amp;$B445&amp;$C445,盘货信息!$A:$A&amp;盘货信息!$B:$B&amp;盘货信息!$C:$C,盘货信息!$W:$W))</f>
        <v/>
      </c>
      <c r="P445" s="27" t="str" cm="1">
        <f t="array" ref="P445">IF(_xlfn.XLOOKUP($A445&amp;$B445&amp;$C445,盘货信息!$A:$A&amp;盘货信息!$B:$B&amp;盘货信息!$C:$C,盘货信息!$S:$S)&lt;1,"","【"&amp;盘货信息!$S$1&amp;"】"&amp;"后返"&amp;_xlfn.XLOOKUP($A445&amp;$B445&amp;$C445,盘货信息!$A:$A&amp;盘货信息!$B:$B&amp;盘货信息!$C:$C,盘货信息!$S:$S)&amp;"元")</f>
        <v/>
      </c>
      <c r="Q445" s="27" t="str" cm="1">
        <f t="array" ref="Q445">IF(_xlfn.XLOOKUP($A445&amp;$B445&amp;$C445,盘货信息!$A:$A&amp;盘货信息!$B:$B&amp;盘货信息!$C:$C,盘货信息!$X:$X)="","","【"&amp;盘货信息!$X$1&amp;"】"&amp;_xlfn.XLOOKUP($A445&amp;$B445&amp;$C445,盘货信息!$A:$A&amp;盘货信息!$B:$B&amp;盘货信息!$C:$C,盘货信息!$X:$X))</f>
        <v/>
      </c>
      <c r="R445" s="27" t="str" cm="1">
        <f t="array" ref="R445">IF(_xlfn.XLOOKUP($A445&amp;$B445&amp;$C445,盘货信息!$A:$A&amp;盘货信息!$B:$B&amp;盘货信息!$C:$C,盘货信息!$Z:$Z)="","","【"&amp;盘货信息!$Z$1&amp;"】"&amp;_xlfn.XLOOKUP($A445&amp;$B445&amp;$C445,盘货信息!$A:$A&amp;盘货信息!$B:$B&amp;盘货信息!$C:$C,盘货信息!$Z:$Z))</f>
        <v/>
      </c>
      <c r="S445" s="27" t="str" cm="1">
        <f t="array" ref="S445">IF(_xlfn.XLOOKUP($A445&amp;$B445&amp;$C445,盘货信息!$A:$A&amp;盘货信息!$B:$B&amp;盘货信息!$C:$C,盘货信息!$Q:$Q)="","","【种草】站外带指定话题种草后返"&amp;_xlfn.XLOOKUP($A445&amp;$B445&amp;$C445,盘货信息!$A:$A&amp;盘货信息!$B:$B&amp;盘货信息!$C:$C,盘货信息!$Q:$Q)&amp;"元红包（每个淘宝账号仅限对应一个站外种草账号，同一个种草账号不可对应多个淘宝账号）")</f>
        <v/>
      </c>
      <c r="T445" s="27" t="str" cm="1">
        <f t="array" ref="T445">IF(_xlfn.XLOOKUP($A445&amp;$B445&amp;$C445,盘货信息!$A:$A&amp;盘货信息!$B:$B&amp;盘货信息!$C:$C,盘货信息!$R:$R)&lt;1,"","【以旧换新】"&amp;"享补贴"&amp;ROUND(_xlfn.XLOOKUP($A445&amp;$B445&amp;$C445,盘货信息!$A:$A&amp;盘货信息!$B:$B&amp;盘货信息!$C:$C,盘货信息!$R:$R),0)&amp;"元（可无旧机换新）")</f>
        <v/>
      </c>
      <c r="U445" s="27" t="str">
        <f>IF(AND($N445="",$O445="",$P445="",$Q445="",$R445="",$S445="",$T445=""),"",固定信息!$B$1)</f>
        <v/>
      </c>
      <c r="V445" s="27" t="str" cm="1">
        <f t="array" ref="V445">IF(_xlfn.XLOOKUP($A445&amp;$B445&amp;$C445,盘货信息!$A:$A&amp;盘货信息!$B:$B&amp;盘货信息!$C:$C,盘货信息!$Y:$Y)="","","【卡萨帝送赠】活动指定时间"&amp;_xlfn.TEXTBEFORE(_xlfn.TEXTAFTER(_xlfn.XLOOKUP($A445&amp;$B445&amp;$C445,盘货信息!$A:$A&amp;盘货信息!$B:$B&amp;盘货信息!$C:$C,盘货信息!$Y:$Y),"点"),"（"))</f>
        <v/>
      </c>
      <c r="W445" s="27" t="str" cm="1">
        <f t="array" ref="W445">IF(COUNTIF(_xlfn.XLOOKUP($A445&amp;$B445&amp;$C445,盘货信息!$A:$A&amp;盘货信息!$B:$B&amp;盘货信息!$C:$C,盘货信息!$O:$O),"*是*"),"【折扣】指定型号满2类享96折，满3类享94折","")</f>
        <v/>
      </c>
      <c r="X445" s="27" t="str" cm="1">
        <f t="array" ref="X445">IF(固定信息!$B$7="","",IF(_xlfn.XLOOKUP($A445&amp;$B445&amp;$C445,盘货信息!$A:$A&amp;盘货信息!$B:$B&amp;盘货信息!$C:$C,盘货信息!$N:$N)="是","【瓜分】"&amp;固定信息!$B$7,""))</f>
        <v/>
      </c>
      <c r="Y445" s="27" t="str">
        <f>IF(AND($V445="",$W445="",$X445=""),"",固定信息!$B$1)</f>
        <v/>
      </c>
      <c r="Z445" s="27" t="str" cm="1">
        <f t="array" ref="Z445">IF($C445="","",_xlfn.XLOOKUP($A445&amp;$B445&amp;$C445,服务!$A:$A&amp;服务!$B:$B&amp;服务!$C:$C,服务!$D:$D))</f>
        <v/>
      </c>
    </row>
    <row r="446" customHeight="1" spans="1:26">
      <c r="A446" s="23" t="str">
        <f>IF(盘货信息!A446="","",盘货信息!A446)</f>
        <v/>
      </c>
      <c r="B446" s="26" t="str">
        <f>IF(盘货信息!B446="","",盘货信息!B446)</f>
        <v/>
      </c>
      <c r="C446" s="23" t="str">
        <f>IF(盘货信息!C446="","",盘货信息!C446)</f>
        <v/>
      </c>
      <c r="D446" s="27" t="str">
        <f ca="1" t="shared" si="6"/>
        <v/>
      </c>
      <c r="E446" s="27" t="str">
        <f>IF(C446="","",固定信息!$B$2)</f>
        <v/>
      </c>
      <c r="F446" s="27" t="str">
        <f>IF(C446="","","【"&amp;C446&amp;"】"&amp;固定信息!$B$4)</f>
        <v/>
      </c>
      <c r="G446" s="27" t="str">
        <f>IF(C446="","","【"&amp;"活动时间："&amp;固定信息!$B$3&amp;"】")</f>
        <v/>
      </c>
      <c r="H446" s="27" t="str">
        <f>IF($C446="","",固定信息!$B$1)</f>
        <v/>
      </c>
      <c r="I446" s="27" t="str">
        <f>IF(OR(C446="",固定信息!$B$5=""),"","【1元预约锁好礼】"&amp;固定信息!$B$5)</f>
        <v/>
      </c>
      <c r="J446" s="27" t="str" cm="1">
        <f t="array" ref="J446">_xlfn.XLOOKUP($A446&amp;$B446&amp;$C446,价格信息!$A:$A&amp;价格信息!$B:$B&amp;价格信息!$C:$C,价格信息!$D:$D)</f>
        <v/>
      </c>
      <c r="K446" s="27" t="str">
        <f>IF($C446="","",固定信息!$B$1)</f>
        <v/>
      </c>
      <c r="L446" s="27" t="str" cm="1">
        <f t="array" ref="L446">IF(_xlfn.XLOOKUP($A446&amp;$B446&amp;$C446,盘货信息!$A:$A&amp;盘货信息!$B:$B&amp;盘货信息!$C:$C,盘货信息!$T:$T)="","","【优惠券】领"&amp;_xlfn.XLOOKUP($A446&amp;$B446&amp;$C446,盘货信息!$A:$A&amp;盘货信息!$B:$B&amp;盘货信息!$C:$C,盘货信息!$T:$T)&amp;"元优惠卷下单更优惠，领券链接："&amp;_xlfn.XLOOKUP($A446&amp;$B446&amp;$C446,盘货信息!$A:$A&amp;盘货信息!$B:$B&amp;盘货信息!$C:$C,盘货信息!$U:$U))</f>
        <v/>
      </c>
      <c r="M446" s="27" t="str" cm="1">
        <f t="array" ref="M446">IF(_xlfn.XLOOKUP($A446&amp;$B446&amp;$C446,盘货信息!$A:$A&amp;盘货信息!$B:$B&amp;盘货信息!$C:$C,盘货信息!$P:$P)="","","【限时】"&amp;_xlfn.XLOOKUP($A446&amp;$B446&amp;$C446,盘货信息!$A:$A&amp;盘货信息!$B:$B&amp;盘货信息!$C:$C,盘货信息!$P:$P))</f>
        <v/>
      </c>
      <c r="N446" s="27" t="str" cm="1">
        <f t="array" ref="N446">IF(_xlfn.XLOOKUP($A446&amp;$B446&amp;$C446,盘货信息!$A:$A&amp;盘货信息!$B:$B&amp;盘货信息!$C:$C,盘货信息!$V:$V)="","","【"&amp;盘货信息!$V$1&amp;"】"&amp;_xlfn.XLOOKUP($A446&amp;$B446&amp;$C446,盘货信息!$A:$A&amp;盘货信息!$B:$B&amp;盘货信息!$C:$C,盘货信息!$V:$V))</f>
        <v/>
      </c>
      <c r="O446" s="27" t="str" cm="1">
        <f t="array" ref="O446">IF(_xlfn.XLOOKUP($A446&amp;$B446&amp;$C446,盘货信息!$A:$A&amp;盘货信息!$B:$B&amp;盘货信息!$C:$C,盘货信息!$W:$W)="","","【"&amp;盘货信息!$W$1&amp;"】"&amp;_xlfn.XLOOKUP($A446&amp;$B446&amp;$C446,盘货信息!$A:$A&amp;盘货信息!$B:$B&amp;盘货信息!$C:$C,盘货信息!$W:$W))</f>
        <v/>
      </c>
      <c r="P446" s="27" t="str" cm="1">
        <f t="array" ref="P446">IF(_xlfn.XLOOKUP($A446&amp;$B446&amp;$C446,盘货信息!$A:$A&amp;盘货信息!$B:$B&amp;盘货信息!$C:$C,盘货信息!$S:$S)&lt;1,"","【"&amp;盘货信息!$S$1&amp;"】"&amp;"后返"&amp;_xlfn.XLOOKUP($A446&amp;$B446&amp;$C446,盘货信息!$A:$A&amp;盘货信息!$B:$B&amp;盘货信息!$C:$C,盘货信息!$S:$S)&amp;"元")</f>
        <v/>
      </c>
      <c r="Q446" s="27" t="str" cm="1">
        <f t="array" ref="Q446">IF(_xlfn.XLOOKUP($A446&amp;$B446&amp;$C446,盘货信息!$A:$A&amp;盘货信息!$B:$B&amp;盘货信息!$C:$C,盘货信息!$X:$X)="","","【"&amp;盘货信息!$X$1&amp;"】"&amp;_xlfn.XLOOKUP($A446&amp;$B446&amp;$C446,盘货信息!$A:$A&amp;盘货信息!$B:$B&amp;盘货信息!$C:$C,盘货信息!$X:$X))</f>
        <v/>
      </c>
      <c r="R446" s="27" t="str" cm="1">
        <f t="array" ref="R446">IF(_xlfn.XLOOKUP($A446&amp;$B446&amp;$C446,盘货信息!$A:$A&amp;盘货信息!$B:$B&amp;盘货信息!$C:$C,盘货信息!$Z:$Z)="","","【"&amp;盘货信息!$Z$1&amp;"】"&amp;_xlfn.XLOOKUP($A446&amp;$B446&amp;$C446,盘货信息!$A:$A&amp;盘货信息!$B:$B&amp;盘货信息!$C:$C,盘货信息!$Z:$Z))</f>
        <v/>
      </c>
      <c r="S446" s="27" t="str" cm="1">
        <f t="array" ref="S446">IF(_xlfn.XLOOKUP($A446&amp;$B446&amp;$C446,盘货信息!$A:$A&amp;盘货信息!$B:$B&amp;盘货信息!$C:$C,盘货信息!$Q:$Q)="","","【种草】站外带指定话题种草后返"&amp;_xlfn.XLOOKUP($A446&amp;$B446&amp;$C446,盘货信息!$A:$A&amp;盘货信息!$B:$B&amp;盘货信息!$C:$C,盘货信息!$Q:$Q)&amp;"元红包（每个淘宝账号仅限对应一个站外种草账号，同一个种草账号不可对应多个淘宝账号）")</f>
        <v/>
      </c>
      <c r="T446" s="27" t="str" cm="1">
        <f t="array" ref="T446">IF(_xlfn.XLOOKUP($A446&amp;$B446&amp;$C446,盘货信息!$A:$A&amp;盘货信息!$B:$B&amp;盘货信息!$C:$C,盘货信息!$R:$R)&lt;1,"","【以旧换新】"&amp;"享补贴"&amp;ROUND(_xlfn.XLOOKUP($A446&amp;$B446&amp;$C446,盘货信息!$A:$A&amp;盘货信息!$B:$B&amp;盘货信息!$C:$C,盘货信息!$R:$R),0)&amp;"元（可无旧机换新）")</f>
        <v/>
      </c>
      <c r="U446" s="27" t="str">
        <f>IF(AND($N446="",$O446="",$P446="",$Q446="",$R446="",$S446="",$T446=""),"",固定信息!$B$1)</f>
        <v/>
      </c>
      <c r="V446" s="27" t="str" cm="1">
        <f t="array" ref="V446">IF(_xlfn.XLOOKUP($A446&amp;$B446&amp;$C446,盘货信息!$A:$A&amp;盘货信息!$B:$B&amp;盘货信息!$C:$C,盘货信息!$Y:$Y)="","","【卡萨帝送赠】活动指定时间"&amp;_xlfn.TEXTBEFORE(_xlfn.TEXTAFTER(_xlfn.XLOOKUP($A446&amp;$B446&amp;$C446,盘货信息!$A:$A&amp;盘货信息!$B:$B&amp;盘货信息!$C:$C,盘货信息!$Y:$Y),"点"),"（"))</f>
        <v/>
      </c>
      <c r="W446" s="27" t="str" cm="1">
        <f t="array" ref="W446">IF(COUNTIF(_xlfn.XLOOKUP($A446&amp;$B446&amp;$C446,盘货信息!$A:$A&amp;盘货信息!$B:$B&amp;盘货信息!$C:$C,盘货信息!$O:$O),"*是*"),"【折扣】指定型号满2类享96折，满3类享94折","")</f>
        <v/>
      </c>
      <c r="X446" s="27" t="str" cm="1">
        <f t="array" ref="X446">IF(固定信息!$B$7="","",IF(_xlfn.XLOOKUP($A446&amp;$B446&amp;$C446,盘货信息!$A:$A&amp;盘货信息!$B:$B&amp;盘货信息!$C:$C,盘货信息!$N:$N)="是","【瓜分】"&amp;固定信息!$B$7,""))</f>
        <v/>
      </c>
      <c r="Y446" s="27" t="str">
        <f>IF(AND($V446="",$W446="",$X446=""),"",固定信息!$B$1)</f>
        <v/>
      </c>
      <c r="Z446" s="27" t="str" cm="1">
        <f t="array" ref="Z446">IF($C446="","",_xlfn.XLOOKUP($A446&amp;$B446&amp;$C446,服务!$A:$A&amp;服务!$B:$B&amp;服务!$C:$C,服务!$D:$D))</f>
        <v/>
      </c>
    </row>
    <row r="447" customHeight="1" spans="1:26">
      <c r="A447" s="23" t="str">
        <f>IF(盘货信息!A447="","",盘货信息!A447)</f>
        <v/>
      </c>
      <c r="B447" s="26" t="str">
        <f>IF(盘货信息!B447="","",盘货信息!B447)</f>
        <v/>
      </c>
      <c r="C447" s="23" t="str">
        <f>IF(盘货信息!C447="","",盘货信息!C447)</f>
        <v/>
      </c>
      <c r="D447" s="27" t="str">
        <f ca="1" t="shared" si="6"/>
        <v/>
      </c>
      <c r="E447" s="27" t="str">
        <f>IF(C447="","",固定信息!$B$2)</f>
        <v/>
      </c>
      <c r="F447" s="27" t="str">
        <f>IF(C447="","","【"&amp;C447&amp;"】"&amp;固定信息!$B$4)</f>
        <v/>
      </c>
      <c r="G447" s="27" t="str">
        <f>IF(C447="","","【"&amp;"活动时间："&amp;固定信息!$B$3&amp;"】")</f>
        <v/>
      </c>
      <c r="H447" s="27" t="str">
        <f>IF($C447="","",固定信息!$B$1)</f>
        <v/>
      </c>
      <c r="I447" s="27" t="str">
        <f>IF(OR(C447="",固定信息!$B$5=""),"","【1元预约锁好礼】"&amp;固定信息!$B$5)</f>
        <v/>
      </c>
      <c r="J447" s="27" t="str" cm="1">
        <f t="array" ref="J447">_xlfn.XLOOKUP($A447&amp;$B447&amp;$C447,价格信息!$A:$A&amp;价格信息!$B:$B&amp;价格信息!$C:$C,价格信息!$D:$D)</f>
        <v/>
      </c>
      <c r="K447" s="27" t="str">
        <f>IF($C447="","",固定信息!$B$1)</f>
        <v/>
      </c>
      <c r="L447" s="27" t="str" cm="1">
        <f t="array" ref="L447">IF(_xlfn.XLOOKUP($A447&amp;$B447&amp;$C447,盘货信息!$A:$A&amp;盘货信息!$B:$B&amp;盘货信息!$C:$C,盘货信息!$T:$T)="","","【优惠券】领"&amp;_xlfn.XLOOKUP($A447&amp;$B447&amp;$C447,盘货信息!$A:$A&amp;盘货信息!$B:$B&amp;盘货信息!$C:$C,盘货信息!$T:$T)&amp;"元优惠卷下单更优惠，领券链接："&amp;_xlfn.XLOOKUP($A447&amp;$B447&amp;$C447,盘货信息!$A:$A&amp;盘货信息!$B:$B&amp;盘货信息!$C:$C,盘货信息!$U:$U))</f>
        <v/>
      </c>
      <c r="M447" s="27" t="str" cm="1">
        <f t="array" ref="M447">IF(_xlfn.XLOOKUP($A447&amp;$B447&amp;$C447,盘货信息!$A:$A&amp;盘货信息!$B:$B&amp;盘货信息!$C:$C,盘货信息!$P:$P)="","","【限时】"&amp;_xlfn.XLOOKUP($A447&amp;$B447&amp;$C447,盘货信息!$A:$A&amp;盘货信息!$B:$B&amp;盘货信息!$C:$C,盘货信息!$P:$P))</f>
        <v/>
      </c>
      <c r="N447" s="27" t="str" cm="1">
        <f t="array" ref="N447">IF(_xlfn.XLOOKUP($A447&amp;$B447&amp;$C447,盘货信息!$A:$A&amp;盘货信息!$B:$B&amp;盘货信息!$C:$C,盘货信息!$V:$V)="","","【"&amp;盘货信息!$V$1&amp;"】"&amp;_xlfn.XLOOKUP($A447&amp;$B447&amp;$C447,盘货信息!$A:$A&amp;盘货信息!$B:$B&amp;盘货信息!$C:$C,盘货信息!$V:$V))</f>
        <v/>
      </c>
      <c r="O447" s="27" t="str" cm="1">
        <f t="array" ref="O447">IF(_xlfn.XLOOKUP($A447&amp;$B447&amp;$C447,盘货信息!$A:$A&amp;盘货信息!$B:$B&amp;盘货信息!$C:$C,盘货信息!$W:$W)="","","【"&amp;盘货信息!$W$1&amp;"】"&amp;_xlfn.XLOOKUP($A447&amp;$B447&amp;$C447,盘货信息!$A:$A&amp;盘货信息!$B:$B&amp;盘货信息!$C:$C,盘货信息!$W:$W))</f>
        <v/>
      </c>
      <c r="P447" s="27" t="str" cm="1">
        <f t="array" ref="P447">IF(_xlfn.XLOOKUP($A447&amp;$B447&amp;$C447,盘货信息!$A:$A&amp;盘货信息!$B:$B&amp;盘货信息!$C:$C,盘货信息!$S:$S)&lt;1,"","【"&amp;盘货信息!$S$1&amp;"】"&amp;"后返"&amp;_xlfn.XLOOKUP($A447&amp;$B447&amp;$C447,盘货信息!$A:$A&amp;盘货信息!$B:$B&amp;盘货信息!$C:$C,盘货信息!$S:$S)&amp;"元")</f>
        <v/>
      </c>
      <c r="Q447" s="27" t="str" cm="1">
        <f t="array" ref="Q447">IF(_xlfn.XLOOKUP($A447&amp;$B447&amp;$C447,盘货信息!$A:$A&amp;盘货信息!$B:$B&amp;盘货信息!$C:$C,盘货信息!$X:$X)="","","【"&amp;盘货信息!$X$1&amp;"】"&amp;_xlfn.XLOOKUP($A447&amp;$B447&amp;$C447,盘货信息!$A:$A&amp;盘货信息!$B:$B&amp;盘货信息!$C:$C,盘货信息!$X:$X))</f>
        <v/>
      </c>
      <c r="R447" s="27" t="str" cm="1">
        <f t="array" ref="R447">IF(_xlfn.XLOOKUP($A447&amp;$B447&amp;$C447,盘货信息!$A:$A&amp;盘货信息!$B:$B&amp;盘货信息!$C:$C,盘货信息!$Z:$Z)="","","【"&amp;盘货信息!$Z$1&amp;"】"&amp;_xlfn.XLOOKUP($A447&amp;$B447&amp;$C447,盘货信息!$A:$A&amp;盘货信息!$B:$B&amp;盘货信息!$C:$C,盘货信息!$Z:$Z))</f>
        <v/>
      </c>
      <c r="S447" s="27" t="str" cm="1">
        <f t="array" ref="S447">IF(_xlfn.XLOOKUP($A447&amp;$B447&amp;$C447,盘货信息!$A:$A&amp;盘货信息!$B:$B&amp;盘货信息!$C:$C,盘货信息!$Q:$Q)="","","【种草】站外带指定话题种草后返"&amp;_xlfn.XLOOKUP($A447&amp;$B447&amp;$C447,盘货信息!$A:$A&amp;盘货信息!$B:$B&amp;盘货信息!$C:$C,盘货信息!$Q:$Q)&amp;"元红包（每个淘宝账号仅限对应一个站外种草账号，同一个种草账号不可对应多个淘宝账号）")</f>
        <v/>
      </c>
      <c r="T447" s="27" t="str" cm="1">
        <f t="array" ref="T447">IF(_xlfn.XLOOKUP($A447&amp;$B447&amp;$C447,盘货信息!$A:$A&amp;盘货信息!$B:$B&amp;盘货信息!$C:$C,盘货信息!$R:$R)&lt;1,"","【以旧换新】"&amp;"享补贴"&amp;ROUND(_xlfn.XLOOKUP($A447&amp;$B447&amp;$C447,盘货信息!$A:$A&amp;盘货信息!$B:$B&amp;盘货信息!$C:$C,盘货信息!$R:$R),0)&amp;"元（可无旧机换新）")</f>
        <v/>
      </c>
      <c r="U447" s="27" t="str">
        <f>IF(AND($N447="",$O447="",$P447="",$Q447="",$R447="",$S447="",$T447=""),"",固定信息!$B$1)</f>
        <v/>
      </c>
      <c r="V447" s="27" t="str" cm="1">
        <f t="array" ref="V447">IF(_xlfn.XLOOKUP($A447&amp;$B447&amp;$C447,盘货信息!$A:$A&amp;盘货信息!$B:$B&amp;盘货信息!$C:$C,盘货信息!$Y:$Y)="","","【卡萨帝送赠】活动指定时间"&amp;_xlfn.TEXTBEFORE(_xlfn.TEXTAFTER(_xlfn.XLOOKUP($A447&amp;$B447&amp;$C447,盘货信息!$A:$A&amp;盘货信息!$B:$B&amp;盘货信息!$C:$C,盘货信息!$Y:$Y),"点"),"（"))</f>
        <v/>
      </c>
      <c r="W447" s="27" t="str" cm="1">
        <f t="array" ref="W447">IF(COUNTIF(_xlfn.XLOOKUP($A447&amp;$B447&amp;$C447,盘货信息!$A:$A&amp;盘货信息!$B:$B&amp;盘货信息!$C:$C,盘货信息!$O:$O),"*是*"),"【折扣】指定型号满2类享96折，满3类享94折","")</f>
        <v/>
      </c>
      <c r="X447" s="27" t="str" cm="1">
        <f t="array" ref="X447">IF(固定信息!$B$7="","",IF(_xlfn.XLOOKUP($A447&amp;$B447&amp;$C447,盘货信息!$A:$A&amp;盘货信息!$B:$B&amp;盘货信息!$C:$C,盘货信息!$N:$N)="是","【瓜分】"&amp;固定信息!$B$7,""))</f>
        <v/>
      </c>
      <c r="Y447" s="27" t="str">
        <f>IF(AND($V447="",$W447="",$X447=""),"",固定信息!$B$1)</f>
        <v/>
      </c>
      <c r="Z447" s="27" t="str" cm="1">
        <f t="array" ref="Z447">IF($C447="","",_xlfn.XLOOKUP($A447&amp;$B447&amp;$C447,服务!$A:$A&amp;服务!$B:$B&amp;服务!$C:$C,服务!$D:$D))</f>
        <v/>
      </c>
    </row>
    <row r="448" customHeight="1" spans="1:26">
      <c r="A448" s="23" t="str">
        <f>IF(盘货信息!A448="","",盘货信息!A448)</f>
        <v/>
      </c>
      <c r="B448" s="26" t="str">
        <f>IF(盘货信息!B448="","",盘货信息!B448)</f>
        <v/>
      </c>
      <c r="C448" s="23" t="str">
        <f>IF(盘货信息!C448="","",盘货信息!C448)</f>
        <v/>
      </c>
      <c r="D448" s="27" t="str">
        <f ca="1" t="shared" si="6"/>
        <v/>
      </c>
      <c r="E448" s="27" t="str">
        <f>IF(C448="","",固定信息!$B$2)</f>
        <v/>
      </c>
      <c r="F448" s="27" t="str">
        <f>IF(C448="","","【"&amp;C448&amp;"】"&amp;固定信息!$B$4)</f>
        <v/>
      </c>
      <c r="G448" s="27" t="str">
        <f>IF(C448="","","【"&amp;"活动时间："&amp;固定信息!$B$3&amp;"】")</f>
        <v/>
      </c>
      <c r="H448" s="27" t="str">
        <f>IF($C448="","",固定信息!$B$1)</f>
        <v/>
      </c>
      <c r="I448" s="27" t="str">
        <f>IF(OR(C448="",固定信息!$B$5=""),"","【1元预约锁好礼】"&amp;固定信息!$B$5)</f>
        <v/>
      </c>
      <c r="J448" s="27" t="str" cm="1">
        <f t="array" ref="J448">_xlfn.XLOOKUP($A448&amp;$B448&amp;$C448,价格信息!$A:$A&amp;价格信息!$B:$B&amp;价格信息!$C:$C,价格信息!$D:$D)</f>
        <v/>
      </c>
      <c r="K448" s="27" t="str">
        <f>IF($C448="","",固定信息!$B$1)</f>
        <v/>
      </c>
      <c r="L448" s="27" t="str" cm="1">
        <f t="array" ref="L448">IF(_xlfn.XLOOKUP($A448&amp;$B448&amp;$C448,盘货信息!$A:$A&amp;盘货信息!$B:$B&amp;盘货信息!$C:$C,盘货信息!$T:$T)="","","【优惠券】领"&amp;_xlfn.XLOOKUP($A448&amp;$B448&amp;$C448,盘货信息!$A:$A&amp;盘货信息!$B:$B&amp;盘货信息!$C:$C,盘货信息!$T:$T)&amp;"元优惠卷下单更优惠，领券链接："&amp;_xlfn.XLOOKUP($A448&amp;$B448&amp;$C448,盘货信息!$A:$A&amp;盘货信息!$B:$B&amp;盘货信息!$C:$C,盘货信息!$U:$U))</f>
        <v/>
      </c>
      <c r="M448" s="27" t="str" cm="1">
        <f t="array" ref="M448">IF(_xlfn.XLOOKUP($A448&amp;$B448&amp;$C448,盘货信息!$A:$A&amp;盘货信息!$B:$B&amp;盘货信息!$C:$C,盘货信息!$P:$P)="","","【限时】"&amp;_xlfn.XLOOKUP($A448&amp;$B448&amp;$C448,盘货信息!$A:$A&amp;盘货信息!$B:$B&amp;盘货信息!$C:$C,盘货信息!$P:$P))</f>
        <v/>
      </c>
      <c r="N448" s="27" t="str" cm="1">
        <f t="array" ref="N448">IF(_xlfn.XLOOKUP($A448&amp;$B448&amp;$C448,盘货信息!$A:$A&amp;盘货信息!$B:$B&amp;盘货信息!$C:$C,盘货信息!$V:$V)="","","【"&amp;盘货信息!$V$1&amp;"】"&amp;_xlfn.XLOOKUP($A448&amp;$B448&amp;$C448,盘货信息!$A:$A&amp;盘货信息!$B:$B&amp;盘货信息!$C:$C,盘货信息!$V:$V))</f>
        <v/>
      </c>
      <c r="O448" s="27" t="str" cm="1">
        <f t="array" ref="O448">IF(_xlfn.XLOOKUP($A448&amp;$B448&amp;$C448,盘货信息!$A:$A&amp;盘货信息!$B:$B&amp;盘货信息!$C:$C,盘货信息!$W:$W)="","","【"&amp;盘货信息!$W$1&amp;"】"&amp;_xlfn.XLOOKUP($A448&amp;$B448&amp;$C448,盘货信息!$A:$A&amp;盘货信息!$B:$B&amp;盘货信息!$C:$C,盘货信息!$W:$W))</f>
        <v/>
      </c>
      <c r="P448" s="27" t="str" cm="1">
        <f t="array" ref="P448">IF(_xlfn.XLOOKUP($A448&amp;$B448&amp;$C448,盘货信息!$A:$A&amp;盘货信息!$B:$B&amp;盘货信息!$C:$C,盘货信息!$S:$S)&lt;1,"","【"&amp;盘货信息!$S$1&amp;"】"&amp;"后返"&amp;_xlfn.XLOOKUP($A448&amp;$B448&amp;$C448,盘货信息!$A:$A&amp;盘货信息!$B:$B&amp;盘货信息!$C:$C,盘货信息!$S:$S)&amp;"元")</f>
        <v/>
      </c>
      <c r="Q448" s="27" t="str" cm="1">
        <f t="array" ref="Q448">IF(_xlfn.XLOOKUP($A448&amp;$B448&amp;$C448,盘货信息!$A:$A&amp;盘货信息!$B:$B&amp;盘货信息!$C:$C,盘货信息!$X:$X)="","","【"&amp;盘货信息!$X$1&amp;"】"&amp;_xlfn.XLOOKUP($A448&amp;$B448&amp;$C448,盘货信息!$A:$A&amp;盘货信息!$B:$B&amp;盘货信息!$C:$C,盘货信息!$X:$X))</f>
        <v/>
      </c>
      <c r="R448" s="27" t="str" cm="1">
        <f t="array" ref="R448">IF(_xlfn.XLOOKUP($A448&amp;$B448&amp;$C448,盘货信息!$A:$A&amp;盘货信息!$B:$B&amp;盘货信息!$C:$C,盘货信息!$Z:$Z)="","","【"&amp;盘货信息!$Z$1&amp;"】"&amp;_xlfn.XLOOKUP($A448&amp;$B448&amp;$C448,盘货信息!$A:$A&amp;盘货信息!$B:$B&amp;盘货信息!$C:$C,盘货信息!$Z:$Z))</f>
        <v/>
      </c>
      <c r="S448" s="27" t="str" cm="1">
        <f t="array" ref="S448">IF(_xlfn.XLOOKUP($A448&amp;$B448&amp;$C448,盘货信息!$A:$A&amp;盘货信息!$B:$B&amp;盘货信息!$C:$C,盘货信息!$Q:$Q)="","","【种草】站外带指定话题种草后返"&amp;_xlfn.XLOOKUP($A448&amp;$B448&amp;$C448,盘货信息!$A:$A&amp;盘货信息!$B:$B&amp;盘货信息!$C:$C,盘货信息!$Q:$Q)&amp;"元红包（每个淘宝账号仅限对应一个站外种草账号，同一个种草账号不可对应多个淘宝账号）")</f>
        <v/>
      </c>
      <c r="T448" s="27" t="str" cm="1">
        <f t="array" ref="T448">IF(_xlfn.XLOOKUP($A448&amp;$B448&amp;$C448,盘货信息!$A:$A&amp;盘货信息!$B:$B&amp;盘货信息!$C:$C,盘货信息!$R:$R)&lt;1,"","【以旧换新】"&amp;"享补贴"&amp;ROUND(_xlfn.XLOOKUP($A448&amp;$B448&amp;$C448,盘货信息!$A:$A&amp;盘货信息!$B:$B&amp;盘货信息!$C:$C,盘货信息!$R:$R),0)&amp;"元（可无旧机换新）")</f>
        <v/>
      </c>
      <c r="U448" s="27" t="str">
        <f>IF(AND($N448="",$O448="",$P448="",$Q448="",$R448="",$S448="",$T448=""),"",固定信息!$B$1)</f>
        <v/>
      </c>
      <c r="V448" s="27" t="str" cm="1">
        <f t="array" ref="V448">IF(_xlfn.XLOOKUP($A448&amp;$B448&amp;$C448,盘货信息!$A:$A&amp;盘货信息!$B:$B&amp;盘货信息!$C:$C,盘货信息!$Y:$Y)="","","【卡萨帝送赠】活动指定时间"&amp;_xlfn.TEXTBEFORE(_xlfn.TEXTAFTER(_xlfn.XLOOKUP($A448&amp;$B448&amp;$C448,盘货信息!$A:$A&amp;盘货信息!$B:$B&amp;盘货信息!$C:$C,盘货信息!$Y:$Y),"点"),"（"))</f>
        <v/>
      </c>
      <c r="W448" s="27" t="str" cm="1">
        <f t="array" ref="W448">IF(COUNTIF(_xlfn.XLOOKUP($A448&amp;$B448&amp;$C448,盘货信息!$A:$A&amp;盘货信息!$B:$B&amp;盘货信息!$C:$C,盘货信息!$O:$O),"*是*"),"【折扣】指定型号满2类享96折，满3类享94折","")</f>
        <v/>
      </c>
      <c r="X448" s="27" t="str" cm="1">
        <f t="array" ref="X448">IF(固定信息!$B$7="","",IF(_xlfn.XLOOKUP($A448&amp;$B448&amp;$C448,盘货信息!$A:$A&amp;盘货信息!$B:$B&amp;盘货信息!$C:$C,盘货信息!$N:$N)="是","【瓜分】"&amp;固定信息!$B$7,""))</f>
        <v/>
      </c>
      <c r="Y448" s="27" t="str">
        <f>IF(AND($V448="",$W448="",$X448=""),"",固定信息!$B$1)</f>
        <v/>
      </c>
      <c r="Z448" s="27" t="str" cm="1">
        <f t="array" ref="Z448">IF($C448="","",_xlfn.XLOOKUP($A448&amp;$B448&amp;$C448,服务!$A:$A&amp;服务!$B:$B&amp;服务!$C:$C,服务!$D:$D))</f>
        <v/>
      </c>
    </row>
    <row r="449" customHeight="1" spans="1:26">
      <c r="A449" s="23" t="str">
        <f>IF(盘货信息!A449="","",盘货信息!A449)</f>
        <v/>
      </c>
      <c r="B449" s="26" t="str">
        <f>IF(盘货信息!B449="","",盘货信息!B449)</f>
        <v/>
      </c>
      <c r="C449" s="23" t="str">
        <f>IF(盘货信息!C449="","",盘货信息!C449)</f>
        <v/>
      </c>
      <c r="D449" s="27" t="str">
        <f ca="1" t="shared" si="6"/>
        <v/>
      </c>
      <c r="E449" s="27" t="str">
        <f>IF(C449="","",固定信息!$B$2)</f>
        <v/>
      </c>
      <c r="F449" s="27" t="str">
        <f>IF(C449="","","【"&amp;C449&amp;"】"&amp;固定信息!$B$4)</f>
        <v/>
      </c>
      <c r="G449" s="27" t="str">
        <f>IF(C449="","","【"&amp;"活动时间："&amp;固定信息!$B$3&amp;"】")</f>
        <v/>
      </c>
      <c r="H449" s="27" t="str">
        <f>IF($C449="","",固定信息!$B$1)</f>
        <v/>
      </c>
      <c r="I449" s="27" t="str">
        <f>IF(OR(C449="",固定信息!$B$5=""),"","【1元预约锁好礼】"&amp;固定信息!$B$5)</f>
        <v/>
      </c>
      <c r="J449" s="27" t="str" cm="1">
        <f t="array" ref="J449">_xlfn.XLOOKUP($A449&amp;$B449&amp;$C449,价格信息!$A:$A&amp;价格信息!$B:$B&amp;价格信息!$C:$C,价格信息!$D:$D)</f>
        <v/>
      </c>
      <c r="K449" s="27" t="str">
        <f>IF($C449="","",固定信息!$B$1)</f>
        <v/>
      </c>
      <c r="L449" s="27" t="str" cm="1">
        <f t="array" ref="L449">IF(_xlfn.XLOOKUP($A449&amp;$B449&amp;$C449,盘货信息!$A:$A&amp;盘货信息!$B:$B&amp;盘货信息!$C:$C,盘货信息!$T:$T)="","","【优惠券】领"&amp;_xlfn.XLOOKUP($A449&amp;$B449&amp;$C449,盘货信息!$A:$A&amp;盘货信息!$B:$B&amp;盘货信息!$C:$C,盘货信息!$T:$T)&amp;"元优惠卷下单更优惠，领券链接："&amp;_xlfn.XLOOKUP($A449&amp;$B449&amp;$C449,盘货信息!$A:$A&amp;盘货信息!$B:$B&amp;盘货信息!$C:$C,盘货信息!$U:$U))</f>
        <v/>
      </c>
      <c r="M449" s="27" t="str" cm="1">
        <f t="array" ref="M449">IF(_xlfn.XLOOKUP($A449&amp;$B449&amp;$C449,盘货信息!$A:$A&amp;盘货信息!$B:$B&amp;盘货信息!$C:$C,盘货信息!$P:$P)="","","【限时】"&amp;_xlfn.XLOOKUP($A449&amp;$B449&amp;$C449,盘货信息!$A:$A&amp;盘货信息!$B:$B&amp;盘货信息!$C:$C,盘货信息!$P:$P))</f>
        <v/>
      </c>
      <c r="N449" s="27" t="str" cm="1">
        <f t="array" ref="N449">IF(_xlfn.XLOOKUP($A449&amp;$B449&amp;$C449,盘货信息!$A:$A&amp;盘货信息!$B:$B&amp;盘货信息!$C:$C,盘货信息!$V:$V)="","","【"&amp;盘货信息!$V$1&amp;"】"&amp;_xlfn.XLOOKUP($A449&amp;$B449&amp;$C449,盘货信息!$A:$A&amp;盘货信息!$B:$B&amp;盘货信息!$C:$C,盘货信息!$V:$V))</f>
        <v/>
      </c>
      <c r="O449" s="27" t="str" cm="1">
        <f t="array" ref="O449">IF(_xlfn.XLOOKUP($A449&amp;$B449&amp;$C449,盘货信息!$A:$A&amp;盘货信息!$B:$B&amp;盘货信息!$C:$C,盘货信息!$W:$W)="","","【"&amp;盘货信息!$W$1&amp;"】"&amp;_xlfn.XLOOKUP($A449&amp;$B449&amp;$C449,盘货信息!$A:$A&amp;盘货信息!$B:$B&amp;盘货信息!$C:$C,盘货信息!$W:$W))</f>
        <v/>
      </c>
      <c r="P449" s="27" t="str" cm="1">
        <f t="array" ref="P449">IF(_xlfn.XLOOKUP($A449&amp;$B449&amp;$C449,盘货信息!$A:$A&amp;盘货信息!$B:$B&amp;盘货信息!$C:$C,盘货信息!$S:$S)&lt;1,"","【"&amp;盘货信息!$S$1&amp;"】"&amp;"后返"&amp;_xlfn.XLOOKUP($A449&amp;$B449&amp;$C449,盘货信息!$A:$A&amp;盘货信息!$B:$B&amp;盘货信息!$C:$C,盘货信息!$S:$S)&amp;"元")</f>
        <v/>
      </c>
      <c r="Q449" s="27" t="str" cm="1">
        <f t="array" ref="Q449">IF(_xlfn.XLOOKUP($A449&amp;$B449&amp;$C449,盘货信息!$A:$A&amp;盘货信息!$B:$B&amp;盘货信息!$C:$C,盘货信息!$X:$X)="","","【"&amp;盘货信息!$X$1&amp;"】"&amp;_xlfn.XLOOKUP($A449&amp;$B449&amp;$C449,盘货信息!$A:$A&amp;盘货信息!$B:$B&amp;盘货信息!$C:$C,盘货信息!$X:$X))</f>
        <v/>
      </c>
      <c r="R449" s="27" t="str" cm="1">
        <f t="array" ref="R449">IF(_xlfn.XLOOKUP($A449&amp;$B449&amp;$C449,盘货信息!$A:$A&amp;盘货信息!$B:$B&amp;盘货信息!$C:$C,盘货信息!$Z:$Z)="","","【"&amp;盘货信息!$Z$1&amp;"】"&amp;_xlfn.XLOOKUP($A449&amp;$B449&amp;$C449,盘货信息!$A:$A&amp;盘货信息!$B:$B&amp;盘货信息!$C:$C,盘货信息!$Z:$Z))</f>
        <v/>
      </c>
      <c r="S449" s="27" t="str" cm="1">
        <f t="array" ref="S449">IF(_xlfn.XLOOKUP($A449&amp;$B449&amp;$C449,盘货信息!$A:$A&amp;盘货信息!$B:$B&amp;盘货信息!$C:$C,盘货信息!$Q:$Q)="","","【种草】站外带指定话题种草后返"&amp;_xlfn.XLOOKUP($A449&amp;$B449&amp;$C449,盘货信息!$A:$A&amp;盘货信息!$B:$B&amp;盘货信息!$C:$C,盘货信息!$Q:$Q)&amp;"元红包（每个淘宝账号仅限对应一个站外种草账号，同一个种草账号不可对应多个淘宝账号）")</f>
        <v/>
      </c>
      <c r="T449" s="27" t="str" cm="1">
        <f t="array" ref="T449">IF(_xlfn.XLOOKUP($A449&amp;$B449&amp;$C449,盘货信息!$A:$A&amp;盘货信息!$B:$B&amp;盘货信息!$C:$C,盘货信息!$R:$R)&lt;1,"","【以旧换新】"&amp;"享补贴"&amp;ROUND(_xlfn.XLOOKUP($A449&amp;$B449&amp;$C449,盘货信息!$A:$A&amp;盘货信息!$B:$B&amp;盘货信息!$C:$C,盘货信息!$R:$R),0)&amp;"元（可无旧机换新）")</f>
        <v/>
      </c>
      <c r="U449" s="27" t="str">
        <f>IF(AND($N449="",$O449="",$P449="",$Q449="",$R449="",$S449="",$T449=""),"",固定信息!$B$1)</f>
        <v/>
      </c>
      <c r="V449" s="27" t="str" cm="1">
        <f t="array" ref="V449">IF(_xlfn.XLOOKUP($A449&amp;$B449&amp;$C449,盘货信息!$A:$A&amp;盘货信息!$B:$B&amp;盘货信息!$C:$C,盘货信息!$Y:$Y)="","","【卡萨帝送赠】活动指定时间"&amp;_xlfn.TEXTBEFORE(_xlfn.TEXTAFTER(_xlfn.XLOOKUP($A449&amp;$B449&amp;$C449,盘货信息!$A:$A&amp;盘货信息!$B:$B&amp;盘货信息!$C:$C,盘货信息!$Y:$Y),"点"),"（"))</f>
        <v/>
      </c>
      <c r="W449" s="27" t="str" cm="1">
        <f t="array" ref="W449">IF(COUNTIF(_xlfn.XLOOKUP($A449&amp;$B449&amp;$C449,盘货信息!$A:$A&amp;盘货信息!$B:$B&amp;盘货信息!$C:$C,盘货信息!$O:$O),"*是*"),"【折扣】指定型号满2类享96折，满3类享94折","")</f>
        <v/>
      </c>
      <c r="X449" s="27" t="str" cm="1">
        <f t="array" ref="X449">IF(固定信息!$B$7="","",IF(_xlfn.XLOOKUP($A449&amp;$B449&amp;$C449,盘货信息!$A:$A&amp;盘货信息!$B:$B&amp;盘货信息!$C:$C,盘货信息!$N:$N)="是","【瓜分】"&amp;固定信息!$B$7,""))</f>
        <v/>
      </c>
      <c r="Y449" s="27" t="str">
        <f>IF(AND($V449="",$W449="",$X449=""),"",固定信息!$B$1)</f>
        <v/>
      </c>
      <c r="Z449" s="27" t="str" cm="1">
        <f t="array" ref="Z449">IF($C449="","",_xlfn.XLOOKUP($A449&amp;$B449&amp;$C449,服务!$A:$A&amp;服务!$B:$B&amp;服务!$C:$C,服务!$D:$D))</f>
        <v/>
      </c>
    </row>
    <row r="450" customHeight="1" spans="1:26">
      <c r="A450" s="23" t="str">
        <f>IF(盘货信息!A450="","",盘货信息!A450)</f>
        <v/>
      </c>
      <c r="B450" s="26" t="str">
        <f>IF(盘货信息!B450="","",盘货信息!B450)</f>
        <v/>
      </c>
      <c r="C450" s="23" t="str">
        <f>IF(盘货信息!C450="","",盘货信息!C450)</f>
        <v/>
      </c>
      <c r="D450" s="27" t="str">
        <f ca="1" t="shared" si="6"/>
        <v/>
      </c>
      <c r="E450" s="27" t="str">
        <f>IF(C450="","",固定信息!$B$2)</f>
        <v/>
      </c>
      <c r="F450" s="27" t="str">
        <f>IF(C450="","","【"&amp;C450&amp;"】"&amp;固定信息!$B$4)</f>
        <v/>
      </c>
      <c r="G450" s="27" t="str">
        <f>IF(C450="","","【"&amp;"活动时间："&amp;固定信息!$B$3&amp;"】")</f>
        <v/>
      </c>
      <c r="H450" s="27" t="str">
        <f>IF($C450="","",固定信息!$B$1)</f>
        <v/>
      </c>
      <c r="I450" s="27" t="str">
        <f>IF(OR(C450="",固定信息!$B$5=""),"","【1元预约锁好礼】"&amp;固定信息!$B$5)</f>
        <v/>
      </c>
      <c r="J450" s="27" t="str" cm="1">
        <f t="array" ref="J450">_xlfn.XLOOKUP($A450&amp;$B450&amp;$C450,价格信息!$A:$A&amp;价格信息!$B:$B&amp;价格信息!$C:$C,价格信息!$D:$D)</f>
        <v/>
      </c>
      <c r="K450" s="27" t="str">
        <f>IF($C450="","",固定信息!$B$1)</f>
        <v/>
      </c>
      <c r="L450" s="27" t="str" cm="1">
        <f t="array" ref="L450">IF(_xlfn.XLOOKUP($A450&amp;$B450&amp;$C450,盘货信息!$A:$A&amp;盘货信息!$B:$B&amp;盘货信息!$C:$C,盘货信息!$T:$T)="","","【优惠券】领"&amp;_xlfn.XLOOKUP($A450&amp;$B450&amp;$C450,盘货信息!$A:$A&amp;盘货信息!$B:$B&amp;盘货信息!$C:$C,盘货信息!$T:$T)&amp;"元优惠卷下单更优惠，领券链接："&amp;_xlfn.XLOOKUP($A450&amp;$B450&amp;$C450,盘货信息!$A:$A&amp;盘货信息!$B:$B&amp;盘货信息!$C:$C,盘货信息!$U:$U))</f>
        <v/>
      </c>
      <c r="M450" s="27" t="str" cm="1">
        <f t="array" ref="M450">IF(_xlfn.XLOOKUP($A450&amp;$B450&amp;$C450,盘货信息!$A:$A&amp;盘货信息!$B:$B&amp;盘货信息!$C:$C,盘货信息!$P:$P)="","","【限时】"&amp;_xlfn.XLOOKUP($A450&amp;$B450&amp;$C450,盘货信息!$A:$A&amp;盘货信息!$B:$B&amp;盘货信息!$C:$C,盘货信息!$P:$P))</f>
        <v/>
      </c>
      <c r="N450" s="27" t="str" cm="1">
        <f t="array" ref="N450">IF(_xlfn.XLOOKUP($A450&amp;$B450&amp;$C450,盘货信息!$A:$A&amp;盘货信息!$B:$B&amp;盘货信息!$C:$C,盘货信息!$V:$V)="","","【"&amp;盘货信息!$V$1&amp;"】"&amp;_xlfn.XLOOKUP($A450&amp;$B450&amp;$C450,盘货信息!$A:$A&amp;盘货信息!$B:$B&amp;盘货信息!$C:$C,盘货信息!$V:$V))</f>
        <v/>
      </c>
      <c r="O450" s="27" t="str" cm="1">
        <f t="array" ref="O450">IF(_xlfn.XLOOKUP($A450&amp;$B450&amp;$C450,盘货信息!$A:$A&amp;盘货信息!$B:$B&amp;盘货信息!$C:$C,盘货信息!$W:$W)="","","【"&amp;盘货信息!$W$1&amp;"】"&amp;_xlfn.XLOOKUP($A450&amp;$B450&amp;$C450,盘货信息!$A:$A&amp;盘货信息!$B:$B&amp;盘货信息!$C:$C,盘货信息!$W:$W))</f>
        <v/>
      </c>
      <c r="P450" s="27" t="str" cm="1">
        <f t="array" ref="P450">IF(_xlfn.XLOOKUP($A450&amp;$B450&amp;$C450,盘货信息!$A:$A&amp;盘货信息!$B:$B&amp;盘货信息!$C:$C,盘货信息!$S:$S)&lt;1,"","【"&amp;盘货信息!$S$1&amp;"】"&amp;"后返"&amp;_xlfn.XLOOKUP($A450&amp;$B450&amp;$C450,盘货信息!$A:$A&amp;盘货信息!$B:$B&amp;盘货信息!$C:$C,盘货信息!$S:$S)&amp;"元")</f>
        <v/>
      </c>
      <c r="Q450" s="27" t="str" cm="1">
        <f t="array" ref="Q450">IF(_xlfn.XLOOKUP($A450&amp;$B450&amp;$C450,盘货信息!$A:$A&amp;盘货信息!$B:$B&amp;盘货信息!$C:$C,盘货信息!$X:$X)="","","【"&amp;盘货信息!$X$1&amp;"】"&amp;_xlfn.XLOOKUP($A450&amp;$B450&amp;$C450,盘货信息!$A:$A&amp;盘货信息!$B:$B&amp;盘货信息!$C:$C,盘货信息!$X:$X))</f>
        <v/>
      </c>
      <c r="R450" s="27" t="str" cm="1">
        <f t="array" ref="R450">IF(_xlfn.XLOOKUP($A450&amp;$B450&amp;$C450,盘货信息!$A:$A&amp;盘货信息!$B:$B&amp;盘货信息!$C:$C,盘货信息!$Z:$Z)="","","【"&amp;盘货信息!$Z$1&amp;"】"&amp;_xlfn.XLOOKUP($A450&amp;$B450&amp;$C450,盘货信息!$A:$A&amp;盘货信息!$B:$B&amp;盘货信息!$C:$C,盘货信息!$Z:$Z))</f>
        <v/>
      </c>
      <c r="S450" s="27" t="str" cm="1">
        <f t="array" ref="S450">IF(_xlfn.XLOOKUP($A450&amp;$B450&amp;$C450,盘货信息!$A:$A&amp;盘货信息!$B:$B&amp;盘货信息!$C:$C,盘货信息!$Q:$Q)="","","【种草】站外带指定话题种草后返"&amp;_xlfn.XLOOKUP($A450&amp;$B450&amp;$C450,盘货信息!$A:$A&amp;盘货信息!$B:$B&amp;盘货信息!$C:$C,盘货信息!$Q:$Q)&amp;"元红包（每个淘宝账号仅限对应一个站外种草账号，同一个种草账号不可对应多个淘宝账号）")</f>
        <v/>
      </c>
      <c r="T450" s="27" t="str" cm="1">
        <f t="array" ref="T450">IF(_xlfn.XLOOKUP($A450&amp;$B450&amp;$C450,盘货信息!$A:$A&amp;盘货信息!$B:$B&amp;盘货信息!$C:$C,盘货信息!$R:$R)&lt;1,"","【以旧换新】"&amp;"享补贴"&amp;ROUND(_xlfn.XLOOKUP($A450&amp;$B450&amp;$C450,盘货信息!$A:$A&amp;盘货信息!$B:$B&amp;盘货信息!$C:$C,盘货信息!$R:$R),0)&amp;"元（可无旧机换新）")</f>
        <v/>
      </c>
      <c r="U450" s="27" t="str">
        <f>IF(AND($N450="",$O450="",$P450="",$Q450="",$R450="",$S450="",$T450=""),"",固定信息!$B$1)</f>
        <v/>
      </c>
      <c r="V450" s="27" t="str" cm="1">
        <f t="array" ref="V450">IF(_xlfn.XLOOKUP($A450&amp;$B450&amp;$C450,盘货信息!$A:$A&amp;盘货信息!$B:$B&amp;盘货信息!$C:$C,盘货信息!$Y:$Y)="","","【卡萨帝送赠】活动指定时间"&amp;_xlfn.TEXTBEFORE(_xlfn.TEXTAFTER(_xlfn.XLOOKUP($A450&amp;$B450&amp;$C450,盘货信息!$A:$A&amp;盘货信息!$B:$B&amp;盘货信息!$C:$C,盘货信息!$Y:$Y),"点"),"（"))</f>
        <v/>
      </c>
      <c r="W450" s="27" t="str" cm="1">
        <f t="array" ref="W450">IF(COUNTIF(_xlfn.XLOOKUP($A450&amp;$B450&amp;$C450,盘货信息!$A:$A&amp;盘货信息!$B:$B&amp;盘货信息!$C:$C,盘货信息!$O:$O),"*是*"),"【折扣】指定型号满2类享96折，满3类享94折","")</f>
        <v/>
      </c>
      <c r="X450" s="27" t="str" cm="1">
        <f t="array" ref="X450">IF(固定信息!$B$7="","",IF(_xlfn.XLOOKUP($A450&amp;$B450&amp;$C450,盘货信息!$A:$A&amp;盘货信息!$B:$B&amp;盘货信息!$C:$C,盘货信息!$N:$N)="是","【瓜分】"&amp;固定信息!$B$7,""))</f>
        <v/>
      </c>
      <c r="Y450" s="27" t="str">
        <f>IF(AND($V450="",$W450="",$X450=""),"",固定信息!$B$1)</f>
        <v/>
      </c>
      <c r="Z450" s="27" t="str" cm="1">
        <f t="array" ref="Z450">IF($C450="","",_xlfn.XLOOKUP($A450&amp;$B450&amp;$C450,服务!$A:$A&amp;服务!$B:$B&amp;服务!$C:$C,服务!$D:$D))</f>
        <v/>
      </c>
    </row>
    <row r="451" customHeight="1" spans="1:26">
      <c r="A451" s="23" t="str">
        <f>IF(盘货信息!A451="","",盘货信息!A451)</f>
        <v/>
      </c>
      <c r="B451" s="26" t="str">
        <f>IF(盘货信息!B451="","",盘货信息!B451)</f>
        <v/>
      </c>
      <c r="C451" s="23" t="str">
        <f>IF(盘货信息!C451="","",盘货信息!C451)</f>
        <v/>
      </c>
      <c r="D451" s="27" t="str">
        <f ca="1" t="shared" ref="D451:D501" si="7">_xlfn.TEXTJOIN(CHAR(10),TRUE,OFFSET(INDIRECT("RC",FALSE),0,1,1,30))</f>
        <v/>
      </c>
      <c r="E451" s="27" t="str">
        <f>IF(C451="","",固定信息!$B$2)</f>
        <v/>
      </c>
      <c r="F451" s="27" t="str">
        <f>IF(C451="","","【"&amp;C451&amp;"】"&amp;固定信息!$B$4)</f>
        <v/>
      </c>
      <c r="G451" s="27" t="str">
        <f>IF(C451="","","【"&amp;"活动时间："&amp;固定信息!$B$3&amp;"】")</f>
        <v/>
      </c>
      <c r="H451" s="27" t="str">
        <f>IF($C451="","",固定信息!$B$1)</f>
        <v/>
      </c>
      <c r="I451" s="27" t="str">
        <f>IF(OR(C451="",固定信息!$B$5=""),"","【1元预约锁好礼】"&amp;固定信息!$B$5)</f>
        <v/>
      </c>
      <c r="J451" s="27" t="str" cm="1">
        <f t="array" ref="J451">_xlfn.XLOOKUP($A451&amp;$B451&amp;$C451,价格信息!$A:$A&amp;价格信息!$B:$B&amp;价格信息!$C:$C,价格信息!$D:$D)</f>
        <v/>
      </c>
      <c r="K451" s="27" t="str">
        <f>IF($C451="","",固定信息!$B$1)</f>
        <v/>
      </c>
      <c r="L451" s="27" t="str" cm="1">
        <f t="array" ref="L451">IF(_xlfn.XLOOKUP($A451&amp;$B451&amp;$C451,盘货信息!$A:$A&amp;盘货信息!$B:$B&amp;盘货信息!$C:$C,盘货信息!$T:$T)="","","【优惠券】领"&amp;_xlfn.XLOOKUP($A451&amp;$B451&amp;$C451,盘货信息!$A:$A&amp;盘货信息!$B:$B&amp;盘货信息!$C:$C,盘货信息!$T:$T)&amp;"元优惠卷下单更优惠，领券链接："&amp;_xlfn.XLOOKUP($A451&amp;$B451&amp;$C451,盘货信息!$A:$A&amp;盘货信息!$B:$B&amp;盘货信息!$C:$C,盘货信息!$U:$U))</f>
        <v/>
      </c>
      <c r="M451" s="27" t="str" cm="1">
        <f t="array" ref="M451">IF(_xlfn.XLOOKUP($A451&amp;$B451&amp;$C451,盘货信息!$A:$A&amp;盘货信息!$B:$B&amp;盘货信息!$C:$C,盘货信息!$P:$P)="","","【限时】"&amp;_xlfn.XLOOKUP($A451&amp;$B451&amp;$C451,盘货信息!$A:$A&amp;盘货信息!$B:$B&amp;盘货信息!$C:$C,盘货信息!$P:$P))</f>
        <v/>
      </c>
      <c r="N451" s="27" t="str" cm="1">
        <f t="array" ref="N451">IF(_xlfn.XLOOKUP($A451&amp;$B451&amp;$C451,盘货信息!$A:$A&amp;盘货信息!$B:$B&amp;盘货信息!$C:$C,盘货信息!$V:$V)="","","【"&amp;盘货信息!$V$1&amp;"】"&amp;_xlfn.XLOOKUP($A451&amp;$B451&amp;$C451,盘货信息!$A:$A&amp;盘货信息!$B:$B&amp;盘货信息!$C:$C,盘货信息!$V:$V))</f>
        <v/>
      </c>
      <c r="O451" s="27" t="str" cm="1">
        <f t="array" ref="O451">IF(_xlfn.XLOOKUP($A451&amp;$B451&amp;$C451,盘货信息!$A:$A&amp;盘货信息!$B:$B&amp;盘货信息!$C:$C,盘货信息!$W:$W)="","","【"&amp;盘货信息!$W$1&amp;"】"&amp;_xlfn.XLOOKUP($A451&amp;$B451&amp;$C451,盘货信息!$A:$A&amp;盘货信息!$B:$B&amp;盘货信息!$C:$C,盘货信息!$W:$W))</f>
        <v/>
      </c>
      <c r="P451" s="27" t="str" cm="1">
        <f t="array" ref="P451">IF(_xlfn.XLOOKUP($A451&amp;$B451&amp;$C451,盘货信息!$A:$A&amp;盘货信息!$B:$B&amp;盘货信息!$C:$C,盘货信息!$S:$S)&lt;1,"","【"&amp;盘货信息!$S$1&amp;"】"&amp;"后返"&amp;_xlfn.XLOOKUP($A451&amp;$B451&amp;$C451,盘货信息!$A:$A&amp;盘货信息!$B:$B&amp;盘货信息!$C:$C,盘货信息!$S:$S)&amp;"元")</f>
        <v/>
      </c>
      <c r="Q451" s="27" t="str" cm="1">
        <f t="array" ref="Q451">IF(_xlfn.XLOOKUP($A451&amp;$B451&amp;$C451,盘货信息!$A:$A&amp;盘货信息!$B:$B&amp;盘货信息!$C:$C,盘货信息!$X:$X)="","","【"&amp;盘货信息!$X$1&amp;"】"&amp;_xlfn.XLOOKUP($A451&amp;$B451&amp;$C451,盘货信息!$A:$A&amp;盘货信息!$B:$B&amp;盘货信息!$C:$C,盘货信息!$X:$X))</f>
        <v/>
      </c>
      <c r="R451" s="27" t="str" cm="1">
        <f t="array" ref="R451">IF(_xlfn.XLOOKUP($A451&amp;$B451&amp;$C451,盘货信息!$A:$A&amp;盘货信息!$B:$B&amp;盘货信息!$C:$C,盘货信息!$Z:$Z)="","","【"&amp;盘货信息!$Z$1&amp;"】"&amp;_xlfn.XLOOKUP($A451&amp;$B451&amp;$C451,盘货信息!$A:$A&amp;盘货信息!$B:$B&amp;盘货信息!$C:$C,盘货信息!$Z:$Z))</f>
        <v/>
      </c>
      <c r="S451" s="27" t="str" cm="1">
        <f t="array" ref="S451">IF(_xlfn.XLOOKUP($A451&amp;$B451&amp;$C451,盘货信息!$A:$A&amp;盘货信息!$B:$B&amp;盘货信息!$C:$C,盘货信息!$Q:$Q)="","","【种草】站外带指定话题种草后返"&amp;_xlfn.XLOOKUP($A451&amp;$B451&amp;$C451,盘货信息!$A:$A&amp;盘货信息!$B:$B&amp;盘货信息!$C:$C,盘货信息!$Q:$Q)&amp;"元红包（每个淘宝账号仅限对应一个站外种草账号，同一个种草账号不可对应多个淘宝账号）")</f>
        <v/>
      </c>
      <c r="T451" s="27" t="str" cm="1">
        <f t="array" ref="T451">IF(_xlfn.XLOOKUP($A451&amp;$B451&amp;$C451,盘货信息!$A:$A&amp;盘货信息!$B:$B&amp;盘货信息!$C:$C,盘货信息!$R:$R)&lt;1,"","【以旧换新】"&amp;"享补贴"&amp;ROUND(_xlfn.XLOOKUP($A451&amp;$B451&amp;$C451,盘货信息!$A:$A&amp;盘货信息!$B:$B&amp;盘货信息!$C:$C,盘货信息!$R:$R),0)&amp;"元（可无旧机换新）")</f>
        <v/>
      </c>
      <c r="U451" s="27" t="str">
        <f>IF(AND($N451="",$O451="",$P451="",$Q451="",$R451="",$S451="",$T451=""),"",固定信息!$B$1)</f>
        <v/>
      </c>
      <c r="V451" s="27" t="str" cm="1">
        <f t="array" ref="V451">IF(_xlfn.XLOOKUP($A451&amp;$B451&amp;$C451,盘货信息!$A:$A&amp;盘货信息!$B:$B&amp;盘货信息!$C:$C,盘货信息!$Y:$Y)="","","【卡萨帝送赠】活动指定时间"&amp;_xlfn.TEXTBEFORE(_xlfn.TEXTAFTER(_xlfn.XLOOKUP($A451&amp;$B451&amp;$C451,盘货信息!$A:$A&amp;盘货信息!$B:$B&amp;盘货信息!$C:$C,盘货信息!$Y:$Y),"点"),"（"))</f>
        <v/>
      </c>
      <c r="W451" s="27" t="str" cm="1">
        <f t="array" ref="W451">IF(COUNTIF(_xlfn.XLOOKUP($A451&amp;$B451&amp;$C451,盘货信息!$A:$A&amp;盘货信息!$B:$B&amp;盘货信息!$C:$C,盘货信息!$O:$O),"*是*"),"【折扣】指定型号满2类享96折，满3类享94折","")</f>
        <v/>
      </c>
      <c r="X451" s="27" t="str" cm="1">
        <f t="array" ref="X451">IF(固定信息!$B$7="","",IF(_xlfn.XLOOKUP($A451&amp;$B451&amp;$C451,盘货信息!$A:$A&amp;盘货信息!$B:$B&amp;盘货信息!$C:$C,盘货信息!$N:$N)="是","【瓜分】"&amp;固定信息!$B$7,""))</f>
        <v/>
      </c>
      <c r="Y451" s="27" t="str">
        <f>IF(AND($V451="",$W451="",$X451=""),"",固定信息!$B$1)</f>
        <v/>
      </c>
      <c r="Z451" s="27" t="str" cm="1">
        <f t="array" ref="Z451">IF($C451="","",_xlfn.XLOOKUP($A451&amp;$B451&amp;$C451,服务!$A:$A&amp;服务!$B:$B&amp;服务!$C:$C,服务!$D:$D))</f>
        <v/>
      </c>
    </row>
    <row r="452" customHeight="1" spans="1:26">
      <c r="A452" s="23" t="str">
        <f>IF(盘货信息!A452="","",盘货信息!A452)</f>
        <v/>
      </c>
      <c r="B452" s="26" t="str">
        <f>IF(盘货信息!B452="","",盘货信息!B452)</f>
        <v/>
      </c>
      <c r="C452" s="23" t="str">
        <f>IF(盘货信息!C452="","",盘货信息!C452)</f>
        <v/>
      </c>
      <c r="D452" s="27" t="str">
        <f ca="1" t="shared" si="7"/>
        <v/>
      </c>
      <c r="E452" s="27" t="str">
        <f>IF(C452="","",固定信息!$B$2)</f>
        <v/>
      </c>
      <c r="F452" s="27" t="str">
        <f>IF(C452="","","【"&amp;C452&amp;"】"&amp;固定信息!$B$4)</f>
        <v/>
      </c>
      <c r="G452" s="27" t="str">
        <f>IF(C452="","","【"&amp;"活动时间："&amp;固定信息!$B$3&amp;"】")</f>
        <v/>
      </c>
      <c r="H452" s="27" t="str">
        <f>IF($C452="","",固定信息!$B$1)</f>
        <v/>
      </c>
      <c r="I452" s="27" t="str">
        <f>IF(OR(C452="",固定信息!$B$5=""),"","【1元预约锁好礼】"&amp;固定信息!$B$5)</f>
        <v/>
      </c>
      <c r="J452" s="27" t="str" cm="1">
        <f t="array" ref="J452">_xlfn.XLOOKUP($A452&amp;$B452&amp;$C452,价格信息!$A:$A&amp;价格信息!$B:$B&amp;价格信息!$C:$C,价格信息!$D:$D)</f>
        <v/>
      </c>
      <c r="K452" s="27" t="str">
        <f>IF($C452="","",固定信息!$B$1)</f>
        <v/>
      </c>
      <c r="L452" s="27" t="str" cm="1">
        <f t="array" ref="L452">IF(_xlfn.XLOOKUP($A452&amp;$B452&amp;$C452,盘货信息!$A:$A&amp;盘货信息!$B:$B&amp;盘货信息!$C:$C,盘货信息!$T:$T)="","","【优惠券】领"&amp;_xlfn.XLOOKUP($A452&amp;$B452&amp;$C452,盘货信息!$A:$A&amp;盘货信息!$B:$B&amp;盘货信息!$C:$C,盘货信息!$T:$T)&amp;"元优惠卷下单更优惠，领券链接："&amp;_xlfn.XLOOKUP($A452&amp;$B452&amp;$C452,盘货信息!$A:$A&amp;盘货信息!$B:$B&amp;盘货信息!$C:$C,盘货信息!$U:$U))</f>
        <v/>
      </c>
      <c r="M452" s="27" t="str" cm="1">
        <f t="array" ref="M452">IF(_xlfn.XLOOKUP($A452&amp;$B452&amp;$C452,盘货信息!$A:$A&amp;盘货信息!$B:$B&amp;盘货信息!$C:$C,盘货信息!$P:$P)="","","【限时】"&amp;_xlfn.XLOOKUP($A452&amp;$B452&amp;$C452,盘货信息!$A:$A&amp;盘货信息!$B:$B&amp;盘货信息!$C:$C,盘货信息!$P:$P))</f>
        <v/>
      </c>
      <c r="N452" s="27" t="str" cm="1">
        <f t="array" ref="N452">IF(_xlfn.XLOOKUP($A452&amp;$B452&amp;$C452,盘货信息!$A:$A&amp;盘货信息!$B:$B&amp;盘货信息!$C:$C,盘货信息!$V:$V)="","","【"&amp;盘货信息!$V$1&amp;"】"&amp;_xlfn.XLOOKUP($A452&amp;$B452&amp;$C452,盘货信息!$A:$A&amp;盘货信息!$B:$B&amp;盘货信息!$C:$C,盘货信息!$V:$V))</f>
        <v/>
      </c>
      <c r="O452" s="27" t="str" cm="1">
        <f t="array" ref="O452">IF(_xlfn.XLOOKUP($A452&amp;$B452&amp;$C452,盘货信息!$A:$A&amp;盘货信息!$B:$B&amp;盘货信息!$C:$C,盘货信息!$W:$W)="","","【"&amp;盘货信息!$W$1&amp;"】"&amp;_xlfn.XLOOKUP($A452&amp;$B452&amp;$C452,盘货信息!$A:$A&amp;盘货信息!$B:$B&amp;盘货信息!$C:$C,盘货信息!$W:$W))</f>
        <v/>
      </c>
      <c r="P452" s="27" t="str" cm="1">
        <f t="array" ref="P452">IF(_xlfn.XLOOKUP($A452&amp;$B452&amp;$C452,盘货信息!$A:$A&amp;盘货信息!$B:$B&amp;盘货信息!$C:$C,盘货信息!$S:$S)&lt;1,"","【"&amp;盘货信息!$S$1&amp;"】"&amp;"后返"&amp;_xlfn.XLOOKUP($A452&amp;$B452&amp;$C452,盘货信息!$A:$A&amp;盘货信息!$B:$B&amp;盘货信息!$C:$C,盘货信息!$S:$S)&amp;"元")</f>
        <v/>
      </c>
      <c r="Q452" s="27" t="str" cm="1">
        <f t="array" ref="Q452">IF(_xlfn.XLOOKUP($A452&amp;$B452&amp;$C452,盘货信息!$A:$A&amp;盘货信息!$B:$B&amp;盘货信息!$C:$C,盘货信息!$X:$X)="","","【"&amp;盘货信息!$X$1&amp;"】"&amp;_xlfn.XLOOKUP($A452&amp;$B452&amp;$C452,盘货信息!$A:$A&amp;盘货信息!$B:$B&amp;盘货信息!$C:$C,盘货信息!$X:$X))</f>
        <v/>
      </c>
      <c r="R452" s="27" t="str" cm="1">
        <f t="array" ref="R452">IF(_xlfn.XLOOKUP($A452&amp;$B452&amp;$C452,盘货信息!$A:$A&amp;盘货信息!$B:$B&amp;盘货信息!$C:$C,盘货信息!$Z:$Z)="","","【"&amp;盘货信息!$Z$1&amp;"】"&amp;_xlfn.XLOOKUP($A452&amp;$B452&amp;$C452,盘货信息!$A:$A&amp;盘货信息!$B:$B&amp;盘货信息!$C:$C,盘货信息!$Z:$Z))</f>
        <v/>
      </c>
      <c r="S452" s="27" t="str" cm="1">
        <f t="array" ref="S452">IF(_xlfn.XLOOKUP($A452&amp;$B452&amp;$C452,盘货信息!$A:$A&amp;盘货信息!$B:$B&amp;盘货信息!$C:$C,盘货信息!$Q:$Q)="","","【种草】站外带指定话题种草后返"&amp;_xlfn.XLOOKUP($A452&amp;$B452&amp;$C452,盘货信息!$A:$A&amp;盘货信息!$B:$B&amp;盘货信息!$C:$C,盘货信息!$Q:$Q)&amp;"元红包（每个淘宝账号仅限对应一个站外种草账号，同一个种草账号不可对应多个淘宝账号）")</f>
        <v/>
      </c>
      <c r="T452" s="27" t="str" cm="1">
        <f t="array" ref="T452">IF(_xlfn.XLOOKUP($A452&amp;$B452&amp;$C452,盘货信息!$A:$A&amp;盘货信息!$B:$B&amp;盘货信息!$C:$C,盘货信息!$R:$R)&lt;1,"","【以旧换新】"&amp;"享补贴"&amp;ROUND(_xlfn.XLOOKUP($A452&amp;$B452&amp;$C452,盘货信息!$A:$A&amp;盘货信息!$B:$B&amp;盘货信息!$C:$C,盘货信息!$R:$R),0)&amp;"元（可无旧机换新）")</f>
        <v/>
      </c>
      <c r="U452" s="27" t="str">
        <f>IF(AND($N452="",$O452="",$P452="",$Q452="",$R452="",$S452="",$T452=""),"",固定信息!$B$1)</f>
        <v/>
      </c>
      <c r="V452" s="27" t="str" cm="1">
        <f t="array" ref="V452">IF(_xlfn.XLOOKUP($A452&amp;$B452&amp;$C452,盘货信息!$A:$A&amp;盘货信息!$B:$B&amp;盘货信息!$C:$C,盘货信息!$Y:$Y)="","","【卡萨帝送赠】活动指定时间"&amp;_xlfn.TEXTBEFORE(_xlfn.TEXTAFTER(_xlfn.XLOOKUP($A452&amp;$B452&amp;$C452,盘货信息!$A:$A&amp;盘货信息!$B:$B&amp;盘货信息!$C:$C,盘货信息!$Y:$Y),"点"),"（"))</f>
        <v/>
      </c>
      <c r="W452" s="27" t="str" cm="1">
        <f t="array" ref="W452">IF(COUNTIF(_xlfn.XLOOKUP($A452&amp;$B452&amp;$C452,盘货信息!$A:$A&amp;盘货信息!$B:$B&amp;盘货信息!$C:$C,盘货信息!$O:$O),"*是*"),"【折扣】指定型号满2类享96折，满3类享94折","")</f>
        <v/>
      </c>
      <c r="X452" s="27" t="str" cm="1">
        <f t="array" ref="X452">IF(固定信息!$B$7="","",IF(_xlfn.XLOOKUP($A452&amp;$B452&amp;$C452,盘货信息!$A:$A&amp;盘货信息!$B:$B&amp;盘货信息!$C:$C,盘货信息!$N:$N)="是","【瓜分】"&amp;固定信息!$B$7,""))</f>
        <v/>
      </c>
      <c r="Y452" s="27" t="str">
        <f>IF(AND($V452="",$W452="",$X452=""),"",固定信息!$B$1)</f>
        <v/>
      </c>
      <c r="Z452" s="27" t="str" cm="1">
        <f t="array" ref="Z452">IF($C452="","",_xlfn.XLOOKUP($A452&amp;$B452&amp;$C452,服务!$A:$A&amp;服务!$B:$B&amp;服务!$C:$C,服务!$D:$D))</f>
        <v/>
      </c>
    </row>
    <row r="453" customHeight="1" spans="1:26">
      <c r="A453" s="23" t="str">
        <f>IF(盘货信息!A453="","",盘货信息!A453)</f>
        <v/>
      </c>
      <c r="B453" s="26" t="str">
        <f>IF(盘货信息!B453="","",盘货信息!B453)</f>
        <v/>
      </c>
      <c r="C453" s="23" t="str">
        <f>IF(盘货信息!C453="","",盘货信息!C453)</f>
        <v/>
      </c>
      <c r="D453" s="27" t="str">
        <f ca="1" t="shared" si="7"/>
        <v/>
      </c>
      <c r="E453" s="27" t="str">
        <f>IF(C453="","",固定信息!$B$2)</f>
        <v/>
      </c>
      <c r="F453" s="27" t="str">
        <f>IF(C453="","","【"&amp;C453&amp;"】"&amp;固定信息!$B$4)</f>
        <v/>
      </c>
      <c r="G453" s="27" t="str">
        <f>IF(C453="","","【"&amp;"活动时间："&amp;固定信息!$B$3&amp;"】")</f>
        <v/>
      </c>
      <c r="H453" s="27" t="str">
        <f>IF($C453="","",固定信息!$B$1)</f>
        <v/>
      </c>
      <c r="I453" s="27" t="str">
        <f>IF(OR(C453="",固定信息!$B$5=""),"","【1元预约锁好礼】"&amp;固定信息!$B$5)</f>
        <v/>
      </c>
      <c r="J453" s="27" t="str" cm="1">
        <f t="array" ref="J453">_xlfn.XLOOKUP($A453&amp;$B453&amp;$C453,价格信息!$A:$A&amp;价格信息!$B:$B&amp;价格信息!$C:$C,价格信息!$D:$D)</f>
        <v/>
      </c>
      <c r="K453" s="27" t="str">
        <f>IF($C453="","",固定信息!$B$1)</f>
        <v/>
      </c>
      <c r="L453" s="27" t="str" cm="1">
        <f t="array" ref="L453">IF(_xlfn.XLOOKUP($A453&amp;$B453&amp;$C453,盘货信息!$A:$A&amp;盘货信息!$B:$B&amp;盘货信息!$C:$C,盘货信息!$T:$T)="","","【优惠券】领"&amp;_xlfn.XLOOKUP($A453&amp;$B453&amp;$C453,盘货信息!$A:$A&amp;盘货信息!$B:$B&amp;盘货信息!$C:$C,盘货信息!$T:$T)&amp;"元优惠卷下单更优惠，领券链接："&amp;_xlfn.XLOOKUP($A453&amp;$B453&amp;$C453,盘货信息!$A:$A&amp;盘货信息!$B:$B&amp;盘货信息!$C:$C,盘货信息!$U:$U))</f>
        <v/>
      </c>
      <c r="M453" s="27" t="str" cm="1">
        <f t="array" ref="M453">IF(_xlfn.XLOOKUP($A453&amp;$B453&amp;$C453,盘货信息!$A:$A&amp;盘货信息!$B:$B&amp;盘货信息!$C:$C,盘货信息!$P:$P)="","","【限时】"&amp;_xlfn.XLOOKUP($A453&amp;$B453&amp;$C453,盘货信息!$A:$A&amp;盘货信息!$B:$B&amp;盘货信息!$C:$C,盘货信息!$P:$P))</f>
        <v/>
      </c>
      <c r="N453" s="27" t="str" cm="1">
        <f t="array" ref="N453">IF(_xlfn.XLOOKUP($A453&amp;$B453&amp;$C453,盘货信息!$A:$A&amp;盘货信息!$B:$B&amp;盘货信息!$C:$C,盘货信息!$V:$V)="","","【"&amp;盘货信息!$V$1&amp;"】"&amp;_xlfn.XLOOKUP($A453&amp;$B453&amp;$C453,盘货信息!$A:$A&amp;盘货信息!$B:$B&amp;盘货信息!$C:$C,盘货信息!$V:$V))</f>
        <v/>
      </c>
      <c r="O453" s="27" t="str" cm="1">
        <f t="array" ref="O453">IF(_xlfn.XLOOKUP($A453&amp;$B453&amp;$C453,盘货信息!$A:$A&amp;盘货信息!$B:$B&amp;盘货信息!$C:$C,盘货信息!$W:$W)="","","【"&amp;盘货信息!$W$1&amp;"】"&amp;_xlfn.XLOOKUP($A453&amp;$B453&amp;$C453,盘货信息!$A:$A&amp;盘货信息!$B:$B&amp;盘货信息!$C:$C,盘货信息!$W:$W))</f>
        <v/>
      </c>
      <c r="P453" s="27" t="str" cm="1">
        <f t="array" ref="P453">IF(_xlfn.XLOOKUP($A453&amp;$B453&amp;$C453,盘货信息!$A:$A&amp;盘货信息!$B:$B&amp;盘货信息!$C:$C,盘货信息!$S:$S)&lt;1,"","【"&amp;盘货信息!$S$1&amp;"】"&amp;"后返"&amp;_xlfn.XLOOKUP($A453&amp;$B453&amp;$C453,盘货信息!$A:$A&amp;盘货信息!$B:$B&amp;盘货信息!$C:$C,盘货信息!$S:$S)&amp;"元")</f>
        <v/>
      </c>
      <c r="Q453" s="27" t="str" cm="1">
        <f t="array" ref="Q453">IF(_xlfn.XLOOKUP($A453&amp;$B453&amp;$C453,盘货信息!$A:$A&amp;盘货信息!$B:$B&amp;盘货信息!$C:$C,盘货信息!$X:$X)="","","【"&amp;盘货信息!$X$1&amp;"】"&amp;_xlfn.XLOOKUP($A453&amp;$B453&amp;$C453,盘货信息!$A:$A&amp;盘货信息!$B:$B&amp;盘货信息!$C:$C,盘货信息!$X:$X))</f>
        <v/>
      </c>
      <c r="R453" s="27" t="str" cm="1">
        <f t="array" ref="R453">IF(_xlfn.XLOOKUP($A453&amp;$B453&amp;$C453,盘货信息!$A:$A&amp;盘货信息!$B:$B&amp;盘货信息!$C:$C,盘货信息!$Z:$Z)="","","【"&amp;盘货信息!$Z$1&amp;"】"&amp;_xlfn.XLOOKUP($A453&amp;$B453&amp;$C453,盘货信息!$A:$A&amp;盘货信息!$B:$B&amp;盘货信息!$C:$C,盘货信息!$Z:$Z))</f>
        <v/>
      </c>
      <c r="S453" s="27" t="str" cm="1">
        <f t="array" ref="S453">IF(_xlfn.XLOOKUP($A453&amp;$B453&amp;$C453,盘货信息!$A:$A&amp;盘货信息!$B:$B&amp;盘货信息!$C:$C,盘货信息!$Q:$Q)="","","【种草】站外带指定话题种草后返"&amp;_xlfn.XLOOKUP($A453&amp;$B453&amp;$C453,盘货信息!$A:$A&amp;盘货信息!$B:$B&amp;盘货信息!$C:$C,盘货信息!$Q:$Q)&amp;"元红包（每个淘宝账号仅限对应一个站外种草账号，同一个种草账号不可对应多个淘宝账号）")</f>
        <v/>
      </c>
      <c r="T453" s="27" t="str" cm="1">
        <f t="array" ref="T453">IF(_xlfn.XLOOKUP($A453&amp;$B453&amp;$C453,盘货信息!$A:$A&amp;盘货信息!$B:$B&amp;盘货信息!$C:$C,盘货信息!$R:$R)&lt;1,"","【以旧换新】"&amp;"享补贴"&amp;ROUND(_xlfn.XLOOKUP($A453&amp;$B453&amp;$C453,盘货信息!$A:$A&amp;盘货信息!$B:$B&amp;盘货信息!$C:$C,盘货信息!$R:$R),0)&amp;"元（可无旧机换新）")</f>
        <v/>
      </c>
      <c r="U453" s="27" t="str">
        <f>IF(AND($N453="",$O453="",$P453="",$Q453="",$R453="",$S453="",$T453=""),"",固定信息!$B$1)</f>
        <v/>
      </c>
      <c r="V453" s="27" t="str" cm="1">
        <f t="array" ref="V453">IF(_xlfn.XLOOKUP($A453&amp;$B453&amp;$C453,盘货信息!$A:$A&amp;盘货信息!$B:$B&amp;盘货信息!$C:$C,盘货信息!$Y:$Y)="","","【卡萨帝送赠】活动指定时间"&amp;_xlfn.TEXTBEFORE(_xlfn.TEXTAFTER(_xlfn.XLOOKUP($A453&amp;$B453&amp;$C453,盘货信息!$A:$A&amp;盘货信息!$B:$B&amp;盘货信息!$C:$C,盘货信息!$Y:$Y),"点"),"（"))</f>
        <v/>
      </c>
      <c r="W453" s="27" t="str" cm="1">
        <f t="array" ref="W453">IF(COUNTIF(_xlfn.XLOOKUP($A453&amp;$B453&amp;$C453,盘货信息!$A:$A&amp;盘货信息!$B:$B&amp;盘货信息!$C:$C,盘货信息!$O:$O),"*是*"),"【折扣】指定型号满2类享96折，满3类享94折","")</f>
        <v/>
      </c>
      <c r="X453" s="27" t="str" cm="1">
        <f t="array" ref="X453">IF(固定信息!$B$7="","",IF(_xlfn.XLOOKUP($A453&amp;$B453&amp;$C453,盘货信息!$A:$A&amp;盘货信息!$B:$B&amp;盘货信息!$C:$C,盘货信息!$N:$N)="是","【瓜分】"&amp;固定信息!$B$7,""))</f>
        <v/>
      </c>
      <c r="Y453" s="27" t="str">
        <f>IF(AND($V453="",$W453="",$X453=""),"",固定信息!$B$1)</f>
        <v/>
      </c>
      <c r="Z453" s="27" t="str" cm="1">
        <f t="array" ref="Z453">IF($C453="","",_xlfn.XLOOKUP($A453&amp;$B453&amp;$C453,服务!$A:$A&amp;服务!$B:$B&amp;服务!$C:$C,服务!$D:$D))</f>
        <v/>
      </c>
    </row>
    <row r="454" customHeight="1" spans="1:26">
      <c r="A454" s="23" t="str">
        <f>IF(盘货信息!A454="","",盘货信息!A454)</f>
        <v/>
      </c>
      <c r="B454" s="26" t="str">
        <f>IF(盘货信息!B454="","",盘货信息!B454)</f>
        <v/>
      </c>
      <c r="C454" s="23" t="str">
        <f>IF(盘货信息!C454="","",盘货信息!C454)</f>
        <v/>
      </c>
      <c r="D454" s="27" t="str">
        <f ca="1" t="shared" si="7"/>
        <v/>
      </c>
      <c r="E454" s="27" t="str">
        <f>IF(C454="","",固定信息!$B$2)</f>
        <v/>
      </c>
      <c r="F454" s="27" t="str">
        <f>IF(C454="","","【"&amp;C454&amp;"】"&amp;固定信息!$B$4)</f>
        <v/>
      </c>
      <c r="G454" s="27" t="str">
        <f>IF(C454="","","【"&amp;"活动时间："&amp;固定信息!$B$3&amp;"】")</f>
        <v/>
      </c>
      <c r="H454" s="27" t="str">
        <f>IF($C454="","",固定信息!$B$1)</f>
        <v/>
      </c>
      <c r="I454" s="27" t="str">
        <f>IF(OR(C454="",固定信息!$B$5=""),"","【1元预约锁好礼】"&amp;固定信息!$B$5)</f>
        <v/>
      </c>
      <c r="J454" s="27" t="str" cm="1">
        <f t="array" ref="J454">_xlfn.XLOOKUP($A454&amp;$B454&amp;$C454,价格信息!$A:$A&amp;价格信息!$B:$B&amp;价格信息!$C:$C,价格信息!$D:$D)</f>
        <v/>
      </c>
      <c r="K454" s="27" t="str">
        <f>IF($C454="","",固定信息!$B$1)</f>
        <v/>
      </c>
      <c r="L454" s="27" t="str" cm="1">
        <f t="array" ref="L454">IF(_xlfn.XLOOKUP($A454&amp;$B454&amp;$C454,盘货信息!$A:$A&amp;盘货信息!$B:$B&amp;盘货信息!$C:$C,盘货信息!$T:$T)="","","【优惠券】领"&amp;_xlfn.XLOOKUP($A454&amp;$B454&amp;$C454,盘货信息!$A:$A&amp;盘货信息!$B:$B&amp;盘货信息!$C:$C,盘货信息!$T:$T)&amp;"元优惠卷下单更优惠，领券链接："&amp;_xlfn.XLOOKUP($A454&amp;$B454&amp;$C454,盘货信息!$A:$A&amp;盘货信息!$B:$B&amp;盘货信息!$C:$C,盘货信息!$U:$U))</f>
        <v/>
      </c>
      <c r="M454" s="27" t="str" cm="1">
        <f t="array" ref="M454">IF(_xlfn.XLOOKUP($A454&amp;$B454&amp;$C454,盘货信息!$A:$A&amp;盘货信息!$B:$B&amp;盘货信息!$C:$C,盘货信息!$P:$P)="","","【限时】"&amp;_xlfn.XLOOKUP($A454&amp;$B454&amp;$C454,盘货信息!$A:$A&amp;盘货信息!$B:$B&amp;盘货信息!$C:$C,盘货信息!$P:$P))</f>
        <v/>
      </c>
      <c r="N454" s="27" t="str" cm="1">
        <f t="array" ref="N454">IF(_xlfn.XLOOKUP($A454&amp;$B454&amp;$C454,盘货信息!$A:$A&amp;盘货信息!$B:$B&amp;盘货信息!$C:$C,盘货信息!$V:$V)="","","【"&amp;盘货信息!$V$1&amp;"】"&amp;_xlfn.XLOOKUP($A454&amp;$B454&amp;$C454,盘货信息!$A:$A&amp;盘货信息!$B:$B&amp;盘货信息!$C:$C,盘货信息!$V:$V))</f>
        <v/>
      </c>
      <c r="O454" s="27" t="str" cm="1">
        <f t="array" ref="O454">IF(_xlfn.XLOOKUP($A454&amp;$B454&amp;$C454,盘货信息!$A:$A&amp;盘货信息!$B:$B&amp;盘货信息!$C:$C,盘货信息!$W:$W)="","","【"&amp;盘货信息!$W$1&amp;"】"&amp;_xlfn.XLOOKUP($A454&amp;$B454&amp;$C454,盘货信息!$A:$A&amp;盘货信息!$B:$B&amp;盘货信息!$C:$C,盘货信息!$W:$W))</f>
        <v/>
      </c>
      <c r="P454" s="27" t="str" cm="1">
        <f t="array" ref="P454">IF(_xlfn.XLOOKUP($A454&amp;$B454&amp;$C454,盘货信息!$A:$A&amp;盘货信息!$B:$B&amp;盘货信息!$C:$C,盘货信息!$S:$S)&lt;1,"","【"&amp;盘货信息!$S$1&amp;"】"&amp;"后返"&amp;_xlfn.XLOOKUP($A454&amp;$B454&amp;$C454,盘货信息!$A:$A&amp;盘货信息!$B:$B&amp;盘货信息!$C:$C,盘货信息!$S:$S)&amp;"元")</f>
        <v/>
      </c>
      <c r="Q454" s="27" t="str" cm="1">
        <f t="array" ref="Q454">IF(_xlfn.XLOOKUP($A454&amp;$B454&amp;$C454,盘货信息!$A:$A&amp;盘货信息!$B:$B&amp;盘货信息!$C:$C,盘货信息!$X:$X)="","","【"&amp;盘货信息!$X$1&amp;"】"&amp;_xlfn.XLOOKUP($A454&amp;$B454&amp;$C454,盘货信息!$A:$A&amp;盘货信息!$B:$B&amp;盘货信息!$C:$C,盘货信息!$X:$X))</f>
        <v/>
      </c>
      <c r="R454" s="27" t="str" cm="1">
        <f t="array" ref="R454">IF(_xlfn.XLOOKUP($A454&amp;$B454&amp;$C454,盘货信息!$A:$A&amp;盘货信息!$B:$B&amp;盘货信息!$C:$C,盘货信息!$Z:$Z)="","","【"&amp;盘货信息!$Z$1&amp;"】"&amp;_xlfn.XLOOKUP($A454&amp;$B454&amp;$C454,盘货信息!$A:$A&amp;盘货信息!$B:$B&amp;盘货信息!$C:$C,盘货信息!$Z:$Z))</f>
        <v/>
      </c>
      <c r="S454" s="27" t="str" cm="1">
        <f t="array" ref="S454">IF(_xlfn.XLOOKUP($A454&amp;$B454&amp;$C454,盘货信息!$A:$A&amp;盘货信息!$B:$B&amp;盘货信息!$C:$C,盘货信息!$Q:$Q)="","","【种草】站外带指定话题种草后返"&amp;_xlfn.XLOOKUP($A454&amp;$B454&amp;$C454,盘货信息!$A:$A&amp;盘货信息!$B:$B&amp;盘货信息!$C:$C,盘货信息!$Q:$Q)&amp;"元红包（每个淘宝账号仅限对应一个站外种草账号，同一个种草账号不可对应多个淘宝账号）")</f>
        <v/>
      </c>
      <c r="T454" s="27" t="str" cm="1">
        <f t="array" ref="T454">IF(_xlfn.XLOOKUP($A454&amp;$B454&amp;$C454,盘货信息!$A:$A&amp;盘货信息!$B:$B&amp;盘货信息!$C:$C,盘货信息!$R:$R)&lt;1,"","【以旧换新】"&amp;"享补贴"&amp;ROUND(_xlfn.XLOOKUP($A454&amp;$B454&amp;$C454,盘货信息!$A:$A&amp;盘货信息!$B:$B&amp;盘货信息!$C:$C,盘货信息!$R:$R),0)&amp;"元（可无旧机换新）")</f>
        <v/>
      </c>
      <c r="U454" s="27" t="str">
        <f>IF(AND($N454="",$O454="",$P454="",$Q454="",$R454="",$S454="",$T454=""),"",固定信息!$B$1)</f>
        <v/>
      </c>
      <c r="V454" s="27" t="str" cm="1">
        <f t="array" ref="V454">IF(_xlfn.XLOOKUP($A454&amp;$B454&amp;$C454,盘货信息!$A:$A&amp;盘货信息!$B:$B&amp;盘货信息!$C:$C,盘货信息!$Y:$Y)="","","【卡萨帝送赠】活动指定时间"&amp;_xlfn.TEXTBEFORE(_xlfn.TEXTAFTER(_xlfn.XLOOKUP($A454&amp;$B454&amp;$C454,盘货信息!$A:$A&amp;盘货信息!$B:$B&amp;盘货信息!$C:$C,盘货信息!$Y:$Y),"点"),"（"))</f>
        <v/>
      </c>
      <c r="W454" s="27" t="str" cm="1">
        <f t="array" ref="W454">IF(COUNTIF(_xlfn.XLOOKUP($A454&amp;$B454&amp;$C454,盘货信息!$A:$A&amp;盘货信息!$B:$B&amp;盘货信息!$C:$C,盘货信息!$O:$O),"*是*"),"【折扣】指定型号满2类享96折，满3类享94折","")</f>
        <v/>
      </c>
      <c r="X454" s="27" t="str" cm="1">
        <f t="array" ref="X454">IF(固定信息!$B$7="","",IF(_xlfn.XLOOKUP($A454&amp;$B454&amp;$C454,盘货信息!$A:$A&amp;盘货信息!$B:$B&amp;盘货信息!$C:$C,盘货信息!$N:$N)="是","【瓜分】"&amp;固定信息!$B$7,""))</f>
        <v/>
      </c>
      <c r="Y454" s="27" t="str">
        <f>IF(AND($V454="",$W454="",$X454=""),"",固定信息!$B$1)</f>
        <v/>
      </c>
      <c r="Z454" s="27" t="str" cm="1">
        <f t="array" ref="Z454">IF($C454="","",_xlfn.XLOOKUP($A454&amp;$B454&amp;$C454,服务!$A:$A&amp;服务!$B:$B&amp;服务!$C:$C,服务!$D:$D))</f>
        <v/>
      </c>
    </row>
    <row r="455" customHeight="1" spans="1:26">
      <c r="A455" s="23" t="str">
        <f>IF(盘货信息!A455="","",盘货信息!A455)</f>
        <v/>
      </c>
      <c r="B455" s="26" t="str">
        <f>IF(盘货信息!B455="","",盘货信息!B455)</f>
        <v/>
      </c>
      <c r="C455" s="23" t="str">
        <f>IF(盘货信息!C455="","",盘货信息!C455)</f>
        <v/>
      </c>
      <c r="D455" s="27" t="str">
        <f ca="1" t="shared" si="7"/>
        <v/>
      </c>
      <c r="E455" s="27" t="str">
        <f>IF(C455="","",固定信息!$B$2)</f>
        <v/>
      </c>
      <c r="F455" s="27" t="str">
        <f>IF(C455="","","【"&amp;C455&amp;"】"&amp;固定信息!$B$4)</f>
        <v/>
      </c>
      <c r="G455" s="27" t="str">
        <f>IF(C455="","","【"&amp;"活动时间："&amp;固定信息!$B$3&amp;"】")</f>
        <v/>
      </c>
      <c r="H455" s="27" t="str">
        <f>IF($C455="","",固定信息!$B$1)</f>
        <v/>
      </c>
      <c r="I455" s="27" t="str">
        <f>IF(OR(C455="",固定信息!$B$5=""),"","【1元预约锁好礼】"&amp;固定信息!$B$5)</f>
        <v/>
      </c>
      <c r="J455" s="27" t="str" cm="1">
        <f t="array" ref="J455">_xlfn.XLOOKUP($A455&amp;$B455&amp;$C455,价格信息!$A:$A&amp;价格信息!$B:$B&amp;价格信息!$C:$C,价格信息!$D:$D)</f>
        <v/>
      </c>
      <c r="K455" s="27" t="str">
        <f>IF($C455="","",固定信息!$B$1)</f>
        <v/>
      </c>
      <c r="L455" s="27" t="str" cm="1">
        <f t="array" ref="L455">IF(_xlfn.XLOOKUP($A455&amp;$B455&amp;$C455,盘货信息!$A:$A&amp;盘货信息!$B:$B&amp;盘货信息!$C:$C,盘货信息!$T:$T)="","","【优惠券】领"&amp;_xlfn.XLOOKUP($A455&amp;$B455&amp;$C455,盘货信息!$A:$A&amp;盘货信息!$B:$B&amp;盘货信息!$C:$C,盘货信息!$T:$T)&amp;"元优惠卷下单更优惠，领券链接："&amp;_xlfn.XLOOKUP($A455&amp;$B455&amp;$C455,盘货信息!$A:$A&amp;盘货信息!$B:$B&amp;盘货信息!$C:$C,盘货信息!$U:$U))</f>
        <v/>
      </c>
      <c r="M455" s="27" t="str" cm="1">
        <f t="array" ref="M455">IF(_xlfn.XLOOKUP($A455&amp;$B455&amp;$C455,盘货信息!$A:$A&amp;盘货信息!$B:$B&amp;盘货信息!$C:$C,盘货信息!$P:$P)="","","【限时】"&amp;_xlfn.XLOOKUP($A455&amp;$B455&amp;$C455,盘货信息!$A:$A&amp;盘货信息!$B:$B&amp;盘货信息!$C:$C,盘货信息!$P:$P))</f>
        <v/>
      </c>
      <c r="N455" s="27" t="str" cm="1">
        <f t="array" ref="N455">IF(_xlfn.XLOOKUP($A455&amp;$B455&amp;$C455,盘货信息!$A:$A&amp;盘货信息!$B:$B&amp;盘货信息!$C:$C,盘货信息!$V:$V)="","","【"&amp;盘货信息!$V$1&amp;"】"&amp;_xlfn.XLOOKUP($A455&amp;$B455&amp;$C455,盘货信息!$A:$A&amp;盘货信息!$B:$B&amp;盘货信息!$C:$C,盘货信息!$V:$V))</f>
        <v/>
      </c>
      <c r="O455" s="27" t="str" cm="1">
        <f t="array" ref="O455">IF(_xlfn.XLOOKUP($A455&amp;$B455&amp;$C455,盘货信息!$A:$A&amp;盘货信息!$B:$B&amp;盘货信息!$C:$C,盘货信息!$W:$W)="","","【"&amp;盘货信息!$W$1&amp;"】"&amp;_xlfn.XLOOKUP($A455&amp;$B455&amp;$C455,盘货信息!$A:$A&amp;盘货信息!$B:$B&amp;盘货信息!$C:$C,盘货信息!$W:$W))</f>
        <v/>
      </c>
      <c r="P455" s="27" t="str" cm="1">
        <f t="array" ref="P455">IF(_xlfn.XLOOKUP($A455&amp;$B455&amp;$C455,盘货信息!$A:$A&amp;盘货信息!$B:$B&amp;盘货信息!$C:$C,盘货信息!$S:$S)&lt;1,"","【"&amp;盘货信息!$S$1&amp;"】"&amp;"后返"&amp;_xlfn.XLOOKUP($A455&amp;$B455&amp;$C455,盘货信息!$A:$A&amp;盘货信息!$B:$B&amp;盘货信息!$C:$C,盘货信息!$S:$S)&amp;"元")</f>
        <v/>
      </c>
      <c r="Q455" s="27" t="str" cm="1">
        <f t="array" ref="Q455">IF(_xlfn.XLOOKUP($A455&amp;$B455&amp;$C455,盘货信息!$A:$A&amp;盘货信息!$B:$B&amp;盘货信息!$C:$C,盘货信息!$X:$X)="","","【"&amp;盘货信息!$X$1&amp;"】"&amp;_xlfn.XLOOKUP($A455&amp;$B455&amp;$C455,盘货信息!$A:$A&amp;盘货信息!$B:$B&amp;盘货信息!$C:$C,盘货信息!$X:$X))</f>
        <v/>
      </c>
      <c r="R455" s="27" t="str" cm="1">
        <f t="array" ref="R455">IF(_xlfn.XLOOKUP($A455&amp;$B455&amp;$C455,盘货信息!$A:$A&amp;盘货信息!$B:$B&amp;盘货信息!$C:$C,盘货信息!$Z:$Z)="","","【"&amp;盘货信息!$Z$1&amp;"】"&amp;_xlfn.XLOOKUP($A455&amp;$B455&amp;$C455,盘货信息!$A:$A&amp;盘货信息!$B:$B&amp;盘货信息!$C:$C,盘货信息!$Z:$Z))</f>
        <v/>
      </c>
      <c r="S455" s="27" t="str" cm="1">
        <f t="array" ref="S455">IF(_xlfn.XLOOKUP($A455&amp;$B455&amp;$C455,盘货信息!$A:$A&amp;盘货信息!$B:$B&amp;盘货信息!$C:$C,盘货信息!$Q:$Q)="","","【种草】站外带指定话题种草后返"&amp;_xlfn.XLOOKUP($A455&amp;$B455&amp;$C455,盘货信息!$A:$A&amp;盘货信息!$B:$B&amp;盘货信息!$C:$C,盘货信息!$Q:$Q)&amp;"元红包（每个淘宝账号仅限对应一个站外种草账号，同一个种草账号不可对应多个淘宝账号）")</f>
        <v/>
      </c>
      <c r="T455" s="27" t="str" cm="1">
        <f t="array" ref="T455">IF(_xlfn.XLOOKUP($A455&amp;$B455&amp;$C455,盘货信息!$A:$A&amp;盘货信息!$B:$B&amp;盘货信息!$C:$C,盘货信息!$R:$R)&lt;1,"","【以旧换新】"&amp;"享补贴"&amp;ROUND(_xlfn.XLOOKUP($A455&amp;$B455&amp;$C455,盘货信息!$A:$A&amp;盘货信息!$B:$B&amp;盘货信息!$C:$C,盘货信息!$R:$R),0)&amp;"元（可无旧机换新）")</f>
        <v/>
      </c>
      <c r="U455" s="27" t="str">
        <f>IF(AND($N455="",$O455="",$P455="",$Q455="",$R455="",$S455="",$T455=""),"",固定信息!$B$1)</f>
        <v/>
      </c>
      <c r="V455" s="27" t="str" cm="1">
        <f t="array" ref="V455">IF(_xlfn.XLOOKUP($A455&amp;$B455&amp;$C455,盘货信息!$A:$A&amp;盘货信息!$B:$B&amp;盘货信息!$C:$C,盘货信息!$Y:$Y)="","","【卡萨帝送赠】活动指定时间"&amp;_xlfn.TEXTBEFORE(_xlfn.TEXTAFTER(_xlfn.XLOOKUP($A455&amp;$B455&amp;$C455,盘货信息!$A:$A&amp;盘货信息!$B:$B&amp;盘货信息!$C:$C,盘货信息!$Y:$Y),"点"),"（"))</f>
        <v/>
      </c>
      <c r="W455" s="27" t="str" cm="1">
        <f t="array" ref="W455">IF(COUNTIF(_xlfn.XLOOKUP($A455&amp;$B455&amp;$C455,盘货信息!$A:$A&amp;盘货信息!$B:$B&amp;盘货信息!$C:$C,盘货信息!$O:$O),"*是*"),"【折扣】指定型号满2类享96折，满3类享94折","")</f>
        <v/>
      </c>
      <c r="X455" s="27" t="str" cm="1">
        <f t="array" ref="X455">IF(固定信息!$B$7="","",IF(_xlfn.XLOOKUP($A455&amp;$B455&amp;$C455,盘货信息!$A:$A&amp;盘货信息!$B:$B&amp;盘货信息!$C:$C,盘货信息!$N:$N)="是","【瓜分】"&amp;固定信息!$B$7,""))</f>
        <v/>
      </c>
      <c r="Y455" s="27" t="str">
        <f>IF(AND($V455="",$W455="",$X455=""),"",固定信息!$B$1)</f>
        <v/>
      </c>
      <c r="Z455" s="27" t="str" cm="1">
        <f t="array" ref="Z455">IF($C455="","",_xlfn.XLOOKUP($A455&amp;$B455&amp;$C455,服务!$A:$A&amp;服务!$B:$B&amp;服务!$C:$C,服务!$D:$D))</f>
        <v/>
      </c>
    </row>
    <row r="456" customHeight="1" spans="1:26">
      <c r="A456" s="23" t="str">
        <f>IF(盘货信息!A456="","",盘货信息!A456)</f>
        <v/>
      </c>
      <c r="B456" s="26" t="str">
        <f>IF(盘货信息!B456="","",盘货信息!B456)</f>
        <v/>
      </c>
      <c r="C456" s="23" t="str">
        <f>IF(盘货信息!C456="","",盘货信息!C456)</f>
        <v/>
      </c>
      <c r="D456" s="27" t="str">
        <f ca="1" t="shared" si="7"/>
        <v/>
      </c>
      <c r="E456" s="27" t="str">
        <f>IF(C456="","",固定信息!$B$2)</f>
        <v/>
      </c>
      <c r="F456" s="27" t="str">
        <f>IF(C456="","","【"&amp;C456&amp;"】"&amp;固定信息!$B$4)</f>
        <v/>
      </c>
      <c r="G456" s="27" t="str">
        <f>IF(C456="","","【"&amp;"活动时间："&amp;固定信息!$B$3&amp;"】")</f>
        <v/>
      </c>
      <c r="H456" s="27" t="str">
        <f>IF($C456="","",固定信息!$B$1)</f>
        <v/>
      </c>
      <c r="I456" s="27" t="str">
        <f>IF(OR(C456="",固定信息!$B$5=""),"","【1元预约锁好礼】"&amp;固定信息!$B$5)</f>
        <v/>
      </c>
      <c r="J456" s="27" t="str" cm="1">
        <f t="array" ref="J456">_xlfn.XLOOKUP($A456&amp;$B456&amp;$C456,价格信息!$A:$A&amp;价格信息!$B:$B&amp;价格信息!$C:$C,价格信息!$D:$D)</f>
        <v/>
      </c>
      <c r="K456" s="27" t="str">
        <f>IF($C456="","",固定信息!$B$1)</f>
        <v/>
      </c>
      <c r="L456" s="27" t="str" cm="1">
        <f t="array" ref="L456">IF(_xlfn.XLOOKUP($A456&amp;$B456&amp;$C456,盘货信息!$A:$A&amp;盘货信息!$B:$B&amp;盘货信息!$C:$C,盘货信息!$T:$T)="","","【优惠券】领"&amp;_xlfn.XLOOKUP($A456&amp;$B456&amp;$C456,盘货信息!$A:$A&amp;盘货信息!$B:$B&amp;盘货信息!$C:$C,盘货信息!$T:$T)&amp;"元优惠卷下单更优惠，领券链接："&amp;_xlfn.XLOOKUP($A456&amp;$B456&amp;$C456,盘货信息!$A:$A&amp;盘货信息!$B:$B&amp;盘货信息!$C:$C,盘货信息!$U:$U))</f>
        <v/>
      </c>
      <c r="M456" s="27" t="str" cm="1">
        <f t="array" ref="M456">IF(_xlfn.XLOOKUP($A456&amp;$B456&amp;$C456,盘货信息!$A:$A&amp;盘货信息!$B:$B&amp;盘货信息!$C:$C,盘货信息!$P:$P)="","","【限时】"&amp;_xlfn.XLOOKUP($A456&amp;$B456&amp;$C456,盘货信息!$A:$A&amp;盘货信息!$B:$B&amp;盘货信息!$C:$C,盘货信息!$P:$P))</f>
        <v/>
      </c>
      <c r="N456" s="27" t="str" cm="1">
        <f t="array" ref="N456">IF(_xlfn.XLOOKUP($A456&amp;$B456&amp;$C456,盘货信息!$A:$A&amp;盘货信息!$B:$B&amp;盘货信息!$C:$C,盘货信息!$V:$V)="","","【"&amp;盘货信息!$V$1&amp;"】"&amp;_xlfn.XLOOKUP($A456&amp;$B456&amp;$C456,盘货信息!$A:$A&amp;盘货信息!$B:$B&amp;盘货信息!$C:$C,盘货信息!$V:$V))</f>
        <v/>
      </c>
      <c r="O456" s="27" t="str" cm="1">
        <f t="array" ref="O456">IF(_xlfn.XLOOKUP($A456&amp;$B456&amp;$C456,盘货信息!$A:$A&amp;盘货信息!$B:$B&amp;盘货信息!$C:$C,盘货信息!$W:$W)="","","【"&amp;盘货信息!$W$1&amp;"】"&amp;_xlfn.XLOOKUP($A456&amp;$B456&amp;$C456,盘货信息!$A:$A&amp;盘货信息!$B:$B&amp;盘货信息!$C:$C,盘货信息!$W:$W))</f>
        <v/>
      </c>
      <c r="P456" s="27" t="str" cm="1">
        <f t="array" ref="P456">IF(_xlfn.XLOOKUP($A456&amp;$B456&amp;$C456,盘货信息!$A:$A&amp;盘货信息!$B:$B&amp;盘货信息!$C:$C,盘货信息!$S:$S)&lt;1,"","【"&amp;盘货信息!$S$1&amp;"】"&amp;"后返"&amp;_xlfn.XLOOKUP($A456&amp;$B456&amp;$C456,盘货信息!$A:$A&amp;盘货信息!$B:$B&amp;盘货信息!$C:$C,盘货信息!$S:$S)&amp;"元")</f>
        <v/>
      </c>
      <c r="Q456" s="27" t="str" cm="1">
        <f t="array" ref="Q456">IF(_xlfn.XLOOKUP($A456&amp;$B456&amp;$C456,盘货信息!$A:$A&amp;盘货信息!$B:$B&amp;盘货信息!$C:$C,盘货信息!$X:$X)="","","【"&amp;盘货信息!$X$1&amp;"】"&amp;_xlfn.XLOOKUP($A456&amp;$B456&amp;$C456,盘货信息!$A:$A&amp;盘货信息!$B:$B&amp;盘货信息!$C:$C,盘货信息!$X:$X))</f>
        <v/>
      </c>
      <c r="R456" s="27" t="str" cm="1">
        <f t="array" ref="R456">IF(_xlfn.XLOOKUP($A456&amp;$B456&amp;$C456,盘货信息!$A:$A&amp;盘货信息!$B:$B&amp;盘货信息!$C:$C,盘货信息!$Z:$Z)="","","【"&amp;盘货信息!$Z$1&amp;"】"&amp;_xlfn.XLOOKUP($A456&amp;$B456&amp;$C456,盘货信息!$A:$A&amp;盘货信息!$B:$B&amp;盘货信息!$C:$C,盘货信息!$Z:$Z))</f>
        <v/>
      </c>
      <c r="S456" s="27" t="str" cm="1">
        <f t="array" ref="S456">IF(_xlfn.XLOOKUP($A456&amp;$B456&amp;$C456,盘货信息!$A:$A&amp;盘货信息!$B:$B&amp;盘货信息!$C:$C,盘货信息!$Q:$Q)="","","【种草】站外带指定话题种草后返"&amp;_xlfn.XLOOKUP($A456&amp;$B456&amp;$C456,盘货信息!$A:$A&amp;盘货信息!$B:$B&amp;盘货信息!$C:$C,盘货信息!$Q:$Q)&amp;"元红包（每个淘宝账号仅限对应一个站外种草账号，同一个种草账号不可对应多个淘宝账号）")</f>
        <v/>
      </c>
      <c r="T456" s="27" t="str" cm="1">
        <f t="array" ref="T456">IF(_xlfn.XLOOKUP($A456&amp;$B456&amp;$C456,盘货信息!$A:$A&amp;盘货信息!$B:$B&amp;盘货信息!$C:$C,盘货信息!$R:$R)&lt;1,"","【以旧换新】"&amp;"享补贴"&amp;ROUND(_xlfn.XLOOKUP($A456&amp;$B456&amp;$C456,盘货信息!$A:$A&amp;盘货信息!$B:$B&amp;盘货信息!$C:$C,盘货信息!$R:$R),0)&amp;"元（可无旧机换新）")</f>
        <v/>
      </c>
      <c r="U456" s="27" t="str">
        <f>IF(AND($N456="",$O456="",$P456="",$Q456="",$R456="",$S456="",$T456=""),"",固定信息!$B$1)</f>
        <v/>
      </c>
      <c r="V456" s="27" t="str" cm="1">
        <f t="array" ref="V456">IF(_xlfn.XLOOKUP($A456&amp;$B456&amp;$C456,盘货信息!$A:$A&amp;盘货信息!$B:$B&amp;盘货信息!$C:$C,盘货信息!$Y:$Y)="","","【卡萨帝送赠】活动指定时间"&amp;_xlfn.TEXTBEFORE(_xlfn.TEXTAFTER(_xlfn.XLOOKUP($A456&amp;$B456&amp;$C456,盘货信息!$A:$A&amp;盘货信息!$B:$B&amp;盘货信息!$C:$C,盘货信息!$Y:$Y),"点"),"（"))</f>
        <v/>
      </c>
      <c r="W456" s="27" t="str" cm="1">
        <f t="array" ref="W456">IF(COUNTIF(_xlfn.XLOOKUP($A456&amp;$B456&amp;$C456,盘货信息!$A:$A&amp;盘货信息!$B:$B&amp;盘货信息!$C:$C,盘货信息!$O:$O),"*是*"),"【折扣】指定型号满2类享96折，满3类享94折","")</f>
        <v/>
      </c>
      <c r="X456" s="27" t="str" cm="1">
        <f t="array" ref="X456">IF(固定信息!$B$7="","",IF(_xlfn.XLOOKUP($A456&amp;$B456&amp;$C456,盘货信息!$A:$A&amp;盘货信息!$B:$B&amp;盘货信息!$C:$C,盘货信息!$N:$N)="是","【瓜分】"&amp;固定信息!$B$7,""))</f>
        <v/>
      </c>
      <c r="Y456" s="27" t="str">
        <f>IF(AND($V456="",$W456="",$X456=""),"",固定信息!$B$1)</f>
        <v/>
      </c>
      <c r="Z456" s="27" t="str" cm="1">
        <f t="array" ref="Z456">IF($C456="","",_xlfn.XLOOKUP($A456&amp;$B456&amp;$C456,服务!$A:$A&amp;服务!$B:$B&amp;服务!$C:$C,服务!$D:$D))</f>
        <v/>
      </c>
    </row>
    <row r="457" customHeight="1" spans="1:26">
      <c r="A457" s="23" t="str">
        <f>IF(盘货信息!A457="","",盘货信息!A457)</f>
        <v/>
      </c>
      <c r="B457" s="26" t="str">
        <f>IF(盘货信息!B457="","",盘货信息!B457)</f>
        <v/>
      </c>
      <c r="C457" s="23" t="str">
        <f>IF(盘货信息!C457="","",盘货信息!C457)</f>
        <v/>
      </c>
      <c r="D457" s="27" t="str">
        <f ca="1" t="shared" si="7"/>
        <v/>
      </c>
      <c r="E457" s="27" t="str">
        <f>IF(C457="","",固定信息!$B$2)</f>
        <v/>
      </c>
      <c r="F457" s="27" t="str">
        <f>IF(C457="","","【"&amp;C457&amp;"】"&amp;固定信息!$B$4)</f>
        <v/>
      </c>
      <c r="G457" s="27" t="str">
        <f>IF(C457="","","【"&amp;"活动时间："&amp;固定信息!$B$3&amp;"】")</f>
        <v/>
      </c>
      <c r="H457" s="27" t="str">
        <f>IF($C457="","",固定信息!$B$1)</f>
        <v/>
      </c>
      <c r="I457" s="27" t="str">
        <f>IF(OR(C457="",固定信息!$B$5=""),"","【1元预约锁好礼】"&amp;固定信息!$B$5)</f>
        <v/>
      </c>
      <c r="J457" s="27" t="str" cm="1">
        <f t="array" ref="J457">_xlfn.XLOOKUP($A457&amp;$B457&amp;$C457,价格信息!$A:$A&amp;价格信息!$B:$B&amp;价格信息!$C:$C,价格信息!$D:$D)</f>
        <v/>
      </c>
      <c r="K457" s="27" t="str">
        <f>IF($C457="","",固定信息!$B$1)</f>
        <v/>
      </c>
      <c r="L457" s="27" t="str" cm="1">
        <f t="array" ref="L457">IF(_xlfn.XLOOKUP($A457&amp;$B457&amp;$C457,盘货信息!$A:$A&amp;盘货信息!$B:$B&amp;盘货信息!$C:$C,盘货信息!$T:$T)="","","【优惠券】领"&amp;_xlfn.XLOOKUP($A457&amp;$B457&amp;$C457,盘货信息!$A:$A&amp;盘货信息!$B:$B&amp;盘货信息!$C:$C,盘货信息!$T:$T)&amp;"元优惠卷下单更优惠，领券链接："&amp;_xlfn.XLOOKUP($A457&amp;$B457&amp;$C457,盘货信息!$A:$A&amp;盘货信息!$B:$B&amp;盘货信息!$C:$C,盘货信息!$U:$U))</f>
        <v/>
      </c>
      <c r="M457" s="27" t="str" cm="1">
        <f t="array" ref="M457">IF(_xlfn.XLOOKUP($A457&amp;$B457&amp;$C457,盘货信息!$A:$A&amp;盘货信息!$B:$B&amp;盘货信息!$C:$C,盘货信息!$P:$P)="","","【限时】"&amp;_xlfn.XLOOKUP($A457&amp;$B457&amp;$C457,盘货信息!$A:$A&amp;盘货信息!$B:$B&amp;盘货信息!$C:$C,盘货信息!$P:$P))</f>
        <v/>
      </c>
      <c r="N457" s="27" t="str" cm="1">
        <f t="array" ref="N457">IF(_xlfn.XLOOKUP($A457&amp;$B457&amp;$C457,盘货信息!$A:$A&amp;盘货信息!$B:$B&amp;盘货信息!$C:$C,盘货信息!$V:$V)="","","【"&amp;盘货信息!$V$1&amp;"】"&amp;_xlfn.XLOOKUP($A457&amp;$B457&amp;$C457,盘货信息!$A:$A&amp;盘货信息!$B:$B&amp;盘货信息!$C:$C,盘货信息!$V:$V))</f>
        <v/>
      </c>
      <c r="O457" s="27" t="str" cm="1">
        <f t="array" ref="O457">IF(_xlfn.XLOOKUP($A457&amp;$B457&amp;$C457,盘货信息!$A:$A&amp;盘货信息!$B:$B&amp;盘货信息!$C:$C,盘货信息!$W:$W)="","","【"&amp;盘货信息!$W$1&amp;"】"&amp;_xlfn.XLOOKUP($A457&amp;$B457&amp;$C457,盘货信息!$A:$A&amp;盘货信息!$B:$B&amp;盘货信息!$C:$C,盘货信息!$W:$W))</f>
        <v/>
      </c>
      <c r="P457" s="27" t="str" cm="1">
        <f t="array" ref="P457">IF(_xlfn.XLOOKUP($A457&amp;$B457&amp;$C457,盘货信息!$A:$A&amp;盘货信息!$B:$B&amp;盘货信息!$C:$C,盘货信息!$S:$S)&lt;1,"","【"&amp;盘货信息!$S$1&amp;"】"&amp;"后返"&amp;_xlfn.XLOOKUP($A457&amp;$B457&amp;$C457,盘货信息!$A:$A&amp;盘货信息!$B:$B&amp;盘货信息!$C:$C,盘货信息!$S:$S)&amp;"元")</f>
        <v/>
      </c>
      <c r="Q457" s="27" t="str" cm="1">
        <f t="array" ref="Q457">IF(_xlfn.XLOOKUP($A457&amp;$B457&amp;$C457,盘货信息!$A:$A&amp;盘货信息!$B:$B&amp;盘货信息!$C:$C,盘货信息!$X:$X)="","","【"&amp;盘货信息!$X$1&amp;"】"&amp;_xlfn.XLOOKUP($A457&amp;$B457&amp;$C457,盘货信息!$A:$A&amp;盘货信息!$B:$B&amp;盘货信息!$C:$C,盘货信息!$X:$X))</f>
        <v/>
      </c>
      <c r="R457" s="27" t="str" cm="1">
        <f t="array" ref="R457">IF(_xlfn.XLOOKUP($A457&amp;$B457&amp;$C457,盘货信息!$A:$A&amp;盘货信息!$B:$B&amp;盘货信息!$C:$C,盘货信息!$Z:$Z)="","","【"&amp;盘货信息!$Z$1&amp;"】"&amp;_xlfn.XLOOKUP($A457&amp;$B457&amp;$C457,盘货信息!$A:$A&amp;盘货信息!$B:$B&amp;盘货信息!$C:$C,盘货信息!$Z:$Z))</f>
        <v/>
      </c>
      <c r="S457" s="27" t="str" cm="1">
        <f t="array" ref="S457">IF(_xlfn.XLOOKUP($A457&amp;$B457&amp;$C457,盘货信息!$A:$A&amp;盘货信息!$B:$B&amp;盘货信息!$C:$C,盘货信息!$Q:$Q)="","","【种草】站外带指定话题种草后返"&amp;_xlfn.XLOOKUP($A457&amp;$B457&amp;$C457,盘货信息!$A:$A&amp;盘货信息!$B:$B&amp;盘货信息!$C:$C,盘货信息!$Q:$Q)&amp;"元红包（每个淘宝账号仅限对应一个站外种草账号，同一个种草账号不可对应多个淘宝账号）")</f>
        <v/>
      </c>
      <c r="T457" s="27" t="str" cm="1">
        <f t="array" ref="T457">IF(_xlfn.XLOOKUP($A457&amp;$B457&amp;$C457,盘货信息!$A:$A&amp;盘货信息!$B:$B&amp;盘货信息!$C:$C,盘货信息!$R:$R)&lt;1,"","【以旧换新】"&amp;"享补贴"&amp;ROUND(_xlfn.XLOOKUP($A457&amp;$B457&amp;$C457,盘货信息!$A:$A&amp;盘货信息!$B:$B&amp;盘货信息!$C:$C,盘货信息!$R:$R),0)&amp;"元（可无旧机换新）")</f>
        <v/>
      </c>
      <c r="U457" s="27" t="str">
        <f>IF(AND($N457="",$O457="",$P457="",$Q457="",$R457="",$S457="",$T457=""),"",固定信息!$B$1)</f>
        <v/>
      </c>
      <c r="V457" s="27" t="str" cm="1">
        <f t="array" ref="V457">IF(_xlfn.XLOOKUP($A457&amp;$B457&amp;$C457,盘货信息!$A:$A&amp;盘货信息!$B:$B&amp;盘货信息!$C:$C,盘货信息!$Y:$Y)="","","【卡萨帝送赠】活动指定时间"&amp;_xlfn.TEXTBEFORE(_xlfn.TEXTAFTER(_xlfn.XLOOKUP($A457&amp;$B457&amp;$C457,盘货信息!$A:$A&amp;盘货信息!$B:$B&amp;盘货信息!$C:$C,盘货信息!$Y:$Y),"点"),"（"))</f>
        <v/>
      </c>
      <c r="W457" s="27" t="str" cm="1">
        <f t="array" ref="W457">IF(COUNTIF(_xlfn.XLOOKUP($A457&amp;$B457&amp;$C457,盘货信息!$A:$A&amp;盘货信息!$B:$B&amp;盘货信息!$C:$C,盘货信息!$O:$O),"*是*"),"【折扣】指定型号满2类享96折，满3类享94折","")</f>
        <v/>
      </c>
      <c r="X457" s="27" t="str" cm="1">
        <f t="array" ref="X457">IF(固定信息!$B$7="","",IF(_xlfn.XLOOKUP($A457&amp;$B457&amp;$C457,盘货信息!$A:$A&amp;盘货信息!$B:$B&amp;盘货信息!$C:$C,盘货信息!$N:$N)="是","【瓜分】"&amp;固定信息!$B$7,""))</f>
        <v/>
      </c>
      <c r="Y457" s="27" t="str">
        <f>IF(AND($V457="",$W457="",$X457=""),"",固定信息!$B$1)</f>
        <v/>
      </c>
      <c r="Z457" s="27" t="str" cm="1">
        <f t="array" ref="Z457">IF($C457="","",_xlfn.XLOOKUP($A457&amp;$B457&amp;$C457,服务!$A:$A&amp;服务!$B:$B&amp;服务!$C:$C,服务!$D:$D))</f>
        <v/>
      </c>
    </row>
    <row r="458" customHeight="1" spans="1:26">
      <c r="A458" s="23" t="str">
        <f>IF(盘货信息!A458="","",盘货信息!A458)</f>
        <v/>
      </c>
      <c r="B458" s="26" t="str">
        <f>IF(盘货信息!B458="","",盘货信息!B458)</f>
        <v/>
      </c>
      <c r="C458" s="23" t="str">
        <f>IF(盘货信息!C458="","",盘货信息!C458)</f>
        <v/>
      </c>
      <c r="D458" s="27" t="str">
        <f ca="1" t="shared" si="7"/>
        <v/>
      </c>
      <c r="E458" s="27" t="str">
        <f>IF(C458="","",固定信息!$B$2)</f>
        <v/>
      </c>
      <c r="F458" s="27" t="str">
        <f>IF(C458="","","【"&amp;C458&amp;"】"&amp;固定信息!$B$4)</f>
        <v/>
      </c>
      <c r="G458" s="27" t="str">
        <f>IF(C458="","","【"&amp;"活动时间："&amp;固定信息!$B$3&amp;"】")</f>
        <v/>
      </c>
      <c r="H458" s="27" t="str">
        <f>IF($C458="","",固定信息!$B$1)</f>
        <v/>
      </c>
      <c r="I458" s="27" t="str">
        <f>IF(OR(C458="",固定信息!$B$5=""),"","【1元预约锁好礼】"&amp;固定信息!$B$5)</f>
        <v/>
      </c>
      <c r="J458" s="27" t="str" cm="1">
        <f t="array" ref="J458">_xlfn.XLOOKUP($A458&amp;$B458&amp;$C458,价格信息!$A:$A&amp;价格信息!$B:$B&amp;价格信息!$C:$C,价格信息!$D:$D)</f>
        <v/>
      </c>
      <c r="K458" s="27" t="str">
        <f>IF($C458="","",固定信息!$B$1)</f>
        <v/>
      </c>
      <c r="L458" s="27" t="str" cm="1">
        <f t="array" ref="L458">IF(_xlfn.XLOOKUP($A458&amp;$B458&amp;$C458,盘货信息!$A:$A&amp;盘货信息!$B:$B&amp;盘货信息!$C:$C,盘货信息!$T:$T)="","","【优惠券】领"&amp;_xlfn.XLOOKUP($A458&amp;$B458&amp;$C458,盘货信息!$A:$A&amp;盘货信息!$B:$B&amp;盘货信息!$C:$C,盘货信息!$T:$T)&amp;"元优惠卷下单更优惠，领券链接："&amp;_xlfn.XLOOKUP($A458&amp;$B458&amp;$C458,盘货信息!$A:$A&amp;盘货信息!$B:$B&amp;盘货信息!$C:$C,盘货信息!$U:$U))</f>
        <v/>
      </c>
      <c r="M458" s="27" t="str" cm="1">
        <f t="array" ref="M458">IF(_xlfn.XLOOKUP($A458&amp;$B458&amp;$C458,盘货信息!$A:$A&amp;盘货信息!$B:$B&amp;盘货信息!$C:$C,盘货信息!$P:$P)="","","【限时】"&amp;_xlfn.XLOOKUP($A458&amp;$B458&amp;$C458,盘货信息!$A:$A&amp;盘货信息!$B:$B&amp;盘货信息!$C:$C,盘货信息!$P:$P))</f>
        <v/>
      </c>
      <c r="N458" s="27" t="str" cm="1">
        <f t="array" ref="N458">IF(_xlfn.XLOOKUP($A458&amp;$B458&amp;$C458,盘货信息!$A:$A&amp;盘货信息!$B:$B&amp;盘货信息!$C:$C,盘货信息!$V:$V)="","","【"&amp;盘货信息!$V$1&amp;"】"&amp;_xlfn.XLOOKUP($A458&amp;$B458&amp;$C458,盘货信息!$A:$A&amp;盘货信息!$B:$B&amp;盘货信息!$C:$C,盘货信息!$V:$V))</f>
        <v/>
      </c>
      <c r="O458" s="27" t="str" cm="1">
        <f t="array" ref="O458">IF(_xlfn.XLOOKUP($A458&amp;$B458&amp;$C458,盘货信息!$A:$A&amp;盘货信息!$B:$B&amp;盘货信息!$C:$C,盘货信息!$W:$W)="","","【"&amp;盘货信息!$W$1&amp;"】"&amp;_xlfn.XLOOKUP($A458&amp;$B458&amp;$C458,盘货信息!$A:$A&amp;盘货信息!$B:$B&amp;盘货信息!$C:$C,盘货信息!$W:$W))</f>
        <v/>
      </c>
      <c r="P458" s="27" t="str" cm="1">
        <f t="array" ref="P458">IF(_xlfn.XLOOKUP($A458&amp;$B458&amp;$C458,盘货信息!$A:$A&amp;盘货信息!$B:$B&amp;盘货信息!$C:$C,盘货信息!$S:$S)&lt;1,"","【"&amp;盘货信息!$S$1&amp;"】"&amp;"后返"&amp;_xlfn.XLOOKUP($A458&amp;$B458&amp;$C458,盘货信息!$A:$A&amp;盘货信息!$B:$B&amp;盘货信息!$C:$C,盘货信息!$S:$S)&amp;"元")</f>
        <v/>
      </c>
      <c r="Q458" s="27" t="str" cm="1">
        <f t="array" ref="Q458">IF(_xlfn.XLOOKUP($A458&amp;$B458&amp;$C458,盘货信息!$A:$A&amp;盘货信息!$B:$B&amp;盘货信息!$C:$C,盘货信息!$X:$X)="","","【"&amp;盘货信息!$X$1&amp;"】"&amp;_xlfn.XLOOKUP($A458&amp;$B458&amp;$C458,盘货信息!$A:$A&amp;盘货信息!$B:$B&amp;盘货信息!$C:$C,盘货信息!$X:$X))</f>
        <v/>
      </c>
      <c r="R458" s="27" t="str" cm="1">
        <f t="array" ref="R458">IF(_xlfn.XLOOKUP($A458&amp;$B458&amp;$C458,盘货信息!$A:$A&amp;盘货信息!$B:$B&amp;盘货信息!$C:$C,盘货信息!$Z:$Z)="","","【"&amp;盘货信息!$Z$1&amp;"】"&amp;_xlfn.XLOOKUP($A458&amp;$B458&amp;$C458,盘货信息!$A:$A&amp;盘货信息!$B:$B&amp;盘货信息!$C:$C,盘货信息!$Z:$Z))</f>
        <v/>
      </c>
      <c r="S458" s="27" t="str" cm="1">
        <f t="array" ref="S458">IF(_xlfn.XLOOKUP($A458&amp;$B458&amp;$C458,盘货信息!$A:$A&amp;盘货信息!$B:$B&amp;盘货信息!$C:$C,盘货信息!$Q:$Q)="","","【种草】站外带指定话题种草后返"&amp;_xlfn.XLOOKUP($A458&amp;$B458&amp;$C458,盘货信息!$A:$A&amp;盘货信息!$B:$B&amp;盘货信息!$C:$C,盘货信息!$Q:$Q)&amp;"元红包（每个淘宝账号仅限对应一个站外种草账号，同一个种草账号不可对应多个淘宝账号）")</f>
        <v/>
      </c>
      <c r="T458" s="27" t="str" cm="1">
        <f t="array" ref="T458">IF(_xlfn.XLOOKUP($A458&amp;$B458&amp;$C458,盘货信息!$A:$A&amp;盘货信息!$B:$B&amp;盘货信息!$C:$C,盘货信息!$R:$R)&lt;1,"","【以旧换新】"&amp;"享补贴"&amp;ROUND(_xlfn.XLOOKUP($A458&amp;$B458&amp;$C458,盘货信息!$A:$A&amp;盘货信息!$B:$B&amp;盘货信息!$C:$C,盘货信息!$R:$R),0)&amp;"元（可无旧机换新）")</f>
        <v/>
      </c>
      <c r="U458" s="27" t="str">
        <f>IF(AND($N458="",$O458="",$P458="",$Q458="",$R458="",$S458="",$T458=""),"",固定信息!$B$1)</f>
        <v/>
      </c>
      <c r="V458" s="27" t="str" cm="1">
        <f t="array" ref="V458">IF(_xlfn.XLOOKUP($A458&amp;$B458&amp;$C458,盘货信息!$A:$A&amp;盘货信息!$B:$B&amp;盘货信息!$C:$C,盘货信息!$Y:$Y)="","","【卡萨帝送赠】活动指定时间"&amp;_xlfn.TEXTBEFORE(_xlfn.TEXTAFTER(_xlfn.XLOOKUP($A458&amp;$B458&amp;$C458,盘货信息!$A:$A&amp;盘货信息!$B:$B&amp;盘货信息!$C:$C,盘货信息!$Y:$Y),"点"),"（"))</f>
        <v/>
      </c>
      <c r="W458" s="27" t="str" cm="1">
        <f t="array" ref="W458">IF(COUNTIF(_xlfn.XLOOKUP($A458&amp;$B458&amp;$C458,盘货信息!$A:$A&amp;盘货信息!$B:$B&amp;盘货信息!$C:$C,盘货信息!$O:$O),"*是*"),"【折扣】指定型号满2类享96折，满3类享94折","")</f>
        <v/>
      </c>
      <c r="X458" s="27" t="str" cm="1">
        <f t="array" ref="X458">IF(固定信息!$B$7="","",IF(_xlfn.XLOOKUP($A458&amp;$B458&amp;$C458,盘货信息!$A:$A&amp;盘货信息!$B:$B&amp;盘货信息!$C:$C,盘货信息!$N:$N)="是","【瓜分】"&amp;固定信息!$B$7,""))</f>
        <v/>
      </c>
      <c r="Y458" s="27" t="str">
        <f>IF(AND($V458="",$W458="",$X458=""),"",固定信息!$B$1)</f>
        <v/>
      </c>
      <c r="Z458" s="27" t="str" cm="1">
        <f t="array" ref="Z458">IF($C458="","",_xlfn.XLOOKUP($A458&amp;$B458&amp;$C458,服务!$A:$A&amp;服务!$B:$B&amp;服务!$C:$C,服务!$D:$D))</f>
        <v/>
      </c>
    </row>
    <row r="459" customHeight="1" spans="1:26">
      <c r="A459" s="23" t="str">
        <f>IF(盘货信息!A459="","",盘货信息!A459)</f>
        <v/>
      </c>
      <c r="B459" s="26" t="str">
        <f>IF(盘货信息!B459="","",盘货信息!B459)</f>
        <v/>
      </c>
      <c r="C459" s="23" t="str">
        <f>IF(盘货信息!C459="","",盘货信息!C459)</f>
        <v/>
      </c>
      <c r="D459" s="27" t="str">
        <f ca="1" t="shared" si="7"/>
        <v/>
      </c>
      <c r="E459" s="27" t="str">
        <f>IF(C459="","",固定信息!$B$2)</f>
        <v/>
      </c>
      <c r="F459" s="27" t="str">
        <f>IF(C459="","","【"&amp;C459&amp;"】"&amp;固定信息!$B$4)</f>
        <v/>
      </c>
      <c r="G459" s="27" t="str">
        <f>IF(C459="","","【"&amp;"活动时间："&amp;固定信息!$B$3&amp;"】")</f>
        <v/>
      </c>
      <c r="H459" s="27" t="str">
        <f>IF($C459="","",固定信息!$B$1)</f>
        <v/>
      </c>
      <c r="I459" s="27" t="str">
        <f>IF(OR(C459="",固定信息!$B$5=""),"","【1元预约锁好礼】"&amp;固定信息!$B$5)</f>
        <v/>
      </c>
      <c r="J459" s="27" t="str" cm="1">
        <f t="array" ref="J459">_xlfn.XLOOKUP($A459&amp;$B459&amp;$C459,价格信息!$A:$A&amp;价格信息!$B:$B&amp;价格信息!$C:$C,价格信息!$D:$D)</f>
        <v/>
      </c>
      <c r="K459" s="27" t="str">
        <f>IF($C459="","",固定信息!$B$1)</f>
        <v/>
      </c>
      <c r="L459" s="27" t="str" cm="1">
        <f t="array" ref="L459">IF(_xlfn.XLOOKUP($A459&amp;$B459&amp;$C459,盘货信息!$A:$A&amp;盘货信息!$B:$B&amp;盘货信息!$C:$C,盘货信息!$T:$T)="","","【优惠券】领"&amp;_xlfn.XLOOKUP($A459&amp;$B459&amp;$C459,盘货信息!$A:$A&amp;盘货信息!$B:$B&amp;盘货信息!$C:$C,盘货信息!$T:$T)&amp;"元优惠卷下单更优惠，领券链接："&amp;_xlfn.XLOOKUP($A459&amp;$B459&amp;$C459,盘货信息!$A:$A&amp;盘货信息!$B:$B&amp;盘货信息!$C:$C,盘货信息!$U:$U))</f>
        <v/>
      </c>
      <c r="M459" s="27" t="str" cm="1">
        <f t="array" ref="M459">IF(_xlfn.XLOOKUP($A459&amp;$B459&amp;$C459,盘货信息!$A:$A&amp;盘货信息!$B:$B&amp;盘货信息!$C:$C,盘货信息!$P:$P)="","","【限时】"&amp;_xlfn.XLOOKUP($A459&amp;$B459&amp;$C459,盘货信息!$A:$A&amp;盘货信息!$B:$B&amp;盘货信息!$C:$C,盘货信息!$P:$P))</f>
        <v/>
      </c>
      <c r="N459" s="27" t="str" cm="1">
        <f t="array" ref="N459">IF(_xlfn.XLOOKUP($A459&amp;$B459&amp;$C459,盘货信息!$A:$A&amp;盘货信息!$B:$B&amp;盘货信息!$C:$C,盘货信息!$V:$V)="","","【"&amp;盘货信息!$V$1&amp;"】"&amp;_xlfn.XLOOKUP($A459&amp;$B459&amp;$C459,盘货信息!$A:$A&amp;盘货信息!$B:$B&amp;盘货信息!$C:$C,盘货信息!$V:$V))</f>
        <v/>
      </c>
      <c r="O459" s="27" t="str" cm="1">
        <f t="array" ref="O459">IF(_xlfn.XLOOKUP($A459&amp;$B459&amp;$C459,盘货信息!$A:$A&amp;盘货信息!$B:$B&amp;盘货信息!$C:$C,盘货信息!$W:$W)="","","【"&amp;盘货信息!$W$1&amp;"】"&amp;_xlfn.XLOOKUP($A459&amp;$B459&amp;$C459,盘货信息!$A:$A&amp;盘货信息!$B:$B&amp;盘货信息!$C:$C,盘货信息!$W:$W))</f>
        <v/>
      </c>
      <c r="P459" s="27" t="str" cm="1">
        <f t="array" ref="P459">IF(_xlfn.XLOOKUP($A459&amp;$B459&amp;$C459,盘货信息!$A:$A&amp;盘货信息!$B:$B&amp;盘货信息!$C:$C,盘货信息!$S:$S)&lt;1,"","【"&amp;盘货信息!$S$1&amp;"】"&amp;"后返"&amp;_xlfn.XLOOKUP($A459&amp;$B459&amp;$C459,盘货信息!$A:$A&amp;盘货信息!$B:$B&amp;盘货信息!$C:$C,盘货信息!$S:$S)&amp;"元")</f>
        <v/>
      </c>
      <c r="Q459" s="27" t="str" cm="1">
        <f t="array" ref="Q459">IF(_xlfn.XLOOKUP($A459&amp;$B459&amp;$C459,盘货信息!$A:$A&amp;盘货信息!$B:$B&amp;盘货信息!$C:$C,盘货信息!$X:$X)="","","【"&amp;盘货信息!$X$1&amp;"】"&amp;_xlfn.XLOOKUP($A459&amp;$B459&amp;$C459,盘货信息!$A:$A&amp;盘货信息!$B:$B&amp;盘货信息!$C:$C,盘货信息!$X:$X))</f>
        <v/>
      </c>
      <c r="R459" s="27" t="str" cm="1">
        <f t="array" ref="R459">IF(_xlfn.XLOOKUP($A459&amp;$B459&amp;$C459,盘货信息!$A:$A&amp;盘货信息!$B:$B&amp;盘货信息!$C:$C,盘货信息!$Z:$Z)="","","【"&amp;盘货信息!$Z$1&amp;"】"&amp;_xlfn.XLOOKUP($A459&amp;$B459&amp;$C459,盘货信息!$A:$A&amp;盘货信息!$B:$B&amp;盘货信息!$C:$C,盘货信息!$Z:$Z))</f>
        <v/>
      </c>
      <c r="S459" s="27" t="str" cm="1">
        <f t="array" ref="S459">IF(_xlfn.XLOOKUP($A459&amp;$B459&amp;$C459,盘货信息!$A:$A&amp;盘货信息!$B:$B&amp;盘货信息!$C:$C,盘货信息!$Q:$Q)="","","【种草】站外带指定话题种草后返"&amp;_xlfn.XLOOKUP($A459&amp;$B459&amp;$C459,盘货信息!$A:$A&amp;盘货信息!$B:$B&amp;盘货信息!$C:$C,盘货信息!$Q:$Q)&amp;"元红包（每个淘宝账号仅限对应一个站外种草账号，同一个种草账号不可对应多个淘宝账号）")</f>
        <v/>
      </c>
      <c r="T459" s="27" t="str" cm="1">
        <f t="array" ref="T459">IF(_xlfn.XLOOKUP($A459&amp;$B459&amp;$C459,盘货信息!$A:$A&amp;盘货信息!$B:$B&amp;盘货信息!$C:$C,盘货信息!$R:$R)&lt;1,"","【以旧换新】"&amp;"享补贴"&amp;ROUND(_xlfn.XLOOKUP($A459&amp;$B459&amp;$C459,盘货信息!$A:$A&amp;盘货信息!$B:$B&amp;盘货信息!$C:$C,盘货信息!$R:$R),0)&amp;"元（可无旧机换新）")</f>
        <v/>
      </c>
      <c r="U459" s="27" t="str">
        <f>IF(AND($N459="",$O459="",$P459="",$Q459="",$R459="",$S459="",$T459=""),"",固定信息!$B$1)</f>
        <v/>
      </c>
      <c r="V459" s="27" t="str" cm="1">
        <f t="array" ref="V459">IF(_xlfn.XLOOKUP($A459&amp;$B459&amp;$C459,盘货信息!$A:$A&amp;盘货信息!$B:$B&amp;盘货信息!$C:$C,盘货信息!$Y:$Y)="","","【卡萨帝送赠】活动指定时间"&amp;_xlfn.TEXTBEFORE(_xlfn.TEXTAFTER(_xlfn.XLOOKUP($A459&amp;$B459&amp;$C459,盘货信息!$A:$A&amp;盘货信息!$B:$B&amp;盘货信息!$C:$C,盘货信息!$Y:$Y),"点"),"（"))</f>
        <v/>
      </c>
      <c r="W459" s="27" t="str" cm="1">
        <f t="array" ref="W459">IF(COUNTIF(_xlfn.XLOOKUP($A459&amp;$B459&amp;$C459,盘货信息!$A:$A&amp;盘货信息!$B:$B&amp;盘货信息!$C:$C,盘货信息!$O:$O),"*是*"),"【折扣】指定型号满2类享96折，满3类享94折","")</f>
        <v/>
      </c>
      <c r="X459" s="27" t="str" cm="1">
        <f t="array" ref="X459">IF(固定信息!$B$7="","",IF(_xlfn.XLOOKUP($A459&amp;$B459&amp;$C459,盘货信息!$A:$A&amp;盘货信息!$B:$B&amp;盘货信息!$C:$C,盘货信息!$N:$N)="是","【瓜分】"&amp;固定信息!$B$7,""))</f>
        <v/>
      </c>
      <c r="Y459" s="27" t="str">
        <f>IF(AND($V459="",$W459="",$X459=""),"",固定信息!$B$1)</f>
        <v/>
      </c>
      <c r="Z459" s="27" t="str" cm="1">
        <f t="array" ref="Z459">IF($C459="","",_xlfn.XLOOKUP($A459&amp;$B459&amp;$C459,服务!$A:$A&amp;服务!$B:$B&amp;服务!$C:$C,服务!$D:$D))</f>
        <v/>
      </c>
    </row>
    <row r="460" customHeight="1" spans="1:26">
      <c r="A460" s="23" t="str">
        <f>IF(盘货信息!A460="","",盘货信息!A460)</f>
        <v/>
      </c>
      <c r="B460" s="26" t="str">
        <f>IF(盘货信息!B460="","",盘货信息!B460)</f>
        <v/>
      </c>
      <c r="C460" s="23" t="str">
        <f>IF(盘货信息!C460="","",盘货信息!C460)</f>
        <v/>
      </c>
      <c r="D460" s="27" t="str">
        <f ca="1" t="shared" si="7"/>
        <v/>
      </c>
      <c r="E460" s="27" t="str">
        <f>IF(C460="","",固定信息!$B$2)</f>
        <v/>
      </c>
      <c r="F460" s="27" t="str">
        <f>IF(C460="","","【"&amp;C460&amp;"】"&amp;固定信息!$B$4)</f>
        <v/>
      </c>
      <c r="G460" s="27" t="str">
        <f>IF(C460="","","【"&amp;"活动时间："&amp;固定信息!$B$3&amp;"】")</f>
        <v/>
      </c>
      <c r="H460" s="27" t="str">
        <f>IF($C460="","",固定信息!$B$1)</f>
        <v/>
      </c>
      <c r="I460" s="27" t="str">
        <f>IF(OR(C460="",固定信息!$B$5=""),"","【1元预约锁好礼】"&amp;固定信息!$B$5)</f>
        <v/>
      </c>
      <c r="J460" s="27" t="str" cm="1">
        <f t="array" ref="J460">_xlfn.XLOOKUP($A460&amp;$B460&amp;$C460,价格信息!$A:$A&amp;价格信息!$B:$B&amp;价格信息!$C:$C,价格信息!$D:$D)</f>
        <v/>
      </c>
      <c r="K460" s="27" t="str">
        <f>IF($C460="","",固定信息!$B$1)</f>
        <v/>
      </c>
      <c r="L460" s="27" t="str" cm="1">
        <f t="array" ref="L460">IF(_xlfn.XLOOKUP($A460&amp;$B460&amp;$C460,盘货信息!$A:$A&amp;盘货信息!$B:$B&amp;盘货信息!$C:$C,盘货信息!$T:$T)="","","【优惠券】领"&amp;_xlfn.XLOOKUP($A460&amp;$B460&amp;$C460,盘货信息!$A:$A&amp;盘货信息!$B:$B&amp;盘货信息!$C:$C,盘货信息!$T:$T)&amp;"元优惠卷下单更优惠，领券链接："&amp;_xlfn.XLOOKUP($A460&amp;$B460&amp;$C460,盘货信息!$A:$A&amp;盘货信息!$B:$B&amp;盘货信息!$C:$C,盘货信息!$U:$U))</f>
        <v/>
      </c>
      <c r="M460" s="27" t="str" cm="1">
        <f t="array" ref="M460">IF(_xlfn.XLOOKUP($A460&amp;$B460&amp;$C460,盘货信息!$A:$A&amp;盘货信息!$B:$B&amp;盘货信息!$C:$C,盘货信息!$P:$P)="","","【限时】"&amp;_xlfn.XLOOKUP($A460&amp;$B460&amp;$C460,盘货信息!$A:$A&amp;盘货信息!$B:$B&amp;盘货信息!$C:$C,盘货信息!$P:$P))</f>
        <v/>
      </c>
      <c r="N460" s="27" t="str" cm="1">
        <f t="array" ref="N460">IF(_xlfn.XLOOKUP($A460&amp;$B460&amp;$C460,盘货信息!$A:$A&amp;盘货信息!$B:$B&amp;盘货信息!$C:$C,盘货信息!$V:$V)="","","【"&amp;盘货信息!$V$1&amp;"】"&amp;_xlfn.XLOOKUP($A460&amp;$B460&amp;$C460,盘货信息!$A:$A&amp;盘货信息!$B:$B&amp;盘货信息!$C:$C,盘货信息!$V:$V))</f>
        <v/>
      </c>
      <c r="O460" s="27" t="str" cm="1">
        <f t="array" ref="O460">IF(_xlfn.XLOOKUP($A460&amp;$B460&amp;$C460,盘货信息!$A:$A&amp;盘货信息!$B:$B&amp;盘货信息!$C:$C,盘货信息!$W:$W)="","","【"&amp;盘货信息!$W$1&amp;"】"&amp;_xlfn.XLOOKUP($A460&amp;$B460&amp;$C460,盘货信息!$A:$A&amp;盘货信息!$B:$B&amp;盘货信息!$C:$C,盘货信息!$W:$W))</f>
        <v/>
      </c>
      <c r="P460" s="27" t="str" cm="1">
        <f t="array" ref="P460">IF(_xlfn.XLOOKUP($A460&amp;$B460&amp;$C460,盘货信息!$A:$A&amp;盘货信息!$B:$B&amp;盘货信息!$C:$C,盘货信息!$S:$S)&lt;1,"","【"&amp;盘货信息!$S$1&amp;"】"&amp;"后返"&amp;_xlfn.XLOOKUP($A460&amp;$B460&amp;$C460,盘货信息!$A:$A&amp;盘货信息!$B:$B&amp;盘货信息!$C:$C,盘货信息!$S:$S)&amp;"元")</f>
        <v/>
      </c>
      <c r="Q460" s="27" t="str" cm="1">
        <f t="array" ref="Q460">IF(_xlfn.XLOOKUP($A460&amp;$B460&amp;$C460,盘货信息!$A:$A&amp;盘货信息!$B:$B&amp;盘货信息!$C:$C,盘货信息!$X:$X)="","","【"&amp;盘货信息!$X$1&amp;"】"&amp;_xlfn.XLOOKUP($A460&amp;$B460&amp;$C460,盘货信息!$A:$A&amp;盘货信息!$B:$B&amp;盘货信息!$C:$C,盘货信息!$X:$X))</f>
        <v/>
      </c>
      <c r="R460" s="27" t="str" cm="1">
        <f t="array" ref="R460">IF(_xlfn.XLOOKUP($A460&amp;$B460&amp;$C460,盘货信息!$A:$A&amp;盘货信息!$B:$B&amp;盘货信息!$C:$C,盘货信息!$Z:$Z)="","","【"&amp;盘货信息!$Z$1&amp;"】"&amp;_xlfn.XLOOKUP($A460&amp;$B460&amp;$C460,盘货信息!$A:$A&amp;盘货信息!$B:$B&amp;盘货信息!$C:$C,盘货信息!$Z:$Z))</f>
        <v/>
      </c>
      <c r="S460" s="27" t="str" cm="1">
        <f t="array" ref="S460">IF(_xlfn.XLOOKUP($A460&amp;$B460&amp;$C460,盘货信息!$A:$A&amp;盘货信息!$B:$B&amp;盘货信息!$C:$C,盘货信息!$Q:$Q)="","","【种草】站外带指定话题种草后返"&amp;_xlfn.XLOOKUP($A460&amp;$B460&amp;$C460,盘货信息!$A:$A&amp;盘货信息!$B:$B&amp;盘货信息!$C:$C,盘货信息!$Q:$Q)&amp;"元红包（每个淘宝账号仅限对应一个站外种草账号，同一个种草账号不可对应多个淘宝账号）")</f>
        <v/>
      </c>
      <c r="T460" s="27" t="str" cm="1">
        <f t="array" ref="T460">IF(_xlfn.XLOOKUP($A460&amp;$B460&amp;$C460,盘货信息!$A:$A&amp;盘货信息!$B:$B&amp;盘货信息!$C:$C,盘货信息!$R:$R)&lt;1,"","【以旧换新】"&amp;"享补贴"&amp;ROUND(_xlfn.XLOOKUP($A460&amp;$B460&amp;$C460,盘货信息!$A:$A&amp;盘货信息!$B:$B&amp;盘货信息!$C:$C,盘货信息!$R:$R),0)&amp;"元（可无旧机换新）")</f>
        <v/>
      </c>
      <c r="U460" s="27" t="str">
        <f>IF(AND($N460="",$O460="",$P460="",$Q460="",$R460="",$S460="",$T460=""),"",固定信息!$B$1)</f>
        <v/>
      </c>
      <c r="V460" s="27" t="str" cm="1">
        <f t="array" ref="V460">IF(_xlfn.XLOOKUP($A460&amp;$B460&amp;$C460,盘货信息!$A:$A&amp;盘货信息!$B:$B&amp;盘货信息!$C:$C,盘货信息!$Y:$Y)="","","【卡萨帝送赠】活动指定时间"&amp;_xlfn.TEXTBEFORE(_xlfn.TEXTAFTER(_xlfn.XLOOKUP($A460&amp;$B460&amp;$C460,盘货信息!$A:$A&amp;盘货信息!$B:$B&amp;盘货信息!$C:$C,盘货信息!$Y:$Y),"点"),"（"))</f>
        <v/>
      </c>
      <c r="W460" s="27" t="str" cm="1">
        <f t="array" ref="W460">IF(COUNTIF(_xlfn.XLOOKUP($A460&amp;$B460&amp;$C460,盘货信息!$A:$A&amp;盘货信息!$B:$B&amp;盘货信息!$C:$C,盘货信息!$O:$O),"*是*"),"【折扣】指定型号满2类享96折，满3类享94折","")</f>
        <v/>
      </c>
      <c r="X460" s="27" t="str" cm="1">
        <f t="array" ref="X460">IF(固定信息!$B$7="","",IF(_xlfn.XLOOKUP($A460&amp;$B460&amp;$C460,盘货信息!$A:$A&amp;盘货信息!$B:$B&amp;盘货信息!$C:$C,盘货信息!$N:$N)="是","【瓜分】"&amp;固定信息!$B$7,""))</f>
        <v/>
      </c>
      <c r="Y460" s="27" t="str">
        <f>IF(AND($V460="",$W460="",$X460=""),"",固定信息!$B$1)</f>
        <v/>
      </c>
      <c r="Z460" s="27" t="str" cm="1">
        <f t="array" ref="Z460">IF($C460="","",_xlfn.XLOOKUP($A460&amp;$B460&amp;$C460,服务!$A:$A&amp;服务!$B:$B&amp;服务!$C:$C,服务!$D:$D))</f>
        <v/>
      </c>
    </row>
    <row r="461" customHeight="1" spans="1:26">
      <c r="A461" s="23" t="str">
        <f>IF(盘货信息!A461="","",盘货信息!A461)</f>
        <v/>
      </c>
      <c r="B461" s="26" t="str">
        <f>IF(盘货信息!B461="","",盘货信息!B461)</f>
        <v/>
      </c>
      <c r="C461" s="23" t="str">
        <f>IF(盘货信息!C461="","",盘货信息!C461)</f>
        <v/>
      </c>
      <c r="D461" s="27" t="str">
        <f ca="1" t="shared" si="7"/>
        <v/>
      </c>
      <c r="E461" s="27" t="str">
        <f>IF(C461="","",固定信息!$B$2)</f>
        <v/>
      </c>
      <c r="F461" s="27" t="str">
        <f>IF(C461="","","【"&amp;C461&amp;"】"&amp;固定信息!$B$4)</f>
        <v/>
      </c>
      <c r="G461" s="27" t="str">
        <f>IF(C461="","","【"&amp;"活动时间："&amp;固定信息!$B$3&amp;"】")</f>
        <v/>
      </c>
      <c r="H461" s="27" t="str">
        <f>IF($C461="","",固定信息!$B$1)</f>
        <v/>
      </c>
      <c r="I461" s="27" t="str">
        <f>IF(OR(C461="",固定信息!$B$5=""),"","【1元预约锁好礼】"&amp;固定信息!$B$5)</f>
        <v/>
      </c>
      <c r="J461" s="27" t="str" cm="1">
        <f t="array" ref="J461">_xlfn.XLOOKUP($A461&amp;$B461&amp;$C461,价格信息!$A:$A&amp;价格信息!$B:$B&amp;价格信息!$C:$C,价格信息!$D:$D)</f>
        <v/>
      </c>
      <c r="K461" s="27" t="str">
        <f>IF($C461="","",固定信息!$B$1)</f>
        <v/>
      </c>
      <c r="L461" s="27" t="str" cm="1">
        <f t="array" ref="L461">IF(_xlfn.XLOOKUP($A461&amp;$B461&amp;$C461,盘货信息!$A:$A&amp;盘货信息!$B:$B&amp;盘货信息!$C:$C,盘货信息!$T:$T)="","","【优惠券】领"&amp;_xlfn.XLOOKUP($A461&amp;$B461&amp;$C461,盘货信息!$A:$A&amp;盘货信息!$B:$B&amp;盘货信息!$C:$C,盘货信息!$T:$T)&amp;"元优惠卷下单更优惠，领券链接："&amp;_xlfn.XLOOKUP($A461&amp;$B461&amp;$C461,盘货信息!$A:$A&amp;盘货信息!$B:$B&amp;盘货信息!$C:$C,盘货信息!$U:$U))</f>
        <v/>
      </c>
      <c r="M461" s="27" t="str" cm="1">
        <f t="array" ref="M461">IF(_xlfn.XLOOKUP($A461&amp;$B461&amp;$C461,盘货信息!$A:$A&amp;盘货信息!$B:$B&amp;盘货信息!$C:$C,盘货信息!$P:$P)="","","【限时】"&amp;_xlfn.XLOOKUP($A461&amp;$B461&amp;$C461,盘货信息!$A:$A&amp;盘货信息!$B:$B&amp;盘货信息!$C:$C,盘货信息!$P:$P))</f>
        <v/>
      </c>
      <c r="N461" s="27" t="str" cm="1">
        <f t="array" ref="N461">IF(_xlfn.XLOOKUP($A461&amp;$B461&amp;$C461,盘货信息!$A:$A&amp;盘货信息!$B:$B&amp;盘货信息!$C:$C,盘货信息!$V:$V)="","","【"&amp;盘货信息!$V$1&amp;"】"&amp;_xlfn.XLOOKUP($A461&amp;$B461&amp;$C461,盘货信息!$A:$A&amp;盘货信息!$B:$B&amp;盘货信息!$C:$C,盘货信息!$V:$V))</f>
        <v/>
      </c>
      <c r="O461" s="27" t="str" cm="1">
        <f t="array" ref="O461">IF(_xlfn.XLOOKUP($A461&amp;$B461&amp;$C461,盘货信息!$A:$A&amp;盘货信息!$B:$B&amp;盘货信息!$C:$C,盘货信息!$W:$W)="","","【"&amp;盘货信息!$W$1&amp;"】"&amp;_xlfn.XLOOKUP($A461&amp;$B461&amp;$C461,盘货信息!$A:$A&amp;盘货信息!$B:$B&amp;盘货信息!$C:$C,盘货信息!$W:$W))</f>
        <v/>
      </c>
      <c r="P461" s="27" t="str" cm="1">
        <f t="array" ref="P461">IF(_xlfn.XLOOKUP($A461&amp;$B461&amp;$C461,盘货信息!$A:$A&amp;盘货信息!$B:$B&amp;盘货信息!$C:$C,盘货信息!$S:$S)&lt;1,"","【"&amp;盘货信息!$S$1&amp;"】"&amp;"后返"&amp;_xlfn.XLOOKUP($A461&amp;$B461&amp;$C461,盘货信息!$A:$A&amp;盘货信息!$B:$B&amp;盘货信息!$C:$C,盘货信息!$S:$S)&amp;"元")</f>
        <v/>
      </c>
      <c r="Q461" s="27" t="str" cm="1">
        <f t="array" ref="Q461">IF(_xlfn.XLOOKUP($A461&amp;$B461&amp;$C461,盘货信息!$A:$A&amp;盘货信息!$B:$B&amp;盘货信息!$C:$C,盘货信息!$X:$X)="","","【"&amp;盘货信息!$X$1&amp;"】"&amp;_xlfn.XLOOKUP($A461&amp;$B461&amp;$C461,盘货信息!$A:$A&amp;盘货信息!$B:$B&amp;盘货信息!$C:$C,盘货信息!$X:$X))</f>
        <v/>
      </c>
      <c r="R461" s="27" t="str" cm="1">
        <f t="array" ref="R461">IF(_xlfn.XLOOKUP($A461&amp;$B461&amp;$C461,盘货信息!$A:$A&amp;盘货信息!$B:$B&amp;盘货信息!$C:$C,盘货信息!$Z:$Z)="","","【"&amp;盘货信息!$Z$1&amp;"】"&amp;_xlfn.XLOOKUP($A461&amp;$B461&amp;$C461,盘货信息!$A:$A&amp;盘货信息!$B:$B&amp;盘货信息!$C:$C,盘货信息!$Z:$Z))</f>
        <v/>
      </c>
      <c r="S461" s="27" t="str" cm="1">
        <f t="array" ref="S461">IF(_xlfn.XLOOKUP($A461&amp;$B461&amp;$C461,盘货信息!$A:$A&amp;盘货信息!$B:$B&amp;盘货信息!$C:$C,盘货信息!$Q:$Q)="","","【种草】站外带指定话题种草后返"&amp;_xlfn.XLOOKUP($A461&amp;$B461&amp;$C461,盘货信息!$A:$A&amp;盘货信息!$B:$B&amp;盘货信息!$C:$C,盘货信息!$Q:$Q)&amp;"元红包（每个淘宝账号仅限对应一个站外种草账号，同一个种草账号不可对应多个淘宝账号）")</f>
        <v/>
      </c>
      <c r="T461" s="27" t="str" cm="1">
        <f t="array" ref="T461">IF(_xlfn.XLOOKUP($A461&amp;$B461&amp;$C461,盘货信息!$A:$A&amp;盘货信息!$B:$B&amp;盘货信息!$C:$C,盘货信息!$R:$R)&lt;1,"","【以旧换新】"&amp;"享补贴"&amp;ROUND(_xlfn.XLOOKUP($A461&amp;$B461&amp;$C461,盘货信息!$A:$A&amp;盘货信息!$B:$B&amp;盘货信息!$C:$C,盘货信息!$R:$R),0)&amp;"元（可无旧机换新）")</f>
        <v/>
      </c>
      <c r="U461" s="27" t="str">
        <f>IF(AND($N461="",$O461="",$P461="",$Q461="",$R461="",$S461="",$T461=""),"",固定信息!$B$1)</f>
        <v/>
      </c>
      <c r="V461" s="27" t="str" cm="1">
        <f t="array" ref="V461">IF(_xlfn.XLOOKUP($A461&amp;$B461&amp;$C461,盘货信息!$A:$A&amp;盘货信息!$B:$B&amp;盘货信息!$C:$C,盘货信息!$Y:$Y)="","","【卡萨帝送赠】活动指定时间"&amp;_xlfn.TEXTBEFORE(_xlfn.TEXTAFTER(_xlfn.XLOOKUP($A461&amp;$B461&amp;$C461,盘货信息!$A:$A&amp;盘货信息!$B:$B&amp;盘货信息!$C:$C,盘货信息!$Y:$Y),"点"),"（"))</f>
        <v/>
      </c>
      <c r="W461" s="27" t="str" cm="1">
        <f t="array" ref="W461">IF(COUNTIF(_xlfn.XLOOKUP($A461&amp;$B461&amp;$C461,盘货信息!$A:$A&amp;盘货信息!$B:$B&amp;盘货信息!$C:$C,盘货信息!$O:$O),"*是*"),"【折扣】指定型号满2类享96折，满3类享94折","")</f>
        <v/>
      </c>
      <c r="X461" s="27" t="str" cm="1">
        <f t="array" ref="X461">IF(固定信息!$B$7="","",IF(_xlfn.XLOOKUP($A461&amp;$B461&amp;$C461,盘货信息!$A:$A&amp;盘货信息!$B:$B&amp;盘货信息!$C:$C,盘货信息!$N:$N)="是","【瓜分】"&amp;固定信息!$B$7,""))</f>
        <v/>
      </c>
      <c r="Y461" s="27" t="str">
        <f>IF(AND($V461="",$W461="",$X461=""),"",固定信息!$B$1)</f>
        <v/>
      </c>
      <c r="Z461" s="27" t="str" cm="1">
        <f t="array" ref="Z461">IF($C461="","",_xlfn.XLOOKUP($A461&amp;$B461&amp;$C461,服务!$A:$A&amp;服务!$B:$B&amp;服务!$C:$C,服务!$D:$D))</f>
        <v/>
      </c>
    </row>
    <row r="462" customHeight="1" spans="1:26">
      <c r="A462" s="23" t="str">
        <f>IF(盘货信息!A462="","",盘货信息!A462)</f>
        <v/>
      </c>
      <c r="B462" s="26" t="str">
        <f>IF(盘货信息!B462="","",盘货信息!B462)</f>
        <v/>
      </c>
      <c r="C462" s="23" t="str">
        <f>IF(盘货信息!C462="","",盘货信息!C462)</f>
        <v/>
      </c>
      <c r="D462" s="27" t="str">
        <f ca="1" t="shared" si="7"/>
        <v/>
      </c>
      <c r="E462" s="27" t="str">
        <f>IF(C462="","",固定信息!$B$2)</f>
        <v/>
      </c>
      <c r="F462" s="27" t="str">
        <f>IF(C462="","","【"&amp;C462&amp;"】"&amp;固定信息!$B$4)</f>
        <v/>
      </c>
      <c r="G462" s="27" t="str">
        <f>IF(C462="","","【"&amp;"活动时间："&amp;固定信息!$B$3&amp;"】")</f>
        <v/>
      </c>
      <c r="H462" s="27" t="str">
        <f>IF($C462="","",固定信息!$B$1)</f>
        <v/>
      </c>
      <c r="I462" s="27" t="str">
        <f>IF(OR(C462="",固定信息!$B$5=""),"","【1元预约锁好礼】"&amp;固定信息!$B$5)</f>
        <v/>
      </c>
      <c r="J462" s="27" t="str" cm="1">
        <f t="array" ref="J462">_xlfn.XLOOKUP($A462&amp;$B462&amp;$C462,价格信息!$A:$A&amp;价格信息!$B:$B&amp;价格信息!$C:$C,价格信息!$D:$D)</f>
        <v/>
      </c>
      <c r="K462" s="27" t="str">
        <f>IF($C462="","",固定信息!$B$1)</f>
        <v/>
      </c>
      <c r="L462" s="27" t="str" cm="1">
        <f t="array" ref="L462">IF(_xlfn.XLOOKUP($A462&amp;$B462&amp;$C462,盘货信息!$A:$A&amp;盘货信息!$B:$B&amp;盘货信息!$C:$C,盘货信息!$T:$T)="","","【优惠券】领"&amp;_xlfn.XLOOKUP($A462&amp;$B462&amp;$C462,盘货信息!$A:$A&amp;盘货信息!$B:$B&amp;盘货信息!$C:$C,盘货信息!$T:$T)&amp;"元优惠卷下单更优惠，领券链接："&amp;_xlfn.XLOOKUP($A462&amp;$B462&amp;$C462,盘货信息!$A:$A&amp;盘货信息!$B:$B&amp;盘货信息!$C:$C,盘货信息!$U:$U))</f>
        <v/>
      </c>
      <c r="M462" s="27" t="str" cm="1">
        <f t="array" ref="M462">IF(_xlfn.XLOOKUP($A462&amp;$B462&amp;$C462,盘货信息!$A:$A&amp;盘货信息!$B:$B&amp;盘货信息!$C:$C,盘货信息!$P:$P)="","","【限时】"&amp;_xlfn.XLOOKUP($A462&amp;$B462&amp;$C462,盘货信息!$A:$A&amp;盘货信息!$B:$B&amp;盘货信息!$C:$C,盘货信息!$P:$P))</f>
        <v/>
      </c>
      <c r="N462" s="27" t="str" cm="1">
        <f t="array" ref="N462">IF(_xlfn.XLOOKUP($A462&amp;$B462&amp;$C462,盘货信息!$A:$A&amp;盘货信息!$B:$B&amp;盘货信息!$C:$C,盘货信息!$V:$V)="","","【"&amp;盘货信息!$V$1&amp;"】"&amp;_xlfn.XLOOKUP($A462&amp;$B462&amp;$C462,盘货信息!$A:$A&amp;盘货信息!$B:$B&amp;盘货信息!$C:$C,盘货信息!$V:$V))</f>
        <v/>
      </c>
      <c r="O462" s="27" t="str" cm="1">
        <f t="array" ref="O462">IF(_xlfn.XLOOKUP($A462&amp;$B462&amp;$C462,盘货信息!$A:$A&amp;盘货信息!$B:$B&amp;盘货信息!$C:$C,盘货信息!$W:$W)="","","【"&amp;盘货信息!$W$1&amp;"】"&amp;_xlfn.XLOOKUP($A462&amp;$B462&amp;$C462,盘货信息!$A:$A&amp;盘货信息!$B:$B&amp;盘货信息!$C:$C,盘货信息!$W:$W))</f>
        <v/>
      </c>
      <c r="P462" s="27" t="str" cm="1">
        <f t="array" ref="P462">IF(_xlfn.XLOOKUP($A462&amp;$B462&amp;$C462,盘货信息!$A:$A&amp;盘货信息!$B:$B&amp;盘货信息!$C:$C,盘货信息!$S:$S)&lt;1,"","【"&amp;盘货信息!$S$1&amp;"】"&amp;"后返"&amp;_xlfn.XLOOKUP($A462&amp;$B462&amp;$C462,盘货信息!$A:$A&amp;盘货信息!$B:$B&amp;盘货信息!$C:$C,盘货信息!$S:$S)&amp;"元")</f>
        <v/>
      </c>
      <c r="Q462" s="27" t="str" cm="1">
        <f t="array" ref="Q462">IF(_xlfn.XLOOKUP($A462&amp;$B462&amp;$C462,盘货信息!$A:$A&amp;盘货信息!$B:$B&amp;盘货信息!$C:$C,盘货信息!$X:$X)="","","【"&amp;盘货信息!$X$1&amp;"】"&amp;_xlfn.XLOOKUP($A462&amp;$B462&amp;$C462,盘货信息!$A:$A&amp;盘货信息!$B:$B&amp;盘货信息!$C:$C,盘货信息!$X:$X))</f>
        <v/>
      </c>
      <c r="R462" s="27" t="str" cm="1">
        <f t="array" ref="R462">IF(_xlfn.XLOOKUP($A462&amp;$B462&amp;$C462,盘货信息!$A:$A&amp;盘货信息!$B:$B&amp;盘货信息!$C:$C,盘货信息!$Z:$Z)="","","【"&amp;盘货信息!$Z$1&amp;"】"&amp;_xlfn.XLOOKUP($A462&amp;$B462&amp;$C462,盘货信息!$A:$A&amp;盘货信息!$B:$B&amp;盘货信息!$C:$C,盘货信息!$Z:$Z))</f>
        <v/>
      </c>
      <c r="S462" s="27" t="str" cm="1">
        <f t="array" ref="S462">IF(_xlfn.XLOOKUP($A462&amp;$B462&amp;$C462,盘货信息!$A:$A&amp;盘货信息!$B:$B&amp;盘货信息!$C:$C,盘货信息!$Q:$Q)="","","【种草】站外带指定话题种草后返"&amp;_xlfn.XLOOKUP($A462&amp;$B462&amp;$C462,盘货信息!$A:$A&amp;盘货信息!$B:$B&amp;盘货信息!$C:$C,盘货信息!$Q:$Q)&amp;"元红包（每个淘宝账号仅限对应一个站外种草账号，同一个种草账号不可对应多个淘宝账号）")</f>
        <v/>
      </c>
      <c r="T462" s="27" t="str" cm="1">
        <f t="array" ref="T462">IF(_xlfn.XLOOKUP($A462&amp;$B462&amp;$C462,盘货信息!$A:$A&amp;盘货信息!$B:$B&amp;盘货信息!$C:$C,盘货信息!$R:$R)&lt;1,"","【以旧换新】"&amp;"享补贴"&amp;ROUND(_xlfn.XLOOKUP($A462&amp;$B462&amp;$C462,盘货信息!$A:$A&amp;盘货信息!$B:$B&amp;盘货信息!$C:$C,盘货信息!$R:$R),0)&amp;"元（可无旧机换新）")</f>
        <v/>
      </c>
      <c r="U462" s="27" t="str">
        <f>IF(AND($N462="",$O462="",$P462="",$Q462="",$R462="",$S462="",$T462=""),"",固定信息!$B$1)</f>
        <v/>
      </c>
      <c r="V462" s="27" t="str" cm="1">
        <f t="array" ref="V462">IF(_xlfn.XLOOKUP($A462&amp;$B462&amp;$C462,盘货信息!$A:$A&amp;盘货信息!$B:$B&amp;盘货信息!$C:$C,盘货信息!$Y:$Y)="","","【卡萨帝送赠】活动指定时间"&amp;_xlfn.TEXTBEFORE(_xlfn.TEXTAFTER(_xlfn.XLOOKUP($A462&amp;$B462&amp;$C462,盘货信息!$A:$A&amp;盘货信息!$B:$B&amp;盘货信息!$C:$C,盘货信息!$Y:$Y),"点"),"（"))</f>
        <v/>
      </c>
      <c r="W462" s="27" t="str" cm="1">
        <f t="array" ref="W462">IF(COUNTIF(_xlfn.XLOOKUP($A462&amp;$B462&amp;$C462,盘货信息!$A:$A&amp;盘货信息!$B:$B&amp;盘货信息!$C:$C,盘货信息!$O:$O),"*是*"),"【折扣】指定型号满2类享96折，满3类享94折","")</f>
        <v/>
      </c>
      <c r="X462" s="27" t="str" cm="1">
        <f t="array" ref="X462">IF(固定信息!$B$7="","",IF(_xlfn.XLOOKUP($A462&amp;$B462&amp;$C462,盘货信息!$A:$A&amp;盘货信息!$B:$B&amp;盘货信息!$C:$C,盘货信息!$N:$N)="是","【瓜分】"&amp;固定信息!$B$7,""))</f>
        <v/>
      </c>
      <c r="Y462" s="27" t="str">
        <f>IF(AND($V462="",$W462="",$X462=""),"",固定信息!$B$1)</f>
        <v/>
      </c>
      <c r="Z462" s="27" t="str" cm="1">
        <f t="array" ref="Z462">IF($C462="","",_xlfn.XLOOKUP($A462&amp;$B462&amp;$C462,服务!$A:$A&amp;服务!$B:$B&amp;服务!$C:$C,服务!$D:$D))</f>
        <v/>
      </c>
    </row>
    <row r="463" customHeight="1" spans="1:26">
      <c r="A463" s="23" t="str">
        <f>IF(盘货信息!A463="","",盘货信息!A463)</f>
        <v/>
      </c>
      <c r="B463" s="26" t="str">
        <f>IF(盘货信息!B463="","",盘货信息!B463)</f>
        <v/>
      </c>
      <c r="C463" s="23" t="str">
        <f>IF(盘货信息!C463="","",盘货信息!C463)</f>
        <v/>
      </c>
      <c r="D463" s="27" t="str">
        <f ca="1" t="shared" si="7"/>
        <v/>
      </c>
      <c r="E463" s="27" t="str">
        <f>IF(C463="","",固定信息!$B$2)</f>
        <v/>
      </c>
      <c r="F463" s="27" t="str">
        <f>IF(C463="","","【"&amp;C463&amp;"】"&amp;固定信息!$B$4)</f>
        <v/>
      </c>
      <c r="G463" s="27" t="str">
        <f>IF(C463="","","【"&amp;"活动时间："&amp;固定信息!$B$3&amp;"】")</f>
        <v/>
      </c>
      <c r="H463" s="27" t="str">
        <f>IF($C463="","",固定信息!$B$1)</f>
        <v/>
      </c>
      <c r="I463" s="27" t="str">
        <f>IF(OR(C463="",固定信息!$B$5=""),"","【1元预约锁好礼】"&amp;固定信息!$B$5)</f>
        <v/>
      </c>
      <c r="J463" s="27" t="str" cm="1">
        <f t="array" ref="J463">_xlfn.XLOOKUP($A463&amp;$B463&amp;$C463,价格信息!$A:$A&amp;价格信息!$B:$B&amp;价格信息!$C:$C,价格信息!$D:$D)</f>
        <v/>
      </c>
      <c r="K463" s="27" t="str">
        <f>IF($C463="","",固定信息!$B$1)</f>
        <v/>
      </c>
      <c r="L463" s="27" t="str" cm="1">
        <f t="array" ref="L463">IF(_xlfn.XLOOKUP($A463&amp;$B463&amp;$C463,盘货信息!$A:$A&amp;盘货信息!$B:$B&amp;盘货信息!$C:$C,盘货信息!$T:$T)="","","【优惠券】领"&amp;_xlfn.XLOOKUP($A463&amp;$B463&amp;$C463,盘货信息!$A:$A&amp;盘货信息!$B:$B&amp;盘货信息!$C:$C,盘货信息!$T:$T)&amp;"元优惠卷下单更优惠，领券链接："&amp;_xlfn.XLOOKUP($A463&amp;$B463&amp;$C463,盘货信息!$A:$A&amp;盘货信息!$B:$B&amp;盘货信息!$C:$C,盘货信息!$U:$U))</f>
        <v/>
      </c>
      <c r="M463" s="27" t="str" cm="1">
        <f t="array" ref="M463">IF(_xlfn.XLOOKUP($A463&amp;$B463&amp;$C463,盘货信息!$A:$A&amp;盘货信息!$B:$B&amp;盘货信息!$C:$C,盘货信息!$P:$P)="","","【限时】"&amp;_xlfn.XLOOKUP($A463&amp;$B463&amp;$C463,盘货信息!$A:$A&amp;盘货信息!$B:$B&amp;盘货信息!$C:$C,盘货信息!$P:$P))</f>
        <v/>
      </c>
      <c r="N463" s="27" t="str" cm="1">
        <f t="array" ref="N463">IF(_xlfn.XLOOKUP($A463&amp;$B463&amp;$C463,盘货信息!$A:$A&amp;盘货信息!$B:$B&amp;盘货信息!$C:$C,盘货信息!$V:$V)="","","【"&amp;盘货信息!$V$1&amp;"】"&amp;_xlfn.XLOOKUP($A463&amp;$B463&amp;$C463,盘货信息!$A:$A&amp;盘货信息!$B:$B&amp;盘货信息!$C:$C,盘货信息!$V:$V))</f>
        <v/>
      </c>
      <c r="O463" s="27" t="str" cm="1">
        <f t="array" ref="O463">IF(_xlfn.XLOOKUP($A463&amp;$B463&amp;$C463,盘货信息!$A:$A&amp;盘货信息!$B:$B&amp;盘货信息!$C:$C,盘货信息!$W:$W)="","","【"&amp;盘货信息!$W$1&amp;"】"&amp;_xlfn.XLOOKUP($A463&amp;$B463&amp;$C463,盘货信息!$A:$A&amp;盘货信息!$B:$B&amp;盘货信息!$C:$C,盘货信息!$W:$W))</f>
        <v/>
      </c>
      <c r="P463" s="27" t="str" cm="1">
        <f t="array" ref="P463">IF(_xlfn.XLOOKUP($A463&amp;$B463&amp;$C463,盘货信息!$A:$A&amp;盘货信息!$B:$B&amp;盘货信息!$C:$C,盘货信息!$S:$S)&lt;1,"","【"&amp;盘货信息!$S$1&amp;"】"&amp;"后返"&amp;_xlfn.XLOOKUP($A463&amp;$B463&amp;$C463,盘货信息!$A:$A&amp;盘货信息!$B:$B&amp;盘货信息!$C:$C,盘货信息!$S:$S)&amp;"元")</f>
        <v/>
      </c>
      <c r="Q463" s="27" t="str" cm="1">
        <f t="array" ref="Q463">IF(_xlfn.XLOOKUP($A463&amp;$B463&amp;$C463,盘货信息!$A:$A&amp;盘货信息!$B:$B&amp;盘货信息!$C:$C,盘货信息!$X:$X)="","","【"&amp;盘货信息!$X$1&amp;"】"&amp;_xlfn.XLOOKUP($A463&amp;$B463&amp;$C463,盘货信息!$A:$A&amp;盘货信息!$B:$B&amp;盘货信息!$C:$C,盘货信息!$X:$X))</f>
        <v/>
      </c>
      <c r="R463" s="27" t="str" cm="1">
        <f t="array" ref="R463">IF(_xlfn.XLOOKUP($A463&amp;$B463&amp;$C463,盘货信息!$A:$A&amp;盘货信息!$B:$B&amp;盘货信息!$C:$C,盘货信息!$Z:$Z)="","","【"&amp;盘货信息!$Z$1&amp;"】"&amp;_xlfn.XLOOKUP($A463&amp;$B463&amp;$C463,盘货信息!$A:$A&amp;盘货信息!$B:$B&amp;盘货信息!$C:$C,盘货信息!$Z:$Z))</f>
        <v/>
      </c>
      <c r="S463" s="27" t="str" cm="1">
        <f t="array" ref="S463">IF(_xlfn.XLOOKUP($A463&amp;$B463&amp;$C463,盘货信息!$A:$A&amp;盘货信息!$B:$B&amp;盘货信息!$C:$C,盘货信息!$Q:$Q)="","","【种草】站外带指定话题种草后返"&amp;_xlfn.XLOOKUP($A463&amp;$B463&amp;$C463,盘货信息!$A:$A&amp;盘货信息!$B:$B&amp;盘货信息!$C:$C,盘货信息!$Q:$Q)&amp;"元红包（每个淘宝账号仅限对应一个站外种草账号，同一个种草账号不可对应多个淘宝账号）")</f>
        <v/>
      </c>
      <c r="T463" s="27" t="str" cm="1">
        <f t="array" ref="T463">IF(_xlfn.XLOOKUP($A463&amp;$B463&amp;$C463,盘货信息!$A:$A&amp;盘货信息!$B:$B&amp;盘货信息!$C:$C,盘货信息!$R:$R)&lt;1,"","【以旧换新】"&amp;"享补贴"&amp;ROUND(_xlfn.XLOOKUP($A463&amp;$B463&amp;$C463,盘货信息!$A:$A&amp;盘货信息!$B:$B&amp;盘货信息!$C:$C,盘货信息!$R:$R),0)&amp;"元（可无旧机换新）")</f>
        <v/>
      </c>
      <c r="U463" s="27" t="str">
        <f>IF(AND($N463="",$O463="",$P463="",$Q463="",$R463="",$S463="",$T463=""),"",固定信息!$B$1)</f>
        <v/>
      </c>
      <c r="V463" s="27" t="str" cm="1">
        <f t="array" ref="V463">IF(_xlfn.XLOOKUP($A463&amp;$B463&amp;$C463,盘货信息!$A:$A&amp;盘货信息!$B:$B&amp;盘货信息!$C:$C,盘货信息!$Y:$Y)="","","【卡萨帝送赠】活动指定时间"&amp;_xlfn.TEXTBEFORE(_xlfn.TEXTAFTER(_xlfn.XLOOKUP($A463&amp;$B463&amp;$C463,盘货信息!$A:$A&amp;盘货信息!$B:$B&amp;盘货信息!$C:$C,盘货信息!$Y:$Y),"点"),"（"))</f>
        <v/>
      </c>
      <c r="W463" s="27" t="str" cm="1">
        <f t="array" ref="W463">IF(COUNTIF(_xlfn.XLOOKUP($A463&amp;$B463&amp;$C463,盘货信息!$A:$A&amp;盘货信息!$B:$B&amp;盘货信息!$C:$C,盘货信息!$O:$O),"*是*"),"【折扣】指定型号满2类享96折，满3类享94折","")</f>
        <v/>
      </c>
      <c r="X463" s="27" t="str" cm="1">
        <f t="array" ref="X463">IF(固定信息!$B$7="","",IF(_xlfn.XLOOKUP($A463&amp;$B463&amp;$C463,盘货信息!$A:$A&amp;盘货信息!$B:$B&amp;盘货信息!$C:$C,盘货信息!$N:$N)="是","【瓜分】"&amp;固定信息!$B$7,""))</f>
        <v/>
      </c>
      <c r="Y463" s="27" t="str">
        <f>IF(AND($V463="",$W463="",$X463=""),"",固定信息!$B$1)</f>
        <v/>
      </c>
      <c r="Z463" s="27" t="str" cm="1">
        <f t="array" ref="Z463">IF($C463="","",_xlfn.XLOOKUP($A463&amp;$B463&amp;$C463,服务!$A:$A&amp;服务!$B:$B&amp;服务!$C:$C,服务!$D:$D))</f>
        <v/>
      </c>
    </row>
    <row r="464" customHeight="1" spans="1:26">
      <c r="A464" s="23" t="str">
        <f>IF(盘货信息!A464="","",盘货信息!A464)</f>
        <v/>
      </c>
      <c r="B464" s="26" t="str">
        <f>IF(盘货信息!B464="","",盘货信息!B464)</f>
        <v/>
      </c>
      <c r="C464" s="23" t="str">
        <f>IF(盘货信息!C464="","",盘货信息!C464)</f>
        <v/>
      </c>
      <c r="D464" s="27" t="str">
        <f ca="1" t="shared" si="7"/>
        <v/>
      </c>
      <c r="E464" s="27" t="str">
        <f>IF(C464="","",固定信息!$B$2)</f>
        <v/>
      </c>
      <c r="F464" s="27" t="str">
        <f>IF(C464="","","【"&amp;C464&amp;"】"&amp;固定信息!$B$4)</f>
        <v/>
      </c>
      <c r="G464" s="27" t="str">
        <f>IF(C464="","","【"&amp;"活动时间："&amp;固定信息!$B$3&amp;"】")</f>
        <v/>
      </c>
      <c r="H464" s="27" t="str">
        <f>IF($C464="","",固定信息!$B$1)</f>
        <v/>
      </c>
      <c r="I464" s="27" t="str">
        <f>IF(OR(C464="",固定信息!$B$5=""),"","【1元预约锁好礼】"&amp;固定信息!$B$5)</f>
        <v/>
      </c>
      <c r="J464" s="27" t="str" cm="1">
        <f t="array" ref="J464">_xlfn.XLOOKUP($A464&amp;$B464&amp;$C464,价格信息!$A:$A&amp;价格信息!$B:$B&amp;价格信息!$C:$C,价格信息!$D:$D)</f>
        <v/>
      </c>
      <c r="K464" s="27" t="str">
        <f>IF($C464="","",固定信息!$B$1)</f>
        <v/>
      </c>
      <c r="L464" s="27" t="str" cm="1">
        <f t="array" ref="L464">IF(_xlfn.XLOOKUP($A464&amp;$B464&amp;$C464,盘货信息!$A:$A&amp;盘货信息!$B:$B&amp;盘货信息!$C:$C,盘货信息!$T:$T)="","","【优惠券】领"&amp;_xlfn.XLOOKUP($A464&amp;$B464&amp;$C464,盘货信息!$A:$A&amp;盘货信息!$B:$B&amp;盘货信息!$C:$C,盘货信息!$T:$T)&amp;"元优惠卷下单更优惠，领券链接："&amp;_xlfn.XLOOKUP($A464&amp;$B464&amp;$C464,盘货信息!$A:$A&amp;盘货信息!$B:$B&amp;盘货信息!$C:$C,盘货信息!$U:$U))</f>
        <v/>
      </c>
      <c r="M464" s="27" t="str" cm="1">
        <f t="array" ref="M464">IF(_xlfn.XLOOKUP($A464&amp;$B464&amp;$C464,盘货信息!$A:$A&amp;盘货信息!$B:$B&amp;盘货信息!$C:$C,盘货信息!$P:$P)="","","【限时】"&amp;_xlfn.XLOOKUP($A464&amp;$B464&amp;$C464,盘货信息!$A:$A&amp;盘货信息!$B:$B&amp;盘货信息!$C:$C,盘货信息!$P:$P))</f>
        <v/>
      </c>
      <c r="N464" s="27" t="str" cm="1">
        <f t="array" ref="N464">IF(_xlfn.XLOOKUP($A464&amp;$B464&amp;$C464,盘货信息!$A:$A&amp;盘货信息!$B:$B&amp;盘货信息!$C:$C,盘货信息!$V:$V)="","","【"&amp;盘货信息!$V$1&amp;"】"&amp;_xlfn.XLOOKUP($A464&amp;$B464&amp;$C464,盘货信息!$A:$A&amp;盘货信息!$B:$B&amp;盘货信息!$C:$C,盘货信息!$V:$V))</f>
        <v/>
      </c>
      <c r="O464" s="27" t="str" cm="1">
        <f t="array" ref="O464">IF(_xlfn.XLOOKUP($A464&amp;$B464&amp;$C464,盘货信息!$A:$A&amp;盘货信息!$B:$B&amp;盘货信息!$C:$C,盘货信息!$W:$W)="","","【"&amp;盘货信息!$W$1&amp;"】"&amp;_xlfn.XLOOKUP($A464&amp;$B464&amp;$C464,盘货信息!$A:$A&amp;盘货信息!$B:$B&amp;盘货信息!$C:$C,盘货信息!$W:$W))</f>
        <v/>
      </c>
      <c r="P464" s="27" t="str" cm="1">
        <f t="array" ref="P464">IF(_xlfn.XLOOKUP($A464&amp;$B464&amp;$C464,盘货信息!$A:$A&amp;盘货信息!$B:$B&amp;盘货信息!$C:$C,盘货信息!$S:$S)&lt;1,"","【"&amp;盘货信息!$S$1&amp;"】"&amp;"后返"&amp;_xlfn.XLOOKUP($A464&amp;$B464&amp;$C464,盘货信息!$A:$A&amp;盘货信息!$B:$B&amp;盘货信息!$C:$C,盘货信息!$S:$S)&amp;"元")</f>
        <v/>
      </c>
      <c r="Q464" s="27" t="str" cm="1">
        <f t="array" ref="Q464">IF(_xlfn.XLOOKUP($A464&amp;$B464&amp;$C464,盘货信息!$A:$A&amp;盘货信息!$B:$B&amp;盘货信息!$C:$C,盘货信息!$X:$X)="","","【"&amp;盘货信息!$X$1&amp;"】"&amp;_xlfn.XLOOKUP($A464&amp;$B464&amp;$C464,盘货信息!$A:$A&amp;盘货信息!$B:$B&amp;盘货信息!$C:$C,盘货信息!$X:$X))</f>
        <v/>
      </c>
      <c r="R464" s="27" t="str" cm="1">
        <f t="array" ref="R464">IF(_xlfn.XLOOKUP($A464&amp;$B464&amp;$C464,盘货信息!$A:$A&amp;盘货信息!$B:$B&amp;盘货信息!$C:$C,盘货信息!$Z:$Z)="","","【"&amp;盘货信息!$Z$1&amp;"】"&amp;_xlfn.XLOOKUP($A464&amp;$B464&amp;$C464,盘货信息!$A:$A&amp;盘货信息!$B:$B&amp;盘货信息!$C:$C,盘货信息!$Z:$Z))</f>
        <v/>
      </c>
      <c r="S464" s="27" t="str" cm="1">
        <f t="array" ref="S464">IF(_xlfn.XLOOKUP($A464&amp;$B464&amp;$C464,盘货信息!$A:$A&amp;盘货信息!$B:$B&amp;盘货信息!$C:$C,盘货信息!$Q:$Q)="","","【种草】站外带指定话题种草后返"&amp;_xlfn.XLOOKUP($A464&amp;$B464&amp;$C464,盘货信息!$A:$A&amp;盘货信息!$B:$B&amp;盘货信息!$C:$C,盘货信息!$Q:$Q)&amp;"元红包（每个淘宝账号仅限对应一个站外种草账号，同一个种草账号不可对应多个淘宝账号）")</f>
        <v/>
      </c>
      <c r="T464" s="27" t="str" cm="1">
        <f t="array" ref="T464">IF(_xlfn.XLOOKUP($A464&amp;$B464&amp;$C464,盘货信息!$A:$A&amp;盘货信息!$B:$B&amp;盘货信息!$C:$C,盘货信息!$R:$R)&lt;1,"","【以旧换新】"&amp;"享补贴"&amp;ROUND(_xlfn.XLOOKUP($A464&amp;$B464&amp;$C464,盘货信息!$A:$A&amp;盘货信息!$B:$B&amp;盘货信息!$C:$C,盘货信息!$R:$R),0)&amp;"元（可无旧机换新）")</f>
        <v/>
      </c>
      <c r="U464" s="27" t="str">
        <f>IF(AND($N464="",$O464="",$P464="",$Q464="",$R464="",$S464="",$T464=""),"",固定信息!$B$1)</f>
        <v/>
      </c>
      <c r="V464" s="27" t="str" cm="1">
        <f t="array" ref="V464">IF(_xlfn.XLOOKUP($A464&amp;$B464&amp;$C464,盘货信息!$A:$A&amp;盘货信息!$B:$B&amp;盘货信息!$C:$C,盘货信息!$Y:$Y)="","","【卡萨帝送赠】活动指定时间"&amp;_xlfn.TEXTBEFORE(_xlfn.TEXTAFTER(_xlfn.XLOOKUP($A464&amp;$B464&amp;$C464,盘货信息!$A:$A&amp;盘货信息!$B:$B&amp;盘货信息!$C:$C,盘货信息!$Y:$Y),"点"),"（"))</f>
        <v/>
      </c>
      <c r="W464" s="27" t="str" cm="1">
        <f t="array" ref="W464">IF(COUNTIF(_xlfn.XLOOKUP($A464&amp;$B464&amp;$C464,盘货信息!$A:$A&amp;盘货信息!$B:$B&amp;盘货信息!$C:$C,盘货信息!$O:$O),"*是*"),"【折扣】指定型号满2类享96折，满3类享94折","")</f>
        <v/>
      </c>
      <c r="X464" s="27" t="str" cm="1">
        <f t="array" ref="X464">IF(固定信息!$B$7="","",IF(_xlfn.XLOOKUP($A464&amp;$B464&amp;$C464,盘货信息!$A:$A&amp;盘货信息!$B:$B&amp;盘货信息!$C:$C,盘货信息!$N:$N)="是","【瓜分】"&amp;固定信息!$B$7,""))</f>
        <v/>
      </c>
      <c r="Y464" s="27" t="str">
        <f>IF(AND($V464="",$W464="",$X464=""),"",固定信息!$B$1)</f>
        <v/>
      </c>
      <c r="Z464" s="27" t="str" cm="1">
        <f t="array" ref="Z464">IF($C464="","",_xlfn.XLOOKUP($A464&amp;$B464&amp;$C464,服务!$A:$A&amp;服务!$B:$B&amp;服务!$C:$C,服务!$D:$D))</f>
        <v/>
      </c>
    </row>
    <row r="465" customHeight="1" spans="1:26">
      <c r="A465" s="23" t="str">
        <f>IF(盘货信息!A465="","",盘货信息!A465)</f>
        <v/>
      </c>
      <c r="B465" s="26" t="str">
        <f>IF(盘货信息!B465="","",盘货信息!B465)</f>
        <v/>
      </c>
      <c r="C465" s="23" t="str">
        <f>IF(盘货信息!C465="","",盘货信息!C465)</f>
        <v/>
      </c>
      <c r="D465" s="27" t="str">
        <f ca="1" t="shared" si="7"/>
        <v/>
      </c>
      <c r="E465" s="27" t="str">
        <f>IF(C465="","",固定信息!$B$2)</f>
        <v/>
      </c>
      <c r="F465" s="27" t="str">
        <f>IF(C465="","","【"&amp;C465&amp;"】"&amp;固定信息!$B$4)</f>
        <v/>
      </c>
      <c r="G465" s="27" t="str">
        <f>IF(C465="","","【"&amp;"活动时间："&amp;固定信息!$B$3&amp;"】")</f>
        <v/>
      </c>
      <c r="H465" s="27" t="str">
        <f>IF($C465="","",固定信息!$B$1)</f>
        <v/>
      </c>
      <c r="I465" s="27" t="str">
        <f>IF(OR(C465="",固定信息!$B$5=""),"","【1元预约锁好礼】"&amp;固定信息!$B$5)</f>
        <v/>
      </c>
      <c r="J465" s="27" t="str" cm="1">
        <f t="array" ref="J465">_xlfn.XLOOKUP($A465&amp;$B465&amp;$C465,价格信息!$A:$A&amp;价格信息!$B:$B&amp;价格信息!$C:$C,价格信息!$D:$D)</f>
        <v/>
      </c>
      <c r="K465" s="27" t="str">
        <f>IF($C465="","",固定信息!$B$1)</f>
        <v/>
      </c>
      <c r="L465" s="27" t="str" cm="1">
        <f t="array" ref="L465">IF(_xlfn.XLOOKUP($A465&amp;$B465&amp;$C465,盘货信息!$A:$A&amp;盘货信息!$B:$B&amp;盘货信息!$C:$C,盘货信息!$T:$T)="","","【优惠券】领"&amp;_xlfn.XLOOKUP($A465&amp;$B465&amp;$C465,盘货信息!$A:$A&amp;盘货信息!$B:$B&amp;盘货信息!$C:$C,盘货信息!$T:$T)&amp;"元优惠卷下单更优惠，领券链接："&amp;_xlfn.XLOOKUP($A465&amp;$B465&amp;$C465,盘货信息!$A:$A&amp;盘货信息!$B:$B&amp;盘货信息!$C:$C,盘货信息!$U:$U))</f>
        <v/>
      </c>
      <c r="M465" s="27" t="str" cm="1">
        <f t="array" ref="M465">IF(_xlfn.XLOOKUP($A465&amp;$B465&amp;$C465,盘货信息!$A:$A&amp;盘货信息!$B:$B&amp;盘货信息!$C:$C,盘货信息!$P:$P)="","","【限时】"&amp;_xlfn.XLOOKUP($A465&amp;$B465&amp;$C465,盘货信息!$A:$A&amp;盘货信息!$B:$B&amp;盘货信息!$C:$C,盘货信息!$P:$P))</f>
        <v/>
      </c>
      <c r="N465" s="27" t="str" cm="1">
        <f t="array" ref="N465">IF(_xlfn.XLOOKUP($A465&amp;$B465&amp;$C465,盘货信息!$A:$A&amp;盘货信息!$B:$B&amp;盘货信息!$C:$C,盘货信息!$V:$V)="","","【"&amp;盘货信息!$V$1&amp;"】"&amp;_xlfn.XLOOKUP($A465&amp;$B465&amp;$C465,盘货信息!$A:$A&amp;盘货信息!$B:$B&amp;盘货信息!$C:$C,盘货信息!$V:$V))</f>
        <v/>
      </c>
      <c r="O465" s="27" t="str" cm="1">
        <f t="array" ref="O465">IF(_xlfn.XLOOKUP($A465&amp;$B465&amp;$C465,盘货信息!$A:$A&amp;盘货信息!$B:$B&amp;盘货信息!$C:$C,盘货信息!$W:$W)="","","【"&amp;盘货信息!$W$1&amp;"】"&amp;_xlfn.XLOOKUP($A465&amp;$B465&amp;$C465,盘货信息!$A:$A&amp;盘货信息!$B:$B&amp;盘货信息!$C:$C,盘货信息!$W:$W))</f>
        <v/>
      </c>
      <c r="P465" s="27" t="str" cm="1">
        <f t="array" ref="P465">IF(_xlfn.XLOOKUP($A465&amp;$B465&amp;$C465,盘货信息!$A:$A&amp;盘货信息!$B:$B&amp;盘货信息!$C:$C,盘货信息!$S:$S)&lt;1,"","【"&amp;盘货信息!$S$1&amp;"】"&amp;"后返"&amp;_xlfn.XLOOKUP($A465&amp;$B465&amp;$C465,盘货信息!$A:$A&amp;盘货信息!$B:$B&amp;盘货信息!$C:$C,盘货信息!$S:$S)&amp;"元")</f>
        <v/>
      </c>
      <c r="Q465" s="27" t="str" cm="1">
        <f t="array" ref="Q465">IF(_xlfn.XLOOKUP($A465&amp;$B465&amp;$C465,盘货信息!$A:$A&amp;盘货信息!$B:$B&amp;盘货信息!$C:$C,盘货信息!$X:$X)="","","【"&amp;盘货信息!$X$1&amp;"】"&amp;_xlfn.XLOOKUP($A465&amp;$B465&amp;$C465,盘货信息!$A:$A&amp;盘货信息!$B:$B&amp;盘货信息!$C:$C,盘货信息!$X:$X))</f>
        <v/>
      </c>
      <c r="R465" s="27" t="str" cm="1">
        <f t="array" ref="R465">IF(_xlfn.XLOOKUP($A465&amp;$B465&amp;$C465,盘货信息!$A:$A&amp;盘货信息!$B:$B&amp;盘货信息!$C:$C,盘货信息!$Z:$Z)="","","【"&amp;盘货信息!$Z$1&amp;"】"&amp;_xlfn.XLOOKUP($A465&amp;$B465&amp;$C465,盘货信息!$A:$A&amp;盘货信息!$B:$B&amp;盘货信息!$C:$C,盘货信息!$Z:$Z))</f>
        <v/>
      </c>
      <c r="S465" s="27" t="str" cm="1">
        <f t="array" ref="S465">IF(_xlfn.XLOOKUP($A465&amp;$B465&amp;$C465,盘货信息!$A:$A&amp;盘货信息!$B:$B&amp;盘货信息!$C:$C,盘货信息!$Q:$Q)="","","【种草】站外带指定话题种草后返"&amp;_xlfn.XLOOKUP($A465&amp;$B465&amp;$C465,盘货信息!$A:$A&amp;盘货信息!$B:$B&amp;盘货信息!$C:$C,盘货信息!$Q:$Q)&amp;"元红包（每个淘宝账号仅限对应一个站外种草账号，同一个种草账号不可对应多个淘宝账号）")</f>
        <v/>
      </c>
      <c r="T465" s="27" t="str" cm="1">
        <f t="array" ref="T465">IF(_xlfn.XLOOKUP($A465&amp;$B465&amp;$C465,盘货信息!$A:$A&amp;盘货信息!$B:$B&amp;盘货信息!$C:$C,盘货信息!$R:$R)&lt;1,"","【以旧换新】"&amp;"享补贴"&amp;ROUND(_xlfn.XLOOKUP($A465&amp;$B465&amp;$C465,盘货信息!$A:$A&amp;盘货信息!$B:$B&amp;盘货信息!$C:$C,盘货信息!$R:$R),0)&amp;"元（可无旧机换新）")</f>
        <v/>
      </c>
      <c r="U465" s="27" t="str">
        <f>IF(AND($N465="",$O465="",$P465="",$Q465="",$R465="",$S465="",$T465=""),"",固定信息!$B$1)</f>
        <v/>
      </c>
      <c r="V465" s="27" t="str" cm="1">
        <f t="array" ref="V465">IF(_xlfn.XLOOKUP($A465&amp;$B465&amp;$C465,盘货信息!$A:$A&amp;盘货信息!$B:$B&amp;盘货信息!$C:$C,盘货信息!$Y:$Y)="","","【卡萨帝送赠】活动指定时间"&amp;_xlfn.TEXTBEFORE(_xlfn.TEXTAFTER(_xlfn.XLOOKUP($A465&amp;$B465&amp;$C465,盘货信息!$A:$A&amp;盘货信息!$B:$B&amp;盘货信息!$C:$C,盘货信息!$Y:$Y),"点"),"（"))</f>
        <v/>
      </c>
      <c r="W465" s="27" t="str" cm="1">
        <f t="array" ref="W465">IF(COUNTIF(_xlfn.XLOOKUP($A465&amp;$B465&amp;$C465,盘货信息!$A:$A&amp;盘货信息!$B:$B&amp;盘货信息!$C:$C,盘货信息!$O:$O),"*是*"),"【折扣】指定型号满2类享96折，满3类享94折","")</f>
        <v/>
      </c>
      <c r="X465" s="27" t="str" cm="1">
        <f t="array" ref="X465">IF(固定信息!$B$7="","",IF(_xlfn.XLOOKUP($A465&amp;$B465&amp;$C465,盘货信息!$A:$A&amp;盘货信息!$B:$B&amp;盘货信息!$C:$C,盘货信息!$N:$N)="是","【瓜分】"&amp;固定信息!$B$7,""))</f>
        <v/>
      </c>
      <c r="Y465" s="27" t="str">
        <f>IF(AND($V465="",$W465="",$X465=""),"",固定信息!$B$1)</f>
        <v/>
      </c>
      <c r="Z465" s="27" t="str" cm="1">
        <f t="array" ref="Z465">IF($C465="","",_xlfn.XLOOKUP($A465&amp;$B465&amp;$C465,服务!$A:$A&amp;服务!$B:$B&amp;服务!$C:$C,服务!$D:$D))</f>
        <v/>
      </c>
    </row>
    <row r="466" customHeight="1" spans="1:26">
      <c r="A466" s="23" t="str">
        <f>IF(盘货信息!A466="","",盘货信息!A466)</f>
        <v/>
      </c>
      <c r="B466" s="26" t="str">
        <f>IF(盘货信息!B466="","",盘货信息!B466)</f>
        <v/>
      </c>
      <c r="C466" s="23" t="str">
        <f>IF(盘货信息!C466="","",盘货信息!C466)</f>
        <v/>
      </c>
      <c r="D466" s="27" t="str">
        <f ca="1" t="shared" si="7"/>
        <v/>
      </c>
      <c r="E466" s="27" t="str">
        <f>IF(C466="","",固定信息!$B$2)</f>
        <v/>
      </c>
      <c r="F466" s="27" t="str">
        <f>IF(C466="","","【"&amp;C466&amp;"】"&amp;固定信息!$B$4)</f>
        <v/>
      </c>
      <c r="G466" s="27" t="str">
        <f>IF(C466="","","【"&amp;"活动时间："&amp;固定信息!$B$3&amp;"】")</f>
        <v/>
      </c>
      <c r="H466" s="27" t="str">
        <f>IF($C466="","",固定信息!$B$1)</f>
        <v/>
      </c>
      <c r="I466" s="27" t="str">
        <f>IF(OR(C466="",固定信息!$B$5=""),"","【1元预约锁好礼】"&amp;固定信息!$B$5)</f>
        <v/>
      </c>
      <c r="J466" s="27" t="str" cm="1">
        <f t="array" ref="J466">_xlfn.XLOOKUP($A466&amp;$B466&amp;$C466,价格信息!$A:$A&amp;价格信息!$B:$B&amp;价格信息!$C:$C,价格信息!$D:$D)</f>
        <v/>
      </c>
      <c r="K466" s="27" t="str">
        <f>IF($C466="","",固定信息!$B$1)</f>
        <v/>
      </c>
      <c r="L466" s="27" t="str" cm="1">
        <f t="array" ref="L466">IF(_xlfn.XLOOKUP($A466&amp;$B466&amp;$C466,盘货信息!$A:$A&amp;盘货信息!$B:$B&amp;盘货信息!$C:$C,盘货信息!$T:$T)="","","【优惠券】领"&amp;_xlfn.XLOOKUP($A466&amp;$B466&amp;$C466,盘货信息!$A:$A&amp;盘货信息!$B:$B&amp;盘货信息!$C:$C,盘货信息!$T:$T)&amp;"元优惠卷下单更优惠，领券链接："&amp;_xlfn.XLOOKUP($A466&amp;$B466&amp;$C466,盘货信息!$A:$A&amp;盘货信息!$B:$B&amp;盘货信息!$C:$C,盘货信息!$U:$U))</f>
        <v/>
      </c>
      <c r="M466" s="27" t="str" cm="1">
        <f t="array" ref="M466">IF(_xlfn.XLOOKUP($A466&amp;$B466&amp;$C466,盘货信息!$A:$A&amp;盘货信息!$B:$B&amp;盘货信息!$C:$C,盘货信息!$P:$P)="","","【限时】"&amp;_xlfn.XLOOKUP($A466&amp;$B466&amp;$C466,盘货信息!$A:$A&amp;盘货信息!$B:$B&amp;盘货信息!$C:$C,盘货信息!$P:$P))</f>
        <v/>
      </c>
      <c r="N466" s="27" t="str" cm="1">
        <f t="array" ref="N466">IF(_xlfn.XLOOKUP($A466&amp;$B466&amp;$C466,盘货信息!$A:$A&amp;盘货信息!$B:$B&amp;盘货信息!$C:$C,盘货信息!$V:$V)="","","【"&amp;盘货信息!$V$1&amp;"】"&amp;_xlfn.XLOOKUP($A466&amp;$B466&amp;$C466,盘货信息!$A:$A&amp;盘货信息!$B:$B&amp;盘货信息!$C:$C,盘货信息!$V:$V))</f>
        <v/>
      </c>
      <c r="O466" s="27" t="str" cm="1">
        <f t="array" ref="O466">IF(_xlfn.XLOOKUP($A466&amp;$B466&amp;$C466,盘货信息!$A:$A&amp;盘货信息!$B:$B&amp;盘货信息!$C:$C,盘货信息!$W:$W)="","","【"&amp;盘货信息!$W$1&amp;"】"&amp;_xlfn.XLOOKUP($A466&amp;$B466&amp;$C466,盘货信息!$A:$A&amp;盘货信息!$B:$B&amp;盘货信息!$C:$C,盘货信息!$W:$W))</f>
        <v/>
      </c>
      <c r="P466" s="27" t="str" cm="1">
        <f t="array" ref="P466">IF(_xlfn.XLOOKUP($A466&amp;$B466&amp;$C466,盘货信息!$A:$A&amp;盘货信息!$B:$B&amp;盘货信息!$C:$C,盘货信息!$S:$S)&lt;1,"","【"&amp;盘货信息!$S$1&amp;"】"&amp;"后返"&amp;_xlfn.XLOOKUP($A466&amp;$B466&amp;$C466,盘货信息!$A:$A&amp;盘货信息!$B:$B&amp;盘货信息!$C:$C,盘货信息!$S:$S)&amp;"元")</f>
        <v/>
      </c>
      <c r="Q466" s="27" t="str" cm="1">
        <f t="array" ref="Q466">IF(_xlfn.XLOOKUP($A466&amp;$B466&amp;$C466,盘货信息!$A:$A&amp;盘货信息!$B:$B&amp;盘货信息!$C:$C,盘货信息!$X:$X)="","","【"&amp;盘货信息!$X$1&amp;"】"&amp;_xlfn.XLOOKUP($A466&amp;$B466&amp;$C466,盘货信息!$A:$A&amp;盘货信息!$B:$B&amp;盘货信息!$C:$C,盘货信息!$X:$X))</f>
        <v/>
      </c>
      <c r="R466" s="27" t="str" cm="1">
        <f t="array" ref="R466">IF(_xlfn.XLOOKUP($A466&amp;$B466&amp;$C466,盘货信息!$A:$A&amp;盘货信息!$B:$B&amp;盘货信息!$C:$C,盘货信息!$Z:$Z)="","","【"&amp;盘货信息!$Z$1&amp;"】"&amp;_xlfn.XLOOKUP($A466&amp;$B466&amp;$C466,盘货信息!$A:$A&amp;盘货信息!$B:$B&amp;盘货信息!$C:$C,盘货信息!$Z:$Z))</f>
        <v/>
      </c>
      <c r="S466" s="27" t="str" cm="1">
        <f t="array" ref="S466">IF(_xlfn.XLOOKUP($A466&amp;$B466&amp;$C466,盘货信息!$A:$A&amp;盘货信息!$B:$B&amp;盘货信息!$C:$C,盘货信息!$Q:$Q)="","","【种草】站外带指定话题种草后返"&amp;_xlfn.XLOOKUP($A466&amp;$B466&amp;$C466,盘货信息!$A:$A&amp;盘货信息!$B:$B&amp;盘货信息!$C:$C,盘货信息!$Q:$Q)&amp;"元红包（每个淘宝账号仅限对应一个站外种草账号，同一个种草账号不可对应多个淘宝账号）")</f>
        <v/>
      </c>
      <c r="T466" s="27" t="str" cm="1">
        <f t="array" ref="T466">IF(_xlfn.XLOOKUP($A466&amp;$B466&amp;$C466,盘货信息!$A:$A&amp;盘货信息!$B:$B&amp;盘货信息!$C:$C,盘货信息!$R:$R)&lt;1,"","【以旧换新】"&amp;"享补贴"&amp;ROUND(_xlfn.XLOOKUP($A466&amp;$B466&amp;$C466,盘货信息!$A:$A&amp;盘货信息!$B:$B&amp;盘货信息!$C:$C,盘货信息!$R:$R),0)&amp;"元（可无旧机换新）")</f>
        <v/>
      </c>
      <c r="U466" s="27" t="str">
        <f>IF(AND($N466="",$O466="",$P466="",$Q466="",$R466="",$S466="",$T466=""),"",固定信息!$B$1)</f>
        <v/>
      </c>
      <c r="V466" s="27" t="str" cm="1">
        <f t="array" ref="V466">IF(_xlfn.XLOOKUP($A466&amp;$B466&amp;$C466,盘货信息!$A:$A&amp;盘货信息!$B:$B&amp;盘货信息!$C:$C,盘货信息!$Y:$Y)="","","【卡萨帝送赠】活动指定时间"&amp;_xlfn.TEXTBEFORE(_xlfn.TEXTAFTER(_xlfn.XLOOKUP($A466&amp;$B466&amp;$C466,盘货信息!$A:$A&amp;盘货信息!$B:$B&amp;盘货信息!$C:$C,盘货信息!$Y:$Y),"点"),"（"))</f>
        <v/>
      </c>
      <c r="W466" s="27" t="str" cm="1">
        <f t="array" ref="W466">IF(COUNTIF(_xlfn.XLOOKUP($A466&amp;$B466&amp;$C466,盘货信息!$A:$A&amp;盘货信息!$B:$B&amp;盘货信息!$C:$C,盘货信息!$O:$O),"*是*"),"【折扣】指定型号满2类享96折，满3类享94折","")</f>
        <v/>
      </c>
      <c r="X466" s="27" t="str" cm="1">
        <f t="array" ref="X466">IF(固定信息!$B$7="","",IF(_xlfn.XLOOKUP($A466&amp;$B466&amp;$C466,盘货信息!$A:$A&amp;盘货信息!$B:$B&amp;盘货信息!$C:$C,盘货信息!$N:$N)="是","【瓜分】"&amp;固定信息!$B$7,""))</f>
        <v/>
      </c>
      <c r="Y466" s="27" t="str">
        <f>IF(AND($V466="",$W466="",$X466=""),"",固定信息!$B$1)</f>
        <v/>
      </c>
      <c r="Z466" s="27" t="str" cm="1">
        <f t="array" ref="Z466">IF($C466="","",_xlfn.XLOOKUP($A466&amp;$B466&amp;$C466,服务!$A:$A&amp;服务!$B:$B&amp;服务!$C:$C,服务!$D:$D))</f>
        <v/>
      </c>
    </row>
    <row r="467" customHeight="1" spans="1:26">
      <c r="A467" s="23" t="str">
        <f>IF(盘货信息!A467="","",盘货信息!A467)</f>
        <v/>
      </c>
      <c r="B467" s="26" t="str">
        <f>IF(盘货信息!B467="","",盘货信息!B467)</f>
        <v/>
      </c>
      <c r="C467" s="23" t="str">
        <f>IF(盘货信息!C467="","",盘货信息!C467)</f>
        <v/>
      </c>
      <c r="D467" s="27" t="str">
        <f ca="1" t="shared" si="7"/>
        <v/>
      </c>
      <c r="E467" s="27" t="str">
        <f>IF(C467="","",固定信息!$B$2)</f>
        <v/>
      </c>
      <c r="F467" s="27" t="str">
        <f>IF(C467="","","【"&amp;C467&amp;"】"&amp;固定信息!$B$4)</f>
        <v/>
      </c>
      <c r="G467" s="27" t="str">
        <f>IF(C467="","","【"&amp;"活动时间："&amp;固定信息!$B$3&amp;"】")</f>
        <v/>
      </c>
      <c r="H467" s="27" t="str">
        <f>IF($C467="","",固定信息!$B$1)</f>
        <v/>
      </c>
      <c r="I467" s="27" t="str">
        <f>IF(OR(C467="",固定信息!$B$5=""),"","【1元预约锁好礼】"&amp;固定信息!$B$5)</f>
        <v/>
      </c>
      <c r="J467" s="27" t="str" cm="1">
        <f t="array" ref="J467">_xlfn.XLOOKUP($A467&amp;$B467&amp;$C467,价格信息!$A:$A&amp;价格信息!$B:$B&amp;价格信息!$C:$C,价格信息!$D:$D)</f>
        <v/>
      </c>
      <c r="K467" s="27" t="str">
        <f>IF($C467="","",固定信息!$B$1)</f>
        <v/>
      </c>
      <c r="L467" s="27" t="str" cm="1">
        <f t="array" ref="L467">IF(_xlfn.XLOOKUP($A467&amp;$B467&amp;$C467,盘货信息!$A:$A&amp;盘货信息!$B:$B&amp;盘货信息!$C:$C,盘货信息!$T:$T)="","","【优惠券】领"&amp;_xlfn.XLOOKUP($A467&amp;$B467&amp;$C467,盘货信息!$A:$A&amp;盘货信息!$B:$B&amp;盘货信息!$C:$C,盘货信息!$T:$T)&amp;"元优惠卷下单更优惠，领券链接："&amp;_xlfn.XLOOKUP($A467&amp;$B467&amp;$C467,盘货信息!$A:$A&amp;盘货信息!$B:$B&amp;盘货信息!$C:$C,盘货信息!$U:$U))</f>
        <v/>
      </c>
      <c r="M467" s="27" t="str" cm="1">
        <f t="array" ref="M467">IF(_xlfn.XLOOKUP($A467&amp;$B467&amp;$C467,盘货信息!$A:$A&amp;盘货信息!$B:$B&amp;盘货信息!$C:$C,盘货信息!$P:$P)="","","【限时】"&amp;_xlfn.XLOOKUP($A467&amp;$B467&amp;$C467,盘货信息!$A:$A&amp;盘货信息!$B:$B&amp;盘货信息!$C:$C,盘货信息!$P:$P))</f>
        <v/>
      </c>
      <c r="N467" s="27" t="str" cm="1">
        <f t="array" ref="N467">IF(_xlfn.XLOOKUP($A467&amp;$B467&amp;$C467,盘货信息!$A:$A&amp;盘货信息!$B:$B&amp;盘货信息!$C:$C,盘货信息!$V:$V)="","","【"&amp;盘货信息!$V$1&amp;"】"&amp;_xlfn.XLOOKUP($A467&amp;$B467&amp;$C467,盘货信息!$A:$A&amp;盘货信息!$B:$B&amp;盘货信息!$C:$C,盘货信息!$V:$V))</f>
        <v/>
      </c>
      <c r="O467" s="27" t="str" cm="1">
        <f t="array" ref="O467">IF(_xlfn.XLOOKUP($A467&amp;$B467&amp;$C467,盘货信息!$A:$A&amp;盘货信息!$B:$B&amp;盘货信息!$C:$C,盘货信息!$W:$W)="","","【"&amp;盘货信息!$W$1&amp;"】"&amp;_xlfn.XLOOKUP($A467&amp;$B467&amp;$C467,盘货信息!$A:$A&amp;盘货信息!$B:$B&amp;盘货信息!$C:$C,盘货信息!$W:$W))</f>
        <v/>
      </c>
      <c r="P467" s="27" t="str" cm="1">
        <f t="array" ref="P467">IF(_xlfn.XLOOKUP($A467&amp;$B467&amp;$C467,盘货信息!$A:$A&amp;盘货信息!$B:$B&amp;盘货信息!$C:$C,盘货信息!$S:$S)&lt;1,"","【"&amp;盘货信息!$S$1&amp;"】"&amp;"后返"&amp;_xlfn.XLOOKUP($A467&amp;$B467&amp;$C467,盘货信息!$A:$A&amp;盘货信息!$B:$B&amp;盘货信息!$C:$C,盘货信息!$S:$S)&amp;"元")</f>
        <v/>
      </c>
      <c r="Q467" s="27" t="str" cm="1">
        <f t="array" ref="Q467">IF(_xlfn.XLOOKUP($A467&amp;$B467&amp;$C467,盘货信息!$A:$A&amp;盘货信息!$B:$B&amp;盘货信息!$C:$C,盘货信息!$X:$X)="","","【"&amp;盘货信息!$X$1&amp;"】"&amp;_xlfn.XLOOKUP($A467&amp;$B467&amp;$C467,盘货信息!$A:$A&amp;盘货信息!$B:$B&amp;盘货信息!$C:$C,盘货信息!$X:$X))</f>
        <v/>
      </c>
      <c r="R467" s="27" t="str" cm="1">
        <f t="array" ref="R467">IF(_xlfn.XLOOKUP($A467&amp;$B467&amp;$C467,盘货信息!$A:$A&amp;盘货信息!$B:$B&amp;盘货信息!$C:$C,盘货信息!$Z:$Z)="","","【"&amp;盘货信息!$Z$1&amp;"】"&amp;_xlfn.XLOOKUP($A467&amp;$B467&amp;$C467,盘货信息!$A:$A&amp;盘货信息!$B:$B&amp;盘货信息!$C:$C,盘货信息!$Z:$Z))</f>
        <v/>
      </c>
      <c r="S467" s="27" t="str" cm="1">
        <f t="array" ref="S467">IF(_xlfn.XLOOKUP($A467&amp;$B467&amp;$C467,盘货信息!$A:$A&amp;盘货信息!$B:$B&amp;盘货信息!$C:$C,盘货信息!$Q:$Q)="","","【种草】站外带指定话题种草后返"&amp;_xlfn.XLOOKUP($A467&amp;$B467&amp;$C467,盘货信息!$A:$A&amp;盘货信息!$B:$B&amp;盘货信息!$C:$C,盘货信息!$Q:$Q)&amp;"元红包（每个淘宝账号仅限对应一个站外种草账号，同一个种草账号不可对应多个淘宝账号）")</f>
        <v/>
      </c>
      <c r="T467" s="27" t="str" cm="1">
        <f t="array" ref="T467">IF(_xlfn.XLOOKUP($A467&amp;$B467&amp;$C467,盘货信息!$A:$A&amp;盘货信息!$B:$B&amp;盘货信息!$C:$C,盘货信息!$R:$R)&lt;1,"","【以旧换新】"&amp;"享补贴"&amp;ROUND(_xlfn.XLOOKUP($A467&amp;$B467&amp;$C467,盘货信息!$A:$A&amp;盘货信息!$B:$B&amp;盘货信息!$C:$C,盘货信息!$R:$R),0)&amp;"元（可无旧机换新）")</f>
        <v/>
      </c>
      <c r="U467" s="27" t="str">
        <f>IF(AND($N467="",$O467="",$P467="",$Q467="",$R467="",$S467="",$T467=""),"",固定信息!$B$1)</f>
        <v/>
      </c>
      <c r="V467" s="27" t="str" cm="1">
        <f t="array" ref="V467">IF(_xlfn.XLOOKUP($A467&amp;$B467&amp;$C467,盘货信息!$A:$A&amp;盘货信息!$B:$B&amp;盘货信息!$C:$C,盘货信息!$Y:$Y)="","","【卡萨帝送赠】活动指定时间"&amp;_xlfn.TEXTBEFORE(_xlfn.TEXTAFTER(_xlfn.XLOOKUP($A467&amp;$B467&amp;$C467,盘货信息!$A:$A&amp;盘货信息!$B:$B&amp;盘货信息!$C:$C,盘货信息!$Y:$Y),"点"),"（"))</f>
        <v/>
      </c>
      <c r="W467" s="27" t="str" cm="1">
        <f t="array" ref="W467">IF(COUNTIF(_xlfn.XLOOKUP($A467&amp;$B467&amp;$C467,盘货信息!$A:$A&amp;盘货信息!$B:$B&amp;盘货信息!$C:$C,盘货信息!$O:$O),"*是*"),"【折扣】指定型号满2类享96折，满3类享94折","")</f>
        <v/>
      </c>
      <c r="X467" s="27" t="str" cm="1">
        <f t="array" ref="X467">IF(固定信息!$B$7="","",IF(_xlfn.XLOOKUP($A467&amp;$B467&amp;$C467,盘货信息!$A:$A&amp;盘货信息!$B:$B&amp;盘货信息!$C:$C,盘货信息!$N:$N)="是","【瓜分】"&amp;固定信息!$B$7,""))</f>
        <v/>
      </c>
      <c r="Y467" s="27" t="str">
        <f>IF(AND($V467="",$W467="",$X467=""),"",固定信息!$B$1)</f>
        <v/>
      </c>
      <c r="Z467" s="27" t="str" cm="1">
        <f t="array" ref="Z467">IF($C467="","",_xlfn.XLOOKUP($A467&amp;$B467&amp;$C467,服务!$A:$A&amp;服务!$B:$B&amp;服务!$C:$C,服务!$D:$D))</f>
        <v/>
      </c>
    </row>
    <row r="468" customHeight="1" spans="1:26">
      <c r="A468" s="23" t="str">
        <f>IF(盘货信息!A468="","",盘货信息!A468)</f>
        <v/>
      </c>
      <c r="B468" s="26" t="str">
        <f>IF(盘货信息!B468="","",盘货信息!B468)</f>
        <v/>
      </c>
      <c r="C468" s="23" t="str">
        <f>IF(盘货信息!C468="","",盘货信息!C468)</f>
        <v/>
      </c>
      <c r="D468" s="27" t="str">
        <f ca="1" t="shared" si="7"/>
        <v/>
      </c>
      <c r="E468" s="27" t="str">
        <f>IF(C468="","",固定信息!$B$2)</f>
        <v/>
      </c>
      <c r="F468" s="27" t="str">
        <f>IF(C468="","","【"&amp;C468&amp;"】"&amp;固定信息!$B$4)</f>
        <v/>
      </c>
      <c r="G468" s="27" t="str">
        <f>IF(C468="","","【"&amp;"活动时间："&amp;固定信息!$B$3&amp;"】")</f>
        <v/>
      </c>
      <c r="H468" s="27" t="str">
        <f>IF($C468="","",固定信息!$B$1)</f>
        <v/>
      </c>
      <c r="I468" s="27" t="str">
        <f>IF(OR(C468="",固定信息!$B$5=""),"","【1元预约锁好礼】"&amp;固定信息!$B$5)</f>
        <v/>
      </c>
      <c r="J468" s="27" t="str" cm="1">
        <f t="array" ref="J468">_xlfn.XLOOKUP($A468&amp;$B468&amp;$C468,价格信息!$A:$A&amp;价格信息!$B:$B&amp;价格信息!$C:$C,价格信息!$D:$D)</f>
        <v/>
      </c>
      <c r="K468" s="27" t="str">
        <f>IF($C468="","",固定信息!$B$1)</f>
        <v/>
      </c>
      <c r="L468" s="27" t="str" cm="1">
        <f t="array" ref="L468">IF(_xlfn.XLOOKUP($A468&amp;$B468&amp;$C468,盘货信息!$A:$A&amp;盘货信息!$B:$B&amp;盘货信息!$C:$C,盘货信息!$T:$T)="","","【优惠券】领"&amp;_xlfn.XLOOKUP($A468&amp;$B468&amp;$C468,盘货信息!$A:$A&amp;盘货信息!$B:$B&amp;盘货信息!$C:$C,盘货信息!$T:$T)&amp;"元优惠卷下单更优惠，领券链接："&amp;_xlfn.XLOOKUP($A468&amp;$B468&amp;$C468,盘货信息!$A:$A&amp;盘货信息!$B:$B&amp;盘货信息!$C:$C,盘货信息!$U:$U))</f>
        <v/>
      </c>
      <c r="M468" s="27" t="str" cm="1">
        <f t="array" ref="M468">IF(_xlfn.XLOOKUP($A468&amp;$B468&amp;$C468,盘货信息!$A:$A&amp;盘货信息!$B:$B&amp;盘货信息!$C:$C,盘货信息!$P:$P)="","","【限时】"&amp;_xlfn.XLOOKUP($A468&amp;$B468&amp;$C468,盘货信息!$A:$A&amp;盘货信息!$B:$B&amp;盘货信息!$C:$C,盘货信息!$P:$P))</f>
        <v/>
      </c>
      <c r="N468" s="27" t="str" cm="1">
        <f t="array" ref="N468">IF(_xlfn.XLOOKUP($A468&amp;$B468&amp;$C468,盘货信息!$A:$A&amp;盘货信息!$B:$B&amp;盘货信息!$C:$C,盘货信息!$V:$V)="","","【"&amp;盘货信息!$V$1&amp;"】"&amp;_xlfn.XLOOKUP($A468&amp;$B468&amp;$C468,盘货信息!$A:$A&amp;盘货信息!$B:$B&amp;盘货信息!$C:$C,盘货信息!$V:$V))</f>
        <v/>
      </c>
      <c r="O468" s="27" t="str" cm="1">
        <f t="array" ref="O468">IF(_xlfn.XLOOKUP($A468&amp;$B468&amp;$C468,盘货信息!$A:$A&amp;盘货信息!$B:$B&amp;盘货信息!$C:$C,盘货信息!$W:$W)="","","【"&amp;盘货信息!$W$1&amp;"】"&amp;_xlfn.XLOOKUP($A468&amp;$B468&amp;$C468,盘货信息!$A:$A&amp;盘货信息!$B:$B&amp;盘货信息!$C:$C,盘货信息!$W:$W))</f>
        <v/>
      </c>
      <c r="P468" s="27" t="str" cm="1">
        <f t="array" ref="P468">IF(_xlfn.XLOOKUP($A468&amp;$B468&amp;$C468,盘货信息!$A:$A&amp;盘货信息!$B:$B&amp;盘货信息!$C:$C,盘货信息!$S:$S)&lt;1,"","【"&amp;盘货信息!$S$1&amp;"】"&amp;"后返"&amp;_xlfn.XLOOKUP($A468&amp;$B468&amp;$C468,盘货信息!$A:$A&amp;盘货信息!$B:$B&amp;盘货信息!$C:$C,盘货信息!$S:$S)&amp;"元")</f>
        <v/>
      </c>
      <c r="Q468" s="27" t="str" cm="1">
        <f t="array" ref="Q468">IF(_xlfn.XLOOKUP($A468&amp;$B468&amp;$C468,盘货信息!$A:$A&amp;盘货信息!$B:$B&amp;盘货信息!$C:$C,盘货信息!$X:$X)="","","【"&amp;盘货信息!$X$1&amp;"】"&amp;_xlfn.XLOOKUP($A468&amp;$B468&amp;$C468,盘货信息!$A:$A&amp;盘货信息!$B:$B&amp;盘货信息!$C:$C,盘货信息!$X:$X))</f>
        <v/>
      </c>
      <c r="R468" s="27" t="str" cm="1">
        <f t="array" ref="R468">IF(_xlfn.XLOOKUP($A468&amp;$B468&amp;$C468,盘货信息!$A:$A&amp;盘货信息!$B:$B&amp;盘货信息!$C:$C,盘货信息!$Z:$Z)="","","【"&amp;盘货信息!$Z$1&amp;"】"&amp;_xlfn.XLOOKUP($A468&amp;$B468&amp;$C468,盘货信息!$A:$A&amp;盘货信息!$B:$B&amp;盘货信息!$C:$C,盘货信息!$Z:$Z))</f>
        <v/>
      </c>
      <c r="S468" s="27" t="str" cm="1">
        <f t="array" ref="S468">IF(_xlfn.XLOOKUP($A468&amp;$B468&amp;$C468,盘货信息!$A:$A&amp;盘货信息!$B:$B&amp;盘货信息!$C:$C,盘货信息!$Q:$Q)="","","【种草】站外带指定话题种草后返"&amp;_xlfn.XLOOKUP($A468&amp;$B468&amp;$C468,盘货信息!$A:$A&amp;盘货信息!$B:$B&amp;盘货信息!$C:$C,盘货信息!$Q:$Q)&amp;"元红包（每个淘宝账号仅限对应一个站外种草账号，同一个种草账号不可对应多个淘宝账号）")</f>
        <v/>
      </c>
      <c r="T468" s="27" t="str" cm="1">
        <f t="array" ref="T468">IF(_xlfn.XLOOKUP($A468&amp;$B468&amp;$C468,盘货信息!$A:$A&amp;盘货信息!$B:$B&amp;盘货信息!$C:$C,盘货信息!$R:$R)&lt;1,"","【以旧换新】"&amp;"享补贴"&amp;ROUND(_xlfn.XLOOKUP($A468&amp;$B468&amp;$C468,盘货信息!$A:$A&amp;盘货信息!$B:$B&amp;盘货信息!$C:$C,盘货信息!$R:$R),0)&amp;"元（可无旧机换新）")</f>
        <v/>
      </c>
      <c r="U468" s="27" t="str">
        <f>IF(AND($N468="",$O468="",$P468="",$Q468="",$R468="",$S468="",$T468=""),"",固定信息!$B$1)</f>
        <v/>
      </c>
      <c r="V468" s="27" t="str" cm="1">
        <f t="array" ref="V468">IF(_xlfn.XLOOKUP($A468&amp;$B468&amp;$C468,盘货信息!$A:$A&amp;盘货信息!$B:$B&amp;盘货信息!$C:$C,盘货信息!$Y:$Y)="","","【卡萨帝送赠】活动指定时间"&amp;_xlfn.TEXTBEFORE(_xlfn.TEXTAFTER(_xlfn.XLOOKUP($A468&amp;$B468&amp;$C468,盘货信息!$A:$A&amp;盘货信息!$B:$B&amp;盘货信息!$C:$C,盘货信息!$Y:$Y),"点"),"（"))</f>
        <v/>
      </c>
      <c r="W468" s="27" t="str" cm="1">
        <f t="array" ref="W468">IF(COUNTIF(_xlfn.XLOOKUP($A468&amp;$B468&amp;$C468,盘货信息!$A:$A&amp;盘货信息!$B:$B&amp;盘货信息!$C:$C,盘货信息!$O:$O),"*是*"),"【折扣】指定型号满2类享96折，满3类享94折","")</f>
        <v/>
      </c>
      <c r="X468" s="27" t="str" cm="1">
        <f t="array" ref="X468">IF(固定信息!$B$7="","",IF(_xlfn.XLOOKUP($A468&amp;$B468&amp;$C468,盘货信息!$A:$A&amp;盘货信息!$B:$B&amp;盘货信息!$C:$C,盘货信息!$N:$N)="是","【瓜分】"&amp;固定信息!$B$7,""))</f>
        <v/>
      </c>
      <c r="Y468" s="27" t="str">
        <f>IF(AND($V468="",$W468="",$X468=""),"",固定信息!$B$1)</f>
        <v/>
      </c>
      <c r="Z468" s="27" t="str" cm="1">
        <f t="array" ref="Z468">IF($C468="","",_xlfn.XLOOKUP($A468&amp;$B468&amp;$C468,服务!$A:$A&amp;服务!$B:$B&amp;服务!$C:$C,服务!$D:$D))</f>
        <v/>
      </c>
    </row>
    <row r="469" customHeight="1" spans="1:26">
      <c r="A469" s="23" t="str">
        <f>IF(盘货信息!A469="","",盘货信息!A469)</f>
        <v/>
      </c>
      <c r="B469" s="26" t="str">
        <f>IF(盘货信息!B469="","",盘货信息!B469)</f>
        <v/>
      </c>
      <c r="C469" s="23" t="str">
        <f>IF(盘货信息!C469="","",盘货信息!C469)</f>
        <v/>
      </c>
      <c r="D469" s="27" t="str">
        <f ca="1" t="shared" si="7"/>
        <v/>
      </c>
      <c r="E469" s="27" t="str">
        <f>IF(C469="","",固定信息!$B$2)</f>
        <v/>
      </c>
      <c r="F469" s="27" t="str">
        <f>IF(C469="","","【"&amp;C469&amp;"】"&amp;固定信息!$B$4)</f>
        <v/>
      </c>
      <c r="G469" s="27" t="str">
        <f>IF(C469="","","【"&amp;"活动时间："&amp;固定信息!$B$3&amp;"】")</f>
        <v/>
      </c>
      <c r="H469" s="27" t="str">
        <f>IF($C469="","",固定信息!$B$1)</f>
        <v/>
      </c>
      <c r="I469" s="27" t="str">
        <f>IF(OR(C469="",固定信息!$B$5=""),"","【1元预约锁好礼】"&amp;固定信息!$B$5)</f>
        <v/>
      </c>
      <c r="J469" s="27" t="str" cm="1">
        <f t="array" ref="J469">_xlfn.XLOOKUP($A469&amp;$B469&amp;$C469,价格信息!$A:$A&amp;价格信息!$B:$B&amp;价格信息!$C:$C,价格信息!$D:$D)</f>
        <v/>
      </c>
      <c r="K469" s="27" t="str">
        <f>IF($C469="","",固定信息!$B$1)</f>
        <v/>
      </c>
      <c r="L469" s="27" t="str" cm="1">
        <f t="array" ref="L469">IF(_xlfn.XLOOKUP($A469&amp;$B469&amp;$C469,盘货信息!$A:$A&amp;盘货信息!$B:$B&amp;盘货信息!$C:$C,盘货信息!$T:$T)="","","【优惠券】领"&amp;_xlfn.XLOOKUP($A469&amp;$B469&amp;$C469,盘货信息!$A:$A&amp;盘货信息!$B:$B&amp;盘货信息!$C:$C,盘货信息!$T:$T)&amp;"元优惠卷下单更优惠，领券链接："&amp;_xlfn.XLOOKUP($A469&amp;$B469&amp;$C469,盘货信息!$A:$A&amp;盘货信息!$B:$B&amp;盘货信息!$C:$C,盘货信息!$U:$U))</f>
        <v/>
      </c>
      <c r="M469" s="27" t="str" cm="1">
        <f t="array" ref="M469">IF(_xlfn.XLOOKUP($A469&amp;$B469&amp;$C469,盘货信息!$A:$A&amp;盘货信息!$B:$B&amp;盘货信息!$C:$C,盘货信息!$P:$P)="","","【限时】"&amp;_xlfn.XLOOKUP($A469&amp;$B469&amp;$C469,盘货信息!$A:$A&amp;盘货信息!$B:$B&amp;盘货信息!$C:$C,盘货信息!$P:$P))</f>
        <v/>
      </c>
      <c r="N469" s="27" t="str" cm="1">
        <f t="array" ref="N469">IF(_xlfn.XLOOKUP($A469&amp;$B469&amp;$C469,盘货信息!$A:$A&amp;盘货信息!$B:$B&amp;盘货信息!$C:$C,盘货信息!$V:$V)="","","【"&amp;盘货信息!$V$1&amp;"】"&amp;_xlfn.XLOOKUP($A469&amp;$B469&amp;$C469,盘货信息!$A:$A&amp;盘货信息!$B:$B&amp;盘货信息!$C:$C,盘货信息!$V:$V))</f>
        <v/>
      </c>
      <c r="O469" s="27" t="str" cm="1">
        <f t="array" ref="O469">IF(_xlfn.XLOOKUP($A469&amp;$B469&amp;$C469,盘货信息!$A:$A&amp;盘货信息!$B:$B&amp;盘货信息!$C:$C,盘货信息!$W:$W)="","","【"&amp;盘货信息!$W$1&amp;"】"&amp;_xlfn.XLOOKUP($A469&amp;$B469&amp;$C469,盘货信息!$A:$A&amp;盘货信息!$B:$B&amp;盘货信息!$C:$C,盘货信息!$W:$W))</f>
        <v/>
      </c>
      <c r="P469" s="27" t="str" cm="1">
        <f t="array" ref="P469">IF(_xlfn.XLOOKUP($A469&amp;$B469&amp;$C469,盘货信息!$A:$A&amp;盘货信息!$B:$B&amp;盘货信息!$C:$C,盘货信息!$S:$S)&lt;1,"","【"&amp;盘货信息!$S$1&amp;"】"&amp;"后返"&amp;_xlfn.XLOOKUP($A469&amp;$B469&amp;$C469,盘货信息!$A:$A&amp;盘货信息!$B:$B&amp;盘货信息!$C:$C,盘货信息!$S:$S)&amp;"元")</f>
        <v/>
      </c>
      <c r="Q469" s="27" t="str" cm="1">
        <f t="array" ref="Q469">IF(_xlfn.XLOOKUP($A469&amp;$B469&amp;$C469,盘货信息!$A:$A&amp;盘货信息!$B:$B&amp;盘货信息!$C:$C,盘货信息!$X:$X)="","","【"&amp;盘货信息!$X$1&amp;"】"&amp;_xlfn.XLOOKUP($A469&amp;$B469&amp;$C469,盘货信息!$A:$A&amp;盘货信息!$B:$B&amp;盘货信息!$C:$C,盘货信息!$X:$X))</f>
        <v/>
      </c>
      <c r="R469" s="27" t="str" cm="1">
        <f t="array" ref="R469">IF(_xlfn.XLOOKUP($A469&amp;$B469&amp;$C469,盘货信息!$A:$A&amp;盘货信息!$B:$B&amp;盘货信息!$C:$C,盘货信息!$Z:$Z)="","","【"&amp;盘货信息!$Z$1&amp;"】"&amp;_xlfn.XLOOKUP($A469&amp;$B469&amp;$C469,盘货信息!$A:$A&amp;盘货信息!$B:$B&amp;盘货信息!$C:$C,盘货信息!$Z:$Z))</f>
        <v/>
      </c>
      <c r="S469" s="27" t="str" cm="1">
        <f t="array" ref="S469">IF(_xlfn.XLOOKUP($A469&amp;$B469&amp;$C469,盘货信息!$A:$A&amp;盘货信息!$B:$B&amp;盘货信息!$C:$C,盘货信息!$Q:$Q)="","","【种草】站外带指定话题种草后返"&amp;_xlfn.XLOOKUP($A469&amp;$B469&amp;$C469,盘货信息!$A:$A&amp;盘货信息!$B:$B&amp;盘货信息!$C:$C,盘货信息!$Q:$Q)&amp;"元红包（每个淘宝账号仅限对应一个站外种草账号，同一个种草账号不可对应多个淘宝账号）")</f>
        <v/>
      </c>
      <c r="T469" s="27" t="str" cm="1">
        <f t="array" ref="T469">IF(_xlfn.XLOOKUP($A469&amp;$B469&amp;$C469,盘货信息!$A:$A&amp;盘货信息!$B:$B&amp;盘货信息!$C:$C,盘货信息!$R:$R)&lt;1,"","【以旧换新】"&amp;"享补贴"&amp;ROUND(_xlfn.XLOOKUP($A469&amp;$B469&amp;$C469,盘货信息!$A:$A&amp;盘货信息!$B:$B&amp;盘货信息!$C:$C,盘货信息!$R:$R),0)&amp;"元（可无旧机换新）")</f>
        <v/>
      </c>
      <c r="U469" s="27" t="str">
        <f>IF(AND($N469="",$O469="",$P469="",$Q469="",$R469="",$S469="",$T469=""),"",固定信息!$B$1)</f>
        <v/>
      </c>
      <c r="V469" s="27" t="str" cm="1">
        <f t="array" ref="V469">IF(_xlfn.XLOOKUP($A469&amp;$B469&amp;$C469,盘货信息!$A:$A&amp;盘货信息!$B:$B&amp;盘货信息!$C:$C,盘货信息!$Y:$Y)="","","【卡萨帝送赠】活动指定时间"&amp;_xlfn.TEXTBEFORE(_xlfn.TEXTAFTER(_xlfn.XLOOKUP($A469&amp;$B469&amp;$C469,盘货信息!$A:$A&amp;盘货信息!$B:$B&amp;盘货信息!$C:$C,盘货信息!$Y:$Y),"点"),"（"))</f>
        <v/>
      </c>
      <c r="W469" s="27" t="str" cm="1">
        <f t="array" ref="W469">IF(COUNTIF(_xlfn.XLOOKUP($A469&amp;$B469&amp;$C469,盘货信息!$A:$A&amp;盘货信息!$B:$B&amp;盘货信息!$C:$C,盘货信息!$O:$O),"*是*"),"【折扣】指定型号满2类享96折，满3类享94折","")</f>
        <v/>
      </c>
      <c r="X469" s="27" t="str" cm="1">
        <f t="array" ref="X469">IF(固定信息!$B$7="","",IF(_xlfn.XLOOKUP($A469&amp;$B469&amp;$C469,盘货信息!$A:$A&amp;盘货信息!$B:$B&amp;盘货信息!$C:$C,盘货信息!$N:$N)="是","【瓜分】"&amp;固定信息!$B$7,""))</f>
        <v/>
      </c>
      <c r="Y469" s="27" t="str">
        <f>IF(AND($V469="",$W469="",$X469=""),"",固定信息!$B$1)</f>
        <v/>
      </c>
      <c r="Z469" s="27" t="str" cm="1">
        <f t="array" ref="Z469">IF($C469="","",_xlfn.XLOOKUP($A469&amp;$B469&amp;$C469,服务!$A:$A&amp;服务!$B:$B&amp;服务!$C:$C,服务!$D:$D))</f>
        <v/>
      </c>
    </row>
    <row r="470" customHeight="1" spans="1:26">
      <c r="A470" s="23" t="str">
        <f>IF(盘货信息!A470="","",盘货信息!A470)</f>
        <v/>
      </c>
      <c r="B470" s="26" t="str">
        <f>IF(盘货信息!B470="","",盘货信息!B470)</f>
        <v/>
      </c>
      <c r="C470" s="23" t="str">
        <f>IF(盘货信息!C470="","",盘货信息!C470)</f>
        <v/>
      </c>
      <c r="D470" s="27" t="str">
        <f ca="1" t="shared" si="7"/>
        <v/>
      </c>
      <c r="E470" s="27" t="str">
        <f>IF(C470="","",固定信息!$B$2)</f>
        <v/>
      </c>
      <c r="F470" s="27" t="str">
        <f>IF(C470="","","【"&amp;C470&amp;"】"&amp;固定信息!$B$4)</f>
        <v/>
      </c>
      <c r="G470" s="27" t="str">
        <f>IF(C470="","","【"&amp;"活动时间："&amp;固定信息!$B$3&amp;"】")</f>
        <v/>
      </c>
      <c r="H470" s="27" t="str">
        <f>IF($C470="","",固定信息!$B$1)</f>
        <v/>
      </c>
      <c r="I470" s="27" t="str">
        <f>IF(OR(C470="",固定信息!$B$5=""),"","【1元预约锁好礼】"&amp;固定信息!$B$5)</f>
        <v/>
      </c>
      <c r="J470" s="27" t="str" cm="1">
        <f t="array" ref="J470">_xlfn.XLOOKUP($A470&amp;$B470&amp;$C470,价格信息!$A:$A&amp;价格信息!$B:$B&amp;价格信息!$C:$C,价格信息!$D:$D)</f>
        <v/>
      </c>
      <c r="K470" s="27" t="str">
        <f>IF($C470="","",固定信息!$B$1)</f>
        <v/>
      </c>
      <c r="L470" s="27" t="str" cm="1">
        <f t="array" ref="L470">IF(_xlfn.XLOOKUP($A470&amp;$B470&amp;$C470,盘货信息!$A:$A&amp;盘货信息!$B:$B&amp;盘货信息!$C:$C,盘货信息!$T:$T)="","","【优惠券】领"&amp;_xlfn.XLOOKUP($A470&amp;$B470&amp;$C470,盘货信息!$A:$A&amp;盘货信息!$B:$B&amp;盘货信息!$C:$C,盘货信息!$T:$T)&amp;"元优惠卷下单更优惠，领券链接："&amp;_xlfn.XLOOKUP($A470&amp;$B470&amp;$C470,盘货信息!$A:$A&amp;盘货信息!$B:$B&amp;盘货信息!$C:$C,盘货信息!$U:$U))</f>
        <v/>
      </c>
      <c r="M470" s="27" t="str" cm="1">
        <f t="array" ref="M470">IF(_xlfn.XLOOKUP($A470&amp;$B470&amp;$C470,盘货信息!$A:$A&amp;盘货信息!$B:$B&amp;盘货信息!$C:$C,盘货信息!$P:$P)="","","【限时】"&amp;_xlfn.XLOOKUP($A470&amp;$B470&amp;$C470,盘货信息!$A:$A&amp;盘货信息!$B:$B&amp;盘货信息!$C:$C,盘货信息!$P:$P))</f>
        <v/>
      </c>
      <c r="N470" s="27" t="str" cm="1">
        <f t="array" ref="N470">IF(_xlfn.XLOOKUP($A470&amp;$B470&amp;$C470,盘货信息!$A:$A&amp;盘货信息!$B:$B&amp;盘货信息!$C:$C,盘货信息!$V:$V)="","","【"&amp;盘货信息!$V$1&amp;"】"&amp;_xlfn.XLOOKUP($A470&amp;$B470&amp;$C470,盘货信息!$A:$A&amp;盘货信息!$B:$B&amp;盘货信息!$C:$C,盘货信息!$V:$V))</f>
        <v/>
      </c>
      <c r="O470" s="27" t="str" cm="1">
        <f t="array" ref="O470">IF(_xlfn.XLOOKUP($A470&amp;$B470&amp;$C470,盘货信息!$A:$A&amp;盘货信息!$B:$B&amp;盘货信息!$C:$C,盘货信息!$W:$W)="","","【"&amp;盘货信息!$W$1&amp;"】"&amp;_xlfn.XLOOKUP($A470&amp;$B470&amp;$C470,盘货信息!$A:$A&amp;盘货信息!$B:$B&amp;盘货信息!$C:$C,盘货信息!$W:$W))</f>
        <v/>
      </c>
      <c r="P470" s="27" t="str" cm="1">
        <f t="array" ref="P470">IF(_xlfn.XLOOKUP($A470&amp;$B470&amp;$C470,盘货信息!$A:$A&amp;盘货信息!$B:$B&amp;盘货信息!$C:$C,盘货信息!$S:$S)&lt;1,"","【"&amp;盘货信息!$S$1&amp;"】"&amp;"后返"&amp;_xlfn.XLOOKUP($A470&amp;$B470&amp;$C470,盘货信息!$A:$A&amp;盘货信息!$B:$B&amp;盘货信息!$C:$C,盘货信息!$S:$S)&amp;"元")</f>
        <v/>
      </c>
      <c r="Q470" s="27" t="str" cm="1">
        <f t="array" ref="Q470">IF(_xlfn.XLOOKUP($A470&amp;$B470&amp;$C470,盘货信息!$A:$A&amp;盘货信息!$B:$B&amp;盘货信息!$C:$C,盘货信息!$X:$X)="","","【"&amp;盘货信息!$X$1&amp;"】"&amp;_xlfn.XLOOKUP($A470&amp;$B470&amp;$C470,盘货信息!$A:$A&amp;盘货信息!$B:$B&amp;盘货信息!$C:$C,盘货信息!$X:$X))</f>
        <v/>
      </c>
      <c r="R470" s="27" t="str" cm="1">
        <f t="array" ref="R470">IF(_xlfn.XLOOKUP($A470&amp;$B470&amp;$C470,盘货信息!$A:$A&amp;盘货信息!$B:$B&amp;盘货信息!$C:$C,盘货信息!$Z:$Z)="","","【"&amp;盘货信息!$Z$1&amp;"】"&amp;_xlfn.XLOOKUP($A470&amp;$B470&amp;$C470,盘货信息!$A:$A&amp;盘货信息!$B:$B&amp;盘货信息!$C:$C,盘货信息!$Z:$Z))</f>
        <v/>
      </c>
      <c r="S470" s="27" t="str" cm="1">
        <f t="array" ref="S470">IF(_xlfn.XLOOKUP($A470&amp;$B470&amp;$C470,盘货信息!$A:$A&amp;盘货信息!$B:$B&amp;盘货信息!$C:$C,盘货信息!$Q:$Q)="","","【种草】站外带指定话题种草后返"&amp;_xlfn.XLOOKUP($A470&amp;$B470&amp;$C470,盘货信息!$A:$A&amp;盘货信息!$B:$B&amp;盘货信息!$C:$C,盘货信息!$Q:$Q)&amp;"元红包（每个淘宝账号仅限对应一个站外种草账号，同一个种草账号不可对应多个淘宝账号）")</f>
        <v/>
      </c>
      <c r="T470" s="27" t="str" cm="1">
        <f t="array" ref="T470">IF(_xlfn.XLOOKUP($A470&amp;$B470&amp;$C470,盘货信息!$A:$A&amp;盘货信息!$B:$B&amp;盘货信息!$C:$C,盘货信息!$R:$R)&lt;1,"","【以旧换新】"&amp;"享补贴"&amp;ROUND(_xlfn.XLOOKUP($A470&amp;$B470&amp;$C470,盘货信息!$A:$A&amp;盘货信息!$B:$B&amp;盘货信息!$C:$C,盘货信息!$R:$R),0)&amp;"元（可无旧机换新）")</f>
        <v/>
      </c>
      <c r="U470" s="27" t="str">
        <f>IF(AND($N470="",$O470="",$P470="",$Q470="",$R470="",$S470="",$T470=""),"",固定信息!$B$1)</f>
        <v/>
      </c>
      <c r="V470" s="27" t="str" cm="1">
        <f t="array" ref="V470">IF(_xlfn.XLOOKUP($A470&amp;$B470&amp;$C470,盘货信息!$A:$A&amp;盘货信息!$B:$B&amp;盘货信息!$C:$C,盘货信息!$Y:$Y)="","","【卡萨帝送赠】活动指定时间"&amp;_xlfn.TEXTBEFORE(_xlfn.TEXTAFTER(_xlfn.XLOOKUP($A470&amp;$B470&amp;$C470,盘货信息!$A:$A&amp;盘货信息!$B:$B&amp;盘货信息!$C:$C,盘货信息!$Y:$Y),"点"),"（"))</f>
        <v/>
      </c>
      <c r="W470" s="27" t="str" cm="1">
        <f t="array" ref="W470">IF(COUNTIF(_xlfn.XLOOKUP($A470&amp;$B470&amp;$C470,盘货信息!$A:$A&amp;盘货信息!$B:$B&amp;盘货信息!$C:$C,盘货信息!$O:$O),"*是*"),"【折扣】指定型号满2类享96折，满3类享94折","")</f>
        <v/>
      </c>
      <c r="X470" s="27" t="str" cm="1">
        <f t="array" ref="X470">IF(固定信息!$B$7="","",IF(_xlfn.XLOOKUP($A470&amp;$B470&amp;$C470,盘货信息!$A:$A&amp;盘货信息!$B:$B&amp;盘货信息!$C:$C,盘货信息!$N:$N)="是","【瓜分】"&amp;固定信息!$B$7,""))</f>
        <v/>
      </c>
      <c r="Y470" s="27" t="str">
        <f>IF(AND($V470="",$W470="",$X470=""),"",固定信息!$B$1)</f>
        <v/>
      </c>
      <c r="Z470" s="27" t="str" cm="1">
        <f t="array" ref="Z470">IF($C470="","",_xlfn.XLOOKUP($A470&amp;$B470&amp;$C470,服务!$A:$A&amp;服务!$B:$B&amp;服务!$C:$C,服务!$D:$D))</f>
        <v/>
      </c>
    </row>
    <row r="471" customHeight="1" spans="1:26">
      <c r="A471" s="23" t="str">
        <f>IF(盘货信息!A471="","",盘货信息!A471)</f>
        <v/>
      </c>
      <c r="B471" s="26" t="str">
        <f>IF(盘货信息!B471="","",盘货信息!B471)</f>
        <v/>
      </c>
      <c r="C471" s="23" t="str">
        <f>IF(盘货信息!C471="","",盘货信息!C471)</f>
        <v/>
      </c>
      <c r="D471" s="27" t="str">
        <f ca="1" t="shared" si="7"/>
        <v/>
      </c>
      <c r="E471" s="27" t="str">
        <f>IF(C471="","",固定信息!$B$2)</f>
        <v/>
      </c>
      <c r="F471" s="27" t="str">
        <f>IF(C471="","","【"&amp;C471&amp;"】"&amp;固定信息!$B$4)</f>
        <v/>
      </c>
      <c r="G471" s="27" t="str">
        <f>IF(C471="","","【"&amp;"活动时间："&amp;固定信息!$B$3&amp;"】")</f>
        <v/>
      </c>
      <c r="H471" s="27" t="str">
        <f>IF($C471="","",固定信息!$B$1)</f>
        <v/>
      </c>
      <c r="I471" s="27" t="str">
        <f>IF(OR(C471="",固定信息!$B$5=""),"","【1元预约锁好礼】"&amp;固定信息!$B$5)</f>
        <v/>
      </c>
      <c r="J471" s="27" t="str" cm="1">
        <f t="array" ref="J471">_xlfn.XLOOKUP($A471&amp;$B471&amp;$C471,价格信息!$A:$A&amp;价格信息!$B:$B&amp;价格信息!$C:$C,价格信息!$D:$D)</f>
        <v/>
      </c>
      <c r="K471" s="27" t="str">
        <f>IF($C471="","",固定信息!$B$1)</f>
        <v/>
      </c>
      <c r="L471" s="27" t="str" cm="1">
        <f t="array" ref="L471">IF(_xlfn.XLOOKUP($A471&amp;$B471&amp;$C471,盘货信息!$A:$A&amp;盘货信息!$B:$B&amp;盘货信息!$C:$C,盘货信息!$T:$T)="","","【优惠券】领"&amp;_xlfn.XLOOKUP($A471&amp;$B471&amp;$C471,盘货信息!$A:$A&amp;盘货信息!$B:$B&amp;盘货信息!$C:$C,盘货信息!$T:$T)&amp;"元优惠卷下单更优惠，领券链接："&amp;_xlfn.XLOOKUP($A471&amp;$B471&amp;$C471,盘货信息!$A:$A&amp;盘货信息!$B:$B&amp;盘货信息!$C:$C,盘货信息!$U:$U))</f>
        <v/>
      </c>
      <c r="M471" s="27" t="str" cm="1">
        <f t="array" ref="M471">IF(_xlfn.XLOOKUP($A471&amp;$B471&amp;$C471,盘货信息!$A:$A&amp;盘货信息!$B:$B&amp;盘货信息!$C:$C,盘货信息!$P:$P)="","","【限时】"&amp;_xlfn.XLOOKUP($A471&amp;$B471&amp;$C471,盘货信息!$A:$A&amp;盘货信息!$B:$B&amp;盘货信息!$C:$C,盘货信息!$P:$P))</f>
        <v/>
      </c>
      <c r="N471" s="27" t="str" cm="1">
        <f t="array" ref="N471">IF(_xlfn.XLOOKUP($A471&amp;$B471&amp;$C471,盘货信息!$A:$A&amp;盘货信息!$B:$B&amp;盘货信息!$C:$C,盘货信息!$V:$V)="","","【"&amp;盘货信息!$V$1&amp;"】"&amp;_xlfn.XLOOKUP($A471&amp;$B471&amp;$C471,盘货信息!$A:$A&amp;盘货信息!$B:$B&amp;盘货信息!$C:$C,盘货信息!$V:$V))</f>
        <v/>
      </c>
      <c r="O471" s="27" t="str" cm="1">
        <f t="array" ref="O471">IF(_xlfn.XLOOKUP($A471&amp;$B471&amp;$C471,盘货信息!$A:$A&amp;盘货信息!$B:$B&amp;盘货信息!$C:$C,盘货信息!$W:$W)="","","【"&amp;盘货信息!$W$1&amp;"】"&amp;_xlfn.XLOOKUP($A471&amp;$B471&amp;$C471,盘货信息!$A:$A&amp;盘货信息!$B:$B&amp;盘货信息!$C:$C,盘货信息!$W:$W))</f>
        <v/>
      </c>
      <c r="P471" s="27" t="str" cm="1">
        <f t="array" ref="P471">IF(_xlfn.XLOOKUP($A471&amp;$B471&amp;$C471,盘货信息!$A:$A&amp;盘货信息!$B:$B&amp;盘货信息!$C:$C,盘货信息!$S:$S)&lt;1,"","【"&amp;盘货信息!$S$1&amp;"】"&amp;"后返"&amp;_xlfn.XLOOKUP($A471&amp;$B471&amp;$C471,盘货信息!$A:$A&amp;盘货信息!$B:$B&amp;盘货信息!$C:$C,盘货信息!$S:$S)&amp;"元")</f>
        <v/>
      </c>
      <c r="Q471" s="27" t="str" cm="1">
        <f t="array" ref="Q471">IF(_xlfn.XLOOKUP($A471&amp;$B471&amp;$C471,盘货信息!$A:$A&amp;盘货信息!$B:$B&amp;盘货信息!$C:$C,盘货信息!$X:$X)="","","【"&amp;盘货信息!$X$1&amp;"】"&amp;_xlfn.XLOOKUP($A471&amp;$B471&amp;$C471,盘货信息!$A:$A&amp;盘货信息!$B:$B&amp;盘货信息!$C:$C,盘货信息!$X:$X))</f>
        <v/>
      </c>
      <c r="R471" s="27" t="str" cm="1">
        <f t="array" ref="R471">IF(_xlfn.XLOOKUP($A471&amp;$B471&amp;$C471,盘货信息!$A:$A&amp;盘货信息!$B:$B&amp;盘货信息!$C:$C,盘货信息!$Z:$Z)="","","【"&amp;盘货信息!$Z$1&amp;"】"&amp;_xlfn.XLOOKUP($A471&amp;$B471&amp;$C471,盘货信息!$A:$A&amp;盘货信息!$B:$B&amp;盘货信息!$C:$C,盘货信息!$Z:$Z))</f>
        <v/>
      </c>
      <c r="S471" s="27" t="str" cm="1">
        <f t="array" ref="S471">IF(_xlfn.XLOOKUP($A471&amp;$B471&amp;$C471,盘货信息!$A:$A&amp;盘货信息!$B:$B&amp;盘货信息!$C:$C,盘货信息!$Q:$Q)="","","【种草】站外带指定话题种草后返"&amp;_xlfn.XLOOKUP($A471&amp;$B471&amp;$C471,盘货信息!$A:$A&amp;盘货信息!$B:$B&amp;盘货信息!$C:$C,盘货信息!$Q:$Q)&amp;"元红包（每个淘宝账号仅限对应一个站外种草账号，同一个种草账号不可对应多个淘宝账号）")</f>
        <v/>
      </c>
      <c r="T471" s="27" t="str" cm="1">
        <f t="array" ref="T471">IF(_xlfn.XLOOKUP($A471&amp;$B471&amp;$C471,盘货信息!$A:$A&amp;盘货信息!$B:$B&amp;盘货信息!$C:$C,盘货信息!$R:$R)&lt;1,"","【以旧换新】"&amp;"享补贴"&amp;ROUND(_xlfn.XLOOKUP($A471&amp;$B471&amp;$C471,盘货信息!$A:$A&amp;盘货信息!$B:$B&amp;盘货信息!$C:$C,盘货信息!$R:$R),0)&amp;"元（可无旧机换新）")</f>
        <v/>
      </c>
      <c r="U471" s="27" t="str">
        <f>IF(AND($N471="",$O471="",$P471="",$Q471="",$R471="",$S471="",$T471=""),"",固定信息!$B$1)</f>
        <v/>
      </c>
      <c r="V471" s="27" t="str" cm="1">
        <f t="array" ref="V471">IF(_xlfn.XLOOKUP($A471&amp;$B471&amp;$C471,盘货信息!$A:$A&amp;盘货信息!$B:$B&amp;盘货信息!$C:$C,盘货信息!$Y:$Y)="","","【卡萨帝送赠】活动指定时间"&amp;_xlfn.TEXTBEFORE(_xlfn.TEXTAFTER(_xlfn.XLOOKUP($A471&amp;$B471&amp;$C471,盘货信息!$A:$A&amp;盘货信息!$B:$B&amp;盘货信息!$C:$C,盘货信息!$Y:$Y),"点"),"（"))</f>
        <v/>
      </c>
      <c r="W471" s="27" t="str" cm="1">
        <f t="array" ref="W471">IF(COUNTIF(_xlfn.XLOOKUP($A471&amp;$B471&amp;$C471,盘货信息!$A:$A&amp;盘货信息!$B:$B&amp;盘货信息!$C:$C,盘货信息!$O:$O),"*是*"),"【折扣】指定型号满2类享96折，满3类享94折","")</f>
        <v/>
      </c>
      <c r="X471" s="27" t="str" cm="1">
        <f t="array" ref="X471">IF(固定信息!$B$7="","",IF(_xlfn.XLOOKUP($A471&amp;$B471&amp;$C471,盘货信息!$A:$A&amp;盘货信息!$B:$B&amp;盘货信息!$C:$C,盘货信息!$N:$N)="是","【瓜分】"&amp;固定信息!$B$7,""))</f>
        <v/>
      </c>
      <c r="Y471" s="27" t="str">
        <f>IF(AND($V471="",$W471="",$X471=""),"",固定信息!$B$1)</f>
        <v/>
      </c>
      <c r="Z471" s="27" t="str" cm="1">
        <f t="array" ref="Z471">IF($C471="","",_xlfn.XLOOKUP($A471&amp;$B471&amp;$C471,服务!$A:$A&amp;服务!$B:$B&amp;服务!$C:$C,服务!$D:$D))</f>
        <v/>
      </c>
    </row>
    <row r="472" customHeight="1" spans="1:26">
      <c r="A472" s="23" t="str">
        <f>IF(盘货信息!A472="","",盘货信息!A472)</f>
        <v/>
      </c>
      <c r="B472" s="26" t="str">
        <f>IF(盘货信息!B472="","",盘货信息!B472)</f>
        <v/>
      </c>
      <c r="C472" s="23" t="str">
        <f>IF(盘货信息!C472="","",盘货信息!C472)</f>
        <v/>
      </c>
      <c r="D472" s="27" t="str">
        <f ca="1" t="shared" si="7"/>
        <v/>
      </c>
      <c r="E472" s="27" t="str">
        <f>IF(C472="","",固定信息!$B$2)</f>
        <v/>
      </c>
      <c r="F472" s="27" t="str">
        <f>IF(C472="","","【"&amp;C472&amp;"】"&amp;固定信息!$B$4)</f>
        <v/>
      </c>
      <c r="G472" s="27" t="str">
        <f>IF(C472="","","【"&amp;"活动时间："&amp;固定信息!$B$3&amp;"】")</f>
        <v/>
      </c>
      <c r="H472" s="27" t="str">
        <f>IF($C472="","",固定信息!$B$1)</f>
        <v/>
      </c>
      <c r="I472" s="27" t="str">
        <f>IF(OR(C472="",固定信息!$B$5=""),"","【1元预约锁好礼】"&amp;固定信息!$B$5)</f>
        <v/>
      </c>
      <c r="J472" s="27" t="str" cm="1">
        <f t="array" ref="J472">_xlfn.XLOOKUP($A472&amp;$B472&amp;$C472,价格信息!$A:$A&amp;价格信息!$B:$B&amp;价格信息!$C:$C,价格信息!$D:$D)</f>
        <v/>
      </c>
      <c r="K472" s="27" t="str">
        <f>IF($C472="","",固定信息!$B$1)</f>
        <v/>
      </c>
      <c r="L472" s="27" t="str" cm="1">
        <f t="array" ref="L472">IF(_xlfn.XLOOKUP($A472&amp;$B472&amp;$C472,盘货信息!$A:$A&amp;盘货信息!$B:$B&amp;盘货信息!$C:$C,盘货信息!$T:$T)="","","【优惠券】领"&amp;_xlfn.XLOOKUP($A472&amp;$B472&amp;$C472,盘货信息!$A:$A&amp;盘货信息!$B:$B&amp;盘货信息!$C:$C,盘货信息!$T:$T)&amp;"元优惠卷下单更优惠，领券链接："&amp;_xlfn.XLOOKUP($A472&amp;$B472&amp;$C472,盘货信息!$A:$A&amp;盘货信息!$B:$B&amp;盘货信息!$C:$C,盘货信息!$U:$U))</f>
        <v/>
      </c>
      <c r="M472" s="27" t="str" cm="1">
        <f t="array" ref="M472">IF(_xlfn.XLOOKUP($A472&amp;$B472&amp;$C472,盘货信息!$A:$A&amp;盘货信息!$B:$B&amp;盘货信息!$C:$C,盘货信息!$P:$P)="","","【限时】"&amp;_xlfn.XLOOKUP($A472&amp;$B472&amp;$C472,盘货信息!$A:$A&amp;盘货信息!$B:$B&amp;盘货信息!$C:$C,盘货信息!$P:$P))</f>
        <v/>
      </c>
      <c r="N472" s="27" t="str" cm="1">
        <f t="array" ref="N472">IF(_xlfn.XLOOKUP($A472&amp;$B472&amp;$C472,盘货信息!$A:$A&amp;盘货信息!$B:$B&amp;盘货信息!$C:$C,盘货信息!$V:$V)="","","【"&amp;盘货信息!$V$1&amp;"】"&amp;_xlfn.XLOOKUP($A472&amp;$B472&amp;$C472,盘货信息!$A:$A&amp;盘货信息!$B:$B&amp;盘货信息!$C:$C,盘货信息!$V:$V))</f>
        <v/>
      </c>
      <c r="O472" s="27" t="str" cm="1">
        <f t="array" ref="O472">IF(_xlfn.XLOOKUP($A472&amp;$B472&amp;$C472,盘货信息!$A:$A&amp;盘货信息!$B:$B&amp;盘货信息!$C:$C,盘货信息!$W:$W)="","","【"&amp;盘货信息!$W$1&amp;"】"&amp;_xlfn.XLOOKUP($A472&amp;$B472&amp;$C472,盘货信息!$A:$A&amp;盘货信息!$B:$B&amp;盘货信息!$C:$C,盘货信息!$W:$W))</f>
        <v/>
      </c>
      <c r="P472" s="27" t="str" cm="1">
        <f t="array" ref="P472">IF(_xlfn.XLOOKUP($A472&amp;$B472&amp;$C472,盘货信息!$A:$A&amp;盘货信息!$B:$B&amp;盘货信息!$C:$C,盘货信息!$S:$S)&lt;1,"","【"&amp;盘货信息!$S$1&amp;"】"&amp;"后返"&amp;_xlfn.XLOOKUP($A472&amp;$B472&amp;$C472,盘货信息!$A:$A&amp;盘货信息!$B:$B&amp;盘货信息!$C:$C,盘货信息!$S:$S)&amp;"元")</f>
        <v/>
      </c>
      <c r="Q472" s="27" t="str" cm="1">
        <f t="array" ref="Q472">IF(_xlfn.XLOOKUP($A472&amp;$B472&amp;$C472,盘货信息!$A:$A&amp;盘货信息!$B:$B&amp;盘货信息!$C:$C,盘货信息!$X:$X)="","","【"&amp;盘货信息!$X$1&amp;"】"&amp;_xlfn.XLOOKUP($A472&amp;$B472&amp;$C472,盘货信息!$A:$A&amp;盘货信息!$B:$B&amp;盘货信息!$C:$C,盘货信息!$X:$X))</f>
        <v/>
      </c>
      <c r="R472" s="27" t="str" cm="1">
        <f t="array" ref="R472">IF(_xlfn.XLOOKUP($A472&amp;$B472&amp;$C472,盘货信息!$A:$A&amp;盘货信息!$B:$B&amp;盘货信息!$C:$C,盘货信息!$Z:$Z)="","","【"&amp;盘货信息!$Z$1&amp;"】"&amp;_xlfn.XLOOKUP($A472&amp;$B472&amp;$C472,盘货信息!$A:$A&amp;盘货信息!$B:$B&amp;盘货信息!$C:$C,盘货信息!$Z:$Z))</f>
        <v/>
      </c>
      <c r="S472" s="27" t="str" cm="1">
        <f t="array" ref="S472">IF(_xlfn.XLOOKUP($A472&amp;$B472&amp;$C472,盘货信息!$A:$A&amp;盘货信息!$B:$B&amp;盘货信息!$C:$C,盘货信息!$Q:$Q)="","","【种草】站外带指定话题种草后返"&amp;_xlfn.XLOOKUP($A472&amp;$B472&amp;$C472,盘货信息!$A:$A&amp;盘货信息!$B:$B&amp;盘货信息!$C:$C,盘货信息!$Q:$Q)&amp;"元红包（每个淘宝账号仅限对应一个站外种草账号，同一个种草账号不可对应多个淘宝账号）")</f>
        <v/>
      </c>
      <c r="T472" s="27" t="str" cm="1">
        <f t="array" ref="T472">IF(_xlfn.XLOOKUP($A472&amp;$B472&amp;$C472,盘货信息!$A:$A&amp;盘货信息!$B:$B&amp;盘货信息!$C:$C,盘货信息!$R:$R)&lt;1,"","【以旧换新】"&amp;"享补贴"&amp;ROUND(_xlfn.XLOOKUP($A472&amp;$B472&amp;$C472,盘货信息!$A:$A&amp;盘货信息!$B:$B&amp;盘货信息!$C:$C,盘货信息!$R:$R),0)&amp;"元（可无旧机换新）")</f>
        <v/>
      </c>
      <c r="U472" s="27" t="str">
        <f>IF(AND($N472="",$O472="",$P472="",$Q472="",$R472="",$S472="",$T472=""),"",固定信息!$B$1)</f>
        <v/>
      </c>
      <c r="V472" s="27" t="str" cm="1">
        <f t="array" ref="V472">IF(_xlfn.XLOOKUP($A472&amp;$B472&amp;$C472,盘货信息!$A:$A&amp;盘货信息!$B:$B&amp;盘货信息!$C:$C,盘货信息!$Y:$Y)="","","【卡萨帝送赠】活动指定时间"&amp;_xlfn.TEXTBEFORE(_xlfn.TEXTAFTER(_xlfn.XLOOKUP($A472&amp;$B472&amp;$C472,盘货信息!$A:$A&amp;盘货信息!$B:$B&amp;盘货信息!$C:$C,盘货信息!$Y:$Y),"点"),"（"))</f>
        <v/>
      </c>
      <c r="W472" s="27" t="str" cm="1">
        <f t="array" ref="W472">IF(COUNTIF(_xlfn.XLOOKUP($A472&amp;$B472&amp;$C472,盘货信息!$A:$A&amp;盘货信息!$B:$B&amp;盘货信息!$C:$C,盘货信息!$O:$O),"*是*"),"【折扣】指定型号满2类享96折，满3类享94折","")</f>
        <v/>
      </c>
      <c r="X472" s="27" t="str" cm="1">
        <f t="array" ref="X472">IF(固定信息!$B$7="","",IF(_xlfn.XLOOKUP($A472&amp;$B472&amp;$C472,盘货信息!$A:$A&amp;盘货信息!$B:$B&amp;盘货信息!$C:$C,盘货信息!$N:$N)="是","【瓜分】"&amp;固定信息!$B$7,""))</f>
        <v/>
      </c>
      <c r="Y472" s="27" t="str">
        <f>IF(AND($V472="",$W472="",$X472=""),"",固定信息!$B$1)</f>
        <v/>
      </c>
      <c r="Z472" s="27" t="str" cm="1">
        <f t="array" ref="Z472">IF($C472="","",_xlfn.XLOOKUP($A472&amp;$B472&amp;$C472,服务!$A:$A&amp;服务!$B:$B&amp;服务!$C:$C,服务!$D:$D))</f>
        <v/>
      </c>
    </row>
    <row r="473" customHeight="1" spans="1:26">
      <c r="A473" s="23" t="str">
        <f>IF(盘货信息!A473="","",盘货信息!A473)</f>
        <v/>
      </c>
      <c r="B473" s="26" t="str">
        <f>IF(盘货信息!B473="","",盘货信息!B473)</f>
        <v/>
      </c>
      <c r="C473" s="23" t="str">
        <f>IF(盘货信息!C473="","",盘货信息!C473)</f>
        <v/>
      </c>
      <c r="D473" s="27" t="str">
        <f ca="1" t="shared" si="7"/>
        <v/>
      </c>
      <c r="E473" s="27" t="str">
        <f>IF(C473="","",固定信息!$B$2)</f>
        <v/>
      </c>
      <c r="F473" s="27" t="str">
        <f>IF(C473="","","【"&amp;C473&amp;"】"&amp;固定信息!$B$4)</f>
        <v/>
      </c>
      <c r="G473" s="27" t="str">
        <f>IF(C473="","","【"&amp;"活动时间："&amp;固定信息!$B$3&amp;"】")</f>
        <v/>
      </c>
      <c r="H473" s="27" t="str">
        <f>IF($C473="","",固定信息!$B$1)</f>
        <v/>
      </c>
      <c r="I473" s="27" t="str">
        <f>IF(OR(C473="",固定信息!$B$5=""),"","【1元预约锁好礼】"&amp;固定信息!$B$5)</f>
        <v/>
      </c>
      <c r="J473" s="27" t="str" cm="1">
        <f t="array" ref="J473">_xlfn.XLOOKUP($A473&amp;$B473&amp;$C473,价格信息!$A:$A&amp;价格信息!$B:$B&amp;价格信息!$C:$C,价格信息!$D:$D)</f>
        <v/>
      </c>
      <c r="K473" s="27" t="str">
        <f>IF($C473="","",固定信息!$B$1)</f>
        <v/>
      </c>
      <c r="L473" s="27" t="str" cm="1">
        <f t="array" ref="L473">IF(_xlfn.XLOOKUP($A473&amp;$B473&amp;$C473,盘货信息!$A:$A&amp;盘货信息!$B:$B&amp;盘货信息!$C:$C,盘货信息!$T:$T)="","","【优惠券】领"&amp;_xlfn.XLOOKUP($A473&amp;$B473&amp;$C473,盘货信息!$A:$A&amp;盘货信息!$B:$B&amp;盘货信息!$C:$C,盘货信息!$T:$T)&amp;"元优惠卷下单更优惠，领券链接："&amp;_xlfn.XLOOKUP($A473&amp;$B473&amp;$C473,盘货信息!$A:$A&amp;盘货信息!$B:$B&amp;盘货信息!$C:$C,盘货信息!$U:$U))</f>
        <v/>
      </c>
      <c r="M473" s="27" t="str" cm="1">
        <f t="array" ref="M473">IF(_xlfn.XLOOKUP($A473&amp;$B473&amp;$C473,盘货信息!$A:$A&amp;盘货信息!$B:$B&amp;盘货信息!$C:$C,盘货信息!$P:$P)="","","【限时】"&amp;_xlfn.XLOOKUP($A473&amp;$B473&amp;$C473,盘货信息!$A:$A&amp;盘货信息!$B:$B&amp;盘货信息!$C:$C,盘货信息!$P:$P))</f>
        <v/>
      </c>
      <c r="N473" s="27" t="str" cm="1">
        <f t="array" ref="N473">IF(_xlfn.XLOOKUP($A473&amp;$B473&amp;$C473,盘货信息!$A:$A&amp;盘货信息!$B:$B&amp;盘货信息!$C:$C,盘货信息!$V:$V)="","","【"&amp;盘货信息!$V$1&amp;"】"&amp;_xlfn.XLOOKUP($A473&amp;$B473&amp;$C473,盘货信息!$A:$A&amp;盘货信息!$B:$B&amp;盘货信息!$C:$C,盘货信息!$V:$V))</f>
        <v/>
      </c>
      <c r="O473" s="27" t="str" cm="1">
        <f t="array" ref="O473">IF(_xlfn.XLOOKUP($A473&amp;$B473&amp;$C473,盘货信息!$A:$A&amp;盘货信息!$B:$B&amp;盘货信息!$C:$C,盘货信息!$W:$W)="","","【"&amp;盘货信息!$W$1&amp;"】"&amp;_xlfn.XLOOKUP($A473&amp;$B473&amp;$C473,盘货信息!$A:$A&amp;盘货信息!$B:$B&amp;盘货信息!$C:$C,盘货信息!$W:$W))</f>
        <v/>
      </c>
      <c r="P473" s="27" t="str" cm="1">
        <f t="array" ref="P473">IF(_xlfn.XLOOKUP($A473&amp;$B473&amp;$C473,盘货信息!$A:$A&amp;盘货信息!$B:$B&amp;盘货信息!$C:$C,盘货信息!$S:$S)&lt;1,"","【"&amp;盘货信息!$S$1&amp;"】"&amp;"后返"&amp;_xlfn.XLOOKUP($A473&amp;$B473&amp;$C473,盘货信息!$A:$A&amp;盘货信息!$B:$B&amp;盘货信息!$C:$C,盘货信息!$S:$S)&amp;"元")</f>
        <v/>
      </c>
      <c r="Q473" s="27" t="str" cm="1">
        <f t="array" ref="Q473">IF(_xlfn.XLOOKUP($A473&amp;$B473&amp;$C473,盘货信息!$A:$A&amp;盘货信息!$B:$B&amp;盘货信息!$C:$C,盘货信息!$X:$X)="","","【"&amp;盘货信息!$X$1&amp;"】"&amp;_xlfn.XLOOKUP($A473&amp;$B473&amp;$C473,盘货信息!$A:$A&amp;盘货信息!$B:$B&amp;盘货信息!$C:$C,盘货信息!$X:$X))</f>
        <v/>
      </c>
      <c r="R473" s="27" t="str" cm="1">
        <f t="array" ref="R473">IF(_xlfn.XLOOKUP($A473&amp;$B473&amp;$C473,盘货信息!$A:$A&amp;盘货信息!$B:$B&amp;盘货信息!$C:$C,盘货信息!$Z:$Z)="","","【"&amp;盘货信息!$Z$1&amp;"】"&amp;_xlfn.XLOOKUP($A473&amp;$B473&amp;$C473,盘货信息!$A:$A&amp;盘货信息!$B:$B&amp;盘货信息!$C:$C,盘货信息!$Z:$Z))</f>
        <v/>
      </c>
      <c r="S473" s="27" t="str" cm="1">
        <f t="array" ref="S473">IF(_xlfn.XLOOKUP($A473&amp;$B473&amp;$C473,盘货信息!$A:$A&amp;盘货信息!$B:$B&amp;盘货信息!$C:$C,盘货信息!$Q:$Q)="","","【种草】站外带指定话题种草后返"&amp;_xlfn.XLOOKUP($A473&amp;$B473&amp;$C473,盘货信息!$A:$A&amp;盘货信息!$B:$B&amp;盘货信息!$C:$C,盘货信息!$Q:$Q)&amp;"元红包（每个淘宝账号仅限对应一个站外种草账号，同一个种草账号不可对应多个淘宝账号）")</f>
        <v/>
      </c>
      <c r="T473" s="27" t="str" cm="1">
        <f t="array" ref="T473">IF(_xlfn.XLOOKUP($A473&amp;$B473&amp;$C473,盘货信息!$A:$A&amp;盘货信息!$B:$B&amp;盘货信息!$C:$C,盘货信息!$R:$R)&lt;1,"","【以旧换新】"&amp;"享补贴"&amp;ROUND(_xlfn.XLOOKUP($A473&amp;$B473&amp;$C473,盘货信息!$A:$A&amp;盘货信息!$B:$B&amp;盘货信息!$C:$C,盘货信息!$R:$R),0)&amp;"元（可无旧机换新）")</f>
        <v/>
      </c>
      <c r="U473" s="27" t="str">
        <f>IF(AND($N473="",$O473="",$P473="",$Q473="",$R473="",$S473="",$T473=""),"",固定信息!$B$1)</f>
        <v/>
      </c>
      <c r="V473" s="27" t="str" cm="1">
        <f t="array" ref="V473">IF(_xlfn.XLOOKUP($A473&amp;$B473&amp;$C473,盘货信息!$A:$A&amp;盘货信息!$B:$B&amp;盘货信息!$C:$C,盘货信息!$Y:$Y)="","","【卡萨帝送赠】活动指定时间"&amp;_xlfn.TEXTBEFORE(_xlfn.TEXTAFTER(_xlfn.XLOOKUP($A473&amp;$B473&amp;$C473,盘货信息!$A:$A&amp;盘货信息!$B:$B&amp;盘货信息!$C:$C,盘货信息!$Y:$Y),"点"),"（"))</f>
        <v/>
      </c>
      <c r="W473" s="27" t="str" cm="1">
        <f t="array" ref="W473">IF(COUNTIF(_xlfn.XLOOKUP($A473&amp;$B473&amp;$C473,盘货信息!$A:$A&amp;盘货信息!$B:$B&amp;盘货信息!$C:$C,盘货信息!$O:$O),"*是*"),"【折扣】指定型号满2类享96折，满3类享94折","")</f>
        <v/>
      </c>
      <c r="X473" s="27" t="str" cm="1">
        <f t="array" ref="X473">IF(固定信息!$B$7="","",IF(_xlfn.XLOOKUP($A473&amp;$B473&amp;$C473,盘货信息!$A:$A&amp;盘货信息!$B:$B&amp;盘货信息!$C:$C,盘货信息!$N:$N)="是","【瓜分】"&amp;固定信息!$B$7,""))</f>
        <v/>
      </c>
      <c r="Y473" s="27" t="str">
        <f>IF(AND($V473="",$W473="",$X473=""),"",固定信息!$B$1)</f>
        <v/>
      </c>
      <c r="Z473" s="27" t="str" cm="1">
        <f t="array" ref="Z473">IF($C473="","",_xlfn.XLOOKUP($A473&amp;$B473&amp;$C473,服务!$A:$A&amp;服务!$B:$B&amp;服务!$C:$C,服务!$D:$D))</f>
        <v/>
      </c>
    </row>
    <row r="474" customHeight="1" spans="1:26">
      <c r="A474" s="23" t="str">
        <f>IF(盘货信息!A474="","",盘货信息!A474)</f>
        <v/>
      </c>
      <c r="B474" s="26" t="str">
        <f>IF(盘货信息!B474="","",盘货信息!B474)</f>
        <v/>
      </c>
      <c r="C474" s="23" t="str">
        <f>IF(盘货信息!C474="","",盘货信息!C474)</f>
        <v/>
      </c>
      <c r="D474" s="27" t="str">
        <f ca="1" t="shared" si="7"/>
        <v/>
      </c>
      <c r="E474" s="27" t="str">
        <f>IF(C474="","",固定信息!$B$2)</f>
        <v/>
      </c>
      <c r="F474" s="27" t="str">
        <f>IF(C474="","","【"&amp;C474&amp;"】"&amp;固定信息!$B$4)</f>
        <v/>
      </c>
      <c r="G474" s="27" t="str">
        <f>IF(C474="","","【"&amp;"活动时间："&amp;固定信息!$B$3&amp;"】")</f>
        <v/>
      </c>
      <c r="H474" s="27" t="str">
        <f>IF($C474="","",固定信息!$B$1)</f>
        <v/>
      </c>
      <c r="I474" s="27" t="str">
        <f>IF(OR(C474="",固定信息!$B$5=""),"","【1元预约锁好礼】"&amp;固定信息!$B$5)</f>
        <v/>
      </c>
      <c r="J474" s="27" t="str" cm="1">
        <f t="array" ref="J474">_xlfn.XLOOKUP($A474&amp;$B474&amp;$C474,价格信息!$A:$A&amp;价格信息!$B:$B&amp;价格信息!$C:$C,价格信息!$D:$D)</f>
        <v/>
      </c>
      <c r="K474" s="27" t="str">
        <f>IF($C474="","",固定信息!$B$1)</f>
        <v/>
      </c>
      <c r="L474" s="27" t="str" cm="1">
        <f t="array" ref="L474">IF(_xlfn.XLOOKUP($A474&amp;$B474&amp;$C474,盘货信息!$A:$A&amp;盘货信息!$B:$B&amp;盘货信息!$C:$C,盘货信息!$T:$T)="","","【优惠券】领"&amp;_xlfn.XLOOKUP($A474&amp;$B474&amp;$C474,盘货信息!$A:$A&amp;盘货信息!$B:$B&amp;盘货信息!$C:$C,盘货信息!$T:$T)&amp;"元优惠卷下单更优惠，领券链接："&amp;_xlfn.XLOOKUP($A474&amp;$B474&amp;$C474,盘货信息!$A:$A&amp;盘货信息!$B:$B&amp;盘货信息!$C:$C,盘货信息!$U:$U))</f>
        <v/>
      </c>
      <c r="M474" s="27" t="str" cm="1">
        <f t="array" ref="M474">IF(_xlfn.XLOOKUP($A474&amp;$B474&amp;$C474,盘货信息!$A:$A&amp;盘货信息!$B:$B&amp;盘货信息!$C:$C,盘货信息!$P:$P)="","","【限时】"&amp;_xlfn.XLOOKUP($A474&amp;$B474&amp;$C474,盘货信息!$A:$A&amp;盘货信息!$B:$B&amp;盘货信息!$C:$C,盘货信息!$P:$P))</f>
        <v/>
      </c>
      <c r="N474" s="27" t="str" cm="1">
        <f t="array" ref="N474">IF(_xlfn.XLOOKUP($A474&amp;$B474&amp;$C474,盘货信息!$A:$A&amp;盘货信息!$B:$B&amp;盘货信息!$C:$C,盘货信息!$V:$V)="","","【"&amp;盘货信息!$V$1&amp;"】"&amp;_xlfn.XLOOKUP($A474&amp;$B474&amp;$C474,盘货信息!$A:$A&amp;盘货信息!$B:$B&amp;盘货信息!$C:$C,盘货信息!$V:$V))</f>
        <v/>
      </c>
      <c r="O474" s="27" t="str" cm="1">
        <f t="array" ref="O474">IF(_xlfn.XLOOKUP($A474&amp;$B474&amp;$C474,盘货信息!$A:$A&amp;盘货信息!$B:$B&amp;盘货信息!$C:$C,盘货信息!$W:$W)="","","【"&amp;盘货信息!$W$1&amp;"】"&amp;_xlfn.XLOOKUP($A474&amp;$B474&amp;$C474,盘货信息!$A:$A&amp;盘货信息!$B:$B&amp;盘货信息!$C:$C,盘货信息!$W:$W))</f>
        <v/>
      </c>
      <c r="P474" s="27" t="str" cm="1">
        <f t="array" ref="P474">IF(_xlfn.XLOOKUP($A474&amp;$B474&amp;$C474,盘货信息!$A:$A&amp;盘货信息!$B:$B&amp;盘货信息!$C:$C,盘货信息!$S:$S)&lt;1,"","【"&amp;盘货信息!$S$1&amp;"】"&amp;"后返"&amp;_xlfn.XLOOKUP($A474&amp;$B474&amp;$C474,盘货信息!$A:$A&amp;盘货信息!$B:$B&amp;盘货信息!$C:$C,盘货信息!$S:$S)&amp;"元")</f>
        <v/>
      </c>
      <c r="Q474" s="27" t="str" cm="1">
        <f t="array" ref="Q474">IF(_xlfn.XLOOKUP($A474&amp;$B474&amp;$C474,盘货信息!$A:$A&amp;盘货信息!$B:$B&amp;盘货信息!$C:$C,盘货信息!$X:$X)="","","【"&amp;盘货信息!$X$1&amp;"】"&amp;_xlfn.XLOOKUP($A474&amp;$B474&amp;$C474,盘货信息!$A:$A&amp;盘货信息!$B:$B&amp;盘货信息!$C:$C,盘货信息!$X:$X))</f>
        <v/>
      </c>
      <c r="R474" s="27" t="str" cm="1">
        <f t="array" ref="R474">IF(_xlfn.XLOOKUP($A474&amp;$B474&amp;$C474,盘货信息!$A:$A&amp;盘货信息!$B:$B&amp;盘货信息!$C:$C,盘货信息!$Z:$Z)="","","【"&amp;盘货信息!$Z$1&amp;"】"&amp;_xlfn.XLOOKUP($A474&amp;$B474&amp;$C474,盘货信息!$A:$A&amp;盘货信息!$B:$B&amp;盘货信息!$C:$C,盘货信息!$Z:$Z))</f>
        <v/>
      </c>
      <c r="S474" s="27" t="str" cm="1">
        <f t="array" ref="S474">IF(_xlfn.XLOOKUP($A474&amp;$B474&amp;$C474,盘货信息!$A:$A&amp;盘货信息!$B:$B&amp;盘货信息!$C:$C,盘货信息!$Q:$Q)="","","【种草】站外带指定话题种草后返"&amp;_xlfn.XLOOKUP($A474&amp;$B474&amp;$C474,盘货信息!$A:$A&amp;盘货信息!$B:$B&amp;盘货信息!$C:$C,盘货信息!$Q:$Q)&amp;"元红包（每个淘宝账号仅限对应一个站外种草账号，同一个种草账号不可对应多个淘宝账号）")</f>
        <v/>
      </c>
      <c r="T474" s="27" t="str" cm="1">
        <f t="array" ref="T474">IF(_xlfn.XLOOKUP($A474&amp;$B474&amp;$C474,盘货信息!$A:$A&amp;盘货信息!$B:$B&amp;盘货信息!$C:$C,盘货信息!$R:$R)&lt;1,"","【以旧换新】"&amp;"享补贴"&amp;ROUND(_xlfn.XLOOKUP($A474&amp;$B474&amp;$C474,盘货信息!$A:$A&amp;盘货信息!$B:$B&amp;盘货信息!$C:$C,盘货信息!$R:$R),0)&amp;"元（可无旧机换新）")</f>
        <v/>
      </c>
      <c r="U474" s="27" t="str">
        <f>IF(AND($N474="",$O474="",$P474="",$Q474="",$R474="",$S474="",$T474=""),"",固定信息!$B$1)</f>
        <v/>
      </c>
      <c r="V474" s="27" t="str" cm="1">
        <f t="array" ref="V474">IF(_xlfn.XLOOKUP($A474&amp;$B474&amp;$C474,盘货信息!$A:$A&amp;盘货信息!$B:$B&amp;盘货信息!$C:$C,盘货信息!$Y:$Y)="","","【卡萨帝送赠】活动指定时间"&amp;_xlfn.TEXTBEFORE(_xlfn.TEXTAFTER(_xlfn.XLOOKUP($A474&amp;$B474&amp;$C474,盘货信息!$A:$A&amp;盘货信息!$B:$B&amp;盘货信息!$C:$C,盘货信息!$Y:$Y),"点"),"（"))</f>
        <v/>
      </c>
      <c r="W474" s="27" t="str" cm="1">
        <f t="array" ref="W474">IF(COUNTIF(_xlfn.XLOOKUP($A474&amp;$B474&amp;$C474,盘货信息!$A:$A&amp;盘货信息!$B:$B&amp;盘货信息!$C:$C,盘货信息!$O:$O),"*是*"),"【折扣】指定型号满2类享96折，满3类享94折","")</f>
        <v/>
      </c>
      <c r="X474" s="27" t="str" cm="1">
        <f t="array" ref="X474">IF(固定信息!$B$7="","",IF(_xlfn.XLOOKUP($A474&amp;$B474&amp;$C474,盘货信息!$A:$A&amp;盘货信息!$B:$B&amp;盘货信息!$C:$C,盘货信息!$N:$N)="是","【瓜分】"&amp;固定信息!$B$7,""))</f>
        <v/>
      </c>
      <c r="Y474" s="27" t="str">
        <f>IF(AND($V474="",$W474="",$X474=""),"",固定信息!$B$1)</f>
        <v/>
      </c>
      <c r="Z474" s="27" t="str" cm="1">
        <f t="array" ref="Z474">IF($C474="","",_xlfn.XLOOKUP($A474&amp;$B474&amp;$C474,服务!$A:$A&amp;服务!$B:$B&amp;服务!$C:$C,服务!$D:$D))</f>
        <v/>
      </c>
    </row>
    <row r="475" customHeight="1" spans="1:26">
      <c r="A475" s="23" t="str">
        <f>IF(盘货信息!A475="","",盘货信息!A475)</f>
        <v/>
      </c>
      <c r="B475" s="26" t="str">
        <f>IF(盘货信息!B475="","",盘货信息!B475)</f>
        <v/>
      </c>
      <c r="C475" s="23" t="str">
        <f>IF(盘货信息!C475="","",盘货信息!C475)</f>
        <v/>
      </c>
      <c r="D475" s="27" t="str">
        <f ca="1" t="shared" si="7"/>
        <v/>
      </c>
      <c r="E475" s="27" t="str">
        <f>IF(C475="","",固定信息!$B$2)</f>
        <v/>
      </c>
      <c r="F475" s="27" t="str">
        <f>IF(C475="","","【"&amp;C475&amp;"】"&amp;固定信息!$B$4)</f>
        <v/>
      </c>
      <c r="G475" s="27" t="str">
        <f>IF(C475="","","【"&amp;"活动时间："&amp;固定信息!$B$3&amp;"】")</f>
        <v/>
      </c>
      <c r="H475" s="27" t="str">
        <f>IF($C475="","",固定信息!$B$1)</f>
        <v/>
      </c>
      <c r="I475" s="27" t="str">
        <f>IF(OR(C475="",固定信息!$B$5=""),"","【1元预约锁好礼】"&amp;固定信息!$B$5)</f>
        <v/>
      </c>
      <c r="J475" s="27" t="str" cm="1">
        <f t="array" ref="J475">_xlfn.XLOOKUP($A475&amp;$B475&amp;$C475,价格信息!$A:$A&amp;价格信息!$B:$B&amp;价格信息!$C:$C,价格信息!$D:$D)</f>
        <v/>
      </c>
      <c r="K475" s="27" t="str">
        <f>IF($C475="","",固定信息!$B$1)</f>
        <v/>
      </c>
      <c r="L475" s="27" t="str" cm="1">
        <f t="array" ref="L475">IF(_xlfn.XLOOKUP($A475&amp;$B475&amp;$C475,盘货信息!$A:$A&amp;盘货信息!$B:$B&amp;盘货信息!$C:$C,盘货信息!$T:$T)="","","【优惠券】领"&amp;_xlfn.XLOOKUP($A475&amp;$B475&amp;$C475,盘货信息!$A:$A&amp;盘货信息!$B:$B&amp;盘货信息!$C:$C,盘货信息!$T:$T)&amp;"元优惠卷下单更优惠，领券链接："&amp;_xlfn.XLOOKUP($A475&amp;$B475&amp;$C475,盘货信息!$A:$A&amp;盘货信息!$B:$B&amp;盘货信息!$C:$C,盘货信息!$U:$U))</f>
        <v/>
      </c>
      <c r="M475" s="27" t="str" cm="1">
        <f t="array" ref="M475">IF(_xlfn.XLOOKUP($A475&amp;$B475&amp;$C475,盘货信息!$A:$A&amp;盘货信息!$B:$B&amp;盘货信息!$C:$C,盘货信息!$P:$P)="","","【限时】"&amp;_xlfn.XLOOKUP($A475&amp;$B475&amp;$C475,盘货信息!$A:$A&amp;盘货信息!$B:$B&amp;盘货信息!$C:$C,盘货信息!$P:$P))</f>
        <v/>
      </c>
      <c r="N475" s="27" t="str" cm="1">
        <f t="array" ref="N475">IF(_xlfn.XLOOKUP($A475&amp;$B475&amp;$C475,盘货信息!$A:$A&amp;盘货信息!$B:$B&amp;盘货信息!$C:$C,盘货信息!$V:$V)="","","【"&amp;盘货信息!$V$1&amp;"】"&amp;_xlfn.XLOOKUP($A475&amp;$B475&amp;$C475,盘货信息!$A:$A&amp;盘货信息!$B:$B&amp;盘货信息!$C:$C,盘货信息!$V:$V))</f>
        <v/>
      </c>
      <c r="O475" s="27" t="str" cm="1">
        <f t="array" ref="O475">IF(_xlfn.XLOOKUP($A475&amp;$B475&amp;$C475,盘货信息!$A:$A&amp;盘货信息!$B:$B&amp;盘货信息!$C:$C,盘货信息!$W:$W)="","","【"&amp;盘货信息!$W$1&amp;"】"&amp;_xlfn.XLOOKUP($A475&amp;$B475&amp;$C475,盘货信息!$A:$A&amp;盘货信息!$B:$B&amp;盘货信息!$C:$C,盘货信息!$W:$W))</f>
        <v/>
      </c>
      <c r="P475" s="27" t="str" cm="1">
        <f t="array" ref="P475">IF(_xlfn.XLOOKUP($A475&amp;$B475&amp;$C475,盘货信息!$A:$A&amp;盘货信息!$B:$B&amp;盘货信息!$C:$C,盘货信息!$S:$S)&lt;1,"","【"&amp;盘货信息!$S$1&amp;"】"&amp;"后返"&amp;_xlfn.XLOOKUP($A475&amp;$B475&amp;$C475,盘货信息!$A:$A&amp;盘货信息!$B:$B&amp;盘货信息!$C:$C,盘货信息!$S:$S)&amp;"元")</f>
        <v/>
      </c>
      <c r="Q475" s="27" t="str" cm="1">
        <f t="array" ref="Q475">IF(_xlfn.XLOOKUP($A475&amp;$B475&amp;$C475,盘货信息!$A:$A&amp;盘货信息!$B:$B&amp;盘货信息!$C:$C,盘货信息!$X:$X)="","","【"&amp;盘货信息!$X$1&amp;"】"&amp;_xlfn.XLOOKUP($A475&amp;$B475&amp;$C475,盘货信息!$A:$A&amp;盘货信息!$B:$B&amp;盘货信息!$C:$C,盘货信息!$X:$X))</f>
        <v/>
      </c>
      <c r="R475" s="27" t="str" cm="1">
        <f t="array" ref="R475">IF(_xlfn.XLOOKUP($A475&amp;$B475&amp;$C475,盘货信息!$A:$A&amp;盘货信息!$B:$B&amp;盘货信息!$C:$C,盘货信息!$Z:$Z)="","","【"&amp;盘货信息!$Z$1&amp;"】"&amp;_xlfn.XLOOKUP($A475&amp;$B475&amp;$C475,盘货信息!$A:$A&amp;盘货信息!$B:$B&amp;盘货信息!$C:$C,盘货信息!$Z:$Z))</f>
        <v/>
      </c>
      <c r="S475" s="27" t="str" cm="1">
        <f t="array" ref="S475">IF(_xlfn.XLOOKUP($A475&amp;$B475&amp;$C475,盘货信息!$A:$A&amp;盘货信息!$B:$B&amp;盘货信息!$C:$C,盘货信息!$Q:$Q)="","","【种草】站外带指定话题种草后返"&amp;_xlfn.XLOOKUP($A475&amp;$B475&amp;$C475,盘货信息!$A:$A&amp;盘货信息!$B:$B&amp;盘货信息!$C:$C,盘货信息!$Q:$Q)&amp;"元红包（每个淘宝账号仅限对应一个站外种草账号，同一个种草账号不可对应多个淘宝账号）")</f>
        <v/>
      </c>
      <c r="T475" s="27" t="str" cm="1">
        <f t="array" ref="T475">IF(_xlfn.XLOOKUP($A475&amp;$B475&amp;$C475,盘货信息!$A:$A&amp;盘货信息!$B:$B&amp;盘货信息!$C:$C,盘货信息!$R:$R)&lt;1,"","【以旧换新】"&amp;"享补贴"&amp;ROUND(_xlfn.XLOOKUP($A475&amp;$B475&amp;$C475,盘货信息!$A:$A&amp;盘货信息!$B:$B&amp;盘货信息!$C:$C,盘货信息!$R:$R),0)&amp;"元（可无旧机换新）")</f>
        <v/>
      </c>
      <c r="U475" s="27" t="str">
        <f>IF(AND($N475="",$O475="",$P475="",$Q475="",$R475="",$S475="",$T475=""),"",固定信息!$B$1)</f>
        <v/>
      </c>
      <c r="V475" s="27" t="str" cm="1">
        <f t="array" ref="V475">IF(_xlfn.XLOOKUP($A475&amp;$B475&amp;$C475,盘货信息!$A:$A&amp;盘货信息!$B:$B&amp;盘货信息!$C:$C,盘货信息!$Y:$Y)="","","【卡萨帝送赠】活动指定时间"&amp;_xlfn.TEXTBEFORE(_xlfn.TEXTAFTER(_xlfn.XLOOKUP($A475&amp;$B475&amp;$C475,盘货信息!$A:$A&amp;盘货信息!$B:$B&amp;盘货信息!$C:$C,盘货信息!$Y:$Y),"点"),"（"))</f>
        <v/>
      </c>
      <c r="W475" s="27" t="str" cm="1">
        <f t="array" ref="W475">IF(COUNTIF(_xlfn.XLOOKUP($A475&amp;$B475&amp;$C475,盘货信息!$A:$A&amp;盘货信息!$B:$B&amp;盘货信息!$C:$C,盘货信息!$O:$O),"*是*"),"【折扣】指定型号满2类享96折，满3类享94折","")</f>
        <v/>
      </c>
      <c r="X475" s="27" t="str" cm="1">
        <f t="array" ref="X475">IF(固定信息!$B$7="","",IF(_xlfn.XLOOKUP($A475&amp;$B475&amp;$C475,盘货信息!$A:$A&amp;盘货信息!$B:$B&amp;盘货信息!$C:$C,盘货信息!$N:$N)="是","【瓜分】"&amp;固定信息!$B$7,""))</f>
        <v/>
      </c>
      <c r="Y475" s="27" t="str">
        <f>IF(AND($V475="",$W475="",$X475=""),"",固定信息!$B$1)</f>
        <v/>
      </c>
      <c r="Z475" s="27" t="str" cm="1">
        <f t="array" ref="Z475">IF($C475="","",_xlfn.XLOOKUP($A475&amp;$B475&amp;$C475,服务!$A:$A&amp;服务!$B:$B&amp;服务!$C:$C,服务!$D:$D))</f>
        <v/>
      </c>
    </row>
    <row r="476" customHeight="1" spans="1:26">
      <c r="A476" s="23" t="str">
        <f>IF(盘货信息!A476="","",盘货信息!A476)</f>
        <v/>
      </c>
      <c r="B476" s="26" t="str">
        <f>IF(盘货信息!B476="","",盘货信息!B476)</f>
        <v/>
      </c>
      <c r="C476" s="23" t="str">
        <f>IF(盘货信息!C476="","",盘货信息!C476)</f>
        <v/>
      </c>
      <c r="D476" s="27" t="str">
        <f ca="1" t="shared" si="7"/>
        <v/>
      </c>
      <c r="E476" s="27" t="str">
        <f>IF(C476="","",固定信息!$B$2)</f>
        <v/>
      </c>
      <c r="F476" s="27" t="str">
        <f>IF(C476="","","【"&amp;C476&amp;"】"&amp;固定信息!$B$4)</f>
        <v/>
      </c>
      <c r="G476" s="27" t="str">
        <f>IF(C476="","","【"&amp;"活动时间："&amp;固定信息!$B$3&amp;"】")</f>
        <v/>
      </c>
      <c r="H476" s="27" t="str">
        <f>IF($C476="","",固定信息!$B$1)</f>
        <v/>
      </c>
      <c r="I476" s="27" t="str">
        <f>IF(OR(C476="",固定信息!$B$5=""),"","【1元预约锁好礼】"&amp;固定信息!$B$5)</f>
        <v/>
      </c>
      <c r="J476" s="27" t="str" cm="1">
        <f t="array" ref="J476">_xlfn.XLOOKUP($A476&amp;$B476&amp;$C476,价格信息!$A:$A&amp;价格信息!$B:$B&amp;价格信息!$C:$C,价格信息!$D:$D)</f>
        <v/>
      </c>
      <c r="K476" s="27" t="str">
        <f>IF($C476="","",固定信息!$B$1)</f>
        <v/>
      </c>
      <c r="L476" s="27" t="str" cm="1">
        <f t="array" ref="L476">IF(_xlfn.XLOOKUP($A476&amp;$B476&amp;$C476,盘货信息!$A:$A&amp;盘货信息!$B:$B&amp;盘货信息!$C:$C,盘货信息!$T:$T)="","","【优惠券】领"&amp;_xlfn.XLOOKUP($A476&amp;$B476&amp;$C476,盘货信息!$A:$A&amp;盘货信息!$B:$B&amp;盘货信息!$C:$C,盘货信息!$T:$T)&amp;"元优惠卷下单更优惠，领券链接："&amp;_xlfn.XLOOKUP($A476&amp;$B476&amp;$C476,盘货信息!$A:$A&amp;盘货信息!$B:$B&amp;盘货信息!$C:$C,盘货信息!$U:$U))</f>
        <v/>
      </c>
      <c r="M476" s="27" t="str" cm="1">
        <f t="array" ref="M476">IF(_xlfn.XLOOKUP($A476&amp;$B476&amp;$C476,盘货信息!$A:$A&amp;盘货信息!$B:$B&amp;盘货信息!$C:$C,盘货信息!$P:$P)="","","【限时】"&amp;_xlfn.XLOOKUP($A476&amp;$B476&amp;$C476,盘货信息!$A:$A&amp;盘货信息!$B:$B&amp;盘货信息!$C:$C,盘货信息!$P:$P))</f>
        <v/>
      </c>
      <c r="N476" s="27" t="str" cm="1">
        <f t="array" ref="N476">IF(_xlfn.XLOOKUP($A476&amp;$B476&amp;$C476,盘货信息!$A:$A&amp;盘货信息!$B:$B&amp;盘货信息!$C:$C,盘货信息!$V:$V)="","","【"&amp;盘货信息!$V$1&amp;"】"&amp;_xlfn.XLOOKUP($A476&amp;$B476&amp;$C476,盘货信息!$A:$A&amp;盘货信息!$B:$B&amp;盘货信息!$C:$C,盘货信息!$V:$V))</f>
        <v/>
      </c>
      <c r="O476" s="27" t="str" cm="1">
        <f t="array" ref="O476">IF(_xlfn.XLOOKUP($A476&amp;$B476&amp;$C476,盘货信息!$A:$A&amp;盘货信息!$B:$B&amp;盘货信息!$C:$C,盘货信息!$W:$W)="","","【"&amp;盘货信息!$W$1&amp;"】"&amp;_xlfn.XLOOKUP($A476&amp;$B476&amp;$C476,盘货信息!$A:$A&amp;盘货信息!$B:$B&amp;盘货信息!$C:$C,盘货信息!$W:$W))</f>
        <v/>
      </c>
      <c r="P476" s="27" t="str" cm="1">
        <f t="array" ref="P476">IF(_xlfn.XLOOKUP($A476&amp;$B476&amp;$C476,盘货信息!$A:$A&amp;盘货信息!$B:$B&amp;盘货信息!$C:$C,盘货信息!$S:$S)&lt;1,"","【"&amp;盘货信息!$S$1&amp;"】"&amp;"后返"&amp;_xlfn.XLOOKUP($A476&amp;$B476&amp;$C476,盘货信息!$A:$A&amp;盘货信息!$B:$B&amp;盘货信息!$C:$C,盘货信息!$S:$S)&amp;"元")</f>
        <v/>
      </c>
      <c r="Q476" s="27" t="str" cm="1">
        <f t="array" ref="Q476">IF(_xlfn.XLOOKUP($A476&amp;$B476&amp;$C476,盘货信息!$A:$A&amp;盘货信息!$B:$B&amp;盘货信息!$C:$C,盘货信息!$X:$X)="","","【"&amp;盘货信息!$X$1&amp;"】"&amp;_xlfn.XLOOKUP($A476&amp;$B476&amp;$C476,盘货信息!$A:$A&amp;盘货信息!$B:$B&amp;盘货信息!$C:$C,盘货信息!$X:$X))</f>
        <v/>
      </c>
      <c r="R476" s="27" t="str" cm="1">
        <f t="array" ref="R476">IF(_xlfn.XLOOKUP($A476&amp;$B476&amp;$C476,盘货信息!$A:$A&amp;盘货信息!$B:$B&amp;盘货信息!$C:$C,盘货信息!$Z:$Z)="","","【"&amp;盘货信息!$Z$1&amp;"】"&amp;_xlfn.XLOOKUP($A476&amp;$B476&amp;$C476,盘货信息!$A:$A&amp;盘货信息!$B:$B&amp;盘货信息!$C:$C,盘货信息!$Z:$Z))</f>
        <v/>
      </c>
      <c r="S476" s="27" t="str" cm="1">
        <f t="array" ref="S476">IF(_xlfn.XLOOKUP($A476&amp;$B476&amp;$C476,盘货信息!$A:$A&amp;盘货信息!$B:$B&amp;盘货信息!$C:$C,盘货信息!$Q:$Q)="","","【种草】站外带指定话题种草后返"&amp;_xlfn.XLOOKUP($A476&amp;$B476&amp;$C476,盘货信息!$A:$A&amp;盘货信息!$B:$B&amp;盘货信息!$C:$C,盘货信息!$Q:$Q)&amp;"元红包（每个淘宝账号仅限对应一个站外种草账号，同一个种草账号不可对应多个淘宝账号）")</f>
        <v/>
      </c>
      <c r="T476" s="27" t="str" cm="1">
        <f t="array" ref="T476">IF(_xlfn.XLOOKUP($A476&amp;$B476&amp;$C476,盘货信息!$A:$A&amp;盘货信息!$B:$B&amp;盘货信息!$C:$C,盘货信息!$R:$R)&lt;1,"","【以旧换新】"&amp;"享补贴"&amp;ROUND(_xlfn.XLOOKUP($A476&amp;$B476&amp;$C476,盘货信息!$A:$A&amp;盘货信息!$B:$B&amp;盘货信息!$C:$C,盘货信息!$R:$R),0)&amp;"元（可无旧机换新）")</f>
        <v/>
      </c>
      <c r="U476" s="27" t="str">
        <f>IF(AND($N476="",$O476="",$P476="",$Q476="",$R476="",$S476="",$T476=""),"",固定信息!$B$1)</f>
        <v/>
      </c>
      <c r="V476" s="27" t="str" cm="1">
        <f t="array" ref="V476">IF(_xlfn.XLOOKUP($A476&amp;$B476&amp;$C476,盘货信息!$A:$A&amp;盘货信息!$B:$B&amp;盘货信息!$C:$C,盘货信息!$Y:$Y)="","","【卡萨帝送赠】活动指定时间"&amp;_xlfn.TEXTBEFORE(_xlfn.TEXTAFTER(_xlfn.XLOOKUP($A476&amp;$B476&amp;$C476,盘货信息!$A:$A&amp;盘货信息!$B:$B&amp;盘货信息!$C:$C,盘货信息!$Y:$Y),"点"),"（"))</f>
        <v/>
      </c>
      <c r="W476" s="27" t="str" cm="1">
        <f t="array" ref="W476">IF(COUNTIF(_xlfn.XLOOKUP($A476&amp;$B476&amp;$C476,盘货信息!$A:$A&amp;盘货信息!$B:$B&amp;盘货信息!$C:$C,盘货信息!$O:$O),"*是*"),"【折扣】指定型号满2类享96折，满3类享94折","")</f>
        <v/>
      </c>
      <c r="X476" s="27" t="str" cm="1">
        <f t="array" ref="X476">IF(固定信息!$B$7="","",IF(_xlfn.XLOOKUP($A476&amp;$B476&amp;$C476,盘货信息!$A:$A&amp;盘货信息!$B:$B&amp;盘货信息!$C:$C,盘货信息!$N:$N)="是","【瓜分】"&amp;固定信息!$B$7,""))</f>
        <v/>
      </c>
      <c r="Y476" s="27" t="str">
        <f>IF(AND($V476="",$W476="",$X476=""),"",固定信息!$B$1)</f>
        <v/>
      </c>
      <c r="Z476" s="27" t="str" cm="1">
        <f t="array" ref="Z476">IF($C476="","",_xlfn.XLOOKUP($A476&amp;$B476&amp;$C476,服务!$A:$A&amp;服务!$B:$B&amp;服务!$C:$C,服务!$D:$D))</f>
        <v/>
      </c>
    </row>
    <row r="477" customHeight="1" spans="1:26">
      <c r="A477" s="23" t="str">
        <f>IF(盘货信息!A477="","",盘货信息!A477)</f>
        <v/>
      </c>
      <c r="B477" s="26" t="str">
        <f>IF(盘货信息!B477="","",盘货信息!B477)</f>
        <v/>
      </c>
      <c r="C477" s="23" t="str">
        <f>IF(盘货信息!C477="","",盘货信息!C477)</f>
        <v/>
      </c>
      <c r="D477" s="27" t="str">
        <f ca="1" t="shared" si="7"/>
        <v/>
      </c>
      <c r="E477" s="27" t="str">
        <f>IF(C477="","",固定信息!$B$2)</f>
        <v/>
      </c>
      <c r="F477" s="27" t="str">
        <f>IF(C477="","","【"&amp;C477&amp;"】"&amp;固定信息!$B$4)</f>
        <v/>
      </c>
      <c r="G477" s="27" t="str">
        <f>IF(C477="","","【"&amp;"活动时间："&amp;固定信息!$B$3&amp;"】")</f>
        <v/>
      </c>
      <c r="H477" s="27" t="str">
        <f>IF($C477="","",固定信息!$B$1)</f>
        <v/>
      </c>
      <c r="I477" s="27" t="str">
        <f>IF(OR(C477="",固定信息!$B$5=""),"","【1元预约锁好礼】"&amp;固定信息!$B$5)</f>
        <v/>
      </c>
      <c r="J477" s="27" t="str" cm="1">
        <f t="array" ref="J477">_xlfn.XLOOKUP($A477&amp;$B477&amp;$C477,价格信息!$A:$A&amp;价格信息!$B:$B&amp;价格信息!$C:$C,价格信息!$D:$D)</f>
        <v/>
      </c>
      <c r="K477" s="27" t="str">
        <f>IF($C477="","",固定信息!$B$1)</f>
        <v/>
      </c>
      <c r="L477" s="27" t="str" cm="1">
        <f t="array" ref="L477">IF(_xlfn.XLOOKUP($A477&amp;$B477&amp;$C477,盘货信息!$A:$A&amp;盘货信息!$B:$B&amp;盘货信息!$C:$C,盘货信息!$T:$T)="","","【优惠券】领"&amp;_xlfn.XLOOKUP($A477&amp;$B477&amp;$C477,盘货信息!$A:$A&amp;盘货信息!$B:$B&amp;盘货信息!$C:$C,盘货信息!$T:$T)&amp;"元优惠卷下单更优惠，领券链接："&amp;_xlfn.XLOOKUP($A477&amp;$B477&amp;$C477,盘货信息!$A:$A&amp;盘货信息!$B:$B&amp;盘货信息!$C:$C,盘货信息!$U:$U))</f>
        <v/>
      </c>
      <c r="M477" s="27" t="str" cm="1">
        <f t="array" ref="M477">IF(_xlfn.XLOOKUP($A477&amp;$B477&amp;$C477,盘货信息!$A:$A&amp;盘货信息!$B:$B&amp;盘货信息!$C:$C,盘货信息!$P:$P)="","","【限时】"&amp;_xlfn.XLOOKUP($A477&amp;$B477&amp;$C477,盘货信息!$A:$A&amp;盘货信息!$B:$B&amp;盘货信息!$C:$C,盘货信息!$P:$P))</f>
        <v/>
      </c>
      <c r="N477" s="27" t="str" cm="1">
        <f t="array" ref="N477">IF(_xlfn.XLOOKUP($A477&amp;$B477&amp;$C477,盘货信息!$A:$A&amp;盘货信息!$B:$B&amp;盘货信息!$C:$C,盘货信息!$V:$V)="","","【"&amp;盘货信息!$V$1&amp;"】"&amp;_xlfn.XLOOKUP($A477&amp;$B477&amp;$C477,盘货信息!$A:$A&amp;盘货信息!$B:$B&amp;盘货信息!$C:$C,盘货信息!$V:$V))</f>
        <v/>
      </c>
      <c r="O477" s="27" t="str" cm="1">
        <f t="array" ref="O477">IF(_xlfn.XLOOKUP($A477&amp;$B477&amp;$C477,盘货信息!$A:$A&amp;盘货信息!$B:$B&amp;盘货信息!$C:$C,盘货信息!$W:$W)="","","【"&amp;盘货信息!$W$1&amp;"】"&amp;_xlfn.XLOOKUP($A477&amp;$B477&amp;$C477,盘货信息!$A:$A&amp;盘货信息!$B:$B&amp;盘货信息!$C:$C,盘货信息!$W:$W))</f>
        <v/>
      </c>
      <c r="P477" s="27" t="str" cm="1">
        <f t="array" ref="P477">IF(_xlfn.XLOOKUP($A477&amp;$B477&amp;$C477,盘货信息!$A:$A&amp;盘货信息!$B:$B&amp;盘货信息!$C:$C,盘货信息!$S:$S)&lt;1,"","【"&amp;盘货信息!$S$1&amp;"】"&amp;"后返"&amp;_xlfn.XLOOKUP($A477&amp;$B477&amp;$C477,盘货信息!$A:$A&amp;盘货信息!$B:$B&amp;盘货信息!$C:$C,盘货信息!$S:$S)&amp;"元")</f>
        <v/>
      </c>
      <c r="Q477" s="27" t="str" cm="1">
        <f t="array" ref="Q477">IF(_xlfn.XLOOKUP($A477&amp;$B477&amp;$C477,盘货信息!$A:$A&amp;盘货信息!$B:$B&amp;盘货信息!$C:$C,盘货信息!$X:$X)="","","【"&amp;盘货信息!$X$1&amp;"】"&amp;_xlfn.XLOOKUP($A477&amp;$B477&amp;$C477,盘货信息!$A:$A&amp;盘货信息!$B:$B&amp;盘货信息!$C:$C,盘货信息!$X:$X))</f>
        <v/>
      </c>
      <c r="R477" s="27" t="str" cm="1">
        <f t="array" ref="R477">IF(_xlfn.XLOOKUP($A477&amp;$B477&amp;$C477,盘货信息!$A:$A&amp;盘货信息!$B:$B&amp;盘货信息!$C:$C,盘货信息!$Z:$Z)="","","【"&amp;盘货信息!$Z$1&amp;"】"&amp;_xlfn.XLOOKUP($A477&amp;$B477&amp;$C477,盘货信息!$A:$A&amp;盘货信息!$B:$B&amp;盘货信息!$C:$C,盘货信息!$Z:$Z))</f>
        <v/>
      </c>
      <c r="S477" s="27" t="str" cm="1">
        <f t="array" ref="S477">IF(_xlfn.XLOOKUP($A477&amp;$B477&amp;$C477,盘货信息!$A:$A&amp;盘货信息!$B:$B&amp;盘货信息!$C:$C,盘货信息!$Q:$Q)="","","【种草】站外带指定话题种草后返"&amp;_xlfn.XLOOKUP($A477&amp;$B477&amp;$C477,盘货信息!$A:$A&amp;盘货信息!$B:$B&amp;盘货信息!$C:$C,盘货信息!$Q:$Q)&amp;"元红包（每个淘宝账号仅限对应一个站外种草账号，同一个种草账号不可对应多个淘宝账号）")</f>
        <v/>
      </c>
      <c r="T477" s="27" t="str" cm="1">
        <f t="array" ref="T477">IF(_xlfn.XLOOKUP($A477&amp;$B477&amp;$C477,盘货信息!$A:$A&amp;盘货信息!$B:$B&amp;盘货信息!$C:$C,盘货信息!$R:$R)&lt;1,"","【以旧换新】"&amp;"享补贴"&amp;ROUND(_xlfn.XLOOKUP($A477&amp;$B477&amp;$C477,盘货信息!$A:$A&amp;盘货信息!$B:$B&amp;盘货信息!$C:$C,盘货信息!$R:$R),0)&amp;"元（可无旧机换新）")</f>
        <v/>
      </c>
      <c r="U477" s="27" t="str">
        <f>IF(AND($N477="",$O477="",$P477="",$Q477="",$R477="",$S477="",$T477=""),"",固定信息!$B$1)</f>
        <v/>
      </c>
      <c r="V477" s="27" t="str" cm="1">
        <f t="array" ref="V477">IF(_xlfn.XLOOKUP($A477&amp;$B477&amp;$C477,盘货信息!$A:$A&amp;盘货信息!$B:$B&amp;盘货信息!$C:$C,盘货信息!$Y:$Y)="","","【卡萨帝送赠】活动指定时间"&amp;_xlfn.TEXTBEFORE(_xlfn.TEXTAFTER(_xlfn.XLOOKUP($A477&amp;$B477&amp;$C477,盘货信息!$A:$A&amp;盘货信息!$B:$B&amp;盘货信息!$C:$C,盘货信息!$Y:$Y),"点"),"（"))</f>
        <v/>
      </c>
      <c r="W477" s="27" t="str" cm="1">
        <f t="array" ref="W477">IF(COUNTIF(_xlfn.XLOOKUP($A477&amp;$B477&amp;$C477,盘货信息!$A:$A&amp;盘货信息!$B:$B&amp;盘货信息!$C:$C,盘货信息!$O:$O),"*是*"),"【折扣】指定型号满2类享96折，满3类享94折","")</f>
        <v/>
      </c>
      <c r="X477" s="27" t="str" cm="1">
        <f t="array" ref="X477">IF(固定信息!$B$7="","",IF(_xlfn.XLOOKUP($A477&amp;$B477&amp;$C477,盘货信息!$A:$A&amp;盘货信息!$B:$B&amp;盘货信息!$C:$C,盘货信息!$N:$N)="是","【瓜分】"&amp;固定信息!$B$7,""))</f>
        <v/>
      </c>
      <c r="Y477" s="27" t="str">
        <f>IF(AND($V477="",$W477="",$X477=""),"",固定信息!$B$1)</f>
        <v/>
      </c>
      <c r="Z477" s="27" t="str" cm="1">
        <f t="array" ref="Z477">IF($C477="","",_xlfn.XLOOKUP($A477&amp;$B477&amp;$C477,服务!$A:$A&amp;服务!$B:$B&amp;服务!$C:$C,服务!$D:$D))</f>
        <v/>
      </c>
    </row>
    <row r="478" customHeight="1" spans="1:26">
      <c r="A478" s="23" t="str">
        <f>IF(盘货信息!A478="","",盘货信息!A478)</f>
        <v/>
      </c>
      <c r="B478" s="26" t="str">
        <f>IF(盘货信息!B478="","",盘货信息!B478)</f>
        <v/>
      </c>
      <c r="C478" s="23" t="str">
        <f>IF(盘货信息!C478="","",盘货信息!C478)</f>
        <v/>
      </c>
      <c r="D478" s="27" t="str">
        <f ca="1" t="shared" si="7"/>
        <v/>
      </c>
      <c r="E478" s="27" t="str">
        <f>IF(C478="","",固定信息!$B$2)</f>
        <v/>
      </c>
      <c r="F478" s="27" t="str">
        <f>IF(C478="","","【"&amp;C478&amp;"】"&amp;固定信息!$B$4)</f>
        <v/>
      </c>
      <c r="G478" s="27" t="str">
        <f>IF(C478="","","【"&amp;"活动时间："&amp;固定信息!$B$3&amp;"】")</f>
        <v/>
      </c>
      <c r="H478" s="27" t="str">
        <f>IF($C478="","",固定信息!$B$1)</f>
        <v/>
      </c>
      <c r="I478" s="27" t="str">
        <f>IF(OR(C478="",固定信息!$B$5=""),"","【1元预约锁好礼】"&amp;固定信息!$B$5)</f>
        <v/>
      </c>
      <c r="J478" s="27" t="str" cm="1">
        <f t="array" ref="J478">_xlfn.XLOOKUP($A478&amp;$B478&amp;$C478,价格信息!$A:$A&amp;价格信息!$B:$B&amp;价格信息!$C:$C,价格信息!$D:$D)</f>
        <v/>
      </c>
      <c r="K478" s="27" t="str">
        <f>IF($C478="","",固定信息!$B$1)</f>
        <v/>
      </c>
      <c r="L478" s="27" t="str" cm="1">
        <f t="array" ref="L478">IF(_xlfn.XLOOKUP($A478&amp;$B478&amp;$C478,盘货信息!$A:$A&amp;盘货信息!$B:$B&amp;盘货信息!$C:$C,盘货信息!$T:$T)="","","【优惠券】领"&amp;_xlfn.XLOOKUP($A478&amp;$B478&amp;$C478,盘货信息!$A:$A&amp;盘货信息!$B:$B&amp;盘货信息!$C:$C,盘货信息!$T:$T)&amp;"元优惠卷下单更优惠，领券链接："&amp;_xlfn.XLOOKUP($A478&amp;$B478&amp;$C478,盘货信息!$A:$A&amp;盘货信息!$B:$B&amp;盘货信息!$C:$C,盘货信息!$U:$U))</f>
        <v/>
      </c>
      <c r="M478" s="27" t="str" cm="1">
        <f t="array" ref="M478">IF(_xlfn.XLOOKUP($A478&amp;$B478&amp;$C478,盘货信息!$A:$A&amp;盘货信息!$B:$B&amp;盘货信息!$C:$C,盘货信息!$P:$P)="","","【限时】"&amp;_xlfn.XLOOKUP($A478&amp;$B478&amp;$C478,盘货信息!$A:$A&amp;盘货信息!$B:$B&amp;盘货信息!$C:$C,盘货信息!$P:$P))</f>
        <v/>
      </c>
      <c r="N478" s="27" t="str" cm="1">
        <f t="array" ref="N478">IF(_xlfn.XLOOKUP($A478&amp;$B478&amp;$C478,盘货信息!$A:$A&amp;盘货信息!$B:$B&amp;盘货信息!$C:$C,盘货信息!$V:$V)="","","【"&amp;盘货信息!$V$1&amp;"】"&amp;_xlfn.XLOOKUP($A478&amp;$B478&amp;$C478,盘货信息!$A:$A&amp;盘货信息!$B:$B&amp;盘货信息!$C:$C,盘货信息!$V:$V))</f>
        <v/>
      </c>
      <c r="O478" s="27" t="str" cm="1">
        <f t="array" ref="O478">IF(_xlfn.XLOOKUP($A478&amp;$B478&amp;$C478,盘货信息!$A:$A&amp;盘货信息!$B:$B&amp;盘货信息!$C:$C,盘货信息!$W:$W)="","","【"&amp;盘货信息!$W$1&amp;"】"&amp;_xlfn.XLOOKUP($A478&amp;$B478&amp;$C478,盘货信息!$A:$A&amp;盘货信息!$B:$B&amp;盘货信息!$C:$C,盘货信息!$W:$W))</f>
        <v/>
      </c>
      <c r="P478" s="27" t="str" cm="1">
        <f t="array" ref="P478">IF(_xlfn.XLOOKUP($A478&amp;$B478&amp;$C478,盘货信息!$A:$A&amp;盘货信息!$B:$B&amp;盘货信息!$C:$C,盘货信息!$S:$S)&lt;1,"","【"&amp;盘货信息!$S$1&amp;"】"&amp;"后返"&amp;_xlfn.XLOOKUP($A478&amp;$B478&amp;$C478,盘货信息!$A:$A&amp;盘货信息!$B:$B&amp;盘货信息!$C:$C,盘货信息!$S:$S)&amp;"元")</f>
        <v/>
      </c>
      <c r="Q478" s="27" t="str" cm="1">
        <f t="array" ref="Q478">IF(_xlfn.XLOOKUP($A478&amp;$B478&amp;$C478,盘货信息!$A:$A&amp;盘货信息!$B:$B&amp;盘货信息!$C:$C,盘货信息!$X:$X)="","","【"&amp;盘货信息!$X$1&amp;"】"&amp;_xlfn.XLOOKUP($A478&amp;$B478&amp;$C478,盘货信息!$A:$A&amp;盘货信息!$B:$B&amp;盘货信息!$C:$C,盘货信息!$X:$X))</f>
        <v/>
      </c>
      <c r="R478" s="27" t="str" cm="1">
        <f t="array" ref="R478">IF(_xlfn.XLOOKUP($A478&amp;$B478&amp;$C478,盘货信息!$A:$A&amp;盘货信息!$B:$B&amp;盘货信息!$C:$C,盘货信息!$Z:$Z)="","","【"&amp;盘货信息!$Z$1&amp;"】"&amp;_xlfn.XLOOKUP($A478&amp;$B478&amp;$C478,盘货信息!$A:$A&amp;盘货信息!$B:$B&amp;盘货信息!$C:$C,盘货信息!$Z:$Z))</f>
        <v/>
      </c>
      <c r="S478" s="27" t="str" cm="1">
        <f t="array" ref="S478">IF(_xlfn.XLOOKUP($A478&amp;$B478&amp;$C478,盘货信息!$A:$A&amp;盘货信息!$B:$B&amp;盘货信息!$C:$C,盘货信息!$Q:$Q)="","","【种草】站外带指定话题种草后返"&amp;_xlfn.XLOOKUP($A478&amp;$B478&amp;$C478,盘货信息!$A:$A&amp;盘货信息!$B:$B&amp;盘货信息!$C:$C,盘货信息!$Q:$Q)&amp;"元红包（每个淘宝账号仅限对应一个站外种草账号，同一个种草账号不可对应多个淘宝账号）")</f>
        <v/>
      </c>
      <c r="T478" s="27" t="str" cm="1">
        <f t="array" ref="T478">IF(_xlfn.XLOOKUP($A478&amp;$B478&amp;$C478,盘货信息!$A:$A&amp;盘货信息!$B:$B&amp;盘货信息!$C:$C,盘货信息!$R:$R)&lt;1,"","【以旧换新】"&amp;"享补贴"&amp;ROUND(_xlfn.XLOOKUP($A478&amp;$B478&amp;$C478,盘货信息!$A:$A&amp;盘货信息!$B:$B&amp;盘货信息!$C:$C,盘货信息!$R:$R),0)&amp;"元（可无旧机换新）")</f>
        <v/>
      </c>
      <c r="U478" s="27" t="str">
        <f>IF(AND($N478="",$O478="",$P478="",$Q478="",$R478="",$S478="",$T478=""),"",固定信息!$B$1)</f>
        <v/>
      </c>
      <c r="V478" s="27" t="str" cm="1">
        <f t="array" ref="V478">IF(_xlfn.XLOOKUP($A478&amp;$B478&amp;$C478,盘货信息!$A:$A&amp;盘货信息!$B:$B&amp;盘货信息!$C:$C,盘货信息!$Y:$Y)="","","【卡萨帝送赠】活动指定时间"&amp;_xlfn.TEXTBEFORE(_xlfn.TEXTAFTER(_xlfn.XLOOKUP($A478&amp;$B478&amp;$C478,盘货信息!$A:$A&amp;盘货信息!$B:$B&amp;盘货信息!$C:$C,盘货信息!$Y:$Y),"点"),"（"))</f>
        <v/>
      </c>
      <c r="W478" s="27" t="str" cm="1">
        <f t="array" ref="W478">IF(COUNTIF(_xlfn.XLOOKUP($A478&amp;$B478&amp;$C478,盘货信息!$A:$A&amp;盘货信息!$B:$B&amp;盘货信息!$C:$C,盘货信息!$O:$O),"*是*"),"【折扣】指定型号满2类享96折，满3类享94折","")</f>
        <v/>
      </c>
      <c r="X478" s="27" t="str" cm="1">
        <f t="array" ref="X478">IF(固定信息!$B$7="","",IF(_xlfn.XLOOKUP($A478&amp;$B478&amp;$C478,盘货信息!$A:$A&amp;盘货信息!$B:$B&amp;盘货信息!$C:$C,盘货信息!$N:$N)="是","【瓜分】"&amp;固定信息!$B$7,""))</f>
        <v/>
      </c>
      <c r="Y478" s="27" t="str">
        <f>IF(AND($V478="",$W478="",$X478=""),"",固定信息!$B$1)</f>
        <v/>
      </c>
      <c r="Z478" s="27" t="str" cm="1">
        <f t="array" ref="Z478">IF($C478="","",_xlfn.XLOOKUP($A478&amp;$B478&amp;$C478,服务!$A:$A&amp;服务!$B:$B&amp;服务!$C:$C,服务!$D:$D))</f>
        <v/>
      </c>
    </row>
    <row r="479" customHeight="1" spans="1:26">
      <c r="A479" s="23" t="str">
        <f>IF(盘货信息!A479="","",盘货信息!A479)</f>
        <v/>
      </c>
      <c r="B479" s="26" t="str">
        <f>IF(盘货信息!B479="","",盘货信息!B479)</f>
        <v/>
      </c>
      <c r="C479" s="23" t="str">
        <f>IF(盘货信息!C479="","",盘货信息!C479)</f>
        <v/>
      </c>
      <c r="D479" s="27" t="str">
        <f ca="1" t="shared" si="7"/>
        <v/>
      </c>
      <c r="E479" s="27" t="str">
        <f>IF(C479="","",固定信息!$B$2)</f>
        <v/>
      </c>
      <c r="F479" s="27" t="str">
        <f>IF(C479="","","【"&amp;C479&amp;"】"&amp;固定信息!$B$4)</f>
        <v/>
      </c>
      <c r="G479" s="27" t="str">
        <f>IF(C479="","","【"&amp;"活动时间："&amp;固定信息!$B$3&amp;"】")</f>
        <v/>
      </c>
      <c r="H479" s="27" t="str">
        <f>IF($C479="","",固定信息!$B$1)</f>
        <v/>
      </c>
      <c r="I479" s="27" t="str">
        <f>IF(OR(C479="",固定信息!$B$5=""),"","【1元预约锁好礼】"&amp;固定信息!$B$5)</f>
        <v/>
      </c>
      <c r="J479" s="27" t="str" cm="1">
        <f t="array" ref="J479">_xlfn.XLOOKUP($A479&amp;$B479&amp;$C479,价格信息!$A:$A&amp;价格信息!$B:$B&amp;价格信息!$C:$C,价格信息!$D:$D)</f>
        <v/>
      </c>
      <c r="K479" s="27" t="str">
        <f>IF($C479="","",固定信息!$B$1)</f>
        <v/>
      </c>
      <c r="L479" s="27" t="str" cm="1">
        <f t="array" ref="L479">IF(_xlfn.XLOOKUP($A479&amp;$B479&amp;$C479,盘货信息!$A:$A&amp;盘货信息!$B:$B&amp;盘货信息!$C:$C,盘货信息!$T:$T)="","","【优惠券】领"&amp;_xlfn.XLOOKUP($A479&amp;$B479&amp;$C479,盘货信息!$A:$A&amp;盘货信息!$B:$B&amp;盘货信息!$C:$C,盘货信息!$T:$T)&amp;"元优惠卷下单更优惠，领券链接："&amp;_xlfn.XLOOKUP($A479&amp;$B479&amp;$C479,盘货信息!$A:$A&amp;盘货信息!$B:$B&amp;盘货信息!$C:$C,盘货信息!$U:$U))</f>
        <v/>
      </c>
      <c r="M479" s="27" t="str" cm="1">
        <f t="array" ref="M479">IF(_xlfn.XLOOKUP($A479&amp;$B479&amp;$C479,盘货信息!$A:$A&amp;盘货信息!$B:$B&amp;盘货信息!$C:$C,盘货信息!$P:$P)="","","【限时】"&amp;_xlfn.XLOOKUP($A479&amp;$B479&amp;$C479,盘货信息!$A:$A&amp;盘货信息!$B:$B&amp;盘货信息!$C:$C,盘货信息!$P:$P))</f>
        <v/>
      </c>
      <c r="N479" s="27" t="str" cm="1">
        <f t="array" ref="N479">IF(_xlfn.XLOOKUP($A479&amp;$B479&amp;$C479,盘货信息!$A:$A&amp;盘货信息!$B:$B&amp;盘货信息!$C:$C,盘货信息!$V:$V)="","","【"&amp;盘货信息!$V$1&amp;"】"&amp;_xlfn.XLOOKUP($A479&amp;$B479&amp;$C479,盘货信息!$A:$A&amp;盘货信息!$B:$B&amp;盘货信息!$C:$C,盘货信息!$V:$V))</f>
        <v/>
      </c>
      <c r="O479" s="27" t="str" cm="1">
        <f t="array" ref="O479">IF(_xlfn.XLOOKUP($A479&amp;$B479&amp;$C479,盘货信息!$A:$A&amp;盘货信息!$B:$B&amp;盘货信息!$C:$C,盘货信息!$W:$W)="","","【"&amp;盘货信息!$W$1&amp;"】"&amp;_xlfn.XLOOKUP($A479&amp;$B479&amp;$C479,盘货信息!$A:$A&amp;盘货信息!$B:$B&amp;盘货信息!$C:$C,盘货信息!$W:$W))</f>
        <v/>
      </c>
      <c r="P479" s="27" t="str" cm="1">
        <f t="array" ref="P479">IF(_xlfn.XLOOKUP($A479&amp;$B479&amp;$C479,盘货信息!$A:$A&amp;盘货信息!$B:$B&amp;盘货信息!$C:$C,盘货信息!$S:$S)&lt;1,"","【"&amp;盘货信息!$S$1&amp;"】"&amp;"后返"&amp;_xlfn.XLOOKUP($A479&amp;$B479&amp;$C479,盘货信息!$A:$A&amp;盘货信息!$B:$B&amp;盘货信息!$C:$C,盘货信息!$S:$S)&amp;"元")</f>
        <v/>
      </c>
      <c r="Q479" s="27" t="str" cm="1">
        <f t="array" ref="Q479">IF(_xlfn.XLOOKUP($A479&amp;$B479&amp;$C479,盘货信息!$A:$A&amp;盘货信息!$B:$B&amp;盘货信息!$C:$C,盘货信息!$X:$X)="","","【"&amp;盘货信息!$X$1&amp;"】"&amp;_xlfn.XLOOKUP($A479&amp;$B479&amp;$C479,盘货信息!$A:$A&amp;盘货信息!$B:$B&amp;盘货信息!$C:$C,盘货信息!$X:$X))</f>
        <v/>
      </c>
      <c r="R479" s="27" t="str" cm="1">
        <f t="array" ref="R479">IF(_xlfn.XLOOKUP($A479&amp;$B479&amp;$C479,盘货信息!$A:$A&amp;盘货信息!$B:$B&amp;盘货信息!$C:$C,盘货信息!$Z:$Z)="","","【"&amp;盘货信息!$Z$1&amp;"】"&amp;_xlfn.XLOOKUP($A479&amp;$B479&amp;$C479,盘货信息!$A:$A&amp;盘货信息!$B:$B&amp;盘货信息!$C:$C,盘货信息!$Z:$Z))</f>
        <v/>
      </c>
      <c r="S479" s="27" t="str" cm="1">
        <f t="array" ref="S479">IF(_xlfn.XLOOKUP($A479&amp;$B479&amp;$C479,盘货信息!$A:$A&amp;盘货信息!$B:$B&amp;盘货信息!$C:$C,盘货信息!$Q:$Q)="","","【种草】站外带指定话题种草后返"&amp;_xlfn.XLOOKUP($A479&amp;$B479&amp;$C479,盘货信息!$A:$A&amp;盘货信息!$B:$B&amp;盘货信息!$C:$C,盘货信息!$Q:$Q)&amp;"元红包（每个淘宝账号仅限对应一个站外种草账号，同一个种草账号不可对应多个淘宝账号）")</f>
        <v/>
      </c>
      <c r="T479" s="27" t="str" cm="1">
        <f t="array" ref="T479">IF(_xlfn.XLOOKUP($A479&amp;$B479&amp;$C479,盘货信息!$A:$A&amp;盘货信息!$B:$B&amp;盘货信息!$C:$C,盘货信息!$R:$R)&lt;1,"","【以旧换新】"&amp;"享补贴"&amp;ROUND(_xlfn.XLOOKUP($A479&amp;$B479&amp;$C479,盘货信息!$A:$A&amp;盘货信息!$B:$B&amp;盘货信息!$C:$C,盘货信息!$R:$R),0)&amp;"元（可无旧机换新）")</f>
        <v/>
      </c>
      <c r="U479" s="27" t="str">
        <f>IF(AND($N479="",$O479="",$P479="",$Q479="",$R479="",$S479="",$T479=""),"",固定信息!$B$1)</f>
        <v/>
      </c>
      <c r="V479" s="27" t="str" cm="1">
        <f t="array" ref="V479">IF(_xlfn.XLOOKUP($A479&amp;$B479&amp;$C479,盘货信息!$A:$A&amp;盘货信息!$B:$B&amp;盘货信息!$C:$C,盘货信息!$Y:$Y)="","","【卡萨帝送赠】活动指定时间"&amp;_xlfn.TEXTBEFORE(_xlfn.TEXTAFTER(_xlfn.XLOOKUP($A479&amp;$B479&amp;$C479,盘货信息!$A:$A&amp;盘货信息!$B:$B&amp;盘货信息!$C:$C,盘货信息!$Y:$Y),"点"),"（"))</f>
        <v/>
      </c>
      <c r="W479" s="27" t="str" cm="1">
        <f t="array" ref="W479">IF(COUNTIF(_xlfn.XLOOKUP($A479&amp;$B479&amp;$C479,盘货信息!$A:$A&amp;盘货信息!$B:$B&amp;盘货信息!$C:$C,盘货信息!$O:$O),"*是*"),"【折扣】指定型号满2类享96折，满3类享94折","")</f>
        <v/>
      </c>
      <c r="X479" s="27" t="str" cm="1">
        <f t="array" ref="X479">IF(固定信息!$B$7="","",IF(_xlfn.XLOOKUP($A479&amp;$B479&amp;$C479,盘货信息!$A:$A&amp;盘货信息!$B:$B&amp;盘货信息!$C:$C,盘货信息!$N:$N)="是","【瓜分】"&amp;固定信息!$B$7,""))</f>
        <v/>
      </c>
      <c r="Y479" s="27" t="str">
        <f>IF(AND($V479="",$W479="",$X479=""),"",固定信息!$B$1)</f>
        <v/>
      </c>
      <c r="Z479" s="27" t="str" cm="1">
        <f t="array" ref="Z479">IF($C479="","",_xlfn.XLOOKUP($A479&amp;$B479&amp;$C479,服务!$A:$A&amp;服务!$B:$B&amp;服务!$C:$C,服务!$D:$D))</f>
        <v/>
      </c>
    </row>
    <row r="480" customHeight="1" spans="1:26">
      <c r="A480" s="23" t="str">
        <f>IF(盘货信息!A480="","",盘货信息!A480)</f>
        <v/>
      </c>
      <c r="B480" s="26" t="str">
        <f>IF(盘货信息!B480="","",盘货信息!B480)</f>
        <v/>
      </c>
      <c r="C480" s="23" t="str">
        <f>IF(盘货信息!C480="","",盘货信息!C480)</f>
        <v/>
      </c>
      <c r="D480" s="27" t="str">
        <f ca="1" t="shared" si="7"/>
        <v/>
      </c>
      <c r="E480" s="27" t="str">
        <f>IF(C480="","",固定信息!$B$2)</f>
        <v/>
      </c>
      <c r="F480" s="27" t="str">
        <f>IF(C480="","","【"&amp;C480&amp;"】"&amp;固定信息!$B$4)</f>
        <v/>
      </c>
      <c r="G480" s="27" t="str">
        <f>IF(C480="","","【"&amp;"活动时间："&amp;固定信息!$B$3&amp;"】")</f>
        <v/>
      </c>
      <c r="H480" s="27" t="str">
        <f>IF($C480="","",固定信息!$B$1)</f>
        <v/>
      </c>
      <c r="I480" s="27" t="str">
        <f>IF(OR(C480="",固定信息!$B$5=""),"","【1元预约锁好礼】"&amp;固定信息!$B$5)</f>
        <v/>
      </c>
      <c r="J480" s="27" t="str" cm="1">
        <f t="array" ref="J480">_xlfn.XLOOKUP($A480&amp;$B480&amp;$C480,价格信息!$A:$A&amp;价格信息!$B:$B&amp;价格信息!$C:$C,价格信息!$D:$D)</f>
        <v/>
      </c>
      <c r="K480" s="27" t="str">
        <f>IF($C480="","",固定信息!$B$1)</f>
        <v/>
      </c>
      <c r="L480" s="27" t="str" cm="1">
        <f t="array" ref="L480">IF(_xlfn.XLOOKUP($A480&amp;$B480&amp;$C480,盘货信息!$A:$A&amp;盘货信息!$B:$B&amp;盘货信息!$C:$C,盘货信息!$T:$T)="","","【优惠券】领"&amp;_xlfn.XLOOKUP($A480&amp;$B480&amp;$C480,盘货信息!$A:$A&amp;盘货信息!$B:$B&amp;盘货信息!$C:$C,盘货信息!$T:$T)&amp;"元优惠卷下单更优惠，领券链接："&amp;_xlfn.XLOOKUP($A480&amp;$B480&amp;$C480,盘货信息!$A:$A&amp;盘货信息!$B:$B&amp;盘货信息!$C:$C,盘货信息!$U:$U))</f>
        <v/>
      </c>
      <c r="M480" s="27" t="str" cm="1">
        <f t="array" ref="M480">IF(_xlfn.XLOOKUP($A480&amp;$B480&amp;$C480,盘货信息!$A:$A&amp;盘货信息!$B:$B&amp;盘货信息!$C:$C,盘货信息!$P:$P)="","","【限时】"&amp;_xlfn.XLOOKUP($A480&amp;$B480&amp;$C480,盘货信息!$A:$A&amp;盘货信息!$B:$B&amp;盘货信息!$C:$C,盘货信息!$P:$P))</f>
        <v/>
      </c>
      <c r="N480" s="27" t="str" cm="1">
        <f t="array" ref="N480">IF(_xlfn.XLOOKUP($A480&amp;$B480&amp;$C480,盘货信息!$A:$A&amp;盘货信息!$B:$B&amp;盘货信息!$C:$C,盘货信息!$V:$V)="","","【"&amp;盘货信息!$V$1&amp;"】"&amp;_xlfn.XLOOKUP($A480&amp;$B480&amp;$C480,盘货信息!$A:$A&amp;盘货信息!$B:$B&amp;盘货信息!$C:$C,盘货信息!$V:$V))</f>
        <v/>
      </c>
      <c r="O480" s="27" t="str" cm="1">
        <f t="array" ref="O480">IF(_xlfn.XLOOKUP($A480&amp;$B480&amp;$C480,盘货信息!$A:$A&amp;盘货信息!$B:$B&amp;盘货信息!$C:$C,盘货信息!$W:$W)="","","【"&amp;盘货信息!$W$1&amp;"】"&amp;_xlfn.XLOOKUP($A480&amp;$B480&amp;$C480,盘货信息!$A:$A&amp;盘货信息!$B:$B&amp;盘货信息!$C:$C,盘货信息!$W:$W))</f>
        <v/>
      </c>
      <c r="P480" s="27" t="str" cm="1">
        <f t="array" ref="P480">IF(_xlfn.XLOOKUP($A480&amp;$B480&amp;$C480,盘货信息!$A:$A&amp;盘货信息!$B:$B&amp;盘货信息!$C:$C,盘货信息!$S:$S)&lt;1,"","【"&amp;盘货信息!$S$1&amp;"】"&amp;"后返"&amp;_xlfn.XLOOKUP($A480&amp;$B480&amp;$C480,盘货信息!$A:$A&amp;盘货信息!$B:$B&amp;盘货信息!$C:$C,盘货信息!$S:$S)&amp;"元")</f>
        <v/>
      </c>
      <c r="Q480" s="27" t="str" cm="1">
        <f t="array" ref="Q480">IF(_xlfn.XLOOKUP($A480&amp;$B480&amp;$C480,盘货信息!$A:$A&amp;盘货信息!$B:$B&amp;盘货信息!$C:$C,盘货信息!$X:$X)="","","【"&amp;盘货信息!$X$1&amp;"】"&amp;_xlfn.XLOOKUP($A480&amp;$B480&amp;$C480,盘货信息!$A:$A&amp;盘货信息!$B:$B&amp;盘货信息!$C:$C,盘货信息!$X:$X))</f>
        <v/>
      </c>
      <c r="R480" s="27" t="str" cm="1">
        <f t="array" ref="R480">IF(_xlfn.XLOOKUP($A480&amp;$B480&amp;$C480,盘货信息!$A:$A&amp;盘货信息!$B:$B&amp;盘货信息!$C:$C,盘货信息!$Z:$Z)="","","【"&amp;盘货信息!$Z$1&amp;"】"&amp;_xlfn.XLOOKUP($A480&amp;$B480&amp;$C480,盘货信息!$A:$A&amp;盘货信息!$B:$B&amp;盘货信息!$C:$C,盘货信息!$Z:$Z))</f>
        <v/>
      </c>
      <c r="S480" s="27" t="str" cm="1">
        <f t="array" ref="S480">IF(_xlfn.XLOOKUP($A480&amp;$B480&amp;$C480,盘货信息!$A:$A&amp;盘货信息!$B:$B&amp;盘货信息!$C:$C,盘货信息!$Q:$Q)="","","【种草】站外带指定话题种草后返"&amp;_xlfn.XLOOKUP($A480&amp;$B480&amp;$C480,盘货信息!$A:$A&amp;盘货信息!$B:$B&amp;盘货信息!$C:$C,盘货信息!$Q:$Q)&amp;"元红包（每个淘宝账号仅限对应一个站外种草账号，同一个种草账号不可对应多个淘宝账号）")</f>
        <v/>
      </c>
      <c r="T480" s="27" t="str" cm="1">
        <f t="array" ref="T480">IF(_xlfn.XLOOKUP($A480&amp;$B480&amp;$C480,盘货信息!$A:$A&amp;盘货信息!$B:$B&amp;盘货信息!$C:$C,盘货信息!$R:$R)&lt;1,"","【以旧换新】"&amp;"享补贴"&amp;ROUND(_xlfn.XLOOKUP($A480&amp;$B480&amp;$C480,盘货信息!$A:$A&amp;盘货信息!$B:$B&amp;盘货信息!$C:$C,盘货信息!$R:$R),0)&amp;"元（可无旧机换新）")</f>
        <v/>
      </c>
      <c r="U480" s="27" t="str">
        <f>IF(AND($N480="",$O480="",$P480="",$Q480="",$R480="",$S480="",$T480=""),"",固定信息!$B$1)</f>
        <v/>
      </c>
      <c r="V480" s="27" t="str" cm="1">
        <f t="array" ref="V480">IF(_xlfn.XLOOKUP($A480&amp;$B480&amp;$C480,盘货信息!$A:$A&amp;盘货信息!$B:$B&amp;盘货信息!$C:$C,盘货信息!$Y:$Y)="","","【卡萨帝送赠】活动指定时间"&amp;_xlfn.TEXTBEFORE(_xlfn.TEXTAFTER(_xlfn.XLOOKUP($A480&amp;$B480&amp;$C480,盘货信息!$A:$A&amp;盘货信息!$B:$B&amp;盘货信息!$C:$C,盘货信息!$Y:$Y),"点"),"（"))</f>
        <v/>
      </c>
      <c r="W480" s="27" t="str" cm="1">
        <f t="array" ref="W480">IF(COUNTIF(_xlfn.XLOOKUP($A480&amp;$B480&amp;$C480,盘货信息!$A:$A&amp;盘货信息!$B:$B&amp;盘货信息!$C:$C,盘货信息!$O:$O),"*是*"),"【折扣】指定型号满2类享96折，满3类享94折","")</f>
        <v/>
      </c>
      <c r="X480" s="27" t="str" cm="1">
        <f t="array" ref="X480">IF(固定信息!$B$7="","",IF(_xlfn.XLOOKUP($A480&amp;$B480&amp;$C480,盘货信息!$A:$A&amp;盘货信息!$B:$B&amp;盘货信息!$C:$C,盘货信息!$N:$N)="是","【瓜分】"&amp;固定信息!$B$7,""))</f>
        <v/>
      </c>
      <c r="Y480" s="27" t="str">
        <f>IF(AND($V480="",$W480="",$X480=""),"",固定信息!$B$1)</f>
        <v/>
      </c>
      <c r="Z480" s="27" t="str" cm="1">
        <f t="array" ref="Z480">IF($C480="","",_xlfn.XLOOKUP($A480&amp;$B480&amp;$C480,服务!$A:$A&amp;服务!$B:$B&amp;服务!$C:$C,服务!$D:$D))</f>
        <v/>
      </c>
    </row>
    <row r="481" customHeight="1" spans="1:26">
      <c r="A481" s="23" t="str">
        <f>IF(盘货信息!A481="","",盘货信息!A481)</f>
        <v/>
      </c>
      <c r="B481" s="26" t="str">
        <f>IF(盘货信息!B481="","",盘货信息!B481)</f>
        <v/>
      </c>
      <c r="C481" s="23" t="str">
        <f>IF(盘货信息!C481="","",盘货信息!C481)</f>
        <v/>
      </c>
      <c r="D481" s="27" t="str">
        <f ca="1" t="shared" si="7"/>
        <v/>
      </c>
      <c r="E481" s="27" t="str">
        <f>IF(C481="","",固定信息!$B$2)</f>
        <v/>
      </c>
      <c r="F481" s="27" t="str">
        <f>IF(C481="","","【"&amp;C481&amp;"】"&amp;固定信息!$B$4)</f>
        <v/>
      </c>
      <c r="G481" s="27" t="str">
        <f>IF(C481="","","【"&amp;"活动时间："&amp;固定信息!$B$3&amp;"】")</f>
        <v/>
      </c>
      <c r="H481" s="27" t="str">
        <f>IF($C481="","",固定信息!$B$1)</f>
        <v/>
      </c>
      <c r="I481" s="27" t="str">
        <f>IF(OR(C481="",固定信息!$B$5=""),"","【1元预约锁好礼】"&amp;固定信息!$B$5)</f>
        <v/>
      </c>
      <c r="J481" s="27" t="str" cm="1">
        <f t="array" ref="J481">_xlfn.XLOOKUP($A481&amp;$B481&amp;$C481,价格信息!$A:$A&amp;价格信息!$B:$B&amp;价格信息!$C:$C,价格信息!$D:$D)</f>
        <v/>
      </c>
      <c r="K481" s="27" t="str">
        <f>IF($C481="","",固定信息!$B$1)</f>
        <v/>
      </c>
      <c r="L481" s="27" t="str" cm="1">
        <f t="array" ref="L481">IF(_xlfn.XLOOKUP($A481&amp;$B481&amp;$C481,盘货信息!$A:$A&amp;盘货信息!$B:$B&amp;盘货信息!$C:$C,盘货信息!$T:$T)="","","【优惠券】领"&amp;_xlfn.XLOOKUP($A481&amp;$B481&amp;$C481,盘货信息!$A:$A&amp;盘货信息!$B:$B&amp;盘货信息!$C:$C,盘货信息!$T:$T)&amp;"元优惠卷下单更优惠，领券链接："&amp;_xlfn.XLOOKUP($A481&amp;$B481&amp;$C481,盘货信息!$A:$A&amp;盘货信息!$B:$B&amp;盘货信息!$C:$C,盘货信息!$U:$U))</f>
        <v/>
      </c>
      <c r="M481" s="27" t="str" cm="1">
        <f t="array" ref="M481">IF(_xlfn.XLOOKUP($A481&amp;$B481&amp;$C481,盘货信息!$A:$A&amp;盘货信息!$B:$B&amp;盘货信息!$C:$C,盘货信息!$P:$P)="","","【限时】"&amp;_xlfn.XLOOKUP($A481&amp;$B481&amp;$C481,盘货信息!$A:$A&amp;盘货信息!$B:$B&amp;盘货信息!$C:$C,盘货信息!$P:$P))</f>
        <v/>
      </c>
      <c r="N481" s="27" t="str" cm="1">
        <f t="array" ref="N481">IF(_xlfn.XLOOKUP($A481&amp;$B481&amp;$C481,盘货信息!$A:$A&amp;盘货信息!$B:$B&amp;盘货信息!$C:$C,盘货信息!$V:$V)="","","【"&amp;盘货信息!$V$1&amp;"】"&amp;_xlfn.XLOOKUP($A481&amp;$B481&amp;$C481,盘货信息!$A:$A&amp;盘货信息!$B:$B&amp;盘货信息!$C:$C,盘货信息!$V:$V))</f>
        <v/>
      </c>
      <c r="O481" s="27" t="str" cm="1">
        <f t="array" ref="O481">IF(_xlfn.XLOOKUP($A481&amp;$B481&amp;$C481,盘货信息!$A:$A&amp;盘货信息!$B:$B&amp;盘货信息!$C:$C,盘货信息!$W:$W)="","","【"&amp;盘货信息!$W$1&amp;"】"&amp;_xlfn.XLOOKUP($A481&amp;$B481&amp;$C481,盘货信息!$A:$A&amp;盘货信息!$B:$B&amp;盘货信息!$C:$C,盘货信息!$W:$W))</f>
        <v/>
      </c>
      <c r="P481" s="27" t="str" cm="1">
        <f t="array" ref="P481">IF(_xlfn.XLOOKUP($A481&amp;$B481&amp;$C481,盘货信息!$A:$A&amp;盘货信息!$B:$B&amp;盘货信息!$C:$C,盘货信息!$S:$S)&lt;1,"","【"&amp;盘货信息!$S$1&amp;"】"&amp;"后返"&amp;_xlfn.XLOOKUP($A481&amp;$B481&amp;$C481,盘货信息!$A:$A&amp;盘货信息!$B:$B&amp;盘货信息!$C:$C,盘货信息!$S:$S)&amp;"元")</f>
        <v/>
      </c>
      <c r="Q481" s="27" t="str" cm="1">
        <f t="array" ref="Q481">IF(_xlfn.XLOOKUP($A481&amp;$B481&amp;$C481,盘货信息!$A:$A&amp;盘货信息!$B:$B&amp;盘货信息!$C:$C,盘货信息!$X:$X)="","","【"&amp;盘货信息!$X$1&amp;"】"&amp;_xlfn.XLOOKUP($A481&amp;$B481&amp;$C481,盘货信息!$A:$A&amp;盘货信息!$B:$B&amp;盘货信息!$C:$C,盘货信息!$X:$X))</f>
        <v/>
      </c>
      <c r="R481" s="27" t="str" cm="1">
        <f t="array" ref="R481">IF(_xlfn.XLOOKUP($A481&amp;$B481&amp;$C481,盘货信息!$A:$A&amp;盘货信息!$B:$B&amp;盘货信息!$C:$C,盘货信息!$Z:$Z)="","","【"&amp;盘货信息!$Z$1&amp;"】"&amp;_xlfn.XLOOKUP($A481&amp;$B481&amp;$C481,盘货信息!$A:$A&amp;盘货信息!$B:$B&amp;盘货信息!$C:$C,盘货信息!$Z:$Z))</f>
        <v/>
      </c>
      <c r="S481" s="27" t="str" cm="1">
        <f t="array" ref="S481">IF(_xlfn.XLOOKUP($A481&amp;$B481&amp;$C481,盘货信息!$A:$A&amp;盘货信息!$B:$B&amp;盘货信息!$C:$C,盘货信息!$Q:$Q)="","","【种草】站外带指定话题种草后返"&amp;_xlfn.XLOOKUP($A481&amp;$B481&amp;$C481,盘货信息!$A:$A&amp;盘货信息!$B:$B&amp;盘货信息!$C:$C,盘货信息!$Q:$Q)&amp;"元红包（每个淘宝账号仅限对应一个站外种草账号，同一个种草账号不可对应多个淘宝账号）")</f>
        <v/>
      </c>
      <c r="T481" s="27" t="str" cm="1">
        <f t="array" ref="T481">IF(_xlfn.XLOOKUP($A481&amp;$B481&amp;$C481,盘货信息!$A:$A&amp;盘货信息!$B:$B&amp;盘货信息!$C:$C,盘货信息!$R:$R)&lt;1,"","【以旧换新】"&amp;"享补贴"&amp;ROUND(_xlfn.XLOOKUP($A481&amp;$B481&amp;$C481,盘货信息!$A:$A&amp;盘货信息!$B:$B&amp;盘货信息!$C:$C,盘货信息!$R:$R),0)&amp;"元（可无旧机换新）")</f>
        <v/>
      </c>
      <c r="U481" s="27" t="str">
        <f>IF(AND($N481="",$O481="",$P481="",$Q481="",$R481="",$S481="",$T481=""),"",固定信息!$B$1)</f>
        <v/>
      </c>
      <c r="V481" s="27" t="str" cm="1">
        <f t="array" ref="V481">IF(_xlfn.XLOOKUP($A481&amp;$B481&amp;$C481,盘货信息!$A:$A&amp;盘货信息!$B:$B&amp;盘货信息!$C:$C,盘货信息!$Y:$Y)="","","【卡萨帝送赠】活动指定时间"&amp;_xlfn.TEXTBEFORE(_xlfn.TEXTAFTER(_xlfn.XLOOKUP($A481&amp;$B481&amp;$C481,盘货信息!$A:$A&amp;盘货信息!$B:$B&amp;盘货信息!$C:$C,盘货信息!$Y:$Y),"点"),"（"))</f>
        <v/>
      </c>
      <c r="W481" s="27" t="str" cm="1">
        <f t="array" ref="W481">IF(COUNTIF(_xlfn.XLOOKUP($A481&amp;$B481&amp;$C481,盘货信息!$A:$A&amp;盘货信息!$B:$B&amp;盘货信息!$C:$C,盘货信息!$O:$O),"*是*"),"【折扣】指定型号满2类享96折，满3类享94折","")</f>
        <v/>
      </c>
      <c r="X481" s="27" t="str" cm="1">
        <f t="array" ref="X481">IF(固定信息!$B$7="","",IF(_xlfn.XLOOKUP($A481&amp;$B481&amp;$C481,盘货信息!$A:$A&amp;盘货信息!$B:$B&amp;盘货信息!$C:$C,盘货信息!$N:$N)="是","【瓜分】"&amp;固定信息!$B$7,""))</f>
        <v/>
      </c>
      <c r="Y481" s="27" t="str">
        <f>IF(AND($V481="",$W481="",$X481=""),"",固定信息!$B$1)</f>
        <v/>
      </c>
      <c r="Z481" s="27" t="str" cm="1">
        <f t="array" ref="Z481">IF($C481="","",_xlfn.XLOOKUP($A481&amp;$B481&amp;$C481,服务!$A:$A&amp;服务!$B:$B&amp;服务!$C:$C,服务!$D:$D))</f>
        <v/>
      </c>
    </row>
    <row r="482" customHeight="1" spans="1:26">
      <c r="A482" s="23" t="str">
        <f>IF(盘货信息!A482="","",盘货信息!A482)</f>
        <v/>
      </c>
      <c r="B482" s="26" t="str">
        <f>IF(盘货信息!B482="","",盘货信息!B482)</f>
        <v/>
      </c>
      <c r="C482" s="23" t="str">
        <f>IF(盘货信息!C482="","",盘货信息!C482)</f>
        <v/>
      </c>
      <c r="D482" s="27" t="str">
        <f ca="1" t="shared" si="7"/>
        <v/>
      </c>
      <c r="E482" s="27" t="str">
        <f>IF(C482="","",固定信息!$B$2)</f>
        <v/>
      </c>
      <c r="F482" s="27" t="str">
        <f>IF(C482="","","【"&amp;C482&amp;"】"&amp;固定信息!$B$4)</f>
        <v/>
      </c>
      <c r="G482" s="27" t="str">
        <f>IF(C482="","","【"&amp;"活动时间："&amp;固定信息!$B$3&amp;"】")</f>
        <v/>
      </c>
      <c r="H482" s="27" t="str">
        <f>IF($C482="","",固定信息!$B$1)</f>
        <v/>
      </c>
      <c r="I482" s="27" t="str">
        <f>IF(OR(C482="",固定信息!$B$5=""),"","【1元预约锁好礼】"&amp;固定信息!$B$5)</f>
        <v/>
      </c>
      <c r="J482" s="27" t="str" cm="1">
        <f t="array" ref="J482">_xlfn.XLOOKUP($A482&amp;$B482&amp;$C482,价格信息!$A:$A&amp;价格信息!$B:$B&amp;价格信息!$C:$C,价格信息!$D:$D)</f>
        <v/>
      </c>
      <c r="K482" s="27" t="str">
        <f>IF($C482="","",固定信息!$B$1)</f>
        <v/>
      </c>
      <c r="L482" s="27" t="str" cm="1">
        <f t="array" ref="L482">IF(_xlfn.XLOOKUP($A482&amp;$B482&amp;$C482,盘货信息!$A:$A&amp;盘货信息!$B:$B&amp;盘货信息!$C:$C,盘货信息!$T:$T)="","","【优惠券】领"&amp;_xlfn.XLOOKUP($A482&amp;$B482&amp;$C482,盘货信息!$A:$A&amp;盘货信息!$B:$B&amp;盘货信息!$C:$C,盘货信息!$T:$T)&amp;"元优惠卷下单更优惠，领券链接："&amp;_xlfn.XLOOKUP($A482&amp;$B482&amp;$C482,盘货信息!$A:$A&amp;盘货信息!$B:$B&amp;盘货信息!$C:$C,盘货信息!$U:$U))</f>
        <v/>
      </c>
      <c r="M482" s="27" t="str" cm="1">
        <f t="array" ref="M482">IF(_xlfn.XLOOKUP($A482&amp;$B482&amp;$C482,盘货信息!$A:$A&amp;盘货信息!$B:$B&amp;盘货信息!$C:$C,盘货信息!$P:$P)="","","【限时】"&amp;_xlfn.XLOOKUP($A482&amp;$B482&amp;$C482,盘货信息!$A:$A&amp;盘货信息!$B:$B&amp;盘货信息!$C:$C,盘货信息!$P:$P))</f>
        <v/>
      </c>
      <c r="N482" s="27" t="str" cm="1">
        <f t="array" ref="N482">IF(_xlfn.XLOOKUP($A482&amp;$B482&amp;$C482,盘货信息!$A:$A&amp;盘货信息!$B:$B&amp;盘货信息!$C:$C,盘货信息!$V:$V)="","","【"&amp;盘货信息!$V$1&amp;"】"&amp;_xlfn.XLOOKUP($A482&amp;$B482&amp;$C482,盘货信息!$A:$A&amp;盘货信息!$B:$B&amp;盘货信息!$C:$C,盘货信息!$V:$V))</f>
        <v/>
      </c>
      <c r="O482" s="27" t="str" cm="1">
        <f t="array" ref="O482">IF(_xlfn.XLOOKUP($A482&amp;$B482&amp;$C482,盘货信息!$A:$A&amp;盘货信息!$B:$B&amp;盘货信息!$C:$C,盘货信息!$W:$W)="","","【"&amp;盘货信息!$W$1&amp;"】"&amp;_xlfn.XLOOKUP($A482&amp;$B482&amp;$C482,盘货信息!$A:$A&amp;盘货信息!$B:$B&amp;盘货信息!$C:$C,盘货信息!$W:$W))</f>
        <v/>
      </c>
      <c r="P482" s="27" t="str" cm="1">
        <f t="array" ref="P482">IF(_xlfn.XLOOKUP($A482&amp;$B482&amp;$C482,盘货信息!$A:$A&amp;盘货信息!$B:$B&amp;盘货信息!$C:$C,盘货信息!$S:$S)&lt;1,"","【"&amp;盘货信息!$S$1&amp;"】"&amp;"后返"&amp;_xlfn.XLOOKUP($A482&amp;$B482&amp;$C482,盘货信息!$A:$A&amp;盘货信息!$B:$B&amp;盘货信息!$C:$C,盘货信息!$S:$S)&amp;"元")</f>
        <v/>
      </c>
      <c r="Q482" s="27" t="str" cm="1">
        <f t="array" ref="Q482">IF(_xlfn.XLOOKUP($A482&amp;$B482&amp;$C482,盘货信息!$A:$A&amp;盘货信息!$B:$B&amp;盘货信息!$C:$C,盘货信息!$X:$X)="","","【"&amp;盘货信息!$X$1&amp;"】"&amp;_xlfn.XLOOKUP($A482&amp;$B482&amp;$C482,盘货信息!$A:$A&amp;盘货信息!$B:$B&amp;盘货信息!$C:$C,盘货信息!$X:$X))</f>
        <v/>
      </c>
      <c r="R482" s="27" t="str" cm="1">
        <f t="array" ref="R482">IF(_xlfn.XLOOKUP($A482&amp;$B482&amp;$C482,盘货信息!$A:$A&amp;盘货信息!$B:$B&amp;盘货信息!$C:$C,盘货信息!$Z:$Z)="","","【"&amp;盘货信息!$Z$1&amp;"】"&amp;_xlfn.XLOOKUP($A482&amp;$B482&amp;$C482,盘货信息!$A:$A&amp;盘货信息!$B:$B&amp;盘货信息!$C:$C,盘货信息!$Z:$Z))</f>
        <v/>
      </c>
      <c r="S482" s="27" t="str" cm="1">
        <f t="array" ref="S482">IF(_xlfn.XLOOKUP($A482&amp;$B482&amp;$C482,盘货信息!$A:$A&amp;盘货信息!$B:$B&amp;盘货信息!$C:$C,盘货信息!$Q:$Q)="","","【种草】站外带指定话题种草后返"&amp;_xlfn.XLOOKUP($A482&amp;$B482&amp;$C482,盘货信息!$A:$A&amp;盘货信息!$B:$B&amp;盘货信息!$C:$C,盘货信息!$Q:$Q)&amp;"元红包（每个淘宝账号仅限对应一个站外种草账号，同一个种草账号不可对应多个淘宝账号）")</f>
        <v/>
      </c>
      <c r="T482" s="27" t="str" cm="1">
        <f t="array" ref="T482">IF(_xlfn.XLOOKUP($A482&amp;$B482&amp;$C482,盘货信息!$A:$A&amp;盘货信息!$B:$B&amp;盘货信息!$C:$C,盘货信息!$R:$R)&lt;1,"","【以旧换新】"&amp;"享补贴"&amp;ROUND(_xlfn.XLOOKUP($A482&amp;$B482&amp;$C482,盘货信息!$A:$A&amp;盘货信息!$B:$B&amp;盘货信息!$C:$C,盘货信息!$R:$R),0)&amp;"元（可无旧机换新）")</f>
        <v/>
      </c>
      <c r="U482" s="27" t="str">
        <f>IF(AND($N482="",$O482="",$P482="",$Q482="",$R482="",$S482="",$T482=""),"",固定信息!$B$1)</f>
        <v/>
      </c>
      <c r="V482" s="27" t="str" cm="1">
        <f t="array" ref="V482">IF(_xlfn.XLOOKUP($A482&amp;$B482&amp;$C482,盘货信息!$A:$A&amp;盘货信息!$B:$B&amp;盘货信息!$C:$C,盘货信息!$Y:$Y)="","","【卡萨帝送赠】活动指定时间"&amp;_xlfn.TEXTBEFORE(_xlfn.TEXTAFTER(_xlfn.XLOOKUP($A482&amp;$B482&amp;$C482,盘货信息!$A:$A&amp;盘货信息!$B:$B&amp;盘货信息!$C:$C,盘货信息!$Y:$Y),"点"),"（"))</f>
        <v/>
      </c>
      <c r="W482" s="27" t="str" cm="1">
        <f t="array" ref="W482">IF(COUNTIF(_xlfn.XLOOKUP($A482&amp;$B482&amp;$C482,盘货信息!$A:$A&amp;盘货信息!$B:$B&amp;盘货信息!$C:$C,盘货信息!$O:$O),"*是*"),"【折扣】指定型号满2类享96折，满3类享94折","")</f>
        <v/>
      </c>
      <c r="X482" s="27" t="str" cm="1">
        <f t="array" ref="X482">IF(固定信息!$B$7="","",IF(_xlfn.XLOOKUP($A482&amp;$B482&amp;$C482,盘货信息!$A:$A&amp;盘货信息!$B:$B&amp;盘货信息!$C:$C,盘货信息!$N:$N)="是","【瓜分】"&amp;固定信息!$B$7,""))</f>
        <v/>
      </c>
      <c r="Y482" s="27" t="str">
        <f>IF(AND($V482="",$W482="",$X482=""),"",固定信息!$B$1)</f>
        <v/>
      </c>
      <c r="Z482" s="27" t="str" cm="1">
        <f t="array" ref="Z482">IF($C482="","",_xlfn.XLOOKUP($A482&amp;$B482&amp;$C482,服务!$A:$A&amp;服务!$B:$B&amp;服务!$C:$C,服务!$D:$D))</f>
        <v/>
      </c>
    </row>
    <row r="483" customHeight="1" spans="1:26">
      <c r="A483" s="23" t="str">
        <f>IF(盘货信息!A483="","",盘货信息!A483)</f>
        <v/>
      </c>
      <c r="B483" s="26" t="str">
        <f>IF(盘货信息!B483="","",盘货信息!B483)</f>
        <v/>
      </c>
      <c r="C483" s="23" t="str">
        <f>IF(盘货信息!C483="","",盘货信息!C483)</f>
        <v/>
      </c>
      <c r="D483" s="27" t="str">
        <f ca="1" t="shared" si="7"/>
        <v/>
      </c>
      <c r="E483" s="27" t="str">
        <f>IF(C483="","",固定信息!$B$2)</f>
        <v/>
      </c>
      <c r="F483" s="27" t="str">
        <f>IF(C483="","","【"&amp;C483&amp;"】"&amp;固定信息!$B$4)</f>
        <v/>
      </c>
      <c r="G483" s="27" t="str">
        <f>IF(C483="","","【"&amp;"活动时间："&amp;固定信息!$B$3&amp;"】")</f>
        <v/>
      </c>
      <c r="H483" s="27" t="str">
        <f>IF($C483="","",固定信息!$B$1)</f>
        <v/>
      </c>
      <c r="I483" s="27" t="str">
        <f>IF(OR(C483="",固定信息!$B$5=""),"","【1元预约锁好礼】"&amp;固定信息!$B$5)</f>
        <v/>
      </c>
      <c r="J483" s="27" t="str" cm="1">
        <f t="array" ref="J483">_xlfn.XLOOKUP($A483&amp;$B483&amp;$C483,价格信息!$A:$A&amp;价格信息!$B:$B&amp;价格信息!$C:$C,价格信息!$D:$D)</f>
        <v/>
      </c>
      <c r="K483" s="27" t="str">
        <f>IF($C483="","",固定信息!$B$1)</f>
        <v/>
      </c>
      <c r="L483" s="27" t="str" cm="1">
        <f t="array" ref="L483">IF(_xlfn.XLOOKUP($A483&amp;$B483&amp;$C483,盘货信息!$A:$A&amp;盘货信息!$B:$B&amp;盘货信息!$C:$C,盘货信息!$T:$T)="","","【优惠券】领"&amp;_xlfn.XLOOKUP($A483&amp;$B483&amp;$C483,盘货信息!$A:$A&amp;盘货信息!$B:$B&amp;盘货信息!$C:$C,盘货信息!$T:$T)&amp;"元优惠卷下单更优惠，领券链接："&amp;_xlfn.XLOOKUP($A483&amp;$B483&amp;$C483,盘货信息!$A:$A&amp;盘货信息!$B:$B&amp;盘货信息!$C:$C,盘货信息!$U:$U))</f>
        <v/>
      </c>
      <c r="M483" s="27" t="str" cm="1">
        <f t="array" ref="M483">IF(_xlfn.XLOOKUP($A483&amp;$B483&amp;$C483,盘货信息!$A:$A&amp;盘货信息!$B:$B&amp;盘货信息!$C:$C,盘货信息!$P:$P)="","","【限时】"&amp;_xlfn.XLOOKUP($A483&amp;$B483&amp;$C483,盘货信息!$A:$A&amp;盘货信息!$B:$B&amp;盘货信息!$C:$C,盘货信息!$P:$P))</f>
        <v/>
      </c>
      <c r="N483" s="27" t="str" cm="1">
        <f t="array" ref="N483">IF(_xlfn.XLOOKUP($A483&amp;$B483&amp;$C483,盘货信息!$A:$A&amp;盘货信息!$B:$B&amp;盘货信息!$C:$C,盘货信息!$V:$V)="","","【"&amp;盘货信息!$V$1&amp;"】"&amp;_xlfn.XLOOKUP($A483&amp;$B483&amp;$C483,盘货信息!$A:$A&amp;盘货信息!$B:$B&amp;盘货信息!$C:$C,盘货信息!$V:$V))</f>
        <v/>
      </c>
      <c r="O483" s="27" t="str" cm="1">
        <f t="array" ref="O483">IF(_xlfn.XLOOKUP($A483&amp;$B483&amp;$C483,盘货信息!$A:$A&amp;盘货信息!$B:$B&amp;盘货信息!$C:$C,盘货信息!$W:$W)="","","【"&amp;盘货信息!$W$1&amp;"】"&amp;_xlfn.XLOOKUP($A483&amp;$B483&amp;$C483,盘货信息!$A:$A&amp;盘货信息!$B:$B&amp;盘货信息!$C:$C,盘货信息!$W:$W))</f>
        <v/>
      </c>
      <c r="P483" s="27" t="str" cm="1">
        <f t="array" ref="P483">IF(_xlfn.XLOOKUP($A483&amp;$B483&amp;$C483,盘货信息!$A:$A&amp;盘货信息!$B:$B&amp;盘货信息!$C:$C,盘货信息!$S:$S)&lt;1,"","【"&amp;盘货信息!$S$1&amp;"】"&amp;"后返"&amp;_xlfn.XLOOKUP($A483&amp;$B483&amp;$C483,盘货信息!$A:$A&amp;盘货信息!$B:$B&amp;盘货信息!$C:$C,盘货信息!$S:$S)&amp;"元")</f>
        <v/>
      </c>
      <c r="Q483" s="27" t="str" cm="1">
        <f t="array" ref="Q483">IF(_xlfn.XLOOKUP($A483&amp;$B483&amp;$C483,盘货信息!$A:$A&amp;盘货信息!$B:$B&amp;盘货信息!$C:$C,盘货信息!$X:$X)="","","【"&amp;盘货信息!$X$1&amp;"】"&amp;_xlfn.XLOOKUP($A483&amp;$B483&amp;$C483,盘货信息!$A:$A&amp;盘货信息!$B:$B&amp;盘货信息!$C:$C,盘货信息!$X:$X))</f>
        <v/>
      </c>
      <c r="R483" s="27" t="str" cm="1">
        <f t="array" ref="R483">IF(_xlfn.XLOOKUP($A483&amp;$B483&amp;$C483,盘货信息!$A:$A&amp;盘货信息!$B:$B&amp;盘货信息!$C:$C,盘货信息!$Z:$Z)="","","【"&amp;盘货信息!$Z$1&amp;"】"&amp;_xlfn.XLOOKUP($A483&amp;$B483&amp;$C483,盘货信息!$A:$A&amp;盘货信息!$B:$B&amp;盘货信息!$C:$C,盘货信息!$Z:$Z))</f>
        <v/>
      </c>
      <c r="S483" s="27" t="str" cm="1">
        <f t="array" ref="S483">IF(_xlfn.XLOOKUP($A483&amp;$B483&amp;$C483,盘货信息!$A:$A&amp;盘货信息!$B:$B&amp;盘货信息!$C:$C,盘货信息!$Q:$Q)="","","【种草】站外带指定话题种草后返"&amp;_xlfn.XLOOKUP($A483&amp;$B483&amp;$C483,盘货信息!$A:$A&amp;盘货信息!$B:$B&amp;盘货信息!$C:$C,盘货信息!$Q:$Q)&amp;"元红包（每个淘宝账号仅限对应一个站外种草账号，同一个种草账号不可对应多个淘宝账号）")</f>
        <v/>
      </c>
      <c r="T483" s="27" t="str" cm="1">
        <f t="array" ref="T483">IF(_xlfn.XLOOKUP($A483&amp;$B483&amp;$C483,盘货信息!$A:$A&amp;盘货信息!$B:$B&amp;盘货信息!$C:$C,盘货信息!$R:$R)&lt;1,"","【以旧换新】"&amp;"享补贴"&amp;ROUND(_xlfn.XLOOKUP($A483&amp;$B483&amp;$C483,盘货信息!$A:$A&amp;盘货信息!$B:$B&amp;盘货信息!$C:$C,盘货信息!$R:$R),0)&amp;"元（可无旧机换新）")</f>
        <v/>
      </c>
      <c r="U483" s="27" t="str">
        <f>IF(AND($N483="",$O483="",$P483="",$Q483="",$R483="",$S483="",$T483=""),"",固定信息!$B$1)</f>
        <v/>
      </c>
      <c r="V483" s="27" t="str" cm="1">
        <f t="array" ref="V483">IF(_xlfn.XLOOKUP($A483&amp;$B483&amp;$C483,盘货信息!$A:$A&amp;盘货信息!$B:$B&amp;盘货信息!$C:$C,盘货信息!$Y:$Y)="","","【卡萨帝送赠】活动指定时间"&amp;_xlfn.TEXTBEFORE(_xlfn.TEXTAFTER(_xlfn.XLOOKUP($A483&amp;$B483&amp;$C483,盘货信息!$A:$A&amp;盘货信息!$B:$B&amp;盘货信息!$C:$C,盘货信息!$Y:$Y),"点"),"（"))</f>
        <v/>
      </c>
      <c r="W483" s="27" t="str" cm="1">
        <f t="array" ref="W483">IF(COUNTIF(_xlfn.XLOOKUP($A483&amp;$B483&amp;$C483,盘货信息!$A:$A&amp;盘货信息!$B:$B&amp;盘货信息!$C:$C,盘货信息!$O:$O),"*是*"),"【折扣】指定型号满2类享96折，满3类享94折","")</f>
        <v/>
      </c>
      <c r="X483" s="27" t="str" cm="1">
        <f t="array" ref="X483">IF(固定信息!$B$7="","",IF(_xlfn.XLOOKUP($A483&amp;$B483&amp;$C483,盘货信息!$A:$A&amp;盘货信息!$B:$B&amp;盘货信息!$C:$C,盘货信息!$N:$N)="是","【瓜分】"&amp;固定信息!$B$7,""))</f>
        <v/>
      </c>
      <c r="Y483" s="27" t="str">
        <f>IF(AND($V483="",$W483="",$X483=""),"",固定信息!$B$1)</f>
        <v/>
      </c>
      <c r="Z483" s="27" t="str" cm="1">
        <f t="array" ref="Z483">IF($C483="","",_xlfn.XLOOKUP($A483&amp;$B483&amp;$C483,服务!$A:$A&amp;服务!$B:$B&amp;服务!$C:$C,服务!$D:$D))</f>
        <v/>
      </c>
    </row>
    <row r="484" customHeight="1" spans="1:26">
      <c r="A484" s="23" t="str">
        <f>IF(盘货信息!A484="","",盘货信息!A484)</f>
        <v/>
      </c>
      <c r="B484" s="26" t="str">
        <f>IF(盘货信息!B484="","",盘货信息!B484)</f>
        <v/>
      </c>
      <c r="C484" s="23" t="str">
        <f>IF(盘货信息!C484="","",盘货信息!C484)</f>
        <v/>
      </c>
      <c r="D484" s="27" t="str">
        <f ca="1" t="shared" si="7"/>
        <v/>
      </c>
      <c r="E484" s="27" t="str">
        <f>IF(C484="","",固定信息!$B$2)</f>
        <v/>
      </c>
      <c r="F484" s="27" t="str">
        <f>IF(C484="","","【"&amp;C484&amp;"】"&amp;固定信息!$B$4)</f>
        <v/>
      </c>
      <c r="G484" s="27" t="str">
        <f>IF(C484="","","【"&amp;"活动时间："&amp;固定信息!$B$3&amp;"】")</f>
        <v/>
      </c>
      <c r="H484" s="27" t="str">
        <f>IF($C484="","",固定信息!$B$1)</f>
        <v/>
      </c>
      <c r="I484" s="27" t="str">
        <f>IF(OR(C484="",固定信息!$B$5=""),"","【1元预约锁好礼】"&amp;固定信息!$B$5)</f>
        <v/>
      </c>
      <c r="J484" s="27" t="str" cm="1">
        <f t="array" ref="J484">_xlfn.XLOOKUP($A484&amp;$B484&amp;$C484,价格信息!$A:$A&amp;价格信息!$B:$B&amp;价格信息!$C:$C,价格信息!$D:$D)</f>
        <v/>
      </c>
      <c r="K484" s="27" t="str">
        <f>IF($C484="","",固定信息!$B$1)</f>
        <v/>
      </c>
      <c r="L484" s="27" t="str" cm="1">
        <f t="array" ref="L484">IF(_xlfn.XLOOKUP($A484&amp;$B484&amp;$C484,盘货信息!$A:$A&amp;盘货信息!$B:$B&amp;盘货信息!$C:$C,盘货信息!$T:$T)="","","【优惠券】领"&amp;_xlfn.XLOOKUP($A484&amp;$B484&amp;$C484,盘货信息!$A:$A&amp;盘货信息!$B:$B&amp;盘货信息!$C:$C,盘货信息!$T:$T)&amp;"元优惠卷下单更优惠，领券链接："&amp;_xlfn.XLOOKUP($A484&amp;$B484&amp;$C484,盘货信息!$A:$A&amp;盘货信息!$B:$B&amp;盘货信息!$C:$C,盘货信息!$U:$U))</f>
        <v/>
      </c>
      <c r="M484" s="27" t="str" cm="1">
        <f t="array" ref="M484">IF(_xlfn.XLOOKUP($A484&amp;$B484&amp;$C484,盘货信息!$A:$A&amp;盘货信息!$B:$B&amp;盘货信息!$C:$C,盘货信息!$P:$P)="","","【限时】"&amp;_xlfn.XLOOKUP($A484&amp;$B484&amp;$C484,盘货信息!$A:$A&amp;盘货信息!$B:$B&amp;盘货信息!$C:$C,盘货信息!$P:$P))</f>
        <v/>
      </c>
      <c r="N484" s="27" t="str" cm="1">
        <f t="array" ref="N484">IF(_xlfn.XLOOKUP($A484&amp;$B484&amp;$C484,盘货信息!$A:$A&amp;盘货信息!$B:$B&amp;盘货信息!$C:$C,盘货信息!$V:$V)="","","【"&amp;盘货信息!$V$1&amp;"】"&amp;_xlfn.XLOOKUP($A484&amp;$B484&amp;$C484,盘货信息!$A:$A&amp;盘货信息!$B:$B&amp;盘货信息!$C:$C,盘货信息!$V:$V))</f>
        <v/>
      </c>
      <c r="O484" s="27" t="str" cm="1">
        <f t="array" ref="O484">IF(_xlfn.XLOOKUP($A484&amp;$B484&amp;$C484,盘货信息!$A:$A&amp;盘货信息!$B:$B&amp;盘货信息!$C:$C,盘货信息!$W:$W)="","","【"&amp;盘货信息!$W$1&amp;"】"&amp;_xlfn.XLOOKUP($A484&amp;$B484&amp;$C484,盘货信息!$A:$A&amp;盘货信息!$B:$B&amp;盘货信息!$C:$C,盘货信息!$W:$W))</f>
        <v/>
      </c>
      <c r="P484" s="27" t="str" cm="1">
        <f t="array" ref="P484">IF(_xlfn.XLOOKUP($A484&amp;$B484&amp;$C484,盘货信息!$A:$A&amp;盘货信息!$B:$B&amp;盘货信息!$C:$C,盘货信息!$S:$S)&lt;1,"","【"&amp;盘货信息!$S$1&amp;"】"&amp;"后返"&amp;_xlfn.XLOOKUP($A484&amp;$B484&amp;$C484,盘货信息!$A:$A&amp;盘货信息!$B:$B&amp;盘货信息!$C:$C,盘货信息!$S:$S)&amp;"元")</f>
        <v/>
      </c>
      <c r="Q484" s="27" t="str" cm="1">
        <f t="array" ref="Q484">IF(_xlfn.XLOOKUP($A484&amp;$B484&amp;$C484,盘货信息!$A:$A&amp;盘货信息!$B:$B&amp;盘货信息!$C:$C,盘货信息!$X:$X)="","","【"&amp;盘货信息!$X$1&amp;"】"&amp;_xlfn.XLOOKUP($A484&amp;$B484&amp;$C484,盘货信息!$A:$A&amp;盘货信息!$B:$B&amp;盘货信息!$C:$C,盘货信息!$X:$X))</f>
        <v/>
      </c>
      <c r="R484" s="27" t="str" cm="1">
        <f t="array" ref="R484">IF(_xlfn.XLOOKUP($A484&amp;$B484&amp;$C484,盘货信息!$A:$A&amp;盘货信息!$B:$B&amp;盘货信息!$C:$C,盘货信息!$Z:$Z)="","","【"&amp;盘货信息!$Z$1&amp;"】"&amp;_xlfn.XLOOKUP($A484&amp;$B484&amp;$C484,盘货信息!$A:$A&amp;盘货信息!$B:$B&amp;盘货信息!$C:$C,盘货信息!$Z:$Z))</f>
        <v/>
      </c>
      <c r="S484" s="27" t="str" cm="1">
        <f t="array" ref="S484">IF(_xlfn.XLOOKUP($A484&amp;$B484&amp;$C484,盘货信息!$A:$A&amp;盘货信息!$B:$B&amp;盘货信息!$C:$C,盘货信息!$Q:$Q)="","","【种草】站外带指定话题种草后返"&amp;_xlfn.XLOOKUP($A484&amp;$B484&amp;$C484,盘货信息!$A:$A&amp;盘货信息!$B:$B&amp;盘货信息!$C:$C,盘货信息!$Q:$Q)&amp;"元红包（每个淘宝账号仅限对应一个站外种草账号，同一个种草账号不可对应多个淘宝账号）")</f>
        <v/>
      </c>
      <c r="T484" s="27" t="str" cm="1">
        <f t="array" ref="T484">IF(_xlfn.XLOOKUP($A484&amp;$B484&amp;$C484,盘货信息!$A:$A&amp;盘货信息!$B:$B&amp;盘货信息!$C:$C,盘货信息!$R:$R)&lt;1,"","【以旧换新】"&amp;"享补贴"&amp;ROUND(_xlfn.XLOOKUP($A484&amp;$B484&amp;$C484,盘货信息!$A:$A&amp;盘货信息!$B:$B&amp;盘货信息!$C:$C,盘货信息!$R:$R),0)&amp;"元（可无旧机换新）")</f>
        <v/>
      </c>
      <c r="U484" s="27" t="str">
        <f>IF(AND($N484="",$O484="",$P484="",$Q484="",$R484="",$S484="",$T484=""),"",固定信息!$B$1)</f>
        <v/>
      </c>
      <c r="V484" s="27" t="str" cm="1">
        <f t="array" ref="V484">IF(_xlfn.XLOOKUP($A484&amp;$B484&amp;$C484,盘货信息!$A:$A&amp;盘货信息!$B:$B&amp;盘货信息!$C:$C,盘货信息!$Y:$Y)="","","【卡萨帝送赠】活动指定时间"&amp;_xlfn.TEXTBEFORE(_xlfn.TEXTAFTER(_xlfn.XLOOKUP($A484&amp;$B484&amp;$C484,盘货信息!$A:$A&amp;盘货信息!$B:$B&amp;盘货信息!$C:$C,盘货信息!$Y:$Y),"点"),"（"))</f>
        <v/>
      </c>
      <c r="W484" s="27" t="str" cm="1">
        <f t="array" ref="W484">IF(COUNTIF(_xlfn.XLOOKUP($A484&amp;$B484&amp;$C484,盘货信息!$A:$A&amp;盘货信息!$B:$B&amp;盘货信息!$C:$C,盘货信息!$O:$O),"*是*"),"【折扣】指定型号满2类享96折，满3类享94折","")</f>
        <v/>
      </c>
      <c r="X484" s="27" t="str" cm="1">
        <f t="array" ref="X484">IF(固定信息!$B$7="","",IF(_xlfn.XLOOKUP($A484&amp;$B484&amp;$C484,盘货信息!$A:$A&amp;盘货信息!$B:$B&amp;盘货信息!$C:$C,盘货信息!$N:$N)="是","【瓜分】"&amp;固定信息!$B$7,""))</f>
        <v/>
      </c>
      <c r="Y484" s="27" t="str">
        <f>IF(AND($V484="",$W484="",$X484=""),"",固定信息!$B$1)</f>
        <v/>
      </c>
      <c r="Z484" s="27" t="str" cm="1">
        <f t="array" ref="Z484">IF($C484="","",_xlfn.XLOOKUP($A484&amp;$B484&amp;$C484,服务!$A:$A&amp;服务!$B:$B&amp;服务!$C:$C,服务!$D:$D))</f>
        <v/>
      </c>
    </row>
    <row r="485" customHeight="1" spans="1:26">
      <c r="A485" s="23" t="str">
        <f>IF(盘货信息!A485="","",盘货信息!A485)</f>
        <v/>
      </c>
      <c r="B485" s="26" t="str">
        <f>IF(盘货信息!B485="","",盘货信息!B485)</f>
        <v/>
      </c>
      <c r="C485" s="23" t="str">
        <f>IF(盘货信息!C485="","",盘货信息!C485)</f>
        <v/>
      </c>
      <c r="D485" s="27" t="str">
        <f ca="1" t="shared" si="7"/>
        <v/>
      </c>
      <c r="E485" s="27" t="str">
        <f>IF(C485="","",固定信息!$B$2)</f>
        <v/>
      </c>
      <c r="F485" s="27" t="str">
        <f>IF(C485="","","【"&amp;C485&amp;"】"&amp;固定信息!$B$4)</f>
        <v/>
      </c>
      <c r="G485" s="27" t="str">
        <f>IF(C485="","","【"&amp;"活动时间："&amp;固定信息!$B$3&amp;"】")</f>
        <v/>
      </c>
      <c r="H485" s="27" t="str">
        <f>IF($C485="","",固定信息!$B$1)</f>
        <v/>
      </c>
      <c r="I485" s="27" t="str">
        <f>IF(OR(C485="",固定信息!$B$5=""),"","【1元预约锁好礼】"&amp;固定信息!$B$5)</f>
        <v/>
      </c>
      <c r="J485" s="27" t="str" cm="1">
        <f t="array" ref="J485">_xlfn.XLOOKUP($A485&amp;$B485&amp;$C485,价格信息!$A:$A&amp;价格信息!$B:$B&amp;价格信息!$C:$C,价格信息!$D:$D)</f>
        <v/>
      </c>
      <c r="K485" s="27" t="str">
        <f>IF($C485="","",固定信息!$B$1)</f>
        <v/>
      </c>
      <c r="L485" s="27" t="str" cm="1">
        <f t="array" ref="L485">IF(_xlfn.XLOOKUP($A485&amp;$B485&amp;$C485,盘货信息!$A:$A&amp;盘货信息!$B:$B&amp;盘货信息!$C:$C,盘货信息!$T:$T)="","","【优惠券】领"&amp;_xlfn.XLOOKUP($A485&amp;$B485&amp;$C485,盘货信息!$A:$A&amp;盘货信息!$B:$B&amp;盘货信息!$C:$C,盘货信息!$T:$T)&amp;"元优惠卷下单更优惠，领券链接："&amp;_xlfn.XLOOKUP($A485&amp;$B485&amp;$C485,盘货信息!$A:$A&amp;盘货信息!$B:$B&amp;盘货信息!$C:$C,盘货信息!$U:$U))</f>
        <v/>
      </c>
      <c r="M485" s="27" t="str" cm="1">
        <f t="array" ref="M485">IF(_xlfn.XLOOKUP($A485&amp;$B485&amp;$C485,盘货信息!$A:$A&amp;盘货信息!$B:$B&amp;盘货信息!$C:$C,盘货信息!$P:$P)="","","【限时】"&amp;_xlfn.XLOOKUP($A485&amp;$B485&amp;$C485,盘货信息!$A:$A&amp;盘货信息!$B:$B&amp;盘货信息!$C:$C,盘货信息!$P:$P))</f>
        <v/>
      </c>
      <c r="N485" s="27" t="str" cm="1">
        <f t="array" ref="N485">IF(_xlfn.XLOOKUP($A485&amp;$B485&amp;$C485,盘货信息!$A:$A&amp;盘货信息!$B:$B&amp;盘货信息!$C:$C,盘货信息!$V:$V)="","","【"&amp;盘货信息!$V$1&amp;"】"&amp;_xlfn.XLOOKUP($A485&amp;$B485&amp;$C485,盘货信息!$A:$A&amp;盘货信息!$B:$B&amp;盘货信息!$C:$C,盘货信息!$V:$V))</f>
        <v/>
      </c>
      <c r="O485" s="27" t="str" cm="1">
        <f t="array" ref="O485">IF(_xlfn.XLOOKUP($A485&amp;$B485&amp;$C485,盘货信息!$A:$A&amp;盘货信息!$B:$B&amp;盘货信息!$C:$C,盘货信息!$W:$W)="","","【"&amp;盘货信息!$W$1&amp;"】"&amp;_xlfn.XLOOKUP($A485&amp;$B485&amp;$C485,盘货信息!$A:$A&amp;盘货信息!$B:$B&amp;盘货信息!$C:$C,盘货信息!$W:$W))</f>
        <v/>
      </c>
      <c r="P485" s="27" t="str" cm="1">
        <f t="array" ref="P485">IF(_xlfn.XLOOKUP($A485&amp;$B485&amp;$C485,盘货信息!$A:$A&amp;盘货信息!$B:$B&amp;盘货信息!$C:$C,盘货信息!$S:$S)&lt;1,"","【"&amp;盘货信息!$S$1&amp;"】"&amp;"后返"&amp;_xlfn.XLOOKUP($A485&amp;$B485&amp;$C485,盘货信息!$A:$A&amp;盘货信息!$B:$B&amp;盘货信息!$C:$C,盘货信息!$S:$S)&amp;"元")</f>
        <v/>
      </c>
      <c r="Q485" s="27" t="str" cm="1">
        <f t="array" ref="Q485">IF(_xlfn.XLOOKUP($A485&amp;$B485&amp;$C485,盘货信息!$A:$A&amp;盘货信息!$B:$B&amp;盘货信息!$C:$C,盘货信息!$X:$X)="","","【"&amp;盘货信息!$X$1&amp;"】"&amp;_xlfn.XLOOKUP($A485&amp;$B485&amp;$C485,盘货信息!$A:$A&amp;盘货信息!$B:$B&amp;盘货信息!$C:$C,盘货信息!$X:$X))</f>
        <v/>
      </c>
      <c r="R485" s="27" t="str" cm="1">
        <f t="array" ref="R485">IF(_xlfn.XLOOKUP($A485&amp;$B485&amp;$C485,盘货信息!$A:$A&amp;盘货信息!$B:$B&amp;盘货信息!$C:$C,盘货信息!$Z:$Z)="","","【"&amp;盘货信息!$Z$1&amp;"】"&amp;_xlfn.XLOOKUP($A485&amp;$B485&amp;$C485,盘货信息!$A:$A&amp;盘货信息!$B:$B&amp;盘货信息!$C:$C,盘货信息!$Z:$Z))</f>
        <v/>
      </c>
      <c r="S485" s="27" t="str" cm="1">
        <f t="array" ref="S485">IF(_xlfn.XLOOKUP($A485&amp;$B485&amp;$C485,盘货信息!$A:$A&amp;盘货信息!$B:$B&amp;盘货信息!$C:$C,盘货信息!$Q:$Q)="","","【种草】站外带指定话题种草后返"&amp;_xlfn.XLOOKUP($A485&amp;$B485&amp;$C485,盘货信息!$A:$A&amp;盘货信息!$B:$B&amp;盘货信息!$C:$C,盘货信息!$Q:$Q)&amp;"元红包（每个淘宝账号仅限对应一个站外种草账号，同一个种草账号不可对应多个淘宝账号）")</f>
        <v/>
      </c>
      <c r="T485" s="27" t="str" cm="1">
        <f t="array" ref="T485">IF(_xlfn.XLOOKUP($A485&amp;$B485&amp;$C485,盘货信息!$A:$A&amp;盘货信息!$B:$B&amp;盘货信息!$C:$C,盘货信息!$R:$R)&lt;1,"","【以旧换新】"&amp;"享补贴"&amp;ROUND(_xlfn.XLOOKUP($A485&amp;$B485&amp;$C485,盘货信息!$A:$A&amp;盘货信息!$B:$B&amp;盘货信息!$C:$C,盘货信息!$R:$R),0)&amp;"元（可无旧机换新）")</f>
        <v/>
      </c>
      <c r="U485" s="27" t="str">
        <f>IF(AND($N485="",$O485="",$P485="",$Q485="",$R485="",$S485="",$T485=""),"",固定信息!$B$1)</f>
        <v/>
      </c>
      <c r="V485" s="27" t="str" cm="1">
        <f t="array" ref="V485">IF(_xlfn.XLOOKUP($A485&amp;$B485&amp;$C485,盘货信息!$A:$A&amp;盘货信息!$B:$B&amp;盘货信息!$C:$C,盘货信息!$Y:$Y)="","","【卡萨帝送赠】活动指定时间"&amp;_xlfn.TEXTBEFORE(_xlfn.TEXTAFTER(_xlfn.XLOOKUP($A485&amp;$B485&amp;$C485,盘货信息!$A:$A&amp;盘货信息!$B:$B&amp;盘货信息!$C:$C,盘货信息!$Y:$Y),"点"),"（"))</f>
        <v/>
      </c>
      <c r="W485" s="27" t="str" cm="1">
        <f t="array" ref="W485">IF(COUNTIF(_xlfn.XLOOKUP($A485&amp;$B485&amp;$C485,盘货信息!$A:$A&amp;盘货信息!$B:$B&amp;盘货信息!$C:$C,盘货信息!$O:$O),"*是*"),"【折扣】指定型号满2类享96折，满3类享94折","")</f>
        <v/>
      </c>
      <c r="X485" s="27" t="str" cm="1">
        <f t="array" ref="X485">IF(固定信息!$B$7="","",IF(_xlfn.XLOOKUP($A485&amp;$B485&amp;$C485,盘货信息!$A:$A&amp;盘货信息!$B:$B&amp;盘货信息!$C:$C,盘货信息!$N:$N)="是","【瓜分】"&amp;固定信息!$B$7,""))</f>
        <v/>
      </c>
      <c r="Y485" s="27" t="str">
        <f>IF(AND($V485="",$W485="",$X485=""),"",固定信息!$B$1)</f>
        <v/>
      </c>
      <c r="Z485" s="27" t="str" cm="1">
        <f t="array" ref="Z485">IF($C485="","",_xlfn.XLOOKUP($A485&amp;$B485&amp;$C485,服务!$A:$A&amp;服务!$B:$B&amp;服务!$C:$C,服务!$D:$D))</f>
        <v/>
      </c>
    </row>
    <row r="486" customHeight="1" spans="1:26">
      <c r="A486" s="23" t="str">
        <f>IF(盘货信息!A486="","",盘货信息!A486)</f>
        <v/>
      </c>
      <c r="B486" s="26" t="str">
        <f>IF(盘货信息!B486="","",盘货信息!B486)</f>
        <v/>
      </c>
      <c r="C486" s="23" t="str">
        <f>IF(盘货信息!C486="","",盘货信息!C486)</f>
        <v/>
      </c>
      <c r="D486" s="27" t="str">
        <f ca="1" t="shared" si="7"/>
        <v/>
      </c>
      <c r="E486" s="27" t="str">
        <f>IF(C486="","",固定信息!$B$2)</f>
        <v/>
      </c>
      <c r="F486" s="27" t="str">
        <f>IF(C486="","","【"&amp;C486&amp;"】"&amp;固定信息!$B$4)</f>
        <v/>
      </c>
      <c r="G486" s="27" t="str">
        <f>IF(C486="","","【"&amp;"活动时间："&amp;固定信息!$B$3&amp;"】")</f>
        <v/>
      </c>
      <c r="H486" s="27" t="str">
        <f>IF($C486="","",固定信息!$B$1)</f>
        <v/>
      </c>
      <c r="I486" s="27" t="str">
        <f>IF(OR(C486="",固定信息!$B$5=""),"","【1元预约锁好礼】"&amp;固定信息!$B$5)</f>
        <v/>
      </c>
      <c r="J486" s="27" t="str" cm="1">
        <f t="array" ref="J486">_xlfn.XLOOKUP($A486&amp;$B486&amp;$C486,价格信息!$A:$A&amp;价格信息!$B:$B&amp;价格信息!$C:$C,价格信息!$D:$D)</f>
        <v/>
      </c>
      <c r="K486" s="27" t="str">
        <f>IF($C486="","",固定信息!$B$1)</f>
        <v/>
      </c>
      <c r="L486" s="27" t="str" cm="1">
        <f t="array" ref="L486">IF(_xlfn.XLOOKUP($A486&amp;$B486&amp;$C486,盘货信息!$A:$A&amp;盘货信息!$B:$B&amp;盘货信息!$C:$C,盘货信息!$T:$T)="","","【优惠券】领"&amp;_xlfn.XLOOKUP($A486&amp;$B486&amp;$C486,盘货信息!$A:$A&amp;盘货信息!$B:$B&amp;盘货信息!$C:$C,盘货信息!$T:$T)&amp;"元优惠卷下单更优惠，领券链接："&amp;_xlfn.XLOOKUP($A486&amp;$B486&amp;$C486,盘货信息!$A:$A&amp;盘货信息!$B:$B&amp;盘货信息!$C:$C,盘货信息!$U:$U))</f>
        <v/>
      </c>
      <c r="M486" s="27" t="str" cm="1">
        <f t="array" ref="M486">IF(_xlfn.XLOOKUP($A486&amp;$B486&amp;$C486,盘货信息!$A:$A&amp;盘货信息!$B:$B&amp;盘货信息!$C:$C,盘货信息!$P:$P)="","","【限时】"&amp;_xlfn.XLOOKUP($A486&amp;$B486&amp;$C486,盘货信息!$A:$A&amp;盘货信息!$B:$B&amp;盘货信息!$C:$C,盘货信息!$P:$P))</f>
        <v/>
      </c>
      <c r="N486" s="27" t="str" cm="1">
        <f t="array" ref="N486">IF(_xlfn.XLOOKUP($A486&amp;$B486&amp;$C486,盘货信息!$A:$A&amp;盘货信息!$B:$B&amp;盘货信息!$C:$C,盘货信息!$V:$V)="","","【"&amp;盘货信息!$V$1&amp;"】"&amp;_xlfn.XLOOKUP($A486&amp;$B486&amp;$C486,盘货信息!$A:$A&amp;盘货信息!$B:$B&amp;盘货信息!$C:$C,盘货信息!$V:$V))</f>
        <v/>
      </c>
      <c r="O486" s="27" t="str" cm="1">
        <f t="array" ref="O486">IF(_xlfn.XLOOKUP($A486&amp;$B486&amp;$C486,盘货信息!$A:$A&amp;盘货信息!$B:$B&amp;盘货信息!$C:$C,盘货信息!$W:$W)="","","【"&amp;盘货信息!$W$1&amp;"】"&amp;_xlfn.XLOOKUP($A486&amp;$B486&amp;$C486,盘货信息!$A:$A&amp;盘货信息!$B:$B&amp;盘货信息!$C:$C,盘货信息!$W:$W))</f>
        <v/>
      </c>
      <c r="P486" s="27" t="str" cm="1">
        <f t="array" ref="P486">IF(_xlfn.XLOOKUP($A486&amp;$B486&amp;$C486,盘货信息!$A:$A&amp;盘货信息!$B:$B&amp;盘货信息!$C:$C,盘货信息!$S:$S)&lt;1,"","【"&amp;盘货信息!$S$1&amp;"】"&amp;"后返"&amp;_xlfn.XLOOKUP($A486&amp;$B486&amp;$C486,盘货信息!$A:$A&amp;盘货信息!$B:$B&amp;盘货信息!$C:$C,盘货信息!$S:$S)&amp;"元")</f>
        <v/>
      </c>
      <c r="Q486" s="27" t="str" cm="1">
        <f t="array" ref="Q486">IF(_xlfn.XLOOKUP($A486&amp;$B486&amp;$C486,盘货信息!$A:$A&amp;盘货信息!$B:$B&amp;盘货信息!$C:$C,盘货信息!$X:$X)="","","【"&amp;盘货信息!$X$1&amp;"】"&amp;_xlfn.XLOOKUP($A486&amp;$B486&amp;$C486,盘货信息!$A:$A&amp;盘货信息!$B:$B&amp;盘货信息!$C:$C,盘货信息!$X:$X))</f>
        <v/>
      </c>
      <c r="R486" s="27" t="str" cm="1">
        <f t="array" ref="R486">IF(_xlfn.XLOOKUP($A486&amp;$B486&amp;$C486,盘货信息!$A:$A&amp;盘货信息!$B:$B&amp;盘货信息!$C:$C,盘货信息!$Z:$Z)="","","【"&amp;盘货信息!$Z$1&amp;"】"&amp;_xlfn.XLOOKUP($A486&amp;$B486&amp;$C486,盘货信息!$A:$A&amp;盘货信息!$B:$B&amp;盘货信息!$C:$C,盘货信息!$Z:$Z))</f>
        <v/>
      </c>
      <c r="S486" s="27" t="str" cm="1">
        <f t="array" ref="S486">IF(_xlfn.XLOOKUP($A486&amp;$B486&amp;$C486,盘货信息!$A:$A&amp;盘货信息!$B:$B&amp;盘货信息!$C:$C,盘货信息!$Q:$Q)="","","【种草】站外带指定话题种草后返"&amp;_xlfn.XLOOKUP($A486&amp;$B486&amp;$C486,盘货信息!$A:$A&amp;盘货信息!$B:$B&amp;盘货信息!$C:$C,盘货信息!$Q:$Q)&amp;"元红包（每个淘宝账号仅限对应一个站外种草账号，同一个种草账号不可对应多个淘宝账号）")</f>
        <v/>
      </c>
      <c r="T486" s="27" t="str" cm="1">
        <f t="array" ref="T486">IF(_xlfn.XLOOKUP($A486&amp;$B486&amp;$C486,盘货信息!$A:$A&amp;盘货信息!$B:$B&amp;盘货信息!$C:$C,盘货信息!$R:$R)&lt;1,"","【以旧换新】"&amp;"享补贴"&amp;ROUND(_xlfn.XLOOKUP($A486&amp;$B486&amp;$C486,盘货信息!$A:$A&amp;盘货信息!$B:$B&amp;盘货信息!$C:$C,盘货信息!$R:$R),0)&amp;"元（可无旧机换新）")</f>
        <v/>
      </c>
      <c r="U486" s="27" t="str">
        <f>IF(AND($N486="",$O486="",$P486="",$Q486="",$R486="",$S486="",$T486=""),"",固定信息!$B$1)</f>
        <v/>
      </c>
      <c r="V486" s="27" t="str" cm="1">
        <f t="array" ref="V486">IF(_xlfn.XLOOKUP($A486&amp;$B486&amp;$C486,盘货信息!$A:$A&amp;盘货信息!$B:$B&amp;盘货信息!$C:$C,盘货信息!$Y:$Y)="","","【卡萨帝送赠】活动指定时间"&amp;_xlfn.TEXTBEFORE(_xlfn.TEXTAFTER(_xlfn.XLOOKUP($A486&amp;$B486&amp;$C486,盘货信息!$A:$A&amp;盘货信息!$B:$B&amp;盘货信息!$C:$C,盘货信息!$Y:$Y),"点"),"（"))</f>
        <v/>
      </c>
      <c r="W486" s="27" t="str" cm="1">
        <f t="array" ref="W486">IF(COUNTIF(_xlfn.XLOOKUP($A486&amp;$B486&amp;$C486,盘货信息!$A:$A&amp;盘货信息!$B:$B&amp;盘货信息!$C:$C,盘货信息!$O:$O),"*是*"),"【折扣】指定型号满2类享96折，满3类享94折","")</f>
        <v/>
      </c>
      <c r="X486" s="27" t="str" cm="1">
        <f t="array" ref="X486">IF(固定信息!$B$7="","",IF(_xlfn.XLOOKUP($A486&amp;$B486&amp;$C486,盘货信息!$A:$A&amp;盘货信息!$B:$B&amp;盘货信息!$C:$C,盘货信息!$N:$N)="是","【瓜分】"&amp;固定信息!$B$7,""))</f>
        <v/>
      </c>
      <c r="Y486" s="27" t="str">
        <f>IF(AND($V486="",$W486="",$X486=""),"",固定信息!$B$1)</f>
        <v/>
      </c>
      <c r="Z486" s="27" t="str" cm="1">
        <f t="array" ref="Z486">IF($C486="","",_xlfn.XLOOKUP($A486&amp;$B486&amp;$C486,服务!$A:$A&amp;服务!$B:$B&amp;服务!$C:$C,服务!$D:$D))</f>
        <v/>
      </c>
    </row>
    <row r="487" customHeight="1" spans="1:26">
      <c r="A487" s="23" t="str">
        <f>IF(盘货信息!A487="","",盘货信息!A487)</f>
        <v/>
      </c>
      <c r="B487" s="26" t="str">
        <f>IF(盘货信息!B487="","",盘货信息!B487)</f>
        <v/>
      </c>
      <c r="C487" s="23" t="str">
        <f>IF(盘货信息!C487="","",盘货信息!C487)</f>
        <v/>
      </c>
      <c r="D487" s="27" t="str">
        <f ca="1" t="shared" si="7"/>
        <v/>
      </c>
      <c r="E487" s="27" t="str">
        <f>IF(C487="","",固定信息!$B$2)</f>
        <v/>
      </c>
      <c r="F487" s="27" t="str">
        <f>IF(C487="","","【"&amp;C487&amp;"】"&amp;固定信息!$B$4)</f>
        <v/>
      </c>
      <c r="G487" s="27" t="str">
        <f>IF(C487="","","【"&amp;"活动时间："&amp;固定信息!$B$3&amp;"】")</f>
        <v/>
      </c>
      <c r="H487" s="27" t="str">
        <f>IF($C487="","",固定信息!$B$1)</f>
        <v/>
      </c>
      <c r="I487" s="27" t="str">
        <f>IF(OR(C487="",固定信息!$B$5=""),"","【1元预约锁好礼】"&amp;固定信息!$B$5)</f>
        <v/>
      </c>
      <c r="J487" s="27" t="str" cm="1">
        <f t="array" ref="J487">_xlfn.XLOOKUP($A487&amp;$B487&amp;$C487,价格信息!$A:$A&amp;价格信息!$B:$B&amp;价格信息!$C:$C,价格信息!$D:$D)</f>
        <v/>
      </c>
      <c r="K487" s="27" t="str">
        <f>IF($C487="","",固定信息!$B$1)</f>
        <v/>
      </c>
      <c r="L487" s="27" t="str" cm="1">
        <f t="array" ref="L487">IF(_xlfn.XLOOKUP($A487&amp;$B487&amp;$C487,盘货信息!$A:$A&amp;盘货信息!$B:$B&amp;盘货信息!$C:$C,盘货信息!$T:$T)="","","【优惠券】领"&amp;_xlfn.XLOOKUP($A487&amp;$B487&amp;$C487,盘货信息!$A:$A&amp;盘货信息!$B:$B&amp;盘货信息!$C:$C,盘货信息!$T:$T)&amp;"元优惠卷下单更优惠，领券链接："&amp;_xlfn.XLOOKUP($A487&amp;$B487&amp;$C487,盘货信息!$A:$A&amp;盘货信息!$B:$B&amp;盘货信息!$C:$C,盘货信息!$U:$U))</f>
        <v/>
      </c>
      <c r="M487" s="27" t="str" cm="1">
        <f t="array" ref="M487">IF(_xlfn.XLOOKUP($A487&amp;$B487&amp;$C487,盘货信息!$A:$A&amp;盘货信息!$B:$B&amp;盘货信息!$C:$C,盘货信息!$P:$P)="","","【限时】"&amp;_xlfn.XLOOKUP($A487&amp;$B487&amp;$C487,盘货信息!$A:$A&amp;盘货信息!$B:$B&amp;盘货信息!$C:$C,盘货信息!$P:$P))</f>
        <v/>
      </c>
      <c r="N487" s="27" t="str" cm="1">
        <f t="array" ref="N487">IF(_xlfn.XLOOKUP($A487&amp;$B487&amp;$C487,盘货信息!$A:$A&amp;盘货信息!$B:$B&amp;盘货信息!$C:$C,盘货信息!$V:$V)="","","【"&amp;盘货信息!$V$1&amp;"】"&amp;_xlfn.XLOOKUP($A487&amp;$B487&amp;$C487,盘货信息!$A:$A&amp;盘货信息!$B:$B&amp;盘货信息!$C:$C,盘货信息!$V:$V))</f>
        <v/>
      </c>
      <c r="O487" s="27" t="str" cm="1">
        <f t="array" ref="O487">IF(_xlfn.XLOOKUP($A487&amp;$B487&amp;$C487,盘货信息!$A:$A&amp;盘货信息!$B:$B&amp;盘货信息!$C:$C,盘货信息!$W:$W)="","","【"&amp;盘货信息!$W$1&amp;"】"&amp;_xlfn.XLOOKUP($A487&amp;$B487&amp;$C487,盘货信息!$A:$A&amp;盘货信息!$B:$B&amp;盘货信息!$C:$C,盘货信息!$W:$W))</f>
        <v/>
      </c>
      <c r="P487" s="27" t="str" cm="1">
        <f t="array" ref="P487">IF(_xlfn.XLOOKUP($A487&amp;$B487&amp;$C487,盘货信息!$A:$A&amp;盘货信息!$B:$B&amp;盘货信息!$C:$C,盘货信息!$S:$S)&lt;1,"","【"&amp;盘货信息!$S$1&amp;"】"&amp;"后返"&amp;_xlfn.XLOOKUP($A487&amp;$B487&amp;$C487,盘货信息!$A:$A&amp;盘货信息!$B:$B&amp;盘货信息!$C:$C,盘货信息!$S:$S)&amp;"元")</f>
        <v/>
      </c>
      <c r="Q487" s="27" t="str" cm="1">
        <f t="array" ref="Q487">IF(_xlfn.XLOOKUP($A487&amp;$B487&amp;$C487,盘货信息!$A:$A&amp;盘货信息!$B:$B&amp;盘货信息!$C:$C,盘货信息!$X:$X)="","","【"&amp;盘货信息!$X$1&amp;"】"&amp;_xlfn.XLOOKUP($A487&amp;$B487&amp;$C487,盘货信息!$A:$A&amp;盘货信息!$B:$B&amp;盘货信息!$C:$C,盘货信息!$X:$X))</f>
        <v/>
      </c>
      <c r="R487" s="27" t="str" cm="1">
        <f t="array" ref="R487">IF(_xlfn.XLOOKUP($A487&amp;$B487&amp;$C487,盘货信息!$A:$A&amp;盘货信息!$B:$B&amp;盘货信息!$C:$C,盘货信息!$Z:$Z)="","","【"&amp;盘货信息!$Z$1&amp;"】"&amp;_xlfn.XLOOKUP($A487&amp;$B487&amp;$C487,盘货信息!$A:$A&amp;盘货信息!$B:$B&amp;盘货信息!$C:$C,盘货信息!$Z:$Z))</f>
        <v/>
      </c>
      <c r="S487" s="27" t="str" cm="1">
        <f t="array" ref="S487">IF(_xlfn.XLOOKUP($A487&amp;$B487&amp;$C487,盘货信息!$A:$A&amp;盘货信息!$B:$B&amp;盘货信息!$C:$C,盘货信息!$Q:$Q)="","","【种草】站外带指定话题种草后返"&amp;_xlfn.XLOOKUP($A487&amp;$B487&amp;$C487,盘货信息!$A:$A&amp;盘货信息!$B:$B&amp;盘货信息!$C:$C,盘货信息!$Q:$Q)&amp;"元红包（每个淘宝账号仅限对应一个站外种草账号，同一个种草账号不可对应多个淘宝账号）")</f>
        <v/>
      </c>
      <c r="T487" s="27" t="str" cm="1">
        <f t="array" ref="T487">IF(_xlfn.XLOOKUP($A487&amp;$B487&amp;$C487,盘货信息!$A:$A&amp;盘货信息!$B:$B&amp;盘货信息!$C:$C,盘货信息!$R:$R)&lt;1,"","【以旧换新】"&amp;"享补贴"&amp;ROUND(_xlfn.XLOOKUP($A487&amp;$B487&amp;$C487,盘货信息!$A:$A&amp;盘货信息!$B:$B&amp;盘货信息!$C:$C,盘货信息!$R:$R),0)&amp;"元（可无旧机换新）")</f>
        <v/>
      </c>
      <c r="U487" s="27" t="str">
        <f>IF(AND($N487="",$O487="",$P487="",$Q487="",$R487="",$S487="",$T487=""),"",固定信息!$B$1)</f>
        <v/>
      </c>
      <c r="V487" s="27" t="str" cm="1">
        <f t="array" ref="V487">IF(_xlfn.XLOOKUP($A487&amp;$B487&amp;$C487,盘货信息!$A:$A&amp;盘货信息!$B:$B&amp;盘货信息!$C:$C,盘货信息!$Y:$Y)="","","【卡萨帝送赠】活动指定时间"&amp;_xlfn.TEXTBEFORE(_xlfn.TEXTAFTER(_xlfn.XLOOKUP($A487&amp;$B487&amp;$C487,盘货信息!$A:$A&amp;盘货信息!$B:$B&amp;盘货信息!$C:$C,盘货信息!$Y:$Y),"点"),"（"))</f>
        <v/>
      </c>
      <c r="W487" s="27" t="str" cm="1">
        <f t="array" ref="W487">IF(COUNTIF(_xlfn.XLOOKUP($A487&amp;$B487&amp;$C487,盘货信息!$A:$A&amp;盘货信息!$B:$B&amp;盘货信息!$C:$C,盘货信息!$O:$O),"*是*"),"【折扣】指定型号满2类享96折，满3类享94折","")</f>
        <v/>
      </c>
      <c r="X487" s="27" t="str" cm="1">
        <f t="array" ref="X487">IF(固定信息!$B$7="","",IF(_xlfn.XLOOKUP($A487&amp;$B487&amp;$C487,盘货信息!$A:$A&amp;盘货信息!$B:$B&amp;盘货信息!$C:$C,盘货信息!$N:$N)="是","【瓜分】"&amp;固定信息!$B$7,""))</f>
        <v/>
      </c>
      <c r="Y487" s="27" t="str">
        <f>IF(AND($V487="",$W487="",$X487=""),"",固定信息!$B$1)</f>
        <v/>
      </c>
      <c r="Z487" s="27" t="str" cm="1">
        <f t="array" ref="Z487">IF($C487="","",_xlfn.XLOOKUP($A487&amp;$B487&amp;$C487,服务!$A:$A&amp;服务!$B:$B&amp;服务!$C:$C,服务!$D:$D))</f>
        <v/>
      </c>
    </row>
    <row r="488" customHeight="1" spans="1:26">
      <c r="A488" s="23" t="str">
        <f>IF(盘货信息!A488="","",盘货信息!A488)</f>
        <v/>
      </c>
      <c r="B488" s="26" t="str">
        <f>IF(盘货信息!B488="","",盘货信息!B488)</f>
        <v/>
      </c>
      <c r="C488" s="23" t="str">
        <f>IF(盘货信息!C488="","",盘货信息!C488)</f>
        <v/>
      </c>
      <c r="D488" s="27" t="str">
        <f ca="1" t="shared" si="7"/>
        <v/>
      </c>
      <c r="E488" s="27" t="str">
        <f>IF(C488="","",固定信息!$B$2)</f>
        <v/>
      </c>
      <c r="F488" s="27" t="str">
        <f>IF(C488="","","【"&amp;C488&amp;"】"&amp;固定信息!$B$4)</f>
        <v/>
      </c>
      <c r="G488" s="27" t="str">
        <f>IF(C488="","","【"&amp;"活动时间："&amp;固定信息!$B$3&amp;"】")</f>
        <v/>
      </c>
      <c r="H488" s="27" t="str">
        <f>IF($C488="","",固定信息!$B$1)</f>
        <v/>
      </c>
      <c r="I488" s="27" t="str">
        <f>IF(OR(C488="",固定信息!$B$5=""),"","【1元预约锁好礼】"&amp;固定信息!$B$5)</f>
        <v/>
      </c>
      <c r="J488" s="27" t="str" cm="1">
        <f t="array" ref="J488">_xlfn.XLOOKUP($A488&amp;$B488&amp;$C488,价格信息!$A:$A&amp;价格信息!$B:$B&amp;价格信息!$C:$C,价格信息!$D:$D)</f>
        <v/>
      </c>
      <c r="K488" s="27" t="str">
        <f>IF($C488="","",固定信息!$B$1)</f>
        <v/>
      </c>
      <c r="L488" s="27" t="str" cm="1">
        <f t="array" ref="L488">IF(_xlfn.XLOOKUP($A488&amp;$B488&amp;$C488,盘货信息!$A:$A&amp;盘货信息!$B:$B&amp;盘货信息!$C:$C,盘货信息!$T:$T)="","","【优惠券】领"&amp;_xlfn.XLOOKUP($A488&amp;$B488&amp;$C488,盘货信息!$A:$A&amp;盘货信息!$B:$B&amp;盘货信息!$C:$C,盘货信息!$T:$T)&amp;"元优惠卷下单更优惠，领券链接："&amp;_xlfn.XLOOKUP($A488&amp;$B488&amp;$C488,盘货信息!$A:$A&amp;盘货信息!$B:$B&amp;盘货信息!$C:$C,盘货信息!$U:$U))</f>
        <v/>
      </c>
      <c r="M488" s="27" t="str" cm="1">
        <f t="array" ref="M488">IF(_xlfn.XLOOKUP($A488&amp;$B488&amp;$C488,盘货信息!$A:$A&amp;盘货信息!$B:$B&amp;盘货信息!$C:$C,盘货信息!$P:$P)="","","【限时】"&amp;_xlfn.XLOOKUP($A488&amp;$B488&amp;$C488,盘货信息!$A:$A&amp;盘货信息!$B:$B&amp;盘货信息!$C:$C,盘货信息!$P:$P))</f>
        <v/>
      </c>
      <c r="N488" s="27" t="str" cm="1">
        <f t="array" ref="N488">IF(_xlfn.XLOOKUP($A488&amp;$B488&amp;$C488,盘货信息!$A:$A&amp;盘货信息!$B:$B&amp;盘货信息!$C:$C,盘货信息!$V:$V)="","","【"&amp;盘货信息!$V$1&amp;"】"&amp;_xlfn.XLOOKUP($A488&amp;$B488&amp;$C488,盘货信息!$A:$A&amp;盘货信息!$B:$B&amp;盘货信息!$C:$C,盘货信息!$V:$V))</f>
        <v/>
      </c>
      <c r="O488" s="27" t="str" cm="1">
        <f t="array" ref="O488">IF(_xlfn.XLOOKUP($A488&amp;$B488&amp;$C488,盘货信息!$A:$A&amp;盘货信息!$B:$B&amp;盘货信息!$C:$C,盘货信息!$W:$W)="","","【"&amp;盘货信息!$W$1&amp;"】"&amp;_xlfn.XLOOKUP($A488&amp;$B488&amp;$C488,盘货信息!$A:$A&amp;盘货信息!$B:$B&amp;盘货信息!$C:$C,盘货信息!$W:$W))</f>
        <v/>
      </c>
      <c r="P488" s="27" t="str" cm="1">
        <f t="array" ref="P488">IF(_xlfn.XLOOKUP($A488&amp;$B488&amp;$C488,盘货信息!$A:$A&amp;盘货信息!$B:$B&amp;盘货信息!$C:$C,盘货信息!$S:$S)&lt;1,"","【"&amp;盘货信息!$S$1&amp;"】"&amp;"后返"&amp;_xlfn.XLOOKUP($A488&amp;$B488&amp;$C488,盘货信息!$A:$A&amp;盘货信息!$B:$B&amp;盘货信息!$C:$C,盘货信息!$S:$S)&amp;"元")</f>
        <v/>
      </c>
      <c r="Q488" s="27" t="str" cm="1">
        <f t="array" ref="Q488">IF(_xlfn.XLOOKUP($A488&amp;$B488&amp;$C488,盘货信息!$A:$A&amp;盘货信息!$B:$B&amp;盘货信息!$C:$C,盘货信息!$X:$X)="","","【"&amp;盘货信息!$X$1&amp;"】"&amp;_xlfn.XLOOKUP($A488&amp;$B488&amp;$C488,盘货信息!$A:$A&amp;盘货信息!$B:$B&amp;盘货信息!$C:$C,盘货信息!$X:$X))</f>
        <v/>
      </c>
      <c r="R488" s="27" t="str" cm="1">
        <f t="array" ref="R488">IF(_xlfn.XLOOKUP($A488&amp;$B488&amp;$C488,盘货信息!$A:$A&amp;盘货信息!$B:$B&amp;盘货信息!$C:$C,盘货信息!$Z:$Z)="","","【"&amp;盘货信息!$Z$1&amp;"】"&amp;_xlfn.XLOOKUP($A488&amp;$B488&amp;$C488,盘货信息!$A:$A&amp;盘货信息!$B:$B&amp;盘货信息!$C:$C,盘货信息!$Z:$Z))</f>
        <v/>
      </c>
      <c r="S488" s="27" t="str" cm="1">
        <f t="array" ref="S488">IF(_xlfn.XLOOKUP($A488&amp;$B488&amp;$C488,盘货信息!$A:$A&amp;盘货信息!$B:$B&amp;盘货信息!$C:$C,盘货信息!$Q:$Q)="","","【种草】站外带指定话题种草后返"&amp;_xlfn.XLOOKUP($A488&amp;$B488&amp;$C488,盘货信息!$A:$A&amp;盘货信息!$B:$B&amp;盘货信息!$C:$C,盘货信息!$Q:$Q)&amp;"元红包（每个淘宝账号仅限对应一个站外种草账号，同一个种草账号不可对应多个淘宝账号）")</f>
        <v/>
      </c>
      <c r="T488" s="27" t="str" cm="1">
        <f t="array" ref="T488">IF(_xlfn.XLOOKUP($A488&amp;$B488&amp;$C488,盘货信息!$A:$A&amp;盘货信息!$B:$B&amp;盘货信息!$C:$C,盘货信息!$R:$R)&lt;1,"","【以旧换新】"&amp;"享补贴"&amp;ROUND(_xlfn.XLOOKUP($A488&amp;$B488&amp;$C488,盘货信息!$A:$A&amp;盘货信息!$B:$B&amp;盘货信息!$C:$C,盘货信息!$R:$R),0)&amp;"元（可无旧机换新）")</f>
        <v/>
      </c>
      <c r="U488" s="27" t="str">
        <f>IF(AND($N488="",$O488="",$P488="",$Q488="",$R488="",$S488="",$T488=""),"",固定信息!$B$1)</f>
        <v/>
      </c>
      <c r="V488" s="27" t="str" cm="1">
        <f t="array" ref="V488">IF(_xlfn.XLOOKUP($A488&amp;$B488&amp;$C488,盘货信息!$A:$A&amp;盘货信息!$B:$B&amp;盘货信息!$C:$C,盘货信息!$Y:$Y)="","","【卡萨帝送赠】活动指定时间"&amp;_xlfn.TEXTBEFORE(_xlfn.TEXTAFTER(_xlfn.XLOOKUP($A488&amp;$B488&amp;$C488,盘货信息!$A:$A&amp;盘货信息!$B:$B&amp;盘货信息!$C:$C,盘货信息!$Y:$Y),"点"),"（"))</f>
        <v/>
      </c>
      <c r="W488" s="27" t="str" cm="1">
        <f t="array" ref="W488">IF(COUNTIF(_xlfn.XLOOKUP($A488&amp;$B488&amp;$C488,盘货信息!$A:$A&amp;盘货信息!$B:$B&amp;盘货信息!$C:$C,盘货信息!$O:$O),"*是*"),"【折扣】指定型号满2类享96折，满3类享94折","")</f>
        <v/>
      </c>
      <c r="X488" s="27" t="str" cm="1">
        <f t="array" ref="X488">IF(固定信息!$B$7="","",IF(_xlfn.XLOOKUP($A488&amp;$B488&amp;$C488,盘货信息!$A:$A&amp;盘货信息!$B:$B&amp;盘货信息!$C:$C,盘货信息!$N:$N)="是","【瓜分】"&amp;固定信息!$B$7,""))</f>
        <v/>
      </c>
      <c r="Y488" s="27" t="str">
        <f>IF(AND($V488="",$W488="",$X488=""),"",固定信息!$B$1)</f>
        <v/>
      </c>
      <c r="Z488" s="27" t="str" cm="1">
        <f t="array" ref="Z488">IF($C488="","",_xlfn.XLOOKUP($A488&amp;$B488&amp;$C488,服务!$A:$A&amp;服务!$B:$B&amp;服务!$C:$C,服务!$D:$D))</f>
        <v/>
      </c>
    </row>
    <row r="489" customHeight="1" spans="1:26">
      <c r="A489" s="23" t="str">
        <f>IF(盘货信息!A489="","",盘货信息!A489)</f>
        <v/>
      </c>
      <c r="B489" s="26" t="str">
        <f>IF(盘货信息!B489="","",盘货信息!B489)</f>
        <v/>
      </c>
      <c r="C489" s="23" t="str">
        <f>IF(盘货信息!C489="","",盘货信息!C489)</f>
        <v/>
      </c>
      <c r="D489" s="27" t="str">
        <f ca="1" t="shared" si="7"/>
        <v/>
      </c>
      <c r="E489" s="27" t="str">
        <f>IF(C489="","",固定信息!$B$2)</f>
        <v/>
      </c>
      <c r="F489" s="27" t="str">
        <f>IF(C489="","","【"&amp;C489&amp;"】"&amp;固定信息!$B$4)</f>
        <v/>
      </c>
      <c r="G489" s="27" t="str">
        <f>IF(C489="","","【"&amp;"活动时间："&amp;固定信息!$B$3&amp;"】")</f>
        <v/>
      </c>
      <c r="H489" s="27" t="str">
        <f>IF($C489="","",固定信息!$B$1)</f>
        <v/>
      </c>
      <c r="I489" s="27" t="str">
        <f>IF(OR(C489="",固定信息!$B$5=""),"","【1元预约锁好礼】"&amp;固定信息!$B$5)</f>
        <v/>
      </c>
      <c r="J489" s="27" t="str" cm="1">
        <f t="array" ref="J489">_xlfn.XLOOKUP($A489&amp;$B489&amp;$C489,价格信息!$A:$A&amp;价格信息!$B:$B&amp;价格信息!$C:$C,价格信息!$D:$D)</f>
        <v/>
      </c>
      <c r="K489" s="27" t="str">
        <f>IF($C489="","",固定信息!$B$1)</f>
        <v/>
      </c>
      <c r="L489" s="27" t="str" cm="1">
        <f t="array" ref="L489">IF(_xlfn.XLOOKUP($A489&amp;$B489&amp;$C489,盘货信息!$A:$A&amp;盘货信息!$B:$B&amp;盘货信息!$C:$C,盘货信息!$T:$T)="","","【优惠券】领"&amp;_xlfn.XLOOKUP($A489&amp;$B489&amp;$C489,盘货信息!$A:$A&amp;盘货信息!$B:$B&amp;盘货信息!$C:$C,盘货信息!$T:$T)&amp;"元优惠卷下单更优惠，领券链接："&amp;_xlfn.XLOOKUP($A489&amp;$B489&amp;$C489,盘货信息!$A:$A&amp;盘货信息!$B:$B&amp;盘货信息!$C:$C,盘货信息!$U:$U))</f>
        <v/>
      </c>
      <c r="M489" s="27" t="str" cm="1">
        <f t="array" ref="M489">IF(_xlfn.XLOOKUP($A489&amp;$B489&amp;$C489,盘货信息!$A:$A&amp;盘货信息!$B:$B&amp;盘货信息!$C:$C,盘货信息!$P:$P)="","","【限时】"&amp;_xlfn.XLOOKUP($A489&amp;$B489&amp;$C489,盘货信息!$A:$A&amp;盘货信息!$B:$B&amp;盘货信息!$C:$C,盘货信息!$P:$P))</f>
        <v/>
      </c>
      <c r="N489" s="27" t="str" cm="1">
        <f t="array" ref="N489">IF(_xlfn.XLOOKUP($A489&amp;$B489&amp;$C489,盘货信息!$A:$A&amp;盘货信息!$B:$B&amp;盘货信息!$C:$C,盘货信息!$V:$V)="","","【"&amp;盘货信息!$V$1&amp;"】"&amp;_xlfn.XLOOKUP($A489&amp;$B489&amp;$C489,盘货信息!$A:$A&amp;盘货信息!$B:$B&amp;盘货信息!$C:$C,盘货信息!$V:$V))</f>
        <v/>
      </c>
      <c r="O489" s="27" t="str" cm="1">
        <f t="array" ref="O489">IF(_xlfn.XLOOKUP($A489&amp;$B489&amp;$C489,盘货信息!$A:$A&amp;盘货信息!$B:$B&amp;盘货信息!$C:$C,盘货信息!$W:$W)="","","【"&amp;盘货信息!$W$1&amp;"】"&amp;_xlfn.XLOOKUP($A489&amp;$B489&amp;$C489,盘货信息!$A:$A&amp;盘货信息!$B:$B&amp;盘货信息!$C:$C,盘货信息!$W:$W))</f>
        <v/>
      </c>
      <c r="P489" s="27" t="str" cm="1">
        <f t="array" ref="P489">IF(_xlfn.XLOOKUP($A489&amp;$B489&amp;$C489,盘货信息!$A:$A&amp;盘货信息!$B:$B&amp;盘货信息!$C:$C,盘货信息!$S:$S)&lt;1,"","【"&amp;盘货信息!$S$1&amp;"】"&amp;"后返"&amp;_xlfn.XLOOKUP($A489&amp;$B489&amp;$C489,盘货信息!$A:$A&amp;盘货信息!$B:$B&amp;盘货信息!$C:$C,盘货信息!$S:$S)&amp;"元")</f>
        <v/>
      </c>
      <c r="Q489" s="27" t="str" cm="1">
        <f t="array" ref="Q489">IF(_xlfn.XLOOKUP($A489&amp;$B489&amp;$C489,盘货信息!$A:$A&amp;盘货信息!$B:$B&amp;盘货信息!$C:$C,盘货信息!$X:$X)="","","【"&amp;盘货信息!$X$1&amp;"】"&amp;_xlfn.XLOOKUP($A489&amp;$B489&amp;$C489,盘货信息!$A:$A&amp;盘货信息!$B:$B&amp;盘货信息!$C:$C,盘货信息!$X:$X))</f>
        <v/>
      </c>
      <c r="R489" s="27" t="str" cm="1">
        <f t="array" ref="R489">IF(_xlfn.XLOOKUP($A489&amp;$B489&amp;$C489,盘货信息!$A:$A&amp;盘货信息!$B:$B&amp;盘货信息!$C:$C,盘货信息!$Z:$Z)="","","【"&amp;盘货信息!$Z$1&amp;"】"&amp;_xlfn.XLOOKUP($A489&amp;$B489&amp;$C489,盘货信息!$A:$A&amp;盘货信息!$B:$B&amp;盘货信息!$C:$C,盘货信息!$Z:$Z))</f>
        <v/>
      </c>
      <c r="S489" s="27" t="str" cm="1">
        <f t="array" ref="S489">IF(_xlfn.XLOOKUP($A489&amp;$B489&amp;$C489,盘货信息!$A:$A&amp;盘货信息!$B:$B&amp;盘货信息!$C:$C,盘货信息!$Q:$Q)="","","【种草】站外带指定话题种草后返"&amp;_xlfn.XLOOKUP($A489&amp;$B489&amp;$C489,盘货信息!$A:$A&amp;盘货信息!$B:$B&amp;盘货信息!$C:$C,盘货信息!$Q:$Q)&amp;"元红包（每个淘宝账号仅限对应一个站外种草账号，同一个种草账号不可对应多个淘宝账号）")</f>
        <v/>
      </c>
      <c r="T489" s="27" t="str" cm="1">
        <f t="array" ref="T489">IF(_xlfn.XLOOKUP($A489&amp;$B489&amp;$C489,盘货信息!$A:$A&amp;盘货信息!$B:$B&amp;盘货信息!$C:$C,盘货信息!$R:$R)&lt;1,"","【以旧换新】"&amp;"享补贴"&amp;ROUND(_xlfn.XLOOKUP($A489&amp;$B489&amp;$C489,盘货信息!$A:$A&amp;盘货信息!$B:$B&amp;盘货信息!$C:$C,盘货信息!$R:$R),0)&amp;"元（可无旧机换新）")</f>
        <v/>
      </c>
      <c r="U489" s="27" t="str">
        <f>IF(AND($N489="",$O489="",$P489="",$Q489="",$R489="",$S489="",$T489=""),"",固定信息!$B$1)</f>
        <v/>
      </c>
      <c r="V489" s="27" t="str" cm="1">
        <f t="array" ref="V489">IF(_xlfn.XLOOKUP($A489&amp;$B489&amp;$C489,盘货信息!$A:$A&amp;盘货信息!$B:$B&amp;盘货信息!$C:$C,盘货信息!$Y:$Y)="","","【卡萨帝送赠】活动指定时间"&amp;_xlfn.TEXTBEFORE(_xlfn.TEXTAFTER(_xlfn.XLOOKUP($A489&amp;$B489&amp;$C489,盘货信息!$A:$A&amp;盘货信息!$B:$B&amp;盘货信息!$C:$C,盘货信息!$Y:$Y),"点"),"（"))</f>
        <v/>
      </c>
      <c r="W489" s="27" t="str" cm="1">
        <f t="array" ref="W489">IF(COUNTIF(_xlfn.XLOOKUP($A489&amp;$B489&amp;$C489,盘货信息!$A:$A&amp;盘货信息!$B:$B&amp;盘货信息!$C:$C,盘货信息!$O:$O),"*是*"),"【折扣】指定型号满2类享96折，满3类享94折","")</f>
        <v/>
      </c>
      <c r="X489" s="27" t="str" cm="1">
        <f t="array" ref="X489">IF(固定信息!$B$7="","",IF(_xlfn.XLOOKUP($A489&amp;$B489&amp;$C489,盘货信息!$A:$A&amp;盘货信息!$B:$B&amp;盘货信息!$C:$C,盘货信息!$N:$N)="是","【瓜分】"&amp;固定信息!$B$7,""))</f>
        <v/>
      </c>
      <c r="Y489" s="27" t="str">
        <f>IF(AND($V489="",$W489="",$X489=""),"",固定信息!$B$1)</f>
        <v/>
      </c>
      <c r="Z489" s="27" t="str" cm="1">
        <f t="array" ref="Z489">IF($C489="","",_xlfn.XLOOKUP($A489&amp;$B489&amp;$C489,服务!$A:$A&amp;服务!$B:$B&amp;服务!$C:$C,服务!$D:$D))</f>
        <v/>
      </c>
    </row>
    <row r="490" customHeight="1" spans="1:26">
      <c r="A490" s="23" t="str">
        <f>IF(盘货信息!A490="","",盘货信息!A490)</f>
        <v/>
      </c>
      <c r="B490" s="26" t="str">
        <f>IF(盘货信息!B490="","",盘货信息!B490)</f>
        <v/>
      </c>
      <c r="C490" s="23" t="str">
        <f>IF(盘货信息!C490="","",盘货信息!C490)</f>
        <v/>
      </c>
      <c r="D490" s="27" t="str">
        <f ca="1" t="shared" si="7"/>
        <v/>
      </c>
      <c r="E490" s="27" t="str">
        <f>IF(C490="","",固定信息!$B$2)</f>
        <v/>
      </c>
      <c r="F490" s="27" t="str">
        <f>IF(C490="","","【"&amp;C490&amp;"】"&amp;固定信息!$B$4)</f>
        <v/>
      </c>
      <c r="G490" s="27" t="str">
        <f>IF(C490="","","【"&amp;"活动时间："&amp;固定信息!$B$3&amp;"】")</f>
        <v/>
      </c>
      <c r="H490" s="27" t="str">
        <f>IF($C490="","",固定信息!$B$1)</f>
        <v/>
      </c>
      <c r="I490" s="27" t="str">
        <f>IF(OR(C490="",固定信息!$B$5=""),"","【1元预约锁好礼】"&amp;固定信息!$B$5)</f>
        <v/>
      </c>
      <c r="J490" s="27" t="str" cm="1">
        <f t="array" ref="J490">_xlfn.XLOOKUP($A490&amp;$B490&amp;$C490,价格信息!$A:$A&amp;价格信息!$B:$B&amp;价格信息!$C:$C,价格信息!$D:$D)</f>
        <v/>
      </c>
      <c r="K490" s="27" t="str">
        <f>IF($C490="","",固定信息!$B$1)</f>
        <v/>
      </c>
      <c r="L490" s="27" t="str" cm="1">
        <f t="array" ref="L490">IF(_xlfn.XLOOKUP($A490&amp;$B490&amp;$C490,盘货信息!$A:$A&amp;盘货信息!$B:$B&amp;盘货信息!$C:$C,盘货信息!$T:$T)="","","【优惠券】领"&amp;_xlfn.XLOOKUP($A490&amp;$B490&amp;$C490,盘货信息!$A:$A&amp;盘货信息!$B:$B&amp;盘货信息!$C:$C,盘货信息!$T:$T)&amp;"元优惠卷下单更优惠，领券链接："&amp;_xlfn.XLOOKUP($A490&amp;$B490&amp;$C490,盘货信息!$A:$A&amp;盘货信息!$B:$B&amp;盘货信息!$C:$C,盘货信息!$U:$U))</f>
        <v/>
      </c>
      <c r="M490" s="27" t="str" cm="1">
        <f t="array" ref="M490">IF(_xlfn.XLOOKUP($A490&amp;$B490&amp;$C490,盘货信息!$A:$A&amp;盘货信息!$B:$B&amp;盘货信息!$C:$C,盘货信息!$P:$P)="","","【限时】"&amp;_xlfn.XLOOKUP($A490&amp;$B490&amp;$C490,盘货信息!$A:$A&amp;盘货信息!$B:$B&amp;盘货信息!$C:$C,盘货信息!$P:$P))</f>
        <v/>
      </c>
      <c r="N490" s="27" t="str" cm="1">
        <f t="array" ref="N490">IF(_xlfn.XLOOKUP($A490&amp;$B490&amp;$C490,盘货信息!$A:$A&amp;盘货信息!$B:$B&amp;盘货信息!$C:$C,盘货信息!$V:$V)="","","【"&amp;盘货信息!$V$1&amp;"】"&amp;_xlfn.XLOOKUP($A490&amp;$B490&amp;$C490,盘货信息!$A:$A&amp;盘货信息!$B:$B&amp;盘货信息!$C:$C,盘货信息!$V:$V))</f>
        <v/>
      </c>
      <c r="O490" s="27" t="str" cm="1">
        <f t="array" ref="O490">IF(_xlfn.XLOOKUP($A490&amp;$B490&amp;$C490,盘货信息!$A:$A&amp;盘货信息!$B:$B&amp;盘货信息!$C:$C,盘货信息!$W:$W)="","","【"&amp;盘货信息!$W$1&amp;"】"&amp;_xlfn.XLOOKUP($A490&amp;$B490&amp;$C490,盘货信息!$A:$A&amp;盘货信息!$B:$B&amp;盘货信息!$C:$C,盘货信息!$W:$W))</f>
        <v/>
      </c>
      <c r="P490" s="27" t="str" cm="1">
        <f t="array" ref="P490">IF(_xlfn.XLOOKUP($A490&amp;$B490&amp;$C490,盘货信息!$A:$A&amp;盘货信息!$B:$B&amp;盘货信息!$C:$C,盘货信息!$S:$S)&lt;1,"","【"&amp;盘货信息!$S$1&amp;"】"&amp;"后返"&amp;_xlfn.XLOOKUP($A490&amp;$B490&amp;$C490,盘货信息!$A:$A&amp;盘货信息!$B:$B&amp;盘货信息!$C:$C,盘货信息!$S:$S)&amp;"元")</f>
        <v/>
      </c>
      <c r="Q490" s="27" t="str" cm="1">
        <f t="array" ref="Q490">IF(_xlfn.XLOOKUP($A490&amp;$B490&amp;$C490,盘货信息!$A:$A&amp;盘货信息!$B:$B&amp;盘货信息!$C:$C,盘货信息!$X:$X)="","","【"&amp;盘货信息!$X$1&amp;"】"&amp;_xlfn.XLOOKUP($A490&amp;$B490&amp;$C490,盘货信息!$A:$A&amp;盘货信息!$B:$B&amp;盘货信息!$C:$C,盘货信息!$X:$X))</f>
        <v/>
      </c>
      <c r="R490" s="27" t="str" cm="1">
        <f t="array" ref="R490">IF(_xlfn.XLOOKUP($A490&amp;$B490&amp;$C490,盘货信息!$A:$A&amp;盘货信息!$B:$B&amp;盘货信息!$C:$C,盘货信息!$Z:$Z)="","","【"&amp;盘货信息!$Z$1&amp;"】"&amp;_xlfn.XLOOKUP($A490&amp;$B490&amp;$C490,盘货信息!$A:$A&amp;盘货信息!$B:$B&amp;盘货信息!$C:$C,盘货信息!$Z:$Z))</f>
        <v/>
      </c>
      <c r="S490" s="27" t="str" cm="1">
        <f t="array" ref="S490">IF(_xlfn.XLOOKUP($A490&amp;$B490&amp;$C490,盘货信息!$A:$A&amp;盘货信息!$B:$B&amp;盘货信息!$C:$C,盘货信息!$Q:$Q)="","","【种草】站外带指定话题种草后返"&amp;_xlfn.XLOOKUP($A490&amp;$B490&amp;$C490,盘货信息!$A:$A&amp;盘货信息!$B:$B&amp;盘货信息!$C:$C,盘货信息!$Q:$Q)&amp;"元红包（每个淘宝账号仅限对应一个站外种草账号，同一个种草账号不可对应多个淘宝账号）")</f>
        <v/>
      </c>
      <c r="T490" s="27" t="str" cm="1">
        <f t="array" ref="T490">IF(_xlfn.XLOOKUP($A490&amp;$B490&amp;$C490,盘货信息!$A:$A&amp;盘货信息!$B:$B&amp;盘货信息!$C:$C,盘货信息!$R:$R)&lt;1,"","【以旧换新】"&amp;"享补贴"&amp;ROUND(_xlfn.XLOOKUP($A490&amp;$B490&amp;$C490,盘货信息!$A:$A&amp;盘货信息!$B:$B&amp;盘货信息!$C:$C,盘货信息!$R:$R),0)&amp;"元（可无旧机换新）")</f>
        <v/>
      </c>
      <c r="U490" s="27" t="str">
        <f>IF(AND($N490="",$O490="",$P490="",$Q490="",$R490="",$S490="",$T490=""),"",固定信息!$B$1)</f>
        <v/>
      </c>
      <c r="V490" s="27" t="str" cm="1">
        <f t="array" ref="V490">IF(_xlfn.XLOOKUP($A490&amp;$B490&amp;$C490,盘货信息!$A:$A&amp;盘货信息!$B:$B&amp;盘货信息!$C:$C,盘货信息!$Y:$Y)="","","【卡萨帝送赠】活动指定时间"&amp;_xlfn.TEXTBEFORE(_xlfn.TEXTAFTER(_xlfn.XLOOKUP($A490&amp;$B490&amp;$C490,盘货信息!$A:$A&amp;盘货信息!$B:$B&amp;盘货信息!$C:$C,盘货信息!$Y:$Y),"点"),"（"))</f>
        <v/>
      </c>
      <c r="W490" s="27" t="str" cm="1">
        <f t="array" ref="W490">IF(COUNTIF(_xlfn.XLOOKUP($A490&amp;$B490&amp;$C490,盘货信息!$A:$A&amp;盘货信息!$B:$B&amp;盘货信息!$C:$C,盘货信息!$O:$O),"*是*"),"【折扣】指定型号满2类享96折，满3类享94折","")</f>
        <v/>
      </c>
      <c r="X490" s="27" t="str" cm="1">
        <f t="array" ref="X490">IF(固定信息!$B$7="","",IF(_xlfn.XLOOKUP($A490&amp;$B490&amp;$C490,盘货信息!$A:$A&amp;盘货信息!$B:$B&amp;盘货信息!$C:$C,盘货信息!$N:$N)="是","【瓜分】"&amp;固定信息!$B$7,""))</f>
        <v/>
      </c>
      <c r="Y490" s="27" t="str">
        <f>IF(AND($V490="",$W490="",$X490=""),"",固定信息!$B$1)</f>
        <v/>
      </c>
      <c r="Z490" s="27" t="str" cm="1">
        <f t="array" ref="Z490">IF($C490="","",_xlfn.XLOOKUP($A490&amp;$B490&amp;$C490,服务!$A:$A&amp;服务!$B:$B&amp;服务!$C:$C,服务!$D:$D))</f>
        <v/>
      </c>
    </row>
    <row r="491" customHeight="1" spans="1:26">
      <c r="A491" s="23" t="str">
        <f>IF(盘货信息!A491="","",盘货信息!A491)</f>
        <v/>
      </c>
      <c r="B491" s="26" t="str">
        <f>IF(盘货信息!B491="","",盘货信息!B491)</f>
        <v/>
      </c>
      <c r="C491" s="23" t="str">
        <f>IF(盘货信息!C491="","",盘货信息!C491)</f>
        <v/>
      </c>
      <c r="D491" s="27" t="str">
        <f ca="1" t="shared" si="7"/>
        <v/>
      </c>
      <c r="E491" s="27" t="str">
        <f>IF(C491="","",固定信息!$B$2)</f>
        <v/>
      </c>
      <c r="F491" s="27" t="str">
        <f>IF(C491="","","【"&amp;C491&amp;"】"&amp;固定信息!$B$4)</f>
        <v/>
      </c>
      <c r="G491" s="27" t="str">
        <f>IF(C491="","","【"&amp;"活动时间："&amp;固定信息!$B$3&amp;"】")</f>
        <v/>
      </c>
      <c r="H491" s="27" t="str">
        <f>IF($C491="","",固定信息!$B$1)</f>
        <v/>
      </c>
      <c r="I491" s="27" t="str">
        <f>IF(OR(C491="",固定信息!$B$5=""),"","【1元预约锁好礼】"&amp;固定信息!$B$5)</f>
        <v/>
      </c>
      <c r="J491" s="27" t="str" cm="1">
        <f t="array" ref="J491">_xlfn.XLOOKUP($A491&amp;$B491&amp;$C491,价格信息!$A:$A&amp;价格信息!$B:$B&amp;价格信息!$C:$C,价格信息!$D:$D)</f>
        <v/>
      </c>
      <c r="K491" s="27" t="str">
        <f>IF($C491="","",固定信息!$B$1)</f>
        <v/>
      </c>
      <c r="L491" s="27" t="str" cm="1">
        <f t="array" ref="L491">IF(_xlfn.XLOOKUP($A491&amp;$B491&amp;$C491,盘货信息!$A:$A&amp;盘货信息!$B:$B&amp;盘货信息!$C:$C,盘货信息!$T:$T)="","","【优惠券】领"&amp;_xlfn.XLOOKUP($A491&amp;$B491&amp;$C491,盘货信息!$A:$A&amp;盘货信息!$B:$B&amp;盘货信息!$C:$C,盘货信息!$T:$T)&amp;"元优惠卷下单更优惠，领券链接："&amp;_xlfn.XLOOKUP($A491&amp;$B491&amp;$C491,盘货信息!$A:$A&amp;盘货信息!$B:$B&amp;盘货信息!$C:$C,盘货信息!$U:$U))</f>
        <v/>
      </c>
      <c r="M491" s="27" t="str" cm="1">
        <f t="array" ref="M491">IF(_xlfn.XLOOKUP($A491&amp;$B491&amp;$C491,盘货信息!$A:$A&amp;盘货信息!$B:$B&amp;盘货信息!$C:$C,盘货信息!$P:$P)="","","【限时】"&amp;_xlfn.XLOOKUP($A491&amp;$B491&amp;$C491,盘货信息!$A:$A&amp;盘货信息!$B:$B&amp;盘货信息!$C:$C,盘货信息!$P:$P))</f>
        <v/>
      </c>
      <c r="N491" s="27" t="str" cm="1">
        <f t="array" ref="N491">IF(_xlfn.XLOOKUP($A491&amp;$B491&amp;$C491,盘货信息!$A:$A&amp;盘货信息!$B:$B&amp;盘货信息!$C:$C,盘货信息!$V:$V)="","","【"&amp;盘货信息!$V$1&amp;"】"&amp;_xlfn.XLOOKUP($A491&amp;$B491&amp;$C491,盘货信息!$A:$A&amp;盘货信息!$B:$B&amp;盘货信息!$C:$C,盘货信息!$V:$V))</f>
        <v/>
      </c>
      <c r="O491" s="27" t="str" cm="1">
        <f t="array" ref="O491">IF(_xlfn.XLOOKUP($A491&amp;$B491&amp;$C491,盘货信息!$A:$A&amp;盘货信息!$B:$B&amp;盘货信息!$C:$C,盘货信息!$W:$W)="","","【"&amp;盘货信息!$W$1&amp;"】"&amp;_xlfn.XLOOKUP($A491&amp;$B491&amp;$C491,盘货信息!$A:$A&amp;盘货信息!$B:$B&amp;盘货信息!$C:$C,盘货信息!$W:$W))</f>
        <v/>
      </c>
      <c r="P491" s="27" t="str" cm="1">
        <f t="array" ref="P491">IF(_xlfn.XLOOKUP($A491&amp;$B491&amp;$C491,盘货信息!$A:$A&amp;盘货信息!$B:$B&amp;盘货信息!$C:$C,盘货信息!$S:$S)&lt;1,"","【"&amp;盘货信息!$S$1&amp;"】"&amp;"后返"&amp;_xlfn.XLOOKUP($A491&amp;$B491&amp;$C491,盘货信息!$A:$A&amp;盘货信息!$B:$B&amp;盘货信息!$C:$C,盘货信息!$S:$S)&amp;"元")</f>
        <v/>
      </c>
      <c r="Q491" s="27" t="str" cm="1">
        <f t="array" ref="Q491">IF(_xlfn.XLOOKUP($A491&amp;$B491&amp;$C491,盘货信息!$A:$A&amp;盘货信息!$B:$B&amp;盘货信息!$C:$C,盘货信息!$X:$X)="","","【"&amp;盘货信息!$X$1&amp;"】"&amp;_xlfn.XLOOKUP($A491&amp;$B491&amp;$C491,盘货信息!$A:$A&amp;盘货信息!$B:$B&amp;盘货信息!$C:$C,盘货信息!$X:$X))</f>
        <v/>
      </c>
      <c r="R491" s="27" t="str" cm="1">
        <f t="array" ref="R491">IF(_xlfn.XLOOKUP($A491&amp;$B491&amp;$C491,盘货信息!$A:$A&amp;盘货信息!$B:$B&amp;盘货信息!$C:$C,盘货信息!$Z:$Z)="","","【"&amp;盘货信息!$Z$1&amp;"】"&amp;_xlfn.XLOOKUP($A491&amp;$B491&amp;$C491,盘货信息!$A:$A&amp;盘货信息!$B:$B&amp;盘货信息!$C:$C,盘货信息!$Z:$Z))</f>
        <v/>
      </c>
      <c r="S491" s="27" t="str" cm="1">
        <f t="array" ref="S491">IF(_xlfn.XLOOKUP($A491&amp;$B491&amp;$C491,盘货信息!$A:$A&amp;盘货信息!$B:$B&amp;盘货信息!$C:$C,盘货信息!$Q:$Q)="","","【种草】站外带指定话题种草后返"&amp;_xlfn.XLOOKUP($A491&amp;$B491&amp;$C491,盘货信息!$A:$A&amp;盘货信息!$B:$B&amp;盘货信息!$C:$C,盘货信息!$Q:$Q)&amp;"元红包（每个淘宝账号仅限对应一个站外种草账号，同一个种草账号不可对应多个淘宝账号）")</f>
        <v/>
      </c>
      <c r="T491" s="27" t="str" cm="1">
        <f t="array" ref="T491">IF(_xlfn.XLOOKUP($A491&amp;$B491&amp;$C491,盘货信息!$A:$A&amp;盘货信息!$B:$B&amp;盘货信息!$C:$C,盘货信息!$R:$R)&lt;1,"","【以旧换新】"&amp;"享补贴"&amp;ROUND(_xlfn.XLOOKUP($A491&amp;$B491&amp;$C491,盘货信息!$A:$A&amp;盘货信息!$B:$B&amp;盘货信息!$C:$C,盘货信息!$R:$R),0)&amp;"元（可无旧机换新）")</f>
        <v/>
      </c>
      <c r="U491" s="27" t="str">
        <f>IF(AND($N491="",$O491="",$P491="",$Q491="",$R491="",$S491="",$T491=""),"",固定信息!$B$1)</f>
        <v/>
      </c>
      <c r="V491" s="27" t="str" cm="1">
        <f t="array" ref="V491">IF(_xlfn.XLOOKUP($A491&amp;$B491&amp;$C491,盘货信息!$A:$A&amp;盘货信息!$B:$B&amp;盘货信息!$C:$C,盘货信息!$Y:$Y)="","","【卡萨帝送赠】活动指定时间"&amp;_xlfn.TEXTBEFORE(_xlfn.TEXTAFTER(_xlfn.XLOOKUP($A491&amp;$B491&amp;$C491,盘货信息!$A:$A&amp;盘货信息!$B:$B&amp;盘货信息!$C:$C,盘货信息!$Y:$Y),"点"),"（"))</f>
        <v/>
      </c>
      <c r="W491" s="27" t="str" cm="1">
        <f t="array" ref="W491">IF(COUNTIF(_xlfn.XLOOKUP($A491&amp;$B491&amp;$C491,盘货信息!$A:$A&amp;盘货信息!$B:$B&amp;盘货信息!$C:$C,盘货信息!$O:$O),"*是*"),"【折扣】指定型号满2类享96折，满3类享94折","")</f>
        <v/>
      </c>
      <c r="X491" s="27" t="str" cm="1">
        <f t="array" ref="X491">IF(固定信息!$B$7="","",IF(_xlfn.XLOOKUP($A491&amp;$B491&amp;$C491,盘货信息!$A:$A&amp;盘货信息!$B:$B&amp;盘货信息!$C:$C,盘货信息!$N:$N)="是","【瓜分】"&amp;固定信息!$B$7,""))</f>
        <v/>
      </c>
      <c r="Y491" s="27" t="str">
        <f>IF(AND($V491="",$W491="",$X491=""),"",固定信息!$B$1)</f>
        <v/>
      </c>
      <c r="Z491" s="27" t="str" cm="1">
        <f t="array" ref="Z491">IF($C491="","",_xlfn.XLOOKUP($A491&amp;$B491&amp;$C491,服务!$A:$A&amp;服务!$B:$B&amp;服务!$C:$C,服务!$D:$D))</f>
        <v/>
      </c>
    </row>
    <row r="492" customHeight="1" spans="1:26">
      <c r="A492" s="23" t="str">
        <f>IF(盘货信息!A492="","",盘货信息!A492)</f>
        <v/>
      </c>
      <c r="B492" s="26" t="str">
        <f>IF(盘货信息!B492="","",盘货信息!B492)</f>
        <v/>
      </c>
      <c r="C492" s="23" t="str">
        <f>IF(盘货信息!C492="","",盘货信息!C492)</f>
        <v/>
      </c>
      <c r="D492" s="27" t="str">
        <f ca="1" t="shared" si="7"/>
        <v/>
      </c>
      <c r="E492" s="27" t="str">
        <f>IF(C492="","",固定信息!$B$2)</f>
        <v/>
      </c>
      <c r="F492" s="27" t="str">
        <f>IF(C492="","","【"&amp;C492&amp;"】"&amp;固定信息!$B$4)</f>
        <v/>
      </c>
      <c r="G492" s="27" t="str">
        <f>IF(C492="","","【"&amp;"活动时间："&amp;固定信息!$B$3&amp;"】")</f>
        <v/>
      </c>
      <c r="H492" s="27" t="str">
        <f>IF($C492="","",固定信息!$B$1)</f>
        <v/>
      </c>
      <c r="I492" s="27" t="str">
        <f>IF(OR(C492="",固定信息!$B$5=""),"","【1元预约锁好礼】"&amp;固定信息!$B$5)</f>
        <v/>
      </c>
      <c r="J492" s="27" t="str" cm="1">
        <f t="array" ref="J492">_xlfn.XLOOKUP($A492&amp;$B492&amp;$C492,价格信息!$A:$A&amp;价格信息!$B:$B&amp;价格信息!$C:$C,价格信息!$D:$D)</f>
        <v/>
      </c>
      <c r="K492" s="27" t="str">
        <f>IF($C492="","",固定信息!$B$1)</f>
        <v/>
      </c>
      <c r="L492" s="27" t="str" cm="1">
        <f t="array" ref="L492">IF(_xlfn.XLOOKUP($A492&amp;$B492&amp;$C492,盘货信息!$A:$A&amp;盘货信息!$B:$B&amp;盘货信息!$C:$C,盘货信息!$T:$T)="","","【优惠券】领"&amp;_xlfn.XLOOKUP($A492&amp;$B492&amp;$C492,盘货信息!$A:$A&amp;盘货信息!$B:$B&amp;盘货信息!$C:$C,盘货信息!$T:$T)&amp;"元优惠卷下单更优惠，领券链接："&amp;_xlfn.XLOOKUP($A492&amp;$B492&amp;$C492,盘货信息!$A:$A&amp;盘货信息!$B:$B&amp;盘货信息!$C:$C,盘货信息!$U:$U))</f>
        <v/>
      </c>
      <c r="M492" s="27" t="str" cm="1">
        <f t="array" ref="M492">IF(_xlfn.XLOOKUP($A492&amp;$B492&amp;$C492,盘货信息!$A:$A&amp;盘货信息!$B:$B&amp;盘货信息!$C:$C,盘货信息!$P:$P)="","","【限时】"&amp;_xlfn.XLOOKUP($A492&amp;$B492&amp;$C492,盘货信息!$A:$A&amp;盘货信息!$B:$B&amp;盘货信息!$C:$C,盘货信息!$P:$P))</f>
        <v/>
      </c>
      <c r="N492" s="27" t="str" cm="1">
        <f t="array" ref="N492">IF(_xlfn.XLOOKUP($A492&amp;$B492&amp;$C492,盘货信息!$A:$A&amp;盘货信息!$B:$B&amp;盘货信息!$C:$C,盘货信息!$V:$V)="","","【"&amp;盘货信息!$V$1&amp;"】"&amp;_xlfn.XLOOKUP($A492&amp;$B492&amp;$C492,盘货信息!$A:$A&amp;盘货信息!$B:$B&amp;盘货信息!$C:$C,盘货信息!$V:$V))</f>
        <v/>
      </c>
      <c r="O492" s="27" t="str" cm="1">
        <f t="array" ref="O492">IF(_xlfn.XLOOKUP($A492&amp;$B492&amp;$C492,盘货信息!$A:$A&amp;盘货信息!$B:$B&amp;盘货信息!$C:$C,盘货信息!$W:$W)="","","【"&amp;盘货信息!$W$1&amp;"】"&amp;_xlfn.XLOOKUP($A492&amp;$B492&amp;$C492,盘货信息!$A:$A&amp;盘货信息!$B:$B&amp;盘货信息!$C:$C,盘货信息!$W:$W))</f>
        <v/>
      </c>
      <c r="P492" s="27" t="str" cm="1">
        <f t="array" ref="P492">IF(_xlfn.XLOOKUP($A492&amp;$B492&amp;$C492,盘货信息!$A:$A&amp;盘货信息!$B:$B&amp;盘货信息!$C:$C,盘货信息!$S:$S)&lt;1,"","【"&amp;盘货信息!$S$1&amp;"】"&amp;"后返"&amp;_xlfn.XLOOKUP($A492&amp;$B492&amp;$C492,盘货信息!$A:$A&amp;盘货信息!$B:$B&amp;盘货信息!$C:$C,盘货信息!$S:$S)&amp;"元")</f>
        <v/>
      </c>
      <c r="Q492" s="27" t="str" cm="1">
        <f t="array" ref="Q492">IF(_xlfn.XLOOKUP($A492&amp;$B492&amp;$C492,盘货信息!$A:$A&amp;盘货信息!$B:$B&amp;盘货信息!$C:$C,盘货信息!$X:$X)="","","【"&amp;盘货信息!$X$1&amp;"】"&amp;_xlfn.XLOOKUP($A492&amp;$B492&amp;$C492,盘货信息!$A:$A&amp;盘货信息!$B:$B&amp;盘货信息!$C:$C,盘货信息!$X:$X))</f>
        <v/>
      </c>
      <c r="R492" s="27" t="str" cm="1">
        <f t="array" ref="R492">IF(_xlfn.XLOOKUP($A492&amp;$B492&amp;$C492,盘货信息!$A:$A&amp;盘货信息!$B:$B&amp;盘货信息!$C:$C,盘货信息!$Z:$Z)="","","【"&amp;盘货信息!$Z$1&amp;"】"&amp;_xlfn.XLOOKUP($A492&amp;$B492&amp;$C492,盘货信息!$A:$A&amp;盘货信息!$B:$B&amp;盘货信息!$C:$C,盘货信息!$Z:$Z))</f>
        <v/>
      </c>
      <c r="S492" s="27" t="str" cm="1">
        <f t="array" ref="S492">IF(_xlfn.XLOOKUP($A492&amp;$B492&amp;$C492,盘货信息!$A:$A&amp;盘货信息!$B:$B&amp;盘货信息!$C:$C,盘货信息!$Q:$Q)="","","【种草】站外带指定话题种草后返"&amp;_xlfn.XLOOKUP($A492&amp;$B492&amp;$C492,盘货信息!$A:$A&amp;盘货信息!$B:$B&amp;盘货信息!$C:$C,盘货信息!$Q:$Q)&amp;"元红包（每个淘宝账号仅限对应一个站外种草账号，同一个种草账号不可对应多个淘宝账号）")</f>
        <v/>
      </c>
      <c r="T492" s="27" t="str" cm="1">
        <f t="array" ref="T492">IF(_xlfn.XLOOKUP($A492&amp;$B492&amp;$C492,盘货信息!$A:$A&amp;盘货信息!$B:$B&amp;盘货信息!$C:$C,盘货信息!$R:$R)&lt;1,"","【以旧换新】"&amp;"享补贴"&amp;ROUND(_xlfn.XLOOKUP($A492&amp;$B492&amp;$C492,盘货信息!$A:$A&amp;盘货信息!$B:$B&amp;盘货信息!$C:$C,盘货信息!$R:$R),0)&amp;"元（可无旧机换新）")</f>
        <v/>
      </c>
      <c r="U492" s="27" t="str">
        <f>IF(AND($N492="",$O492="",$P492="",$Q492="",$R492="",$S492="",$T492=""),"",固定信息!$B$1)</f>
        <v/>
      </c>
      <c r="V492" s="27" t="str" cm="1">
        <f t="array" ref="V492">IF(_xlfn.XLOOKUP($A492&amp;$B492&amp;$C492,盘货信息!$A:$A&amp;盘货信息!$B:$B&amp;盘货信息!$C:$C,盘货信息!$Y:$Y)="","","【卡萨帝送赠】活动指定时间"&amp;_xlfn.TEXTBEFORE(_xlfn.TEXTAFTER(_xlfn.XLOOKUP($A492&amp;$B492&amp;$C492,盘货信息!$A:$A&amp;盘货信息!$B:$B&amp;盘货信息!$C:$C,盘货信息!$Y:$Y),"点"),"（"))</f>
        <v/>
      </c>
      <c r="W492" s="27" t="str" cm="1">
        <f t="array" ref="W492">IF(COUNTIF(_xlfn.XLOOKUP($A492&amp;$B492&amp;$C492,盘货信息!$A:$A&amp;盘货信息!$B:$B&amp;盘货信息!$C:$C,盘货信息!$O:$O),"*是*"),"【折扣】指定型号满2类享96折，满3类享94折","")</f>
        <v/>
      </c>
      <c r="X492" s="27" t="str" cm="1">
        <f t="array" ref="X492">IF(固定信息!$B$7="","",IF(_xlfn.XLOOKUP($A492&amp;$B492&amp;$C492,盘货信息!$A:$A&amp;盘货信息!$B:$B&amp;盘货信息!$C:$C,盘货信息!$N:$N)="是","【瓜分】"&amp;固定信息!$B$7,""))</f>
        <v/>
      </c>
      <c r="Y492" s="27" t="str">
        <f>IF(AND($V492="",$W492="",$X492=""),"",固定信息!$B$1)</f>
        <v/>
      </c>
      <c r="Z492" s="27" t="str" cm="1">
        <f t="array" ref="Z492">IF($C492="","",_xlfn.XLOOKUP($A492&amp;$B492&amp;$C492,服务!$A:$A&amp;服务!$B:$B&amp;服务!$C:$C,服务!$D:$D))</f>
        <v/>
      </c>
    </row>
    <row r="493" customHeight="1" spans="1:26">
      <c r="A493" s="23" t="str">
        <f>IF(盘货信息!A493="","",盘货信息!A493)</f>
        <v/>
      </c>
      <c r="B493" s="26" t="str">
        <f>IF(盘货信息!B493="","",盘货信息!B493)</f>
        <v/>
      </c>
      <c r="C493" s="23" t="str">
        <f>IF(盘货信息!C493="","",盘货信息!C493)</f>
        <v/>
      </c>
      <c r="D493" s="27" t="str">
        <f ca="1" t="shared" si="7"/>
        <v/>
      </c>
      <c r="E493" s="27" t="str">
        <f>IF(C493="","",固定信息!$B$2)</f>
        <v/>
      </c>
      <c r="F493" s="27" t="str">
        <f>IF(C493="","","【"&amp;C493&amp;"】"&amp;固定信息!$B$4)</f>
        <v/>
      </c>
      <c r="G493" s="27" t="str">
        <f>IF(C493="","","【"&amp;"活动时间："&amp;固定信息!$B$3&amp;"】")</f>
        <v/>
      </c>
      <c r="H493" s="27" t="str">
        <f>IF($C493="","",固定信息!$B$1)</f>
        <v/>
      </c>
      <c r="I493" s="27" t="str">
        <f>IF(OR(C493="",固定信息!$B$5=""),"","【1元预约锁好礼】"&amp;固定信息!$B$5)</f>
        <v/>
      </c>
      <c r="J493" s="27" t="str" cm="1">
        <f t="array" ref="J493">_xlfn.XLOOKUP($A493&amp;$B493&amp;$C493,价格信息!$A:$A&amp;价格信息!$B:$B&amp;价格信息!$C:$C,价格信息!$D:$D)</f>
        <v/>
      </c>
      <c r="K493" s="27" t="str">
        <f>IF($C493="","",固定信息!$B$1)</f>
        <v/>
      </c>
      <c r="L493" s="27" t="str" cm="1">
        <f t="array" ref="L493">IF(_xlfn.XLOOKUP($A493&amp;$B493&amp;$C493,盘货信息!$A:$A&amp;盘货信息!$B:$B&amp;盘货信息!$C:$C,盘货信息!$T:$T)="","","【优惠券】领"&amp;_xlfn.XLOOKUP($A493&amp;$B493&amp;$C493,盘货信息!$A:$A&amp;盘货信息!$B:$B&amp;盘货信息!$C:$C,盘货信息!$T:$T)&amp;"元优惠卷下单更优惠，领券链接："&amp;_xlfn.XLOOKUP($A493&amp;$B493&amp;$C493,盘货信息!$A:$A&amp;盘货信息!$B:$B&amp;盘货信息!$C:$C,盘货信息!$U:$U))</f>
        <v/>
      </c>
      <c r="M493" s="27" t="str" cm="1">
        <f t="array" ref="M493">IF(_xlfn.XLOOKUP($A493&amp;$B493&amp;$C493,盘货信息!$A:$A&amp;盘货信息!$B:$B&amp;盘货信息!$C:$C,盘货信息!$P:$P)="","","【限时】"&amp;_xlfn.XLOOKUP($A493&amp;$B493&amp;$C493,盘货信息!$A:$A&amp;盘货信息!$B:$B&amp;盘货信息!$C:$C,盘货信息!$P:$P))</f>
        <v/>
      </c>
      <c r="N493" s="27" t="str" cm="1">
        <f t="array" ref="N493">IF(_xlfn.XLOOKUP($A493&amp;$B493&amp;$C493,盘货信息!$A:$A&amp;盘货信息!$B:$B&amp;盘货信息!$C:$C,盘货信息!$V:$V)="","","【"&amp;盘货信息!$V$1&amp;"】"&amp;_xlfn.XLOOKUP($A493&amp;$B493&amp;$C493,盘货信息!$A:$A&amp;盘货信息!$B:$B&amp;盘货信息!$C:$C,盘货信息!$V:$V))</f>
        <v/>
      </c>
      <c r="O493" s="27" t="str" cm="1">
        <f t="array" ref="O493">IF(_xlfn.XLOOKUP($A493&amp;$B493&amp;$C493,盘货信息!$A:$A&amp;盘货信息!$B:$B&amp;盘货信息!$C:$C,盘货信息!$W:$W)="","","【"&amp;盘货信息!$W$1&amp;"】"&amp;_xlfn.XLOOKUP($A493&amp;$B493&amp;$C493,盘货信息!$A:$A&amp;盘货信息!$B:$B&amp;盘货信息!$C:$C,盘货信息!$W:$W))</f>
        <v/>
      </c>
      <c r="P493" s="27" t="str" cm="1">
        <f t="array" ref="P493">IF(_xlfn.XLOOKUP($A493&amp;$B493&amp;$C493,盘货信息!$A:$A&amp;盘货信息!$B:$B&amp;盘货信息!$C:$C,盘货信息!$S:$S)&lt;1,"","【"&amp;盘货信息!$S$1&amp;"】"&amp;"后返"&amp;_xlfn.XLOOKUP($A493&amp;$B493&amp;$C493,盘货信息!$A:$A&amp;盘货信息!$B:$B&amp;盘货信息!$C:$C,盘货信息!$S:$S)&amp;"元")</f>
        <v/>
      </c>
      <c r="Q493" s="27" t="str" cm="1">
        <f t="array" ref="Q493">IF(_xlfn.XLOOKUP($A493&amp;$B493&amp;$C493,盘货信息!$A:$A&amp;盘货信息!$B:$B&amp;盘货信息!$C:$C,盘货信息!$X:$X)="","","【"&amp;盘货信息!$X$1&amp;"】"&amp;_xlfn.XLOOKUP($A493&amp;$B493&amp;$C493,盘货信息!$A:$A&amp;盘货信息!$B:$B&amp;盘货信息!$C:$C,盘货信息!$X:$X))</f>
        <v/>
      </c>
      <c r="R493" s="27" t="str" cm="1">
        <f t="array" ref="R493">IF(_xlfn.XLOOKUP($A493&amp;$B493&amp;$C493,盘货信息!$A:$A&amp;盘货信息!$B:$B&amp;盘货信息!$C:$C,盘货信息!$Z:$Z)="","","【"&amp;盘货信息!$Z$1&amp;"】"&amp;_xlfn.XLOOKUP($A493&amp;$B493&amp;$C493,盘货信息!$A:$A&amp;盘货信息!$B:$B&amp;盘货信息!$C:$C,盘货信息!$Z:$Z))</f>
        <v/>
      </c>
      <c r="S493" s="27" t="str" cm="1">
        <f t="array" ref="S493">IF(_xlfn.XLOOKUP($A493&amp;$B493&amp;$C493,盘货信息!$A:$A&amp;盘货信息!$B:$B&amp;盘货信息!$C:$C,盘货信息!$Q:$Q)="","","【种草】站外带指定话题种草后返"&amp;_xlfn.XLOOKUP($A493&amp;$B493&amp;$C493,盘货信息!$A:$A&amp;盘货信息!$B:$B&amp;盘货信息!$C:$C,盘货信息!$Q:$Q)&amp;"元红包（每个淘宝账号仅限对应一个站外种草账号，同一个种草账号不可对应多个淘宝账号）")</f>
        <v/>
      </c>
      <c r="T493" s="27" t="str" cm="1">
        <f t="array" ref="T493">IF(_xlfn.XLOOKUP($A493&amp;$B493&amp;$C493,盘货信息!$A:$A&amp;盘货信息!$B:$B&amp;盘货信息!$C:$C,盘货信息!$R:$R)&lt;1,"","【以旧换新】"&amp;"享补贴"&amp;ROUND(_xlfn.XLOOKUP($A493&amp;$B493&amp;$C493,盘货信息!$A:$A&amp;盘货信息!$B:$B&amp;盘货信息!$C:$C,盘货信息!$R:$R),0)&amp;"元（可无旧机换新）")</f>
        <v/>
      </c>
      <c r="U493" s="27" t="str">
        <f>IF(AND($N493="",$O493="",$P493="",$Q493="",$R493="",$S493="",$T493=""),"",固定信息!$B$1)</f>
        <v/>
      </c>
      <c r="V493" s="27" t="str" cm="1">
        <f t="array" ref="V493">IF(_xlfn.XLOOKUP($A493&amp;$B493&amp;$C493,盘货信息!$A:$A&amp;盘货信息!$B:$B&amp;盘货信息!$C:$C,盘货信息!$Y:$Y)="","","【卡萨帝送赠】活动指定时间"&amp;_xlfn.TEXTBEFORE(_xlfn.TEXTAFTER(_xlfn.XLOOKUP($A493&amp;$B493&amp;$C493,盘货信息!$A:$A&amp;盘货信息!$B:$B&amp;盘货信息!$C:$C,盘货信息!$Y:$Y),"点"),"（"))</f>
        <v/>
      </c>
      <c r="W493" s="27" t="str" cm="1">
        <f t="array" ref="W493">IF(COUNTIF(_xlfn.XLOOKUP($A493&amp;$B493&amp;$C493,盘货信息!$A:$A&amp;盘货信息!$B:$B&amp;盘货信息!$C:$C,盘货信息!$O:$O),"*是*"),"【折扣】指定型号满2类享96折，满3类享94折","")</f>
        <v/>
      </c>
      <c r="X493" s="27" t="str" cm="1">
        <f t="array" ref="X493">IF(固定信息!$B$7="","",IF(_xlfn.XLOOKUP($A493&amp;$B493&amp;$C493,盘货信息!$A:$A&amp;盘货信息!$B:$B&amp;盘货信息!$C:$C,盘货信息!$N:$N)="是","【瓜分】"&amp;固定信息!$B$7,""))</f>
        <v/>
      </c>
      <c r="Y493" s="27" t="str">
        <f>IF(AND($V493="",$W493="",$X493=""),"",固定信息!$B$1)</f>
        <v/>
      </c>
      <c r="Z493" s="27" t="str" cm="1">
        <f t="array" ref="Z493">IF($C493="","",_xlfn.XLOOKUP($A493&amp;$B493&amp;$C493,服务!$A:$A&amp;服务!$B:$B&amp;服务!$C:$C,服务!$D:$D))</f>
        <v/>
      </c>
    </row>
    <row r="494" customHeight="1" spans="1:26">
      <c r="A494" s="23" t="str">
        <f>IF(盘货信息!A494="","",盘货信息!A494)</f>
        <v/>
      </c>
      <c r="B494" s="26" t="str">
        <f>IF(盘货信息!B494="","",盘货信息!B494)</f>
        <v/>
      </c>
      <c r="C494" s="23" t="str">
        <f>IF(盘货信息!C494="","",盘货信息!C494)</f>
        <v/>
      </c>
      <c r="D494" s="27" t="str">
        <f ca="1" t="shared" si="7"/>
        <v/>
      </c>
      <c r="E494" s="27" t="str">
        <f>IF(C494="","",固定信息!$B$2)</f>
        <v/>
      </c>
      <c r="F494" s="27" t="str">
        <f>IF(C494="","","【"&amp;C494&amp;"】"&amp;固定信息!$B$4)</f>
        <v/>
      </c>
      <c r="G494" s="27" t="str">
        <f>IF(C494="","","【"&amp;"活动时间："&amp;固定信息!$B$3&amp;"】")</f>
        <v/>
      </c>
      <c r="H494" s="27" t="str">
        <f>IF($C494="","",固定信息!$B$1)</f>
        <v/>
      </c>
      <c r="I494" s="27" t="str">
        <f>IF(OR(C494="",固定信息!$B$5=""),"","【1元预约锁好礼】"&amp;固定信息!$B$5)</f>
        <v/>
      </c>
      <c r="J494" s="27" t="str" cm="1">
        <f t="array" ref="J494">_xlfn.XLOOKUP($A494&amp;$B494&amp;$C494,价格信息!$A:$A&amp;价格信息!$B:$B&amp;价格信息!$C:$C,价格信息!$D:$D)</f>
        <v/>
      </c>
      <c r="K494" s="27" t="str">
        <f>IF($C494="","",固定信息!$B$1)</f>
        <v/>
      </c>
      <c r="L494" s="27" t="str" cm="1">
        <f t="array" ref="L494">IF(_xlfn.XLOOKUP($A494&amp;$B494&amp;$C494,盘货信息!$A:$A&amp;盘货信息!$B:$B&amp;盘货信息!$C:$C,盘货信息!$T:$T)="","","【优惠券】领"&amp;_xlfn.XLOOKUP($A494&amp;$B494&amp;$C494,盘货信息!$A:$A&amp;盘货信息!$B:$B&amp;盘货信息!$C:$C,盘货信息!$T:$T)&amp;"元优惠卷下单更优惠，领券链接："&amp;_xlfn.XLOOKUP($A494&amp;$B494&amp;$C494,盘货信息!$A:$A&amp;盘货信息!$B:$B&amp;盘货信息!$C:$C,盘货信息!$U:$U))</f>
        <v/>
      </c>
      <c r="M494" s="27" t="str" cm="1">
        <f t="array" ref="M494">IF(_xlfn.XLOOKUP($A494&amp;$B494&amp;$C494,盘货信息!$A:$A&amp;盘货信息!$B:$B&amp;盘货信息!$C:$C,盘货信息!$P:$P)="","","【限时】"&amp;_xlfn.XLOOKUP($A494&amp;$B494&amp;$C494,盘货信息!$A:$A&amp;盘货信息!$B:$B&amp;盘货信息!$C:$C,盘货信息!$P:$P))</f>
        <v/>
      </c>
      <c r="N494" s="27" t="str" cm="1">
        <f t="array" ref="N494">IF(_xlfn.XLOOKUP($A494&amp;$B494&amp;$C494,盘货信息!$A:$A&amp;盘货信息!$B:$B&amp;盘货信息!$C:$C,盘货信息!$V:$V)="","","【"&amp;盘货信息!$V$1&amp;"】"&amp;_xlfn.XLOOKUP($A494&amp;$B494&amp;$C494,盘货信息!$A:$A&amp;盘货信息!$B:$B&amp;盘货信息!$C:$C,盘货信息!$V:$V))</f>
        <v/>
      </c>
      <c r="O494" s="27" t="str" cm="1">
        <f t="array" ref="O494">IF(_xlfn.XLOOKUP($A494&amp;$B494&amp;$C494,盘货信息!$A:$A&amp;盘货信息!$B:$B&amp;盘货信息!$C:$C,盘货信息!$W:$W)="","","【"&amp;盘货信息!$W$1&amp;"】"&amp;_xlfn.XLOOKUP($A494&amp;$B494&amp;$C494,盘货信息!$A:$A&amp;盘货信息!$B:$B&amp;盘货信息!$C:$C,盘货信息!$W:$W))</f>
        <v/>
      </c>
      <c r="P494" s="27" t="str" cm="1">
        <f t="array" ref="P494">IF(_xlfn.XLOOKUP($A494&amp;$B494&amp;$C494,盘货信息!$A:$A&amp;盘货信息!$B:$B&amp;盘货信息!$C:$C,盘货信息!$S:$S)&lt;1,"","【"&amp;盘货信息!$S$1&amp;"】"&amp;"后返"&amp;_xlfn.XLOOKUP($A494&amp;$B494&amp;$C494,盘货信息!$A:$A&amp;盘货信息!$B:$B&amp;盘货信息!$C:$C,盘货信息!$S:$S)&amp;"元")</f>
        <v/>
      </c>
      <c r="Q494" s="27" t="str" cm="1">
        <f t="array" ref="Q494">IF(_xlfn.XLOOKUP($A494&amp;$B494&amp;$C494,盘货信息!$A:$A&amp;盘货信息!$B:$B&amp;盘货信息!$C:$C,盘货信息!$X:$X)="","","【"&amp;盘货信息!$X$1&amp;"】"&amp;_xlfn.XLOOKUP($A494&amp;$B494&amp;$C494,盘货信息!$A:$A&amp;盘货信息!$B:$B&amp;盘货信息!$C:$C,盘货信息!$X:$X))</f>
        <v/>
      </c>
      <c r="R494" s="27" t="str" cm="1">
        <f t="array" ref="R494">IF(_xlfn.XLOOKUP($A494&amp;$B494&amp;$C494,盘货信息!$A:$A&amp;盘货信息!$B:$B&amp;盘货信息!$C:$C,盘货信息!$Z:$Z)="","","【"&amp;盘货信息!$Z$1&amp;"】"&amp;_xlfn.XLOOKUP($A494&amp;$B494&amp;$C494,盘货信息!$A:$A&amp;盘货信息!$B:$B&amp;盘货信息!$C:$C,盘货信息!$Z:$Z))</f>
        <v/>
      </c>
      <c r="S494" s="27" t="str" cm="1">
        <f t="array" ref="S494">IF(_xlfn.XLOOKUP($A494&amp;$B494&amp;$C494,盘货信息!$A:$A&amp;盘货信息!$B:$B&amp;盘货信息!$C:$C,盘货信息!$Q:$Q)="","","【种草】站外带指定话题种草后返"&amp;_xlfn.XLOOKUP($A494&amp;$B494&amp;$C494,盘货信息!$A:$A&amp;盘货信息!$B:$B&amp;盘货信息!$C:$C,盘货信息!$Q:$Q)&amp;"元红包（每个淘宝账号仅限对应一个站外种草账号，同一个种草账号不可对应多个淘宝账号）")</f>
        <v/>
      </c>
      <c r="T494" s="27" t="str" cm="1">
        <f t="array" ref="T494">IF(_xlfn.XLOOKUP($A494&amp;$B494&amp;$C494,盘货信息!$A:$A&amp;盘货信息!$B:$B&amp;盘货信息!$C:$C,盘货信息!$R:$R)&lt;1,"","【以旧换新】"&amp;"享补贴"&amp;ROUND(_xlfn.XLOOKUP($A494&amp;$B494&amp;$C494,盘货信息!$A:$A&amp;盘货信息!$B:$B&amp;盘货信息!$C:$C,盘货信息!$R:$R),0)&amp;"元（可无旧机换新）")</f>
        <v/>
      </c>
      <c r="U494" s="27" t="str">
        <f>IF(AND($N494="",$O494="",$P494="",$Q494="",$R494="",$S494="",$T494=""),"",固定信息!$B$1)</f>
        <v/>
      </c>
      <c r="V494" s="27" t="str" cm="1">
        <f t="array" ref="V494">IF(_xlfn.XLOOKUP($A494&amp;$B494&amp;$C494,盘货信息!$A:$A&amp;盘货信息!$B:$B&amp;盘货信息!$C:$C,盘货信息!$Y:$Y)="","","【卡萨帝送赠】活动指定时间"&amp;_xlfn.TEXTBEFORE(_xlfn.TEXTAFTER(_xlfn.XLOOKUP($A494&amp;$B494&amp;$C494,盘货信息!$A:$A&amp;盘货信息!$B:$B&amp;盘货信息!$C:$C,盘货信息!$Y:$Y),"点"),"（"))</f>
        <v/>
      </c>
      <c r="W494" s="27" t="str" cm="1">
        <f t="array" ref="W494">IF(COUNTIF(_xlfn.XLOOKUP($A494&amp;$B494&amp;$C494,盘货信息!$A:$A&amp;盘货信息!$B:$B&amp;盘货信息!$C:$C,盘货信息!$O:$O),"*是*"),"【折扣】指定型号满2类享96折，满3类享94折","")</f>
        <v/>
      </c>
      <c r="X494" s="27" t="str" cm="1">
        <f t="array" ref="X494">IF(固定信息!$B$7="","",IF(_xlfn.XLOOKUP($A494&amp;$B494&amp;$C494,盘货信息!$A:$A&amp;盘货信息!$B:$B&amp;盘货信息!$C:$C,盘货信息!$N:$N)="是","【瓜分】"&amp;固定信息!$B$7,""))</f>
        <v/>
      </c>
      <c r="Y494" s="27" t="str">
        <f>IF(AND($V494="",$W494="",$X494=""),"",固定信息!$B$1)</f>
        <v/>
      </c>
      <c r="Z494" s="27" t="str" cm="1">
        <f t="array" ref="Z494">IF($C494="","",_xlfn.XLOOKUP($A494&amp;$B494&amp;$C494,服务!$A:$A&amp;服务!$B:$B&amp;服务!$C:$C,服务!$D:$D))</f>
        <v/>
      </c>
    </row>
    <row r="495" customHeight="1" spans="1:26">
      <c r="A495" s="23" t="str">
        <f>IF(盘货信息!A495="","",盘货信息!A495)</f>
        <v/>
      </c>
      <c r="B495" s="26" t="str">
        <f>IF(盘货信息!B495="","",盘货信息!B495)</f>
        <v/>
      </c>
      <c r="C495" s="23" t="str">
        <f>IF(盘货信息!C495="","",盘货信息!C495)</f>
        <v/>
      </c>
      <c r="D495" s="27" t="str">
        <f ca="1" t="shared" si="7"/>
        <v/>
      </c>
      <c r="E495" s="27" t="str">
        <f>IF(C495="","",固定信息!$B$2)</f>
        <v/>
      </c>
      <c r="F495" s="27" t="str">
        <f>IF(C495="","","【"&amp;C495&amp;"】"&amp;固定信息!$B$4)</f>
        <v/>
      </c>
      <c r="G495" s="27" t="str">
        <f>IF(C495="","","【"&amp;"活动时间："&amp;固定信息!$B$3&amp;"】")</f>
        <v/>
      </c>
      <c r="H495" s="27" t="str">
        <f>IF($C495="","",固定信息!$B$1)</f>
        <v/>
      </c>
      <c r="I495" s="27" t="str">
        <f>IF(OR(C495="",固定信息!$B$5=""),"","【1元预约锁好礼】"&amp;固定信息!$B$5)</f>
        <v/>
      </c>
      <c r="J495" s="27" t="str" cm="1">
        <f t="array" ref="J495">_xlfn.XLOOKUP($A495&amp;$B495&amp;$C495,价格信息!$A:$A&amp;价格信息!$B:$B&amp;价格信息!$C:$C,价格信息!$D:$D)</f>
        <v/>
      </c>
      <c r="K495" s="27" t="str">
        <f>IF($C495="","",固定信息!$B$1)</f>
        <v/>
      </c>
      <c r="L495" s="27" t="str" cm="1">
        <f t="array" ref="L495">IF(_xlfn.XLOOKUP($A495&amp;$B495&amp;$C495,盘货信息!$A:$A&amp;盘货信息!$B:$B&amp;盘货信息!$C:$C,盘货信息!$T:$T)="","","【优惠券】领"&amp;_xlfn.XLOOKUP($A495&amp;$B495&amp;$C495,盘货信息!$A:$A&amp;盘货信息!$B:$B&amp;盘货信息!$C:$C,盘货信息!$T:$T)&amp;"元优惠卷下单更优惠，领券链接："&amp;_xlfn.XLOOKUP($A495&amp;$B495&amp;$C495,盘货信息!$A:$A&amp;盘货信息!$B:$B&amp;盘货信息!$C:$C,盘货信息!$U:$U))</f>
        <v/>
      </c>
      <c r="M495" s="27" t="str" cm="1">
        <f t="array" ref="M495">IF(_xlfn.XLOOKUP($A495&amp;$B495&amp;$C495,盘货信息!$A:$A&amp;盘货信息!$B:$B&amp;盘货信息!$C:$C,盘货信息!$P:$P)="","","【限时】"&amp;_xlfn.XLOOKUP($A495&amp;$B495&amp;$C495,盘货信息!$A:$A&amp;盘货信息!$B:$B&amp;盘货信息!$C:$C,盘货信息!$P:$P))</f>
        <v/>
      </c>
      <c r="N495" s="27" t="str" cm="1">
        <f t="array" ref="N495">IF(_xlfn.XLOOKUP($A495&amp;$B495&amp;$C495,盘货信息!$A:$A&amp;盘货信息!$B:$B&amp;盘货信息!$C:$C,盘货信息!$V:$V)="","","【"&amp;盘货信息!$V$1&amp;"】"&amp;_xlfn.XLOOKUP($A495&amp;$B495&amp;$C495,盘货信息!$A:$A&amp;盘货信息!$B:$B&amp;盘货信息!$C:$C,盘货信息!$V:$V))</f>
        <v/>
      </c>
      <c r="O495" s="27" t="str" cm="1">
        <f t="array" ref="O495">IF(_xlfn.XLOOKUP($A495&amp;$B495&amp;$C495,盘货信息!$A:$A&amp;盘货信息!$B:$B&amp;盘货信息!$C:$C,盘货信息!$W:$W)="","","【"&amp;盘货信息!$W$1&amp;"】"&amp;_xlfn.XLOOKUP($A495&amp;$B495&amp;$C495,盘货信息!$A:$A&amp;盘货信息!$B:$B&amp;盘货信息!$C:$C,盘货信息!$W:$W))</f>
        <v/>
      </c>
      <c r="P495" s="27" t="str" cm="1">
        <f t="array" ref="P495">IF(_xlfn.XLOOKUP($A495&amp;$B495&amp;$C495,盘货信息!$A:$A&amp;盘货信息!$B:$B&amp;盘货信息!$C:$C,盘货信息!$S:$S)&lt;1,"","【"&amp;盘货信息!$S$1&amp;"】"&amp;"后返"&amp;_xlfn.XLOOKUP($A495&amp;$B495&amp;$C495,盘货信息!$A:$A&amp;盘货信息!$B:$B&amp;盘货信息!$C:$C,盘货信息!$S:$S)&amp;"元")</f>
        <v/>
      </c>
      <c r="Q495" s="27" t="str" cm="1">
        <f t="array" ref="Q495">IF(_xlfn.XLOOKUP($A495&amp;$B495&amp;$C495,盘货信息!$A:$A&amp;盘货信息!$B:$B&amp;盘货信息!$C:$C,盘货信息!$X:$X)="","","【"&amp;盘货信息!$X$1&amp;"】"&amp;_xlfn.XLOOKUP($A495&amp;$B495&amp;$C495,盘货信息!$A:$A&amp;盘货信息!$B:$B&amp;盘货信息!$C:$C,盘货信息!$X:$X))</f>
        <v/>
      </c>
      <c r="R495" s="27" t="str" cm="1">
        <f t="array" ref="R495">IF(_xlfn.XLOOKUP($A495&amp;$B495&amp;$C495,盘货信息!$A:$A&amp;盘货信息!$B:$B&amp;盘货信息!$C:$C,盘货信息!$Z:$Z)="","","【"&amp;盘货信息!$Z$1&amp;"】"&amp;_xlfn.XLOOKUP($A495&amp;$B495&amp;$C495,盘货信息!$A:$A&amp;盘货信息!$B:$B&amp;盘货信息!$C:$C,盘货信息!$Z:$Z))</f>
        <v/>
      </c>
      <c r="S495" s="27" t="str" cm="1">
        <f t="array" ref="S495">IF(_xlfn.XLOOKUP($A495&amp;$B495&amp;$C495,盘货信息!$A:$A&amp;盘货信息!$B:$B&amp;盘货信息!$C:$C,盘货信息!$Q:$Q)="","","【种草】站外带指定话题种草后返"&amp;_xlfn.XLOOKUP($A495&amp;$B495&amp;$C495,盘货信息!$A:$A&amp;盘货信息!$B:$B&amp;盘货信息!$C:$C,盘货信息!$Q:$Q)&amp;"元红包（每个淘宝账号仅限对应一个站外种草账号，同一个种草账号不可对应多个淘宝账号）")</f>
        <v/>
      </c>
      <c r="T495" s="27" t="str" cm="1">
        <f t="array" ref="T495">IF(_xlfn.XLOOKUP($A495&amp;$B495&amp;$C495,盘货信息!$A:$A&amp;盘货信息!$B:$B&amp;盘货信息!$C:$C,盘货信息!$R:$R)&lt;1,"","【以旧换新】"&amp;"享补贴"&amp;ROUND(_xlfn.XLOOKUP($A495&amp;$B495&amp;$C495,盘货信息!$A:$A&amp;盘货信息!$B:$B&amp;盘货信息!$C:$C,盘货信息!$R:$R),0)&amp;"元（可无旧机换新）")</f>
        <v/>
      </c>
      <c r="U495" s="27" t="str">
        <f>IF(AND($N495="",$O495="",$P495="",$Q495="",$R495="",$S495="",$T495=""),"",固定信息!$B$1)</f>
        <v/>
      </c>
      <c r="V495" s="27" t="str" cm="1">
        <f t="array" ref="V495">IF(_xlfn.XLOOKUP($A495&amp;$B495&amp;$C495,盘货信息!$A:$A&amp;盘货信息!$B:$B&amp;盘货信息!$C:$C,盘货信息!$Y:$Y)="","","【卡萨帝送赠】活动指定时间"&amp;_xlfn.TEXTBEFORE(_xlfn.TEXTAFTER(_xlfn.XLOOKUP($A495&amp;$B495&amp;$C495,盘货信息!$A:$A&amp;盘货信息!$B:$B&amp;盘货信息!$C:$C,盘货信息!$Y:$Y),"点"),"（"))</f>
        <v/>
      </c>
      <c r="W495" s="27" t="str" cm="1">
        <f t="array" ref="W495">IF(COUNTIF(_xlfn.XLOOKUP($A495&amp;$B495&amp;$C495,盘货信息!$A:$A&amp;盘货信息!$B:$B&amp;盘货信息!$C:$C,盘货信息!$O:$O),"*是*"),"【折扣】指定型号满2类享96折，满3类享94折","")</f>
        <v/>
      </c>
      <c r="X495" s="27" t="str" cm="1">
        <f t="array" ref="X495">IF(固定信息!$B$7="","",IF(_xlfn.XLOOKUP($A495&amp;$B495&amp;$C495,盘货信息!$A:$A&amp;盘货信息!$B:$B&amp;盘货信息!$C:$C,盘货信息!$N:$N)="是","【瓜分】"&amp;固定信息!$B$7,""))</f>
        <v/>
      </c>
      <c r="Y495" s="27" t="str">
        <f>IF(AND($V495="",$W495="",$X495=""),"",固定信息!$B$1)</f>
        <v/>
      </c>
      <c r="Z495" s="27" t="str" cm="1">
        <f t="array" ref="Z495">IF($C495="","",_xlfn.XLOOKUP($A495&amp;$B495&amp;$C495,服务!$A:$A&amp;服务!$B:$B&amp;服务!$C:$C,服务!$D:$D))</f>
        <v/>
      </c>
    </row>
    <row r="496" customHeight="1" spans="1:26">
      <c r="A496" s="23" t="str">
        <f>IF(盘货信息!A496="","",盘货信息!A496)</f>
        <v/>
      </c>
      <c r="B496" s="26" t="str">
        <f>IF(盘货信息!B496="","",盘货信息!B496)</f>
        <v/>
      </c>
      <c r="C496" s="23" t="str">
        <f>IF(盘货信息!C496="","",盘货信息!C496)</f>
        <v/>
      </c>
      <c r="D496" s="27" t="str">
        <f ca="1" t="shared" si="7"/>
        <v/>
      </c>
      <c r="E496" s="27" t="str">
        <f>IF(C496="","",固定信息!$B$2)</f>
        <v/>
      </c>
      <c r="F496" s="27" t="str">
        <f>IF(C496="","","【"&amp;C496&amp;"】"&amp;固定信息!$B$4)</f>
        <v/>
      </c>
      <c r="G496" s="27" t="str">
        <f>IF(C496="","","【"&amp;"活动时间："&amp;固定信息!$B$3&amp;"】")</f>
        <v/>
      </c>
      <c r="H496" s="27" t="str">
        <f>IF($C496="","",固定信息!$B$1)</f>
        <v/>
      </c>
      <c r="I496" s="27" t="str">
        <f>IF(OR(C496="",固定信息!$B$5=""),"","【1元预约锁好礼】"&amp;固定信息!$B$5)</f>
        <v/>
      </c>
      <c r="J496" s="27" t="str" cm="1">
        <f t="array" ref="J496">_xlfn.XLOOKUP($A496&amp;$B496&amp;$C496,价格信息!$A:$A&amp;价格信息!$B:$B&amp;价格信息!$C:$C,价格信息!$D:$D)</f>
        <v/>
      </c>
      <c r="K496" s="27" t="str">
        <f>IF($C496="","",固定信息!$B$1)</f>
        <v/>
      </c>
      <c r="L496" s="27" t="str" cm="1">
        <f t="array" ref="L496">IF(_xlfn.XLOOKUP($A496&amp;$B496&amp;$C496,盘货信息!$A:$A&amp;盘货信息!$B:$B&amp;盘货信息!$C:$C,盘货信息!$T:$T)="","","【优惠券】领"&amp;_xlfn.XLOOKUP($A496&amp;$B496&amp;$C496,盘货信息!$A:$A&amp;盘货信息!$B:$B&amp;盘货信息!$C:$C,盘货信息!$T:$T)&amp;"元优惠卷下单更优惠，领券链接："&amp;_xlfn.XLOOKUP($A496&amp;$B496&amp;$C496,盘货信息!$A:$A&amp;盘货信息!$B:$B&amp;盘货信息!$C:$C,盘货信息!$U:$U))</f>
        <v/>
      </c>
      <c r="M496" s="27" t="str" cm="1">
        <f t="array" ref="M496">IF(_xlfn.XLOOKUP($A496&amp;$B496&amp;$C496,盘货信息!$A:$A&amp;盘货信息!$B:$B&amp;盘货信息!$C:$C,盘货信息!$P:$P)="","","【限时】"&amp;_xlfn.XLOOKUP($A496&amp;$B496&amp;$C496,盘货信息!$A:$A&amp;盘货信息!$B:$B&amp;盘货信息!$C:$C,盘货信息!$P:$P))</f>
        <v/>
      </c>
      <c r="N496" s="27" t="str" cm="1">
        <f t="array" ref="N496">IF(_xlfn.XLOOKUP($A496&amp;$B496&amp;$C496,盘货信息!$A:$A&amp;盘货信息!$B:$B&amp;盘货信息!$C:$C,盘货信息!$V:$V)="","","【"&amp;盘货信息!$V$1&amp;"】"&amp;_xlfn.XLOOKUP($A496&amp;$B496&amp;$C496,盘货信息!$A:$A&amp;盘货信息!$B:$B&amp;盘货信息!$C:$C,盘货信息!$V:$V))</f>
        <v/>
      </c>
      <c r="O496" s="27" t="str" cm="1">
        <f t="array" ref="O496">IF(_xlfn.XLOOKUP($A496&amp;$B496&amp;$C496,盘货信息!$A:$A&amp;盘货信息!$B:$B&amp;盘货信息!$C:$C,盘货信息!$W:$W)="","","【"&amp;盘货信息!$W$1&amp;"】"&amp;_xlfn.XLOOKUP($A496&amp;$B496&amp;$C496,盘货信息!$A:$A&amp;盘货信息!$B:$B&amp;盘货信息!$C:$C,盘货信息!$W:$W))</f>
        <v/>
      </c>
      <c r="P496" s="27" t="str" cm="1">
        <f t="array" ref="P496">IF(_xlfn.XLOOKUP($A496&amp;$B496&amp;$C496,盘货信息!$A:$A&amp;盘货信息!$B:$B&amp;盘货信息!$C:$C,盘货信息!$S:$S)&lt;1,"","【"&amp;盘货信息!$S$1&amp;"】"&amp;"后返"&amp;_xlfn.XLOOKUP($A496&amp;$B496&amp;$C496,盘货信息!$A:$A&amp;盘货信息!$B:$B&amp;盘货信息!$C:$C,盘货信息!$S:$S)&amp;"元")</f>
        <v/>
      </c>
      <c r="Q496" s="27" t="str" cm="1">
        <f t="array" ref="Q496">IF(_xlfn.XLOOKUP($A496&amp;$B496&amp;$C496,盘货信息!$A:$A&amp;盘货信息!$B:$B&amp;盘货信息!$C:$C,盘货信息!$X:$X)="","","【"&amp;盘货信息!$X$1&amp;"】"&amp;_xlfn.XLOOKUP($A496&amp;$B496&amp;$C496,盘货信息!$A:$A&amp;盘货信息!$B:$B&amp;盘货信息!$C:$C,盘货信息!$X:$X))</f>
        <v/>
      </c>
      <c r="R496" s="27" t="str" cm="1">
        <f t="array" ref="R496">IF(_xlfn.XLOOKUP($A496&amp;$B496&amp;$C496,盘货信息!$A:$A&amp;盘货信息!$B:$B&amp;盘货信息!$C:$C,盘货信息!$Z:$Z)="","","【"&amp;盘货信息!$Z$1&amp;"】"&amp;_xlfn.XLOOKUP($A496&amp;$B496&amp;$C496,盘货信息!$A:$A&amp;盘货信息!$B:$B&amp;盘货信息!$C:$C,盘货信息!$Z:$Z))</f>
        <v/>
      </c>
      <c r="S496" s="27" t="str" cm="1">
        <f t="array" ref="S496">IF(_xlfn.XLOOKUP($A496&amp;$B496&amp;$C496,盘货信息!$A:$A&amp;盘货信息!$B:$B&amp;盘货信息!$C:$C,盘货信息!$Q:$Q)="","","【种草】站外带指定话题种草后返"&amp;_xlfn.XLOOKUP($A496&amp;$B496&amp;$C496,盘货信息!$A:$A&amp;盘货信息!$B:$B&amp;盘货信息!$C:$C,盘货信息!$Q:$Q)&amp;"元红包（每个淘宝账号仅限对应一个站外种草账号，同一个种草账号不可对应多个淘宝账号）")</f>
        <v/>
      </c>
      <c r="T496" s="27" t="str" cm="1">
        <f t="array" ref="T496">IF(_xlfn.XLOOKUP($A496&amp;$B496&amp;$C496,盘货信息!$A:$A&amp;盘货信息!$B:$B&amp;盘货信息!$C:$C,盘货信息!$R:$R)&lt;1,"","【以旧换新】"&amp;"享补贴"&amp;ROUND(_xlfn.XLOOKUP($A496&amp;$B496&amp;$C496,盘货信息!$A:$A&amp;盘货信息!$B:$B&amp;盘货信息!$C:$C,盘货信息!$R:$R),0)&amp;"元（可无旧机换新）")</f>
        <v/>
      </c>
      <c r="U496" s="27" t="str">
        <f>IF(AND($N496="",$O496="",$P496="",$Q496="",$R496="",$S496="",$T496=""),"",固定信息!$B$1)</f>
        <v/>
      </c>
      <c r="V496" s="27" t="str" cm="1">
        <f t="array" ref="V496">IF(_xlfn.XLOOKUP($A496&amp;$B496&amp;$C496,盘货信息!$A:$A&amp;盘货信息!$B:$B&amp;盘货信息!$C:$C,盘货信息!$Y:$Y)="","","【卡萨帝送赠】活动指定时间"&amp;_xlfn.TEXTBEFORE(_xlfn.TEXTAFTER(_xlfn.XLOOKUP($A496&amp;$B496&amp;$C496,盘货信息!$A:$A&amp;盘货信息!$B:$B&amp;盘货信息!$C:$C,盘货信息!$Y:$Y),"点"),"（"))</f>
        <v/>
      </c>
      <c r="W496" s="27" t="str" cm="1">
        <f t="array" ref="W496">IF(COUNTIF(_xlfn.XLOOKUP($A496&amp;$B496&amp;$C496,盘货信息!$A:$A&amp;盘货信息!$B:$B&amp;盘货信息!$C:$C,盘货信息!$O:$O),"*是*"),"【折扣】指定型号满2类享96折，满3类享94折","")</f>
        <v/>
      </c>
      <c r="X496" s="27" t="str" cm="1">
        <f t="array" ref="X496">IF(固定信息!$B$7="","",IF(_xlfn.XLOOKUP($A496&amp;$B496&amp;$C496,盘货信息!$A:$A&amp;盘货信息!$B:$B&amp;盘货信息!$C:$C,盘货信息!$N:$N)="是","【瓜分】"&amp;固定信息!$B$7,""))</f>
        <v/>
      </c>
      <c r="Y496" s="27" t="str">
        <f>IF(AND($V496="",$W496="",$X496=""),"",固定信息!$B$1)</f>
        <v/>
      </c>
      <c r="Z496" s="27" t="str" cm="1">
        <f t="array" ref="Z496">IF($C496="","",_xlfn.XLOOKUP($A496&amp;$B496&amp;$C496,服务!$A:$A&amp;服务!$B:$B&amp;服务!$C:$C,服务!$D:$D))</f>
        <v/>
      </c>
    </row>
    <row r="497" customHeight="1" spans="1:26">
      <c r="A497" s="23" t="str">
        <f>IF(盘货信息!A497="","",盘货信息!A497)</f>
        <v/>
      </c>
      <c r="B497" s="26" t="str">
        <f>IF(盘货信息!B497="","",盘货信息!B497)</f>
        <v/>
      </c>
      <c r="C497" s="23" t="str">
        <f>IF(盘货信息!C497="","",盘货信息!C497)</f>
        <v/>
      </c>
      <c r="D497" s="27" t="str">
        <f ca="1" t="shared" si="7"/>
        <v/>
      </c>
      <c r="E497" s="27" t="str">
        <f>IF(C497="","",固定信息!$B$2)</f>
        <v/>
      </c>
      <c r="F497" s="27" t="str">
        <f>IF(C497="","","【"&amp;C497&amp;"】"&amp;固定信息!$B$4)</f>
        <v/>
      </c>
      <c r="G497" s="27" t="str">
        <f>IF(C497="","","【"&amp;"活动时间："&amp;固定信息!$B$3&amp;"】")</f>
        <v/>
      </c>
      <c r="H497" s="27" t="str">
        <f>IF($C497="","",固定信息!$B$1)</f>
        <v/>
      </c>
      <c r="I497" s="27" t="str">
        <f>IF(OR(C497="",固定信息!$B$5=""),"","【1元预约锁好礼】"&amp;固定信息!$B$5)</f>
        <v/>
      </c>
      <c r="J497" s="27" t="str" cm="1">
        <f t="array" ref="J497">_xlfn.XLOOKUP($A497&amp;$B497&amp;$C497,价格信息!$A:$A&amp;价格信息!$B:$B&amp;价格信息!$C:$C,价格信息!$D:$D)</f>
        <v/>
      </c>
      <c r="K497" s="27" t="str">
        <f>IF($C497="","",固定信息!$B$1)</f>
        <v/>
      </c>
      <c r="L497" s="27" t="str" cm="1">
        <f t="array" ref="L497">IF(_xlfn.XLOOKUP($A497&amp;$B497&amp;$C497,盘货信息!$A:$A&amp;盘货信息!$B:$B&amp;盘货信息!$C:$C,盘货信息!$T:$T)="","","【优惠券】领"&amp;_xlfn.XLOOKUP($A497&amp;$B497&amp;$C497,盘货信息!$A:$A&amp;盘货信息!$B:$B&amp;盘货信息!$C:$C,盘货信息!$T:$T)&amp;"元优惠卷下单更优惠，领券链接："&amp;_xlfn.XLOOKUP($A497&amp;$B497&amp;$C497,盘货信息!$A:$A&amp;盘货信息!$B:$B&amp;盘货信息!$C:$C,盘货信息!$U:$U))</f>
        <v/>
      </c>
      <c r="M497" s="27" t="str" cm="1">
        <f t="array" ref="M497">IF(_xlfn.XLOOKUP($A497&amp;$B497&amp;$C497,盘货信息!$A:$A&amp;盘货信息!$B:$B&amp;盘货信息!$C:$C,盘货信息!$P:$P)="","","【限时】"&amp;_xlfn.XLOOKUP($A497&amp;$B497&amp;$C497,盘货信息!$A:$A&amp;盘货信息!$B:$B&amp;盘货信息!$C:$C,盘货信息!$P:$P))</f>
        <v/>
      </c>
      <c r="N497" s="27" t="str" cm="1">
        <f t="array" ref="N497">IF(_xlfn.XLOOKUP($A497&amp;$B497&amp;$C497,盘货信息!$A:$A&amp;盘货信息!$B:$B&amp;盘货信息!$C:$C,盘货信息!$V:$V)="","","【"&amp;盘货信息!$V$1&amp;"】"&amp;_xlfn.XLOOKUP($A497&amp;$B497&amp;$C497,盘货信息!$A:$A&amp;盘货信息!$B:$B&amp;盘货信息!$C:$C,盘货信息!$V:$V))</f>
        <v/>
      </c>
      <c r="O497" s="27" t="str" cm="1">
        <f t="array" ref="O497">IF(_xlfn.XLOOKUP($A497&amp;$B497&amp;$C497,盘货信息!$A:$A&amp;盘货信息!$B:$B&amp;盘货信息!$C:$C,盘货信息!$W:$W)="","","【"&amp;盘货信息!$W$1&amp;"】"&amp;_xlfn.XLOOKUP($A497&amp;$B497&amp;$C497,盘货信息!$A:$A&amp;盘货信息!$B:$B&amp;盘货信息!$C:$C,盘货信息!$W:$W))</f>
        <v/>
      </c>
      <c r="P497" s="27" t="str" cm="1">
        <f t="array" ref="P497">IF(_xlfn.XLOOKUP($A497&amp;$B497&amp;$C497,盘货信息!$A:$A&amp;盘货信息!$B:$B&amp;盘货信息!$C:$C,盘货信息!$S:$S)&lt;1,"","【"&amp;盘货信息!$S$1&amp;"】"&amp;"后返"&amp;_xlfn.XLOOKUP($A497&amp;$B497&amp;$C497,盘货信息!$A:$A&amp;盘货信息!$B:$B&amp;盘货信息!$C:$C,盘货信息!$S:$S)&amp;"元")</f>
        <v/>
      </c>
      <c r="Q497" s="27" t="str" cm="1">
        <f t="array" ref="Q497">IF(_xlfn.XLOOKUP($A497&amp;$B497&amp;$C497,盘货信息!$A:$A&amp;盘货信息!$B:$B&amp;盘货信息!$C:$C,盘货信息!$X:$X)="","","【"&amp;盘货信息!$X$1&amp;"】"&amp;_xlfn.XLOOKUP($A497&amp;$B497&amp;$C497,盘货信息!$A:$A&amp;盘货信息!$B:$B&amp;盘货信息!$C:$C,盘货信息!$X:$X))</f>
        <v/>
      </c>
      <c r="R497" s="27" t="str" cm="1">
        <f t="array" ref="R497">IF(_xlfn.XLOOKUP($A497&amp;$B497&amp;$C497,盘货信息!$A:$A&amp;盘货信息!$B:$B&amp;盘货信息!$C:$C,盘货信息!$Z:$Z)="","","【"&amp;盘货信息!$Z$1&amp;"】"&amp;_xlfn.XLOOKUP($A497&amp;$B497&amp;$C497,盘货信息!$A:$A&amp;盘货信息!$B:$B&amp;盘货信息!$C:$C,盘货信息!$Z:$Z))</f>
        <v/>
      </c>
      <c r="S497" s="27" t="str" cm="1">
        <f t="array" ref="S497">IF(_xlfn.XLOOKUP($A497&amp;$B497&amp;$C497,盘货信息!$A:$A&amp;盘货信息!$B:$B&amp;盘货信息!$C:$C,盘货信息!$Q:$Q)="","","【种草】站外带指定话题种草后返"&amp;_xlfn.XLOOKUP($A497&amp;$B497&amp;$C497,盘货信息!$A:$A&amp;盘货信息!$B:$B&amp;盘货信息!$C:$C,盘货信息!$Q:$Q)&amp;"元红包（每个淘宝账号仅限对应一个站外种草账号，同一个种草账号不可对应多个淘宝账号）")</f>
        <v/>
      </c>
      <c r="T497" s="27" t="str" cm="1">
        <f t="array" ref="T497">IF(_xlfn.XLOOKUP($A497&amp;$B497&amp;$C497,盘货信息!$A:$A&amp;盘货信息!$B:$B&amp;盘货信息!$C:$C,盘货信息!$R:$R)&lt;1,"","【以旧换新】"&amp;"享补贴"&amp;ROUND(_xlfn.XLOOKUP($A497&amp;$B497&amp;$C497,盘货信息!$A:$A&amp;盘货信息!$B:$B&amp;盘货信息!$C:$C,盘货信息!$R:$R),0)&amp;"元（可无旧机换新）")</f>
        <v/>
      </c>
      <c r="U497" s="27" t="str">
        <f>IF(AND($N497="",$O497="",$P497="",$Q497="",$R497="",$S497="",$T497=""),"",固定信息!$B$1)</f>
        <v/>
      </c>
      <c r="V497" s="27" t="str" cm="1">
        <f t="array" ref="V497">IF(_xlfn.XLOOKUP($A497&amp;$B497&amp;$C497,盘货信息!$A:$A&amp;盘货信息!$B:$B&amp;盘货信息!$C:$C,盘货信息!$Y:$Y)="","","【卡萨帝送赠】活动指定时间"&amp;_xlfn.TEXTBEFORE(_xlfn.TEXTAFTER(_xlfn.XLOOKUP($A497&amp;$B497&amp;$C497,盘货信息!$A:$A&amp;盘货信息!$B:$B&amp;盘货信息!$C:$C,盘货信息!$Y:$Y),"点"),"（"))</f>
        <v/>
      </c>
      <c r="W497" s="27" t="str" cm="1">
        <f t="array" ref="W497">IF(COUNTIF(_xlfn.XLOOKUP($A497&amp;$B497&amp;$C497,盘货信息!$A:$A&amp;盘货信息!$B:$B&amp;盘货信息!$C:$C,盘货信息!$O:$O),"*是*"),"【折扣】指定型号满2类享96折，满3类享94折","")</f>
        <v/>
      </c>
      <c r="X497" s="27" t="str" cm="1">
        <f t="array" ref="X497">IF(固定信息!$B$7="","",IF(_xlfn.XLOOKUP($A497&amp;$B497&amp;$C497,盘货信息!$A:$A&amp;盘货信息!$B:$B&amp;盘货信息!$C:$C,盘货信息!$N:$N)="是","【瓜分】"&amp;固定信息!$B$7,""))</f>
        <v/>
      </c>
      <c r="Y497" s="27" t="str">
        <f>IF(AND($V497="",$W497="",$X497=""),"",固定信息!$B$1)</f>
        <v/>
      </c>
      <c r="Z497" s="27" t="str" cm="1">
        <f t="array" ref="Z497">IF($C497="","",_xlfn.XLOOKUP($A497&amp;$B497&amp;$C497,服务!$A:$A&amp;服务!$B:$B&amp;服务!$C:$C,服务!$D:$D))</f>
        <v/>
      </c>
    </row>
    <row r="498" customHeight="1" spans="1:26">
      <c r="A498" s="23" t="str">
        <f>IF(盘货信息!A498="","",盘货信息!A498)</f>
        <v/>
      </c>
      <c r="B498" s="26" t="str">
        <f>IF(盘货信息!B498="","",盘货信息!B498)</f>
        <v/>
      </c>
      <c r="C498" s="23" t="str">
        <f>IF(盘货信息!C498="","",盘货信息!C498)</f>
        <v/>
      </c>
      <c r="D498" s="27" t="str">
        <f ca="1" t="shared" si="7"/>
        <v/>
      </c>
      <c r="E498" s="27" t="str">
        <f>IF(C498="","",固定信息!$B$2)</f>
        <v/>
      </c>
      <c r="F498" s="27" t="str">
        <f>IF(C498="","","【"&amp;C498&amp;"】"&amp;固定信息!$B$4)</f>
        <v/>
      </c>
      <c r="G498" s="27" t="str">
        <f>IF(C498="","","【"&amp;"活动时间："&amp;固定信息!$B$3&amp;"】")</f>
        <v/>
      </c>
      <c r="H498" s="27" t="str">
        <f>IF($C498="","",固定信息!$B$1)</f>
        <v/>
      </c>
      <c r="I498" s="27" t="str">
        <f>IF(OR(C498="",固定信息!$B$5=""),"","【1元预约锁好礼】"&amp;固定信息!$B$5)</f>
        <v/>
      </c>
      <c r="J498" s="27" t="str" cm="1">
        <f t="array" ref="J498">_xlfn.XLOOKUP($A498&amp;$B498&amp;$C498,价格信息!$A:$A&amp;价格信息!$B:$B&amp;价格信息!$C:$C,价格信息!$D:$D)</f>
        <v/>
      </c>
      <c r="K498" s="27" t="str">
        <f>IF($C498="","",固定信息!$B$1)</f>
        <v/>
      </c>
      <c r="L498" s="27" t="str" cm="1">
        <f t="array" ref="L498">IF(_xlfn.XLOOKUP($A498&amp;$B498&amp;$C498,盘货信息!$A:$A&amp;盘货信息!$B:$B&amp;盘货信息!$C:$C,盘货信息!$T:$T)="","","【优惠券】领"&amp;_xlfn.XLOOKUP($A498&amp;$B498&amp;$C498,盘货信息!$A:$A&amp;盘货信息!$B:$B&amp;盘货信息!$C:$C,盘货信息!$T:$T)&amp;"元优惠卷下单更优惠，领券链接："&amp;_xlfn.XLOOKUP($A498&amp;$B498&amp;$C498,盘货信息!$A:$A&amp;盘货信息!$B:$B&amp;盘货信息!$C:$C,盘货信息!$U:$U))</f>
        <v/>
      </c>
      <c r="M498" s="27" t="str" cm="1">
        <f t="array" ref="M498">IF(_xlfn.XLOOKUP($A498&amp;$B498&amp;$C498,盘货信息!$A:$A&amp;盘货信息!$B:$B&amp;盘货信息!$C:$C,盘货信息!$P:$P)="","","【限时】"&amp;_xlfn.XLOOKUP($A498&amp;$B498&amp;$C498,盘货信息!$A:$A&amp;盘货信息!$B:$B&amp;盘货信息!$C:$C,盘货信息!$P:$P))</f>
        <v/>
      </c>
      <c r="N498" s="27" t="str" cm="1">
        <f t="array" ref="N498">IF(_xlfn.XLOOKUP($A498&amp;$B498&amp;$C498,盘货信息!$A:$A&amp;盘货信息!$B:$B&amp;盘货信息!$C:$C,盘货信息!$V:$V)="","","【"&amp;盘货信息!$V$1&amp;"】"&amp;_xlfn.XLOOKUP($A498&amp;$B498&amp;$C498,盘货信息!$A:$A&amp;盘货信息!$B:$B&amp;盘货信息!$C:$C,盘货信息!$V:$V))</f>
        <v/>
      </c>
      <c r="O498" s="27" t="str" cm="1">
        <f t="array" ref="O498">IF(_xlfn.XLOOKUP($A498&amp;$B498&amp;$C498,盘货信息!$A:$A&amp;盘货信息!$B:$B&amp;盘货信息!$C:$C,盘货信息!$W:$W)="","","【"&amp;盘货信息!$W$1&amp;"】"&amp;_xlfn.XLOOKUP($A498&amp;$B498&amp;$C498,盘货信息!$A:$A&amp;盘货信息!$B:$B&amp;盘货信息!$C:$C,盘货信息!$W:$W))</f>
        <v/>
      </c>
      <c r="P498" s="27" t="str" cm="1">
        <f t="array" ref="P498">IF(_xlfn.XLOOKUP($A498&amp;$B498&amp;$C498,盘货信息!$A:$A&amp;盘货信息!$B:$B&amp;盘货信息!$C:$C,盘货信息!$S:$S)&lt;1,"","【"&amp;盘货信息!$S$1&amp;"】"&amp;"后返"&amp;_xlfn.XLOOKUP($A498&amp;$B498&amp;$C498,盘货信息!$A:$A&amp;盘货信息!$B:$B&amp;盘货信息!$C:$C,盘货信息!$S:$S)&amp;"元")</f>
        <v/>
      </c>
      <c r="Q498" s="27" t="str" cm="1">
        <f t="array" ref="Q498">IF(_xlfn.XLOOKUP($A498&amp;$B498&amp;$C498,盘货信息!$A:$A&amp;盘货信息!$B:$B&amp;盘货信息!$C:$C,盘货信息!$X:$X)="","","【"&amp;盘货信息!$X$1&amp;"】"&amp;_xlfn.XLOOKUP($A498&amp;$B498&amp;$C498,盘货信息!$A:$A&amp;盘货信息!$B:$B&amp;盘货信息!$C:$C,盘货信息!$X:$X))</f>
        <v/>
      </c>
      <c r="R498" s="27" t="str" cm="1">
        <f t="array" ref="R498">IF(_xlfn.XLOOKUP($A498&amp;$B498&amp;$C498,盘货信息!$A:$A&amp;盘货信息!$B:$B&amp;盘货信息!$C:$C,盘货信息!$Z:$Z)="","","【"&amp;盘货信息!$Z$1&amp;"】"&amp;_xlfn.XLOOKUP($A498&amp;$B498&amp;$C498,盘货信息!$A:$A&amp;盘货信息!$B:$B&amp;盘货信息!$C:$C,盘货信息!$Z:$Z))</f>
        <v/>
      </c>
      <c r="S498" s="27" t="str" cm="1">
        <f t="array" ref="S498">IF(_xlfn.XLOOKUP($A498&amp;$B498&amp;$C498,盘货信息!$A:$A&amp;盘货信息!$B:$B&amp;盘货信息!$C:$C,盘货信息!$Q:$Q)="","","【种草】站外带指定话题种草后返"&amp;_xlfn.XLOOKUP($A498&amp;$B498&amp;$C498,盘货信息!$A:$A&amp;盘货信息!$B:$B&amp;盘货信息!$C:$C,盘货信息!$Q:$Q)&amp;"元红包（每个淘宝账号仅限对应一个站外种草账号，同一个种草账号不可对应多个淘宝账号）")</f>
        <v/>
      </c>
      <c r="T498" s="27" t="str" cm="1">
        <f t="array" ref="T498">IF(_xlfn.XLOOKUP($A498&amp;$B498&amp;$C498,盘货信息!$A:$A&amp;盘货信息!$B:$B&amp;盘货信息!$C:$C,盘货信息!$R:$R)&lt;1,"","【以旧换新】"&amp;"享补贴"&amp;ROUND(_xlfn.XLOOKUP($A498&amp;$B498&amp;$C498,盘货信息!$A:$A&amp;盘货信息!$B:$B&amp;盘货信息!$C:$C,盘货信息!$R:$R),0)&amp;"元（可无旧机换新）")</f>
        <v/>
      </c>
      <c r="U498" s="27" t="str">
        <f>IF(AND($N498="",$O498="",$P498="",$Q498="",$R498="",$S498="",$T498=""),"",固定信息!$B$1)</f>
        <v/>
      </c>
      <c r="V498" s="27" t="str" cm="1">
        <f t="array" ref="V498">IF(_xlfn.XLOOKUP($A498&amp;$B498&amp;$C498,盘货信息!$A:$A&amp;盘货信息!$B:$B&amp;盘货信息!$C:$C,盘货信息!$Y:$Y)="","","【卡萨帝送赠】活动指定时间"&amp;_xlfn.TEXTBEFORE(_xlfn.TEXTAFTER(_xlfn.XLOOKUP($A498&amp;$B498&amp;$C498,盘货信息!$A:$A&amp;盘货信息!$B:$B&amp;盘货信息!$C:$C,盘货信息!$Y:$Y),"点"),"（"))</f>
        <v/>
      </c>
      <c r="W498" s="27" t="str" cm="1">
        <f t="array" ref="W498">IF(COUNTIF(_xlfn.XLOOKUP($A498&amp;$B498&amp;$C498,盘货信息!$A:$A&amp;盘货信息!$B:$B&amp;盘货信息!$C:$C,盘货信息!$O:$O),"*是*"),"【折扣】指定型号满2类享96折，满3类享94折","")</f>
        <v/>
      </c>
      <c r="X498" s="27" t="str" cm="1">
        <f t="array" ref="X498">IF(固定信息!$B$7="","",IF(_xlfn.XLOOKUP($A498&amp;$B498&amp;$C498,盘货信息!$A:$A&amp;盘货信息!$B:$B&amp;盘货信息!$C:$C,盘货信息!$N:$N)="是","【瓜分】"&amp;固定信息!$B$7,""))</f>
        <v/>
      </c>
      <c r="Y498" s="27" t="str">
        <f>IF(AND($V498="",$W498="",$X498=""),"",固定信息!$B$1)</f>
        <v/>
      </c>
      <c r="Z498" s="27" t="str" cm="1">
        <f t="array" ref="Z498">IF($C498="","",_xlfn.XLOOKUP($A498&amp;$B498&amp;$C498,服务!$A:$A&amp;服务!$B:$B&amp;服务!$C:$C,服务!$D:$D))</f>
        <v/>
      </c>
    </row>
    <row r="499" customHeight="1" spans="1:26">
      <c r="A499" s="23" t="str">
        <f>IF(盘货信息!A499="","",盘货信息!A499)</f>
        <v/>
      </c>
      <c r="B499" s="26" t="str">
        <f>IF(盘货信息!B499="","",盘货信息!B499)</f>
        <v/>
      </c>
      <c r="C499" s="23" t="str">
        <f>IF(盘货信息!C499="","",盘货信息!C499)</f>
        <v/>
      </c>
      <c r="D499" s="27" t="str">
        <f ca="1" t="shared" si="7"/>
        <v/>
      </c>
      <c r="E499" s="27" t="str">
        <f>IF(C499="","",固定信息!$B$2)</f>
        <v/>
      </c>
      <c r="F499" s="27" t="str">
        <f>IF(C499="","","【"&amp;C499&amp;"】"&amp;固定信息!$B$4)</f>
        <v/>
      </c>
      <c r="G499" s="27" t="str">
        <f>IF(C499="","","【"&amp;"活动时间："&amp;固定信息!$B$3&amp;"】")</f>
        <v/>
      </c>
      <c r="H499" s="27" t="str">
        <f>IF($C499="","",固定信息!$B$1)</f>
        <v/>
      </c>
      <c r="I499" s="27" t="str">
        <f>IF(OR(C499="",固定信息!$B$5=""),"","【1元预约锁好礼】"&amp;固定信息!$B$5)</f>
        <v/>
      </c>
      <c r="J499" s="27" t="str" cm="1">
        <f t="array" ref="J499">_xlfn.XLOOKUP($A499&amp;$B499&amp;$C499,价格信息!$A:$A&amp;价格信息!$B:$B&amp;价格信息!$C:$C,价格信息!$D:$D)</f>
        <v/>
      </c>
      <c r="K499" s="27" t="str">
        <f>IF($C499="","",固定信息!$B$1)</f>
        <v/>
      </c>
      <c r="L499" s="27" t="str" cm="1">
        <f t="array" ref="L499">IF(_xlfn.XLOOKUP($A499&amp;$B499&amp;$C499,盘货信息!$A:$A&amp;盘货信息!$B:$B&amp;盘货信息!$C:$C,盘货信息!$T:$T)="","","【优惠券】领"&amp;_xlfn.XLOOKUP($A499&amp;$B499&amp;$C499,盘货信息!$A:$A&amp;盘货信息!$B:$B&amp;盘货信息!$C:$C,盘货信息!$T:$T)&amp;"元优惠卷下单更优惠，领券链接："&amp;_xlfn.XLOOKUP($A499&amp;$B499&amp;$C499,盘货信息!$A:$A&amp;盘货信息!$B:$B&amp;盘货信息!$C:$C,盘货信息!$U:$U))</f>
        <v/>
      </c>
      <c r="M499" s="27" t="str" cm="1">
        <f t="array" ref="M499">IF(_xlfn.XLOOKUP($A499&amp;$B499&amp;$C499,盘货信息!$A:$A&amp;盘货信息!$B:$B&amp;盘货信息!$C:$C,盘货信息!$P:$P)="","","【限时】"&amp;_xlfn.XLOOKUP($A499&amp;$B499&amp;$C499,盘货信息!$A:$A&amp;盘货信息!$B:$B&amp;盘货信息!$C:$C,盘货信息!$P:$P))</f>
        <v/>
      </c>
      <c r="N499" s="27" t="str" cm="1">
        <f t="array" ref="N499">IF(_xlfn.XLOOKUP($A499&amp;$B499&amp;$C499,盘货信息!$A:$A&amp;盘货信息!$B:$B&amp;盘货信息!$C:$C,盘货信息!$V:$V)="","","【"&amp;盘货信息!$V$1&amp;"】"&amp;_xlfn.XLOOKUP($A499&amp;$B499&amp;$C499,盘货信息!$A:$A&amp;盘货信息!$B:$B&amp;盘货信息!$C:$C,盘货信息!$V:$V))</f>
        <v/>
      </c>
      <c r="O499" s="27" t="str" cm="1">
        <f t="array" ref="O499">IF(_xlfn.XLOOKUP($A499&amp;$B499&amp;$C499,盘货信息!$A:$A&amp;盘货信息!$B:$B&amp;盘货信息!$C:$C,盘货信息!$W:$W)="","","【"&amp;盘货信息!$W$1&amp;"】"&amp;_xlfn.XLOOKUP($A499&amp;$B499&amp;$C499,盘货信息!$A:$A&amp;盘货信息!$B:$B&amp;盘货信息!$C:$C,盘货信息!$W:$W))</f>
        <v/>
      </c>
      <c r="P499" s="27" t="str" cm="1">
        <f t="array" ref="P499">IF(_xlfn.XLOOKUP($A499&amp;$B499&amp;$C499,盘货信息!$A:$A&amp;盘货信息!$B:$B&amp;盘货信息!$C:$C,盘货信息!$S:$S)&lt;1,"","【"&amp;盘货信息!$S$1&amp;"】"&amp;"后返"&amp;_xlfn.XLOOKUP($A499&amp;$B499&amp;$C499,盘货信息!$A:$A&amp;盘货信息!$B:$B&amp;盘货信息!$C:$C,盘货信息!$S:$S)&amp;"元")</f>
        <v/>
      </c>
      <c r="Q499" s="27" t="str" cm="1">
        <f t="array" ref="Q499">IF(_xlfn.XLOOKUP($A499&amp;$B499&amp;$C499,盘货信息!$A:$A&amp;盘货信息!$B:$B&amp;盘货信息!$C:$C,盘货信息!$X:$X)="","","【"&amp;盘货信息!$X$1&amp;"】"&amp;_xlfn.XLOOKUP($A499&amp;$B499&amp;$C499,盘货信息!$A:$A&amp;盘货信息!$B:$B&amp;盘货信息!$C:$C,盘货信息!$X:$X))</f>
        <v/>
      </c>
      <c r="R499" s="27" t="str" cm="1">
        <f t="array" ref="R499">IF(_xlfn.XLOOKUP($A499&amp;$B499&amp;$C499,盘货信息!$A:$A&amp;盘货信息!$B:$B&amp;盘货信息!$C:$C,盘货信息!$Z:$Z)="","","【"&amp;盘货信息!$Z$1&amp;"】"&amp;_xlfn.XLOOKUP($A499&amp;$B499&amp;$C499,盘货信息!$A:$A&amp;盘货信息!$B:$B&amp;盘货信息!$C:$C,盘货信息!$Z:$Z))</f>
        <v/>
      </c>
      <c r="S499" s="27" t="str" cm="1">
        <f t="array" ref="S499">IF(_xlfn.XLOOKUP($A499&amp;$B499&amp;$C499,盘货信息!$A:$A&amp;盘货信息!$B:$B&amp;盘货信息!$C:$C,盘货信息!$Q:$Q)="","","【种草】站外带指定话题种草后返"&amp;_xlfn.XLOOKUP($A499&amp;$B499&amp;$C499,盘货信息!$A:$A&amp;盘货信息!$B:$B&amp;盘货信息!$C:$C,盘货信息!$Q:$Q)&amp;"元红包（每个淘宝账号仅限对应一个站外种草账号，同一个种草账号不可对应多个淘宝账号）")</f>
        <v/>
      </c>
      <c r="T499" s="27" t="str" cm="1">
        <f t="array" ref="T499">IF(_xlfn.XLOOKUP($A499&amp;$B499&amp;$C499,盘货信息!$A:$A&amp;盘货信息!$B:$B&amp;盘货信息!$C:$C,盘货信息!$R:$R)&lt;1,"","【以旧换新】"&amp;"享补贴"&amp;ROUND(_xlfn.XLOOKUP($A499&amp;$B499&amp;$C499,盘货信息!$A:$A&amp;盘货信息!$B:$B&amp;盘货信息!$C:$C,盘货信息!$R:$R),0)&amp;"元（可无旧机换新）")</f>
        <v/>
      </c>
      <c r="U499" s="27" t="str">
        <f>IF(AND($N499="",$O499="",$P499="",$Q499="",$R499="",$S499="",$T499=""),"",固定信息!$B$1)</f>
        <v/>
      </c>
      <c r="V499" s="27" t="str" cm="1">
        <f t="array" ref="V499">IF(_xlfn.XLOOKUP($A499&amp;$B499&amp;$C499,盘货信息!$A:$A&amp;盘货信息!$B:$B&amp;盘货信息!$C:$C,盘货信息!$Y:$Y)="","","【卡萨帝送赠】活动指定时间"&amp;_xlfn.TEXTBEFORE(_xlfn.TEXTAFTER(_xlfn.XLOOKUP($A499&amp;$B499&amp;$C499,盘货信息!$A:$A&amp;盘货信息!$B:$B&amp;盘货信息!$C:$C,盘货信息!$Y:$Y),"点"),"（"))</f>
        <v/>
      </c>
      <c r="W499" s="27" t="str" cm="1">
        <f t="array" ref="W499">IF(COUNTIF(_xlfn.XLOOKUP($A499&amp;$B499&amp;$C499,盘货信息!$A:$A&amp;盘货信息!$B:$B&amp;盘货信息!$C:$C,盘货信息!$O:$O),"*是*"),"【折扣】指定型号满2类享96折，满3类享94折","")</f>
        <v/>
      </c>
      <c r="X499" s="27" t="str" cm="1">
        <f t="array" ref="X499">IF(固定信息!$B$7="","",IF(_xlfn.XLOOKUP($A499&amp;$B499&amp;$C499,盘货信息!$A:$A&amp;盘货信息!$B:$B&amp;盘货信息!$C:$C,盘货信息!$N:$N)="是","【瓜分】"&amp;固定信息!$B$7,""))</f>
        <v/>
      </c>
      <c r="Y499" s="27" t="str">
        <f>IF(AND($V499="",$W499="",$X499=""),"",固定信息!$B$1)</f>
        <v/>
      </c>
      <c r="Z499" s="27" t="str" cm="1">
        <f t="array" ref="Z499">IF($C499="","",_xlfn.XLOOKUP($A499&amp;$B499&amp;$C499,服务!$A:$A&amp;服务!$B:$B&amp;服务!$C:$C,服务!$D:$D))</f>
        <v/>
      </c>
    </row>
    <row r="500" customHeight="1" spans="1:26">
      <c r="A500" s="23" t="str">
        <f>IF(盘货信息!A500="","",盘货信息!A500)</f>
        <v/>
      </c>
      <c r="B500" s="26" t="str">
        <f>IF(盘货信息!B500="","",盘货信息!B500)</f>
        <v/>
      </c>
      <c r="C500" s="23" t="str">
        <f>IF(盘货信息!C500="","",盘货信息!C500)</f>
        <v/>
      </c>
      <c r="D500" s="27" t="str">
        <f ca="1" t="shared" si="7"/>
        <v/>
      </c>
      <c r="E500" s="27" t="str">
        <f>IF(C500="","",固定信息!$B$2)</f>
        <v/>
      </c>
      <c r="F500" s="27" t="str">
        <f>IF(C500="","","【"&amp;C500&amp;"】"&amp;固定信息!$B$4)</f>
        <v/>
      </c>
      <c r="G500" s="27" t="str">
        <f>IF(C500="","","【"&amp;"活动时间："&amp;固定信息!$B$3&amp;"】")</f>
        <v/>
      </c>
      <c r="H500" s="27" t="str">
        <f>IF($C500="","",固定信息!$B$1)</f>
        <v/>
      </c>
      <c r="I500" s="27" t="str">
        <f>IF(OR(C500="",固定信息!$B$5=""),"","【1元预约锁好礼】"&amp;固定信息!$B$5)</f>
        <v/>
      </c>
      <c r="J500" s="27" t="str" cm="1">
        <f t="array" ref="J500">_xlfn.XLOOKUP($A500&amp;$B500&amp;$C500,价格信息!$A:$A&amp;价格信息!$B:$B&amp;价格信息!$C:$C,价格信息!$D:$D)</f>
        <v/>
      </c>
      <c r="K500" s="27" t="str">
        <f>IF($C500="","",固定信息!$B$1)</f>
        <v/>
      </c>
      <c r="L500" s="27" t="str" cm="1">
        <f t="array" ref="L500">IF(_xlfn.XLOOKUP($A500&amp;$B500&amp;$C500,盘货信息!$A:$A&amp;盘货信息!$B:$B&amp;盘货信息!$C:$C,盘货信息!$T:$T)="","","【优惠券】领"&amp;_xlfn.XLOOKUP($A500&amp;$B500&amp;$C500,盘货信息!$A:$A&amp;盘货信息!$B:$B&amp;盘货信息!$C:$C,盘货信息!$T:$T)&amp;"元优惠卷下单更优惠，领券链接："&amp;_xlfn.XLOOKUP($A500&amp;$B500&amp;$C500,盘货信息!$A:$A&amp;盘货信息!$B:$B&amp;盘货信息!$C:$C,盘货信息!$U:$U))</f>
        <v/>
      </c>
      <c r="M500" s="27" t="str" cm="1">
        <f t="array" ref="M500">IF(_xlfn.XLOOKUP($A500&amp;$B500&amp;$C500,盘货信息!$A:$A&amp;盘货信息!$B:$B&amp;盘货信息!$C:$C,盘货信息!$P:$P)="","","【限时】"&amp;_xlfn.XLOOKUP($A500&amp;$B500&amp;$C500,盘货信息!$A:$A&amp;盘货信息!$B:$B&amp;盘货信息!$C:$C,盘货信息!$P:$P))</f>
        <v/>
      </c>
      <c r="N500" s="27" t="str" cm="1">
        <f t="array" ref="N500">IF(_xlfn.XLOOKUP($A500&amp;$B500&amp;$C500,盘货信息!$A:$A&amp;盘货信息!$B:$B&amp;盘货信息!$C:$C,盘货信息!$V:$V)="","","【"&amp;盘货信息!$V$1&amp;"】"&amp;_xlfn.XLOOKUP($A500&amp;$B500&amp;$C500,盘货信息!$A:$A&amp;盘货信息!$B:$B&amp;盘货信息!$C:$C,盘货信息!$V:$V))</f>
        <v/>
      </c>
      <c r="O500" s="27" t="str" cm="1">
        <f t="array" ref="O500">IF(_xlfn.XLOOKUP($A500&amp;$B500&amp;$C500,盘货信息!$A:$A&amp;盘货信息!$B:$B&amp;盘货信息!$C:$C,盘货信息!$W:$W)="","","【"&amp;盘货信息!$W$1&amp;"】"&amp;_xlfn.XLOOKUP($A500&amp;$B500&amp;$C500,盘货信息!$A:$A&amp;盘货信息!$B:$B&amp;盘货信息!$C:$C,盘货信息!$W:$W))</f>
        <v/>
      </c>
      <c r="P500" s="27" t="str" cm="1">
        <f t="array" ref="P500">IF(_xlfn.XLOOKUP($A500&amp;$B500&amp;$C500,盘货信息!$A:$A&amp;盘货信息!$B:$B&amp;盘货信息!$C:$C,盘货信息!$S:$S)&lt;1,"","【"&amp;盘货信息!$S$1&amp;"】"&amp;"后返"&amp;_xlfn.XLOOKUP($A500&amp;$B500&amp;$C500,盘货信息!$A:$A&amp;盘货信息!$B:$B&amp;盘货信息!$C:$C,盘货信息!$S:$S)&amp;"元")</f>
        <v/>
      </c>
      <c r="Q500" s="27" t="str" cm="1">
        <f t="array" ref="Q500">IF(_xlfn.XLOOKUP($A500&amp;$B500&amp;$C500,盘货信息!$A:$A&amp;盘货信息!$B:$B&amp;盘货信息!$C:$C,盘货信息!$X:$X)="","","【"&amp;盘货信息!$X$1&amp;"】"&amp;_xlfn.XLOOKUP($A500&amp;$B500&amp;$C500,盘货信息!$A:$A&amp;盘货信息!$B:$B&amp;盘货信息!$C:$C,盘货信息!$X:$X))</f>
        <v/>
      </c>
      <c r="R500" s="27" t="str" cm="1">
        <f t="array" ref="R500">IF(_xlfn.XLOOKUP($A500&amp;$B500&amp;$C500,盘货信息!$A:$A&amp;盘货信息!$B:$B&amp;盘货信息!$C:$C,盘货信息!$Z:$Z)="","","【"&amp;盘货信息!$Z$1&amp;"】"&amp;_xlfn.XLOOKUP($A500&amp;$B500&amp;$C500,盘货信息!$A:$A&amp;盘货信息!$B:$B&amp;盘货信息!$C:$C,盘货信息!$Z:$Z))</f>
        <v/>
      </c>
      <c r="S500" s="27" t="str" cm="1">
        <f t="array" ref="S500">IF(_xlfn.XLOOKUP($A500&amp;$B500&amp;$C500,盘货信息!$A:$A&amp;盘货信息!$B:$B&amp;盘货信息!$C:$C,盘货信息!$Q:$Q)="","","【种草】站外带指定话题种草后返"&amp;_xlfn.XLOOKUP($A500&amp;$B500&amp;$C500,盘货信息!$A:$A&amp;盘货信息!$B:$B&amp;盘货信息!$C:$C,盘货信息!$Q:$Q)&amp;"元红包（每个淘宝账号仅限对应一个站外种草账号，同一个种草账号不可对应多个淘宝账号）")</f>
        <v/>
      </c>
      <c r="T500" s="27" t="str" cm="1">
        <f t="array" ref="T500">IF(_xlfn.XLOOKUP($A500&amp;$B500&amp;$C500,盘货信息!$A:$A&amp;盘货信息!$B:$B&amp;盘货信息!$C:$C,盘货信息!$R:$R)&lt;1,"","【以旧换新】"&amp;"享补贴"&amp;ROUND(_xlfn.XLOOKUP($A500&amp;$B500&amp;$C500,盘货信息!$A:$A&amp;盘货信息!$B:$B&amp;盘货信息!$C:$C,盘货信息!$R:$R),0)&amp;"元（可无旧机换新）")</f>
        <v/>
      </c>
      <c r="U500" s="27" t="str">
        <f>IF(AND($N500="",$O500="",$P500="",$Q500="",$R500="",$S500="",$T500=""),"",固定信息!$B$1)</f>
        <v/>
      </c>
      <c r="V500" s="27" t="str" cm="1">
        <f t="array" ref="V500">IF(_xlfn.XLOOKUP($A500&amp;$B500&amp;$C500,盘货信息!$A:$A&amp;盘货信息!$B:$B&amp;盘货信息!$C:$C,盘货信息!$Y:$Y)="","","【卡萨帝送赠】活动指定时间"&amp;_xlfn.TEXTBEFORE(_xlfn.TEXTAFTER(_xlfn.XLOOKUP($A500&amp;$B500&amp;$C500,盘货信息!$A:$A&amp;盘货信息!$B:$B&amp;盘货信息!$C:$C,盘货信息!$Y:$Y),"点"),"（"))</f>
        <v/>
      </c>
      <c r="W500" s="27" t="str" cm="1">
        <f t="array" ref="W500">IF(COUNTIF(_xlfn.XLOOKUP($A500&amp;$B500&amp;$C500,盘货信息!$A:$A&amp;盘货信息!$B:$B&amp;盘货信息!$C:$C,盘货信息!$O:$O),"*是*"),"【折扣】指定型号满2类享96折，满3类享94折","")</f>
        <v/>
      </c>
      <c r="X500" s="27" t="str" cm="1">
        <f t="array" ref="X500">IF(固定信息!$B$7="","",IF(_xlfn.XLOOKUP($A500&amp;$B500&amp;$C500,盘货信息!$A:$A&amp;盘货信息!$B:$B&amp;盘货信息!$C:$C,盘货信息!$N:$N)="是","【瓜分】"&amp;固定信息!$B$7,""))</f>
        <v/>
      </c>
      <c r="Y500" s="27" t="str">
        <f>IF(AND($V500="",$W500="",$X500=""),"",固定信息!$B$1)</f>
        <v/>
      </c>
      <c r="Z500" s="27" t="str" cm="1">
        <f t="array" ref="Z500">IF($C500="","",_xlfn.XLOOKUP($A500&amp;$B500&amp;$C500,服务!$A:$A&amp;服务!$B:$B&amp;服务!$C:$C,服务!$D:$D))</f>
        <v/>
      </c>
    </row>
    <row r="501" customHeight="1" spans="1:26">
      <c r="A501" s="23" t="str">
        <f>IF(盘货信息!A501="","",盘货信息!A501)</f>
        <v/>
      </c>
      <c r="B501" s="26" t="str">
        <f>IF(盘货信息!B501="","",盘货信息!B501)</f>
        <v/>
      </c>
      <c r="C501" s="23" t="str">
        <f>IF(盘货信息!C501="","",盘货信息!C501)</f>
        <v/>
      </c>
      <c r="D501" s="27" t="str">
        <f ca="1" t="shared" si="7"/>
        <v/>
      </c>
      <c r="E501" s="27" t="str">
        <f>IF(C501="","",固定信息!$B$2)</f>
        <v/>
      </c>
      <c r="F501" s="27" t="str">
        <f>IF(C501="","","【"&amp;C501&amp;"】"&amp;固定信息!$B$4)</f>
        <v/>
      </c>
      <c r="G501" s="27" t="str">
        <f>IF(C501="","","【"&amp;"活动时间："&amp;固定信息!$B$3&amp;"】")</f>
        <v/>
      </c>
      <c r="H501" s="27" t="str">
        <f>IF($C501="","",固定信息!$B$1)</f>
        <v/>
      </c>
      <c r="I501" s="27" t="str">
        <f>IF(OR(C501="",固定信息!$B$5=""),"","【1元预约锁好礼】"&amp;固定信息!$B$5)</f>
        <v/>
      </c>
      <c r="J501" s="27" t="str" cm="1">
        <f t="array" ref="J501">_xlfn.XLOOKUP($A501&amp;$B501&amp;$C501,价格信息!$A:$A&amp;价格信息!$B:$B&amp;价格信息!$C:$C,价格信息!$D:$D)</f>
        <v/>
      </c>
      <c r="K501" s="27" t="str">
        <f>IF($C501="","",固定信息!$B$1)</f>
        <v/>
      </c>
      <c r="L501" s="27" t="str" cm="1">
        <f t="array" ref="L501">IF(_xlfn.XLOOKUP($A501&amp;$B501&amp;$C501,盘货信息!$A:$A&amp;盘货信息!$B:$B&amp;盘货信息!$C:$C,盘货信息!$T:$T)="","","【优惠券】领"&amp;_xlfn.XLOOKUP($A501&amp;$B501&amp;$C501,盘货信息!$A:$A&amp;盘货信息!$B:$B&amp;盘货信息!$C:$C,盘货信息!$T:$T)&amp;"元优惠卷下单更优惠，领券链接："&amp;_xlfn.XLOOKUP($A501&amp;$B501&amp;$C501,盘货信息!$A:$A&amp;盘货信息!$B:$B&amp;盘货信息!$C:$C,盘货信息!$U:$U))</f>
        <v/>
      </c>
      <c r="M501" s="27" t="str" cm="1">
        <f t="array" ref="M501">IF(_xlfn.XLOOKUP($A501&amp;$B501&amp;$C501,盘货信息!$A:$A&amp;盘货信息!$B:$B&amp;盘货信息!$C:$C,盘货信息!$P:$P)="","","【限时】"&amp;_xlfn.XLOOKUP($A501&amp;$B501&amp;$C501,盘货信息!$A:$A&amp;盘货信息!$B:$B&amp;盘货信息!$C:$C,盘货信息!$P:$P))</f>
        <v/>
      </c>
      <c r="N501" s="27" t="str" cm="1">
        <f t="array" ref="N501">IF(_xlfn.XLOOKUP($A501&amp;$B501&amp;$C501,盘货信息!$A:$A&amp;盘货信息!$B:$B&amp;盘货信息!$C:$C,盘货信息!$V:$V)="","","【"&amp;盘货信息!$V$1&amp;"】"&amp;_xlfn.XLOOKUP($A501&amp;$B501&amp;$C501,盘货信息!$A:$A&amp;盘货信息!$B:$B&amp;盘货信息!$C:$C,盘货信息!$V:$V))</f>
        <v/>
      </c>
      <c r="O501" s="27" t="str" cm="1">
        <f t="array" ref="O501">IF(_xlfn.XLOOKUP($A501&amp;$B501&amp;$C501,盘货信息!$A:$A&amp;盘货信息!$B:$B&amp;盘货信息!$C:$C,盘货信息!$W:$W)="","","【"&amp;盘货信息!$W$1&amp;"】"&amp;_xlfn.XLOOKUP($A501&amp;$B501&amp;$C501,盘货信息!$A:$A&amp;盘货信息!$B:$B&amp;盘货信息!$C:$C,盘货信息!$W:$W))</f>
        <v/>
      </c>
      <c r="P501" s="27" t="str" cm="1">
        <f t="array" ref="P501">IF(_xlfn.XLOOKUP($A501&amp;$B501&amp;$C501,盘货信息!$A:$A&amp;盘货信息!$B:$B&amp;盘货信息!$C:$C,盘货信息!$S:$S)&lt;1,"","【"&amp;盘货信息!$S$1&amp;"】"&amp;"后返"&amp;_xlfn.XLOOKUP($A501&amp;$B501&amp;$C501,盘货信息!$A:$A&amp;盘货信息!$B:$B&amp;盘货信息!$C:$C,盘货信息!$S:$S)&amp;"元")</f>
        <v/>
      </c>
      <c r="Q501" s="27" t="str" cm="1">
        <f t="array" ref="Q501">IF(_xlfn.XLOOKUP($A501&amp;$B501&amp;$C501,盘货信息!$A:$A&amp;盘货信息!$B:$B&amp;盘货信息!$C:$C,盘货信息!$X:$X)="","","【"&amp;盘货信息!$X$1&amp;"】"&amp;_xlfn.XLOOKUP($A501&amp;$B501&amp;$C501,盘货信息!$A:$A&amp;盘货信息!$B:$B&amp;盘货信息!$C:$C,盘货信息!$X:$X))</f>
        <v/>
      </c>
      <c r="R501" s="27" t="str" cm="1">
        <f t="array" ref="R501">IF(_xlfn.XLOOKUP($A501&amp;$B501&amp;$C501,盘货信息!$A:$A&amp;盘货信息!$B:$B&amp;盘货信息!$C:$C,盘货信息!$Z:$Z)="","","【"&amp;盘货信息!$Z$1&amp;"】"&amp;_xlfn.XLOOKUP($A501&amp;$B501&amp;$C501,盘货信息!$A:$A&amp;盘货信息!$B:$B&amp;盘货信息!$C:$C,盘货信息!$Z:$Z))</f>
        <v/>
      </c>
      <c r="S501" s="27" t="str" cm="1">
        <f t="array" ref="S501">IF(_xlfn.XLOOKUP($A501&amp;$B501&amp;$C501,盘货信息!$A:$A&amp;盘货信息!$B:$B&amp;盘货信息!$C:$C,盘货信息!$Q:$Q)="","","【种草】站外带指定话题种草后返"&amp;_xlfn.XLOOKUP($A501&amp;$B501&amp;$C501,盘货信息!$A:$A&amp;盘货信息!$B:$B&amp;盘货信息!$C:$C,盘货信息!$Q:$Q)&amp;"元红包（每个淘宝账号仅限对应一个站外种草账号，同一个种草账号不可对应多个淘宝账号）")</f>
        <v/>
      </c>
      <c r="T501" s="27" t="str" cm="1">
        <f t="array" ref="T501">IF(_xlfn.XLOOKUP($A501&amp;$B501&amp;$C501,盘货信息!$A:$A&amp;盘货信息!$B:$B&amp;盘货信息!$C:$C,盘货信息!$R:$R)&lt;1,"","【以旧换新】"&amp;"享补贴"&amp;ROUND(_xlfn.XLOOKUP($A501&amp;$B501&amp;$C501,盘货信息!$A:$A&amp;盘货信息!$B:$B&amp;盘货信息!$C:$C,盘货信息!$R:$R),0)&amp;"元（可无旧机换新）")</f>
        <v/>
      </c>
      <c r="U501" s="27" t="str">
        <f>IF(AND($N501="",$O501="",$P501="",$Q501="",$R501="",$S501="",$T501=""),"",固定信息!$B$1)</f>
        <v/>
      </c>
      <c r="V501" s="27" t="str" cm="1">
        <f t="array" ref="V501">IF(_xlfn.XLOOKUP($A501&amp;$B501&amp;$C501,盘货信息!$A:$A&amp;盘货信息!$B:$B&amp;盘货信息!$C:$C,盘货信息!$Y:$Y)="","","【卡萨帝送赠】活动指定时间"&amp;_xlfn.TEXTBEFORE(_xlfn.TEXTAFTER(_xlfn.XLOOKUP($A501&amp;$B501&amp;$C501,盘货信息!$A:$A&amp;盘货信息!$B:$B&amp;盘货信息!$C:$C,盘货信息!$Y:$Y),"点"),"（"))</f>
        <v/>
      </c>
      <c r="W501" s="27" t="str" cm="1">
        <f t="array" ref="W501">IF(COUNTIF(_xlfn.XLOOKUP($A501&amp;$B501&amp;$C501,盘货信息!$A:$A&amp;盘货信息!$B:$B&amp;盘货信息!$C:$C,盘货信息!$O:$O),"*是*"),"【折扣】指定型号满2类享96折，满3类享94折","")</f>
        <v/>
      </c>
      <c r="X501" s="27" t="str" cm="1">
        <f t="array" ref="X501">IF(固定信息!$B$7="","",IF(_xlfn.XLOOKUP($A501&amp;$B501&amp;$C501,盘货信息!$A:$A&amp;盘货信息!$B:$B&amp;盘货信息!$C:$C,盘货信息!$N:$N)="是","【瓜分】"&amp;固定信息!$B$7,""))</f>
        <v/>
      </c>
      <c r="Y501" s="27" t="str">
        <f>IF(AND($V501="",$W501="",$X501=""),"",固定信息!$B$1)</f>
        <v/>
      </c>
      <c r="Z501" s="27" t="str" cm="1">
        <f t="array" ref="Z501">IF($C501="","",_xlfn.XLOOKUP($A501&amp;$B501&amp;$C501,服务!$A:$A&amp;服务!$B:$B&amp;服务!$C:$C,服务!$D:$D))</f>
        <v/>
      </c>
    </row>
  </sheetData>
  <autoFilter xmlns:etc="http://www.wps.cn/officeDocument/2017/etCustomData" ref="A1:Z50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O501"/>
  <sheetViews>
    <sheetView topLeftCell="C1" workbookViewId="0">
      <pane ySplit="1" topLeftCell="A2" activePane="bottomLeft" state="frozen"/>
      <selection/>
      <selection pane="bottomLeft" activeCell="H2" sqref="H2"/>
    </sheetView>
  </sheetViews>
  <sheetFormatPr defaultColWidth="8.88983050847458" defaultRowHeight="15" customHeight="1"/>
  <cols>
    <col min="1" max="1" width="23.1101694915254" style="21" customWidth="1"/>
    <col min="2" max="2" width="23.6271186440678" style="22" customWidth="1"/>
    <col min="3" max="3" width="34.0762711864407" style="21" customWidth="1"/>
    <col min="4" max="4" width="35.7796610169492" style="23" customWidth="1"/>
    <col min="5" max="5" width="25.7796610169492" style="23" customWidth="1"/>
    <col min="6" max="10" width="10.7796610169492" style="23" customWidth="1"/>
    <col min="11" max="11" width="10.4406779661017" style="23" customWidth="1"/>
    <col min="12" max="12" width="14.7796610169492" style="23" customWidth="1"/>
    <col min="13" max="13" width="10.4406779661017" style="23" customWidth="1"/>
    <col min="14" max="15" width="10.7796610169492" style="23" customWidth="1"/>
  </cols>
  <sheetData>
    <row r="1" customHeight="1" spans="1:15">
      <c r="A1" s="24" t="str">
        <f>IF(盘货信息!A1="","",盘货信息!A1)</f>
        <v>ID</v>
      </c>
      <c r="B1" s="24" t="str">
        <f>IF(盘货信息!B1="","",盘货信息!B1)</f>
        <v>skuid</v>
      </c>
      <c r="C1" s="25" t="str">
        <f>IF(盘货信息!C1="","",盘货信息!C1)</f>
        <v>型号</v>
      </c>
      <c r="D1" s="25" t="s">
        <v>43</v>
      </c>
      <c r="E1" s="25" t="s">
        <v>4</v>
      </c>
      <c r="F1" s="25" t="s">
        <v>3</v>
      </c>
      <c r="G1" s="25" t="s">
        <v>6</v>
      </c>
      <c r="H1" s="25" t="s">
        <v>8</v>
      </c>
      <c r="I1" s="25" t="s">
        <v>49</v>
      </c>
      <c r="J1" s="25" t="s">
        <v>50</v>
      </c>
      <c r="K1" s="25" t="s">
        <v>10</v>
      </c>
      <c r="L1" s="25" t="s">
        <v>51</v>
      </c>
      <c r="M1" s="25" t="s">
        <v>52</v>
      </c>
      <c r="N1" s="25" t="s">
        <v>53</v>
      </c>
      <c r="O1" s="25" t="s">
        <v>54</v>
      </c>
    </row>
    <row r="2" customHeight="1" spans="1:15">
      <c r="A2" s="26" t="str">
        <f>IF(盘货信息!A2="","",盘货信息!A2)</f>
        <v/>
      </c>
      <c r="B2" s="26" t="str">
        <f>IF(盘货信息!B2="","",盘货信息!B2)</f>
        <v/>
      </c>
      <c r="C2" s="27" t="str">
        <f>IF(盘货信息!C2="","",盘货信息!C2)</f>
        <v/>
      </c>
      <c r="D2" s="27" t="str">
        <f>IF($C2="","",_xlfn.TEXTJOIN(CHAR(10),TRUE,N2:O2))</f>
        <v/>
      </c>
      <c r="E2" s="27" t="str" cm="1">
        <f t="array" ref="E2">IF($C2="","",IF(AND(OR(_xlfn.XLOOKUP($A2&amp;$B2&amp;$C2,盘货信息!$A:$A&amp;盘货信息!$B:$B&amp;盘货信息!$C:$C,盘货信息!$L:$L)="否",_xlfn.XLOOKUP($A2&amp;$B2&amp;$C2,盘货信息!$A:$A&amp;盘货信息!$B:$B&amp;盘货信息!$C:$C,盘货信息!$L:$L)=""),_xlfn.XLOOKUP($A2&amp;$B2&amp;$C2,盘货信息!$A:$A&amp;盘货信息!$B:$B&amp;盘货信息!$C:$C,盘货信息!$M:$M)="否"),"【预估到手价"&amp;_xlfn.XLOOKUP($A2&amp;$B2&amp;$C2,盘货信息!$A:$A&amp;盘货信息!$B:$B&amp;盘货信息!$C:$C,盘货信息!$D:$D)&amp;"元】",IF(AND(_xlfn.XLOOKUP($A2&amp;$B2&amp;$C2,盘货信息!$A:$A&amp;盘货信息!$B:$B&amp;盘货信息!$C:$C,盘货信息!$M:$M)="是",OR(_xlfn.XLOOKUP($A2&amp;$B2&amp;$C2,盘货信息!$A:$A&amp;盘货信息!$B:$B&amp;盘货信息!$C:$C,盘货信息!$L:$L)="否",_xlfn.XLOOKUP($A2&amp;$B2&amp;$C2,盘货信息!$A:$A&amp;盘货信息!$B:$B&amp;盘货信息!$C:$C,盘货信息!$L:$L)="")),"【预估到手价"&amp;_xlfn.XLOOKUP($A2&amp;$B2&amp;$C2,盘货信息!$A:$A&amp;盘货信息!$B:$B&amp;盘货信息!$C:$C,盘货信息!$D:$D)&amp;"元】"&amp;CHAR(10)&amp;"【焕新补贴预估价"&amp;ROUND(_xlfn.XLOOKUP($A2&amp;$B2&amp;$C2,盘货信息!$A:$A&amp;盘货信息!$B:$B&amp;盘货信息!$C:$C,盘货信息!$E:$E),0)&amp;"元】","【焕新补贴预估价"&amp;ROUND(_xlfn.XLOOKUP($A2&amp;$B2&amp;$C2,盘货信息!$A:$A&amp;盘货信息!$B:$B&amp;盘货信息!$C:$C,盘货信息!$E:$E),0)&amp;"元】")))</f>
        <v/>
      </c>
      <c r="F2" s="27" t="str" cm="1">
        <f t="array" ref="F2">IF($C2="","",_xlfn.XLOOKUP($A2&amp;$B2&amp;$C2,盘货信息!$A:$A&amp;盘货信息!$B:$B&amp;盘货信息!$C:$C,盘货信息!$D:$D)&amp;"元到手价")</f>
        <v/>
      </c>
      <c r="G2" s="27" t="str" cm="1">
        <f t="array" ref="G2">IF($C2="","",IF(_xlfn.XLOOKUP($A2&amp;$B2&amp;$C2,盘货信息!$A:$A&amp;盘货信息!$B:$B&amp;盘货信息!$C:$C,盘货信息!$G:$G)&lt;1,"",ROUND(_xlfn.XLOOKUP($A2&amp;$B2&amp;$C2,盘货信息!$A:$A&amp;盘货信息!$B:$B&amp;盘货信息!$C:$C,盘货信息!$G:$G),0)&amp;"元88VIP立减"))</f>
        <v/>
      </c>
      <c r="H2" s="27" t="str" cm="1">
        <f t="array" ref="H2">IF($C2="","",IF(_xlfn.XLOOKUP($A2&amp;$B2&amp;$C2,盘货信息!$A:$A&amp;盘货信息!$B:$B&amp;盘货信息!$C:$C,盘货信息!$I:$I)&lt;1,"",_xlfn.XLOOKUP($A2&amp;$B2&amp;$C2,盘货信息!$A:$A&amp;盘货信息!$B:$B&amp;盘货信息!$C:$C,盘货信息!$I:$I)&amp;"元限时后返（到货联系客服登记）"))</f>
        <v/>
      </c>
      <c r="I2" s="27" t="str" cm="1">
        <f t="array" ref="I2">IF($C2="","",IF(_xlfn.XLOOKUP($A2&amp;$B2&amp;$C2,盘货信息!$A:$A&amp;盘货信息!$B:$B&amp;盘货信息!$C:$C,盘货信息!$H:$H)&lt;1,"",ROUND(_xlfn.XLOOKUP($A2&amp;$B2&amp;$C2,盘货信息!$A:$A&amp;盘货信息!$B:$B&amp;盘货信息!$C:$C,盘货信息!$H:$H),0)&amp;"元消费券"))</f>
        <v/>
      </c>
      <c r="J2" s="27" t="str" cm="1">
        <f t="array" ref="J2">IF($C2="","",IF(_xlfn.XLOOKUP($A2&amp;$B2&amp;$C2,盘货信息!$A:$A&amp;盘货信息!$B:$B&amp;盘货信息!$C:$C,盘货信息!$J:$J)&lt;1,"",ROUND(_xlfn.XLOOKUP($A2&amp;$B2&amp;$C2,盘货信息!$A:$A&amp;盘货信息!$B:$B&amp;盘货信息!$C:$C,盘货信息!$J:$J),0)&amp;"元限时补贴"))</f>
        <v/>
      </c>
      <c r="K2" s="27" t="str" cm="1">
        <f t="array" ref="K2">IF($C2="","",IF(_xlfn.XLOOKUP($A2&amp;$B2&amp;$C2,盘货信息!$A:$A&amp;盘货信息!$B:$B&amp;盘货信息!$C:$C,盘货信息!$K:$K)&lt;1,"",ROUND(_xlfn.XLOOKUP($A2&amp;$B2&amp;$C2,盘货信息!$A:$A&amp;盘货信息!$B:$B&amp;盘货信息!$C:$C,盘货信息!$K:$K),0)&amp;"元预估焕新补贴"))</f>
        <v/>
      </c>
      <c r="L2" s="27" t="str" cm="1">
        <f t="array" ref="L2">IF($C2="","",IF(AND(_xlfn.XLOOKUP($A2&amp;$B2&amp;$C2,盘货信息!$A:$A&amp;盘货信息!$B:$B&amp;盘货信息!$C:$C,盘货信息!$L:$L)="是",_xlfn.XLOOKUP($A2&amp;$B2&amp;$C2,盘货信息!$A:$A&amp;盘货信息!$B:$B&amp;盘货信息!$C:$C,盘货信息!$M:$M)="是",_xlfn.XLOOKUP($A2&amp;$B2&amp;$C2,盘货信息!$A:$A&amp;盘货信息!$B:$B&amp;盘货信息!$C:$C,盘货信息!$K:$K)&gt;0),"【全民可用，不限地址】",IF(AND(OR(_xlfn.XLOOKUP($A2&amp;$B2&amp;$C2,盘货信息!$A:$A&amp;盘货信息!$B:$B&amp;盘货信息!$C:$C,盘货信息!$L:$L)="否",_xlfn.XLOOKUP($A2&amp;$B2&amp;$C2,盘货信息!$A:$A&amp;盘货信息!$B:$B&amp;盘货信息!$C:$C,盘货信息!$L:$L)=""),_xlfn.XLOOKUP($A2&amp;$B2&amp;$C2,盘货信息!$A:$A&amp;盘货信息!$B:$B&amp;盘货信息!$C:$C,盘货信息!$M:$M)="是",_xlfn.XLOOKUP($A2&amp;$B2&amp;$C2,盘货信息!$A:$A&amp;盘货信息!$B:$B&amp;盘货信息!$C:$C,盘货信息!$K:$K)&gt;0),"【详情页领取】","")))</f>
        <v/>
      </c>
      <c r="M2" s="27" t="str" cm="1">
        <f t="array" ref="M2">IF($C2="","",IF(_xlfn.XLOOKUP($A2&amp;$B2&amp;$C2,盘货信息!$A:$A&amp;盘货信息!$B:$B&amp;盘货信息!$C:$C,盘货信息!$F:$F)&lt;1,"",_xlfn.XLOOKUP($A2&amp;$B2&amp;$C2,盘货信息!$A:$A&amp;盘货信息!$B:$B&amp;盘货信息!$C:$C,盘货信息!$F:$F)&amp;"元明卷"))</f>
        <v/>
      </c>
      <c r="N2" s="27" t="str">
        <f>IF(C2="","",E2&amp;"="&amp;F2&amp;IF(G2="","","-"&amp;G2)&amp;IF(H2="","","-"&amp;H2)&amp;IF(I2="","","-"&amp;I2)&amp;IF(J2="","","-"&amp;J2)&amp;IF(K2="","","-"&amp;K2&amp;L2))</f>
        <v/>
      </c>
      <c r="O2" s="27" t="str">
        <f>IF(I2="","","【消费券链接】"&amp;固定信息!$B$6)</f>
        <v/>
      </c>
    </row>
    <row r="3" customHeight="1" spans="1:15">
      <c r="A3" s="26" t="str">
        <f>IF(盘货信息!A3="","",盘货信息!A3)</f>
        <v/>
      </c>
      <c r="B3" s="26" t="str">
        <f>IF(盘货信息!B3="","",盘货信息!B3)</f>
        <v/>
      </c>
      <c r="C3" s="27" t="str">
        <f>IF(盘货信息!C3="","",盘货信息!C3)</f>
        <v/>
      </c>
      <c r="D3" s="27" t="str">
        <f t="shared" ref="D3:D66" si="0">IF($C3="","",_xlfn.TEXTJOIN(CHAR(10),TRUE,N3:O3))</f>
        <v/>
      </c>
      <c r="E3" s="27" t="str" cm="1">
        <f t="array" ref="E3">IF($C3="","",IF(AND(OR(_xlfn.XLOOKUP($A3&amp;$B3&amp;$C3,盘货信息!$A:$A&amp;盘货信息!$B:$B&amp;盘货信息!$C:$C,盘货信息!$L:$L)="否",_xlfn.XLOOKUP($A3&amp;$B3&amp;$C3,盘货信息!$A:$A&amp;盘货信息!$B:$B&amp;盘货信息!$C:$C,盘货信息!$L:$L)=""),_xlfn.XLOOKUP($A3&amp;$B3&amp;$C3,盘货信息!$A:$A&amp;盘货信息!$B:$B&amp;盘货信息!$C:$C,盘货信息!$M:$M)="否"),"【预估到手价"&amp;_xlfn.XLOOKUP($A3&amp;$B3&amp;$C3,盘货信息!$A:$A&amp;盘货信息!$B:$B&amp;盘货信息!$C:$C,盘货信息!$D:$D)&amp;"元】",IF(AND(_xlfn.XLOOKUP($A3&amp;$B3&amp;$C3,盘货信息!$A:$A&amp;盘货信息!$B:$B&amp;盘货信息!$C:$C,盘货信息!$M:$M)="是",OR(_xlfn.XLOOKUP($A3&amp;$B3&amp;$C3,盘货信息!$A:$A&amp;盘货信息!$B:$B&amp;盘货信息!$C:$C,盘货信息!$L:$L)="否",_xlfn.XLOOKUP($A3&amp;$B3&amp;$C3,盘货信息!$A:$A&amp;盘货信息!$B:$B&amp;盘货信息!$C:$C,盘货信息!$L:$L)="")),"【预估到手价"&amp;_xlfn.XLOOKUP($A3&amp;$B3&amp;$C3,盘货信息!$A:$A&amp;盘货信息!$B:$B&amp;盘货信息!$C:$C,盘货信息!$D:$D)&amp;"元】"&amp;CHAR(10)&amp;"【焕新补贴预估价"&amp;ROUND(_xlfn.XLOOKUP($A3&amp;$B3&amp;$C3,盘货信息!$A:$A&amp;盘货信息!$B:$B&amp;盘货信息!$C:$C,盘货信息!$E:$E),0)&amp;"元】","【焕新补贴预估价"&amp;ROUND(_xlfn.XLOOKUP($A3&amp;$B3&amp;$C3,盘货信息!$A:$A&amp;盘货信息!$B:$B&amp;盘货信息!$C:$C,盘货信息!$E:$E),0)&amp;"元】")))</f>
        <v/>
      </c>
      <c r="F3" s="27" t="str" cm="1">
        <f t="array" ref="F3">IF($C3="","",_xlfn.XLOOKUP($A3&amp;$B3&amp;$C3,盘货信息!$A:$A&amp;盘货信息!$B:$B&amp;盘货信息!$C:$C,盘货信息!$D:$D)&amp;"元到手价")</f>
        <v/>
      </c>
      <c r="G3" s="27" t="str" cm="1">
        <f t="array" ref="G3">IF($C3="","",IF(_xlfn.XLOOKUP($A3&amp;$B3&amp;$C3,盘货信息!$A:$A&amp;盘货信息!$B:$B&amp;盘货信息!$C:$C,盘货信息!$G:$G)&lt;1,"",ROUND(_xlfn.XLOOKUP($A3&amp;$B3&amp;$C3,盘货信息!$A:$A&amp;盘货信息!$B:$B&amp;盘货信息!$C:$C,盘货信息!$G:$G),0)&amp;"元88VIP立减"))</f>
        <v/>
      </c>
      <c r="H3" s="27" t="str" cm="1">
        <f t="array" ref="H3">IF($C3="","",IF(_xlfn.XLOOKUP($A3&amp;$B3&amp;$C3,盘货信息!$A:$A&amp;盘货信息!$B:$B&amp;盘货信息!$C:$C,盘货信息!$I:$I)&lt;1,"",_xlfn.XLOOKUP($A3&amp;$B3&amp;$C3,盘货信息!$A:$A&amp;盘货信息!$B:$B&amp;盘货信息!$C:$C,盘货信息!$I:$I)&amp;"元惊喜立减"))</f>
        <v/>
      </c>
      <c r="I3" s="27" t="str" cm="1">
        <f t="array" ref="I3">IF($C3="","",IF(_xlfn.XLOOKUP($A3&amp;$B3&amp;$C3,盘货信息!$A:$A&amp;盘货信息!$B:$B&amp;盘货信息!$C:$C,盘货信息!$H:$H)&lt;1,"",ROUND(_xlfn.XLOOKUP($A3&amp;$B3&amp;$C3,盘货信息!$A:$A&amp;盘货信息!$B:$B&amp;盘货信息!$C:$C,盘货信息!$H:$H),0)&amp;"元消费券"))</f>
        <v/>
      </c>
      <c r="J3" s="27" t="str" cm="1">
        <f t="array" ref="J3">IF($C3="","",IF(_xlfn.XLOOKUP($A3&amp;$B3&amp;$C3,盘货信息!$A:$A&amp;盘货信息!$B:$B&amp;盘货信息!$C:$C,盘货信息!$J:$J)&lt;1,"",ROUND(_xlfn.XLOOKUP($A3&amp;$B3&amp;$C3,盘货信息!$A:$A&amp;盘货信息!$B:$B&amp;盘货信息!$C:$C,盘货信息!$J:$J),0)&amp;"元限时补贴"))</f>
        <v/>
      </c>
      <c r="K3" s="27" t="str" cm="1">
        <f t="array" ref="K3">IF($C3="","",IF(_xlfn.XLOOKUP($A3&amp;$B3&amp;$C3,盘货信息!$A:$A&amp;盘货信息!$B:$B&amp;盘货信息!$C:$C,盘货信息!$K:$K)&lt;1,"",ROUND(_xlfn.XLOOKUP($A3&amp;$B3&amp;$C3,盘货信息!$A:$A&amp;盘货信息!$B:$B&amp;盘货信息!$C:$C,盘货信息!$K:$K),0)&amp;"元预估焕新补贴"))</f>
        <v/>
      </c>
      <c r="L3" s="27" t="str" cm="1">
        <f t="array" ref="L3">IF($C3="","",IF(AND(_xlfn.XLOOKUP($A3&amp;$B3&amp;$C3,盘货信息!$A:$A&amp;盘货信息!$B:$B&amp;盘货信息!$C:$C,盘货信息!$L:$L)="是",_xlfn.XLOOKUP($A3&amp;$B3&amp;$C3,盘货信息!$A:$A&amp;盘货信息!$B:$B&amp;盘货信息!$C:$C,盘货信息!$M:$M)="是",_xlfn.XLOOKUP($A3&amp;$B3&amp;$C3,盘货信息!$A:$A&amp;盘货信息!$B:$B&amp;盘货信息!$C:$C,盘货信息!$K:$K)&gt;0),"【全民可用，不限地址】",IF(AND(OR(_xlfn.XLOOKUP($A3&amp;$B3&amp;$C3,盘货信息!$A:$A&amp;盘货信息!$B:$B&amp;盘货信息!$C:$C,盘货信息!$L:$L)="否",_xlfn.XLOOKUP($A3&amp;$B3&amp;$C3,盘货信息!$A:$A&amp;盘货信息!$B:$B&amp;盘货信息!$C:$C,盘货信息!$L:$L)=""),_xlfn.XLOOKUP($A3&amp;$B3&amp;$C3,盘货信息!$A:$A&amp;盘货信息!$B:$B&amp;盘货信息!$C:$C,盘货信息!$M:$M)="是",_xlfn.XLOOKUP($A3&amp;$B3&amp;$C3,盘货信息!$A:$A&amp;盘货信息!$B:$B&amp;盘货信息!$C:$C,盘货信息!$K:$K)&gt;0),"【详情页领取】","")))</f>
        <v/>
      </c>
      <c r="M3" s="27" t="str" cm="1">
        <f t="array" ref="M3">IF($C3="","",IF(_xlfn.XLOOKUP($A3&amp;$B3&amp;$C3,盘货信息!$A:$A&amp;盘货信息!$B:$B&amp;盘货信息!$C:$C,盘货信息!$F:$F)&lt;1,"",_xlfn.XLOOKUP($A3&amp;$B3&amp;$C3,盘货信息!$A:$A&amp;盘货信息!$B:$B&amp;盘货信息!$C:$C,盘货信息!$F:$F)&amp;"元明卷"))</f>
        <v/>
      </c>
      <c r="N3" s="27" t="str">
        <f t="shared" ref="N3:N66" si="1">IF(C3="","",E3&amp;"="&amp;F3&amp;IF(G3="","","-"&amp;G3)&amp;IF(H3="","","-"&amp;H3)&amp;IF(I3="","","-"&amp;I3)&amp;IF(J3="","","-"&amp;J3)&amp;IF(K3="","","-"&amp;K3&amp;L3))</f>
        <v/>
      </c>
      <c r="O3" s="27" t="str">
        <f>IF(I3="","","【消费券链接】"&amp;固定信息!$B$6)</f>
        <v/>
      </c>
    </row>
    <row r="4" customHeight="1" spans="1:15">
      <c r="A4" s="26" t="str">
        <f>IF(盘货信息!A4="","",盘货信息!A4)</f>
        <v/>
      </c>
      <c r="B4" s="26" t="str">
        <f>IF(盘货信息!B4="","",盘货信息!B4)</f>
        <v/>
      </c>
      <c r="C4" s="27" t="str">
        <f>IF(盘货信息!C4="","",盘货信息!C4)</f>
        <v/>
      </c>
      <c r="D4" s="27" t="str">
        <f t="shared" si="0"/>
        <v/>
      </c>
      <c r="E4" s="27" t="str" cm="1">
        <f t="array" ref="E4">IF($C4="","",IF(AND(OR(_xlfn.XLOOKUP($A4&amp;$B4&amp;$C4,盘货信息!$A:$A&amp;盘货信息!$B:$B&amp;盘货信息!$C:$C,盘货信息!$L:$L)="否",_xlfn.XLOOKUP($A4&amp;$B4&amp;$C4,盘货信息!$A:$A&amp;盘货信息!$B:$B&amp;盘货信息!$C:$C,盘货信息!$L:$L)=""),_xlfn.XLOOKUP($A4&amp;$B4&amp;$C4,盘货信息!$A:$A&amp;盘货信息!$B:$B&amp;盘货信息!$C:$C,盘货信息!$M:$M)="否"),"【预估到手价"&amp;_xlfn.XLOOKUP($A4&amp;$B4&amp;$C4,盘货信息!$A:$A&amp;盘货信息!$B:$B&amp;盘货信息!$C:$C,盘货信息!$D:$D)&amp;"元】",IF(AND(_xlfn.XLOOKUP($A4&amp;$B4&amp;$C4,盘货信息!$A:$A&amp;盘货信息!$B:$B&amp;盘货信息!$C:$C,盘货信息!$M:$M)="是",OR(_xlfn.XLOOKUP($A4&amp;$B4&amp;$C4,盘货信息!$A:$A&amp;盘货信息!$B:$B&amp;盘货信息!$C:$C,盘货信息!$L:$L)="否",_xlfn.XLOOKUP($A4&amp;$B4&amp;$C4,盘货信息!$A:$A&amp;盘货信息!$B:$B&amp;盘货信息!$C:$C,盘货信息!$L:$L)="")),"【预估到手价"&amp;_xlfn.XLOOKUP($A4&amp;$B4&amp;$C4,盘货信息!$A:$A&amp;盘货信息!$B:$B&amp;盘货信息!$C:$C,盘货信息!$D:$D)&amp;"元】"&amp;CHAR(10)&amp;"【焕新补贴预估价"&amp;ROUND(_xlfn.XLOOKUP($A4&amp;$B4&amp;$C4,盘货信息!$A:$A&amp;盘货信息!$B:$B&amp;盘货信息!$C:$C,盘货信息!$E:$E),0)&amp;"元】","【焕新补贴预估价"&amp;ROUND(_xlfn.XLOOKUP($A4&amp;$B4&amp;$C4,盘货信息!$A:$A&amp;盘货信息!$B:$B&amp;盘货信息!$C:$C,盘货信息!$E:$E),0)&amp;"元】")))</f>
        <v/>
      </c>
      <c r="F4" s="27" t="str" cm="1">
        <f t="array" ref="F4">IF($C4="","",_xlfn.XLOOKUP($A4&amp;$B4&amp;$C4,盘货信息!$A:$A&amp;盘货信息!$B:$B&amp;盘货信息!$C:$C,盘货信息!$D:$D)&amp;"元到手价")</f>
        <v/>
      </c>
      <c r="G4" s="27" t="str" cm="1">
        <f t="array" ref="G4">IF($C4="","",IF(_xlfn.XLOOKUP($A4&amp;$B4&amp;$C4,盘货信息!$A:$A&amp;盘货信息!$B:$B&amp;盘货信息!$C:$C,盘货信息!$G:$G)&lt;1,"",ROUND(_xlfn.XLOOKUP($A4&amp;$B4&amp;$C4,盘货信息!$A:$A&amp;盘货信息!$B:$B&amp;盘货信息!$C:$C,盘货信息!$G:$G),0)&amp;"元88VIP立减"))</f>
        <v/>
      </c>
      <c r="H4" s="27" t="str" cm="1">
        <f t="array" ref="H4">IF($C4="","",IF(_xlfn.XLOOKUP($A4&amp;$B4&amp;$C4,盘货信息!$A:$A&amp;盘货信息!$B:$B&amp;盘货信息!$C:$C,盘货信息!$I:$I)&lt;1,"",_xlfn.XLOOKUP($A4&amp;$B4&amp;$C4,盘货信息!$A:$A&amp;盘货信息!$B:$B&amp;盘货信息!$C:$C,盘货信息!$I:$I)&amp;"元惊喜立减"))</f>
        <v/>
      </c>
      <c r="I4" s="27" t="str" cm="1">
        <f t="array" ref="I4">IF($C4="","",IF(_xlfn.XLOOKUP($A4&amp;$B4&amp;$C4,盘货信息!$A:$A&amp;盘货信息!$B:$B&amp;盘货信息!$C:$C,盘货信息!$H:$H)&lt;1,"",ROUND(_xlfn.XLOOKUP($A4&amp;$B4&amp;$C4,盘货信息!$A:$A&amp;盘货信息!$B:$B&amp;盘货信息!$C:$C,盘货信息!$H:$H),0)&amp;"元消费券"))</f>
        <v/>
      </c>
      <c r="J4" s="27" t="str" cm="1">
        <f t="array" ref="J4">IF($C4="","",IF(_xlfn.XLOOKUP($A4&amp;$B4&amp;$C4,盘货信息!$A:$A&amp;盘货信息!$B:$B&amp;盘货信息!$C:$C,盘货信息!$J:$J)&lt;1,"",ROUND(_xlfn.XLOOKUP($A4&amp;$B4&amp;$C4,盘货信息!$A:$A&amp;盘货信息!$B:$B&amp;盘货信息!$C:$C,盘货信息!$J:$J),0)&amp;"元限时补贴"))</f>
        <v/>
      </c>
      <c r="K4" s="27" t="str" cm="1">
        <f t="array" ref="K4">IF($C4="","",IF(_xlfn.XLOOKUP($A4&amp;$B4&amp;$C4,盘货信息!$A:$A&amp;盘货信息!$B:$B&amp;盘货信息!$C:$C,盘货信息!$K:$K)&lt;1,"",ROUND(_xlfn.XLOOKUP($A4&amp;$B4&amp;$C4,盘货信息!$A:$A&amp;盘货信息!$B:$B&amp;盘货信息!$C:$C,盘货信息!$K:$K),0)&amp;"元预估焕新补贴"))</f>
        <v/>
      </c>
      <c r="L4" s="27" t="str" cm="1">
        <f t="array" ref="L4">IF($C4="","",IF(AND(_xlfn.XLOOKUP($A4&amp;$B4&amp;$C4,盘货信息!$A:$A&amp;盘货信息!$B:$B&amp;盘货信息!$C:$C,盘货信息!$L:$L)="是",_xlfn.XLOOKUP($A4&amp;$B4&amp;$C4,盘货信息!$A:$A&amp;盘货信息!$B:$B&amp;盘货信息!$C:$C,盘货信息!$M:$M)="是",_xlfn.XLOOKUP($A4&amp;$B4&amp;$C4,盘货信息!$A:$A&amp;盘货信息!$B:$B&amp;盘货信息!$C:$C,盘货信息!$K:$K)&gt;0),"【全民可用，不限地址】",IF(AND(OR(_xlfn.XLOOKUP($A4&amp;$B4&amp;$C4,盘货信息!$A:$A&amp;盘货信息!$B:$B&amp;盘货信息!$C:$C,盘货信息!$L:$L)="否",_xlfn.XLOOKUP($A4&amp;$B4&amp;$C4,盘货信息!$A:$A&amp;盘货信息!$B:$B&amp;盘货信息!$C:$C,盘货信息!$L:$L)=""),_xlfn.XLOOKUP($A4&amp;$B4&amp;$C4,盘货信息!$A:$A&amp;盘货信息!$B:$B&amp;盘货信息!$C:$C,盘货信息!$M:$M)="是",_xlfn.XLOOKUP($A4&amp;$B4&amp;$C4,盘货信息!$A:$A&amp;盘货信息!$B:$B&amp;盘货信息!$C:$C,盘货信息!$K:$K)&gt;0),"【详情页领取】","")))</f>
        <v/>
      </c>
      <c r="M4" s="27" t="str" cm="1">
        <f t="array" ref="M4">IF($C4="","",IF(_xlfn.XLOOKUP($A4&amp;$B4&amp;$C4,盘货信息!$A:$A&amp;盘货信息!$B:$B&amp;盘货信息!$C:$C,盘货信息!$F:$F)&lt;1,"",_xlfn.XLOOKUP($A4&amp;$B4&amp;$C4,盘货信息!$A:$A&amp;盘货信息!$B:$B&amp;盘货信息!$C:$C,盘货信息!$F:$F)&amp;"元明卷"))</f>
        <v/>
      </c>
      <c r="N4" s="27" t="str">
        <f t="shared" si="1"/>
        <v/>
      </c>
      <c r="O4" s="27" t="str">
        <f>IF(I4="","","【消费券链接】"&amp;固定信息!$B$6)</f>
        <v/>
      </c>
    </row>
    <row r="5" customHeight="1" spans="1:15">
      <c r="A5" s="26" t="str">
        <f>IF(盘货信息!A5="","",盘货信息!A5)</f>
        <v/>
      </c>
      <c r="B5" s="26" t="str">
        <f>IF(盘货信息!B5="","",盘货信息!B5)</f>
        <v/>
      </c>
      <c r="C5" s="27" t="str">
        <f>IF(盘货信息!C5="","",盘货信息!C5)</f>
        <v/>
      </c>
      <c r="D5" s="27" t="str">
        <f t="shared" si="0"/>
        <v/>
      </c>
      <c r="E5" s="27" t="str" cm="1">
        <f t="array" ref="E5">IF($C5="","",IF(AND(OR(_xlfn.XLOOKUP($A5&amp;$B5&amp;$C5,盘货信息!$A:$A&amp;盘货信息!$B:$B&amp;盘货信息!$C:$C,盘货信息!$L:$L)="否",_xlfn.XLOOKUP($A5&amp;$B5&amp;$C5,盘货信息!$A:$A&amp;盘货信息!$B:$B&amp;盘货信息!$C:$C,盘货信息!$L:$L)=""),_xlfn.XLOOKUP($A5&amp;$B5&amp;$C5,盘货信息!$A:$A&amp;盘货信息!$B:$B&amp;盘货信息!$C:$C,盘货信息!$M:$M)="否"),"【预估到手价"&amp;_xlfn.XLOOKUP($A5&amp;$B5&amp;$C5,盘货信息!$A:$A&amp;盘货信息!$B:$B&amp;盘货信息!$C:$C,盘货信息!$D:$D)&amp;"元】",IF(AND(_xlfn.XLOOKUP($A5&amp;$B5&amp;$C5,盘货信息!$A:$A&amp;盘货信息!$B:$B&amp;盘货信息!$C:$C,盘货信息!$M:$M)="是",OR(_xlfn.XLOOKUP($A5&amp;$B5&amp;$C5,盘货信息!$A:$A&amp;盘货信息!$B:$B&amp;盘货信息!$C:$C,盘货信息!$L:$L)="否",_xlfn.XLOOKUP($A5&amp;$B5&amp;$C5,盘货信息!$A:$A&amp;盘货信息!$B:$B&amp;盘货信息!$C:$C,盘货信息!$L:$L)="")),"【预估到手价"&amp;_xlfn.XLOOKUP($A5&amp;$B5&amp;$C5,盘货信息!$A:$A&amp;盘货信息!$B:$B&amp;盘货信息!$C:$C,盘货信息!$D:$D)&amp;"元】"&amp;CHAR(10)&amp;"【焕新补贴预估价"&amp;ROUND(_xlfn.XLOOKUP($A5&amp;$B5&amp;$C5,盘货信息!$A:$A&amp;盘货信息!$B:$B&amp;盘货信息!$C:$C,盘货信息!$E:$E),0)&amp;"元】","【焕新补贴预估价"&amp;ROUND(_xlfn.XLOOKUP($A5&amp;$B5&amp;$C5,盘货信息!$A:$A&amp;盘货信息!$B:$B&amp;盘货信息!$C:$C,盘货信息!$E:$E),0)&amp;"元】")))</f>
        <v/>
      </c>
      <c r="F5" s="27" t="str" cm="1">
        <f t="array" ref="F5">IF($C5="","",_xlfn.XLOOKUP($A5&amp;$B5&amp;$C5,盘货信息!$A:$A&amp;盘货信息!$B:$B&amp;盘货信息!$C:$C,盘货信息!$D:$D)&amp;"元到手价")</f>
        <v/>
      </c>
      <c r="G5" s="27" t="str" cm="1">
        <f t="array" ref="G5">IF($C5="","",IF(_xlfn.XLOOKUP($A5&amp;$B5&amp;$C5,盘货信息!$A:$A&amp;盘货信息!$B:$B&amp;盘货信息!$C:$C,盘货信息!$G:$G)&lt;1,"",ROUND(_xlfn.XLOOKUP($A5&amp;$B5&amp;$C5,盘货信息!$A:$A&amp;盘货信息!$B:$B&amp;盘货信息!$C:$C,盘货信息!$G:$G),0)&amp;"元88VIP立减"))</f>
        <v/>
      </c>
      <c r="H5" s="27" t="str" cm="1">
        <f t="array" ref="H5">IF($C5="","",IF(_xlfn.XLOOKUP($A5&amp;$B5&amp;$C5,盘货信息!$A:$A&amp;盘货信息!$B:$B&amp;盘货信息!$C:$C,盘货信息!$I:$I)&lt;1,"",_xlfn.XLOOKUP($A5&amp;$B5&amp;$C5,盘货信息!$A:$A&amp;盘货信息!$B:$B&amp;盘货信息!$C:$C,盘货信息!$I:$I)&amp;"元惊喜立减"))</f>
        <v/>
      </c>
      <c r="I5" s="27" t="str" cm="1">
        <f t="array" ref="I5">IF($C5="","",IF(_xlfn.XLOOKUP($A5&amp;$B5&amp;$C5,盘货信息!$A:$A&amp;盘货信息!$B:$B&amp;盘货信息!$C:$C,盘货信息!$H:$H)&lt;1,"",ROUND(_xlfn.XLOOKUP($A5&amp;$B5&amp;$C5,盘货信息!$A:$A&amp;盘货信息!$B:$B&amp;盘货信息!$C:$C,盘货信息!$H:$H),0)&amp;"元消费券"))</f>
        <v/>
      </c>
      <c r="J5" s="27" t="str" cm="1">
        <f t="array" ref="J5">IF($C5="","",IF(_xlfn.XLOOKUP($A5&amp;$B5&amp;$C5,盘货信息!$A:$A&amp;盘货信息!$B:$B&amp;盘货信息!$C:$C,盘货信息!$J:$J)&lt;1,"",ROUND(_xlfn.XLOOKUP($A5&amp;$B5&amp;$C5,盘货信息!$A:$A&amp;盘货信息!$B:$B&amp;盘货信息!$C:$C,盘货信息!$J:$J),0)&amp;"元限时补贴"))</f>
        <v/>
      </c>
      <c r="K5" s="27" t="str" cm="1">
        <f t="array" ref="K5">IF($C5="","",IF(_xlfn.XLOOKUP($A5&amp;$B5&amp;$C5,盘货信息!$A:$A&amp;盘货信息!$B:$B&amp;盘货信息!$C:$C,盘货信息!$K:$K)&lt;1,"",ROUND(_xlfn.XLOOKUP($A5&amp;$B5&amp;$C5,盘货信息!$A:$A&amp;盘货信息!$B:$B&amp;盘货信息!$C:$C,盘货信息!$K:$K),0)&amp;"元预估焕新补贴"))</f>
        <v/>
      </c>
      <c r="L5" s="27" t="str" cm="1">
        <f t="array" ref="L5">IF($C5="","",IF(AND(_xlfn.XLOOKUP($A5&amp;$B5&amp;$C5,盘货信息!$A:$A&amp;盘货信息!$B:$B&amp;盘货信息!$C:$C,盘货信息!$L:$L)="是",_xlfn.XLOOKUP($A5&amp;$B5&amp;$C5,盘货信息!$A:$A&amp;盘货信息!$B:$B&amp;盘货信息!$C:$C,盘货信息!$M:$M)="是",_xlfn.XLOOKUP($A5&amp;$B5&amp;$C5,盘货信息!$A:$A&amp;盘货信息!$B:$B&amp;盘货信息!$C:$C,盘货信息!$K:$K)&gt;0),"【全民可用，不限地址】",IF(AND(OR(_xlfn.XLOOKUP($A5&amp;$B5&amp;$C5,盘货信息!$A:$A&amp;盘货信息!$B:$B&amp;盘货信息!$C:$C,盘货信息!$L:$L)="否",_xlfn.XLOOKUP($A5&amp;$B5&amp;$C5,盘货信息!$A:$A&amp;盘货信息!$B:$B&amp;盘货信息!$C:$C,盘货信息!$L:$L)=""),_xlfn.XLOOKUP($A5&amp;$B5&amp;$C5,盘货信息!$A:$A&amp;盘货信息!$B:$B&amp;盘货信息!$C:$C,盘货信息!$M:$M)="是",_xlfn.XLOOKUP($A5&amp;$B5&amp;$C5,盘货信息!$A:$A&amp;盘货信息!$B:$B&amp;盘货信息!$C:$C,盘货信息!$K:$K)&gt;0),"【详情页领取】","")))</f>
        <v/>
      </c>
      <c r="M5" s="27" t="str" cm="1">
        <f t="array" ref="M5">IF($C5="","",IF(_xlfn.XLOOKUP($A5&amp;$B5&amp;$C5,盘货信息!$A:$A&amp;盘货信息!$B:$B&amp;盘货信息!$C:$C,盘货信息!$F:$F)&lt;1,"",_xlfn.XLOOKUP($A5&amp;$B5&amp;$C5,盘货信息!$A:$A&amp;盘货信息!$B:$B&amp;盘货信息!$C:$C,盘货信息!$F:$F)&amp;"元明卷"))</f>
        <v/>
      </c>
      <c r="N5" s="27" t="str">
        <f t="shared" si="1"/>
        <v/>
      </c>
      <c r="O5" s="27" t="str">
        <f>IF(I5="","","【消费券链接】"&amp;固定信息!$B$6)</f>
        <v/>
      </c>
    </row>
    <row r="6" customHeight="1" spans="1:15">
      <c r="A6" s="26" t="str">
        <f>IF(盘货信息!A6="","",盘货信息!A6)</f>
        <v/>
      </c>
      <c r="B6" s="26" t="str">
        <f>IF(盘货信息!B6="","",盘货信息!B6)</f>
        <v/>
      </c>
      <c r="C6" s="27" t="str">
        <f>IF(盘货信息!C6="","",盘货信息!C6)</f>
        <v/>
      </c>
      <c r="D6" s="27" t="str">
        <f t="shared" si="0"/>
        <v/>
      </c>
      <c r="E6" s="27" t="str" cm="1">
        <f t="array" ref="E6">IF($C6="","",IF(AND(OR(_xlfn.XLOOKUP($A6&amp;$B6&amp;$C6,盘货信息!$A:$A&amp;盘货信息!$B:$B&amp;盘货信息!$C:$C,盘货信息!$L:$L)="否",_xlfn.XLOOKUP($A6&amp;$B6&amp;$C6,盘货信息!$A:$A&amp;盘货信息!$B:$B&amp;盘货信息!$C:$C,盘货信息!$L:$L)=""),_xlfn.XLOOKUP($A6&amp;$B6&amp;$C6,盘货信息!$A:$A&amp;盘货信息!$B:$B&amp;盘货信息!$C:$C,盘货信息!$M:$M)="否"),"【预估到手价"&amp;_xlfn.XLOOKUP($A6&amp;$B6&amp;$C6,盘货信息!$A:$A&amp;盘货信息!$B:$B&amp;盘货信息!$C:$C,盘货信息!$D:$D)&amp;"元】",IF(AND(_xlfn.XLOOKUP($A6&amp;$B6&amp;$C6,盘货信息!$A:$A&amp;盘货信息!$B:$B&amp;盘货信息!$C:$C,盘货信息!$M:$M)="是",OR(_xlfn.XLOOKUP($A6&amp;$B6&amp;$C6,盘货信息!$A:$A&amp;盘货信息!$B:$B&amp;盘货信息!$C:$C,盘货信息!$L:$L)="否",_xlfn.XLOOKUP($A6&amp;$B6&amp;$C6,盘货信息!$A:$A&amp;盘货信息!$B:$B&amp;盘货信息!$C:$C,盘货信息!$L:$L)="")),"【预估到手价"&amp;_xlfn.XLOOKUP($A6&amp;$B6&amp;$C6,盘货信息!$A:$A&amp;盘货信息!$B:$B&amp;盘货信息!$C:$C,盘货信息!$D:$D)&amp;"元】"&amp;CHAR(10)&amp;"【焕新补贴预估价"&amp;ROUND(_xlfn.XLOOKUP($A6&amp;$B6&amp;$C6,盘货信息!$A:$A&amp;盘货信息!$B:$B&amp;盘货信息!$C:$C,盘货信息!$E:$E),0)&amp;"元】","【焕新补贴预估价"&amp;ROUND(_xlfn.XLOOKUP($A6&amp;$B6&amp;$C6,盘货信息!$A:$A&amp;盘货信息!$B:$B&amp;盘货信息!$C:$C,盘货信息!$E:$E),0)&amp;"元】")))</f>
        <v/>
      </c>
      <c r="F6" s="27" t="str" cm="1">
        <f t="array" ref="F6">IF($C6="","",_xlfn.XLOOKUP($A6&amp;$B6&amp;$C6,盘货信息!$A:$A&amp;盘货信息!$B:$B&amp;盘货信息!$C:$C,盘货信息!$D:$D)&amp;"元到手价")</f>
        <v/>
      </c>
      <c r="G6" s="27" t="str" cm="1">
        <f t="array" ref="G6">IF($C6="","",IF(_xlfn.XLOOKUP($A6&amp;$B6&amp;$C6,盘货信息!$A:$A&amp;盘货信息!$B:$B&amp;盘货信息!$C:$C,盘货信息!$G:$G)&lt;1,"",ROUND(_xlfn.XLOOKUP($A6&amp;$B6&amp;$C6,盘货信息!$A:$A&amp;盘货信息!$B:$B&amp;盘货信息!$C:$C,盘货信息!$G:$G),0)&amp;"元88VIP立减"))</f>
        <v/>
      </c>
      <c r="H6" s="27" t="str" cm="1">
        <f t="array" ref="H6">IF($C6="","",IF(_xlfn.XLOOKUP($A6&amp;$B6&amp;$C6,盘货信息!$A:$A&amp;盘货信息!$B:$B&amp;盘货信息!$C:$C,盘货信息!$I:$I)&lt;1,"",_xlfn.XLOOKUP($A6&amp;$B6&amp;$C6,盘货信息!$A:$A&amp;盘货信息!$B:$B&amp;盘货信息!$C:$C,盘货信息!$I:$I)&amp;"元惊喜立减"))</f>
        <v/>
      </c>
      <c r="I6" s="27" t="str" cm="1">
        <f t="array" ref="I6">IF($C6="","",IF(_xlfn.XLOOKUP($A6&amp;$B6&amp;$C6,盘货信息!$A:$A&amp;盘货信息!$B:$B&amp;盘货信息!$C:$C,盘货信息!$H:$H)&lt;1,"",ROUND(_xlfn.XLOOKUP($A6&amp;$B6&amp;$C6,盘货信息!$A:$A&amp;盘货信息!$B:$B&amp;盘货信息!$C:$C,盘货信息!$H:$H),0)&amp;"元消费券"))</f>
        <v/>
      </c>
      <c r="J6" s="27" t="str" cm="1">
        <f t="array" ref="J6">IF($C6="","",IF(_xlfn.XLOOKUP($A6&amp;$B6&amp;$C6,盘货信息!$A:$A&amp;盘货信息!$B:$B&amp;盘货信息!$C:$C,盘货信息!$J:$J)&lt;1,"",ROUND(_xlfn.XLOOKUP($A6&amp;$B6&amp;$C6,盘货信息!$A:$A&amp;盘货信息!$B:$B&amp;盘货信息!$C:$C,盘货信息!$J:$J),0)&amp;"元限时补贴"))</f>
        <v/>
      </c>
      <c r="K6" s="27" t="str" cm="1">
        <f t="array" ref="K6">IF($C6="","",IF(_xlfn.XLOOKUP($A6&amp;$B6&amp;$C6,盘货信息!$A:$A&amp;盘货信息!$B:$B&amp;盘货信息!$C:$C,盘货信息!$K:$K)&lt;1,"",ROUND(_xlfn.XLOOKUP($A6&amp;$B6&amp;$C6,盘货信息!$A:$A&amp;盘货信息!$B:$B&amp;盘货信息!$C:$C,盘货信息!$K:$K),0)&amp;"元预估焕新补贴"))</f>
        <v/>
      </c>
      <c r="L6" s="27" t="str" cm="1">
        <f t="array" ref="L6">IF($C6="","",IF(AND(_xlfn.XLOOKUP($A6&amp;$B6&amp;$C6,盘货信息!$A:$A&amp;盘货信息!$B:$B&amp;盘货信息!$C:$C,盘货信息!$L:$L)="是",_xlfn.XLOOKUP($A6&amp;$B6&amp;$C6,盘货信息!$A:$A&amp;盘货信息!$B:$B&amp;盘货信息!$C:$C,盘货信息!$M:$M)="是",_xlfn.XLOOKUP($A6&amp;$B6&amp;$C6,盘货信息!$A:$A&amp;盘货信息!$B:$B&amp;盘货信息!$C:$C,盘货信息!$K:$K)&gt;0),"【全民可用，不限地址】",IF(AND(OR(_xlfn.XLOOKUP($A6&amp;$B6&amp;$C6,盘货信息!$A:$A&amp;盘货信息!$B:$B&amp;盘货信息!$C:$C,盘货信息!$L:$L)="否",_xlfn.XLOOKUP($A6&amp;$B6&amp;$C6,盘货信息!$A:$A&amp;盘货信息!$B:$B&amp;盘货信息!$C:$C,盘货信息!$L:$L)=""),_xlfn.XLOOKUP($A6&amp;$B6&amp;$C6,盘货信息!$A:$A&amp;盘货信息!$B:$B&amp;盘货信息!$C:$C,盘货信息!$M:$M)="是",_xlfn.XLOOKUP($A6&amp;$B6&amp;$C6,盘货信息!$A:$A&amp;盘货信息!$B:$B&amp;盘货信息!$C:$C,盘货信息!$K:$K)&gt;0),"【详情页领取】","")))</f>
        <v/>
      </c>
      <c r="M6" s="27" t="str" cm="1">
        <f t="array" ref="M6">IF($C6="","",IF(_xlfn.XLOOKUP($A6&amp;$B6&amp;$C6,盘货信息!$A:$A&amp;盘货信息!$B:$B&amp;盘货信息!$C:$C,盘货信息!$F:$F)&lt;1,"",_xlfn.XLOOKUP($A6&amp;$B6&amp;$C6,盘货信息!$A:$A&amp;盘货信息!$B:$B&amp;盘货信息!$C:$C,盘货信息!$F:$F)&amp;"元明卷"))</f>
        <v/>
      </c>
      <c r="N6" s="27" t="str">
        <f t="shared" si="1"/>
        <v/>
      </c>
      <c r="O6" s="27" t="str">
        <f>IF(I6="","","【消费券链接】"&amp;固定信息!$B$6)</f>
        <v/>
      </c>
    </row>
    <row r="7" customHeight="1" spans="1:15">
      <c r="A7" s="26" t="str">
        <f>IF(盘货信息!A7="","",盘货信息!A7)</f>
        <v/>
      </c>
      <c r="B7" s="26" t="str">
        <f>IF(盘货信息!B7="","",盘货信息!B7)</f>
        <v/>
      </c>
      <c r="C7" s="27" t="str">
        <f>IF(盘货信息!C7="","",盘货信息!C7)</f>
        <v/>
      </c>
      <c r="D7" s="27" t="str">
        <f t="shared" si="0"/>
        <v/>
      </c>
      <c r="E7" s="27" t="str" cm="1">
        <f t="array" ref="E7">IF($C7="","",IF(AND(OR(_xlfn.XLOOKUP($A7&amp;$B7&amp;$C7,盘货信息!$A:$A&amp;盘货信息!$B:$B&amp;盘货信息!$C:$C,盘货信息!$L:$L)="否",_xlfn.XLOOKUP($A7&amp;$B7&amp;$C7,盘货信息!$A:$A&amp;盘货信息!$B:$B&amp;盘货信息!$C:$C,盘货信息!$L:$L)=""),_xlfn.XLOOKUP($A7&amp;$B7&amp;$C7,盘货信息!$A:$A&amp;盘货信息!$B:$B&amp;盘货信息!$C:$C,盘货信息!$M:$M)="否"),"【预估到手价"&amp;_xlfn.XLOOKUP($A7&amp;$B7&amp;$C7,盘货信息!$A:$A&amp;盘货信息!$B:$B&amp;盘货信息!$C:$C,盘货信息!$D:$D)&amp;"元】",IF(AND(_xlfn.XLOOKUP($A7&amp;$B7&amp;$C7,盘货信息!$A:$A&amp;盘货信息!$B:$B&amp;盘货信息!$C:$C,盘货信息!$M:$M)="是",OR(_xlfn.XLOOKUP($A7&amp;$B7&amp;$C7,盘货信息!$A:$A&amp;盘货信息!$B:$B&amp;盘货信息!$C:$C,盘货信息!$L:$L)="否",_xlfn.XLOOKUP($A7&amp;$B7&amp;$C7,盘货信息!$A:$A&amp;盘货信息!$B:$B&amp;盘货信息!$C:$C,盘货信息!$L:$L)="")),"【预估到手价"&amp;_xlfn.XLOOKUP($A7&amp;$B7&amp;$C7,盘货信息!$A:$A&amp;盘货信息!$B:$B&amp;盘货信息!$C:$C,盘货信息!$D:$D)&amp;"元】"&amp;CHAR(10)&amp;"【焕新补贴预估价"&amp;ROUND(_xlfn.XLOOKUP($A7&amp;$B7&amp;$C7,盘货信息!$A:$A&amp;盘货信息!$B:$B&amp;盘货信息!$C:$C,盘货信息!$E:$E),0)&amp;"元】","【焕新补贴预估价"&amp;ROUND(_xlfn.XLOOKUP($A7&amp;$B7&amp;$C7,盘货信息!$A:$A&amp;盘货信息!$B:$B&amp;盘货信息!$C:$C,盘货信息!$E:$E),0)&amp;"元】")))</f>
        <v/>
      </c>
      <c r="F7" s="27" t="str" cm="1">
        <f t="array" ref="F7">IF($C7="","",_xlfn.XLOOKUP($A7&amp;$B7&amp;$C7,盘货信息!$A:$A&amp;盘货信息!$B:$B&amp;盘货信息!$C:$C,盘货信息!$D:$D)&amp;"元到手价")</f>
        <v/>
      </c>
      <c r="G7" s="27" t="str" cm="1">
        <f t="array" ref="G7">IF($C7="","",IF(_xlfn.XLOOKUP($A7&amp;$B7&amp;$C7,盘货信息!$A:$A&amp;盘货信息!$B:$B&amp;盘货信息!$C:$C,盘货信息!$G:$G)&lt;1,"",ROUND(_xlfn.XLOOKUP($A7&amp;$B7&amp;$C7,盘货信息!$A:$A&amp;盘货信息!$B:$B&amp;盘货信息!$C:$C,盘货信息!$G:$G),0)&amp;"元88VIP立减"))</f>
        <v/>
      </c>
      <c r="H7" s="27" t="str" cm="1">
        <f t="array" ref="H7">IF($C7="","",IF(_xlfn.XLOOKUP($A7&amp;$B7&amp;$C7,盘货信息!$A:$A&amp;盘货信息!$B:$B&amp;盘货信息!$C:$C,盘货信息!$I:$I)&lt;1,"",_xlfn.XLOOKUP($A7&amp;$B7&amp;$C7,盘货信息!$A:$A&amp;盘货信息!$B:$B&amp;盘货信息!$C:$C,盘货信息!$I:$I)&amp;"元惊喜立减"))</f>
        <v/>
      </c>
      <c r="I7" s="27" t="str" cm="1">
        <f t="array" ref="I7">IF($C7="","",IF(_xlfn.XLOOKUP($A7&amp;$B7&amp;$C7,盘货信息!$A:$A&amp;盘货信息!$B:$B&amp;盘货信息!$C:$C,盘货信息!$H:$H)&lt;1,"",ROUND(_xlfn.XLOOKUP($A7&amp;$B7&amp;$C7,盘货信息!$A:$A&amp;盘货信息!$B:$B&amp;盘货信息!$C:$C,盘货信息!$H:$H),0)&amp;"元消费券"))</f>
        <v/>
      </c>
      <c r="J7" s="27" t="str" cm="1">
        <f t="array" ref="J7">IF($C7="","",IF(_xlfn.XLOOKUP($A7&amp;$B7&amp;$C7,盘货信息!$A:$A&amp;盘货信息!$B:$B&amp;盘货信息!$C:$C,盘货信息!$J:$J)&lt;1,"",ROUND(_xlfn.XLOOKUP($A7&amp;$B7&amp;$C7,盘货信息!$A:$A&amp;盘货信息!$B:$B&amp;盘货信息!$C:$C,盘货信息!$J:$J),0)&amp;"元限时补贴"))</f>
        <v/>
      </c>
      <c r="K7" s="27" t="str" cm="1">
        <f t="array" ref="K7">IF($C7="","",IF(_xlfn.XLOOKUP($A7&amp;$B7&amp;$C7,盘货信息!$A:$A&amp;盘货信息!$B:$B&amp;盘货信息!$C:$C,盘货信息!$K:$K)&lt;1,"",ROUND(_xlfn.XLOOKUP($A7&amp;$B7&amp;$C7,盘货信息!$A:$A&amp;盘货信息!$B:$B&amp;盘货信息!$C:$C,盘货信息!$K:$K),0)&amp;"元预估焕新补贴"))</f>
        <v/>
      </c>
      <c r="L7" s="27" t="str" cm="1">
        <f t="array" ref="L7">IF($C7="","",IF(AND(_xlfn.XLOOKUP($A7&amp;$B7&amp;$C7,盘货信息!$A:$A&amp;盘货信息!$B:$B&amp;盘货信息!$C:$C,盘货信息!$L:$L)="是",_xlfn.XLOOKUP($A7&amp;$B7&amp;$C7,盘货信息!$A:$A&amp;盘货信息!$B:$B&amp;盘货信息!$C:$C,盘货信息!$M:$M)="是",_xlfn.XLOOKUP($A7&amp;$B7&amp;$C7,盘货信息!$A:$A&amp;盘货信息!$B:$B&amp;盘货信息!$C:$C,盘货信息!$K:$K)&gt;0),"【全民可用，不限地址】",IF(AND(OR(_xlfn.XLOOKUP($A7&amp;$B7&amp;$C7,盘货信息!$A:$A&amp;盘货信息!$B:$B&amp;盘货信息!$C:$C,盘货信息!$L:$L)="否",_xlfn.XLOOKUP($A7&amp;$B7&amp;$C7,盘货信息!$A:$A&amp;盘货信息!$B:$B&amp;盘货信息!$C:$C,盘货信息!$L:$L)=""),_xlfn.XLOOKUP($A7&amp;$B7&amp;$C7,盘货信息!$A:$A&amp;盘货信息!$B:$B&amp;盘货信息!$C:$C,盘货信息!$M:$M)="是",_xlfn.XLOOKUP($A7&amp;$B7&amp;$C7,盘货信息!$A:$A&amp;盘货信息!$B:$B&amp;盘货信息!$C:$C,盘货信息!$K:$K)&gt;0),"【详情页领取】","")))</f>
        <v/>
      </c>
      <c r="M7" s="27" t="str" cm="1">
        <f t="array" ref="M7">IF($C7="","",IF(_xlfn.XLOOKUP($A7&amp;$B7&amp;$C7,盘货信息!$A:$A&amp;盘货信息!$B:$B&amp;盘货信息!$C:$C,盘货信息!$F:$F)&lt;1,"",_xlfn.XLOOKUP($A7&amp;$B7&amp;$C7,盘货信息!$A:$A&amp;盘货信息!$B:$B&amp;盘货信息!$C:$C,盘货信息!$F:$F)&amp;"元明卷"))</f>
        <v/>
      </c>
      <c r="N7" s="27" t="str">
        <f t="shared" si="1"/>
        <v/>
      </c>
      <c r="O7" s="27" t="str">
        <f>IF(I7="","","【消费券链接】"&amp;固定信息!$B$6)</f>
        <v/>
      </c>
    </row>
    <row r="8" customHeight="1" spans="1:15">
      <c r="A8" s="26" t="str">
        <f>IF(盘货信息!A8="","",盘货信息!A8)</f>
        <v/>
      </c>
      <c r="B8" s="26" t="str">
        <f>IF(盘货信息!B8="","",盘货信息!B8)</f>
        <v/>
      </c>
      <c r="C8" s="27" t="str">
        <f>IF(盘货信息!C8="","",盘货信息!C8)</f>
        <v/>
      </c>
      <c r="D8" s="27" t="str">
        <f t="shared" si="0"/>
        <v/>
      </c>
      <c r="E8" s="27" t="str" cm="1">
        <f t="array" ref="E8">IF($C8="","",IF(AND(OR(_xlfn.XLOOKUP($A8&amp;$B8&amp;$C8,盘货信息!$A:$A&amp;盘货信息!$B:$B&amp;盘货信息!$C:$C,盘货信息!$L:$L)="否",_xlfn.XLOOKUP($A8&amp;$B8&amp;$C8,盘货信息!$A:$A&amp;盘货信息!$B:$B&amp;盘货信息!$C:$C,盘货信息!$L:$L)=""),_xlfn.XLOOKUP($A8&amp;$B8&amp;$C8,盘货信息!$A:$A&amp;盘货信息!$B:$B&amp;盘货信息!$C:$C,盘货信息!$M:$M)="否"),"【预估到手价"&amp;_xlfn.XLOOKUP($A8&amp;$B8&amp;$C8,盘货信息!$A:$A&amp;盘货信息!$B:$B&amp;盘货信息!$C:$C,盘货信息!$D:$D)&amp;"元】",IF(AND(_xlfn.XLOOKUP($A8&amp;$B8&amp;$C8,盘货信息!$A:$A&amp;盘货信息!$B:$B&amp;盘货信息!$C:$C,盘货信息!$M:$M)="是",OR(_xlfn.XLOOKUP($A8&amp;$B8&amp;$C8,盘货信息!$A:$A&amp;盘货信息!$B:$B&amp;盘货信息!$C:$C,盘货信息!$L:$L)="否",_xlfn.XLOOKUP($A8&amp;$B8&amp;$C8,盘货信息!$A:$A&amp;盘货信息!$B:$B&amp;盘货信息!$C:$C,盘货信息!$L:$L)="")),"【预估到手价"&amp;_xlfn.XLOOKUP($A8&amp;$B8&amp;$C8,盘货信息!$A:$A&amp;盘货信息!$B:$B&amp;盘货信息!$C:$C,盘货信息!$D:$D)&amp;"元】"&amp;CHAR(10)&amp;"【焕新补贴预估价"&amp;ROUND(_xlfn.XLOOKUP($A8&amp;$B8&amp;$C8,盘货信息!$A:$A&amp;盘货信息!$B:$B&amp;盘货信息!$C:$C,盘货信息!$E:$E),0)&amp;"元】","【焕新补贴预估价"&amp;ROUND(_xlfn.XLOOKUP($A8&amp;$B8&amp;$C8,盘货信息!$A:$A&amp;盘货信息!$B:$B&amp;盘货信息!$C:$C,盘货信息!$E:$E),0)&amp;"元】")))</f>
        <v/>
      </c>
      <c r="F8" s="27" t="str" cm="1">
        <f t="array" ref="F8">IF($C8="","",_xlfn.XLOOKUP($A8&amp;$B8&amp;$C8,盘货信息!$A:$A&amp;盘货信息!$B:$B&amp;盘货信息!$C:$C,盘货信息!$D:$D)&amp;"元到手价")</f>
        <v/>
      </c>
      <c r="G8" s="27" t="str" cm="1">
        <f t="array" ref="G8">IF($C8="","",IF(_xlfn.XLOOKUP($A8&amp;$B8&amp;$C8,盘货信息!$A:$A&amp;盘货信息!$B:$B&amp;盘货信息!$C:$C,盘货信息!$G:$G)&lt;1,"",ROUND(_xlfn.XLOOKUP($A8&amp;$B8&amp;$C8,盘货信息!$A:$A&amp;盘货信息!$B:$B&amp;盘货信息!$C:$C,盘货信息!$G:$G),0)&amp;"元88VIP立减"))</f>
        <v/>
      </c>
      <c r="H8" s="27" t="str" cm="1">
        <f t="array" ref="H8">IF($C8="","",IF(_xlfn.XLOOKUP($A8&amp;$B8&amp;$C8,盘货信息!$A:$A&amp;盘货信息!$B:$B&amp;盘货信息!$C:$C,盘货信息!$I:$I)&lt;1,"",_xlfn.XLOOKUP($A8&amp;$B8&amp;$C8,盘货信息!$A:$A&amp;盘货信息!$B:$B&amp;盘货信息!$C:$C,盘货信息!$I:$I)&amp;"元惊喜立减"))</f>
        <v/>
      </c>
      <c r="I8" s="27" t="str" cm="1">
        <f t="array" ref="I8">IF($C8="","",IF(_xlfn.XLOOKUP($A8&amp;$B8&amp;$C8,盘货信息!$A:$A&amp;盘货信息!$B:$B&amp;盘货信息!$C:$C,盘货信息!$H:$H)&lt;1,"",ROUND(_xlfn.XLOOKUP($A8&amp;$B8&amp;$C8,盘货信息!$A:$A&amp;盘货信息!$B:$B&amp;盘货信息!$C:$C,盘货信息!$H:$H),0)&amp;"元消费券"))</f>
        <v/>
      </c>
      <c r="J8" s="27" t="str" cm="1">
        <f t="array" ref="J8">IF($C8="","",IF(_xlfn.XLOOKUP($A8&amp;$B8&amp;$C8,盘货信息!$A:$A&amp;盘货信息!$B:$B&amp;盘货信息!$C:$C,盘货信息!$J:$J)&lt;1,"",ROUND(_xlfn.XLOOKUP($A8&amp;$B8&amp;$C8,盘货信息!$A:$A&amp;盘货信息!$B:$B&amp;盘货信息!$C:$C,盘货信息!$J:$J),0)&amp;"元限时补贴"))</f>
        <v/>
      </c>
      <c r="K8" s="27" t="str" cm="1">
        <f t="array" ref="K8">IF($C8="","",IF(_xlfn.XLOOKUP($A8&amp;$B8&amp;$C8,盘货信息!$A:$A&amp;盘货信息!$B:$B&amp;盘货信息!$C:$C,盘货信息!$K:$K)&lt;1,"",ROUND(_xlfn.XLOOKUP($A8&amp;$B8&amp;$C8,盘货信息!$A:$A&amp;盘货信息!$B:$B&amp;盘货信息!$C:$C,盘货信息!$K:$K),0)&amp;"元预估焕新补贴"))</f>
        <v/>
      </c>
      <c r="L8" s="27" t="str" cm="1">
        <f t="array" ref="L8">IF($C8="","",IF(AND(_xlfn.XLOOKUP($A8&amp;$B8&amp;$C8,盘货信息!$A:$A&amp;盘货信息!$B:$B&amp;盘货信息!$C:$C,盘货信息!$L:$L)="是",_xlfn.XLOOKUP($A8&amp;$B8&amp;$C8,盘货信息!$A:$A&amp;盘货信息!$B:$B&amp;盘货信息!$C:$C,盘货信息!$M:$M)="是",_xlfn.XLOOKUP($A8&amp;$B8&amp;$C8,盘货信息!$A:$A&amp;盘货信息!$B:$B&amp;盘货信息!$C:$C,盘货信息!$K:$K)&gt;0),"【全民可用，不限地址】",IF(AND(OR(_xlfn.XLOOKUP($A8&amp;$B8&amp;$C8,盘货信息!$A:$A&amp;盘货信息!$B:$B&amp;盘货信息!$C:$C,盘货信息!$L:$L)="否",_xlfn.XLOOKUP($A8&amp;$B8&amp;$C8,盘货信息!$A:$A&amp;盘货信息!$B:$B&amp;盘货信息!$C:$C,盘货信息!$L:$L)=""),_xlfn.XLOOKUP($A8&amp;$B8&amp;$C8,盘货信息!$A:$A&amp;盘货信息!$B:$B&amp;盘货信息!$C:$C,盘货信息!$M:$M)="是",_xlfn.XLOOKUP($A8&amp;$B8&amp;$C8,盘货信息!$A:$A&amp;盘货信息!$B:$B&amp;盘货信息!$C:$C,盘货信息!$K:$K)&gt;0),"【详情页领取】","")))</f>
        <v/>
      </c>
      <c r="M8" s="27" t="str" cm="1">
        <f t="array" ref="M8">IF($C8="","",IF(_xlfn.XLOOKUP($A8&amp;$B8&amp;$C8,盘货信息!$A:$A&amp;盘货信息!$B:$B&amp;盘货信息!$C:$C,盘货信息!$F:$F)&lt;1,"",_xlfn.XLOOKUP($A8&amp;$B8&amp;$C8,盘货信息!$A:$A&amp;盘货信息!$B:$B&amp;盘货信息!$C:$C,盘货信息!$F:$F)&amp;"元明卷"))</f>
        <v/>
      </c>
      <c r="N8" s="27" t="str">
        <f t="shared" si="1"/>
        <v/>
      </c>
      <c r="O8" s="27" t="str">
        <f>IF(I8="","","【消费券链接】"&amp;固定信息!$B$6)</f>
        <v/>
      </c>
    </row>
    <row r="9" customHeight="1" spans="1:15">
      <c r="A9" s="26" t="str">
        <f>IF(盘货信息!A9="","",盘货信息!A9)</f>
        <v/>
      </c>
      <c r="B9" s="26" t="str">
        <f>IF(盘货信息!B9="","",盘货信息!B9)</f>
        <v/>
      </c>
      <c r="C9" s="27" t="str">
        <f>IF(盘货信息!C9="","",盘货信息!C9)</f>
        <v/>
      </c>
      <c r="D9" s="27" t="str">
        <f t="shared" si="0"/>
        <v/>
      </c>
      <c r="E9" s="27" t="str" cm="1">
        <f t="array" ref="E9">IF($C9="","",IF(AND(OR(_xlfn.XLOOKUP($A9&amp;$B9&amp;$C9,盘货信息!$A:$A&amp;盘货信息!$B:$B&amp;盘货信息!$C:$C,盘货信息!$L:$L)="否",_xlfn.XLOOKUP($A9&amp;$B9&amp;$C9,盘货信息!$A:$A&amp;盘货信息!$B:$B&amp;盘货信息!$C:$C,盘货信息!$L:$L)=""),_xlfn.XLOOKUP($A9&amp;$B9&amp;$C9,盘货信息!$A:$A&amp;盘货信息!$B:$B&amp;盘货信息!$C:$C,盘货信息!$M:$M)="否"),"【预估到手价"&amp;_xlfn.XLOOKUP($A9&amp;$B9&amp;$C9,盘货信息!$A:$A&amp;盘货信息!$B:$B&amp;盘货信息!$C:$C,盘货信息!$D:$D)&amp;"元】",IF(AND(_xlfn.XLOOKUP($A9&amp;$B9&amp;$C9,盘货信息!$A:$A&amp;盘货信息!$B:$B&amp;盘货信息!$C:$C,盘货信息!$M:$M)="是",OR(_xlfn.XLOOKUP($A9&amp;$B9&amp;$C9,盘货信息!$A:$A&amp;盘货信息!$B:$B&amp;盘货信息!$C:$C,盘货信息!$L:$L)="否",_xlfn.XLOOKUP($A9&amp;$B9&amp;$C9,盘货信息!$A:$A&amp;盘货信息!$B:$B&amp;盘货信息!$C:$C,盘货信息!$L:$L)="")),"【预估到手价"&amp;_xlfn.XLOOKUP($A9&amp;$B9&amp;$C9,盘货信息!$A:$A&amp;盘货信息!$B:$B&amp;盘货信息!$C:$C,盘货信息!$D:$D)&amp;"元】"&amp;CHAR(10)&amp;"【焕新补贴预估价"&amp;ROUND(_xlfn.XLOOKUP($A9&amp;$B9&amp;$C9,盘货信息!$A:$A&amp;盘货信息!$B:$B&amp;盘货信息!$C:$C,盘货信息!$E:$E),0)&amp;"元】","【焕新补贴预估价"&amp;ROUND(_xlfn.XLOOKUP($A9&amp;$B9&amp;$C9,盘货信息!$A:$A&amp;盘货信息!$B:$B&amp;盘货信息!$C:$C,盘货信息!$E:$E),0)&amp;"元】")))</f>
        <v/>
      </c>
      <c r="F9" s="27" t="str" cm="1">
        <f t="array" ref="F9">IF($C9="","",_xlfn.XLOOKUP($A9&amp;$B9&amp;$C9,盘货信息!$A:$A&amp;盘货信息!$B:$B&amp;盘货信息!$C:$C,盘货信息!$D:$D)&amp;"元到手价")</f>
        <v/>
      </c>
      <c r="G9" s="27" t="str" cm="1">
        <f t="array" ref="G9">IF($C9="","",IF(_xlfn.XLOOKUP($A9&amp;$B9&amp;$C9,盘货信息!$A:$A&amp;盘货信息!$B:$B&amp;盘货信息!$C:$C,盘货信息!$G:$G)&lt;1,"",ROUND(_xlfn.XLOOKUP($A9&amp;$B9&amp;$C9,盘货信息!$A:$A&amp;盘货信息!$B:$B&amp;盘货信息!$C:$C,盘货信息!$G:$G),0)&amp;"元88VIP立减"))</f>
        <v/>
      </c>
      <c r="H9" s="27" t="str" cm="1">
        <f t="array" ref="H9">IF($C9="","",IF(_xlfn.XLOOKUP($A9&amp;$B9&amp;$C9,盘货信息!$A:$A&amp;盘货信息!$B:$B&amp;盘货信息!$C:$C,盘货信息!$I:$I)&lt;1,"",_xlfn.XLOOKUP($A9&amp;$B9&amp;$C9,盘货信息!$A:$A&amp;盘货信息!$B:$B&amp;盘货信息!$C:$C,盘货信息!$I:$I)&amp;"元惊喜立减"))</f>
        <v/>
      </c>
      <c r="I9" s="27" t="str" cm="1">
        <f t="array" ref="I9">IF($C9="","",IF(_xlfn.XLOOKUP($A9&amp;$B9&amp;$C9,盘货信息!$A:$A&amp;盘货信息!$B:$B&amp;盘货信息!$C:$C,盘货信息!$H:$H)&lt;1,"",ROUND(_xlfn.XLOOKUP($A9&amp;$B9&amp;$C9,盘货信息!$A:$A&amp;盘货信息!$B:$B&amp;盘货信息!$C:$C,盘货信息!$H:$H),0)&amp;"元消费券"))</f>
        <v/>
      </c>
      <c r="J9" s="27" t="str" cm="1">
        <f t="array" ref="J9">IF($C9="","",IF(_xlfn.XLOOKUP($A9&amp;$B9&amp;$C9,盘货信息!$A:$A&amp;盘货信息!$B:$B&amp;盘货信息!$C:$C,盘货信息!$J:$J)&lt;1,"",ROUND(_xlfn.XLOOKUP($A9&amp;$B9&amp;$C9,盘货信息!$A:$A&amp;盘货信息!$B:$B&amp;盘货信息!$C:$C,盘货信息!$J:$J),0)&amp;"元限时补贴"))</f>
        <v/>
      </c>
      <c r="K9" s="27" t="str" cm="1">
        <f t="array" ref="K9">IF($C9="","",IF(_xlfn.XLOOKUP($A9&amp;$B9&amp;$C9,盘货信息!$A:$A&amp;盘货信息!$B:$B&amp;盘货信息!$C:$C,盘货信息!$K:$K)&lt;1,"",ROUND(_xlfn.XLOOKUP($A9&amp;$B9&amp;$C9,盘货信息!$A:$A&amp;盘货信息!$B:$B&amp;盘货信息!$C:$C,盘货信息!$K:$K),0)&amp;"元预估焕新补贴"))</f>
        <v/>
      </c>
      <c r="L9" s="27" t="str" cm="1">
        <f t="array" ref="L9">IF($C9="","",IF(AND(_xlfn.XLOOKUP($A9&amp;$B9&amp;$C9,盘货信息!$A:$A&amp;盘货信息!$B:$B&amp;盘货信息!$C:$C,盘货信息!$L:$L)="是",_xlfn.XLOOKUP($A9&amp;$B9&amp;$C9,盘货信息!$A:$A&amp;盘货信息!$B:$B&amp;盘货信息!$C:$C,盘货信息!$M:$M)="是",_xlfn.XLOOKUP($A9&amp;$B9&amp;$C9,盘货信息!$A:$A&amp;盘货信息!$B:$B&amp;盘货信息!$C:$C,盘货信息!$K:$K)&gt;0),"【全民可用，不限地址】",IF(AND(OR(_xlfn.XLOOKUP($A9&amp;$B9&amp;$C9,盘货信息!$A:$A&amp;盘货信息!$B:$B&amp;盘货信息!$C:$C,盘货信息!$L:$L)="否",_xlfn.XLOOKUP($A9&amp;$B9&amp;$C9,盘货信息!$A:$A&amp;盘货信息!$B:$B&amp;盘货信息!$C:$C,盘货信息!$L:$L)=""),_xlfn.XLOOKUP($A9&amp;$B9&amp;$C9,盘货信息!$A:$A&amp;盘货信息!$B:$B&amp;盘货信息!$C:$C,盘货信息!$M:$M)="是",_xlfn.XLOOKUP($A9&amp;$B9&amp;$C9,盘货信息!$A:$A&amp;盘货信息!$B:$B&amp;盘货信息!$C:$C,盘货信息!$K:$K)&gt;0),"【详情页领取】","")))</f>
        <v/>
      </c>
      <c r="M9" s="27" t="str" cm="1">
        <f t="array" ref="M9">IF($C9="","",IF(_xlfn.XLOOKUP($A9&amp;$B9&amp;$C9,盘货信息!$A:$A&amp;盘货信息!$B:$B&amp;盘货信息!$C:$C,盘货信息!$F:$F)&lt;1,"",_xlfn.XLOOKUP($A9&amp;$B9&amp;$C9,盘货信息!$A:$A&amp;盘货信息!$B:$B&amp;盘货信息!$C:$C,盘货信息!$F:$F)&amp;"元明卷"))</f>
        <v/>
      </c>
      <c r="N9" s="27" t="str">
        <f t="shared" si="1"/>
        <v/>
      </c>
      <c r="O9" s="27" t="str">
        <f>IF(I9="","","【消费券链接】"&amp;固定信息!$B$6)</f>
        <v/>
      </c>
    </row>
    <row r="10" customHeight="1" spans="1:15">
      <c r="A10" s="26" t="str">
        <f>IF(盘货信息!A10="","",盘货信息!A10)</f>
        <v/>
      </c>
      <c r="B10" s="26" t="str">
        <f>IF(盘货信息!B10="","",盘货信息!B10)</f>
        <v/>
      </c>
      <c r="C10" s="27" t="str">
        <f>IF(盘货信息!C10="","",盘货信息!C10)</f>
        <v/>
      </c>
      <c r="D10" s="27" t="str">
        <f t="shared" si="0"/>
        <v/>
      </c>
      <c r="E10" s="27" t="str" cm="1">
        <f t="array" ref="E10">IF($C10="","",IF(AND(OR(_xlfn.XLOOKUP($A10&amp;$B10&amp;$C10,盘货信息!$A:$A&amp;盘货信息!$B:$B&amp;盘货信息!$C:$C,盘货信息!$L:$L)="否",_xlfn.XLOOKUP($A10&amp;$B10&amp;$C10,盘货信息!$A:$A&amp;盘货信息!$B:$B&amp;盘货信息!$C:$C,盘货信息!$L:$L)=""),_xlfn.XLOOKUP($A10&amp;$B10&amp;$C10,盘货信息!$A:$A&amp;盘货信息!$B:$B&amp;盘货信息!$C:$C,盘货信息!$M:$M)="否"),"【预估到手价"&amp;_xlfn.XLOOKUP($A10&amp;$B10&amp;$C10,盘货信息!$A:$A&amp;盘货信息!$B:$B&amp;盘货信息!$C:$C,盘货信息!$D:$D)&amp;"元】",IF(AND(_xlfn.XLOOKUP($A10&amp;$B10&amp;$C10,盘货信息!$A:$A&amp;盘货信息!$B:$B&amp;盘货信息!$C:$C,盘货信息!$M:$M)="是",OR(_xlfn.XLOOKUP($A10&amp;$B10&amp;$C10,盘货信息!$A:$A&amp;盘货信息!$B:$B&amp;盘货信息!$C:$C,盘货信息!$L:$L)="否",_xlfn.XLOOKUP($A10&amp;$B10&amp;$C10,盘货信息!$A:$A&amp;盘货信息!$B:$B&amp;盘货信息!$C:$C,盘货信息!$L:$L)="")),"【预估到手价"&amp;_xlfn.XLOOKUP($A10&amp;$B10&amp;$C10,盘货信息!$A:$A&amp;盘货信息!$B:$B&amp;盘货信息!$C:$C,盘货信息!$D:$D)&amp;"元】"&amp;CHAR(10)&amp;"【焕新补贴预估价"&amp;ROUND(_xlfn.XLOOKUP($A10&amp;$B10&amp;$C10,盘货信息!$A:$A&amp;盘货信息!$B:$B&amp;盘货信息!$C:$C,盘货信息!$E:$E),0)&amp;"元】","【焕新补贴预估价"&amp;ROUND(_xlfn.XLOOKUP($A10&amp;$B10&amp;$C10,盘货信息!$A:$A&amp;盘货信息!$B:$B&amp;盘货信息!$C:$C,盘货信息!$E:$E),0)&amp;"元】")))</f>
        <v/>
      </c>
      <c r="F10" s="27" t="str" cm="1">
        <f t="array" ref="F10">IF($C10="","",_xlfn.XLOOKUP($A10&amp;$B10&amp;$C10,盘货信息!$A:$A&amp;盘货信息!$B:$B&amp;盘货信息!$C:$C,盘货信息!$D:$D)&amp;"元到手价")</f>
        <v/>
      </c>
      <c r="G10" s="27" t="str" cm="1">
        <f t="array" ref="G10">IF($C10="","",IF(_xlfn.XLOOKUP($A10&amp;$B10&amp;$C10,盘货信息!$A:$A&amp;盘货信息!$B:$B&amp;盘货信息!$C:$C,盘货信息!$G:$G)&lt;1,"",ROUND(_xlfn.XLOOKUP($A10&amp;$B10&amp;$C10,盘货信息!$A:$A&amp;盘货信息!$B:$B&amp;盘货信息!$C:$C,盘货信息!$G:$G),0)&amp;"元88VIP立减"))</f>
        <v/>
      </c>
      <c r="H10" s="27" t="str" cm="1">
        <f t="array" ref="H10">IF($C10="","",IF(_xlfn.XLOOKUP($A10&amp;$B10&amp;$C10,盘货信息!$A:$A&amp;盘货信息!$B:$B&amp;盘货信息!$C:$C,盘货信息!$I:$I)&lt;1,"",_xlfn.XLOOKUP($A10&amp;$B10&amp;$C10,盘货信息!$A:$A&amp;盘货信息!$B:$B&amp;盘货信息!$C:$C,盘货信息!$I:$I)&amp;"元惊喜立减"))</f>
        <v/>
      </c>
      <c r="I10" s="27" t="str" cm="1">
        <f t="array" ref="I10">IF($C10="","",IF(_xlfn.XLOOKUP($A10&amp;$B10&amp;$C10,盘货信息!$A:$A&amp;盘货信息!$B:$B&amp;盘货信息!$C:$C,盘货信息!$H:$H)&lt;1,"",ROUND(_xlfn.XLOOKUP($A10&amp;$B10&amp;$C10,盘货信息!$A:$A&amp;盘货信息!$B:$B&amp;盘货信息!$C:$C,盘货信息!$H:$H),0)&amp;"元消费券"))</f>
        <v/>
      </c>
      <c r="J10" s="27" t="str" cm="1">
        <f t="array" ref="J10">IF($C10="","",IF(_xlfn.XLOOKUP($A10&amp;$B10&amp;$C10,盘货信息!$A:$A&amp;盘货信息!$B:$B&amp;盘货信息!$C:$C,盘货信息!$J:$J)&lt;1,"",ROUND(_xlfn.XLOOKUP($A10&amp;$B10&amp;$C10,盘货信息!$A:$A&amp;盘货信息!$B:$B&amp;盘货信息!$C:$C,盘货信息!$J:$J),0)&amp;"元限时补贴"))</f>
        <v/>
      </c>
      <c r="K10" s="27" t="str" cm="1">
        <f t="array" ref="K10">IF($C10="","",IF(_xlfn.XLOOKUP($A10&amp;$B10&amp;$C10,盘货信息!$A:$A&amp;盘货信息!$B:$B&amp;盘货信息!$C:$C,盘货信息!$K:$K)&lt;1,"",ROUND(_xlfn.XLOOKUP($A10&amp;$B10&amp;$C10,盘货信息!$A:$A&amp;盘货信息!$B:$B&amp;盘货信息!$C:$C,盘货信息!$K:$K),0)&amp;"元预估焕新补贴"))</f>
        <v/>
      </c>
      <c r="L10" s="27" t="str" cm="1">
        <f t="array" ref="L10">IF($C10="","",IF(AND(_xlfn.XLOOKUP($A10&amp;$B10&amp;$C10,盘货信息!$A:$A&amp;盘货信息!$B:$B&amp;盘货信息!$C:$C,盘货信息!$L:$L)="是",_xlfn.XLOOKUP($A10&amp;$B10&amp;$C10,盘货信息!$A:$A&amp;盘货信息!$B:$B&amp;盘货信息!$C:$C,盘货信息!$M:$M)="是",_xlfn.XLOOKUP($A10&amp;$B10&amp;$C10,盘货信息!$A:$A&amp;盘货信息!$B:$B&amp;盘货信息!$C:$C,盘货信息!$K:$K)&gt;0),"【全民可用，不限地址】",IF(AND(OR(_xlfn.XLOOKUP($A10&amp;$B10&amp;$C10,盘货信息!$A:$A&amp;盘货信息!$B:$B&amp;盘货信息!$C:$C,盘货信息!$L:$L)="否",_xlfn.XLOOKUP($A10&amp;$B10&amp;$C10,盘货信息!$A:$A&amp;盘货信息!$B:$B&amp;盘货信息!$C:$C,盘货信息!$L:$L)=""),_xlfn.XLOOKUP($A10&amp;$B10&amp;$C10,盘货信息!$A:$A&amp;盘货信息!$B:$B&amp;盘货信息!$C:$C,盘货信息!$M:$M)="是",_xlfn.XLOOKUP($A10&amp;$B10&amp;$C10,盘货信息!$A:$A&amp;盘货信息!$B:$B&amp;盘货信息!$C:$C,盘货信息!$K:$K)&gt;0),"【详情页领取】","")))</f>
        <v/>
      </c>
      <c r="M10" s="27" t="str" cm="1">
        <f t="array" ref="M10">IF($C10="","",IF(_xlfn.XLOOKUP($A10&amp;$B10&amp;$C10,盘货信息!$A:$A&amp;盘货信息!$B:$B&amp;盘货信息!$C:$C,盘货信息!$F:$F)&lt;1,"",_xlfn.XLOOKUP($A10&amp;$B10&amp;$C10,盘货信息!$A:$A&amp;盘货信息!$B:$B&amp;盘货信息!$C:$C,盘货信息!$F:$F)&amp;"元明卷"))</f>
        <v/>
      </c>
      <c r="N10" s="27" t="str">
        <f t="shared" si="1"/>
        <v/>
      </c>
      <c r="O10" s="27" t="str">
        <f>IF(I10="","","【消费券链接】"&amp;固定信息!$B$6)</f>
        <v/>
      </c>
    </row>
    <row r="11" customHeight="1" spans="1:15">
      <c r="A11" s="26" t="str">
        <f>IF(盘货信息!A11="","",盘货信息!A11)</f>
        <v/>
      </c>
      <c r="B11" s="26" t="str">
        <f>IF(盘货信息!B11="","",盘货信息!B11)</f>
        <v/>
      </c>
      <c r="C11" s="27" t="str">
        <f>IF(盘货信息!C11="","",盘货信息!C11)</f>
        <v/>
      </c>
      <c r="D11" s="27" t="str">
        <f t="shared" si="0"/>
        <v/>
      </c>
      <c r="E11" s="27" t="str" cm="1">
        <f t="array" ref="E11">IF($C11="","",IF(AND(OR(_xlfn.XLOOKUP($A11&amp;$B11&amp;$C11,盘货信息!$A:$A&amp;盘货信息!$B:$B&amp;盘货信息!$C:$C,盘货信息!$L:$L)="否",_xlfn.XLOOKUP($A11&amp;$B11&amp;$C11,盘货信息!$A:$A&amp;盘货信息!$B:$B&amp;盘货信息!$C:$C,盘货信息!$L:$L)=""),_xlfn.XLOOKUP($A11&amp;$B11&amp;$C11,盘货信息!$A:$A&amp;盘货信息!$B:$B&amp;盘货信息!$C:$C,盘货信息!$M:$M)="否"),"【预估到手价"&amp;_xlfn.XLOOKUP($A11&amp;$B11&amp;$C11,盘货信息!$A:$A&amp;盘货信息!$B:$B&amp;盘货信息!$C:$C,盘货信息!$D:$D)&amp;"元】",IF(AND(_xlfn.XLOOKUP($A11&amp;$B11&amp;$C11,盘货信息!$A:$A&amp;盘货信息!$B:$B&amp;盘货信息!$C:$C,盘货信息!$M:$M)="是",OR(_xlfn.XLOOKUP($A11&amp;$B11&amp;$C11,盘货信息!$A:$A&amp;盘货信息!$B:$B&amp;盘货信息!$C:$C,盘货信息!$L:$L)="否",_xlfn.XLOOKUP($A11&amp;$B11&amp;$C11,盘货信息!$A:$A&amp;盘货信息!$B:$B&amp;盘货信息!$C:$C,盘货信息!$L:$L)="")),"【预估到手价"&amp;_xlfn.XLOOKUP($A11&amp;$B11&amp;$C11,盘货信息!$A:$A&amp;盘货信息!$B:$B&amp;盘货信息!$C:$C,盘货信息!$D:$D)&amp;"元】"&amp;CHAR(10)&amp;"【焕新补贴预估价"&amp;ROUND(_xlfn.XLOOKUP($A11&amp;$B11&amp;$C11,盘货信息!$A:$A&amp;盘货信息!$B:$B&amp;盘货信息!$C:$C,盘货信息!$E:$E),0)&amp;"元】","【焕新补贴预估价"&amp;ROUND(_xlfn.XLOOKUP($A11&amp;$B11&amp;$C11,盘货信息!$A:$A&amp;盘货信息!$B:$B&amp;盘货信息!$C:$C,盘货信息!$E:$E),0)&amp;"元】")))</f>
        <v/>
      </c>
      <c r="F11" s="27" t="str" cm="1">
        <f t="array" ref="F11">IF($C11="","",_xlfn.XLOOKUP($A11&amp;$B11&amp;$C11,盘货信息!$A:$A&amp;盘货信息!$B:$B&amp;盘货信息!$C:$C,盘货信息!$D:$D)&amp;"元到手价")</f>
        <v/>
      </c>
      <c r="G11" s="27" t="str" cm="1">
        <f t="array" ref="G11">IF($C11="","",IF(_xlfn.XLOOKUP($A11&amp;$B11&amp;$C11,盘货信息!$A:$A&amp;盘货信息!$B:$B&amp;盘货信息!$C:$C,盘货信息!$G:$G)&lt;1,"",ROUND(_xlfn.XLOOKUP($A11&amp;$B11&amp;$C11,盘货信息!$A:$A&amp;盘货信息!$B:$B&amp;盘货信息!$C:$C,盘货信息!$G:$G),0)&amp;"元88VIP立减"))</f>
        <v/>
      </c>
      <c r="H11" s="27" t="str" cm="1">
        <f t="array" ref="H11">IF($C11="","",IF(_xlfn.XLOOKUP($A11&amp;$B11&amp;$C11,盘货信息!$A:$A&amp;盘货信息!$B:$B&amp;盘货信息!$C:$C,盘货信息!$I:$I)&lt;1,"",_xlfn.XLOOKUP($A11&amp;$B11&amp;$C11,盘货信息!$A:$A&amp;盘货信息!$B:$B&amp;盘货信息!$C:$C,盘货信息!$I:$I)&amp;"元惊喜立减"))</f>
        <v/>
      </c>
      <c r="I11" s="27" t="str" cm="1">
        <f t="array" ref="I11">IF($C11="","",IF(_xlfn.XLOOKUP($A11&amp;$B11&amp;$C11,盘货信息!$A:$A&amp;盘货信息!$B:$B&amp;盘货信息!$C:$C,盘货信息!$H:$H)&lt;1,"",ROUND(_xlfn.XLOOKUP($A11&amp;$B11&amp;$C11,盘货信息!$A:$A&amp;盘货信息!$B:$B&amp;盘货信息!$C:$C,盘货信息!$H:$H),0)&amp;"元消费券"))</f>
        <v/>
      </c>
      <c r="J11" s="27" t="str" cm="1">
        <f t="array" ref="J11">IF($C11="","",IF(_xlfn.XLOOKUP($A11&amp;$B11&amp;$C11,盘货信息!$A:$A&amp;盘货信息!$B:$B&amp;盘货信息!$C:$C,盘货信息!$J:$J)&lt;1,"",ROUND(_xlfn.XLOOKUP($A11&amp;$B11&amp;$C11,盘货信息!$A:$A&amp;盘货信息!$B:$B&amp;盘货信息!$C:$C,盘货信息!$J:$J),0)&amp;"元限时补贴"))</f>
        <v/>
      </c>
      <c r="K11" s="27" t="str" cm="1">
        <f t="array" ref="K11">IF($C11="","",IF(_xlfn.XLOOKUP($A11&amp;$B11&amp;$C11,盘货信息!$A:$A&amp;盘货信息!$B:$B&amp;盘货信息!$C:$C,盘货信息!$K:$K)&lt;1,"",ROUND(_xlfn.XLOOKUP($A11&amp;$B11&amp;$C11,盘货信息!$A:$A&amp;盘货信息!$B:$B&amp;盘货信息!$C:$C,盘货信息!$K:$K),0)&amp;"元预估焕新补贴"))</f>
        <v/>
      </c>
      <c r="L11" s="27" t="str" cm="1">
        <f t="array" ref="L11">IF($C11="","",IF(AND(_xlfn.XLOOKUP($A11&amp;$B11&amp;$C11,盘货信息!$A:$A&amp;盘货信息!$B:$B&amp;盘货信息!$C:$C,盘货信息!$L:$L)="是",_xlfn.XLOOKUP($A11&amp;$B11&amp;$C11,盘货信息!$A:$A&amp;盘货信息!$B:$B&amp;盘货信息!$C:$C,盘货信息!$M:$M)="是",_xlfn.XLOOKUP($A11&amp;$B11&amp;$C11,盘货信息!$A:$A&amp;盘货信息!$B:$B&amp;盘货信息!$C:$C,盘货信息!$K:$K)&gt;0),"【全民可用，不限地址】",IF(AND(OR(_xlfn.XLOOKUP($A11&amp;$B11&amp;$C11,盘货信息!$A:$A&amp;盘货信息!$B:$B&amp;盘货信息!$C:$C,盘货信息!$L:$L)="否",_xlfn.XLOOKUP($A11&amp;$B11&amp;$C11,盘货信息!$A:$A&amp;盘货信息!$B:$B&amp;盘货信息!$C:$C,盘货信息!$L:$L)=""),_xlfn.XLOOKUP($A11&amp;$B11&amp;$C11,盘货信息!$A:$A&amp;盘货信息!$B:$B&amp;盘货信息!$C:$C,盘货信息!$M:$M)="是",_xlfn.XLOOKUP($A11&amp;$B11&amp;$C11,盘货信息!$A:$A&amp;盘货信息!$B:$B&amp;盘货信息!$C:$C,盘货信息!$K:$K)&gt;0),"【详情页领取】","")))</f>
        <v/>
      </c>
      <c r="M11" s="27" t="str" cm="1">
        <f t="array" ref="M11">IF($C11="","",IF(_xlfn.XLOOKUP($A11&amp;$B11&amp;$C11,盘货信息!$A:$A&amp;盘货信息!$B:$B&amp;盘货信息!$C:$C,盘货信息!$F:$F)&lt;1,"",_xlfn.XLOOKUP($A11&amp;$B11&amp;$C11,盘货信息!$A:$A&amp;盘货信息!$B:$B&amp;盘货信息!$C:$C,盘货信息!$F:$F)&amp;"元明卷"))</f>
        <v/>
      </c>
      <c r="N11" s="27" t="str">
        <f t="shared" si="1"/>
        <v/>
      </c>
      <c r="O11" s="27" t="str">
        <f>IF(I11="","","【消费券链接】"&amp;固定信息!$B$6)</f>
        <v/>
      </c>
    </row>
    <row r="12" customHeight="1" spans="1:15">
      <c r="A12" s="26" t="str">
        <f>IF(盘货信息!A12="","",盘货信息!A12)</f>
        <v/>
      </c>
      <c r="B12" s="26" t="str">
        <f>IF(盘货信息!B12="","",盘货信息!B12)</f>
        <v/>
      </c>
      <c r="C12" s="27" t="str">
        <f>IF(盘货信息!C12="","",盘货信息!C12)</f>
        <v/>
      </c>
      <c r="D12" s="27" t="str">
        <f t="shared" si="0"/>
        <v/>
      </c>
      <c r="E12" s="27" t="str" cm="1">
        <f t="array" ref="E12">IF($C12="","",IF(AND(OR(_xlfn.XLOOKUP($A12&amp;$B12&amp;$C12,盘货信息!$A:$A&amp;盘货信息!$B:$B&amp;盘货信息!$C:$C,盘货信息!$L:$L)="否",_xlfn.XLOOKUP($A12&amp;$B12&amp;$C12,盘货信息!$A:$A&amp;盘货信息!$B:$B&amp;盘货信息!$C:$C,盘货信息!$L:$L)=""),_xlfn.XLOOKUP($A12&amp;$B12&amp;$C12,盘货信息!$A:$A&amp;盘货信息!$B:$B&amp;盘货信息!$C:$C,盘货信息!$M:$M)="否"),"【预估到手价"&amp;_xlfn.XLOOKUP($A12&amp;$B12&amp;$C12,盘货信息!$A:$A&amp;盘货信息!$B:$B&amp;盘货信息!$C:$C,盘货信息!$D:$D)&amp;"元】",IF(AND(_xlfn.XLOOKUP($A12&amp;$B12&amp;$C12,盘货信息!$A:$A&amp;盘货信息!$B:$B&amp;盘货信息!$C:$C,盘货信息!$M:$M)="是",OR(_xlfn.XLOOKUP($A12&amp;$B12&amp;$C12,盘货信息!$A:$A&amp;盘货信息!$B:$B&amp;盘货信息!$C:$C,盘货信息!$L:$L)="否",_xlfn.XLOOKUP($A12&amp;$B12&amp;$C12,盘货信息!$A:$A&amp;盘货信息!$B:$B&amp;盘货信息!$C:$C,盘货信息!$L:$L)="")),"【预估到手价"&amp;_xlfn.XLOOKUP($A12&amp;$B12&amp;$C12,盘货信息!$A:$A&amp;盘货信息!$B:$B&amp;盘货信息!$C:$C,盘货信息!$D:$D)&amp;"元】"&amp;CHAR(10)&amp;"【焕新补贴预估价"&amp;ROUND(_xlfn.XLOOKUP($A12&amp;$B12&amp;$C12,盘货信息!$A:$A&amp;盘货信息!$B:$B&amp;盘货信息!$C:$C,盘货信息!$E:$E),0)&amp;"元】","【焕新补贴预估价"&amp;ROUND(_xlfn.XLOOKUP($A12&amp;$B12&amp;$C12,盘货信息!$A:$A&amp;盘货信息!$B:$B&amp;盘货信息!$C:$C,盘货信息!$E:$E),0)&amp;"元】")))</f>
        <v/>
      </c>
      <c r="F12" s="27" t="str" cm="1">
        <f t="array" ref="F12">IF($C12="","",_xlfn.XLOOKUP($A12&amp;$B12&amp;$C12,盘货信息!$A:$A&amp;盘货信息!$B:$B&amp;盘货信息!$C:$C,盘货信息!$D:$D)&amp;"元到手价")</f>
        <v/>
      </c>
      <c r="G12" s="27" t="str" cm="1">
        <f t="array" ref="G12">IF($C12="","",IF(_xlfn.XLOOKUP($A12&amp;$B12&amp;$C12,盘货信息!$A:$A&amp;盘货信息!$B:$B&amp;盘货信息!$C:$C,盘货信息!$G:$G)&lt;1,"",ROUND(_xlfn.XLOOKUP($A12&amp;$B12&amp;$C12,盘货信息!$A:$A&amp;盘货信息!$B:$B&amp;盘货信息!$C:$C,盘货信息!$G:$G),0)&amp;"元88VIP立减"))</f>
        <v/>
      </c>
      <c r="H12" s="27" t="str" cm="1">
        <f t="array" ref="H12">IF($C12="","",IF(_xlfn.XLOOKUP($A12&amp;$B12&amp;$C12,盘货信息!$A:$A&amp;盘货信息!$B:$B&amp;盘货信息!$C:$C,盘货信息!$I:$I)&lt;1,"",_xlfn.XLOOKUP($A12&amp;$B12&amp;$C12,盘货信息!$A:$A&amp;盘货信息!$B:$B&amp;盘货信息!$C:$C,盘货信息!$I:$I)&amp;"元惊喜立减"))</f>
        <v/>
      </c>
      <c r="I12" s="27" t="str" cm="1">
        <f t="array" ref="I12">IF($C12="","",IF(_xlfn.XLOOKUP($A12&amp;$B12&amp;$C12,盘货信息!$A:$A&amp;盘货信息!$B:$B&amp;盘货信息!$C:$C,盘货信息!$H:$H)&lt;1,"",ROUND(_xlfn.XLOOKUP($A12&amp;$B12&amp;$C12,盘货信息!$A:$A&amp;盘货信息!$B:$B&amp;盘货信息!$C:$C,盘货信息!$H:$H),0)&amp;"元消费券"))</f>
        <v/>
      </c>
      <c r="J12" s="27" t="str" cm="1">
        <f t="array" ref="J12">IF($C12="","",IF(_xlfn.XLOOKUP($A12&amp;$B12&amp;$C12,盘货信息!$A:$A&amp;盘货信息!$B:$B&amp;盘货信息!$C:$C,盘货信息!$J:$J)&lt;1,"",ROUND(_xlfn.XLOOKUP($A12&amp;$B12&amp;$C12,盘货信息!$A:$A&amp;盘货信息!$B:$B&amp;盘货信息!$C:$C,盘货信息!$J:$J),0)&amp;"元限时补贴"))</f>
        <v/>
      </c>
      <c r="K12" s="27" t="str" cm="1">
        <f t="array" ref="K12">IF($C12="","",IF(_xlfn.XLOOKUP($A12&amp;$B12&amp;$C12,盘货信息!$A:$A&amp;盘货信息!$B:$B&amp;盘货信息!$C:$C,盘货信息!$K:$K)&lt;1,"",ROUND(_xlfn.XLOOKUP($A12&amp;$B12&amp;$C12,盘货信息!$A:$A&amp;盘货信息!$B:$B&amp;盘货信息!$C:$C,盘货信息!$K:$K),0)&amp;"元预估焕新补贴"))</f>
        <v/>
      </c>
      <c r="L12" s="27" t="str" cm="1">
        <f t="array" ref="L12">IF($C12="","",IF(AND(_xlfn.XLOOKUP($A12&amp;$B12&amp;$C12,盘货信息!$A:$A&amp;盘货信息!$B:$B&amp;盘货信息!$C:$C,盘货信息!$L:$L)="是",_xlfn.XLOOKUP($A12&amp;$B12&amp;$C12,盘货信息!$A:$A&amp;盘货信息!$B:$B&amp;盘货信息!$C:$C,盘货信息!$M:$M)="是",_xlfn.XLOOKUP($A12&amp;$B12&amp;$C12,盘货信息!$A:$A&amp;盘货信息!$B:$B&amp;盘货信息!$C:$C,盘货信息!$K:$K)&gt;0),"【全民可用，不限地址】",IF(AND(OR(_xlfn.XLOOKUP($A12&amp;$B12&amp;$C12,盘货信息!$A:$A&amp;盘货信息!$B:$B&amp;盘货信息!$C:$C,盘货信息!$L:$L)="否",_xlfn.XLOOKUP($A12&amp;$B12&amp;$C12,盘货信息!$A:$A&amp;盘货信息!$B:$B&amp;盘货信息!$C:$C,盘货信息!$L:$L)=""),_xlfn.XLOOKUP($A12&amp;$B12&amp;$C12,盘货信息!$A:$A&amp;盘货信息!$B:$B&amp;盘货信息!$C:$C,盘货信息!$M:$M)="是",_xlfn.XLOOKUP($A12&amp;$B12&amp;$C12,盘货信息!$A:$A&amp;盘货信息!$B:$B&amp;盘货信息!$C:$C,盘货信息!$K:$K)&gt;0),"【详情页领取】","")))</f>
        <v/>
      </c>
      <c r="M12" s="27" t="str" cm="1">
        <f t="array" ref="M12">IF($C12="","",IF(_xlfn.XLOOKUP($A12&amp;$B12&amp;$C12,盘货信息!$A:$A&amp;盘货信息!$B:$B&amp;盘货信息!$C:$C,盘货信息!$F:$F)&lt;1,"",_xlfn.XLOOKUP($A12&amp;$B12&amp;$C12,盘货信息!$A:$A&amp;盘货信息!$B:$B&amp;盘货信息!$C:$C,盘货信息!$F:$F)&amp;"元明卷"))</f>
        <v/>
      </c>
      <c r="N12" s="27" t="str">
        <f t="shared" si="1"/>
        <v/>
      </c>
      <c r="O12" s="27" t="str">
        <f>IF(I12="","","【消费券链接】"&amp;固定信息!$B$6)</f>
        <v/>
      </c>
    </row>
    <row r="13" customHeight="1" spans="1:15">
      <c r="A13" s="26" t="str">
        <f>IF(盘货信息!A13="","",盘货信息!A13)</f>
        <v/>
      </c>
      <c r="B13" s="26" t="str">
        <f>IF(盘货信息!B13="","",盘货信息!B13)</f>
        <v/>
      </c>
      <c r="C13" s="27" t="str">
        <f>IF(盘货信息!C13="","",盘货信息!C13)</f>
        <v/>
      </c>
      <c r="D13" s="27" t="str">
        <f t="shared" si="0"/>
        <v/>
      </c>
      <c r="E13" s="27" t="str" cm="1">
        <f t="array" ref="E13">IF($C13="","",IF(AND(OR(_xlfn.XLOOKUP($A13&amp;$B13&amp;$C13,盘货信息!$A:$A&amp;盘货信息!$B:$B&amp;盘货信息!$C:$C,盘货信息!$L:$L)="否",_xlfn.XLOOKUP($A13&amp;$B13&amp;$C13,盘货信息!$A:$A&amp;盘货信息!$B:$B&amp;盘货信息!$C:$C,盘货信息!$L:$L)=""),_xlfn.XLOOKUP($A13&amp;$B13&amp;$C13,盘货信息!$A:$A&amp;盘货信息!$B:$B&amp;盘货信息!$C:$C,盘货信息!$M:$M)="否"),"【预估到手价"&amp;_xlfn.XLOOKUP($A13&amp;$B13&amp;$C13,盘货信息!$A:$A&amp;盘货信息!$B:$B&amp;盘货信息!$C:$C,盘货信息!$D:$D)&amp;"元】",IF(AND(_xlfn.XLOOKUP($A13&amp;$B13&amp;$C13,盘货信息!$A:$A&amp;盘货信息!$B:$B&amp;盘货信息!$C:$C,盘货信息!$M:$M)="是",OR(_xlfn.XLOOKUP($A13&amp;$B13&amp;$C13,盘货信息!$A:$A&amp;盘货信息!$B:$B&amp;盘货信息!$C:$C,盘货信息!$L:$L)="否",_xlfn.XLOOKUP($A13&amp;$B13&amp;$C13,盘货信息!$A:$A&amp;盘货信息!$B:$B&amp;盘货信息!$C:$C,盘货信息!$L:$L)="")),"【预估到手价"&amp;_xlfn.XLOOKUP($A13&amp;$B13&amp;$C13,盘货信息!$A:$A&amp;盘货信息!$B:$B&amp;盘货信息!$C:$C,盘货信息!$D:$D)&amp;"元】"&amp;CHAR(10)&amp;"【焕新补贴预估价"&amp;ROUND(_xlfn.XLOOKUP($A13&amp;$B13&amp;$C13,盘货信息!$A:$A&amp;盘货信息!$B:$B&amp;盘货信息!$C:$C,盘货信息!$E:$E),0)&amp;"元】","【焕新补贴预估价"&amp;ROUND(_xlfn.XLOOKUP($A13&amp;$B13&amp;$C13,盘货信息!$A:$A&amp;盘货信息!$B:$B&amp;盘货信息!$C:$C,盘货信息!$E:$E),0)&amp;"元】")))</f>
        <v/>
      </c>
      <c r="F13" s="27" t="str" cm="1">
        <f t="array" ref="F13">IF($C13="","",_xlfn.XLOOKUP($A13&amp;$B13&amp;$C13,盘货信息!$A:$A&amp;盘货信息!$B:$B&amp;盘货信息!$C:$C,盘货信息!$D:$D)&amp;"元到手价")</f>
        <v/>
      </c>
      <c r="G13" s="27" t="str" cm="1">
        <f t="array" ref="G13">IF($C13="","",IF(_xlfn.XLOOKUP($A13&amp;$B13&amp;$C13,盘货信息!$A:$A&amp;盘货信息!$B:$B&amp;盘货信息!$C:$C,盘货信息!$G:$G)&lt;1,"",ROUND(_xlfn.XLOOKUP($A13&amp;$B13&amp;$C13,盘货信息!$A:$A&amp;盘货信息!$B:$B&amp;盘货信息!$C:$C,盘货信息!$G:$G),0)&amp;"元88VIP立减"))</f>
        <v/>
      </c>
      <c r="H13" s="27" t="str" cm="1">
        <f t="array" ref="H13">IF($C13="","",IF(_xlfn.XLOOKUP($A13&amp;$B13&amp;$C13,盘货信息!$A:$A&amp;盘货信息!$B:$B&amp;盘货信息!$C:$C,盘货信息!$I:$I)&lt;1,"",_xlfn.XLOOKUP($A13&amp;$B13&amp;$C13,盘货信息!$A:$A&amp;盘货信息!$B:$B&amp;盘货信息!$C:$C,盘货信息!$I:$I)&amp;"元惊喜立减"))</f>
        <v/>
      </c>
      <c r="I13" s="27" t="str" cm="1">
        <f t="array" ref="I13">IF($C13="","",IF(_xlfn.XLOOKUP($A13&amp;$B13&amp;$C13,盘货信息!$A:$A&amp;盘货信息!$B:$B&amp;盘货信息!$C:$C,盘货信息!$H:$H)&lt;1,"",ROUND(_xlfn.XLOOKUP($A13&amp;$B13&amp;$C13,盘货信息!$A:$A&amp;盘货信息!$B:$B&amp;盘货信息!$C:$C,盘货信息!$H:$H),0)&amp;"元消费券"))</f>
        <v/>
      </c>
      <c r="J13" s="27" t="str" cm="1">
        <f t="array" ref="J13">IF($C13="","",IF(_xlfn.XLOOKUP($A13&amp;$B13&amp;$C13,盘货信息!$A:$A&amp;盘货信息!$B:$B&amp;盘货信息!$C:$C,盘货信息!$J:$J)&lt;1,"",ROUND(_xlfn.XLOOKUP($A13&amp;$B13&amp;$C13,盘货信息!$A:$A&amp;盘货信息!$B:$B&amp;盘货信息!$C:$C,盘货信息!$J:$J),0)&amp;"元限时补贴"))</f>
        <v/>
      </c>
      <c r="K13" s="27" t="str" cm="1">
        <f t="array" ref="K13">IF($C13="","",IF(_xlfn.XLOOKUP($A13&amp;$B13&amp;$C13,盘货信息!$A:$A&amp;盘货信息!$B:$B&amp;盘货信息!$C:$C,盘货信息!$K:$K)&lt;1,"",ROUND(_xlfn.XLOOKUP($A13&amp;$B13&amp;$C13,盘货信息!$A:$A&amp;盘货信息!$B:$B&amp;盘货信息!$C:$C,盘货信息!$K:$K),0)&amp;"元预估焕新补贴"))</f>
        <v/>
      </c>
      <c r="L13" s="27" t="str" cm="1">
        <f t="array" ref="L13">IF($C13="","",IF(AND(_xlfn.XLOOKUP($A13&amp;$B13&amp;$C13,盘货信息!$A:$A&amp;盘货信息!$B:$B&amp;盘货信息!$C:$C,盘货信息!$L:$L)="是",_xlfn.XLOOKUP($A13&amp;$B13&amp;$C13,盘货信息!$A:$A&amp;盘货信息!$B:$B&amp;盘货信息!$C:$C,盘货信息!$M:$M)="是",_xlfn.XLOOKUP($A13&amp;$B13&amp;$C13,盘货信息!$A:$A&amp;盘货信息!$B:$B&amp;盘货信息!$C:$C,盘货信息!$K:$K)&gt;0),"【全民可用，不限地址】",IF(AND(OR(_xlfn.XLOOKUP($A13&amp;$B13&amp;$C13,盘货信息!$A:$A&amp;盘货信息!$B:$B&amp;盘货信息!$C:$C,盘货信息!$L:$L)="否",_xlfn.XLOOKUP($A13&amp;$B13&amp;$C13,盘货信息!$A:$A&amp;盘货信息!$B:$B&amp;盘货信息!$C:$C,盘货信息!$L:$L)=""),_xlfn.XLOOKUP($A13&amp;$B13&amp;$C13,盘货信息!$A:$A&amp;盘货信息!$B:$B&amp;盘货信息!$C:$C,盘货信息!$M:$M)="是",_xlfn.XLOOKUP($A13&amp;$B13&amp;$C13,盘货信息!$A:$A&amp;盘货信息!$B:$B&amp;盘货信息!$C:$C,盘货信息!$K:$K)&gt;0),"【详情页领取】","")))</f>
        <v/>
      </c>
      <c r="M13" s="27" t="str" cm="1">
        <f t="array" ref="M13">IF($C13="","",IF(_xlfn.XLOOKUP($A13&amp;$B13&amp;$C13,盘货信息!$A:$A&amp;盘货信息!$B:$B&amp;盘货信息!$C:$C,盘货信息!$F:$F)&lt;1,"",_xlfn.XLOOKUP($A13&amp;$B13&amp;$C13,盘货信息!$A:$A&amp;盘货信息!$B:$B&amp;盘货信息!$C:$C,盘货信息!$F:$F)&amp;"元明卷"))</f>
        <v/>
      </c>
      <c r="N13" s="27" t="str">
        <f t="shared" si="1"/>
        <v/>
      </c>
      <c r="O13" s="27" t="str">
        <f>IF(I13="","","【消费券链接】"&amp;固定信息!$B$6)</f>
        <v/>
      </c>
    </row>
    <row r="14" customHeight="1" spans="1:15">
      <c r="A14" s="26" t="str">
        <f>IF(盘货信息!A14="","",盘货信息!A14)</f>
        <v/>
      </c>
      <c r="B14" s="26" t="str">
        <f>IF(盘货信息!B14="","",盘货信息!B14)</f>
        <v/>
      </c>
      <c r="C14" s="27" t="str">
        <f>IF(盘货信息!C14="","",盘货信息!C14)</f>
        <v/>
      </c>
      <c r="D14" s="27" t="str">
        <f t="shared" si="0"/>
        <v/>
      </c>
      <c r="E14" s="27" t="str" cm="1">
        <f t="array" ref="E14">IF($C14="","",IF(AND(OR(_xlfn.XLOOKUP($A14&amp;$B14&amp;$C14,盘货信息!$A:$A&amp;盘货信息!$B:$B&amp;盘货信息!$C:$C,盘货信息!$L:$L)="否",_xlfn.XLOOKUP($A14&amp;$B14&amp;$C14,盘货信息!$A:$A&amp;盘货信息!$B:$B&amp;盘货信息!$C:$C,盘货信息!$L:$L)=""),_xlfn.XLOOKUP($A14&amp;$B14&amp;$C14,盘货信息!$A:$A&amp;盘货信息!$B:$B&amp;盘货信息!$C:$C,盘货信息!$M:$M)="否"),"【预估到手价"&amp;_xlfn.XLOOKUP($A14&amp;$B14&amp;$C14,盘货信息!$A:$A&amp;盘货信息!$B:$B&amp;盘货信息!$C:$C,盘货信息!$D:$D)&amp;"元】",IF(AND(_xlfn.XLOOKUP($A14&amp;$B14&amp;$C14,盘货信息!$A:$A&amp;盘货信息!$B:$B&amp;盘货信息!$C:$C,盘货信息!$M:$M)="是",OR(_xlfn.XLOOKUP($A14&amp;$B14&amp;$C14,盘货信息!$A:$A&amp;盘货信息!$B:$B&amp;盘货信息!$C:$C,盘货信息!$L:$L)="否",_xlfn.XLOOKUP($A14&amp;$B14&amp;$C14,盘货信息!$A:$A&amp;盘货信息!$B:$B&amp;盘货信息!$C:$C,盘货信息!$L:$L)="")),"【预估到手价"&amp;_xlfn.XLOOKUP($A14&amp;$B14&amp;$C14,盘货信息!$A:$A&amp;盘货信息!$B:$B&amp;盘货信息!$C:$C,盘货信息!$D:$D)&amp;"元】"&amp;CHAR(10)&amp;"【焕新补贴预估价"&amp;ROUND(_xlfn.XLOOKUP($A14&amp;$B14&amp;$C14,盘货信息!$A:$A&amp;盘货信息!$B:$B&amp;盘货信息!$C:$C,盘货信息!$E:$E),0)&amp;"元】","【焕新补贴预估价"&amp;ROUND(_xlfn.XLOOKUP($A14&amp;$B14&amp;$C14,盘货信息!$A:$A&amp;盘货信息!$B:$B&amp;盘货信息!$C:$C,盘货信息!$E:$E),0)&amp;"元】")))</f>
        <v/>
      </c>
      <c r="F14" s="27" t="str" cm="1">
        <f t="array" ref="F14">IF($C14="","",_xlfn.XLOOKUP($A14&amp;$B14&amp;$C14,盘货信息!$A:$A&amp;盘货信息!$B:$B&amp;盘货信息!$C:$C,盘货信息!$D:$D)&amp;"元到手价")</f>
        <v/>
      </c>
      <c r="G14" s="27" t="str" cm="1">
        <f t="array" ref="G14">IF($C14="","",IF(_xlfn.XLOOKUP($A14&amp;$B14&amp;$C14,盘货信息!$A:$A&amp;盘货信息!$B:$B&amp;盘货信息!$C:$C,盘货信息!$G:$G)&lt;1,"",ROUND(_xlfn.XLOOKUP($A14&amp;$B14&amp;$C14,盘货信息!$A:$A&amp;盘货信息!$B:$B&amp;盘货信息!$C:$C,盘货信息!$G:$G),0)&amp;"元88VIP立减"))</f>
        <v/>
      </c>
      <c r="H14" s="27" t="str" cm="1">
        <f t="array" ref="H14">IF($C14="","",IF(_xlfn.XLOOKUP($A14&amp;$B14&amp;$C14,盘货信息!$A:$A&amp;盘货信息!$B:$B&amp;盘货信息!$C:$C,盘货信息!$I:$I)&lt;1,"",_xlfn.XLOOKUP($A14&amp;$B14&amp;$C14,盘货信息!$A:$A&amp;盘货信息!$B:$B&amp;盘货信息!$C:$C,盘货信息!$I:$I)&amp;"元惊喜立减"))</f>
        <v/>
      </c>
      <c r="I14" s="27" t="str" cm="1">
        <f t="array" ref="I14">IF($C14="","",IF(_xlfn.XLOOKUP($A14&amp;$B14&amp;$C14,盘货信息!$A:$A&amp;盘货信息!$B:$B&amp;盘货信息!$C:$C,盘货信息!$H:$H)&lt;1,"",ROUND(_xlfn.XLOOKUP($A14&amp;$B14&amp;$C14,盘货信息!$A:$A&amp;盘货信息!$B:$B&amp;盘货信息!$C:$C,盘货信息!$H:$H),0)&amp;"元消费券"))</f>
        <v/>
      </c>
      <c r="J14" s="27" t="str" cm="1">
        <f t="array" ref="J14">IF($C14="","",IF(_xlfn.XLOOKUP($A14&amp;$B14&amp;$C14,盘货信息!$A:$A&amp;盘货信息!$B:$B&amp;盘货信息!$C:$C,盘货信息!$J:$J)&lt;1,"",ROUND(_xlfn.XLOOKUP($A14&amp;$B14&amp;$C14,盘货信息!$A:$A&amp;盘货信息!$B:$B&amp;盘货信息!$C:$C,盘货信息!$J:$J),0)&amp;"元限时补贴"))</f>
        <v/>
      </c>
      <c r="K14" s="27" t="str" cm="1">
        <f t="array" ref="K14">IF($C14="","",IF(_xlfn.XLOOKUP($A14&amp;$B14&amp;$C14,盘货信息!$A:$A&amp;盘货信息!$B:$B&amp;盘货信息!$C:$C,盘货信息!$K:$K)&lt;1,"",ROUND(_xlfn.XLOOKUP($A14&amp;$B14&amp;$C14,盘货信息!$A:$A&amp;盘货信息!$B:$B&amp;盘货信息!$C:$C,盘货信息!$K:$K),0)&amp;"元预估焕新补贴"))</f>
        <v/>
      </c>
      <c r="L14" s="27" t="str" cm="1">
        <f t="array" ref="L14">IF($C14="","",IF(AND(_xlfn.XLOOKUP($A14&amp;$B14&amp;$C14,盘货信息!$A:$A&amp;盘货信息!$B:$B&amp;盘货信息!$C:$C,盘货信息!$L:$L)="是",_xlfn.XLOOKUP($A14&amp;$B14&amp;$C14,盘货信息!$A:$A&amp;盘货信息!$B:$B&amp;盘货信息!$C:$C,盘货信息!$M:$M)="是",_xlfn.XLOOKUP($A14&amp;$B14&amp;$C14,盘货信息!$A:$A&amp;盘货信息!$B:$B&amp;盘货信息!$C:$C,盘货信息!$K:$K)&gt;0),"【全民可用，不限地址】",IF(AND(OR(_xlfn.XLOOKUP($A14&amp;$B14&amp;$C14,盘货信息!$A:$A&amp;盘货信息!$B:$B&amp;盘货信息!$C:$C,盘货信息!$L:$L)="否",_xlfn.XLOOKUP($A14&amp;$B14&amp;$C14,盘货信息!$A:$A&amp;盘货信息!$B:$B&amp;盘货信息!$C:$C,盘货信息!$L:$L)=""),_xlfn.XLOOKUP($A14&amp;$B14&amp;$C14,盘货信息!$A:$A&amp;盘货信息!$B:$B&amp;盘货信息!$C:$C,盘货信息!$M:$M)="是",_xlfn.XLOOKUP($A14&amp;$B14&amp;$C14,盘货信息!$A:$A&amp;盘货信息!$B:$B&amp;盘货信息!$C:$C,盘货信息!$K:$K)&gt;0),"【详情页领取】","")))</f>
        <v/>
      </c>
      <c r="M14" s="27" t="str" cm="1">
        <f t="array" ref="M14">IF($C14="","",IF(_xlfn.XLOOKUP($A14&amp;$B14&amp;$C14,盘货信息!$A:$A&amp;盘货信息!$B:$B&amp;盘货信息!$C:$C,盘货信息!$F:$F)&lt;1,"",_xlfn.XLOOKUP($A14&amp;$B14&amp;$C14,盘货信息!$A:$A&amp;盘货信息!$B:$B&amp;盘货信息!$C:$C,盘货信息!$F:$F)&amp;"元明卷"))</f>
        <v/>
      </c>
      <c r="N14" s="27" t="str">
        <f t="shared" si="1"/>
        <v/>
      </c>
      <c r="O14" s="27" t="str">
        <f>IF(I14="","","【消费券链接】"&amp;固定信息!$B$6)</f>
        <v/>
      </c>
    </row>
    <row r="15" customHeight="1" spans="1:15">
      <c r="A15" s="26" t="str">
        <f>IF(盘货信息!A15="","",盘货信息!A15)</f>
        <v/>
      </c>
      <c r="B15" s="26" t="str">
        <f>IF(盘货信息!B15="","",盘货信息!B15)</f>
        <v/>
      </c>
      <c r="C15" s="27" t="str">
        <f>IF(盘货信息!C15="","",盘货信息!C15)</f>
        <v/>
      </c>
      <c r="D15" s="27" t="str">
        <f t="shared" si="0"/>
        <v/>
      </c>
      <c r="E15" s="27" t="str" cm="1">
        <f t="array" ref="E15">IF($C15="","",IF(AND(OR(_xlfn.XLOOKUP($A15&amp;$B15&amp;$C15,盘货信息!$A:$A&amp;盘货信息!$B:$B&amp;盘货信息!$C:$C,盘货信息!$L:$L)="否",_xlfn.XLOOKUP($A15&amp;$B15&amp;$C15,盘货信息!$A:$A&amp;盘货信息!$B:$B&amp;盘货信息!$C:$C,盘货信息!$L:$L)=""),_xlfn.XLOOKUP($A15&amp;$B15&amp;$C15,盘货信息!$A:$A&amp;盘货信息!$B:$B&amp;盘货信息!$C:$C,盘货信息!$M:$M)="否"),"【预估到手价"&amp;_xlfn.XLOOKUP($A15&amp;$B15&amp;$C15,盘货信息!$A:$A&amp;盘货信息!$B:$B&amp;盘货信息!$C:$C,盘货信息!$D:$D)&amp;"元】",IF(AND(_xlfn.XLOOKUP($A15&amp;$B15&amp;$C15,盘货信息!$A:$A&amp;盘货信息!$B:$B&amp;盘货信息!$C:$C,盘货信息!$M:$M)="是",OR(_xlfn.XLOOKUP($A15&amp;$B15&amp;$C15,盘货信息!$A:$A&amp;盘货信息!$B:$B&amp;盘货信息!$C:$C,盘货信息!$L:$L)="否",_xlfn.XLOOKUP($A15&amp;$B15&amp;$C15,盘货信息!$A:$A&amp;盘货信息!$B:$B&amp;盘货信息!$C:$C,盘货信息!$L:$L)="")),"【预估到手价"&amp;_xlfn.XLOOKUP($A15&amp;$B15&amp;$C15,盘货信息!$A:$A&amp;盘货信息!$B:$B&amp;盘货信息!$C:$C,盘货信息!$D:$D)&amp;"元】"&amp;CHAR(10)&amp;"【焕新补贴预估价"&amp;ROUND(_xlfn.XLOOKUP($A15&amp;$B15&amp;$C15,盘货信息!$A:$A&amp;盘货信息!$B:$B&amp;盘货信息!$C:$C,盘货信息!$E:$E),0)&amp;"元】","【焕新补贴预估价"&amp;ROUND(_xlfn.XLOOKUP($A15&amp;$B15&amp;$C15,盘货信息!$A:$A&amp;盘货信息!$B:$B&amp;盘货信息!$C:$C,盘货信息!$E:$E),0)&amp;"元】")))</f>
        <v/>
      </c>
      <c r="F15" s="27" t="str" cm="1">
        <f t="array" ref="F15">IF($C15="","",_xlfn.XLOOKUP($A15&amp;$B15&amp;$C15,盘货信息!$A:$A&amp;盘货信息!$B:$B&amp;盘货信息!$C:$C,盘货信息!$D:$D)&amp;"元到手价")</f>
        <v/>
      </c>
      <c r="G15" s="27" t="str" cm="1">
        <f t="array" ref="G15">IF($C15="","",IF(_xlfn.XLOOKUP($A15&amp;$B15&amp;$C15,盘货信息!$A:$A&amp;盘货信息!$B:$B&amp;盘货信息!$C:$C,盘货信息!$G:$G)&lt;1,"",ROUND(_xlfn.XLOOKUP($A15&amp;$B15&amp;$C15,盘货信息!$A:$A&amp;盘货信息!$B:$B&amp;盘货信息!$C:$C,盘货信息!$G:$G),0)&amp;"元88VIP立减"))</f>
        <v/>
      </c>
      <c r="H15" s="27" t="str" cm="1">
        <f t="array" ref="H15">IF($C15="","",IF(_xlfn.XLOOKUP($A15&amp;$B15&amp;$C15,盘货信息!$A:$A&amp;盘货信息!$B:$B&amp;盘货信息!$C:$C,盘货信息!$I:$I)&lt;1,"",_xlfn.XLOOKUP($A15&amp;$B15&amp;$C15,盘货信息!$A:$A&amp;盘货信息!$B:$B&amp;盘货信息!$C:$C,盘货信息!$I:$I)&amp;"元惊喜立减"))</f>
        <v/>
      </c>
      <c r="I15" s="27" t="str" cm="1">
        <f t="array" ref="I15">IF($C15="","",IF(_xlfn.XLOOKUP($A15&amp;$B15&amp;$C15,盘货信息!$A:$A&amp;盘货信息!$B:$B&amp;盘货信息!$C:$C,盘货信息!$H:$H)&lt;1,"",ROUND(_xlfn.XLOOKUP($A15&amp;$B15&amp;$C15,盘货信息!$A:$A&amp;盘货信息!$B:$B&amp;盘货信息!$C:$C,盘货信息!$H:$H),0)&amp;"元消费券"))</f>
        <v/>
      </c>
      <c r="J15" s="27" t="str" cm="1">
        <f t="array" ref="J15">IF($C15="","",IF(_xlfn.XLOOKUP($A15&amp;$B15&amp;$C15,盘货信息!$A:$A&amp;盘货信息!$B:$B&amp;盘货信息!$C:$C,盘货信息!$J:$J)&lt;1,"",ROUND(_xlfn.XLOOKUP($A15&amp;$B15&amp;$C15,盘货信息!$A:$A&amp;盘货信息!$B:$B&amp;盘货信息!$C:$C,盘货信息!$J:$J),0)&amp;"元限时补贴"))</f>
        <v/>
      </c>
      <c r="K15" s="27" t="str" cm="1">
        <f t="array" ref="K15">IF($C15="","",IF(_xlfn.XLOOKUP($A15&amp;$B15&amp;$C15,盘货信息!$A:$A&amp;盘货信息!$B:$B&amp;盘货信息!$C:$C,盘货信息!$K:$K)&lt;1,"",ROUND(_xlfn.XLOOKUP($A15&amp;$B15&amp;$C15,盘货信息!$A:$A&amp;盘货信息!$B:$B&amp;盘货信息!$C:$C,盘货信息!$K:$K),0)&amp;"元预估焕新补贴"))</f>
        <v/>
      </c>
      <c r="L15" s="27" t="str" cm="1">
        <f t="array" ref="L15">IF($C15="","",IF(AND(_xlfn.XLOOKUP($A15&amp;$B15&amp;$C15,盘货信息!$A:$A&amp;盘货信息!$B:$B&amp;盘货信息!$C:$C,盘货信息!$L:$L)="是",_xlfn.XLOOKUP($A15&amp;$B15&amp;$C15,盘货信息!$A:$A&amp;盘货信息!$B:$B&amp;盘货信息!$C:$C,盘货信息!$M:$M)="是",_xlfn.XLOOKUP($A15&amp;$B15&amp;$C15,盘货信息!$A:$A&amp;盘货信息!$B:$B&amp;盘货信息!$C:$C,盘货信息!$K:$K)&gt;0),"【全民可用，不限地址】",IF(AND(OR(_xlfn.XLOOKUP($A15&amp;$B15&amp;$C15,盘货信息!$A:$A&amp;盘货信息!$B:$B&amp;盘货信息!$C:$C,盘货信息!$L:$L)="否",_xlfn.XLOOKUP($A15&amp;$B15&amp;$C15,盘货信息!$A:$A&amp;盘货信息!$B:$B&amp;盘货信息!$C:$C,盘货信息!$L:$L)=""),_xlfn.XLOOKUP($A15&amp;$B15&amp;$C15,盘货信息!$A:$A&amp;盘货信息!$B:$B&amp;盘货信息!$C:$C,盘货信息!$M:$M)="是",_xlfn.XLOOKUP($A15&amp;$B15&amp;$C15,盘货信息!$A:$A&amp;盘货信息!$B:$B&amp;盘货信息!$C:$C,盘货信息!$K:$K)&gt;0),"【详情页领取】","")))</f>
        <v/>
      </c>
      <c r="M15" s="27" t="str" cm="1">
        <f t="array" ref="M15">IF($C15="","",IF(_xlfn.XLOOKUP($A15&amp;$B15&amp;$C15,盘货信息!$A:$A&amp;盘货信息!$B:$B&amp;盘货信息!$C:$C,盘货信息!$F:$F)&lt;1,"",_xlfn.XLOOKUP($A15&amp;$B15&amp;$C15,盘货信息!$A:$A&amp;盘货信息!$B:$B&amp;盘货信息!$C:$C,盘货信息!$F:$F)&amp;"元明卷"))</f>
        <v/>
      </c>
      <c r="N15" s="27" t="str">
        <f t="shared" si="1"/>
        <v/>
      </c>
      <c r="O15" s="27" t="str">
        <f>IF(I15="","","【消费券链接】"&amp;固定信息!$B$6)</f>
        <v/>
      </c>
    </row>
    <row r="16" customHeight="1" spans="1:15">
      <c r="A16" s="26" t="str">
        <f>IF(盘货信息!A16="","",盘货信息!A16)</f>
        <v/>
      </c>
      <c r="B16" s="26" t="str">
        <f>IF(盘货信息!B16="","",盘货信息!B16)</f>
        <v/>
      </c>
      <c r="C16" s="27" t="str">
        <f>IF(盘货信息!C16="","",盘货信息!C16)</f>
        <v/>
      </c>
      <c r="D16" s="27" t="str">
        <f t="shared" si="0"/>
        <v/>
      </c>
      <c r="E16" s="27" t="str" cm="1">
        <f t="array" ref="E16">IF($C16="","",IF(AND(OR(_xlfn.XLOOKUP($A16&amp;$B16&amp;$C16,盘货信息!$A:$A&amp;盘货信息!$B:$B&amp;盘货信息!$C:$C,盘货信息!$L:$L)="否",_xlfn.XLOOKUP($A16&amp;$B16&amp;$C16,盘货信息!$A:$A&amp;盘货信息!$B:$B&amp;盘货信息!$C:$C,盘货信息!$L:$L)=""),_xlfn.XLOOKUP($A16&amp;$B16&amp;$C16,盘货信息!$A:$A&amp;盘货信息!$B:$B&amp;盘货信息!$C:$C,盘货信息!$M:$M)="否"),"【预估到手价"&amp;_xlfn.XLOOKUP($A16&amp;$B16&amp;$C16,盘货信息!$A:$A&amp;盘货信息!$B:$B&amp;盘货信息!$C:$C,盘货信息!$D:$D)&amp;"元】",IF(AND(_xlfn.XLOOKUP($A16&amp;$B16&amp;$C16,盘货信息!$A:$A&amp;盘货信息!$B:$B&amp;盘货信息!$C:$C,盘货信息!$M:$M)="是",OR(_xlfn.XLOOKUP($A16&amp;$B16&amp;$C16,盘货信息!$A:$A&amp;盘货信息!$B:$B&amp;盘货信息!$C:$C,盘货信息!$L:$L)="否",_xlfn.XLOOKUP($A16&amp;$B16&amp;$C16,盘货信息!$A:$A&amp;盘货信息!$B:$B&amp;盘货信息!$C:$C,盘货信息!$L:$L)="")),"【预估到手价"&amp;_xlfn.XLOOKUP($A16&amp;$B16&amp;$C16,盘货信息!$A:$A&amp;盘货信息!$B:$B&amp;盘货信息!$C:$C,盘货信息!$D:$D)&amp;"元】"&amp;CHAR(10)&amp;"【焕新补贴预估价"&amp;ROUND(_xlfn.XLOOKUP($A16&amp;$B16&amp;$C16,盘货信息!$A:$A&amp;盘货信息!$B:$B&amp;盘货信息!$C:$C,盘货信息!$E:$E),0)&amp;"元】","【焕新补贴预估价"&amp;ROUND(_xlfn.XLOOKUP($A16&amp;$B16&amp;$C16,盘货信息!$A:$A&amp;盘货信息!$B:$B&amp;盘货信息!$C:$C,盘货信息!$E:$E),0)&amp;"元】")))</f>
        <v/>
      </c>
      <c r="F16" s="27" t="str" cm="1">
        <f t="array" ref="F16">IF($C16="","",_xlfn.XLOOKUP($A16&amp;$B16&amp;$C16,盘货信息!$A:$A&amp;盘货信息!$B:$B&amp;盘货信息!$C:$C,盘货信息!$D:$D)&amp;"元到手价")</f>
        <v/>
      </c>
      <c r="G16" s="27" t="str" cm="1">
        <f t="array" ref="G16">IF($C16="","",IF(_xlfn.XLOOKUP($A16&amp;$B16&amp;$C16,盘货信息!$A:$A&amp;盘货信息!$B:$B&amp;盘货信息!$C:$C,盘货信息!$G:$G)&lt;1,"",ROUND(_xlfn.XLOOKUP($A16&amp;$B16&amp;$C16,盘货信息!$A:$A&amp;盘货信息!$B:$B&amp;盘货信息!$C:$C,盘货信息!$G:$G),0)&amp;"元88VIP立减"))</f>
        <v/>
      </c>
      <c r="H16" s="27" t="str" cm="1">
        <f t="array" ref="H16">IF($C16="","",IF(_xlfn.XLOOKUP($A16&amp;$B16&amp;$C16,盘货信息!$A:$A&amp;盘货信息!$B:$B&amp;盘货信息!$C:$C,盘货信息!$I:$I)&lt;1,"",_xlfn.XLOOKUP($A16&amp;$B16&amp;$C16,盘货信息!$A:$A&amp;盘货信息!$B:$B&amp;盘货信息!$C:$C,盘货信息!$I:$I)&amp;"元惊喜立减"))</f>
        <v/>
      </c>
      <c r="I16" s="27" t="str" cm="1">
        <f t="array" ref="I16">IF($C16="","",IF(_xlfn.XLOOKUP($A16&amp;$B16&amp;$C16,盘货信息!$A:$A&amp;盘货信息!$B:$B&amp;盘货信息!$C:$C,盘货信息!$H:$H)&lt;1,"",ROUND(_xlfn.XLOOKUP($A16&amp;$B16&amp;$C16,盘货信息!$A:$A&amp;盘货信息!$B:$B&amp;盘货信息!$C:$C,盘货信息!$H:$H),0)&amp;"元消费券"))</f>
        <v/>
      </c>
      <c r="J16" s="27" t="str" cm="1">
        <f t="array" ref="J16">IF($C16="","",IF(_xlfn.XLOOKUP($A16&amp;$B16&amp;$C16,盘货信息!$A:$A&amp;盘货信息!$B:$B&amp;盘货信息!$C:$C,盘货信息!$J:$J)&lt;1,"",ROUND(_xlfn.XLOOKUP($A16&amp;$B16&amp;$C16,盘货信息!$A:$A&amp;盘货信息!$B:$B&amp;盘货信息!$C:$C,盘货信息!$J:$J),0)&amp;"元限时补贴"))</f>
        <v/>
      </c>
      <c r="K16" s="27" t="str" cm="1">
        <f t="array" ref="K16">IF($C16="","",IF(_xlfn.XLOOKUP($A16&amp;$B16&amp;$C16,盘货信息!$A:$A&amp;盘货信息!$B:$B&amp;盘货信息!$C:$C,盘货信息!$K:$K)&lt;1,"",ROUND(_xlfn.XLOOKUP($A16&amp;$B16&amp;$C16,盘货信息!$A:$A&amp;盘货信息!$B:$B&amp;盘货信息!$C:$C,盘货信息!$K:$K),0)&amp;"元预估焕新补贴"))</f>
        <v/>
      </c>
      <c r="L16" s="27" t="str" cm="1">
        <f t="array" ref="L16">IF($C16="","",IF(AND(_xlfn.XLOOKUP($A16&amp;$B16&amp;$C16,盘货信息!$A:$A&amp;盘货信息!$B:$B&amp;盘货信息!$C:$C,盘货信息!$L:$L)="是",_xlfn.XLOOKUP($A16&amp;$B16&amp;$C16,盘货信息!$A:$A&amp;盘货信息!$B:$B&amp;盘货信息!$C:$C,盘货信息!$M:$M)="是",_xlfn.XLOOKUP($A16&amp;$B16&amp;$C16,盘货信息!$A:$A&amp;盘货信息!$B:$B&amp;盘货信息!$C:$C,盘货信息!$K:$K)&gt;0),"【全民可用，不限地址】",IF(AND(OR(_xlfn.XLOOKUP($A16&amp;$B16&amp;$C16,盘货信息!$A:$A&amp;盘货信息!$B:$B&amp;盘货信息!$C:$C,盘货信息!$L:$L)="否",_xlfn.XLOOKUP($A16&amp;$B16&amp;$C16,盘货信息!$A:$A&amp;盘货信息!$B:$B&amp;盘货信息!$C:$C,盘货信息!$L:$L)=""),_xlfn.XLOOKUP($A16&amp;$B16&amp;$C16,盘货信息!$A:$A&amp;盘货信息!$B:$B&amp;盘货信息!$C:$C,盘货信息!$M:$M)="是",_xlfn.XLOOKUP($A16&amp;$B16&amp;$C16,盘货信息!$A:$A&amp;盘货信息!$B:$B&amp;盘货信息!$C:$C,盘货信息!$K:$K)&gt;0),"【详情页领取】","")))</f>
        <v/>
      </c>
      <c r="M16" s="27" t="str" cm="1">
        <f t="array" ref="M16">IF($C16="","",IF(_xlfn.XLOOKUP($A16&amp;$B16&amp;$C16,盘货信息!$A:$A&amp;盘货信息!$B:$B&amp;盘货信息!$C:$C,盘货信息!$F:$F)&lt;1,"",_xlfn.XLOOKUP($A16&amp;$B16&amp;$C16,盘货信息!$A:$A&amp;盘货信息!$B:$B&amp;盘货信息!$C:$C,盘货信息!$F:$F)&amp;"元明卷"))</f>
        <v/>
      </c>
      <c r="N16" s="27" t="str">
        <f t="shared" si="1"/>
        <v/>
      </c>
      <c r="O16" s="27" t="str">
        <f>IF(I16="","","【消费券链接】"&amp;固定信息!$B$6)</f>
        <v/>
      </c>
    </row>
    <row r="17" customHeight="1" spans="1:15">
      <c r="A17" s="26" t="str">
        <f>IF(盘货信息!A17="","",盘货信息!A17)</f>
        <v/>
      </c>
      <c r="B17" s="26" t="str">
        <f>IF(盘货信息!B17="","",盘货信息!B17)</f>
        <v/>
      </c>
      <c r="C17" s="27" t="str">
        <f>IF(盘货信息!C17="","",盘货信息!C17)</f>
        <v/>
      </c>
      <c r="D17" s="27" t="str">
        <f t="shared" si="0"/>
        <v/>
      </c>
      <c r="E17" s="27" t="str" cm="1">
        <f t="array" ref="E17">IF($C17="","",IF(AND(OR(_xlfn.XLOOKUP($A17&amp;$B17&amp;$C17,盘货信息!$A:$A&amp;盘货信息!$B:$B&amp;盘货信息!$C:$C,盘货信息!$L:$L)="否",_xlfn.XLOOKUP($A17&amp;$B17&amp;$C17,盘货信息!$A:$A&amp;盘货信息!$B:$B&amp;盘货信息!$C:$C,盘货信息!$L:$L)=""),_xlfn.XLOOKUP($A17&amp;$B17&amp;$C17,盘货信息!$A:$A&amp;盘货信息!$B:$B&amp;盘货信息!$C:$C,盘货信息!$M:$M)="否"),"【预估到手价"&amp;_xlfn.XLOOKUP($A17&amp;$B17&amp;$C17,盘货信息!$A:$A&amp;盘货信息!$B:$B&amp;盘货信息!$C:$C,盘货信息!$D:$D)&amp;"元】",IF(AND(_xlfn.XLOOKUP($A17&amp;$B17&amp;$C17,盘货信息!$A:$A&amp;盘货信息!$B:$B&amp;盘货信息!$C:$C,盘货信息!$M:$M)="是",OR(_xlfn.XLOOKUP($A17&amp;$B17&amp;$C17,盘货信息!$A:$A&amp;盘货信息!$B:$B&amp;盘货信息!$C:$C,盘货信息!$L:$L)="否",_xlfn.XLOOKUP($A17&amp;$B17&amp;$C17,盘货信息!$A:$A&amp;盘货信息!$B:$B&amp;盘货信息!$C:$C,盘货信息!$L:$L)="")),"【预估到手价"&amp;_xlfn.XLOOKUP($A17&amp;$B17&amp;$C17,盘货信息!$A:$A&amp;盘货信息!$B:$B&amp;盘货信息!$C:$C,盘货信息!$D:$D)&amp;"元】"&amp;CHAR(10)&amp;"【焕新补贴预估价"&amp;ROUND(_xlfn.XLOOKUP($A17&amp;$B17&amp;$C17,盘货信息!$A:$A&amp;盘货信息!$B:$B&amp;盘货信息!$C:$C,盘货信息!$E:$E),0)&amp;"元】","【焕新补贴预估价"&amp;ROUND(_xlfn.XLOOKUP($A17&amp;$B17&amp;$C17,盘货信息!$A:$A&amp;盘货信息!$B:$B&amp;盘货信息!$C:$C,盘货信息!$E:$E),0)&amp;"元】")))</f>
        <v/>
      </c>
      <c r="F17" s="27" t="str" cm="1">
        <f t="array" ref="F17">IF($C17="","",_xlfn.XLOOKUP($A17&amp;$B17&amp;$C17,盘货信息!$A:$A&amp;盘货信息!$B:$B&amp;盘货信息!$C:$C,盘货信息!$D:$D)&amp;"元到手价")</f>
        <v/>
      </c>
      <c r="G17" s="27" t="str" cm="1">
        <f t="array" ref="G17">IF($C17="","",IF(_xlfn.XLOOKUP($A17&amp;$B17&amp;$C17,盘货信息!$A:$A&amp;盘货信息!$B:$B&amp;盘货信息!$C:$C,盘货信息!$G:$G)&lt;1,"",ROUND(_xlfn.XLOOKUP($A17&amp;$B17&amp;$C17,盘货信息!$A:$A&amp;盘货信息!$B:$B&amp;盘货信息!$C:$C,盘货信息!$G:$G),0)&amp;"元88VIP立减"))</f>
        <v/>
      </c>
      <c r="H17" s="27" t="str" cm="1">
        <f t="array" ref="H17">IF($C17="","",IF(_xlfn.XLOOKUP($A17&amp;$B17&amp;$C17,盘货信息!$A:$A&amp;盘货信息!$B:$B&amp;盘货信息!$C:$C,盘货信息!$I:$I)&lt;1,"",_xlfn.XLOOKUP($A17&amp;$B17&amp;$C17,盘货信息!$A:$A&amp;盘货信息!$B:$B&amp;盘货信息!$C:$C,盘货信息!$I:$I)&amp;"元惊喜立减"))</f>
        <v/>
      </c>
      <c r="I17" s="27" t="str" cm="1">
        <f t="array" ref="I17">IF($C17="","",IF(_xlfn.XLOOKUP($A17&amp;$B17&amp;$C17,盘货信息!$A:$A&amp;盘货信息!$B:$B&amp;盘货信息!$C:$C,盘货信息!$H:$H)&lt;1,"",ROUND(_xlfn.XLOOKUP($A17&amp;$B17&amp;$C17,盘货信息!$A:$A&amp;盘货信息!$B:$B&amp;盘货信息!$C:$C,盘货信息!$H:$H),0)&amp;"元消费券"))</f>
        <v/>
      </c>
      <c r="J17" s="27" t="str" cm="1">
        <f t="array" ref="J17">IF($C17="","",IF(_xlfn.XLOOKUP($A17&amp;$B17&amp;$C17,盘货信息!$A:$A&amp;盘货信息!$B:$B&amp;盘货信息!$C:$C,盘货信息!$J:$J)&lt;1,"",ROUND(_xlfn.XLOOKUP($A17&amp;$B17&amp;$C17,盘货信息!$A:$A&amp;盘货信息!$B:$B&amp;盘货信息!$C:$C,盘货信息!$J:$J),0)&amp;"元限时补贴"))</f>
        <v/>
      </c>
      <c r="K17" s="27" t="str" cm="1">
        <f t="array" ref="K17">IF($C17="","",IF(_xlfn.XLOOKUP($A17&amp;$B17&amp;$C17,盘货信息!$A:$A&amp;盘货信息!$B:$B&amp;盘货信息!$C:$C,盘货信息!$K:$K)&lt;1,"",ROUND(_xlfn.XLOOKUP($A17&amp;$B17&amp;$C17,盘货信息!$A:$A&amp;盘货信息!$B:$B&amp;盘货信息!$C:$C,盘货信息!$K:$K),0)&amp;"元预估焕新补贴"))</f>
        <v/>
      </c>
      <c r="L17" s="27" t="str" cm="1">
        <f t="array" ref="L17">IF($C17="","",IF(AND(_xlfn.XLOOKUP($A17&amp;$B17&amp;$C17,盘货信息!$A:$A&amp;盘货信息!$B:$B&amp;盘货信息!$C:$C,盘货信息!$L:$L)="是",_xlfn.XLOOKUP($A17&amp;$B17&amp;$C17,盘货信息!$A:$A&amp;盘货信息!$B:$B&amp;盘货信息!$C:$C,盘货信息!$M:$M)="是",_xlfn.XLOOKUP($A17&amp;$B17&amp;$C17,盘货信息!$A:$A&amp;盘货信息!$B:$B&amp;盘货信息!$C:$C,盘货信息!$K:$K)&gt;0),"【全民可用，不限地址】",IF(AND(OR(_xlfn.XLOOKUP($A17&amp;$B17&amp;$C17,盘货信息!$A:$A&amp;盘货信息!$B:$B&amp;盘货信息!$C:$C,盘货信息!$L:$L)="否",_xlfn.XLOOKUP($A17&amp;$B17&amp;$C17,盘货信息!$A:$A&amp;盘货信息!$B:$B&amp;盘货信息!$C:$C,盘货信息!$L:$L)=""),_xlfn.XLOOKUP($A17&amp;$B17&amp;$C17,盘货信息!$A:$A&amp;盘货信息!$B:$B&amp;盘货信息!$C:$C,盘货信息!$M:$M)="是",_xlfn.XLOOKUP($A17&amp;$B17&amp;$C17,盘货信息!$A:$A&amp;盘货信息!$B:$B&amp;盘货信息!$C:$C,盘货信息!$K:$K)&gt;0),"【详情页领取】","")))</f>
        <v/>
      </c>
      <c r="M17" s="27" t="str" cm="1">
        <f t="array" ref="M17">IF($C17="","",IF(_xlfn.XLOOKUP($A17&amp;$B17&amp;$C17,盘货信息!$A:$A&amp;盘货信息!$B:$B&amp;盘货信息!$C:$C,盘货信息!$F:$F)&lt;1,"",_xlfn.XLOOKUP($A17&amp;$B17&amp;$C17,盘货信息!$A:$A&amp;盘货信息!$B:$B&amp;盘货信息!$C:$C,盘货信息!$F:$F)&amp;"元明卷"))</f>
        <v/>
      </c>
      <c r="N17" s="27" t="str">
        <f t="shared" si="1"/>
        <v/>
      </c>
      <c r="O17" s="27" t="str">
        <f>IF(I17="","","【消费券链接】"&amp;固定信息!$B$6)</f>
        <v/>
      </c>
    </row>
    <row r="18" customHeight="1" spans="1:15">
      <c r="A18" s="26" t="str">
        <f>IF(盘货信息!A18="","",盘货信息!A18)</f>
        <v/>
      </c>
      <c r="B18" s="26" t="str">
        <f>IF(盘货信息!B18="","",盘货信息!B18)</f>
        <v/>
      </c>
      <c r="C18" s="27" t="str">
        <f>IF(盘货信息!C18="","",盘货信息!C18)</f>
        <v/>
      </c>
      <c r="D18" s="27" t="str">
        <f t="shared" si="0"/>
        <v/>
      </c>
      <c r="E18" s="27" t="str" cm="1">
        <f t="array" ref="E18">IF($C18="","",IF(AND(OR(_xlfn.XLOOKUP($A18&amp;$B18&amp;$C18,盘货信息!$A:$A&amp;盘货信息!$B:$B&amp;盘货信息!$C:$C,盘货信息!$L:$L)="否",_xlfn.XLOOKUP($A18&amp;$B18&amp;$C18,盘货信息!$A:$A&amp;盘货信息!$B:$B&amp;盘货信息!$C:$C,盘货信息!$L:$L)=""),_xlfn.XLOOKUP($A18&amp;$B18&amp;$C18,盘货信息!$A:$A&amp;盘货信息!$B:$B&amp;盘货信息!$C:$C,盘货信息!$M:$M)="否"),"【预估到手价"&amp;_xlfn.XLOOKUP($A18&amp;$B18&amp;$C18,盘货信息!$A:$A&amp;盘货信息!$B:$B&amp;盘货信息!$C:$C,盘货信息!$D:$D)&amp;"元】",IF(AND(_xlfn.XLOOKUP($A18&amp;$B18&amp;$C18,盘货信息!$A:$A&amp;盘货信息!$B:$B&amp;盘货信息!$C:$C,盘货信息!$M:$M)="是",OR(_xlfn.XLOOKUP($A18&amp;$B18&amp;$C18,盘货信息!$A:$A&amp;盘货信息!$B:$B&amp;盘货信息!$C:$C,盘货信息!$L:$L)="否",_xlfn.XLOOKUP($A18&amp;$B18&amp;$C18,盘货信息!$A:$A&amp;盘货信息!$B:$B&amp;盘货信息!$C:$C,盘货信息!$L:$L)="")),"【预估到手价"&amp;_xlfn.XLOOKUP($A18&amp;$B18&amp;$C18,盘货信息!$A:$A&amp;盘货信息!$B:$B&amp;盘货信息!$C:$C,盘货信息!$D:$D)&amp;"元】"&amp;CHAR(10)&amp;"【焕新补贴预估价"&amp;ROUND(_xlfn.XLOOKUP($A18&amp;$B18&amp;$C18,盘货信息!$A:$A&amp;盘货信息!$B:$B&amp;盘货信息!$C:$C,盘货信息!$E:$E),0)&amp;"元】","【焕新补贴预估价"&amp;ROUND(_xlfn.XLOOKUP($A18&amp;$B18&amp;$C18,盘货信息!$A:$A&amp;盘货信息!$B:$B&amp;盘货信息!$C:$C,盘货信息!$E:$E),0)&amp;"元】")))</f>
        <v/>
      </c>
      <c r="F18" s="27" t="str" cm="1">
        <f t="array" ref="F18">IF($C18="","",_xlfn.XLOOKUP($A18&amp;$B18&amp;$C18,盘货信息!$A:$A&amp;盘货信息!$B:$B&amp;盘货信息!$C:$C,盘货信息!$D:$D)&amp;"元到手价")</f>
        <v/>
      </c>
      <c r="G18" s="27" t="str" cm="1">
        <f t="array" ref="G18">IF($C18="","",IF(_xlfn.XLOOKUP($A18&amp;$B18&amp;$C18,盘货信息!$A:$A&amp;盘货信息!$B:$B&amp;盘货信息!$C:$C,盘货信息!$G:$G)&lt;1,"",ROUND(_xlfn.XLOOKUP($A18&amp;$B18&amp;$C18,盘货信息!$A:$A&amp;盘货信息!$B:$B&amp;盘货信息!$C:$C,盘货信息!$G:$G),0)&amp;"元88VIP立减"))</f>
        <v/>
      </c>
      <c r="H18" s="27" t="str" cm="1">
        <f t="array" ref="H18">IF($C18="","",IF(_xlfn.XLOOKUP($A18&amp;$B18&amp;$C18,盘货信息!$A:$A&amp;盘货信息!$B:$B&amp;盘货信息!$C:$C,盘货信息!$I:$I)&lt;1,"",_xlfn.XLOOKUP($A18&amp;$B18&amp;$C18,盘货信息!$A:$A&amp;盘货信息!$B:$B&amp;盘货信息!$C:$C,盘货信息!$I:$I)&amp;"元惊喜立减"))</f>
        <v/>
      </c>
      <c r="I18" s="27" t="str" cm="1">
        <f t="array" ref="I18">IF($C18="","",IF(_xlfn.XLOOKUP($A18&amp;$B18&amp;$C18,盘货信息!$A:$A&amp;盘货信息!$B:$B&amp;盘货信息!$C:$C,盘货信息!$H:$H)&lt;1,"",ROUND(_xlfn.XLOOKUP($A18&amp;$B18&amp;$C18,盘货信息!$A:$A&amp;盘货信息!$B:$B&amp;盘货信息!$C:$C,盘货信息!$H:$H),0)&amp;"元消费券"))</f>
        <v/>
      </c>
      <c r="J18" s="27" t="str" cm="1">
        <f t="array" ref="J18">IF($C18="","",IF(_xlfn.XLOOKUP($A18&amp;$B18&amp;$C18,盘货信息!$A:$A&amp;盘货信息!$B:$B&amp;盘货信息!$C:$C,盘货信息!$J:$J)&lt;1,"",ROUND(_xlfn.XLOOKUP($A18&amp;$B18&amp;$C18,盘货信息!$A:$A&amp;盘货信息!$B:$B&amp;盘货信息!$C:$C,盘货信息!$J:$J),0)&amp;"元限时补贴"))</f>
        <v/>
      </c>
      <c r="K18" s="27" t="str" cm="1">
        <f t="array" ref="K18">IF($C18="","",IF(_xlfn.XLOOKUP($A18&amp;$B18&amp;$C18,盘货信息!$A:$A&amp;盘货信息!$B:$B&amp;盘货信息!$C:$C,盘货信息!$K:$K)&lt;1,"",ROUND(_xlfn.XLOOKUP($A18&amp;$B18&amp;$C18,盘货信息!$A:$A&amp;盘货信息!$B:$B&amp;盘货信息!$C:$C,盘货信息!$K:$K),0)&amp;"元预估焕新补贴"))</f>
        <v/>
      </c>
      <c r="L18" s="27" t="str" cm="1">
        <f t="array" ref="L18">IF($C18="","",IF(AND(_xlfn.XLOOKUP($A18&amp;$B18&amp;$C18,盘货信息!$A:$A&amp;盘货信息!$B:$B&amp;盘货信息!$C:$C,盘货信息!$L:$L)="是",_xlfn.XLOOKUP($A18&amp;$B18&amp;$C18,盘货信息!$A:$A&amp;盘货信息!$B:$B&amp;盘货信息!$C:$C,盘货信息!$M:$M)="是",_xlfn.XLOOKUP($A18&amp;$B18&amp;$C18,盘货信息!$A:$A&amp;盘货信息!$B:$B&amp;盘货信息!$C:$C,盘货信息!$K:$K)&gt;0),"【全民可用，不限地址】",IF(AND(OR(_xlfn.XLOOKUP($A18&amp;$B18&amp;$C18,盘货信息!$A:$A&amp;盘货信息!$B:$B&amp;盘货信息!$C:$C,盘货信息!$L:$L)="否",_xlfn.XLOOKUP($A18&amp;$B18&amp;$C18,盘货信息!$A:$A&amp;盘货信息!$B:$B&amp;盘货信息!$C:$C,盘货信息!$L:$L)=""),_xlfn.XLOOKUP($A18&amp;$B18&amp;$C18,盘货信息!$A:$A&amp;盘货信息!$B:$B&amp;盘货信息!$C:$C,盘货信息!$M:$M)="是",_xlfn.XLOOKUP($A18&amp;$B18&amp;$C18,盘货信息!$A:$A&amp;盘货信息!$B:$B&amp;盘货信息!$C:$C,盘货信息!$K:$K)&gt;0),"【详情页领取】","")))</f>
        <v/>
      </c>
      <c r="M18" s="27" t="str" cm="1">
        <f t="array" ref="M18">IF($C18="","",IF(_xlfn.XLOOKUP($A18&amp;$B18&amp;$C18,盘货信息!$A:$A&amp;盘货信息!$B:$B&amp;盘货信息!$C:$C,盘货信息!$F:$F)&lt;1,"",_xlfn.XLOOKUP($A18&amp;$B18&amp;$C18,盘货信息!$A:$A&amp;盘货信息!$B:$B&amp;盘货信息!$C:$C,盘货信息!$F:$F)&amp;"元明卷"))</f>
        <v/>
      </c>
      <c r="N18" s="27" t="str">
        <f t="shared" si="1"/>
        <v/>
      </c>
      <c r="O18" s="27" t="str">
        <f>IF(I18="","","【消费券链接】"&amp;固定信息!$B$6)</f>
        <v/>
      </c>
    </row>
    <row r="19" customHeight="1" spans="1:15">
      <c r="A19" s="26" t="str">
        <f>IF(盘货信息!A19="","",盘货信息!A19)</f>
        <v/>
      </c>
      <c r="B19" s="26" t="str">
        <f>IF(盘货信息!B19="","",盘货信息!B19)</f>
        <v/>
      </c>
      <c r="C19" s="27" t="str">
        <f>IF(盘货信息!C19="","",盘货信息!C19)</f>
        <v/>
      </c>
      <c r="D19" s="27" t="str">
        <f t="shared" si="0"/>
        <v/>
      </c>
      <c r="E19" s="27" t="str" cm="1">
        <f t="array" ref="E19">IF($C19="","",IF(AND(OR(_xlfn.XLOOKUP($A19&amp;$B19&amp;$C19,盘货信息!$A:$A&amp;盘货信息!$B:$B&amp;盘货信息!$C:$C,盘货信息!$L:$L)="否",_xlfn.XLOOKUP($A19&amp;$B19&amp;$C19,盘货信息!$A:$A&amp;盘货信息!$B:$B&amp;盘货信息!$C:$C,盘货信息!$L:$L)=""),_xlfn.XLOOKUP($A19&amp;$B19&amp;$C19,盘货信息!$A:$A&amp;盘货信息!$B:$B&amp;盘货信息!$C:$C,盘货信息!$M:$M)="否"),"【预估到手价"&amp;_xlfn.XLOOKUP($A19&amp;$B19&amp;$C19,盘货信息!$A:$A&amp;盘货信息!$B:$B&amp;盘货信息!$C:$C,盘货信息!$D:$D)&amp;"元】",IF(AND(_xlfn.XLOOKUP($A19&amp;$B19&amp;$C19,盘货信息!$A:$A&amp;盘货信息!$B:$B&amp;盘货信息!$C:$C,盘货信息!$M:$M)="是",OR(_xlfn.XLOOKUP($A19&amp;$B19&amp;$C19,盘货信息!$A:$A&amp;盘货信息!$B:$B&amp;盘货信息!$C:$C,盘货信息!$L:$L)="否",_xlfn.XLOOKUP($A19&amp;$B19&amp;$C19,盘货信息!$A:$A&amp;盘货信息!$B:$B&amp;盘货信息!$C:$C,盘货信息!$L:$L)="")),"【预估到手价"&amp;_xlfn.XLOOKUP($A19&amp;$B19&amp;$C19,盘货信息!$A:$A&amp;盘货信息!$B:$B&amp;盘货信息!$C:$C,盘货信息!$D:$D)&amp;"元】"&amp;CHAR(10)&amp;"【焕新补贴预估价"&amp;ROUND(_xlfn.XLOOKUP($A19&amp;$B19&amp;$C19,盘货信息!$A:$A&amp;盘货信息!$B:$B&amp;盘货信息!$C:$C,盘货信息!$E:$E),0)&amp;"元】","【焕新补贴预估价"&amp;ROUND(_xlfn.XLOOKUP($A19&amp;$B19&amp;$C19,盘货信息!$A:$A&amp;盘货信息!$B:$B&amp;盘货信息!$C:$C,盘货信息!$E:$E),0)&amp;"元】")))</f>
        <v/>
      </c>
      <c r="F19" s="27" t="str" cm="1">
        <f t="array" ref="F19">IF($C19="","",_xlfn.XLOOKUP($A19&amp;$B19&amp;$C19,盘货信息!$A:$A&amp;盘货信息!$B:$B&amp;盘货信息!$C:$C,盘货信息!$D:$D)&amp;"元到手价")</f>
        <v/>
      </c>
      <c r="G19" s="27" t="str" cm="1">
        <f t="array" ref="G19">IF($C19="","",IF(_xlfn.XLOOKUP($A19&amp;$B19&amp;$C19,盘货信息!$A:$A&amp;盘货信息!$B:$B&amp;盘货信息!$C:$C,盘货信息!$G:$G)&lt;1,"",ROUND(_xlfn.XLOOKUP($A19&amp;$B19&amp;$C19,盘货信息!$A:$A&amp;盘货信息!$B:$B&amp;盘货信息!$C:$C,盘货信息!$G:$G),0)&amp;"元88VIP立减"))</f>
        <v/>
      </c>
      <c r="H19" s="27" t="str" cm="1">
        <f t="array" ref="H19">IF($C19="","",IF(_xlfn.XLOOKUP($A19&amp;$B19&amp;$C19,盘货信息!$A:$A&amp;盘货信息!$B:$B&amp;盘货信息!$C:$C,盘货信息!$I:$I)&lt;1,"",_xlfn.XLOOKUP($A19&amp;$B19&amp;$C19,盘货信息!$A:$A&amp;盘货信息!$B:$B&amp;盘货信息!$C:$C,盘货信息!$I:$I)&amp;"元惊喜立减"))</f>
        <v/>
      </c>
      <c r="I19" s="27" t="str" cm="1">
        <f t="array" ref="I19">IF($C19="","",IF(_xlfn.XLOOKUP($A19&amp;$B19&amp;$C19,盘货信息!$A:$A&amp;盘货信息!$B:$B&amp;盘货信息!$C:$C,盘货信息!$H:$H)&lt;1,"",ROUND(_xlfn.XLOOKUP($A19&amp;$B19&amp;$C19,盘货信息!$A:$A&amp;盘货信息!$B:$B&amp;盘货信息!$C:$C,盘货信息!$H:$H),0)&amp;"元消费券"))</f>
        <v/>
      </c>
      <c r="J19" s="27" t="str" cm="1">
        <f t="array" ref="J19">IF($C19="","",IF(_xlfn.XLOOKUP($A19&amp;$B19&amp;$C19,盘货信息!$A:$A&amp;盘货信息!$B:$B&amp;盘货信息!$C:$C,盘货信息!$J:$J)&lt;1,"",ROUND(_xlfn.XLOOKUP($A19&amp;$B19&amp;$C19,盘货信息!$A:$A&amp;盘货信息!$B:$B&amp;盘货信息!$C:$C,盘货信息!$J:$J),0)&amp;"元限时补贴"))</f>
        <v/>
      </c>
      <c r="K19" s="27" t="str" cm="1">
        <f t="array" ref="K19">IF($C19="","",IF(_xlfn.XLOOKUP($A19&amp;$B19&amp;$C19,盘货信息!$A:$A&amp;盘货信息!$B:$B&amp;盘货信息!$C:$C,盘货信息!$K:$K)&lt;1,"",ROUND(_xlfn.XLOOKUP($A19&amp;$B19&amp;$C19,盘货信息!$A:$A&amp;盘货信息!$B:$B&amp;盘货信息!$C:$C,盘货信息!$K:$K),0)&amp;"元预估焕新补贴"))</f>
        <v/>
      </c>
      <c r="L19" s="27" t="str" cm="1">
        <f t="array" ref="L19">IF($C19="","",IF(AND(_xlfn.XLOOKUP($A19&amp;$B19&amp;$C19,盘货信息!$A:$A&amp;盘货信息!$B:$B&amp;盘货信息!$C:$C,盘货信息!$L:$L)="是",_xlfn.XLOOKUP($A19&amp;$B19&amp;$C19,盘货信息!$A:$A&amp;盘货信息!$B:$B&amp;盘货信息!$C:$C,盘货信息!$M:$M)="是",_xlfn.XLOOKUP($A19&amp;$B19&amp;$C19,盘货信息!$A:$A&amp;盘货信息!$B:$B&amp;盘货信息!$C:$C,盘货信息!$K:$K)&gt;0),"【全民可用，不限地址】",IF(AND(OR(_xlfn.XLOOKUP($A19&amp;$B19&amp;$C19,盘货信息!$A:$A&amp;盘货信息!$B:$B&amp;盘货信息!$C:$C,盘货信息!$L:$L)="否",_xlfn.XLOOKUP($A19&amp;$B19&amp;$C19,盘货信息!$A:$A&amp;盘货信息!$B:$B&amp;盘货信息!$C:$C,盘货信息!$L:$L)=""),_xlfn.XLOOKUP($A19&amp;$B19&amp;$C19,盘货信息!$A:$A&amp;盘货信息!$B:$B&amp;盘货信息!$C:$C,盘货信息!$M:$M)="是",_xlfn.XLOOKUP($A19&amp;$B19&amp;$C19,盘货信息!$A:$A&amp;盘货信息!$B:$B&amp;盘货信息!$C:$C,盘货信息!$K:$K)&gt;0),"【详情页领取】","")))</f>
        <v/>
      </c>
      <c r="M19" s="27" t="str" cm="1">
        <f t="array" ref="M19">IF($C19="","",IF(_xlfn.XLOOKUP($A19&amp;$B19&amp;$C19,盘货信息!$A:$A&amp;盘货信息!$B:$B&amp;盘货信息!$C:$C,盘货信息!$F:$F)&lt;1,"",_xlfn.XLOOKUP($A19&amp;$B19&amp;$C19,盘货信息!$A:$A&amp;盘货信息!$B:$B&amp;盘货信息!$C:$C,盘货信息!$F:$F)&amp;"元明卷"))</f>
        <v/>
      </c>
      <c r="N19" s="27" t="str">
        <f t="shared" si="1"/>
        <v/>
      </c>
      <c r="O19" s="27" t="str">
        <f>IF(I19="","","【消费券链接】"&amp;固定信息!$B$6)</f>
        <v/>
      </c>
    </row>
    <row r="20" customHeight="1" spans="1:15">
      <c r="A20" s="26" t="str">
        <f>IF(盘货信息!A20="","",盘货信息!A20)</f>
        <v/>
      </c>
      <c r="B20" s="26" t="str">
        <f>IF(盘货信息!B20="","",盘货信息!B20)</f>
        <v/>
      </c>
      <c r="C20" s="27" t="str">
        <f>IF(盘货信息!C20="","",盘货信息!C20)</f>
        <v/>
      </c>
      <c r="D20" s="27" t="str">
        <f t="shared" si="0"/>
        <v/>
      </c>
      <c r="E20" s="27" t="str" cm="1">
        <f t="array" ref="E20">IF($C20="","",IF(AND(OR(_xlfn.XLOOKUP($A20&amp;$B20&amp;$C20,盘货信息!$A:$A&amp;盘货信息!$B:$B&amp;盘货信息!$C:$C,盘货信息!$L:$L)="否",_xlfn.XLOOKUP($A20&amp;$B20&amp;$C20,盘货信息!$A:$A&amp;盘货信息!$B:$B&amp;盘货信息!$C:$C,盘货信息!$L:$L)=""),_xlfn.XLOOKUP($A20&amp;$B20&amp;$C20,盘货信息!$A:$A&amp;盘货信息!$B:$B&amp;盘货信息!$C:$C,盘货信息!$M:$M)="否"),"【预估到手价"&amp;_xlfn.XLOOKUP($A20&amp;$B20&amp;$C20,盘货信息!$A:$A&amp;盘货信息!$B:$B&amp;盘货信息!$C:$C,盘货信息!$D:$D)&amp;"元】",IF(AND(_xlfn.XLOOKUP($A20&amp;$B20&amp;$C20,盘货信息!$A:$A&amp;盘货信息!$B:$B&amp;盘货信息!$C:$C,盘货信息!$M:$M)="是",OR(_xlfn.XLOOKUP($A20&amp;$B20&amp;$C20,盘货信息!$A:$A&amp;盘货信息!$B:$B&amp;盘货信息!$C:$C,盘货信息!$L:$L)="否",_xlfn.XLOOKUP($A20&amp;$B20&amp;$C20,盘货信息!$A:$A&amp;盘货信息!$B:$B&amp;盘货信息!$C:$C,盘货信息!$L:$L)="")),"【预估到手价"&amp;_xlfn.XLOOKUP($A20&amp;$B20&amp;$C20,盘货信息!$A:$A&amp;盘货信息!$B:$B&amp;盘货信息!$C:$C,盘货信息!$D:$D)&amp;"元】"&amp;CHAR(10)&amp;"【焕新补贴预估价"&amp;ROUND(_xlfn.XLOOKUP($A20&amp;$B20&amp;$C20,盘货信息!$A:$A&amp;盘货信息!$B:$B&amp;盘货信息!$C:$C,盘货信息!$E:$E),0)&amp;"元】","【焕新补贴预估价"&amp;ROUND(_xlfn.XLOOKUP($A20&amp;$B20&amp;$C20,盘货信息!$A:$A&amp;盘货信息!$B:$B&amp;盘货信息!$C:$C,盘货信息!$E:$E),0)&amp;"元】")))</f>
        <v/>
      </c>
      <c r="F20" s="27" t="str" cm="1">
        <f t="array" ref="F20">IF($C20="","",_xlfn.XLOOKUP($A20&amp;$B20&amp;$C20,盘货信息!$A:$A&amp;盘货信息!$B:$B&amp;盘货信息!$C:$C,盘货信息!$D:$D)&amp;"元到手价")</f>
        <v/>
      </c>
      <c r="G20" s="27" t="str" cm="1">
        <f t="array" ref="G20">IF($C20="","",IF(_xlfn.XLOOKUP($A20&amp;$B20&amp;$C20,盘货信息!$A:$A&amp;盘货信息!$B:$B&amp;盘货信息!$C:$C,盘货信息!$G:$G)&lt;1,"",ROUND(_xlfn.XLOOKUP($A20&amp;$B20&amp;$C20,盘货信息!$A:$A&amp;盘货信息!$B:$B&amp;盘货信息!$C:$C,盘货信息!$G:$G),0)&amp;"元88VIP立减"))</f>
        <v/>
      </c>
      <c r="H20" s="27" t="str" cm="1">
        <f t="array" ref="H20">IF($C20="","",IF(_xlfn.XLOOKUP($A20&amp;$B20&amp;$C20,盘货信息!$A:$A&amp;盘货信息!$B:$B&amp;盘货信息!$C:$C,盘货信息!$I:$I)&lt;1,"",_xlfn.XLOOKUP($A20&amp;$B20&amp;$C20,盘货信息!$A:$A&amp;盘货信息!$B:$B&amp;盘货信息!$C:$C,盘货信息!$I:$I)&amp;"元惊喜立减"))</f>
        <v/>
      </c>
      <c r="I20" s="27" t="str" cm="1">
        <f t="array" ref="I20">IF($C20="","",IF(_xlfn.XLOOKUP($A20&amp;$B20&amp;$C20,盘货信息!$A:$A&amp;盘货信息!$B:$B&amp;盘货信息!$C:$C,盘货信息!$H:$H)&lt;1,"",ROUND(_xlfn.XLOOKUP($A20&amp;$B20&amp;$C20,盘货信息!$A:$A&amp;盘货信息!$B:$B&amp;盘货信息!$C:$C,盘货信息!$H:$H),0)&amp;"元消费券"))</f>
        <v/>
      </c>
      <c r="J20" s="27" t="str" cm="1">
        <f t="array" ref="J20">IF($C20="","",IF(_xlfn.XLOOKUP($A20&amp;$B20&amp;$C20,盘货信息!$A:$A&amp;盘货信息!$B:$B&amp;盘货信息!$C:$C,盘货信息!$J:$J)&lt;1,"",ROUND(_xlfn.XLOOKUP($A20&amp;$B20&amp;$C20,盘货信息!$A:$A&amp;盘货信息!$B:$B&amp;盘货信息!$C:$C,盘货信息!$J:$J),0)&amp;"元限时补贴"))</f>
        <v/>
      </c>
      <c r="K20" s="27" t="str" cm="1">
        <f t="array" ref="K20">IF($C20="","",IF(_xlfn.XLOOKUP($A20&amp;$B20&amp;$C20,盘货信息!$A:$A&amp;盘货信息!$B:$B&amp;盘货信息!$C:$C,盘货信息!$K:$K)&lt;1,"",ROUND(_xlfn.XLOOKUP($A20&amp;$B20&amp;$C20,盘货信息!$A:$A&amp;盘货信息!$B:$B&amp;盘货信息!$C:$C,盘货信息!$K:$K),0)&amp;"元预估焕新补贴"))</f>
        <v/>
      </c>
      <c r="L20" s="27" t="str" cm="1">
        <f t="array" ref="L20">IF($C20="","",IF(AND(_xlfn.XLOOKUP($A20&amp;$B20&amp;$C20,盘货信息!$A:$A&amp;盘货信息!$B:$B&amp;盘货信息!$C:$C,盘货信息!$L:$L)="是",_xlfn.XLOOKUP($A20&amp;$B20&amp;$C20,盘货信息!$A:$A&amp;盘货信息!$B:$B&amp;盘货信息!$C:$C,盘货信息!$M:$M)="是",_xlfn.XLOOKUP($A20&amp;$B20&amp;$C20,盘货信息!$A:$A&amp;盘货信息!$B:$B&amp;盘货信息!$C:$C,盘货信息!$K:$K)&gt;0),"【全民可用，不限地址】",IF(AND(OR(_xlfn.XLOOKUP($A20&amp;$B20&amp;$C20,盘货信息!$A:$A&amp;盘货信息!$B:$B&amp;盘货信息!$C:$C,盘货信息!$L:$L)="否",_xlfn.XLOOKUP($A20&amp;$B20&amp;$C20,盘货信息!$A:$A&amp;盘货信息!$B:$B&amp;盘货信息!$C:$C,盘货信息!$L:$L)=""),_xlfn.XLOOKUP($A20&amp;$B20&amp;$C20,盘货信息!$A:$A&amp;盘货信息!$B:$B&amp;盘货信息!$C:$C,盘货信息!$M:$M)="是",_xlfn.XLOOKUP($A20&amp;$B20&amp;$C20,盘货信息!$A:$A&amp;盘货信息!$B:$B&amp;盘货信息!$C:$C,盘货信息!$K:$K)&gt;0),"【详情页领取】","")))</f>
        <v/>
      </c>
      <c r="M20" s="27" t="str" cm="1">
        <f t="array" ref="M20">IF($C20="","",IF(_xlfn.XLOOKUP($A20&amp;$B20&amp;$C20,盘货信息!$A:$A&amp;盘货信息!$B:$B&amp;盘货信息!$C:$C,盘货信息!$F:$F)&lt;1,"",_xlfn.XLOOKUP($A20&amp;$B20&amp;$C20,盘货信息!$A:$A&amp;盘货信息!$B:$B&amp;盘货信息!$C:$C,盘货信息!$F:$F)&amp;"元明卷"))</f>
        <v/>
      </c>
      <c r="N20" s="27" t="str">
        <f t="shared" si="1"/>
        <v/>
      </c>
      <c r="O20" s="27" t="str">
        <f>IF(I20="","","【消费券链接】"&amp;固定信息!$B$6)</f>
        <v/>
      </c>
    </row>
    <row r="21" customHeight="1" spans="1:15">
      <c r="A21" s="26" t="str">
        <f>IF(盘货信息!A21="","",盘货信息!A21)</f>
        <v/>
      </c>
      <c r="B21" s="26" t="str">
        <f>IF(盘货信息!B21="","",盘货信息!B21)</f>
        <v/>
      </c>
      <c r="C21" s="27" t="str">
        <f>IF(盘货信息!C21="","",盘货信息!C21)</f>
        <v/>
      </c>
      <c r="D21" s="27" t="str">
        <f t="shared" si="0"/>
        <v/>
      </c>
      <c r="E21" s="27" t="str" cm="1">
        <f t="array" ref="E21">IF($C21="","",IF(AND(OR(_xlfn.XLOOKUP($A21&amp;$B21&amp;$C21,盘货信息!$A:$A&amp;盘货信息!$B:$B&amp;盘货信息!$C:$C,盘货信息!$L:$L)="否",_xlfn.XLOOKUP($A21&amp;$B21&amp;$C21,盘货信息!$A:$A&amp;盘货信息!$B:$B&amp;盘货信息!$C:$C,盘货信息!$L:$L)=""),_xlfn.XLOOKUP($A21&amp;$B21&amp;$C21,盘货信息!$A:$A&amp;盘货信息!$B:$B&amp;盘货信息!$C:$C,盘货信息!$M:$M)="否"),"【预估到手价"&amp;_xlfn.XLOOKUP($A21&amp;$B21&amp;$C21,盘货信息!$A:$A&amp;盘货信息!$B:$B&amp;盘货信息!$C:$C,盘货信息!$D:$D)&amp;"元】",IF(AND(_xlfn.XLOOKUP($A21&amp;$B21&amp;$C21,盘货信息!$A:$A&amp;盘货信息!$B:$B&amp;盘货信息!$C:$C,盘货信息!$M:$M)="是",OR(_xlfn.XLOOKUP($A21&amp;$B21&amp;$C21,盘货信息!$A:$A&amp;盘货信息!$B:$B&amp;盘货信息!$C:$C,盘货信息!$L:$L)="否",_xlfn.XLOOKUP($A21&amp;$B21&amp;$C21,盘货信息!$A:$A&amp;盘货信息!$B:$B&amp;盘货信息!$C:$C,盘货信息!$L:$L)="")),"【预估到手价"&amp;_xlfn.XLOOKUP($A21&amp;$B21&amp;$C21,盘货信息!$A:$A&amp;盘货信息!$B:$B&amp;盘货信息!$C:$C,盘货信息!$D:$D)&amp;"元】"&amp;CHAR(10)&amp;"【焕新补贴预估价"&amp;ROUND(_xlfn.XLOOKUP($A21&amp;$B21&amp;$C21,盘货信息!$A:$A&amp;盘货信息!$B:$B&amp;盘货信息!$C:$C,盘货信息!$E:$E),0)&amp;"元】","【焕新补贴预估价"&amp;ROUND(_xlfn.XLOOKUP($A21&amp;$B21&amp;$C21,盘货信息!$A:$A&amp;盘货信息!$B:$B&amp;盘货信息!$C:$C,盘货信息!$E:$E),0)&amp;"元】")))</f>
        <v/>
      </c>
      <c r="F21" s="27" t="str" cm="1">
        <f t="array" ref="F21">IF($C21="","",_xlfn.XLOOKUP($A21&amp;$B21&amp;$C21,盘货信息!$A:$A&amp;盘货信息!$B:$B&amp;盘货信息!$C:$C,盘货信息!$D:$D)&amp;"元到手价")</f>
        <v/>
      </c>
      <c r="G21" s="27" t="str" cm="1">
        <f t="array" ref="G21">IF($C21="","",IF(_xlfn.XLOOKUP($A21&amp;$B21&amp;$C21,盘货信息!$A:$A&amp;盘货信息!$B:$B&amp;盘货信息!$C:$C,盘货信息!$G:$G)&lt;1,"",ROUND(_xlfn.XLOOKUP($A21&amp;$B21&amp;$C21,盘货信息!$A:$A&amp;盘货信息!$B:$B&amp;盘货信息!$C:$C,盘货信息!$G:$G),0)&amp;"元88VIP立减"))</f>
        <v/>
      </c>
      <c r="H21" s="27" t="str" cm="1">
        <f t="array" ref="H21">IF($C21="","",IF(_xlfn.XLOOKUP($A21&amp;$B21&amp;$C21,盘货信息!$A:$A&amp;盘货信息!$B:$B&amp;盘货信息!$C:$C,盘货信息!$I:$I)&lt;1,"",_xlfn.XLOOKUP($A21&amp;$B21&amp;$C21,盘货信息!$A:$A&amp;盘货信息!$B:$B&amp;盘货信息!$C:$C,盘货信息!$I:$I)&amp;"元惊喜立减"))</f>
        <v/>
      </c>
      <c r="I21" s="27" t="str" cm="1">
        <f t="array" ref="I21">IF($C21="","",IF(_xlfn.XLOOKUP($A21&amp;$B21&amp;$C21,盘货信息!$A:$A&amp;盘货信息!$B:$B&amp;盘货信息!$C:$C,盘货信息!$H:$H)&lt;1,"",ROUND(_xlfn.XLOOKUP($A21&amp;$B21&amp;$C21,盘货信息!$A:$A&amp;盘货信息!$B:$B&amp;盘货信息!$C:$C,盘货信息!$H:$H),0)&amp;"元消费券"))</f>
        <v/>
      </c>
      <c r="J21" s="27" t="str" cm="1">
        <f t="array" ref="J21">IF($C21="","",IF(_xlfn.XLOOKUP($A21&amp;$B21&amp;$C21,盘货信息!$A:$A&amp;盘货信息!$B:$B&amp;盘货信息!$C:$C,盘货信息!$J:$J)&lt;1,"",ROUND(_xlfn.XLOOKUP($A21&amp;$B21&amp;$C21,盘货信息!$A:$A&amp;盘货信息!$B:$B&amp;盘货信息!$C:$C,盘货信息!$J:$J),0)&amp;"元限时补贴"))</f>
        <v/>
      </c>
      <c r="K21" s="27" t="str" cm="1">
        <f t="array" ref="K21">IF($C21="","",IF(_xlfn.XLOOKUP($A21&amp;$B21&amp;$C21,盘货信息!$A:$A&amp;盘货信息!$B:$B&amp;盘货信息!$C:$C,盘货信息!$K:$K)&lt;1,"",ROUND(_xlfn.XLOOKUP($A21&amp;$B21&amp;$C21,盘货信息!$A:$A&amp;盘货信息!$B:$B&amp;盘货信息!$C:$C,盘货信息!$K:$K),0)&amp;"元预估焕新补贴"))</f>
        <v/>
      </c>
      <c r="L21" s="27" t="str" cm="1">
        <f t="array" ref="L21">IF($C21="","",IF(AND(_xlfn.XLOOKUP($A21&amp;$B21&amp;$C21,盘货信息!$A:$A&amp;盘货信息!$B:$B&amp;盘货信息!$C:$C,盘货信息!$L:$L)="是",_xlfn.XLOOKUP($A21&amp;$B21&amp;$C21,盘货信息!$A:$A&amp;盘货信息!$B:$B&amp;盘货信息!$C:$C,盘货信息!$M:$M)="是",_xlfn.XLOOKUP($A21&amp;$B21&amp;$C21,盘货信息!$A:$A&amp;盘货信息!$B:$B&amp;盘货信息!$C:$C,盘货信息!$K:$K)&gt;0),"【全民可用，不限地址】",IF(AND(OR(_xlfn.XLOOKUP($A21&amp;$B21&amp;$C21,盘货信息!$A:$A&amp;盘货信息!$B:$B&amp;盘货信息!$C:$C,盘货信息!$L:$L)="否",_xlfn.XLOOKUP($A21&amp;$B21&amp;$C21,盘货信息!$A:$A&amp;盘货信息!$B:$B&amp;盘货信息!$C:$C,盘货信息!$L:$L)=""),_xlfn.XLOOKUP($A21&amp;$B21&amp;$C21,盘货信息!$A:$A&amp;盘货信息!$B:$B&amp;盘货信息!$C:$C,盘货信息!$M:$M)="是",_xlfn.XLOOKUP($A21&amp;$B21&amp;$C21,盘货信息!$A:$A&amp;盘货信息!$B:$B&amp;盘货信息!$C:$C,盘货信息!$K:$K)&gt;0),"【详情页领取】","")))</f>
        <v/>
      </c>
      <c r="M21" s="27" t="str" cm="1">
        <f t="array" ref="M21">IF($C21="","",IF(_xlfn.XLOOKUP($A21&amp;$B21&amp;$C21,盘货信息!$A:$A&amp;盘货信息!$B:$B&amp;盘货信息!$C:$C,盘货信息!$F:$F)&lt;1,"",_xlfn.XLOOKUP($A21&amp;$B21&amp;$C21,盘货信息!$A:$A&amp;盘货信息!$B:$B&amp;盘货信息!$C:$C,盘货信息!$F:$F)&amp;"元明卷"))</f>
        <v/>
      </c>
      <c r="N21" s="27" t="str">
        <f t="shared" si="1"/>
        <v/>
      </c>
      <c r="O21" s="27" t="str">
        <f>IF(I21="","","【消费券链接】"&amp;固定信息!$B$6)</f>
        <v/>
      </c>
    </row>
    <row r="22" customHeight="1" spans="1:15">
      <c r="A22" s="26" t="str">
        <f>IF(盘货信息!A22="","",盘货信息!A22)</f>
        <v/>
      </c>
      <c r="B22" s="26" t="str">
        <f>IF(盘货信息!B22="","",盘货信息!B22)</f>
        <v/>
      </c>
      <c r="C22" s="27" t="str">
        <f>IF(盘货信息!C22="","",盘货信息!C22)</f>
        <v/>
      </c>
      <c r="D22" s="27" t="str">
        <f t="shared" si="0"/>
        <v/>
      </c>
      <c r="E22" s="27" t="str" cm="1">
        <f t="array" ref="E22">IF($C22="","",IF(AND(OR(_xlfn.XLOOKUP($A22&amp;$B22&amp;$C22,盘货信息!$A:$A&amp;盘货信息!$B:$B&amp;盘货信息!$C:$C,盘货信息!$L:$L)="否",_xlfn.XLOOKUP($A22&amp;$B22&amp;$C22,盘货信息!$A:$A&amp;盘货信息!$B:$B&amp;盘货信息!$C:$C,盘货信息!$L:$L)=""),_xlfn.XLOOKUP($A22&amp;$B22&amp;$C22,盘货信息!$A:$A&amp;盘货信息!$B:$B&amp;盘货信息!$C:$C,盘货信息!$M:$M)="否"),"【预估到手价"&amp;_xlfn.XLOOKUP($A22&amp;$B22&amp;$C22,盘货信息!$A:$A&amp;盘货信息!$B:$B&amp;盘货信息!$C:$C,盘货信息!$D:$D)&amp;"元】",IF(AND(_xlfn.XLOOKUP($A22&amp;$B22&amp;$C22,盘货信息!$A:$A&amp;盘货信息!$B:$B&amp;盘货信息!$C:$C,盘货信息!$M:$M)="是",OR(_xlfn.XLOOKUP($A22&amp;$B22&amp;$C22,盘货信息!$A:$A&amp;盘货信息!$B:$B&amp;盘货信息!$C:$C,盘货信息!$L:$L)="否",_xlfn.XLOOKUP($A22&amp;$B22&amp;$C22,盘货信息!$A:$A&amp;盘货信息!$B:$B&amp;盘货信息!$C:$C,盘货信息!$L:$L)="")),"【预估到手价"&amp;_xlfn.XLOOKUP($A22&amp;$B22&amp;$C22,盘货信息!$A:$A&amp;盘货信息!$B:$B&amp;盘货信息!$C:$C,盘货信息!$D:$D)&amp;"元】"&amp;CHAR(10)&amp;"【焕新补贴预估价"&amp;ROUND(_xlfn.XLOOKUP($A22&amp;$B22&amp;$C22,盘货信息!$A:$A&amp;盘货信息!$B:$B&amp;盘货信息!$C:$C,盘货信息!$E:$E),0)&amp;"元】","【焕新补贴预估价"&amp;ROUND(_xlfn.XLOOKUP($A22&amp;$B22&amp;$C22,盘货信息!$A:$A&amp;盘货信息!$B:$B&amp;盘货信息!$C:$C,盘货信息!$E:$E),0)&amp;"元】")))</f>
        <v/>
      </c>
      <c r="F22" s="27" t="str" cm="1">
        <f t="array" ref="F22">IF($C22="","",_xlfn.XLOOKUP($A22&amp;$B22&amp;$C22,盘货信息!$A:$A&amp;盘货信息!$B:$B&amp;盘货信息!$C:$C,盘货信息!$D:$D)&amp;"元到手价")</f>
        <v/>
      </c>
      <c r="G22" s="27" t="str" cm="1">
        <f t="array" ref="G22">IF($C22="","",IF(_xlfn.XLOOKUP($A22&amp;$B22&amp;$C22,盘货信息!$A:$A&amp;盘货信息!$B:$B&amp;盘货信息!$C:$C,盘货信息!$G:$G)&lt;1,"",ROUND(_xlfn.XLOOKUP($A22&amp;$B22&amp;$C22,盘货信息!$A:$A&amp;盘货信息!$B:$B&amp;盘货信息!$C:$C,盘货信息!$G:$G),0)&amp;"元88VIP立减"))</f>
        <v/>
      </c>
      <c r="H22" s="27" t="str" cm="1">
        <f t="array" ref="H22">IF($C22="","",IF(_xlfn.XLOOKUP($A22&amp;$B22&amp;$C22,盘货信息!$A:$A&amp;盘货信息!$B:$B&amp;盘货信息!$C:$C,盘货信息!$I:$I)&lt;1,"",_xlfn.XLOOKUP($A22&amp;$B22&amp;$C22,盘货信息!$A:$A&amp;盘货信息!$B:$B&amp;盘货信息!$C:$C,盘货信息!$I:$I)&amp;"元惊喜立减"))</f>
        <v/>
      </c>
      <c r="I22" s="27" t="str" cm="1">
        <f t="array" ref="I22">IF($C22="","",IF(_xlfn.XLOOKUP($A22&amp;$B22&amp;$C22,盘货信息!$A:$A&amp;盘货信息!$B:$B&amp;盘货信息!$C:$C,盘货信息!$H:$H)&lt;1,"",ROUND(_xlfn.XLOOKUP($A22&amp;$B22&amp;$C22,盘货信息!$A:$A&amp;盘货信息!$B:$B&amp;盘货信息!$C:$C,盘货信息!$H:$H),0)&amp;"元消费券"))</f>
        <v/>
      </c>
      <c r="J22" s="27" t="str" cm="1">
        <f t="array" ref="J22">IF($C22="","",IF(_xlfn.XLOOKUP($A22&amp;$B22&amp;$C22,盘货信息!$A:$A&amp;盘货信息!$B:$B&amp;盘货信息!$C:$C,盘货信息!$J:$J)&lt;1,"",ROUND(_xlfn.XLOOKUP($A22&amp;$B22&amp;$C22,盘货信息!$A:$A&amp;盘货信息!$B:$B&amp;盘货信息!$C:$C,盘货信息!$J:$J),0)&amp;"元限时补贴"))</f>
        <v/>
      </c>
      <c r="K22" s="27" t="str" cm="1">
        <f t="array" ref="K22">IF($C22="","",IF(_xlfn.XLOOKUP($A22&amp;$B22&amp;$C22,盘货信息!$A:$A&amp;盘货信息!$B:$B&amp;盘货信息!$C:$C,盘货信息!$K:$K)&lt;1,"",ROUND(_xlfn.XLOOKUP($A22&amp;$B22&amp;$C22,盘货信息!$A:$A&amp;盘货信息!$B:$B&amp;盘货信息!$C:$C,盘货信息!$K:$K),0)&amp;"元预估焕新补贴"))</f>
        <v/>
      </c>
      <c r="L22" s="27" t="str" cm="1">
        <f t="array" ref="L22">IF($C22="","",IF(AND(_xlfn.XLOOKUP($A22&amp;$B22&amp;$C22,盘货信息!$A:$A&amp;盘货信息!$B:$B&amp;盘货信息!$C:$C,盘货信息!$L:$L)="是",_xlfn.XLOOKUP($A22&amp;$B22&amp;$C22,盘货信息!$A:$A&amp;盘货信息!$B:$B&amp;盘货信息!$C:$C,盘货信息!$M:$M)="是",_xlfn.XLOOKUP($A22&amp;$B22&amp;$C22,盘货信息!$A:$A&amp;盘货信息!$B:$B&amp;盘货信息!$C:$C,盘货信息!$K:$K)&gt;0),"【全民可用，不限地址】",IF(AND(OR(_xlfn.XLOOKUP($A22&amp;$B22&amp;$C22,盘货信息!$A:$A&amp;盘货信息!$B:$B&amp;盘货信息!$C:$C,盘货信息!$L:$L)="否",_xlfn.XLOOKUP($A22&amp;$B22&amp;$C22,盘货信息!$A:$A&amp;盘货信息!$B:$B&amp;盘货信息!$C:$C,盘货信息!$L:$L)=""),_xlfn.XLOOKUP($A22&amp;$B22&amp;$C22,盘货信息!$A:$A&amp;盘货信息!$B:$B&amp;盘货信息!$C:$C,盘货信息!$M:$M)="是",_xlfn.XLOOKUP($A22&amp;$B22&amp;$C22,盘货信息!$A:$A&amp;盘货信息!$B:$B&amp;盘货信息!$C:$C,盘货信息!$K:$K)&gt;0),"【详情页领取】","")))</f>
        <v/>
      </c>
      <c r="M22" s="27" t="str" cm="1">
        <f t="array" ref="M22">IF($C22="","",IF(_xlfn.XLOOKUP($A22&amp;$B22&amp;$C22,盘货信息!$A:$A&amp;盘货信息!$B:$B&amp;盘货信息!$C:$C,盘货信息!$F:$F)&lt;1,"",_xlfn.XLOOKUP($A22&amp;$B22&amp;$C22,盘货信息!$A:$A&amp;盘货信息!$B:$B&amp;盘货信息!$C:$C,盘货信息!$F:$F)&amp;"元明卷"))</f>
        <v/>
      </c>
      <c r="N22" s="27" t="str">
        <f t="shared" si="1"/>
        <v/>
      </c>
      <c r="O22" s="27" t="str">
        <f>IF(I22="","","【消费券链接】"&amp;固定信息!$B$6)</f>
        <v/>
      </c>
    </row>
    <row r="23" customHeight="1" spans="1:15">
      <c r="A23" s="26" t="str">
        <f>IF(盘货信息!A23="","",盘货信息!A23)</f>
        <v/>
      </c>
      <c r="B23" s="26" t="str">
        <f>IF(盘货信息!B23="","",盘货信息!B23)</f>
        <v/>
      </c>
      <c r="C23" s="27" t="str">
        <f>IF(盘货信息!C23="","",盘货信息!C23)</f>
        <v/>
      </c>
      <c r="D23" s="27" t="str">
        <f t="shared" si="0"/>
        <v/>
      </c>
      <c r="E23" s="27" t="str" cm="1">
        <f t="array" ref="E23">IF($C23="","",IF(AND(OR(_xlfn.XLOOKUP($A23&amp;$B23&amp;$C23,盘货信息!$A:$A&amp;盘货信息!$B:$B&amp;盘货信息!$C:$C,盘货信息!$L:$L)="否",_xlfn.XLOOKUP($A23&amp;$B23&amp;$C23,盘货信息!$A:$A&amp;盘货信息!$B:$B&amp;盘货信息!$C:$C,盘货信息!$L:$L)=""),_xlfn.XLOOKUP($A23&amp;$B23&amp;$C23,盘货信息!$A:$A&amp;盘货信息!$B:$B&amp;盘货信息!$C:$C,盘货信息!$M:$M)="否"),"【预估到手价"&amp;_xlfn.XLOOKUP($A23&amp;$B23&amp;$C23,盘货信息!$A:$A&amp;盘货信息!$B:$B&amp;盘货信息!$C:$C,盘货信息!$D:$D)&amp;"元】",IF(AND(_xlfn.XLOOKUP($A23&amp;$B23&amp;$C23,盘货信息!$A:$A&amp;盘货信息!$B:$B&amp;盘货信息!$C:$C,盘货信息!$M:$M)="是",OR(_xlfn.XLOOKUP($A23&amp;$B23&amp;$C23,盘货信息!$A:$A&amp;盘货信息!$B:$B&amp;盘货信息!$C:$C,盘货信息!$L:$L)="否",_xlfn.XLOOKUP($A23&amp;$B23&amp;$C23,盘货信息!$A:$A&amp;盘货信息!$B:$B&amp;盘货信息!$C:$C,盘货信息!$L:$L)="")),"【预估到手价"&amp;_xlfn.XLOOKUP($A23&amp;$B23&amp;$C23,盘货信息!$A:$A&amp;盘货信息!$B:$B&amp;盘货信息!$C:$C,盘货信息!$D:$D)&amp;"元】"&amp;CHAR(10)&amp;"【焕新补贴预估价"&amp;ROUND(_xlfn.XLOOKUP($A23&amp;$B23&amp;$C23,盘货信息!$A:$A&amp;盘货信息!$B:$B&amp;盘货信息!$C:$C,盘货信息!$E:$E),0)&amp;"元】","【焕新补贴预估价"&amp;ROUND(_xlfn.XLOOKUP($A23&amp;$B23&amp;$C23,盘货信息!$A:$A&amp;盘货信息!$B:$B&amp;盘货信息!$C:$C,盘货信息!$E:$E),0)&amp;"元】")))</f>
        <v/>
      </c>
      <c r="F23" s="27" t="str" cm="1">
        <f t="array" ref="F23">IF($C23="","",_xlfn.XLOOKUP($A23&amp;$B23&amp;$C23,盘货信息!$A:$A&amp;盘货信息!$B:$B&amp;盘货信息!$C:$C,盘货信息!$D:$D)&amp;"元到手价")</f>
        <v/>
      </c>
      <c r="G23" s="27" t="str" cm="1">
        <f t="array" ref="G23">IF($C23="","",IF(_xlfn.XLOOKUP($A23&amp;$B23&amp;$C23,盘货信息!$A:$A&amp;盘货信息!$B:$B&amp;盘货信息!$C:$C,盘货信息!$G:$G)&lt;1,"",ROUND(_xlfn.XLOOKUP($A23&amp;$B23&amp;$C23,盘货信息!$A:$A&amp;盘货信息!$B:$B&amp;盘货信息!$C:$C,盘货信息!$G:$G),0)&amp;"元88VIP立减"))</f>
        <v/>
      </c>
      <c r="H23" s="27" t="str" cm="1">
        <f t="array" ref="H23">IF($C23="","",IF(_xlfn.XLOOKUP($A23&amp;$B23&amp;$C23,盘货信息!$A:$A&amp;盘货信息!$B:$B&amp;盘货信息!$C:$C,盘货信息!$I:$I)&lt;1,"",_xlfn.XLOOKUP($A23&amp;$B23&amp;$C23,盘货信息!$A:$A&amp;盘货信息!$B:$B&amp;盘货信息!$C:$C,盘货信息!$I:$I)&amp;"元惊喜立减"))</f>
        <v/>
      </c>
      <c r="I23" s="27" t="str" cm="1">
        <f t="array" ref="I23">IF($C23="","",IF(_xlfn.XLOOKUP($A23&amp;$B23&amp;$C23,盘货信息!$A:$A&amp;盘货信息!$B:$B&amp;盘货信息!$C:$C,盘货信息!$H:$H)&lt;1,"",ROUND(_xlfn.XLOOKUP($A23&amp;$B23&amp;$C23,盘货信息!$A:$A&amp;盘货信息!$B:$B&amp;盘货信息!$C:$C,盘货信息!$H:$H),0)&amp;"元消费券"))</f>
        <v/>
      </c>
      <c r="J23" s="27" t="str" cm="1">
        <f t="array" ref="J23">IF($C23="","",IF(_xlfn.XLOOKUP($A23&amp;$B23&amp;$C23,盘货信息!$A:$A&amp;盘货信息!$B:$B&amp;盘货信息!$C:$C,盘货信息!$J:$J)&lt;1,"",ROUND(_xlfn.XLOOKUP($A23&amp;$B23&amp;$C23,盘货信息!$A:$A&amp;盘货信息!$B:$B&amp;盘货信息!$C:$C,盘货信息!$J:$J),0)&amp;"元限时补贴"))</f>
        <v/>
      </c>
      <c r="K23" s="27" t="str" cm="1">
        <f t="array" ref="K23">IF($C23="","",IF(_xlfn.XLOOKUP($A23&amp;$B23&amp;$C23,盘货信息!$A:$A&amp;盘货信息!$B:$B&amp;盘货信息!$C:$C,盘货信息!$K:$K)&lt;1,"",ROUND(_xlfn.XLOOKUP($A23&amp;$B23&amp;$C23,盘货信息!$A:$A&amp;盘货信息!$B:$B&amp;盘货信息!$C:$C,盘货信息!$K:$K),0)&amp;"元预估焕新补贴"))</f>
        <v/>
      </c>
      <c r="L23" s="27" t="str" cm="1">
        <f t="array" ref="L23">IF($C23="","",IF(AND(_xlfn.XLOOKUP($A23&amp;$B23&amp;$C23,盘货信息!$A:$A&amp;盘货信息!$B:$B&amp;盘货信息!$C:$C,盘货信息!$L:$L)="是",_xlfn.XLOOKUP($A23&amp;$B23&amp;$C23,盘货信息!$A:$A&amp;盘货信息!$B:$B&amp;盘货信息!$C:$C,盘货信息!$M:$M)="是",_xlfn.XLOOKUP($A23&amp;$B23&amp;$C23,盘货信息!$A:$A&amp;盘货信息!$B:$B&amp;盘货信息!$C:$C,盘货信息!$K:$K)&gt;0),"【全民可用，不限地址】",IF(AND(OR(_xlfn.XLOOKUP($A23&amp;$B23&amp;$C23,盘货信息!$A:$A&amp;盘货信息!$B:$B&amp;盘货信息!$C:$C,盘货信息!$L:$L)="否",_xlfn.XLOOKUP($A23&amp;$B23&amp;$C23,盘货信息!$A:$A&amp;盘货信息!$B:$B&amp;盘货信息!$C:$C,盘货信息!$L:$L)=""),_xlfn.XLOOKUP($A23&amp;$B23&amp;$C23,盘货信息!$A:$A&amp;盘货信息!$B:$B&amp;盘货信息!$C:$C,盘货信息!$M:$M)="是",_xlfn.XLOOKUP($A23&amp;$B23&amp;$C23,盘货信息!$A:$A&amp;盘货信息!$B:$B&amp;盘货信息!$C:$C,盘货信息!$K:$K)&gt;0),"【详情页领取】","")))</f>
        <v/>
      </c>
      <c r="M23" s="27" t="str" cm="1">
        <f t="array" ref="M23">IF($C23="","",IF(_xlfn.XLOOKUP($A23&amp;$B23&amp;$C23,盘货信息!$A:$A&amp;盘货信息!$B:$B&amp;盘货信息!$C:$C,盘货信息!$F:$F)&lt;1,"",_xlfn.XLOOKUP($A23&amp;$B23&amp;$C23,盘货信息!$A:$A&amp;盘货信息!$B:$B&amp;盘货信息!$C:$C,盘货信息!$F:$F)&amp;"元明卷"))</f>
        <v/>
      </c>
      <c r="N23" s="27" t="str">
        <f t="shared" si="1"/>
        <v/>
      </c>
      <c r="O23" s="27" t="str">
        <f>IF(I23="","","【消费券链接】"&amp;固定信息!$B$6)</f>
        <v/>
      </c>
    </row>
    <row r="24" customHeight="1" spans="1:15">
      <c r="A24" s="26" t="str">
        <f>IF(盘货信息!A24="","",盘货信息!A24)</f>
        <v/>
      </c>
      <c r="B24" s="26" t="str">
        <f>IF(盘货信息!B24="","",盘货信息!B24)</f>
        <v/>
      </c>
      <c r="C24" s="27" t="str">
        <f>IF(盘货信息!C24="","",盘货信息!C24)</f>
        <v/>
      </c>
      <c r="D24" s="27" t="str">
        <f t="shared" si="0"/>
        <v/>
      </c>
      <c r="E24" s="27" t="str" cm="1">
        <f t="array" ref="E24">IF($C24="","",IF(AND(OR(_xlfn.XLOOKUP($A24&amp;$B24&amp;$C24,盘货信息!$A:$A&amp;盘货信息!$B:$B&amp;盘货信息!$C:$C,盘货信息!$L:$L)="否",_xlfn.XLOOKUP($A24&amp;$B24&amp;$C24,盘货信息!$A:$A&amp;盘货信息!$B:$B&amp;盘货信息!$C:$C,盘货信息!$L:$L)=""),_xlfn.XLOOKUP($A24&amp;$B24&amp;$C24,盘货信息!$A:$A&amp;盘货信息!$B:$B&amp;盘货信息!$C:$C,盘货信息!$M:$M)="否"),"【预估到手价"&amp;_xlfn.XLOOKUP($A24&amp;$B24&amp;$C24,盘货信息!$A:$A&amp;盘货信息!$B:$B&amp;盘货信息!$C:$C,盘货信息!$D:$D)&amp;"元】",IF(AND(_xlfn.XLOOKUP($A24&amp;$B24&amp;$C24,盘货信息!$A:$A&amp;盘货信息!$B:$B&amp;盘货信息!$C:$C,盘货信息!$M:$M)="是",OR(_xlfn.XLOOKUP($A24&amp;$B24&amp;$C24,盘货信息!$A:$A&amp;盘货信息!$B:$B&amp;盘货信息!$C:$C,盘货信息!$L:$L)="否",_xlfn.XLOOKUP($A24&amp;$B24&amp;$C24,盘货信息!$A:$A&amp;盘货信息!$B:$B&amp;盘货信息!$C:$C,盘货信息!$L:$L)="")),"【预估到手价"&amp;_xlfn.XLOOKUP($A24&amp;$B24&amp;$C24,盘货信息!$A:$A&amp;盘货信息!$B:$B&amp;盘货信息!$C:$C,盘货信息!$D:$D)&amp;"元】"&amp;CHAR(10)&amp;"【焕新补贴预估价"&amp;ROUND(_xlfn.XLOOKUP($A24&amp;$B24&amp;$C24,盘货信息!$A:$A&amp;盘货信息!$B:$B&amp;盘货信息!$C:$C,盘货信息!$E:$E),0)&amp;"元】","【焕新补贴预估价"&amp;ROUND(_xlfn.XLOOKUP($A24&amp;$B24&amp;$C24,盘货信息!$A:$A&amp;盘货信息!$B:$B&amp;盘货信息!$C:$C,盘货信息!$E:$E),0)&amp;"元】")))</f>
        <v/>
      </c>
      <c r="F24" s="27" t="str" cm="1">
        <f t="array" ref="F24">IF($C24="","",_xlfn.XLOOKUP($A24&amp;$B24&amp;$C24,盘货信息!$A:$A&amp;盘货信息!$B:$B&amp;盘货信息!$C:$C,盘货信息!$D:$D)&amp;"元到手价")</f>
        <v/>
      </c>
      <c r="G24" s="27" t="str" cm="1">
        <f t="array" ref="G24">IF($C24="","",IF(_xlfn.XLOOKUP($A24&amp;$B24&amp;$C24,盘货信息!$A:$A&amp;盘货信息!$B:$B&amp;盘货信息!$C:$C,盘货信息!$G:$G)&lt;1,"",ROUND(_xlfn.XLOOKUP($A24&amp;$B24&amp;$C24,盘货信息!$A:$A&amp;盘货信息!$B:$B&amp;盘货信息!$C:$C,盘货信息!$G:$G),0)&amp;"元88VIP立减"))</f>
        <v/>
      </c>
      <c r="H24" s="27" t="str" cm="1">
        <f t="array" ref="H24">IF($C24="","",IF(_xlfn.XLOOKUP($A24&amp;$B24&amp;$C24,盘货信息!$A:$A&amp;盘货信息!$B:$B&amp;盘货信息!$C:$C,盘货信息!$I:$I)&lt;1,"",_xlfn.XLOOKUP($A24&amp;$B24&amp;$C24,盘货信息!$A:$A&amp;盘货信息!$B:$B&amp;盘货信息!$C:$C,盘货信息!$I:$I)&amp;"元惊喜立减"))</f>
        <v/>
      </c>
      <c r="I24" s="27" t="str" cm="1">
        <f t="array" ref="I24">IF($C24="","",IF(_xlfn.XLOOKUP($A24&amp;$B24&amp;$C24,盘货信息!$A:$A&amp;盘货信息!$B:$B&amp;盘货信息!$C:$C,盘货信息!$H:$H)&lt;1,"",ROUND(_xlfn.XLOOKUP($A24&amp;$B24&amp;$C24,盘货信息!$A:$A&amp;盘货信息!$B:$B&amp;盘货信息!$C:$C,盘货信息!$H:$H),0)&amp;"元消费券"))</f>
        <v/>
      </c>
      <c r="J24" s="27" t="str" cm="1">
        <f t="array" ref="J24">IF($C24="","",IF(_xlfn.XLOOKUP($A24&amp;$B24&amp;$C24,盘货信息!$A:$A&amp;盘货信息!$B:$B&amp;盘货信息!$C:$C,盘货信息!$J:$J)&lt;1,"",ROUND(_xlfn.XLOOKUP($A24&amp;$B24&amp;$C24,盘货信息!$A:$A&amp;盘货信息!$B:$B&amp;盘货信息!$C:$C,盘货信息!$J:$J),0)&amp;"元限时补贴"))</f>
        <v/>
      </c>
      <c r="K24" s="27" t="str" cm="1">
        <f t="array" ref="K24">IF($C24="","",IF(_xlfn.XLOOKUP($A24&amp;$B24&amp;$C24,盘货信息!$A:$A&amp;盘货信息!$B:$B&amp;盘货信息!$C:$C,盘货信息!$K:$K)&lt;1,"",ROUND(_xlfn.XLOOKUP($A24&amp;$B24&amp;$C24,盘货信息!$A:$A&amp;盘货信息!$B:$B&amp;盘货信息!$C:$C,盘货信息!$K:$K),0)&amp;"元预估焕新补贴"))</f>
        <v/>
      </c>
      <c r="L24" s="27" t="str" cm="1">
        <f t="array" ref="L24">IF($C24="","",IF(AND(_xlfn.XLOOKUP($A24&amp;$B24&amp;$C24,盘货信息!$A:$A&amp;盘货信息!$B:$B&amp;盘货信息!$C:$C,盘货信息!$L:$L)="是",_xlfn.XLOOKUP($A24&amp;$B24&amp;$C24,盘货信息!$A:$A&amp;盘货信息!$B:$B&amp;盘货信息!$C:$C,盘货信息!$M:$M)="是",_xlfn.XLOOKUP($A24&amp;$B24&amp;$C24,盘货信息!$A:$A&amp;盘货信息!$B:$B&amp;盘货信息!$C:$C,盘货信息!$K:$K)&gt;0),"【全民可用，不限地址】",IF(AND(OR(_xlfn.XLOOKUP($A24&amp;$B24&amp;$C24,盘货信息!$A:$A&amp;盘货信息!$B:$B&amp;盘货信息!$C:$C,盘货信息!$L:$L)="否",_xlfn.XLOOKUP($A24&amp;$B24&amp;$C24,盘货信息!$A:$A&amp;盘货信息!$B:$B&amp;盘货信息!$C:$C,盘货信息!$L:$L)=""),_xlfn.XLOOKUP($A24&amp;$B24&amp;$C24,盘货信息!$A:$A&amp;盘货信息!$B:$B&amp;盘货信息!$C:$C,盘货信息!$M:$M)="是",_xlfn.XLOOKUP($A24&amp;$B24&amp;$C24,盘货信息!$A:$A&amp;盘货信息!$B:$B&amp;盘货信息!$C:$C,盘货信息!$K:$K)&gt;0),"【详情页领取】","")))</f>
        <v/>
      </c>
      <c r="M24" s="27" t="str" cm="1">
        <f t="array" ref="M24">IF($C24="","",IF(_xlfn.XLOOKUP($A24&amp;$B24&amp;$C24,盘货信息!$A:$A&amp;盘货信息!$B:$B&amp;盘货信息!$C:$C,盘货信息!$F:$F)&lt;1,"",_xlfn.XLOOKUP($A24&amp;$B24&amp;$C24,盘货信息!$A:$A&amp;盘货信息!$B:$B&amp;盘货信息!$C:$C,盘货信息!$F:$F)&amp;"元明卷"))</f>
        <v/>
      </c>
      <c r="N24" s="27" t="str">
        <f t="shared" si="1"/>
        <v/>
      </c>
      <c r="O24" s="27" t="str">
        <f>IF(I24="","","【消费券链接】"&amp;固定信息!$B$6)</f>
        <v/>
      </c>
    </row>
    <row r="25" customHeight="1" spans="1:15">
      <c r="A25" s="26" t="str">
        <f>IF(盘货信息!A25="","",盘货信息!A25)</f>
        <v/>
      </c>
      <c r="B25" s="26" t="str">
        <f>IF(盘货信息!B25="","",盘货信息!B25)</f>
        <v/>
      </c>
      <c r="C25" s="27" t="str">
        <f>IF(盘货信息!C25="","",盘货信息!C25)</f>
        <v/>
      </c>
      <c r="D25" s="27" t="str">
        <f t="shared" si="0"/>
        <v/>
      </c>
      <c r="E25" s="27" t="str" cm="1">
        <f t="array" ref="E25">IF($C25="","",IF(AND(OR(_xlfn.XLOOKUP($A25&amp;$B25&amp;$C25,盘货信息!$A:$A&amp;盘货信息!$B:$B&amp;盘货信息!$C:$C,盘货信息!$L:$L)="否",_xlfn.XLOOKUP($A25&amp;$B25&amp;$C25,盘货信息!$A:$A&amp;盘货信息!$B:$B&amp;盘货信息!$C:$C,盘货信息!$L:$L)=""),_xlfn.XLOOKUP($A25&amp;$B25&amp;$C25,盘货信息!$A:$A&amp;盘货信息!$B:$B&amp;盘货信息!$C:$C,盘货信息!$M:$M)="否"),"【预估到手价"&amp;_xlfn.XLOOKUP($A25&amp;$B25&amp;$C25,盘货信息!$A:$A&amp;盘货信息!$B:$B&amp;盘货信息!$C:$C,盘货信息!$D:$D)&amp;"元】",IF(AND(_xlfn.XLOOKUP($A25&amp;$B25&amp;$C25,盘货信息!$A:$A&amp;盘货信息!$B:$B&amp;盘货信息!$C:$C,盘货信息!$M:$M)="是",OR(_xlfn.XLOOKUP($A25&amp;$B25&amp;$C25,盘货信息!$A:$A&amp;盘货信息!$B:$B&amp;盘货信息!$C:$C,盘货信息!$L:$L)="否",_xlfn.XLOOKUP($A25&amp;$B25&amp;$C25,盘货信息!$A:$A&amp;盘货信息!$B:$B&amp;盘货信息!$C:$C,盘货信息!$L:$L)="")),"【预估到手价"&amp;_xlfn.XLOOKUP($A25&amp;$B25&amp;$C25,盘货信息!$A:$A&amp;盘货信息!$B:$B&amp;盘货信息!$C:$C,盘货信息!$D:$D)&amp;"元】"&amp;CHAR(10)&amp;"【焕新补贴预估价"&amp;ROUND(_xlfn.XLOOKUP($A25&amp;$B25&amp;$C25,盘货信息!$A:$A&amp;盘货信息!$B:$B&amp;盘货信息!$C:$C,盘货信息!$E:$E),0)&amp;"元】","【焕新补贴预估价"&amp;ROUND(_xlfn.XLOOKUP($A25&amp;$B25&amp;$C25,盘货信息!$A:$A&amp;盘货信息!$B:$B&amp;盘货信息!$C:$C,盘货信息!$E:$E),0)&amp;"元】")))</f>
        <v/>
      </c>
      <c r="F25" s="27" t="str" cm="1">
        <f t="array" ref="F25">IF($C25="","",_xlfn.XLOOKUP($A25&amp;$B25&amp;$C25,盘货信息!$A:$A&amp;盘货信息!$B:$B&amp;盘货信息!$C:$C,盘货信息!$D:$D)&amp;"元到手价")</f>
        <v/>
      </c>
      <c r="G25" s="27" t="str" cm="1">
        <f t="array" ref="G25">IF($C25="","",IF(_xlfn.XLOOKUP($A25&amp;$B25&amp;$C25,盘货信息!$A:$A&amp;盘货信息!$B:$B&amp;盘货信息!$C:$C,盘货信息!$G:$G)&lt;1,"",ROUND(_xlfn.XLOOKUP($A25&amp;$B25&amp;$C25,盘货信息!$A:$A&amp;盘货信息!$B:$B&amp;盘货信息!$C:$C,盘货信息!$G:$G),0)&amp;"元88VIP立减"))</f>
        <v/>
      </c>
      <c r="H25" s="27" t="str" cm="1">
        <f t="array" ref="H25">IF($C25="","",IF(_xlfn.XLOOKUP($A25&amp;$B25&amp;$C25,盘货信息!$A:$A&amp;盘货信息!$B:$B&amp;盘货信息!$C:$C,盘货信息!$I:$I)&lt;1,"",_xlfn.XLOOKUP($A25&amp;$B25&amp;$C25,盘货信息!$A:$A&amp;盘货信息!$B:$B&amp;盘货信息!$C:$C,盘货信息!$I:$I)&amp;"元惊喜立减"))</f>
        <v/>
      </c>
      <c r="I25" s="27" t="str" cm="1">
        <f t="array" ref="I25">IF($C25="","",IF(_xlfn.XLOOKUP($A25&amp;$B25&amp;$C25,盘货信息!$A:$A&amp;盘货信息!$B:$B&amp;盘货信息!$C:$C,盘货信息!$H:$H)&lt;1,"",ROUND(_xlfn.XLOOKUP($A25&amp;$B25&amp;$C25,盘货信息!$A:$A&amp;盘货信息!$B:$B&amp;盘货信息!$C:$C,盘货信息!$H:$H),0)&amp;"元消费券"))</f>
        <v/>
      </c>
      <c r="J25" s="27" t="str" cm="1">
        <f t="array" ref="J25">IF($C25="","",IF(_xlfn.XLOOKUP($A25&amp;$B25&amp;$C25,盘货信息!$A:$A&amp;盘货信息!$B:$B&amp;盘货信息!$C:$C,盘货信息!$J:$J)&lt;1,"",ROUND(_xlfn.XLOOKUP($A25&amp;$B25&amp;$C25,盘货信息!$A:$A&amp;盘货信息!$B:$B&amp;盘货信息!$C:$C,盘货信息!$J:$J),0)&amp;"元限时补贴"))</f>
        <v/>
      </c>
      <c r="K25" s="27" t="str" cm="1">
        <f t="array" ref="K25">IF($C25="","",IF(_xlfn.XLOOKUP($A25&amp;$B25&amp;$C25,盘货信息!$A:$A&amp;盘货信息!$B:$B&amp;盘货信息!$C:$C,盘货信息!$K:$K)&lt;1,"",ROUND(_xlfn.XLOOKUP($A25&amp;$B25&amp;$C25,盘货信息!$A:$A&amp;盘货信息!$B:$B&amp;盘货信息!$C:$C,盘货信息!$K:$K),0)&amp;"元预估焕新补贴"))</f>
        <v/>
      </c>
      <c r="L25" s="27" t="str" cm="1">
        <f t="array" ref="L25">IF($C25="","",IF(AND(_xlfn.XLOOKUP($A25&amp;$B25&amp;$C25,盘货信息!$A:$A&amp;盘货信息!$B:$B&amp;盘货信息!$C:$C,盘货信息!$L:$L)="是",_xlfn.XLOOKUP($A25&amp;$B25&amp;$C25,盘货信息!$A:$A&amp;盘货信息!$B:$B&amp;盘货信息!$C:$C,盘货信息!$M:$M)="是",_xlfn.XLOOKUP($A25&amp;$B25&amp;$C25,盘货信息!$A:$A&amp;盘货信息!$B:$B&amp;盘货信息!$C:$C,盘货信息!$K:$K)&gt;0),"【全民可用，不限地址】",IF(AND(OR(_xlfn.XLOOKUP($A25&amp;$B25&amp;$C25,盘货信息!$A:$A&amp;盘货信息!$B:$B&amp;盘货信息!$C:$C,盘货信息!$L:$L)="否",_xlfn.XLOOKUP($A25&amp;$B25&amp;$C25,盘货信息!$A:$A&amp;盘货信息!$B:$B&amp;盘货信息!$C:$C,盘货信息!$L:$L)=""),_xlfn.XLOOKUP($A25&amp;$B25&amp;$C25,盘货信息!$A:$A&amp;盘货信息!$B:$B&amp;盘货信息!$C:$C,盘货信息!$M:$M)="是",_xlfn.XLOOKUP($A25&amp;$B25&amp;$C25,盘货信息!$A:$A&amp;盘货信息!$B:$B&amp;盘货信息!$C:$C,盘货信息!$K:$K)&gt;0),"【详情页领取】","")))</f>
        <v/>
      </c>
      <c r="M25" s="27" t="str" cm="1">
        <f t="array" ref="M25">IF($C25="","",IF(_xlfn.XLOOKUP($A25&amp;$B25&amp;$C25,盘货信息!$A:$A&amp;盘货信息!$B:$B&amp;盘货信息!$C:$C,盘货信息!$F:$F)&lt;1,"",_xlfn.XLOOKUP($A25&amp;$B25&amp;$C25,盘货信息!$A:$A&amp;盘货信息!$B:$B&amp;盘货信息!$C:$C,盘货信息!$F:$F)&amp;"元明卷"))</f>
        <v/>
      </c>
      <c r="N25" s="27" t="str">
        <f t="shared" si="1"/>
        <v/>
      </c>
      <c r="O25" s="27" t="str">
        <f>IF(I25="","","【消费券链接】"&amp;固定信息!$B$6)</f>
        <v/>
      </c>
    </row>
    <row r="26" customHeight="1" spans="1:15">
      <c r="A26" s="26" t="str">
        <f>IF(盘货信息!A26="","",盘货信息!A26)</f>
        <v/>
      </c>
      <c r="B26" s="26" t="str">
        <f>IF(盘货信息!B26="","",盘货信息!B26)</f>
        <v/>
      </c>
      <c r="C26" s="27" t="str">
        <f>IF(盘货信息!C26="","",盘货信息!C26)</f>
        <v/>
      </c>
      <c r="D26" s="27" t="str">
        <f t="shared" si="0"/>
        <v/>
      </c>
      <c r="E26" s="27" t="str" cm="1">
        <f t="array" ref="E26">IF($C26="","",IF(AND(OR(_xlfn.XLOOKUP($A26&amp;$B26&amp;$C26,盘货信息!$A:$A&amp;盘货信息!$B:$B&amp;盘货信息!$C:$C,盘货信息!$L:$L)="否",_xlfn.XLOOKUP($A26&amp;$B26&amp;$C26,盘货信息!$A:$A&amp;盘货信息!$B:$B&amp;盘货信息!$C:$C,盘货信息!$L:$L)=""),_xlfn.XLOOKUP($A26&amp;$B26&amp;$C26,盘货信息!$A:$A&amp;盘货信息!$B:$B&amp;盘货信息!$C:$C,盘货信息!$M:$M)="否"),"【预估到手价"&amp;_xlfn.XLOOKUP($A26&amp;$B26&amp;$C26,盘货信息!$A:$A&amp;盘货信息!$B:$B&amp;盘货信息!$C:$C,盘货信息!$D:$D)&amp;"元】",IF(AND(_xlfn.XLOOKUP($A26&amp;$B26&amp;$C26,盘货信息!$A:$A&amp;盘货信息!$B:$B&amp;盘货信息!$C:$C,盘货信息!$M:$M)="是",OR(_xlfn.XLOOKUP($A26&amp;$B26&amp;$C26,盘货信息!$A:$A&amp;盘货信息!$B:$B&amp;盘货信息!$C:$C,盘货信息!$L:$L)="否",_xlfn.XLOOKUP($A26&amp;$B26&amp;$C26,盘货信息!$A:$A&amp;盘货信息!$B:$B&amp;盘货信息!$C:$C,盘货信息!$L:$L)="")),"【预估到手价"&amp;_xlfn.XLOOKUP($A26&amp;$B26&amp;$C26,盘货信息!$A:$A&amp;盘货信息!$B:$B&amp;盘货信息!$C:$C,盘货信息!$D:$D)&amp;"元】"&amp;CHAR(10)&amp;"【焕新补贴预估价"&amp;ROUND(_xlfn.XLOOKUP($A26&amp;$B26&amp;$C26,盘货信息!$A:$A&amp;盘货信息!$B:$B&amp;盘货信息!$C:$C,盘货信息!$E:$E),0)&amp;"元】","【焕新补贴预估价"&amp;ROUND(_xlfn.XLOOKUP($A26&amp;$B26&amp;$C26,盘货信息!$A:$A&amp;盘货信息!$B:$B&amp;盘货信息!$C:$C,盘货信息!$E:$E),0)&amp;"元】")))</f>
        <v/>
      </c>
      <c r="F26" s="27" t="str" cm="1">
        <f t="array" ref="F26">IF($C26="","",_xlfn.XLOOKUP($A26&amp;$B26&amp;$C26,盘货信息!$A:$A&amp;盘货信息!$B:$B&amp;盘货信息!$C:$C,盘货信息!$D:$D)&amp;"元到手价")</f>
        <v/>
      </c>
      <c r="G26" s="27" t="str" cm="1">
        <f t="array" ref="G26">IF($C26="","",IF(_xlfn.XLOOKUP($A26&amp;$B26&amp;$C26,盘货信息!$A:$A&amp;盘货信息!$B:$B&amp;盘货信息!$C:$C,盘货信息!$G:$G)&lt;1,"",ROUND(_xlfn.XLOOKUP($A26&amp;$B26&amp;$C26,盘货信息!$A:$A&amp;盘货信息!$B:$B&amp;盘货信息!$C:$C,盘货信息!$G:$G),0)&amp;"元88VIP立减"))</f>
        <v/>
      </c>
      <c r="H26" s="27" t="str" cm="1">
        <f t="array" ref="H26">IF($C26="","",IF(_xlfn.XLOOKUP($A26&amp;$B26&amp;$C26,盘货信息!$A:$A&amp;盘货信息!$B:$B&amp;盘货信息!$C:$C,盘货信息!$I:$I)&lt;1,"",_xlfn.XLOOKUP($A26&amp;$B26&amp;$C26,盘货信息!$A:$A&amp;盘货信息!$B:$B&amp;盘货信息!$C:$C,盘货信息!$I:$I)&amp;"元惊喜立减"))</f>
        <v/>
      </c>
      <c r="I26" s="27" t="str" cm="1">
        <f t="array" ref="I26">IF($C26="","",IF(_xlfn.XLOOKUP($A26&amp;$B26&amp;$C26,盘货信息!$A:$A&amp;盘货信息!$B:$B&amp;盘货信息!$C:$C,盘货信息!$H:$H)&lt;1,"",ROUND(_xlfn.XLOOKUP($A26&amp;$B26&amp;$C26,盘货信息!$A:$A&amp;盘货信息!$B:$B&amp;盘货信息!$C:$C,盘货信息!$H:$H),0)&amp;"元消费券"))</f>
        <v/>
      </c>
      <c r="J26" s="27" t="str" cm="1">
        <f t="array" ref="J26">IF($C26="","",IF(_xlfn.XLOOKUP($A26&amp;$B26&amp;$C26,盘货信息!$A:$A&amp;盘货信息!$B:$B&amp;盘货信息!$C:$C,盘货信息!$J:$J)&lt;1,"",ROUND(_xlfn.XLOOKUP($A26&amp;$B26&amp;$C26,盘货信息!$A:$A&amp;盘货信息!$B:$B&amp;盘货信息!$C:$C,盘货信息!$J:$J),0)&amp;"元限时补贴"))</f>
        <v/>
      </c>
      <c r="K26" s="27" t="str" cm="1">
        <f t="array" ref="K26">IF($C26="","",IF(_xlfn.XLOOKUP($A26&amp;$B26&amp;$C26,盘货信息!$A:$A&amp;盘货信息!$B:$B&amp;盘货信息!$C:$C,盘货信息!$K:$K)&lt;1,"",ROUND(_xlfn.XLOOKUP($A26&amp;$B26&amp;$C26,盘货信息!$A:$A&amp;盘货信息!$B:$B&amp;盘货信息!$C:$C,盘货信息!$K:$K),0)&amp;"元预估焕新补贴"))</f>
        <v/>
      </c>
      <c r="L26" s="27" t="str" cm="1">
        <f t="array" ref="L26">IF($C26="","",IF(AND(_xlfn.XLOOKUP($A26&amp;$B26&amp;$C26,盘货信息!$A:$A&amp;盘货信息!$B:$B&amp;盘货信息!$C:$C,盘货信息!$L:$L)="是",_xlfn.XLOOKUP($A26&amp;$B26&amp;$C26,盘货信息!$A:$A&amp;盘货信息!$B:$B&amp;盘货信息!$C:$C,盘货信息!$M:$M)="是",_xlfn.XLOOKUP($A26&amp;$B26&amp;$C26,盘货信息!$A:$A&amp;盘货信息!$B:$B&amp;盘货信息!$C:$C,盘货信息!$K:$K)&gt;0),"【全民可用，不限地址】",IF(AND(OR(_xlfn.XLOOKUP($A26&amp;$B26&amp;$C26,盘货信息!$A:$A&amp;盘货信息!$B:$B&amp;盘货信息!$C:$C,盘货信息!$L:$L)="否",_xlfn.XLOOKUP($A26&amp;$B26&amp;$C26,盘货信息!$A:$A&amp;盘货信息!$B:$B&amp;盘货信息!$C:$C,盘货信息!$L:$L)=""),_xlfn.XLOOKUP($A26&amp;$B26&amp;$C26,盘货信息!$A:$A&amp;盘货信息!$B:$B&amp;盘货信息!$C:$C,盘货信息!$M:$M)="是",_xlfn.XLOOKUP($A26&amp;$B26&amp;$C26,盘货信息!$A:$A&amp;盘货信息!$B:$B&amp;盘货信息!$C:$C,盘货信息!$K:$K)&gt;0),"【详情页领取】","")))</f>
        <v/>
      </c>
      <c r="M26" s="27" t="str" cm="1">
        <f t="array" ref="M26">IF($C26="","",IF(_xlfn.XLOOKUP($A26&amp;$B26&amp;$C26,盘货信息!$A:$A&amp;盘货信息!$B:$B&amp;盘货信息!$C:$C,盘货信息!$F:$F)&lt;1,"",_xlfn.XLOOKUP($A26&amp;$B26&amp;$C26,盘货信息!$A:$A&amp;盘货信息!$B:$B&amp;盘货信息!$C:$C,盘货信息!$F:$F)&amp;"元明卷"))</f>
        <v/>
      </c>
      <c r="N26" s="27" t="str">
        <f t="shared" si="1"/>
        <v/>
      </c>
      <c r="O26" s="27" t="str">
        <f>IF(I26="","","【消费券链接】"&amp;固定信息!$B$6)</f>
        <v/>
      </c>
    </row>
    <row r="27" customHeight="1" spans="1:15">
      <c r="A27" s="26" t="str">
        <f>IF(盘货信息!A27="","",盘货信息!A27)</f>
        <v/>
      </c>
      <c r="B27" s="26" t="str">
        <f>IF(盘货信息!B27="","",盘货信息!B27)</f>
        <v/>
      </c>
      <c r="C27" s="27" t="str">
        <f>IF(盘货信息!C27="","",盘货信息!C27)</f>
        <v/>
      </c>
      <c r="D27" s="27" t="str">
        <f t="shared" si="0"/>
        <v/>
      </c>
      <c r="E27" s="27" t="str" cm="1">
        <f t="array" ref="E27">IF($C27="","",IF(AND(OR(_xlfn.XLOOKUP($A27&amp;$B27&amp;$C27,盘货信息!$A:$A&amp;盘货信息!$B:$B&amp;盘货信息!$C:$C,盘货信息!$L:$L)="否",_xlfn.XLOOKUP($A27&amp;$B27&amp;$C27,盘货信息!$A:$A&amp;盘货信息!$B:$B&amp;盘货信息!$C:$C,盘货信息!$L:$L)=""),_xlfn.XLOOKUP($A27&amp;$B27&amp;$C27,盘货信息!$A:$A&amp;盘货信息!$B:$B&amp;盘货信息!$C:$C,盘货信息!$M:$M)="否"),"【预估到手价"&amp;_xlfn.XLOOKUP($A27&amp;$B27&amp;$C27,盘货信息!$A:$A&amp;盘货信息!$B:$B&amp;盘货信息!$C:$C,盘货信息!$D:$D)&amp;"元】",IF(AND(_xlfn.XLOOKUP($A27&amp;$B27&amp;$C27,盘货信息!$A:$A&amp;盘货信息!$B:$B&amp;盘货信息!$C:$C,盘货信息!$M:$M)="是",OR(_xlfn.XLOOKUP($A27&amp;$B27&amp;$C27,盘货信息!$A:$A&amp;盘货信息!$B:$B&amp;盘货信息!$C:$C,盘货信息!$L:$L)="否",_xlfn.XLOOKUP($A27&amp;$B27&amp;$C27,盘货信息!$A:$A&amp;盘货信息!$B:$B&amp;盘货信息!$C:$C,盘货信息!$L:$L)="")),"【预估到手价"&amp;_xlfn.XLOOKUP($A27&amp;$B27&amp;$C27,盘货信息!$A:$A&amp;盘货信息!$B:$B&amp;盘货信息!$C:$C,盘货信息!$D:$D)&amp;"元】"&amp;CHAR(10)&amp;"【焕新补贴预估价"&amp;ROUND(_xlfn.XLOOKUP($A27&amp;$B27&amp;$C27,盘货信息!$A:$A&amp;盘货信息!$B:$B&amp;盘货信息!$C:$C,盘货信息!$E:$E),0)&amp;"元】","【焕新补贴预估价"&amp;ROUND(_xlfn.XLOOKUP($A27&amp;$B27&amp;$C27,盘货信息!$A:$A&amp;盘货信息!$B:$B&amp;盘货信息!$C:$C,盘货信息!$E:$E),0)&amp;"元】")))</f>
        <v/>
      </c>
      <c r="F27" s="27" t="str" cm="1">
        <f t="array" ref="F27">IF($C27="","",_xlfn.XLOOKUP($A27&amp;$B27&amp;$C27,盘货信息!$A:$A&amp;盘货信息!$B:$B&amp;盘货信息!$C:$C,盘货信息!$D:$D)&amp;"元到手价")</f>
        <v/>
      </c>
      <c r="G27" s="27" t="str" cm="1">
        <f t="array" ref="G27">IF($C27="","",IF(_xlfn.XLOOKUP($A27&amp;$B27&amp;$C27,盘货信息!$A:$A&amp;盘货信息!$B:$B&amp;盘货信息!$C:$C,盘货信息!$G:$G)&lt;1,"",ROUND(_xlfn.XLOOKUP($A27&amp;$B27&amp;$C27,盘货信息!$A:$A&amp;盘货信息!$B:$B&amp;盘货信息!$C:$C,盘货信息!$G:$G),0)&amp;"元88VIP立减"))</f>
        <v/>
      </c>
      <c r="H27" s="27" t="str" cm="1">
        <f t="array" ref="H27">IF($C27="","",IF(_xlfn.XLOOKUP($A27&amp;$B27&amp;$C27,盘货信息!$A:$A&amp;盘货信息!$B:$B&amp;盘货信息!$C:$C,盘货信息!$I:$I)&lt;1,"",_xlfn.XLOOKUP($A27&amp;$B27&amp;$C27,盘货信息!$A:$A&amp;盘货信息!$B:$B&amp;盘货信息!$C:$C,盘货信息!$I:$I)&amp;"元惊喜立减"))</f>
        <v/>
      </c>
      <c r="I27" s="27" t="str" cm="1">
        <f t="array" ref="I27">IF($C27="","",IF(_xlfn.XLOOKUP($A27&amp;$B27&amp;$C27,盘货信息!$A:$A&amp;盘货信息!$B:$B&amp;盘货信息!$C:$C,盘货信息!$H:$H)&lt;1,"",ROUND(_xlfn.XLOOKUP($A27&amp;$B27&amp;$C27,盘货信息!$A:$A&amp;盘货信息!$B:$B&amp;盘货信息!$C:$C,盘货信息!$H:$H),0)&amp;"元消费券"))</f>
        <v/>
      </c>
      <c r="J27" s="27" t="str" cm="1">
        <f t="array" ref="J27">IF($C27="","",IF(_xlfn.XLOOKUP($A27&amp;$B27&amp;$C27,盘货信息!$A:$A&amp;盘货信息!$B:$B&amp;盘货信息!$C:$C,盘货信息!$J:$J)&lt;1,"",ROUND(_xlfn.XLOOKUP($A27&amp;$B27&amp;$C27,盘货信息!$A:$A&amp;盘货信息!$B:$B&amp;盘货信息!$C:$C,盘货信息!$J:$J),0)&amp;"元限时补贴"))</f>
        <v/>
      </c>
      <c r="K27" s="27" t="str" cm="1">
        <f t="array" ref="K27">IF($C27="","",IF(_xlfn.XLOOKUP($A27&amp;$B27&amp;$C27,盘货信息!$A:$A&amp;盘货信息!$B:$B&amp;盘货信息!$C:$C,盘货信息!$K:$K)&lt;1,"",ROUND(_xlfn.XLOOKUP($A27&amp;$B27&amp;$C27,盘货信息!$A:$A&amp;盘货信息!$B:$B&amp;盘货信息!$C:$C,盘货信息!$K:$K),0)&amp;"元预估焕新补贴"))</f>
        <v/>
      </c>
      <c r="L27" s="27" t="str" cm="1">
        <f t="array" ref="L27">IF($C27="","",IF(AND(_xlfn.XLOOKUP($A27&amp;$B27&amp;$C27,盘货信息!$A:$A&amp;盘货信息!$B:$B&amp;盘货信息!$C:$C,盘货信息!$L:$L)="是",_xlfn.XLOOKUP($A27&amp;$B27&amp;$C27,盘货信息!$A:$A&amp;盘货信息!$B:$B&amp;盘货信息!$C:$C,盘货信息!$M:$M)="是",_xlfn.XLOOKUP($A27&amp;$B27&amp;$C27,盘货信息!$A:$A&amp;盘货信息!$B:$B&amp;盘货信息!$C:$C,盘货信息!$K:$K)&gt;0),"【全民可用，不限地址】",IF(AND(OR(_xlfn.XLOOKUP($A27&amp;$B27&amp;$C27,盘货信息!$A:$A&amp;盘货信息!$B:$B&amp;盘货信息!$C:$C,盘货信息!$L:$L)="否",_xlfn.XLOOKUP($A27&amp;$B27&amp;$C27,盘货信息!$A:$A&amp;盘货信息!$B:$B&amp;盘货信息!$C:$C,盘货信息!$L:$L)=""),_xlfn.XLOOKUP($A27&amp;$B27&amp;$C27,盘货信息!$A:$A&amp;盘货信息!$B:$B&amp;盘货信息!$C:$C,盘货信息!$M:$M)="是",_xlfn.XLOOKUP($A27&amp;$B27&amp;$C27,盘货信息!$A:$A&amp;盘货信息!$B:$B&amp;盘货信息!$C:$C,盘货信息!$K:$K)&gt;0),"【详情页领取】","")))</f>
        <v/>
      </c>
      <c r="M27" s="27" t="str" cm="1">
        <f t="array" ref="M27">IF($C27="","",IF(_xlfn.XLOOKUP($A27&amp;$B27&amp;$C27,盘货信息!$A:$A&amp;盘货信息!$B:$B&amp;盘货信息!$C:$C,盘货信息!$F:$F)&lt;1,"",_xlfn.XLOOKUP($A27&amp;$B27&amp;$C27,盘货信息!$A:$A&amp;盘货信息!$B:$B&amp;盘货信息!$C:$C,盘货信息!$F:$F)&amp;"元明卷"))</f>
        <v/>
      </c>
      <c r="N27" s="27" t="str">
        <f t="shared" si="1"/>
        <v/>
      </c>
      <c r="O27" s="27" t="str">
        <f>IF(I27="","","【消费券链接】"&amp;固定信息!$B$6)</f>
        <v/>
      </c>
    </row>
    <row r="28" customHeight="1" spans="1:15">
      <c r="A28" s="26" t="str">
        <f>IF(盘货信息!A28="","",盘货信息!A28)</f>
        <v/>
      </c>
      <c r="B28" s="26" t="str">
        <f>IF(盘货信息!B28="","",盘货信息!B28)</f>
        <v/>
      </c>
      <c r="C28" s="27" t="str">
        <f>IF(盘货信息!C28="","",盘货信息!C28)</f>
        <v/>
      </c>
      <c r="D28" s="27" t="str">
        <f t="shared" si="0"/>
        <v/>
      </c>
      <c r="E28" s="27" t="str" cm="1">
        <f t="array" ref="E28">IF($C28="","",IF(AND(OR(_xlfn.XLOOKUP($A28&amp;$B28&amp;$C28,盘货信息!$A:$A&amp;盘货信息!$B:$B&amp;盘货信息!$C:$C,盘货信息!$L:$L)="否",_xlfn.XLOOKUP($A28&amp;$B28&amp;$C28,盘货信息!$A:$A&amp;盘货信息!$B:$B&amp;盘货信息!$C:$C,盘货信息!$L:$L)=""),_xlfn.XLOOKUP($A28&amp;$B28&amp;$C28,盘货信息!$A:$A&amp;盘货信息!$B:$B&amp;盘货信息!$C:$C,盘货信息!$M:$M)="否"),"【预估到手价"&amp;_xlfn.XLOOKUP($A28&amp;$B28&amp;$C28,盘货信息!$A:$A&amp;盘货信息!$B:$B&amp;盘货信息!$C:$C,盘货信息!$D:$D)&amp;"元】",IF(AND(_xlfn.XLOOKUP($A28&amp;$B28&amp;$C28,盘货信息!$A:$A&amp;盘货信息!$B:$B&amp;盘货信息!$C:$C,盘货信息!$M:$M)="是",OR(_xlfn.XLOOKUP($A28&amp;$B28&amp;$C28,盘货信息!$A:$A&amp;盘货信息!$B:$B&amp;盘货信息!$C:$C,盘货信息!$L:$L)="否",_xlfn.XLOOKUP($A28&amp;$B28&amp;$C28,盘货信息!$A:$A&amp;盘货信息!$B:$B&amp;盘货信息!$C:$C,盘货信息!$L:$L)="")),"【预估到手价"&amp;_xlfn.XLOOKUP($A28&amp;$B28&amp;$C28,盘货信息!$A:$A&amp;盘货信息!$B:$B&amp;盘货信息!$C:$C,盘货信息!$D:$D)&amp;"元】"&amp;CHAR(10)&amp;"【焕新补贴预估价"&amp;ROUND(_xlfn.XLOOKUP($A28&amp;$B28&amp;$C28,盘货信息!$A:$A&amp;盘货信息!$B:$B&amp;盘货信息!$C:$C,盘货信息!$E:$E),0)&amp;"元】","【焕新补贴预估价"&amp;ROUND(_xlfn.XLOOKUP($A28&amp;$B28&amp;$C28,盘货信息!$A:$A&amp;盘货信息!$B:$B&amp;盘货信息!$C:$C,盘货信息!$E:$E),0)&amp;"元】")))</f>
        <v/>
      </c>
      <c r="F28" s="27" t="str" cm="1">
        <f t="array" ref="F28">IF($C28="","",_xlfn.XLOOKUP($A28&amp;$B28&amp;$C28,盘货信息!$A:$A&amp;盘货信息!$B:$B&amp;盘货信息!$C:$C,盘货信息!$D:$D)&amp;"元到手价")</f>
        <v/>
      </c>
      <c r="G28" s="27" t="str" cm="1">
        <f t="array" ref="G28">IF($C28="","",IF(_xlfn.XLOOKUP($A28&amp;$B28&amp;$C28,盘货信息!$A:$A&amp;盘货信息!$B:$B&amp;盘货信息!$C:$C,盘货信息!$G:$G)&lt;1,"",ROUND(_xlfn.XLOOKUP($A28&amp;$B28&amp;$C28,盘货信息!$A:$A&amp;盘货信息!$B:$B&amp;盘货信息!$C:$C,盘货信息!$G:$G),0)&amp;"元88VIP立减"))</f>
        <v/>
      </c>
      <c r="H28" s="27" t="str" cm="1">
        <f t="array" ref="H28">IF($C28="","",IF(_xlfn.XLOOKUP($A28&amp;$B28&amp;$C28,盘货信息!$A:$A&amp;盘货信息!$B:$B&amp;盘货信息!$C:$C,盘货信息!$I:$I)&lt;1,"",_xlfn.XLOOKUP($A28&amp;$B28&amp;$C28,盘货信息!$A:$A&amp;盘货信息!$B:$B&amp;盘货信息!$C:$C,盘货信息!$I:$I)&amp;"元惊喜立减"))</f>
        <v/>
      </c>
      <c r="I28" s="27" t="str" cm="1">
        <f t="array" ref="I28">IF($C28="","",IF(_xlfn.XLOOKUP($A28&amp;$B28&amp;$C28,盘货信息!$A:$A&amp;盘货信息!$B:$B&amp;盘货信息!$C:$C,盘货信息!$H:$H)&lt;1,"",ROUND(_xlfn.XLOOKUP($A28&amp;$B28&amp;$C28,盘货信息!$A:$A&amp;盘货信息!$B:$B&amp;盘货信息!$C:$C,盘货信息!$H:$H),0)&amp;"元消费券"))</f>
        <v/>
      </c>
      <c r="J28" s="27" t="str" cm="1">
        <f t="array" ref="J28">IF($C28="","",IF(_xlfn.XLOOKUP($A28&amp;$B28&amp;$C28,盘货信息!$A:$A&amp;盘货信息!$B:$B&amp;盘货信息!$C:$C,盘货信息!$J:$J)&lt;1,"",ROUND(_xlfn.XLOOKUP($A28&amp;$B28&amp;$C28,盘货信息!$A:$A&amp;盘货信息!$B:$B&amp;盘货信息!$C:$C,盘货信息!$J:$J),0)&amp;"元限时补贴"))</f>
        <v/>
      </c>
      <c r="K28" s="27" t="str" cm="1">
        <f t="array" ref="K28">IF($C28="","",IF(_xlfn.XLOOKUP($A28&amp;$B28&amp;$C28,盘货信息!$A:$A&amp;盘货信息!$B:$B&amp;盘货信息!$C:$C,盘货信息!$K:$K)&lt;1,"",ROUND(_xlfn.XLOOKUP($A28&amp;$B28&amp;$C28,盘货信息!$A:$A&amp;盘货信息!$B:$B&amp;盘货信息!$C:$C,盘货信息!$K:$K),0)&amp;"元预估焕新补贴"))</f>
        <v/>
      </c>
      <c r="L28" s="27" t="str" cm="1">
        <f t="array" ref="L28">IF($C28="","",IF(AND(_xlfn.XLOOKUP($A28&amp;$B28&amp;$C28,盘货信息!$A:$A&amp;盘货信息!$B:$B&amp;盘货信息!$C:$C,盘货信息!$L:$L)="是",_xlfn.XLOOKUP($A28&amp;$B28&amp;$C28,盘货信息!$A:$A&amp;盘货信息!$B:$B&amp;盘货信息!$C:$C,盘货信息!$M:$M)="是",_xlfn.XLOOKUP($A28&amp;$B28&amp;$C28,盘货信息!$A:$A&amp;盘货信息!$B:$B&amp;盘货信息!$C:$C,盘货信息!$K:$K)&gt;0),"【全民可用，不限地址】",IF(AND(OR(_xlfn.XLOOKUP($A28&amp;$B28&amp;$C28,盘货信息!$A:$A&amp;盘货信息!$B:$B&amp;盘货信息!$C:$C,盘货信息!$L:$L)="否",_xlfn.XLOOKUP($A28&amp;$B28&amp;$C28,盘货信息!$A:$A&amp;盘货信息!$B:$B&amp;盘货信息!$C:$C,盘货信息!$L:$L)=""),_xlfn.XLOOKUP($A28&amp;$B28&amp;$C28,盘货信息!$A:$A&amp;盘货信息!$B:$B&amp;盘货信息!$C:$C,盘货信息!$M:$M)="是",_xlfn.XLOOKUP($A28&amp;$B28&amp;$C28,盘货信息!$A:$A&amp;盘货信息!$B:$B&amp;盘货信息!$C:$C,盘货信息!$K:$K)&gt;0),"【详情页领取】","")))</f>
        <v/>
      </c>
      <c r="M28" s="27" t="str" cm="1">
        <f t="array" ref="M28">IF($C28="","",IF(_xlfn.XLOOKUP($A28&amp;$B28&amp;$C28,盘货信息!$A:$A&amp;盘货信息!$B:$B&amp;盘货信息!$C:$C,盘货信息!$F:$F)&lt;1,"",_xlfn.XLOOKUP($A28&amp;$B28&amp;$C28,盘货信息!$A:$A&amp;盘货信息!$B:$B&amp;盘货信息!$C:$C,盘货信息!$F:$F)&amp;"元明卷"))</f>
        <v/>
      </c>
      <c r="N28" s="27" t="str">
        <f t="shared" si="1"/>
        <v/>
      </c>
      <c r="O28" s="27" t="str">
        <f>IF(I28="","","【消费券链接】"&amp;固定信息!$B$6)</f>
        <v/>
      </c>
    </row>
    <row r="29" customHeight="1" spans="1:15">
      <c r="A29" s="26" t="str">
        <f>IF(盘货信息!A29="","",盘货信息!A29)</f>
        <v/>
      </c>
      <c r="B29" s="26" t="str">
        <f>IF(盘货信息!B29="","",盘货信息!B29)</f>
        <v/>
      </c>
      <c r="C29" s="27" t="str">
        <f>IF(盘货信息!C29="","",盘货信息!C29)</f>
        <v/>
      </c>
      <c r="D29" s="27" t="str">
        <f t="shared" si="0"/>
        <v/>
      </c>
      <c r="E29" s="27" t="str" cm="1">
        <f t="array" ref="E29">IF($C29="","",IF(AND(OR(_xlfn.XLOOKUP($A29&amp;$B29&amp;$C29,盘货信息!$A:$A&amp;盘货信息!$B:$B&amp;盘货信息!$C:$C,盘货信息!$L:$L)="否",_xlfn.XLOOKUP($A29&amp;$B29&amp;$C29,盘货信息!$A:$A&amp;盘货信息!$B:$B&amp;盘货信息!$C:$C,盘货信息!$L:$L)=""),_xlfn.XLOOKUP($A29&amp;$B29&amp;$C29,盘货信息!$A:$A&amp;盘货信息!$B:$B&amp;盘货信息!$C:$C,盘货信息!$M:$M)="否"),"【预估到手价"&amp;_xlfn.XLOOKUP($A29&amp;$B29&amp;$C29,盘货信息!$A:$A&amp;盘货信息!$B:$B&amp;盘货信息!$C:$C,盘货信息!$D:$D)&amp;"元】",IF(AND(_xlfn.XLOOKUP($A29&amp;$B29&amp;$C29,盘货信息!$A:$A&amp;盘货信息!$B:$B&amp;盘货信息!$C:$C,盘货信息!$M:$M)="是",OR(_xlfn.XLOOKUP($A29&amp;$B29&amp;$C29,盘货信息!$A:$A&amp;盘货信息!$B:$B&amp;盘货信息!$C:$C,盘货信息!$L:$L)="否",_xlfn.XLOOKUP($A29&amp;$B29&amp;$C29,盘货信息!$A:$A&amp;盘货信息!$B:$B&amp;盘货信息!$C:$C,盘货信息!$L:$L)="")),"【预估到手价"&amp;_xlfn.XLOOKUP($A29&amp;$B29&amp;$C29,盘货信息!$A:$A&amp;盘货信息!$B:$B&amp;盘货信息!$C:$C,盘货信息!$D:$D)&amp;"元】"&amp;CHAR(10)&amp;"【焕新补贴预估价"&amp;ROUND(_xlfn.XLOOKUP($A29&amp;$B29&amp;$C29,盘货信息!$A:$A&amp;盘货信息!$B:$B&amp;盘货信息!$C:$C,盘货信息!$E:$E),0)&amp;"元】","【焕新补贴预估价"&amp;ROUND(_xlfn.XLOOKUP($A29&amp;$B29&amp;$C29,盘货信息!$A:$A&amp;盘货信息!$B:$B&amp;盘货信息!$C:$C,盘货信息!$E:$E),0)&amp;"元】")))</f>
        <v/>
      </c>
      <c r="F29" s="27" t="str" cm="1">
        <f t="array" ref="F29">IF($C29="","",_xlfn.XLOOKUP($A29&amp;$B29&amp;$C29,盘货信息!$A:$A&amp;盘货信息!$B:$B&amp;盘货信息!$C:$C,盘货信息!$D:$D)&amp;"元到手价")</f>
        <v/>
      </c>
      <c r="G29" s="27" t="str" cm="1">
        <f t="array" ref="G29">IF($C29="","",IF(_xlfn.XLOOKUP($A29&amp;$B29&amp;$C29,盘货信息!$A:$A&amp;盘货信息!$B:$B&amp;盘货信息!$C:$C,盘货信息!$G:$G)&lt;1,"",ROUND(_xlfn.XLOOKUP($A29&amp;$B29&amp;$C29,盘货信息!$A:$A&amp;盘货信息!$B:$B&amp;盘货信息!$C:$C,盘货信息!$G:$G),0)&amp;"元88VIP立减"))</f>
        <v/>
      </c>
      <c r="H29" s="27" t="str" cm="1">
        <f t="array" ref="H29">IF($C29="","",IF(_xlfn.XLOOKUP($A29&amp;$B29&amp;$C29,盘货信息!$A:$A&amp;盘货信息!$B:$B&amp;盘货信息!$C:$C,盘货信息!$I:$I)&lt;1,"",_xlfn.XLOOKUP($A29&amp;$B29&amp;$C29,盘货信息!$A:$A&amp;盘货信息!$B:$B&amp;盘货信息!$C:$C,盘货信息!$I:$I)&amp;"元惊喜立减"))</f>
        <v/>
      </c>
      <c r="I29" s="27" t="str" cm="1">
        <f t="array" ref="I29">IF($C29="","",IF(_xlfn.XLOOKUP($A29&amp;$B29&amp;$C29,盘货信息!$A:$A&amp;盘货信息!$B:$B&amp;盘货信息!$C:$C,盘货信息!$H:$H)&lt;1,"",ROUND(_xlfn.XLOOKUP($A29&amp;$B29&amp;$C29,盘货信息!$A:$A&amp;盘货信息!$B:$B&amp;盘货信息!$C:$C,盘货信息!$H:$H),0)&amp;"元消费券"))</f>
        <v/>
      </c>
      <c r="J29" s="27" t="str" cm="1">
        <f t="array" ref="J29">IF($C29="","",IF(_xlfn.XLOOKUP($A29&amp;$B29&amp;$C29,盘货信息!$A:$A&amp;盘货信息!$B:$B&amp;盘货信息!$C:$C,盘货信息!$J:$J)&lt;1,"",ROUND(_xlfn.XLOOKUP($A29&amp;$B29&amp;$C29,盘货信息!$A:$A&amp;盘货信息!$B:$B&amp;盘货信息!$C:$C,盘货信息!$J:$J),0)&amp;"元限时补贴"))</f>
        <v/>
      </c>
      <c r="K29" s="27" t="str" cm="1">
        <f t="array" ref="K29">IF($C29="","",IF(_xlfn.XLOOKUP($A29&amp;$B29&amp;$C29,盘货信息!$A:$A&amp;盘货信息!$B:$B&amp;盘货信息!$C:$C,盘货信息!$K:$K)&lt;1,"",ROUND(_xlfn.XLOOKUP($A29&amp;$B29&amp;$C29,盘货信息!$A:$A&amp;盘货信息!$B:$B&amp;盘货信息!$C:$C,盘货信息!$K:$K),0)&amp;"元预估焕新补贴"))</f>
        <v/>
      </c>
      <c r="L29" s="27" t="str" cm="1">
        <f t="array" ref="L29">IF($C29="","",IF(AND(_xlfn.XLOOKUP($A29&amp;$B29&amp;$C29,盘货信息!$A:$A&amp;盘货信息!$B:$B&amp;盘货信息!$C:$C,盘货信息!$L:$L)="是",_xlfn.XLOOKUP($A29&amp;$B29&amp;$C29,盘货信息!$A:$A&amp;盘货信息!$B:$B&amp;盘货信息!$C:$C,盘货信息!$M:$M)="是",_xlfn.XLOOKUP($A29&amp;$B29&amp;$C29,盘货信息!$A:$A&amp;盘货信息!$B:$B&amp;盘货信息!$C:$C,盘货信息!$K:$K)&gt;0),"【全民可用，不限地址】",IF(AND(OR(_xlfn.XLOOKUP($A29&amp;$B29&amp;$C29,盘货信息!$A:$A&amp;盘货信息!$B:$B&amp;盘货信息!$C:$C,盘货信息!$L:$L)="否",_xlfn.XLOOKUP($A29&amp;$B29&amp;$C29,盘货信息!$A:$A&amp;盘货信息!$B:$B&amp;盘货信息!$C:$C,盘货信息!$L:$L)=""),_xlfn.XLOOKUP($A29&amp;$B29&amp;$C29,盘货信息!$A:$A&amp;盘货信息!$B:$B&amp;盘货信息!$C:$C,盘货信息!$M:$M)="是",_xlfn.XLOOKUP($A29&amp;$B29&amp;$C29,盘货信息!$A:$A&amp;盘货信息!$B:$B&amp;盘货信息!$C:$C,盘货信息!$K:$K)&gt;0),"【详情页领取】","")))</f>
        <v/>
      </c>
      <c r="M29" s="27" t="str" cm="1">
        <f t="array" ref="M29">IF($C29="","",IF(_xlfn.XLOOKUP($A29&amp;$B29&amp;$C29,盘货信息!$A:$A&amp;盘货信息!$B:$B&amp;盘货信息!$C:$C,盘货信息!$F:$F)&lt;1,"",_xlfn.XLOOKUP($A29&amp;$B29&amp;$C29,盘货信息!$A:$A&amp;盘货信息!$B:$B&amp;盘货信息!$C:$C,盘货信息!$F:$F)&amp;"元明卷"))</f>
        <v/>
      </c>
      <c r="N29" s="27" t="str">
        <f t="shared" si="1"/>
        <v/>
      </c>
      <c r="O29" s="27" t="str">
        <f>IF(I29="","","【消费券链接】"&amp;固定信息!$B$6)</f>
        <v/>
      </c>
    </row>
    <row r="30" customHeight="1" spans="1:15">
      <c r="A30" s="26" t="str">
        <f>IF(盘货信息!A30="","",盘货信息!A30)</f>
        <v/>
      </c>
      <c r="B30" s="26" t="str">
        <f>IF(盘货信息!B30="","",盘货信息!B30)</f>
        <v/>
      </c>
      <c r="C30" s="27" t="str">
        <f>IF(盘货信息!C30="","",盘货信息!C30)</f>
        <v/>
      </c>
      <c r="D30" s="27" t="str">
        <f t="shared" si="0"/>
        <v/>
      </c>
      <c r="E30" s="27" t="str" cm="1">
        <f t="array" ref="E30">IF($C30="","",IF(AND(OR(_xlfn.XLOOKUP($A30&amp;$B30&amp;$C30,盘货信息!$A:$A&amp;盘货信息!$B:$B&amp;盘货信息!$C:$C,盘货信息!$L:$L)="否",_xlfn.XLOOKUP($A30&amp;$B30&amp;$C30,盘货信息!$A:$A&amp;盘货信息!$B:$B&amp;盘货信息!$C:$C,盘货信息!$L:$L)=""),_xlfn.XLOOKUP($A30&amp;$B30&amp;$C30,盘货信息!$A:$A&amp;盘货信息!$B:$B&amp;盘货信息!$C:$C,盘货信息!$M:$M)="否"),"【预估到手价"&amp;_xlfn.XLOOKUP($A30&amp;$B30&amp;$C30,盘货信息!$A:$A&amp;盘货信息!$B:$B&amp;盘货信息!$C:$C,盘货信息!$D:$D)&amp;"元】",IF(AND(_xlfn.XLOOKUP($A30&amp;$B30&amp;$C30,盘货信息!$A:$A&amp;盘货信息!$B:$B&amp;盘货信息!$C:$C,盘货信息!$M:$M)="是",OR(_xlfn.XLOOKUP($A30&amp;$B30&amp;$C30,盘货信息!$A:$A&amp;盘货信息!$B:$B&amp;盘货信息!$C:$C,盘货信息!$L:$L)="否",_xlfn.XLOOKUP($A30&amp;$B30&amp;$C30,盘货信息!$A:$A&amp;盘货信息!$B:$B&amp;盘货信息!$C:$C,盘货信息!$L:$L)="")),"【预估到手价"&amp;_xlfn.XLOOKUP($A30&amp;$B30&amp;$C30,盘货信息!$A:$A&amp;盘货信息!$B:$B&amp;盘货信息!$C:$C,盘货信息!$D:$D)&amp;"元】"&amp;CHAR(10)&amp;"【焕新补贴预估价"&amp;ROUND(_xlfn.XLOOKUP($A30&amp;$B30&amp;$C30,盘货信息!$A:$A&amp;盘货信息!$B:$B&amp;盘货信息!$C:$C,盘货信息!$E:$E),0)&amp;"元】","【焕新补贴预估价"&amp;ROUND(_xlfn.XLOOKUP($A30&amp;$B30&amp;$C30,盘货信息!$A:$A&amp;盘货信息!$B:$B&amp;盘货信息!$C:$C,盘货信息!$E:$E),0)&amp;"元】")))</f>
        <v/>
      </c>
      <c r="F30" s="27" t="str" cm="1">
        <f t="array" ref="F30">IF($C30="","",_xlfn.XLOOKUP($A30&amp;$B30&amp;$C30,盘货信息!$A:$A&amp;盘货信息!$B:$B&amp;盘货信息!$C:$C,盘货信息!$D:$D)&amp;"元到手价")</f>
        <v/>
      </c>
      <c r="G30" s="27" t="str" cm="1">
        <f t="array" ref="G30">IF($C30="","",IF(_xlfn.XLOOKUP($A30&amp;$B30&amp;$C30,盘货信息!$A:$A&amp;盘货信息!$B:$B&amp;盘货信息!$C:$C,盘货信息!$G:$G)&lt;1,"",ROUND(_xlfn.XLOOKUP($A30&amp;$B30&amp;$C30,盘货信息!$A:$A&amp;盘货信息!$B:$B&amp;盘货信息!$C:$C,盘货信息!$G:$G),0)&amp;"元88VIP立减"))</f>
        <v/>
      </c>
      <c r="H30" s="27" t="str" cm="1">
        <f t="array" ref="H30">IF($C30="","",IF(_xlfn.XLOOKUP($A30&amp;$B30&amp;$C30,盘货信息!$A:$A&amp;盘货信息!$B:$B&amp;盘货信息!$C:$C,盘货信息!$I:$I)&lt;1,"",_xlfn.XLOOKUP($A30&amp;$B30&amp;$C30,盘货信息!$A:$A&amp;盘货信息!$B:$B&amp;盘货信息!$C:$C,盘货信息!$I:$I)&amp;"元惊喜立减"))</f>
        <v/>
      </c>
      <c r="I30" s="27" t="str" cm="1">
        <f t="array" ref="I30">IF($C30="","",IF(_xlfn.XLOOKUP($A30&amp;$B30&amp;$C30,盘货信息!$A:$A&amp;盘货信息!$B:$B&amp;盘货信息!$C:$C,盘货信息!$H:$H)&lt;1,"",ROUND(_xlfn.XLOOKUP($A30&amp;$B30&amp;$C30,盘货信息!$A:$A&amp;盘货信息!$B:$B&amp;盘货信息!$C:$C,盘货信息!$H:$H),0)&amp;"元消费券"))</f>
        <v/>
      </c>
      <c r="J30" s="27" t="str" cm="1">
        <f t="array" ref="J30">IF($C30="","",IF(_xlfn.XLOOKUP($A30&amp;$B30&amp;$C30,盘货信息!$A:$A&amp;盘货信息!$B:$B&amp;盘货信息!$C:$C,盘货信息!$J:$J)&lt;1,"",ROUND(_xlfn.XLOOKUP($A30&amp;$B30&amp;$C30,盘货信息!$A:$A&amp;盘货信息!$B:$B&amp;盘货信息!$C:$C,盘货信息!$J:$J),0)&amp;"元限时补贴"))</f>
        <v/>
      </c>
      <c r="K30" s="27" t="str" cm="1">
        <f t="array" ref="K30">IF($C30="","",IF(_xlfn.XLOOKUP($A30&amp;$B30&amp;$C30,盘货信息!$A:$A&amp;盘货信息!$B:$B&amp;盘货信息!$C:$C,盘货信息!$K:$K)&lt;1,"",ROUND(_xlfn.XLOOKUP($A30&amp;$B30&amp;$C30,盘货信息!$A:$A&amp;盘货信息!$B:$B&amp;盘货信息!$C:$C,盘货信息!$K:$K),0)&amp;"元预估焕新补贴"))</f>
        <v/>
      </c>
      <c r="L30" s="27" t="str" cm="1">
        <f t="array" ref="L30">IF($C30="","",IF(AND(_xlfn.XLOOKUP($A30&amp;$B30&amp;$C30,盘货信息!$A:$A&amp;盘货信息!$B:$B&amp;盘货信息!$C:$C,盘货信息!$L:$L)="是",_xlfn.XLOOKUP($A30&amp;$B30&amp;$C30,盘货信息!$A:$A&amp;盘货信息!$B:$B&amp;盘货信息!$C:$C,盘货信息!$M:$M)="是",_xlfn.XLOOKUP($A30&amp;$B30&amp;$C30,盘货信息!$A:$A&amp;盘货信息!$B:$B&amp;盘货信息!$C:$C,盘货信息!$K:$K)&gt;0),"【全民可用，不限地址】",IF(AND(OR(_xlfn.XLOOKUP($A30&amp;$B30&amp;$C30,盘货信息!$A:$A&amp;盘货信息!$B:$B&amp;盘货信息!$C:$C,盘货信息!$L:$L)="否",_xlfn.XLOOKUP($A30&amp;$B30&amp;$C30,盘货信息!$A:$A&amp;盘货信息!$B:$B&amp;盘货信息!$C:$C,盘货信息!$L:$L)=""),_xlfn.XLOOKUP($A30&amp;$B30&amp;$C30,盘货信息!$A:$A&amp;盘货信息!$B:$B&amp;盘货信息!$C:$C,盘货信息!$M:$M)="是",_xlfn.XLOOKUP($A30&amp;$B30&amp;$C30,盘货信息!$A:$A&amp;盘货信息!$B:$B&amp;盘货信息!$C:$C,盘货信息!$K:$K)&gt;0),"【详情页领取】","")))</f>
        <v/>
      </c>
      <c r="M30" s="27" t="str" cm="1">
        <f t="array" ref="M30">IF($C30="","",IF(_xlfn.XLOOKUP($A30&amp;$B30&amp;$C30,盘货信息!$A:$A&amp;盘货信息!$B:$B&amp;盘货信息!$C:$C,盘货信息!$F:$F)&lt;1,"",_xlfn.XLOOKUP($A30&amp;$B30&amp;$C30,盘货信息!$A:$A&amp;盘货信息!$B:$B&amp;盘货信息!$C:$C,盘货信息!$F:$F)&amp;"元明卷"))</f>
        <v/>
      </c>
      <c r="N30" s="27" t="str">
        <f t="shared" si="1"/>
        <v/>
      </c>
      <c r="O30" s="27" t="str">
        <f>IF(I30="","","【消费券链接】"&amp;固定信息!$B$6)</f>
        <v/>
      </c>
    </row>
    <row r="31" customHeight="1" spans="1:15">
      <c r="A31" s="26" t="str">
        <f>IF(盘货信息!A31="","",盘货信息!A31)</f>
        <v/>
      </c>
      <c r="B31" s="26" t="str">
        <f>IF(盘货信息!B31="","",盘货信息!B31)</f>
        <v/>
      </c>
      <c r="C31" s="27" t="str">
        <f>IF(盘货信息!C31="","",盘货信息!C31)</f>
        <v/>
      </c>
      <c r="D31" s="27" t="str">
        <f t="shared" si="0"/>
        <v/>
      </c>
      <c r="E31" s="27" t="str" cm="1">
        <f t="array" ref="E31">IF($C31="","",IF(AND(OR(_xlfn.XLOOKUP($A31&amp;$B31&amp;$C31,盘货信息!$A:$A&amp;盘货信息!$B:$B&amp;盘货信息!$C:$C,盘货信息!$L:$L)="否",_xlfn.XLOOKUP($A31&amp;$B31&amp;$C31,盘货信息!$A:$A&amp;盘货信息!$B:$B&amp;盘货信息!$C:$C,盘货信息!$L:$L)=""),_xlfn.XLOOKUP($A31&amp;$B31&amp;$C31,盘货信息!$A:$A&amp;盘货信息!$B:$B&amp;盘货信息!$C:$C,盘货信息!$M:$M)="否"),"【预估到手价"&amp;_xlfn.XLOOKUP($A31&amp;$B31&amp;$C31,盘货信息!$A:$A&amp;盘货信息!$B:$B&amp;盘货信息!$C:$C,盘货信息!$D:$D)&amp;"元】",IF(AND(_xlfn.XLOOKUP($A31&amp;$B31&amp;$C31,盘货信息!$A:$A&amp;盘货信息!$B:$B&amp;盘货信息!$C:$C,盘货信息!$M:$M)="是",OR(_xlfn.XLOOKUP($A31&amp;$B31&amp;$C31,盘货信息!$A:$A&amp;盘货信息!$B:$B&amp;盘货信息!$C:$C,盘货信息!$L:$L)="否",_xlfn.XLOOKUP($A31&amp;$B31&amp;$C31,盘货信息!$A:$A&amp;盘货信息!$B:$B&amp;盘货信息!$C:$C,盘货信息!$L:$L)="")),"【预估到手价"&amp;_xlfn.XLOOKUP($A31&amp;$B31&amp;$C31,盘货信息!$A:$A&amp;盘货信息!$B:$B&amp;盘货信息!$C:$C,盘货信息!$D:$D)&amp;"元】"&amp;CHAR(10)&amp;"【焕新补贴预估价"&amp;ROUND(_xlfn.XLOOKUP($A31&amp;$B31&amp;$C31,盘货信息!$A:$A&amp;盘货信息!$B:$B&amp;盘货信息!$C:$C,盘货信息!$E:$E),0)&amp;"元】","【焕新补贴预估价"&amp;ROUND(_xlfn.XLOOKUP($A31&amp;$B31&amp;$C31,盘货信息!$A:$A&amp;盘货信息!$B:$B&amp;盘货信息!$C:$C,盘货信息!$E:$E),0)&amp;"元】")))</f>
        <v/>
      </c>
      <c r="F31" s="27" t="str" cm="1">
        <f t="array" ref="F31">IF($C31="","",_xlfn.XLOOKUP($A31&amp;$B31&amp;$C31,盘货信息!$A:$A&amp;盘货信息!$B:$B&amp;盘货信息!$C:$C,盘货信息!$D:$D)&amp;"元到手价")</f>
        <v/>
      </c>
      <c r="G31" s="27" t="str" cm="1">
        <f t="array" ref="G31">IF($C31="","",IF(_xlfn.XLOOKUP($A31&amp;$B31&amp;$C31,盘货信息!$A:$A&amp;盘货信息!$B:$B&amp;盘货信息!$C:$C,盘货信息!$G:$G)&lt;1,"",ROUND(_xlfn.XLOOKUP($A31&amp;$B31&amp;$C31,盘货信息!$A:$A&amp;盘货信息!$B:$B&amp;盘货信息!$C:$C,盘货信息!$G:$G),0)&amp;"元88VIP立减"))</f>
        <v/>
      </c>
      <c r="H31" s="27" t="str" cm="1">
        <f t="array" ref="H31">IF($C31="","",IF(_xlfn.XLOOKUP($A31&amp;$B31&amp;$C31,盘货信息!$A:$A&amp;盘货信息!$B:$B&amp;盘货信息!$C:$C,盘货信息!$I:$I)&lt;1,"",_xlfn.XLOOKUP($A31&amp;$B31&amp;$C31,盘货信息!$A:$A&amp;盘货信息!$B:$B&amp;盘货信息!$C:$C,盘货信息!$I:$I)&amp;"元惊喜立减"))</f>
        <v/>
      </c>
      <c r="I31" s="27" t="str" cm="1">
        <f t="array" ref="I31">IF($C31="","",IF(_xlfn.XLOOKUP($A31&amp;$B31&amp;$C31,盘货信息!$A:$A&amp;盘货信息!$B:$B&amp;盘货信息!$C:$C,盘货信息!$H:$H)&lt;1,"",ROUND(_xlfn.XLOOKUP($A31&amp;$B31&amp;$C31,盘货信息!$A:$A&amp;盘货信息!$B:$B&amp;盘货信息!$C:$C,盘货信息!$H:$H),0)&amp;"元消费券"))</f>
        <v/>
      </c>
      <c r="J31" s="27" t="str" cm="1">
        <f t="array" ref="J31">IF($C31="","",IF(_xlfn.XLOOKUP($A31&amp;$B31&amp;$C31,盘货信息!$A:$A&amp;盘货信息!$B:$B&amp;盘货信息!$C:$C,盘货信息!$J:$J)&lt;1,"",ROUND(_xlfn.XLOOKUP($A31&amp;$B31&amp;$C31,盘货信息!$A:$A&amp;盘货信息!$B:$B&amp;盘货信息!$C:$C,盘货信息!$J:$J),0)&amp;"元限时补贴"))</f>
        <v/>
      </c>
      <c r="K31" s="27" t="str" cm="1">
        <f t="array" ref="K31">IF($C31="","",IF(_xlfn.XLOOKUP($A31&amp;$B31&amp;$C31,盘货信息!$A:$A&amp;盘货信息!$B:$B&amp;盘货信息!$C:$C,盘货信息!$K:$K)&lt;1,"",ROUND(_xlfn.XLOOKUP($A31&amp;$B31&amp;$C31,盘货信息!$A:$A&amp;盘货信息!$B:$B&amp;盘货信息!$C:$C,盘货信息!$K:$K),0)&amp;"元预估焕新补贴"))</f>
        <v/>
      </c>
      <c r="L31" s="27" t="str" cm="1">
        <f t="array" ref="L31">IF($C31="","",IF(AND(_xlfn.XLOOKUP($A31&amp;$B31&amp;$C31,盘货信息!$A:$A&amp;盘货信息!$B:$B&amp;盘货信息!$C:$C,盘货信息!$L:$L)="是",_xlfn.XLOOKUP($A31&amp;$B31&amp;$C31,盘货信息!$A:$A&amp;盘货信息!$B:$B&amp;盘货信息!$C:$C,盘货信息!$M:$M)="是",_xlfn.XLOOKUP($A31&amp;$B31&amp;$C31,盘货信息!$A:$A&amp;盘货信息!$B:$B&amp;盘货信息!$C:$C,盘货信息!$K:$K)&gt;0),"【全民可用，不限地址】",IF(AND(OR(_xlfn.XLOOKUP($A31&amp;$B31&amp;$C31,盘货信息!$A:$A&amp;盘货信息!$B:$B&amp;盘货信息!$C:$C,盘货信息!$L:$L)="否",_xlfn.XLOOKUP($A31&amp;$B31&amp;$C31,盘货信息!$A:$A&amp;盘货信息!$B:$B&amp;盘货信息!$C:$C,盘货信息!$L:$L)=""),_xlfn.XLOOKUP($A31&amp;$B31&amp;$C31,盘货信息!$A:$A&amp;盘货信息!$B:$B&amp;盘货信息!$C:$C,盘货信息!$M:$M)="是",_xlfn.XLOOKUP($A31&amp;$B31&amp;$C31,盘货信息!$A:$A&amp;盘货信息!$B:$B&amp;盘货信息!$C:$C,盘货信息!$K:$K)&gt;0),"【详情页领取】","")))</f>
        <v/>
      </c>
      <c r="M31" s="27" t="str" cm="1">
        <f t="array" ref="M31">IF($C31="","",IF(_xlfn.XLOOKUP($A31&amp;$B31&amp;$C31,盘货信息!$A:$A&amp;盘货信息!$B:$B&amp;盘货信息!$C:$C,盘货信息!$F:$F)&lt;1,"",_xlfn.XLOOKUP($A31&amp;$B31&amp;$C31,盘货信息!$A:$A&amp;盘货信息!$B:$B&amp;盘货信息!$C:$C,盘货信息!$F:$F)&amp;"元明卷"))</f>
        <v/>
      </c>
      <c r="N31" s="27" t="str">
        <f t="shared" si="1"/>
        <v/>
      </c>
      <c r="O31" s="27" t="str">
        <f>IF(I31="","","【消费券链接】"&amp;固定信息!$B$6)</f>
        <v/>
      </c>
    </row>
    <row r="32" customHeight="1" spans="1:15">
      <c r="A32" s="26" t="str">
        <f>IF(盘货信息!A32="","",盘货信息!A32)</f>
        <v/>
      </c>
      <c r="B32" s="26" t="str">
        <f>IF(盘货信息!B32="","",盘货信息!B32)</f>
        <v/>
      </c>
      <c r="C32" s="27" t="str">
        <f>IF(盘货信息!C32="","",盘货信息!C32)</f>
        <v/>
      </c>
      <c r="D32" s="27" t="str">
        <f t="shared" si="0"/>
        <v/>
      </c>
      <c r="E32" s="27" t="str" cm="1">
        <f t="array" ref="E32">IF($C32="","",IF(AND(OR(_xlfn.XLOOKUP($A32&amp;$B32&amp;$C32,盘货信息!$A:$A&amp;盘货信息!$B:$B&amp;盘货信息!$C:$C,盘货信息!$L:$L)="否",_xlfn.XLOOKUP($A32&amp;$B32&amp;$C32,盘货信息!$A:$A&amp;盘货信息!$B:$B&amp;盘货信息!$C:$C,盘货信息!$L:$L)=""),_xlfn.XLOOKUP($A32&amp;$B32&amp;$C32,盘货信息!$A:$A&amp;盘货信息!$B:$B&amp;盘货信息!$C:$C,盘货信息!$M:$M)="否"),"【预估到手价"&amp;_xlfn.XLOOKUP($A32&amp;$B32&amp;$C32,盘货信息!$A:$A&amp;盘货信息!$B:$B&amp;盘货信息!$C:$C,盘货信息!$D:$D)&amp;"元】",IF(AND(_xlfn.XLOOKUP($A32&amp;$B32&amp;$C32,盘货信息!$A:$A&amp;盘货信息!$B:$B&amp;盘货信息!$C:$C,盘货信息!$M:$M)="是",OR(_xlfn.XLOOKUP($A32&amp;$B32&amp;$C32,盘货信息!$A:$A&amp;盘货信息!$B:$B&amp;盘货信息!$C:$C,盘货信息!$L:$L)="否",_xlfn.XLOOKUP($A32&amp;$B32&amp;$C32,盘货信息!$A:$A&amp;盘货信息!$B:$B&amp;盘货信息!$C:$C,盘货信息!$L:$L)="")),"【预估到手价"&amp;_xlfn.XLOOKUP($A32&amp;$B32&amp;$C32,盘货信息!$A:$A&amp;盘货信息!$B:$B&amp;盘货信息!$C:$C,盘货信息!$D:$D)&amp;"元】"&amp;CHAR(10)&amp;"【焕新补贴预估价"&amp;ROUND(_xlfn.XLOOKUP($A32&amp;$B32&amp;$C32,盘货信息!$A:$A&amp;盘货信息!$B:$B&amp;盘货信息!$C:$C,盘货信息!$E:$E),0)&amp;"元】","【焕新补贴预估价"&amp;ROUND(_xlfn.XLOOKUP($A32&amp;$B32&amp;$C32,盘货信息!$A:$A&amp;盘货信息!$B:$B&amp;盘货信息!$C:$C,盘货信息!$E:$E),0)&amp;"元】")))</f>
        <v/>
      </c>
      <c r="F32" s="27" t="str" cm="1">
        <f t="array" ref="F32">IF($C32="","",_xlfn.XLOOKUP($A32&amp;$B32&amp;$C32,盘货信息!$A:$A&amp;盘货信息!$B:$B&amp;盘货信息!$C:$C,盘货信息!$D:$D)&amp;"元到手价")</f>
        <v/>
      </c>
      <c r="G32" s="27" t="str" cm="1">
        <f t="array" ref="G32">IF($C32="","",IF(_xlfn.XLOOKUP($A32&amp;$B32&amp;$C32,盘货信息!$A:$A&amp;盘货信息!$B:$B&amp;盘货信息!$C:$C,盘货信息!$G:$G)&lt;1,"",ROUND(_xlfn.XLOOKUP($A32&amp;$B32&amp;$C32,盘货信息!$A:$A&amp;盘货信息!$B:$B&amp;盘货信息!$C:$C,盘货信息!$G:$G),0)&amp;"元88VIP立减"))</f>
        <v/>
      </c>
      <c r="H32" s="27" t="str" cm="1">
        <f t="array" ref="H32">IF($C32="","",IF(_xlfn.XLOOKUP($A32&amp;$B32&amp;$C32,盘货信息!$A:$A&amp;盘货信息!$B:$B&amp;盘货信息!$C:$C,盘货信息!$I:$I)&lt;1,"",_xlfn.XLOOKUP($A32&amp;$B32&amp;$C32,盘货信息!$A:$A&amp;盘货信息!$B:$B&amp;盘货信息!$C:$C,盘货信息!$I:$I)&amp;"元惊喜立减"))</f>
        <v/>
      </c>
      <c r="I32" s="27" t="str" cm="1">
        <f t="array" ref="I32">IF($C32="","",IF(_xlfn.XLOOKUP($A32&amp;$B32&amp;$C32,盘货信息!$A:$A&amp;盘货信息!$B:$B&amp;盘货信息!$C:$C,盘货信息!$H:$H)&lt;1,"",ROUND(_xlfn.XLOOKUP($A32&amp;$B32&amp;$C32,盘货信息!$A:$A&amp;盘货信息!$B:$B&amp;盘货信息!$C:$C,盘货信息!$H:$H),0)&amp;"元消费券"))</f>
        <v/>
      </c>
      <c r="J32" s="27" t="str" cm="1">
        <f t="array" ref="J32">IF($C32="","",IF(_xlfn.XLOOKUP($A32&amp;$B32&amp;$C32,盘货信息!$A:$A&amp;盘货信息!$B:$B&amp;盘货信息!$C:$C,盘货信息!$J:$J)&lt;1,"",ROUND(_xlfn.XLOOKUP($A32&amp;$B32&amp;$C32,盘货信息!$A:$A&amp;盘货信息!$B:$B&amp;盘货信息!$C:$C,盘货信息!$J:$J),0)&amp;"元限时补贴"))</f>
        <v/>
      </c>
      <c r="K32" s="27" t="str" cm="1">
        <f t="array" ref="K32">IF($C32="","",IF(_xlfn.XLOOKUP($A32&amp;$B32&amp;$C32,盘货信息!$A:$A&amp;盘货信息!$B:$B&amp;盘货信息!$C:$C,盘货信息!$K:$K)&lt;1,"",ROUND(_xlfn.XLOOKUP($A32&amp;$B32&amp;$C32,盘货信息!$A:$A&amp;盘货信息!$B:$B&amp;盘货信息!$C:$C,盘货信息!$K:$K),0)&amp;"元预估焕新补贴"))</f>
        <v/>
      </c>
      <c r="L32" s="27" t="str" cm="1">
        <f t="array" ref="L32">IF($C32="","",IF(AND(_xlfn.XLOOKUP($A32&amp;$B32&amp;$C32,盘货信息!$A:$A&amp;盘货信息!$B:$B&amp;盘货信息!$C:$C,盘货信息!$L:$L)="是",_xlfn.XLOOKUP($A32&amp;$B32&amp;$C32,盘货信息!$A:$A&amp;盘货信息!$B:$B&amp;盘货信息!$C:$C,盘货信息!$M:$M)="是",_xlfn.XLOOKUP($A32&amp;$B32&amp;$C32,盘货信息!$A:$A&amp;盘货信息!$B:$B&amp;盘货信息!$C:$C,盘货信息!$K:$K)&gt;0),"【全民可用，不限地址】",IF(AND(OR(_xlfn.XLOOKUP($A32&amp;$B32&amp;$C32,盘货信息!$A:$A&amp;盘货信息!$B:$B&amp;盘货信息!$C:$C,盘货信息!$L:$L)="否",_xlfn.XLOOKUP($A32&amp;$B32&amp;$C32,盘货信息!$A:$A&amp;盘货信息!$B:$B&amp;盘货信息!$C:$C,盘货信息!$L:$L)=""),_xlfn.XLOOKUP($A32&amp;$B32&amp;$C32,盘货信息!$A:$A&amp;盘货信息!$B:$B&amp;盘货信息!$C:$C,盘货信息!$M:$M)="是",_xlfn.XLOOKUP($A32&amp;$B32&amp;$C32,盘货信息!$A:$A&amp;盘货信息!$B:$B&amp;盘货信息!$C:$C,盘货信息!$K:$K)&gt;0),"【详情页领取】","")))</f>
        <v/>
      </c>
      <c r="M32" s="27" t="str" cm="1">
        <f t="array" ref="M32">IF($C32="","",IF(_xlfn.XLOOKUP($A32&amp;$B32&amp;$C32,盘货信息!$A:$A&amp;盘货信息!$B:$B&amp;盘货信息!$C:$C,盘货信息!$F:$F)&lt;1,"",_xlfn.XLOOKUP($A32&amp;$B32&amp;$C32,盘货信息!$A:$A&amp;盘货信息!$B:$B&amp;盘货信息!$C:$C,盘货信息!$F:$F)&amp;"元明卷"))</f>
        <v/>
      </c>
      <c r="N32" s="27" t="str">
        <f t="shared" si="1"/>
        <v/>
      </c>
      <c r="O32" s="27" t="str">
        <f>IF(I32="","","【消费券链接】"&amp;固定信息!$B$6)</f>
        <v/>
      </c>
    </row>
    <row r="33" customHeight="1" spans="1:15">
      <c r="A33" s="26" t="str">
        <f>IF(盘货信息!A33="","",盘货信息!A33)</f>
        <v/>
      </c>
      <c r="B33" s="26" t="str">
        <f>IF(盘货信息!B33="","",盘货信息!B33)</f>
        <v/>
      </c>
      <c r="C33" s="27" t="str">
        <f>IF(盘货信息!C33="","",盘货信息!C33)</f>
        <v/>
      </c>
      <c r="D33" s="27" t="str">
        <f t="shared" si="0"/>
        <v/>
      </c>
      <c r="E33" s="27" t="str" cm="1">
        <f t="array" ref="E33">IF($C33="","",IF(AND(OR(_xlfn.XLOOKUP($A33&amp;$B33&amp;$C33,盘货信息!$A:$A&amp;盘货信息!$B:$B&amp;盘货信息!$C:$C,盘货信息!$L:$L)="否",_xlfn.XLOOKUP($A33&amp;$B33&amp;$C33,盘货信息!$A:$A&amp;盘货信息!$B:$B&amp;盘货信息!$C:$C,盘货信息!$L:$L)=""),_xlfn.XLOOKUP($A33&amp;$B33&amp;$C33,盘货信息!$A:$A&amp;盘货信息!$B:$B&amp;盘货信息!$C:$C,盘货信息!$M:$M)="否"),"【预估到手价"&amp;_xlfn.XLOOKUP($A33&amp;$B33&amp;$C33,盘货信息!$A:$A&amp;盘货信息!$B:$B&amp;盘货信息!$C:$C,盘货信息!$D:$D)&amp;"元】",IF(AND(_xlfn.XLOOKUP($A33&amp;$B33&amp;$C33,盘货信息!$A:$A&amp;盘货信息!$B:$B&amp;盘货信息!$C:$C,盘货信息!$M:$M)="是",OR(_xlfn.XLOOKUP($A33&amp;$B33&amp;$C33,盘货信息!$A:$A&amp;盘货信息!$B:$B&amp;盘货信息!$C:$C,盘货信息!$L:$L)="否",_xlfn.XLOOKUP($A33&amp;$B33&amp;$C33,盘货信息!$A:$A&amp;盘货信息!$B:$B&amp;盘货信息!$C:$C,盘货信息!$L:$L)="")),"【预估到手价"&amp;_xlfn.XLOOKUP($A33&amp;$B33&amp;$C33,盘货信息!$A:$A&amp;盘货信息!$B:$B&amp;盘货信息!$C:$C,盘货信息!$D:$D)&amp;"元】"&amp;CHAR(10)&amp;"【焕新补贴预估价"&amp;ROUND(_xlfn.XLOOKUP($A33&amp;$B33&amp;$C33,盘货信息!$A:$A&amp;盘货信息!$B:$B&amp;盘货信息!$C:$C,盘货信息!$E:$E),0)&amp;"元】","【焕新补贴预估价"&amp;ROUND(_xlfn.XLOOKUP($A33&amp;$B33&amp;$C33,盘货信息!$A:$A&amp;盘货信息!$B:$B&amp;盘货信息!$C:$C,盘货信息!$E:$E),0)&amp;"元】")))</f>
        <v/>
      </c>
      <c r="F33" s="27" t="str" cm="1">
        <f t="array" ref="F33">IF($C33="","",_xlfn.XLOOKUP($A33&amp;$B33&amp;$C33,盘货信息!$A:$A&amp;盘货信息!$B:$B&amp;盘货信息!$C:$C,盘货信息!$D:$D)&amp;"元到手价")</f>
        <v/>
      </c>
      <c r="G33" s="27" t="str" cm="1">
        <f t="array" ref="G33">IF($C33="","",IF(_xlfn.XLOOKUP($A33&amp;$B33&amp;$C33,盘货信息!$A:$A&amp;盘货信息!$B:$B&amp;盘货信息!$C:$C,盘货信息!$G:$G)&lt;1,"",ROUND(_xlfn.XLOOKUP($A33&amp;$B33&amp;$C33,盘货信息!$A:$A&amp;盘货信息!$B:$B&amp;盘货信息!$C:$C,盘货信息!$G:$G),0)&amp;"元88VIP立减"))</f>
        <v/>
      </c>
      <c r="H33" s="27" t="str" cm="1">
        <f t="array" ref="H33">IF($C33="","",IF(_xlfn.XLOOKUP($A33&amp;$B33&amp;$C33,盘货信息!$A:$A&amp;盘货信息!$B:$B&amp;盘货信息!$C:$C,盘货信息!$I:$I)&lt;1,"",_xlfn.XLOOKUP($A33&amp;$B33&amp;$C33,盘货信息!$A:$A&amp;盘货信息!$B:$B&amp;盘货信息!$C:$C,盘货信息!$I:$I)&amp;"元惊喜立减"))</f>
        <v/>
      </c>
      <c r="I33" s="27" t="str" cm="1">
        <f t="array" ref="I33">IF($C33="","",IF(_xlfn.XLOOKUP($A33&amp;$B33&amp;$C33,盘货信息!$A:$A&amp;盘货信息!$B:$B&amp;盘货信息!$C:$C,盘货信息!$H:$H)&lt;1,"",ROUND(_xlfn.XLOOKUP($A33&amp;$B33&amp;$C33,盘货信息!$A:$A&amp;盘货信息!$B:$B&amp;盘货信息!$C:$C,盘货信息!$H:$H),0)&amp;"元消费券"))</f>
        <v/>
      </c>
      <c r="J33" s="27" t="str" cm="1">
        <f t="array" ref="J33">IF($C33="","",IF(_xlfn.XLOOKUP($A33&amp;$B33&amp;$C33,盘货信息!$A:$A&amp;盘货信息!$B:$B&amp;盘货信息!$C:$C,盘货信息!$J:$J)&lt;1,"",ROUND(_xlfn.XLOOKUP($A33&amp;$B33&amp;$C33,盘货信息!$A:$A&amp;盘货信息!$B:$B&amp;盘货信息!$C:$C,盘货信息!$J:$J),0)&amp;"元限时补贴"))</f>
        <v/>
      </c>
      <c r="K33" s="27" t="str" cm="1">
        <f t="array" ref="K33">IF($C33="","",IF(_xlfn.XLOOKUP($A33&amp;$B33&amp;$C33,盘货信息!$A:$A&amp;盘货信息!$B:$B&amp;盘货信息!$C:$C,盘货信息!$K:$K)&lt;1,"",ROUND(_xlfn.XLOOKUP($A33&amp;$B33&amp;$C33,盘货信息!$A:$A&amp;盘货信息!$B:$B&amp;盘货信息!$C:$C,盘货信息!$K:$K),0)&amp;"元预估焕新补贴"))</f>
        <v/>
      </c>
      <c r="L33" s="27" t="str" cm="1">
        <f t="array" ref="L33">IF($C33="","",IF(AND(_xlfn.XLOOKUP($A33&amp;$B33&amp;$C33,盘货信息!$A:$A&amp;盘货信息!$B:$B&amp;盘货信息!$C:$C,盘货信息!$L:$L)="是",_xlfn.XLOOKUP($A33&amp;$B33&amp;$C33,盘货信息!$A:$A&amp;盘货信息!$B:$B&amp;盘货信息!$C:$C,盘货信息!$M:$M)="是",_xlfn.XLOOKUP($A33&amp;$B33&amp;$C33,盘货信息!$A:$A&amp;盘货信息!$B:$B&amp;盘货信息!$C:$C,盘货信息!$K:$K)&gt;0),"【全民可用，不限地址】",IF(AND(OR(_xlfn.XLOOKUP($A33&amp;$B33&amp;$C33,盘货信息!$A:$A&amp;盘货信息!$B:$B&amp;盘货信息!$C:$C,盘货信息!$L:$L)="否",_xlfn.XLOOKUP($A33&amp;$B33&amp;$C33,盘货信息!$A:$A&amp;盘货信息!$B:$B&amp;盘货信息!$C:$C,盘货信息!$L:$L)=""),_xlfn.XLOOKUP($A33&amp;$B33&amp;$C33,盘货信息!$A:$A&amp;盘货信息!$B:$B&amp;盘货信息!$C:$C,盘货信息!$M:$M)="是",_xlfn.XLOOKUP($A33&amp;$B33&amp;$C33,盘货信息!$A:$A&amp;盘货信息!$B:$B&amp;盘货信息!$C:$C,盘货信息!$K:$K)&gt;0),"【详情页领取】","")))</f>
        <v/>
      </c>
      <c r="M33" s="27" t="str" cm="1">
        <f t="array" ref="M33">IF($C33="","",IF(_xlfn.XLOOKUP($A33&amp;$B33&amp;$C33,盘货信息!$A:$A&amp;盘货信息!$B:$B&amp;盘货信息!$C:$C,盘货信息!$F:$F)&lt;1,"",_xlfn.XLOOKUP($A33&amp;$B33&amp;$C33,盘货信息!$A:$A&amp;盘货信息!$B:$B&amp;盘货信息!$C:$C,盘货信息!$F:$F)&amp;"元明卷"))</f>
        <v/>
      </c>
      <c r="N33" s="27" t="str">
        <f t="shared" si="1"/>
        <v/>
      </c>
      <c r="O33" s="27" t="str">
        <f>IF(I33="","","【消费券链接】"&amp;固定信息!$B$6)</f>
        <v/>
      </c>
    </row>
    <row r="34" customHeight="1" spans="1:15">
      <c r="A34" s="26" t="str">
        <f>IF(盘货信息!A34="","",盘货信息!A34)</f>
        <v/>
      </c>
      <c r="B34" s="26" t="str">
        <f>IF(盘货信息!B34="","",盘货信息!B34)</f>
        <v/>
      </c>
      <c r="C34" s="27" t="str">
        <f>IF(盘货信息!C34="","",盘货信息!C34)</f>
        <v/>
      </c>
      <c r="D34" s="27" t="str">
        <f t="shared" si="0"/>
        <v/>
      </c>
      <c r="E34" s="27" t="str" cm="1">
        <f t="array" ref="E34">IF($C34="","",IF(AND(OR(_xlfn.XLOOKUP($A34&amp;$B34&amp;$C34,盘货信息!$A:$A&amp;盘货信息!$B:$B&amp;盘货信息!$C:$C,盘货信息!$L:$L)="否",_xlfn.XLOOKUP($A34&amp;$B34&amp;$C34,盘货信息!$A:$A&amp;盘货信息!$B:$B&amp;盘货信息!$C:$C,盘货信息!$L:$L)=""),_xlfn.XLOOKUP($A34&amp;$B34&amp;$C34,盘货信息!$A:$A&amp;盘货信息!$B:$B&amp;盘货信息!$C:$C,盘货信息!$M:$M)="否"),"【预估到手价"&amp;_xlfn.XLOOKUP($A34&amp;$B34&amp;$C34,盘货信息!$A:$A&amp;盘货信息!$B:$B&amp;盘货信息!$C:$C,盘货信息!$D:$D)&amp;"元】",IF(AND(_xlfn.XLOOKUP($A34&amp;$B34&amp;$C34,盘货信息!$A:$A&amp;盘货信息!$B:$B&amp;盘货信息!$C:$C,盘货信息!$M:$M)="是",OR(_xlfn.XLOOKUP($A34&amp;$B34&amp;$C34,盘货信息!$A:$A&amp;盘货信息!$B:$B&amp;盘货信息!$C:$C,盘货信息!$L:$L)="否",_xlfn.XLOOKUP($A34&amp;$B34&amp;$C34,盘货信息!$A:$A&amp;盘货信息!$B:$B&amp;盘货信息!$C:$C,盘货信息!$L:$L)="")),"【预估到手价"&amp;_xlfn.XLOOKUP($A34&amp;$B34&amp;$C34,盘货信息!$A:$A&amp;盘货信息!$B:$B&amp;盘货信息!$C:$C,盘货信息!$D:$D)&amp;"元】"&amp;CHAR(10)&amp;"【焕新补贴预估价"&amp;ROUND(_xlfn.XLOOKUP($A34&amp;$B34&amp;$C34,盘货信息!$A:$A&amp;盘货信息!$B:$B&amp;盘货信息!$C:$C,盘货信息!$E:$E),0)&amp;"元】","【焕新补贴预估价"&amp;ROUND(_xlfn.XLOOKUP($A34&amp;$B34&amp;$C34,盘货信息!$A:$A&amp;盘货信息!$B:$B&amp;盘货信息!$C:$C,盘货信息!$E:$E),0)&amp;"元】")))</f>
        <v/>
      </c>
      <c r="F34" s="27" t="str" cm="1">
        <f t="array" ref="F34">IF($C34="","",_xlfn.XLOOKUP($A34&amp;$B34&amp;$C34,盘货信息!$A:$A&amp;盘货信息!$B:$B&amp;盘货信息!$C:$C,盘货信息!$D:$D)&amp;"元到手价")</f>
        <v/>
      </c>
      <c r="G34" s="27" t="str" cm="1">
        <f t="array" ref="G34">IF($C34="","",IF(_xlfn.XLOOKUP($A34&amp;$B34&amp;$C34,盘货信息!$A:$A&amp;盘货信息!$B:$B&amp;盘货信息!$C:$C,盘货信息!$G:$G)&lt;1,"",ROUND(_xlfn.XLOOKUP($A34&amp;$B34&amp;$C34,盘货信息!$A:$A&amp;盘货信息!$B:$B&amp;盘货信息!$C:$C,盘货信息!$G:$G),0)&amp;"元88VIP立减"))</f>
        <v/>
      </c>
      <c r="H34" s="27" t="str" cm="1">
        <f t="array" ref="H34">IF($C34="","",IF(_xlfn.XLOOKUP($A34&amp;$B34&amp;$C34,盘货信息!$A:$A&amp;盘货信息!$B:$B&amp;盘货信息!$C:$C,盘货信息!$I:$I)&lt;1,"",_xlfn.XLOOKUP($A34&amp;$B34&amp;$C34,盘货信息!$A:$A&amp;盘货信息!$B:$B&amp;盘货信息!$C:$C,盘货信息!$I:$I)&amp;"元惊喜立减"))</f>
        <v/>
      </c>
      <c r="I34" s="27" t="str" cm="1">
        <f t="array" ref="I34">IF($C34="","",IF(_xlfn.XLOOKUP($A34&amp;$B34&amp;$C34,盘货信息!$A:$A&amp;盘货信息!$B:$B&amp;盘货信息!$C:$C,盘货信息!$H:$H)&lt;1,"",ROUND(_xlfn.XLOOKUP($A34&amp;$B34&amp;$C34,盘货信息!$A:$A&amp;盘货信息!$B:$B&amp;盘货信息!$C:$C,盘货信息!$H:$H),0)&amp;"元消费券"))</f>
        <v/>
      </c>
      <c r="J34" s="27" t="str" cm="1">
        <f t="array" ref="J34">IF($C34="","",IF(_xlfn.XLOOKUP($A34&amp;$B34&amp;$C34,盘货信息!$A:$A&amp;盘货信息!$B:$B&amp;盘货信息!$C:$C,盘货信息!$J:$J)&lt;1,"",ROUND(_xlfn.XLOOKUP($A34&amp;$B34&amp;$C34,盘货信息!$A:$A&amp;盘货信息!$B:$B&amp;盘货信息!$C:$C,盘货信息!$J:$J),0)&amp;"元限时补贴"))</f>
        <v/>
      </c>
      <c r="K34" s="27" t="str" cm="1">
        <f t="array" ref="K34">IF($C34="","",IF(_xlfn.XLOOKUP($A34&amp;$B34&amp;$C34,盘货信息!$A:$A&amp;盘货信息!$B:$B&amp;盘货信息!$C:$C,盘货信息!$K:$K)&lt;1,"",ROUND(_xlfn.XLOOKUP($A34&amp;$B34&amp;$C34,盘货信息!$A:$A&amp;盘货信息!$B:$B&amp;盘货信息!$C:$C,盘货信息!$K:$K),0)&amp;"元预估焕新补贴"))</f>
        <v/>
      </c>
      <c r="L34" s="27" t="str" cm="1">
        <f t="array" ref="L34">IF($C34="","",IF(AND(_xlfn.XLOOKUP($A34&amp;$B34&amp;$C34,盘货信息!$A:$A&amp;盘货信息!$B:$B&amp;盘货信息!$C:$C,盘货信息!$L:$L)="是",_xlfn.XLOOKUP($A34&amp;$B34&amp;$C34,盘货信息!$A:$A&amp;盘货信息!$B:$B&amp;盘货信息!$C:$C,盘货信息!$M:$M)="是",_xlfn.XLOOKUP($A34&amp;$B34&amp;$C34,盘货信息!$A:$A&amp;盘货信息!$B:$B&amp;盘货信息!$C:$C,盘货信息!$K:$K)&gt;0),"【全民可用，不限地址】",IF(AND(OR(_xlfn.XLOOKUP($A34&amp;$B34&amp;$C34,盘货信息!$A:$A&amp;盘货信息!$B:$B&amp;盘货信息!$C:$C,盘货信息!$L:$L)="否",_xlfn.XLOOKUP($A34&amp;$B34&amp;$C34,盘货信息!$A:$A&amp;盘货信息!$B:$B&amp;盘货信息!$C:$C,盘货信息!$L:$L)=""),_xlfn.XLOOKUP($A34&amp;$B34&amp;$C34,盘货信息!$A:$A&amp;盘货信息!$B:$B&amp;盘货信息!$C:$C,盘货信息!$M:$M)="是",_xlfn.XLOOKUP($A34&amp;$B34&amp;$C34,盘货信息!$A:$A&amp;盘货信息!$B:$B&amp;盘货信息!$C:$C,盘货信息!$K:$K)&gt;0),"【详情页领取】","")))</f>
        <v/>
      </c>
      <c r="M34" s="27" t="str" cm="1">
        <f t="array" ref="M34">IF($C34="","",IF(_xlfn.XLOOKUP($A34&amp;$B34&amp;$C34,盘货信息!$A:$A&amp;盘货信息!$B:$B&amp;盘货信息!$C:$C,盘货信息!$F:$F)&lt;1,"",_xlfn.XLOOKUP($A34&amp;$B34&amp;$C34,盘货信息!$A:$A&amp;盘货信息!$B:$B&amp;盘货信息!$C:$C,盘货信息!$F:$F)&amp;"元明卷"))</f>
        <v/>
      </c>
      <c r="N34" s="27" t="str">
        <f t="shared" si="1"/>
        <v/>
      </c>
      <c r="O34" s="27" t="str">
        <f>IF(I34="","","【消费券链接】"&amp;固定信息!$B$6)</f>
        <v/>
      </c>
    </row>
    <row r="35" customHeight="1" spans="1:15">
      <c r="A35" s="26" t="str">
        <f>IF(盘货信息!A35="","",盘货信息!A35)</f>
        <v/>
      </c>
      <c r="B35" s="26" t="str">
        <f>IF(盘货信息!B35="","",盘货信息!B35)</f>
        <v/>
      </c>
      <c r="C35" s="27" t="str">
        <f>IF(盘货信息!C35="","",盘货信息!C35)</f>
        <v/>
      </c>
      <c r="D35" s="27" t="str">
        <f t="shared" si="0"/>
        <v/>
      </c>
      <c r="E35" s="27" t="str" cm="1">
        <f t="array" ref="E35">IF($C35="","",IF(AND(OR(_xlfn.XLOOKUP($A35&amp;$B35&amp;$C35,盘货信息!$A:$A&amp;盘货信息!$B:$B&amp;盘货信息!$C:$C,盘货信息!$L:$L)="否",_xlfn.XLOOKUP($A35&amp;$B35&amp;$C35,盘货信息!$A:$A&amp;盘货信息!$B:$B&amp;盘货信息!$C:$C,盘货信息!$L:$L)=""),_xlfn.XLOOKUP($A35&amp;$B35&amp;$C35,盘货信息!$A:$A&amp;盘货信息!$B:$B&amp;盘货信息!$C:$C,盘货信息!$M:$M)="否"),"【预估到手价"&amp;_xlfn.XLOOKUP($A35&amp;$B35&amp;$C35,盘货信息!$A:$A&amp;盘货信息!$B:$B&amp;盘货信息!$C:$C,盘货信息!$D:$D)&amp;"元】",IF(AND(_xlfn.XLOOKUP($A35&amp;$B35&amp;$C35,盘货信息!$A:$A&amp;盘货信息!$B:$B&amp;盘货信息!$C:$C,盘货信息!$M:$M)="是",OR(_xlfn.XLOOKUP($A35&amp;$B35&amp;$C35,盘货信息!$A:$A&amp;盘货信息!$B:$B&amp;盘货信息!$C:$C,盘货信息!$L:$L)="否",_xlfn.XLOOKUP($A35&amp;$B35&amp;$C35,盘货信息!$A:$A&amp;盘货信息!$B:$B&amp;盘货信息!$C:$C,盘货信息!$L:$L)="")),"【预估到手价"&amp;_xlfn.XLOOKUP($A35&amp;$B35&amp;$C35,盘货信息!$A:$A&amp;盘货信息!$B:$B&amp;盘货信息!$C:$C,盘货信息!$D:$D)&amp;"元】"&amp;CHAR(10)&amp;"【焕新补贴预估价"&amp;ROUND(_xlfn.XLOOKUP($A35&amp;$B35&amp;$C35,盘货信息!$A:$A&amp;盘货信息!$B:$B&amp;盘货信息!$C:$C,盘货信息!$E:$E),0)&amp;"元】","【焕新补贴预估价"&amp;ROUND(_xlfn.XLOOKUP($A35&amp;$B35&amp;$C35,盘货信息!$A:$A&amp;盘货信息!$B:$B&amp;盘货信息!$C:$C,盘货信息!$E:$E),0)&amp;"元】")))</f>
        <v/>
      </c>
      <c r="F35" s="27" t="str" cm="1">
        <f t="array" ref="F35">IF($C35="","",_xlfn.XLOOKUP($A35&amp;$B35&amp;$C35,盘货信息!$A:$A&amp;盘货信息!$B:$B&amp;盘货信息!$C:$C,盘货信息!$D:$D)&amp;"元到手价")</f>
        <v/>
      </c>
      <c r="G35" s="27" t="str" cm="1">
        <f t="array" ref="G35">IF($C35="","",IF(_xlfn.XLOOKUP($A35&amp;$B35&amp;$C35,盘货信息!$A:$A&amp;盘货信息!$B:$B&amp;盘货信息!$C:$C,盘货信息!$G:$G)&lt;1,"",ROUND(_xlfn.XLOOKUP($A35&amp;$B35&amp;$C35,盘货信息!$A:$A&amp;盘货信息!$B:$B&amp;盘货信息!$C:$C,盘货信息!$G:$G),0)&amp;"元88VIP立减"))</f>
        <v/>
      </c>
      <c r="H35" s="27" t="str" cm="1">
        <f t="array" ref="H35">IF($C35="","",IF(_xlfn.XLOOKUP($A35&amp;$B35&amp;$C35,盘货信息!$A:$A&amp;盘货信息!$B:$B&amp;盘货信息!$C:$C,盘货信息!$I:$I)&lt;1,"",_xlfn.XLOOKUP($A35&amp;$B35&amp;$C35,盘货信息!$A:$A&amp;盘货信息!$B:$B&amp;盘货信息!$C:$C,盘货信息!$I:$I)&amp;"元惊喜立减"))</f>
        <v/>
      </c>
      <c r="I35" s="27" t="str" cm="1">
        <f t="array" ref="I35">IF($C35="","",IF(_xlfn.XLOOKUP($A35&amp;$B35&amp;$C35,盘货信息!$A:$A&amp;盘货信息!$B:$B&amp;盘货信息!$C:$C,盘货信息!$H:$H)&lt;1,"",ROUND(_xlfn.XLOOKUP($A35&amp;$B35&amp;$C35,盘货信息!$A:$A&amp;盘货信息!$B:$B&amp;盘货信息!$C:$C,盘货信息!$H:$H),0)&amp;"元消费券"))</f>
        <v/>
      </c>
      <c r="J35" s="27" t="str" cm="1">
        <f t="array" ref="J35">IF($C35="","",IF(_xlfn.XLOOKUP($A35&amp;$B35&amp;$C35,盘货信息!$A:$A&amp;盘货信息!$B:$B&amp;盘货信息!$C:$C,盘货信息!$J:$J)&lt;1,"",ROUND(_xlfn.XLOOKUP($A35&amp;$B35&amp;$C35,盘货信息!$A:$A&amp;盘货信息!$B:$B&amp;盘货信息!$C:$C,盘货信息!$J:$J),0)&amp;"元限时补贴"))</f>
        <v/>
      </c>
      <c r="K35" s="27" t="str" cm="1">
        <f t="array" ref="K35">IF($C35="","",IF(_xlfn.XLOOKUP($A35&amp;$B35&amp;$C35,盘货信息!$A:$A&amp;盘货信息!$B:$B&amp;盘货信息!$C:$C,盘货信息!$K:$K)&lt;1,"",ROUND(_xlfn.XLOOKUP($A35&amp;$B35&amp;$C35,盘货信息!$A:$A&amp;盘货信息!$B:$B&amp;盘货信息!$C:$C,盘货信息!$K:$K),0)&amp;"元预估焕新补贴"))</f>
        <v/>
      </c>
      <c r="L35" s="27" t="str" cm="1">
        <f t="array" ref="L35">IF($C35="","",IF(AND(_xlfn.XLOOKUP($A35&amp;$B35&amp;$C35,盘货信息!$A:$A&amp;盘货信息!$B:$B&amp;盘货信息!$C:$C,盘货信息!$L:$L)="是",_xlfn.XLOOKUP($A35&amp;$B35&amp;$C35,盘货信息!$A:$A&amp;盘货信息!$B:$B&amp;盘货信息!$C:$C,盘货信息!$M:$M)="是",_xlfn.XLOOKUP($A35&amp;$B35&amp;$C35,盘货信息!$A:$A&amp;盘货信息!$B:$B&amp;盘货信息!$C:$C,盘货信息!$K:$K)&gt;0),"【全民可用，不限地址】",IF(AND(OR(_xlfn.XLOOKUP($A35&amp;$B35&amp;$C35,盘货信息!$A:$A&amp;盘货信息!$B:$B&amp;盘货信息!$C:$C,盘货信息!$L:$L)="否",_xlfn.XLOOKUP($A35&amp;$B35&amp;$C35,盘货信息!$A:$A&amp;盘货信息!$B:$B&amp;盘货信息!$C:$C,盘货信息!$L:$L)=""),_xlfn.XLOOKUP($A35&amp;$B35&amp;$C35,盘货信息!$A:$A&amp;盘货信息!$B:$B&amp;盘货信息!$C:$C,盘货信息!$M:$M)="是",_xlfn.XLOOKUP($A35&amp;$B35&amp;$C35,盘货信息!$A:$A&amp;盘货信息!$B:$B&amp;盘货信息!$C:$C,盘货信息!$K:$K)&gt;0),"【详情页领取】","")))</f>
        <v/>
      </c>
      <c r="M35" s="27" t="str" cm="1">
        <f t="array" ref="M35">IF($C35="","",IF(_xlfn.XLOOKUP($A35&amp;$B35&amp;$C35,盘货信息!$A:$A&amp;盘货信息!$B:$B&amp;盘货信息!$C:$C,盘货信息!$F:$F)&lt;1,"",_xlfn.XLOOKUP($A35&amp;$B35&amp;$C35,盘货信息!$A:$A&amp;盘货信息!$B:$B&amp;盘货信息!$C:$C,盘货信息!$F:$F)&amp;"元明卷"))</f>
        <v/>
      </c>
      <c r="N35" s="27" t="str">
        <f t="shared" si="1"/>
        <v/>
      </c>
      <c r="O35" s="27" t="str">
        <f>IF(I35="","","【消费券链接】"&amp;固定信息!$B$6)</f>
        <v/>
      </c>
    </row>
    <row r="36" customHeight="1" spans="1:15">
      <c r="A36" s="26" t="str">
        <f>IF(盘货信息!A36="","",盘货信息!A36)</f>
        <v/>
      </c>
      <c r="B36" s="26" t="str">
        <f>IF(盘货信息!B36="","",盘货信息!B36)</f>
        <v/>
      </c>
      <c r="C36" s="27" t="str">
        <f>IF(盘货信息!C36="","",盘货信息!C36)</f>
        <v/>
      </c>
      <c r="D36" s="27" t="str">
        <f t="shared" si="0"/>
        <v/>
      </c>
      <c r="E36" s="27" t="str" cm="1">
        <f t="array" ref="E36">IF($C36="","",IF(AND(OR(_xlfn.XLOOKUP($A36&amp;$B36&amp;$C36,盘货信息!$A:$A&amp;盘货信息!$B:$B&amp;盘货信息!$C:$C,盘货信息!$L:$L)="否",_xlfn.XLOOKUP($A36&amp;$B36&amp;$C36,盘货信息!$A:$A&amp;盘货信息!$B:$B&amp;盘货信息!$C:$C,盘货信息!$L:$L)=""),_xlfn.XLOOKUP($A36&amp;$B36&amp;$C36,盘货信息!$A:$A&amp;盘货信息!$B:$B&amp;盘货信息!$C:$C,盘货信息!$M:$M)="否"),"【预估到手价"&amp;_xlfn.XLOOKUP($A36&amp;$B36&amp;$C36,盘货信息!$A:$A&amp;盘货信息!$B:$B&amp;盘货信息!$C:$C,盘货信息!$D:$D)&amp;"元】",IF(AND(_xlfn.XLOOKUP($A36&amp;$B36&amp;$C36,盘货信息!$A:$A&amp;盘货信息!$B:$B&amp;盘货信息!$C:$C,盘货信息!$M:$M)="是",OR(_xlfn.XLOOKUP($A36&amp;$B36&amp;$C36,盘货信息!$A:$A&amp;盘货信息!$B:$B&amp;盘货信息!$C:$C,盘货信息!$L:$L)="否",_xlfn.XLOOKUP($A36&amp;$B36&amp;$C36,盘货信息!$A:$A&amp;盘货信息!$B:$B&amp;盘货信息!$C:$C,盘货信息!$L:$L)="")),"【预估到手价"&amp;_xlfn.XLOOKUP($A36&amp;$B36&amp;$C36,盘货信息!$A:$A&amp;盘货信息!$B:$B&amp;盘货信息!$C:$C,盘货信息!$D:$D)&amp;"元】"&amp;CHAR(10)&amp;"【焕新补贴预估价"&amp;ROUND(_xlfn.XLOOKUP($A36&amp;$B36&amp;$C36,盘货信息!$A:$A&amp;盘货信息!$B:$B&amp;盘货信息!$C:$C,盘货信息!$E:$E),0)&amp;"元】","【焕新补贴预估价"&amp;ROUND(_xlfn.XLOOKUP($A36&amp;$B36&amp;$C36,盘货信息!$A:$A&amp;盘货信息!$B:$B&amp;盘货信息!$C:$C,盘货信息!$E:$E),0)&amp;"元】")))</f>
        <v/>
      </c>
      <c r="F36" s="27" t="str" cm="1">
        <f t="array" ref="F36">IF($C36="","",_xlfn.XLOOKUP($A36&amp;$B36&amp;$C36,盘货信息!$A:$A&amp;盘货信息!$B:$B&amp;盘货信息!$C:$C,盘货信息!$D:$D)&amp;"元到手价")</f>
        <v/>
      </c>
      <c r="G36" s="27" t="str" cm="1">
        <f t="array" ref="G36">IF($C36="","",IF(_xlfn.XLOOKUP($A36&amp;$B36&amp;$C36,盘货信息!$A:$A&amp;盘货信息!$B:$B&amp;盘货信息!$C:$C,盘货信息!$G:$G)&lt;1,"",ROUND(_xlfn.XLOOKUP($A36&amp;$B36&amp;$C36,盘货信息!$A:$A&amp;盘货信息!$B:$B&amp;盘货信息!$C:$C,盘货信息!$G:$G),0)&amp;"元88VIP立减"))</f>
        <v/>
      </c>
      <c r="H36" s="27" t="str" cm="1">
        <f t="array" ref="H36">IF($C36="","",IF(_xlfn.XLOOKUP($A36&amp;$B36&amp;$C36,盘货信息!$A:$A&amp;盘货信息!$B:$B&amp;盘货信息!$C:$C,盘货信息!$I:$I)&lt;1,"",_xlfn.XLOOKUP($A36&amp;$B36&amp;$C36,盘货信息!$A:$A&amp;盘货信息!$B:$B&amp;盘货信息!$C:$C,盘货信息!$I:$I)&amp;"元惊喜立减"))</f>
        <v/>
      </c>
      <c r="I36" s="27" t="str" cm="1">
        <f t="array" ref="I36">IF($C36="","",IF(_xlfn.XLOOKUP($A36&amp;$B36&amp;$C36,盘货信息!$A:$A&amp;盘货信息!$B:$B&amp;盘货信息!$C:$C,盘货信息!$H:$H)&lt;1,"",ROUND(_xlfn.XLOOKUP($A36&amp;$B36&amp;$C36,盘货信息!$A:$A&amp;盘货信息!$B:$B&amp;盘货信息!$C:$C,盘货信息!$H:$H),0)&amp;"元消费券"))</f>
        <v/>
      </c>
      <c r="J36" s="27" t="str" cm="1">
        <f t="array" ref="J36">IF($C36="","",IF(_xlfn.XLOOKUP($A36&amp;$B36&amp;$C36,盘货信息!$A:$A&amp;盘货信息!$B:$B&amp;盘货信息!$C:$C,盘货信息!$J:$J)&lt;1,"",ROUND(_xlfn.XLOOKUP($A36&amp;$B36&amp;$C36,盘货信息!$A:$A&amp;盘货信息!$B:$B&amp;盘货信息!$C:$C,盘货信息!$J:$J),0)&amp;"元限时补贴"))</f>
        <v/>
      </c>
      <c r="K36" s="27" t="str" cm="1">
        <f t="array" ref="K36">IF($C36="","",IF(_xlfn.XLOOKUP($A36&amp;$B36&amp;$C36,盘货信息!$A:$A&amp;盘货信息!$B:$B&amp;盘货信息!$C:$C,盘货信息!$K:$K)&lt;1,"",ROUND(_xlfn.XLOOKUP($A36&amp;$B36&amp;$C36,盘货信息!$A:$A&amp;盘货信息!$B:$B&amp;盘货信息!$C:$C,盘货信息!$K:$K),0)&amp;"元预估焕新补贴"))</f>
        <v/>
      </c>
      <c r="L36" s="27" t="str" cm="1">
        <f t="array" ref="L36">IF($C36="","",IF(AND(_xlfn.XLOOKUP($A36&amp;$B36&amp;$C36,盘货信息!$A:$A&amp;盘货信息!$B:$B&amp;盘货信息!$C:$C,盘货信息!$L:$L)="是",_xlfn.XLOOKUP($A36&amp;$B36&amp;$C36,盘货信息!$A:$A&amp;盘货信息!$B:$B&amp;盘货信息!$C:$C,盘货信息!$M:$M)="是",_xlfn.XLOOKUP($A36&amp;$B36&amp;$C36,盘货信息!$A:$A&amp;盘货信息!$B:$B&amp;盘货信息!$C:$C,盘货信息!$K:$K)&gt;0),"【全民可用，不限地址】",IF(AND(OR(_xlfn.XLOOKUP($A36&amp;$B36&amp;$C36,盘货信息!$A:$A&amp;盘货信息!$B:$B&amp;盘货信息!$C:$C,盘货信息!$L:$L)="否",_xlfn.XLOOKUP($A36&amp;$B36&amp;$C36,盘货信息!$A:$A&amp;盘货信息!$B:$B&amp;盘货信息!$C:$C,盘货信息!$L:$L)=""),_xlfn.XLOOKUP($A36&amp;$B36&amp;$C36,盘货信息!$A:$A&amp;盘货信息!$B:$B&amp;盘货信息!$C:$C,盘货信息!$M:$M)="是",_xlfn.XLOOKUP($A36&amp;$B36&amp;$C36,盘货信息!$A:$A&amp;盘货信息!$B:$B&amp;盘货信息!$C:$C,盘货信息!$K:$K)&gt;0),"【详情页领取】","")))</f>
        <v/>
      </c>
      <c r="M36" s="27" t="str" cm="1">
        <f t="array" ref="M36">IF($C36="","",IF(_xlfn.XLOOKUP($A36&amp;$B36&amp;$C36,盘货信息!$A:$A&amp;盘货信息!$B:$B&amp;盘货信息!$C:$C,盘货信息!$F:$F)&lt;1,"",_xlfn.XLOOKUP($A36&amp;$B36&amp;$C36,盘货信息!$A:$A&amp;盘货信息!$B:$B&amp;盘货信息!$C:$C,盘货信息!$F:$F)&amp;"元明卷"))</f>
        <v/>
      </c>
      <c r="N36" s="27" t="str">
        <f t="shared" si="1"/>
        <v/>
      </c>
      <c r="O36" s="27" t="str">
        <f>IF(I36="","","【消费券链接】"&amp;固定信息!$B$6)</f>
        <v/>
      </c>
    </row>
    <row r="37" customHeight="1" spans="1:15">
      <c r="A37" s="26" t="str">
        <f>IF(盘货信息!A37="","",盘货信息!A37)</f>
        <v/>
      </c>
      <c r="B37" s="26" t="str">
        <f>IF(盘货信息!B37="","",盘货信息!B37)</f>
        <v/>
      </c>
      <c r="C37" s="27" t="str">
        <f>IF(盘货信息!C37="","",盘货信息!C37)</f>
        <v/>
      </c>
      <c r="D37" s="27" t="str">
        <f t="shared" si="0"/>
        <v/>
      </c>
      <c r="E37" s="27" t="str" cm="1">
        <f t="array" ref="E37">IF($C37="","",IF(AND(OR(_xlfn.XLOOKUP($A37&amp;$B37&amp;$C37,盘货信息!$A:$A&amp;盘货信息!$B:$B&amp;盘货信息!$C:$C,盘货信息!$L:$L)="否",_xlfn.XLOOKUP($A37&amp;$B37&amp;$C37,盘货信息!$A:$A&amp;盘货信息!$B:$B&amp;盘货信息!$C:$C,盘货信息!$L:$L)=""),_xlfn.XLOOKUP($A37&amp;$B37&amp;$C37,盘货信息!$A:$A&amp;盘货信息!$B:$B&amp;盘货信息!$C:$C,盘货信息!$M:$M)="否"),"【预估到手价"&amp;_xlfn.XLOOKUP($A37&amp;$B37&amp;$C37,盘货信息!$A:$A&amp;盘货信息!$B:$B&amp;盘货信息!$C:$C,盘货信息!$D:$D)&amp;"元】",IF(AND(_xlfn.XLOOKUP($A37&amp;$B37&amp;$C37,盘货信息!$A:$A&amp;盘货信息!$B:$B&amp;盘货信息!$C:$C,盘货信息!$M:$M)="是",OR(_xlfn.XLOOKUP($A37&amp;$B37&amp;$C37,盘货信息!$A:$A&amp;盘货信息!$B:$B&amp;盘货信息!$C:$C,盘货信息!$L:$L)="否",_xlfn.XLOOKUP($A37&amp;$B37&amp;$C37,盘货信息!$A:$A&amp;盘货信息!$B:$B&amp;盘货信息!$C:$C,盘货信息!$L:$L)="")),"【预估到手价"&amp;_xlfn.XLOOKUP($A37&amp;$B37&amp;$C37,盘货信息!$A:$A&amp;盘货信息!$B:$B&amp;盘货信息!$C:$C,盘货信息!$D:$D)&amp;"元】"&amp;CHAR(10)&amp;"【焕新补贴预估价"&amp;ROUND(_xlfn.XLOOKUP($A37&amp;$B37&amp;$C37,盘货信息!$A:$A&amp;盘货信息!$B:$B&amp;盘货信息!$C:$C,盘货信息!$E:$E),0)&amp;"元】","【焕新补贴预估价"&amp;ROUND(_xlfn.XLOOKUP($A37&amp;$B37&amp;$C37,盘货信息!$A:$A&amp;盘货信息!$B:$B&amp;盘货信息!$C:$C,盘货信息!$E:$E),0)&amp;"元】")))</f>
        <v/>
      </c>
      <c r="F37" s="27" t="str" cm="1">
        <f t="array" ref="F37">IF($C37="","",_xlfn.XLOOKUP($A37&amp;$B37&amp;$C37,盘货信息!$A:$A&amp;盘货信息!$B:$B&amp;盘货信息!$C:$C,盘货信息!$D:$D)&amp;"元到手价")</f>
        <v/>
      </c>
      <c r="G37" s="27" t="str" cm="1">
        <f t="array" ref="G37">IF($C37="","",IF(_xlfn.XLOOKUP($A37&amp;$B37&amp;$C37,盘货信息!$A:$A&amp;盘货信息!$B:$B&amp;盘货信息!$C:$C,盘货信息!$G:$G)&lt;1,"",ROUND(_xlfn.XLOOKUP($A37&amp;$B37&amp;$C37,盘货信息!$A:$A&amp;盘货信息!$B:$B&amp;盘货信息!$C:$C,盘货信息!$G:$G),0)&amp;"元88VIP立减"))</f>
        <v/>
      </c>
      <c r="H37" s="27" t="str" cm="1">
        <f t="array" ref="H37">IF($C37="","",IF(_xlfn.XLOOKUP($A37&amp;$B37&amp;$C37,盘货信息!$A:$A&amp;盘货信息!$B:$B&amp;盘货信息!$C:$C,盘货信息!$I:$I)&lt;1,"",_xlfn.XLOOKUP($A37&amp;$B37&amp;$C37,盘货信息!$A:$A&amp;盘货信息!$B:$B&amp;盘货信息!$C:$C,盘货信息!$I:$I)&amp;"元惊喜立减"))</f>
        <v/>
      </c>
      <c r="I37" s="27" t="str" cm="1">
        <f t="array" ref="I37">IF($C37="","",IF(_xlfn.XLOOKUP($A37&amp;$B37&amp;$C37,盘货信息!$A:$A&amp;盘货信息!$B:$B&amp;盘货信息!$C:$C,盘货信息!$H:$H)&lt;1,"",ROUND(_xlfn.XLOOKUP($A37&amp;$B37&amp;$C37,盘货信息!$A:$A&amp;盘货信息!$B:$B&amp;盘货信息!$C:$C,盘货信息!$H:$H),0)&amp;"元消费券"))</f>
        <v/>
      </c>
      <c r="J37" s="27" t="str" cm="1">
        <f t="array" ref="J37">IF($C37="","",IF(_xlfn.XLOOKUP($A37&amp;$B37&amp;$C37,盘货信息!$A:$A&amp;盘货信息!$B:$B&amp;盘货信息!$C:$C,盘货信息!$J:$J)&lt;1,"",ROUND(_xlfn.XLOOKUP($A37&amp;$B37&amp;$C37,盘货信息!$A:$A&amp;盘货信息!$B:$B&amp;盘货信息!$C:$C,盘货信息!$J:$J),0)&amp;"元限时补贴"))</f>
        <v/>
      </c>
      <c r="K37" s="27" t="str" cm="1">
        <f t="array" ref="K37">IF($C37="","",IF(_xlfn.XLOOKUP($A37&amp;$B37&amp;$C37,盘货信息!$A:$A&amp;盘货信息!$B:$B&amp;盘货信息!$C:$C,盘货信息!$K:$K)&lt;1,"",ROUND(_xlfn.XLOOKUP($A37&amp;$B37&amp;$C37,盘货信息!$A:$A&amp;盘货信息!$B:$B&amp;盘货信息!$C:$C,盘货信息!$K:$K),0)&amp;"元预估焕新补贴"))</f>
        <v/>
      </c>
      <c r="L37" s="27" t="str" cm="1">
        <f t="array" ref="L37">IF($C37="","",IF(AND(_xlfn.XLOOKUP($A37&amp;$B37&amp;$C37,盘货信息!$A:$A&amp;盘货信息!$B:$B&amp;盘货信息!$C:$C,盘货信息!$L:$L)="是",_xlfn.XLOOKUP($A37&amp;$B37&amp;$C37,盘货信息!$A:$A&amp;盘货信息!$B:$B&amp;盘货信息!$C:$C,盘货信息!$M:$M)="是",_xlfn.XLOOKUP($A37&amp;$B37&amp;$C37,盘货信息!$A:$A&amp;盘货信息!$B:$B&amp;盘货信息!$C:$C,盘货信息!$K:$K)&gt;0),"【全民可用，不限地址】",IF(AND(OR(_xlfn.XLOOKUP($A37&amp;$B37&amp;$C37,盘货信息!$A:$A&amp;盘货信息!$B:$B&amp;盘货信息!$C:$C,盘货信息!$L:$L)="否",_xlfn.XLOOKUP($A37&amp;$B37&amp;$C37,盘货信息!$A:$A&amp;盘货信息!$B:$B&amp;盘货信息!$C:$C,盘货信息!$L:$L)=""),_xlfn.XLOOKUP($A37&amp;$B37&amp;$C37,盘货信息!$A:$A&amp;盘货信息!$B:$B&amp;盘货信息!$C:$C,盘货信息!$M:$M)="是",_xlfn.XLOOKUP($A37&amp;$B37&amp;$C37,盘货信息!$A:$A&amp;盘货信息!$B:$B&amp;盘货信息!$C:$C,盘货信息!$K:$K)&gt;0),"【详情页领取】","")))</f>
        <v/>
      </c>
      <c r="M37" s="27" t="str" cm="1">
        <f t="array" ref="M37">IF($C37="","",IF(_xlfn.XLOOKUP($A37&amp;$B37&amp;$C37,盘货信息!$A:$A&amp;盘货信息!$B:$B&amp;盘货信息!$C:$C,盘货信息!$F:$F)&lt;1,"",_xlfn.XLOOKUP($A37&amp;$B37&amp;$C37,盘货信息!$A:$A&amp;盘货信息!$B:$B&amp;盘货信息!$C:$C,盘货信息!$F:$F)&amp;"元明卷"))</f>
        <v/>
      </c>
      <c r="N37" s="27" t="str">
        <f t="shared" si="1"/>
        <v/>
      </c>
      <c r="O37" s="27" t="str">
        <f>IF(I37="","","【消费券链接】"&amp;固定信息!$B$6)</f>
        <v/>
      </c>
    </row>
    <row r="38" customHeight="1" spans="1:15">
      <c r="A38" s="26" t="str">
        <f>IF(盘货信息!A38="","",盘货信息!A38)</f>
        <v/>
      </c>
      <c r="B38" s="26" t="str">
        <f>IF(盘货信息!B38="","",盘货信息!B38)</f>
        <v/>
      </c>
      <c r="C38" s="27" t="str">
        <f>IF(盘货信息!C38="","",盘货信息!C38)</f>
        <v/>
      </c>
      <c r="D38" s="27" t="str">
        <f t="shared" si="0"/>
        <v/>
      </c>
      <c r="E38" s="27" t="str" cm="1">
        <f t="array" ref="E38">IF($C38="","",IF(AND(OR(_xlfn.XLOOKUP($A38&amp;$B38&amp;$C38,盘货信息!$A:$A&amp;盘货信息!$B:$B&amp;盘货信息!$C:$C,盘货信息!$L:$L)="否",_xlfn.XLOOKUP($A38&amp;$B38&amp;$C38,盘货信息!$A:$A&amp;盘货信息!$B:$B&amp;盘货信息!$C:$C,盘货信息!$L:$L)=""),_xlfn.XLOOKUP($A38&amp;$B38&amp;$C38,盘货信息!$A:$A&amp;盘货信息!$B:$B&amp;盘货信息!$C:$C,盘货信息!$M:$M)="否"),"【预估到手价"&amp;_xlfn.XLOOKUP($A38&amp;$B38&amp;$C38,盘货信息!$A:$A&amp;盘货信息!$B:$B&amp;盘货信息!$C:$C,盘货信息!$D:$D)&amp;"元】",IF(AND(_xlfn.XLOOKUP($A38&amp;$B38&amp;$C38,盘货信息!$A:$A&amp;盘货信息!$B:$B&amp;盘货信息!$C:$C,盘货信息!$M:$M)="是",OR(_xlfn.XLOOKUP($A38&amp;$B38&amp;$C38,盘货信息!$A:$A&amp;盘货信息!$B:$B&amp;盘货信息!$C:$C,盘货信息!$L:$L)="否",_xlfn.XLOOKUP($A38&amp;$B38&amp;$C38,盘货信息!$A:$A&amp;盘货信息!$B:$B&amp;盘货信息!$C:$C,盘货信息!$L:$L)="")),"【预估到手价"&amp;_xlfn.XLOOKUP($A38&amp;$B38&amp;$C38,盘货信息!$A:$A&amp;盘货信息!$B:$B&amp;盘货信息!$C:$C,盘货信息!$D:$D)&amp;"元】"&amp;CHAR(10)&amp;"【焕新补贴预估价"&amp;ROUND(_xlfn.XLOOKUP($A38&amp;$B38&amp;$C38,盘货信息!$A:$A&amp;盘货信息!$B:$B&amp;盘货信息!$C:$C,盘货信息!$E:$E),0)&amp;"元】","【焕新补贴预估价"&amp;ROUND(_xlfn.XLOOKUP($A38&amp;$B38&amp;$C38,盘货信息!$A:$A&amp;盘货信息!$B:$B&amp;盘货信息!$C:$C,盘货信息!$E:$E),0)&amp;"元】")))</f>
        <v/>
      </c>
      <c r="F38" s="27" t="str" cm="1">
        <f t="array" ref="F38">IF($C38="","",_xlfn.XLOOKUP($A38&amp;$B38&amp;$C38,盘货信息!$A:$A&amp;盘货信息!$B:$B&amp;盘货信息!$C:$C,盘货信息!$D:$D)&amp;"元到手价")</f>
        <v/>
      </c>
      <c r="G38" s="27" t="str" cm="1">
        <f t="array" ref="G38">IF($C38="","",IF(_xlfn.XLOOKUP($A38&amp;$B38&amp;$C38,盘货信息!$A:$A&amp;盘货信息!$B:$B&amp;盘货信息!$C:$C,盘货信息!$G:$G)&lt;1,"",ROUND(_xlfn.XLOOKUP($A38&amp;$B38&amp;$C38,盘货信息!$A:$A&amp;盘货信息!$B:$B&amp;盘货信息!$C:$C,盘货信息!$G:$G),0)&amp;"元88VIP立减"))</f>
        <v/>
      </c>
      <c r="H38" s="27" t="str" cm="1">
        <f t="array" ref="H38">IF($C38="","",IF(_xlfn.XLOOKUP($A38&amp;$B38&amp;$C38,盘货信息!$A:$A&amp;盘货信息!$B:$B&amp;盘货信息!$C:$C,盘货信息!$I:$I)&lt;1,"",_xlfn.XLOOKUP($A38&amp;$B38&amp;$C38,盘货信息!$A:$A&amp;盘货信息!$B:$B&amp;盘货信息!$C:$C,盘货信息!$I:$I)&amp;"元惊喜立减"))</f>
        <v/>
      </c>
      <c r="I38" s="27" t="str" cm="1">
        <f t="array" ref="I38">IF($C38="","",IF(_xlfn.XLOOKUP($A38&amp;$B38&amp;$C38,盘货信息!$A:$A&amp;盘货信息!$B:$B&amp;盘货信息!$C:$C,盘货信息!$H:$H)&lt;1,"",ROUND(_xlfn.XLOOKUP($A38&amp;$B38&amp;$C38,盘货信息!$A:$A&amp;盘货信息!$B:$B&amp;盘货信息!$C:$C,盘货信息!$H:$H),0)&amp;"元消费券"))</f>
        <v/>
      </c>
      <c r="J38" s="27" t="str" cm="1">
        <f t="array" ref="J38">IF($C38="","",IF(_xlfn.XLOOKUP($A38&amp;$B38&amp;$C38,盘货信息!$A:$A&amp;盘货信息!$B:$B&amp;盘货信息!$C:$C,盘货信息!$J:$J)&lt;1,"",ROUND(_xlfn.XLOOKUP($A38&amp;$B38&amp;$C38,盘货信息!$A:$A&amp;盘货信息!$B:$B&amp;盘货信息!$C:$C,盘货信息!$J:$J),0)&amp;"元限时补贴"))</f>
        <v/>
      </c>
      <c r="K38" s="27" t="str" cm="1">
        <f t="array" ref="K38">IF($C38="","",IF(_xlfn.XLOOKUP($A38&amp;$B38&amp;$C38,盘货信息!$A:$A&amp;盘货信息!$B:$B&amp;盘货信息!$C:$C,盘货信息!$K:$K)&lt;1,"",ROUND(_xlfn.XLOOKUP($A38&amp;$B38&amp;$C38,盘货信息!$A:$A&amp;盘货信息!$B:$B&amp;盘货信息!$C:$C,盘货信息!$K:$K),0)&amp;"元预估焕新补贴"))</f>
        <v/>
      </c>
      <c r="L38" s="27" t="str" cm="1">
        <f t="array" ref="L38">IF($C38="","",IF(AND(_xlfn.XLOOKUP($A38&amp;$B38&amp;$C38,盘货信息!$A:$A&amp;盘货信息!$B:$B&amp;盘货信息!$C:$C,盘货信息!$L:$L)="是",_xlfn.XLOOKUP($A38&amp;$B38&amp;$C38,盘货信息!$A:$A&amp;盘货信息!$B:$B&amp;盘货信息!$C:$C,盘货信息!$M:$M)="是",_xlfn.XLOOKUP($A38&amp;$B38&amp;$C38,盘货信息!$A:$A&amp;盘货信息!$B:$B&amp;盘货信息!$C:$C,盘货信息!$K:$K)&gt;0),"【全民可用，不限地址】",IF(AND(OR(_xlfn.XLOOKUP($A38&amp;$B38&amp;$C38,盘货信息!$A:$A&amp;盘货信息!$B:$B&amp;盘货信息!$C:$C,盘货信息!$L:$L)="否",_xlfn.XLOOKUP($A38&amp;$B38&amp;$C38,盘货信息!$A:$A&amp;盘货信息!$B:$B&amp;盘货信息!$C:$C,盘货信息!$L:$L)=""),_xlfn.XLOOKUP($A38&amp;$B38&amp;$C38,盘货信息!$A:$A&amp;盘货信息!$B:$B&amp;盘货信息!$C:$C,盘货信息!$M:$M)="是",_xlfn.XLOOKUP($A38&amp;$B38&amp;$C38,盘货信息!$A:$A&amp;盘货信息!$B:$B&amp;盘货信息!$C:$C,盘货信息!$K:$K)&gt;0),"【详情页领取】","")))</f>
        <v/>
      </c>
      <c r="M38" s="27" t="str" cm="1">
        <f t="array" ref="M38">IF($C38="","",IF(_xlfn.XLOOKUP($A38&amp;$B38&amp;$C38,盘货信息!$A:$A&amp;盘货信息!$B:$B&amp;盘货信息!$C:$C,盘货信息!$F:$F)&lt;1,"",_xlfn.XLOOKUP($A38&amp;$B38&amp;$C38,盘货信息!$A:$A&amp;盘货信息!$B:$B&amp;盘货信息!$C:$C,盘货信息!$F:$F)&amp;"元明卷"))</f>
        <v/>
      </c>
      <c r="N38" s="27" t="str">
        <f t="shared" si="1"/>
        <v/>
      </c>
      <c r="O38" s="27" t="str">
        <f>IF(I38="","","【消费券链接】"&amp;固定信息!$B$6)</f>
        <v/>
      </c>
    </row>
    <row r="39" customHeight="1" spans="1:15">
      <c r="A39" s="26" t="str">
        <f>IF(盘货信息!A39="","",盘货信息!A39)</f>
        <v/>
      </c>
      <c r="B39" s="26" t="str">
        <f>IF(盘货信息!B39="","",盘货信息!B39)</f>
        <v/>
      </c>
      <c r="C39" s="27" t="str">
        <f>IF(盘货信息!C39="","",盘货信息!C39)</f>
        <v/>
      </c>
      <c r="D39" s="27" t="str">
        <f t="shared" si="0"/>
        <v/>
      </c>
      <c r="E39" s="27" t="str" cm="1">
        <f t="array" ref="E39">IF($C39="","",IF(AND(OR(_xlfn.XLOOKUP($A39&amp;$B39&amp;$C39,盘货信息!$A:$A&amp;盘货信息!$B:$B&amp;盘货信息!$C:$C,盘货信息!$L:$L)="否",_xlfn.XLOOKUP($A39&amp;$B39&amp;$C39,盘货信息!$A:$A&amp;盘货信息!$B:$B&amp;盘货信息!$C:$C,盘货信息!$L:$L)=""),_xlfn.XLOOKUP($A39&amp;$B39&amp;$C39,盘货信息!$A:$A&amp;盘货信息!$B:$B&amp;盘货信息!$C:$C,盘货信息!$M:$M)="否"),"【预估到手价"&amp;_xlfn.XLOOKUP($A39&amp;$B39&amp;$C39,盘货信息!$A:$A&amp;盘货信息!$B:$B&amp;盘货信息!$C:$C,盘货信息!$D:$D)&amp;"元】",IF(AND(_xlfn.XLOOKUP($A39&amp;$B39&amp;$C39,盘货信息!$A:$A&amp;盘货信息!$B:$B&amp;盘货信息!$C:$C,盘货信息!$M:$M)="是",OR(_xlfn.XLOOKUP($A39&amp;$B39&amp;$C39,盘货信息!$A:$A&amp;盘货信息!$B:$B&amp;盘货信息!$C:$C,盘货信息!$L:$L)="否",_xlfn.XLOOKUP($A39&amp;$B39&amp;$C39,盘货信息!$A:$A&amp;盘货信息!$B:$B&amp;盘货信息!$C:$C,盘货信息!$L:$L)="")),"【预估到手价"&amp;_xlfn.XLOOKUP($A39&amp;$B39&amp;$C39,盘货信息!$A:$A&amp;盘货信息!$B:$B&amp;盘货信息!$C:$C,盘货信息!$D:$D)&amp;"元】"&amp;CHAR(10)&amp;"【焕新补贴预估价"&amp;ROUND(_xlfn.XLOOKUP($A39&amp;$B39&amp;$C39,盘货信息!$A:$A&amp;盘货信息!$B:$B&amp;盘货信息!$C:$C,盘货信息!$E:$E),0)&amp;"元】","【焕新补贴预估价"&amp;ROUND(_xlfn.XLOOKUP($A39&amp;$B39&amp;$C39,盘货信息!$A:$A&amp;盘货信息!$B:$B&amp;盘货信息!$C:$C,盘货信息!$E:$E),0)&amp;"元】")))</f>
        <v/>
      </c>
      <c r="F39" s="27" t="str" cm="1">
        <f t="array" ref="F39">IF($C39="","",_xlfn.XLOOKUP($A39&amp;$B39&amp;$C39,盘货信息!$A:$A&amp;盘货信息!$B:$B&amp;盘货信息!$C:$C,盘货信息!$D:$D)&amp;"元到手价")</f>
        <v/>
      </c>
      <c r="G39" s="27" t="str" cm="1">
        <f t="array" ref="G39">IF($C39="","",IF(_xlfn.XLOOKUP($A39&amp;$B39&amp;$C39,盘货信息!$A:$A&amp;盘货信息!$B:$B&amp;盘货信息!$C:$C,盘货信息!$G:$G)&lt;1,"",ROUND(_xlfn.XLOOKUP($A39&amp;$B39&amp;$C39,盘货信息!$A:$A&amp;盘货信息!$B:$B&amp;盘货信息!$C:$C,盘货信息!$G:$G),0)&amp;"元88VIP立减"))</f>
        <v/>
      </c>
      <c r="H39" s="27" t="str" cm="1">
        <f t="array" ref="H39">IF($C39="","",IF(_xlfn.XLOOKUP($A39&amp;$B39&amp;$C39,盘货信息!$A:$A&amp;盘货信息!$B:$B&amp;盘货信息!$C:$C,盘货信息!$I:$I)&lt;1,"",_xlfn.XLOOKUP($A39&amp;$B39&amp;$C39,盘货信息!$A:$A&amp;盘货信息!$B:$B&amp;盘货信息!$C:$C,盘货信息!$I:$I)&amp;"元惊喜立减"))</f>
        <v/>
      </c>
      <c r="I39" s="27" t="str" cm="1">
        <f t="array" ref="I39">IF($C39="","",IF(_xlfn.XLOOKUP($A39&amp;$B39&amp;$C39,盘货信息!$A:$A&amp;盘货信息!$B:$B&amp;盘货信息!$C:$C,盘货信息!$H:$H)&lt;1,"",ROUND(_xlfn.XLOOKUP($A39&amp;$B39&amp;$C39,盘货信息!$A:$A&amp;盘货信息!$B:$B&amp;盘货信息!$C:$C,盘货信息!$H:$H),0)&amp;"元消费券"))</f>
        <v/>
      </c>
      <c r="J39" s="27" t="str" cm="1">
        <f t="array" ref="J39">IF($C39="","",IF(_xlfn.XLOOKUP($A39&amp;$B39&amp;$C39,盘货信息!$A:$A&amp;盘货信息!$B:$B&amp;盘货信息!$C:$C,盘货信息!$J:$J)&lt;1,"",ROUND(_xlfn.XLOOKUP($A39&amp;$B39&amp;$C39,盘货信息!$A:$A&amp;盘货信息!$B:$B&amp;盘货信息!$C:$C,盘货信息!$J:$J),0)&amp;"元限时补贴"))</f>
        <v/>
      </c>
      <c r="K39" s="27" t="str" cm="1">
        <f t="array" ref="K39">IF($C39="","",IF(_xlfn.XLOOKUP($A39&amp;$B39&amp;$C39,盘货信息!$A:$A&amp;盘货信息!$B:$B&amp;盘货信息!$C:$C,盘货信息!$K:$K)&lt;1,"",ROUND(_xlfn.XLOOKUP($A39&amp;$B39&amp;$C39,盘货信息!$A:$A&amp;盘货信息!$B:$B&amp;盘货信息!$C:$C,盘货信息!$K:$K),0)&amp;"元预估焕新补贴"))</f>
        <v/>
      </c>
      <c r="L39" s="27" t="str" cm="1">
        <f t="array" ref="L39">IF($C39="","",IF(AND(_xlfn.XLOOKUP($A39&amp;$B39&amp;$C39,盘货信息!$A:$A&amp;盘货信息!$B:$B&amp;盘货信息!$C:$C,盘货信息!$L:$L)="是",_xlfn.XLOOKUP($A39&amp;$B39&amp;$C39,盘货信息!$A:$A&amp;盘货信息!$B:$B&amp;盘货信息!$C:$C,盘货信息!$M:$M)="是",_xlfn.XLOOKUP($A39&amp;$B39&amp;$C39,盘货信息!$A:$A&amp;盘货信息!$B:$B&amp;盘货信息!$C:$C,盘货信息!$K:$K)&gt;0),"【全民可用，不限地址】",IF(AND(OR(_xlfn.XLOOKUP($A39&amp;$B39&amp;$C39,盘货信息!$A:$A&amp;盘货信息!$B:$B&amp;盘货信息!$C:$C,盘货信息!$L:$L)="否",_xlfn.XLOOKUP($A39&amp;$B39&amp;$C39,盘货信息!$A:$A&amp;盘货信息!$B:$B&amp;盘货信息!$C:$C,盘货信息!$L:$L)=""),_xlfn.XLOOKUP($A39&amp;$B39&amp;$C39,盘货信息!$A:$A&amp;盘货信息!$B:$B&amp;盘货信息!$C:$C,盘货信息!$M:$M)="是",_xlfn.XLOOKUP($A39&amp;$B39&amp;$C39,盘货信息!$A:$A&amp;盘货信息!$B:$B&amp;盘货信息!$C:$C,盘货信息!$K:$K)&gt;0),"【详情页领取】","")))</f>
        <v/>
      </c>
      <c r="M39" s="27" t="str" cm="1">
        <f t="array" ref="M39">IF($C39="","",IF(_xlfn.XLOOKUP($A39&amp;$B39&amp;$C39,盘货信息!$A:$A&amp;盘货信息!$B:$B&amp;盘货信息!$C:$C,盘货信息!$F:$F)&lt;1,"",_xlfn.XLOOKUP($A39&amp;$B39&amp;$C39,盘货信息!$A:$A&amp;盘货信息!$B:$B&amp;盘货信息!$C:$C,盘货信息!$F:$F)&amp;"元明卷"))</f>
        <v/>
      </c>
      <c r="N39" s="27" t="str">
        <f t="shared" si="1"/>
        <v/>
      </c>
      <c r="O39" s="27" t="str">
        <f>IF(I39="","","【消费券链接】"&amp;固定信息!$B$6)</f>
        <v/>
      </c>
    </row>
    <row r="40" customHeight="1" spans="1:15">
      <c r="A40" s="26" t="str">
        <f>IF(盘货信息!A40="","",盘货信息!A40)</f>
        <v/>
      </c>
      <c r="B40" s="26" t="str">
        <f>IF(盘货信息!B40="","",盘货信息!B40)</f>
        <v/>
      </c>
      <c r="C40" s="27" t="str">
        <f>IF(盘货信息!C40="","",盘货信息!C40)</f>
        <v/>
      </c>
      <c r="D40" s="27" t="str">
        <f t="shared" si="0"/>
        <v/>
      </c>
      <c r="E40" s="27" t="str" cm="1">
        <f t="array" ref="E40">IF($C40="","",IF(AND(OR(_xlfn.XLOOKUP($A40&amp;$B40&amp;$C40,盘货信息!$A:$A&amp;盘货信息!$B:$B&amp;盘货信息!$C:$C,盘货信息!$L:$L)="否",_xlfn.XLOOKUP($A40&amp;$B40&amp;$C40,盘货信息!$A:$A&amp;盘货信息!$B:$B&amp;盘货信息!$C:$C,盘货信息!$L:$L)=""),_xlfn.XLOOKUP($A40&amp;$B40&amp;$C40,盘货信息!$A:$A&amp;盘货信息!$B:$B&amp;盘货信息!$C:$C,盘货信息!$M:$M)="否"),"【预估到手价"&amp;_xlfn.XLOOKUP($A40&amp;$B40&amp;$C40,盘货信息!$A:$A&amp;盘货信息!$B:$B&amp;盘货信息!$C:$C,盘货信息!$D:$D)&amp;"元】",IF(AND(_xlfn.XLOOKUP($A40&amp;$B40&amp;$C40,盘货信息!$A:$A&amp;盘货信息!$B:$B&amp;盘货信息!$C:$C,盘货信息!$M:$M)="是",OR(_xlfn.XLOOKUP($A40&amp;$B40&amp;$C40,盘货信息!$A:$A&amp;盘货信息!$B:$B&amp;盘货信息!$C:$C,盘货信息!$L:$L)="否",_xlfn.XLOOKUP($A40&amp;$B40&amp;$C40,盘货信息!$A:$A&amp;盘货信息!$B:$B&amp;盘货信息!$C:$C,盘货信息!$L:$L)="")),"【预估到手价"&amp;_xlfn.XLOOKUP($A40&amp;$B40&amp;$C40,盘货信息!$A:$A&amp;盘货信息!$B:$B&amp;盘货信息!$C:$C,盘货信息!$D:$D)&amp;"元】"&amp;CHAR(10)&amp;"【焕新补贴预估价"&amp;ROUND(_xlfn.XLOOKUP($A40&amp;$B40&amp;$C40,盘货信息!$A:$A&amp;盘货信息!$B:$B&amp;盘货信息!$C:$C,盘货信息!$E:$E),0)&amp;"元】","【焕新补贴预估价"&amp;ROUND(_xlfn.XLOOKUP($A40&amp;$B40&amp;$C40,盘货信息!$A:$A&amp;盘货信息!$B:$B&amp;盘货信息!$C:$C,盘货信息!$E:$E),0)&amp;"元】")))</f>
        <v/>
      </c>
      <c r="F40" s="27" t="str" cm="1">
        <f t="array" ref="F40">IF($C40="","",_xlfn.XLOOKUP($A40&amp;$B40&amp;$C40,盘货信息!$A:$A&amp;盘货信息!$B:$B&amp;盘货信息!$C:$C,盘货信息!$D:$D)&amp;"元到手价")</f>
        <v/>
      </c>
      <c r="G40" s="27" t="str" cm="1">
        <f t="array" ref="G40">IF($C40="","",IF(_xlfn.XLOOKUP($A40&amp;$B40&amp;$C40,盘货信息!$A:$A&amp;盘货信息!$B:$B&amp;盘货信息!$C:$C,盘货信息!$G:$G)&lt;1,"",ROUND(_xlfn.XLOOKUP($A40&amp;$B40&amp;$C40,盘货信息!$A:$A&amp;盘货信息!$B:$B&amp;盘货信息!$C:$C,盘货信息!$G:$G),0)&amp;"元88VIP立减"))</f>
        <v/>
      </c>
      <c r="H40" s="27" t="str" cm="1">
        <f t="array" ref="H40">IF($C40="","",IF(_xlfn.XLOOKUP($A40&amp;$B40&amp;$C40,盘货信息!$A:$A&amp;盘货信息!$B:$B&amp;盘货信息!$C:$C,盘货信息!$I:$I)&lt;1,"",_xlfn.XLOOKUP($A40&amp;$B40&amp;$C40,盘货信息!$A:$A&amp;盘货信息!$B:$B&amp;盘货信息!$C:$C,盘货信息!$I:$I)&amp;"元惊喜立减"))</f>
        <v/>
      </c>
      <c r="I40" s="27" t="str" cm="1">
        <f t="array" ref="I40">IF($C40="","",IF(_xlfn.XLOOKUP($A40&amp;$B40&amp;$C40,盘货信息!$A:$A&amp;盘货信息!$B:$B&amp;盘货信息!$C:$C,盘货信息!$H:$H)&lt;1,"",ROUND(_xlfn.XLOOKUP($A40&amp;$B40&amp;$C40,盘货信息!$A:$A&amp;盘货信息!$B:$B&amp;盘货信息!$C:$C,盘货信息!$H:$H),0)&amp;"元消费券"))</f>
        <v/>
      </c>
      <c r="J40" s="27" t="str" cm="1">
        <f t="array" ref="J40">IF($C40="","",IF(_xlfn.XLOOKUP($A40&amp;$B40&amp;$C40,盘货信息!$A:$A&amp;盘货信息!$B:$B&amp;盘货信息!$C:$C,盘货信息!$J:$J)&lt;1,"",ROUND(_xlfn.XLOOKUP($A40&amp;$B40&amp;$C40,盘货信息!$A:$A&amp;盘货信息!$B:$B&amp;盘货信息!$C:$C,盘货信息!$J:$J),0)&amp;"元限时补贴"))</f>
        <v/>
      </c>
      <c r="K40" s="27" t="str" cm="1">
        <f t="array" ref="K40">IF($C40="","",IF(_xlfn.XLOOKUP($A40&amp;$B40&amp;$C40,盘货信息!$A:$A&amp;盘货信息!$B:$B&amp;盘货信息!$C:$C,盘货信息!$K:$K)&lt;1,"",ROUND(_xlfn.XLOOKUP($A40&amp;$B40&amp;$C40,盘货信息!$A:$A&amp;盘货信息!$B:$B&amp;盘货信息!$C:$C,盘货信息!$K:$K),0)&amp;"元预估焕新补贴"))</f>
        <v/>
      </c>
      <c r="L40" s="27" t="str" cm="1">
        <f t="array" ref="L40">IF($C40="","",IF(AND(_xlfn.XLOOKUP($A40&amp;$B40&amp;$C40,盘货信息!$A:$A&amp;盘货信息!$B:$B&amp;盘货信息!$C:$C,盘货信息!$L:$L)="是",_xlfn.XLOOKUP($A40&amp;$B40&amp;$C40,盘货信息!$A:$A&amp;盘货信息!$B:$B&amp;盘货信息!$C:$C,盘货信息!$M:$M)="是",_xlfn.XLOOKUP($A40&amp;$B40&amp;$C40,盘货信息!$A:$A&amp;盘货信息!$B:$B&amp;盘货信息!$C:$C,盘货信息!$K:$K)&gt;0),"【全民可用，不限地址】",IF(AND(OR(_xlfn.XLOOKUP($A40&amp;$B40&amp;$C40,盘货信息!$A:$A&amp;盘货信息!$B:$B&amp;盘货信息!$C:$C,盘货信息!$L:$L)="否",_xlfn.XLOOKUP($A40&amp;$B40&amp;$C40,盘货信息!$A:$A&amp;盘货信息!$B:$B&amp;盘货信息!$C:$C,盘货信息!$L:$L)=""),_xlfn.XLOOKUP($A40&amp;$B40&amp;$C40,盘货信息!$A:$A&amp;盘货信息!$B:$B&amp;盘货信息!$C:$C,盘货信息!$M:$M)="是",_xlfn.XLOOKUP($A40&amp;$B40&amp;$C40,盘货信息!$A:$A&amp;盘货信息!$B:$B&amp;盘货信息!$C:$C,盘货信息!$K:$K)&gt;0),"【详情页领取】","")))</f>
        <v/>
      </c>
      <c r="M40" s="27" t="str" cm="1">
        <f t="array" ref="M40">IF($C40="","",IF(_xlfn.XLOOKUP($A40&amp;$B40&amp;$C40,盘货信息!$A:$A&amp;盘货信息!$B:$B&amp;盘货信息!$C:$C,盘货信息!$F:$F)&lt;1,"",_xlfn.XLOOKUP($A40&amp;$B40&amp;$C40,盘货信息!$A:$A&amp;盘货信息!$B:$B&amp;盘货信息!$C:$C,盘货信息!$F:$F)&amp;"元明卷"))</f>
        <v/>
      </c>
      <c r="N40" s="27" t="str">
        <f t="shared" si="1"/>
        <v/>
      </c>
      <c r="O40" s="27" t="str">
        <f>IF(I40="","","【消费券链接】"&amp;固定信息!$B$6)</f>
        <v/>
      </c>
    </row>
    <row r="41" customHeight="1" spans="1:15">
      <c r="A41" s="26" t="str">
        <f>IF(盘货信息!A41="","",盘货信息!A41)</f>
        <v/>
      </c>
      <c r="B41" s="26" t="str">
        <f>IF(盘货信息!B41="","",盘货信息!B41)</f>
        <v/>
      </c>
      <c r="C41" s="27" t="str">
        <f>IF(盘货信息!C41="","",盘货信息!C41)</f>
        <v/>
      </c>
      <c r="D41" s="27" t="str">
        <f t="shared" si="0"/>
        <v/>
      </c>
      <c r="E41" s="27" t="str" cm="1">
        <f t="array" ref="E41">IF($C41="","",IF(AND(OR(_xlfn.XLOOKUP($A41&amp;$B41&amp;$C41,盘货信息!$A:$A&amp;盘货信息!$B:$B&amp;盘货信息!$C:$C,盘货信息!$L:$L)="否",_xlfn.XLOOKUP($A41&amp;$B41&amp;$C41,盘货信息!$A:$A&amp;盘货信息!$B:$B&amp;盘货信息!$C:$C,盘货信息!$L:$L)=""),_xlfn.XLOOKUP($A41&amp;$B41&amp;$C41,盘货信息!$A:$A&amp;盘货信息!$B:$B&amp;盘货信息!$C:$C,盘货信息!$M:$M)="否"),"【预估到手价"&amp;_xlfn.XLOOKUP($A41&amp;$B41&amp;$C41,盘货信息!$A:$A&amp;盘货信息!$B:$B&amp;盘货信息!$C:$C,盘货信息!$D:$D)&amp;"元】",IF(AND(_xlfn.XLOOKUP($A41&amp;$B41&amp;$C41,盘货信息!$A:$A&amp;盘货信息!$B:$B&amp;盘货信息!$C:$C,盘货信息!$M:$M)="是",OR(_xlfn.XLOOKUP($A41&amp;$B41&amp;$C41,盘货信息!$A:$A&amp;盘货信息!$B:$B&amp;盘货信息!$C:$C,盘货信息!$L:$L)="否",_xlfn.XLOOKUP($A41&amp;$B41&amp;$C41,盘货信息!$A:$A&amp;盘货信息!$B:$B&amp;盘货信息!$C:$C,盘货信息!$L:$L)="")),"【预估到手价"&amp;_xlfn.XLOOKUP($A41&amp;$B41&amp;$C41,盘货信息!$A:$A&amp;盘货信息!$B:$B&amp;盘货信息!$C:$C,盘货信息!$D:$D)&amp;"元】"&amp;CHAR(10)&amp;"【焕新补贴预估价"&amp;ROUND(_xlfn.XLOOKUP($A41&amp;$B41&amp;$C41,盘货信息!$A:$A&amp;盘货信息!$B:$B&amp;盘货信息!$C:$C,盘货信息!$E:$E),0)&amp;"元】","【焕新补贴预估价"&amp;ROUND(_xlfn.XLOOKUP($A41&amp;$B41&amp;$C41,盘货信息!$A:$A&amp;盘货信息!$B:$B&amp;盘货信息!$C:$C,盘货信息!$E:$E),0)&amp;"元】")))</f>
        <v/>
      </c>
      <c r="F41" s="27" t="str" cm="1">
        <f t="array" ref="F41">IF($C41="","",_xlfn.XLOOKUP($A41&amp;$B41&amp;$C41,盘货信息!$A:$A&amp;盘货信息!$B:$B&amp;盘货信息!$C:$C,盘货信息!$D:$D)&amp;"元到手价")</f>
        <v/>
      </c>
      <c r="G41" s="27" t="str" cm="1">
        <f t="array" ref="G41">IF($C41="","",IF(_xlfn.XLOOKUP($A41&amp;$B41&amp;$C41,盘货信息!$A:$A&amp;盘货信息!$B:$B&amp;盘货信息!$C:$C,盘货信息!$G:$G)&lt;1,"",ROUND(_xlfn.XLOOKUP($A41&amp;$B41&amp;$C41,盘货信息!$A:$A&amp;盘货信息!$B:$B&amp;盘货信息!$C:$C,盘货信息!$G:$G),0)&amp;"元88VIP立减"))</f>
        <v/>
      </c>
      <c r="H41" s="27" t="str" cm="1">
        <f t="array" ref="H41">IF($C41="","",IF(_xlfn.XLOOKUP($A41&amp;$B41&amp;$C41,盘货信息!$A:$A&amp;盘货信息!$B:$B&amp;盘货信息!$C:$C,盘货信息!$I:$I)&lt;1,"",_xlfn.XLOOKUP($A41&amp;$B41&amp;$C41,盘货信息!$A:$A&amp;盘货信息!$B:$B&amp;盘货信息!$C:$C,盘货信息!$I:$I)&amp;"元惊喜立减"))</f>
        <v/>
      </c>
      <c r="I41" s="27" t="str" cm="1">
        <f t="array" ref="I41">IF($C41="","",IF(_xlfn.XLOOKUP($A41&amp;$B41&amp;$C41,盘货信息!$A:$A&amp;盘货信息!$B:$B&amp;盘货信息!$C:$C,盘货信息!$H:$H)&lt;1,"",ROUND(_xlfn.XLOOKUP($A41&amp;$B41&amp;$C41,盘货信息!$A:$A&amp;盘货信息!$B:$B&amp;盘货信息!$C:$C,盘货信息!$H:$H),0)&amp;"元消费券"))</f>
        <v/>
      </c>
      <c r="J41" s="27" t="str" cm="1">
        <f t="array" ref="J41">IF($C41="","",IF(_xlfn.XLOOKUP($A41&amp;$B41&amp;$C41,盘货信息!$A:$A&amp;盘货信息!$B:$B&amp;盘货信息!$C:$C,盘货信息!$J:$J)&lt;1,"",ROUND(_xlfn.XLOOKUP($A41&amp;$B41&amp;$C41,盘货信息!$A:$A&amp;盘货信息!$B:$B&amp;盘货信息!$C:$C,盘货信息!$J:$J),0)&amp;"元限时补贴"))</f>
        <v/>
      </c>
      <c r="K41" s="27" t="str" cm="1">
        <f t="array" ref="K41">IF($C41="","",IF(_xlfn.XLOOKUP($A41&amp;$B41&amp;$C41,盘货信息!$A:$A&amp;盘货信息!$B:$B&amp;盘货信息!$C:$C,盘货信息!$K:$K)&lt;1,"",ROUND(_xlfn.XLOOKUP($A41&amp;$B41&amp;$C41,盘货信息!$A:$A&amp;盘货信息!$B:$B&amp;盘货信息!$C:$C,盘货信息!$K:$K),0)&amp;"元预估焕新补贴"))</f>
        <v/>
      </c>
      <c r="L41" s="27" t="str" cm="1">
        <f t="array" ref="L41">IF($C41="","",IF(AND(_xlfn.XLOOKUP($A41&amp;$B41&amp;$C41,盘货信息!$A:$A&amp;盘货信息!$B:$B&amp;盘货信息!$C:$C,盘货信息!$L:$L)="是",_xlfn.XLOOKUP($A41&amp;$B41&amp;$C41,盘货信息!$A:$A&amp;盘货信息!$B:$B&amp;盘货信息!$C:$C,盘货信息!$M:$M)="是",_xlfn.XLOOKUP($A41&amp;$B41&amp;$C41,盘货信息!$A:$A&amp;盘货信息!$B:$B&amp;盘货信息!$C:$C,盘货信息!$K:$K)&gt;0),"【全民可用，不限地址】",IF(AND(OR(_xlfn.XLOOKUP($A41&amp;$B41&amp;$C41,盘货信息!$A:$A&amp;盘货信息!$B:$B&amp;盘货信息!$C:$C,盘货信息!$L:$L)="否",_xlfn.XLOOKUP($A41&amp;$B41&amp;$C41,盘货信息!$A:$A&amp;盘货信息!$B:$B&amp;盘货信息!$C:$C,盘货信息!$L:$L)=""),_xlfn.XLOOKUP($A41&amp;$B41&amp;$C41,盘货信息!$A:$A&amp;盘货信息!$B:$B&amp;盘货信息!$C:$C,盘货信息!$M:$M)="是",_xlfn.XLOOKUP($A41&amp;$B41&amp;$C41,盘货信息!$A:$A&amp;盘货信息!$B:$B&amp;盘货信息!$C:$C,盘货信息!$K:$K)&gt;0),"【详情页领取】","")))</f>
        <v/>
      </c>
      <c r="M41" s="27" t="str" cm="1">
        <f t="array" ref="M41">IF($C41="","",IF(_xlfn.XLOOKUP($A41&amp;$B41&amp;$C41,盘货信息!$A:$A&amp;盘货信息!$B:$B&amp;盘货信息!$C:$C,盘货信息!$F:$F)&lt;1,"",_xlfn.XLOOKUP($A41&amp;$B41&amp;$C41,盘货信息!$A:$A&amp;盘货信息!$B:$B&amp;盘货信息!$C:$C,盘货信息!$F:$F)&amp;"元明卷"))</f>
        <v/>
      </c>
      <c r="N41" s="27" t="str">
        <f t="shared" si="1"/>
        <v/>
      </c>
      <c r="O41" s="27" t="str">
        <f>IF(I41="","","【消费券链接】"&amp;固定信息!$B$6)</f>
        <v/>
      </c>
    </row>
    <row r="42" customHeight="1" spans="1:15">
      <c r="A42" s="26" t="str">
        <f>IF(盘货信息!A42="","",盘货信息!A42)</f>
        <v/>
      </c>
      <c r="B42" s="26" t="str">
        <f>IF(盘货信息!B42="","",盘货信息!B42)</f>
        <v/>
      </c>
      <c r="C42" s="27" t="str">
        <f>IF(盘货信息!C42="","",盘货信息!C42)</f>
        <v/>
      </c>
      <c r="D42" s="27" t="str">
        <f t="shared" si="0"/>
        <v/>
      </c>
      <c r="E42" s="27" t="str" cm="1">
        <f t="array" ref="E42">IF($C42="","",IF(AND(OR(_xlfn.XLOOKUP($A42&amp;$B42&amp;$C42,盘货信息!$A:$A&amp;盘货信息!$B:$B&amp;盘货信息!$C:$C,盘货信息!$L:$L)="否",_xlfn.XLOOKUP($A42&amp;$B42&amp;$C42,盘货信息!$A:$A&amp;盘货信息!$B:$B&amp;盘货信息!$C:$C,盘货信息!$L:$L)=""),_xlfn.XLOOKUP($A42&amp;$B42&amp;$C42,盘货信息!$A:$A&amp;盘货信息!$B:$B&amp;盘货信息!$C:$C,盘货信息!$M:$M)="否"),"【预估到手价"&amp;_xlfn.XLOOKUP($A42&amp;$B42&amp;$C42,盘货信息!$A:$A&amp;盘货信息!$B:$B&amp;盘货信息!$C:$C,盘货信息!$D:$D)&amp;"元】",IF(AND(_xlfn.XLOOKUP($A42&amp;$B42&amp;$C42,盘货信息!$A:$A&amp;盘货信息!$B:$B&amp;盘货信息!$C:$C,盘货信息!$M:$M)="是",OR(_xlfn.XLOOKUP($A42&amp;$B42&amp;$C42,盘货信息!$A:$A&amp;盘货信息!$B:$B&amp;盘货信息!$C:$C,盘货信息!$L:$L)="否",_xlfn.XLOOKUP($A42&amp;$B42&amp;$C42,盘货信息!$A:$A&amp;盘货信息!$B:$B&amp;盘货信息!$C:$C,盘货信息!$L:$L)="")),"【预估到手价"&amp;_xlfn.XLOOKUP($A42&amp;$B42&amp;$C42,盘货信息!$A:$A&amp;盘货信息!$B:$B&amp;盘货信息!$C:$C,盘货信息!$D:$D)&amp;"元】"&amp;CHAR(10)&amp;"【焕新补贴预估价"&amp;ROUND(_xlfn.XLOOKUP($A42&amp;$B42&amp;$C42,盘货信息!$A:$A&amp;盘货信息!$B:$B&amp;盘货信息!$C:$C,盘货信息!$E:$E),0)&amp;"元】","【焕新补贴预估价"&amp;ROUND(_xlfn.XLOOKUP($A42&amp;$B42&amp;$C42,盘货信息!$A:$A&amp;盘货信息!$B:$B&amp;盘货信息!$C:$C,盘货信息!$E:$E),0)&amp;"元】")))</f>
        <v/>
      </c>
      <c r="F42" s="27" t="str" cm="1">
        <f t="array" ref="F42">IF($C42="","",_xlfn.XLOOKUP($A42&amp;$B42&amp;$C42,盘货信息!$A:$A&amp;盘货信息!$B:$B&amp;盘货信息!$C:$C,盘货信息!$D:$D)&amp;"元到手价")</f>
        <v/>
      </c>
      <c r="G42" s="27" t="str" cm="1">
        <f t="array" ref="G42">IF($C42="","",IF(_xlfn.XLOOKUP($A42&amp;$B42&amp;$C42,盘货信息!$A:$A&amp;盘货信息!$B:$B&amp;盘货信息!$C:$C,盘货信息!$G:$G)&lt;1,"",ROUND(_xlfn.XLOOKUP($A42&amp;$B42&amp;$C42,盘货信息!$A:$A&amp;盘货信息!$B:$B&amp;盘货信息!$C:$C,盘货信息!$G:$G),0)&amp;"元88VIP立减"))</f>
        <v/>
      </c>
      <c r="H42" s="27" t="str" cm="1">
        <f t="array" ref="H42">IF($C42="","",IF(_xlfn.XLOOKUP($A42&amp;$B42&amp;$C42,盘货信息!$A:$A&amp;盘货信息!$B:$B&amp;盘货信息!$C:$C,盘货信息!$I:$I)&lt;1,"",_xlfn.XLOOKUP($A42&amp;$B42&amp;$C42,盘货信息!$A:$A&amp;盘货信息!$B:$B&amp;盘货信息!$C:$C,盘货信息!$I:$I)&amp;"元惊喜立减"))</f>
        <v/>
      </c>
      <c r="I42" s="27" t="str" cm="1">
        <f t="array" ref="I42">IF($C42="","",IF(_xlfn.XLOOKUP($A42&amp;$B42&amp;$C42,盘货信息!$A:$A&amp;盘货信息!$B:$B&amp;盘货信息!$C:$C,盘货信息!$H:$H)&lt;1,"",ROUND(_xlfn.XLOOKUP($A42&amp;$B42&amp;$C42,盘货信息!$A:$A&amp;盘货信息!$B:$B&amp;盘货信息!$C:$C,盘货信息!$H:$H),0)&amp;"元消费券"))</f>
        <v/>
      </c>
      <c r="J42" s="27" t="str" cm="1">
        <f t="array" ref="J42">IF($C42="","",IF(_xlfn.XLOOKUP($A42&amp;$B42&amp;$C42,盘货信息!$A:$A&amp;盘货信息!$B:$B&amp;盘货信息!$C:$C,盘货信息!$J:$J)&lt;1,"",ROUND(_xlfn.XLOOKUP($A42&amp;$B42&amp;$C42,盘货信息!$A:$A&amp;盘货信息!$B:$B&amp;盘货信息!$C:$C,盘货信息!$J:$J),0)&amp;"元限时补贴"))</f>
        <v/>
      </c>
      <c r="K42" s="27" t="str" cm="1">
        <f t="array" ref="K42">IF($C42="","",IF(_xlfn.XLOOKUP($A42&amp;$B42&amp;$C42,盘货信息!$A:$A&amp;盘货信息!$B:$B&amp;盘货信息!$C:$C,盘货信息!$K:$K)&lt;1,"",ROUND(_xlfn.XLOOKUP($A42&amp;$B42&amp;$C42,盘货信息!$A:$A&amp;盘货信息!$B:$B&amp;盘货信息!$C:$C,盘货信息!$K:$K),0)&amp;"元预估焕新补贴"))</f>
        <v/>
      </c>
      <c r="L42" s="27" t="str" cm="1">
        <f t="array" ref="L42">IF($C42="","",IF(AND(_xlfn.XLOOKUP($A42&amp;$B42&amp;$C42,盘货信息!$A:$A&amp;盘货信息!$B:$B&amp;盘货信息!$C:$C,盘货信息!$L:$L)="是",_xlfn.XLOOKUP($A42&amp;$B42&amp;$C42,盘货信息!$A:$A&amp;盘货信息!$B:$B&amp;盘货信息!$C:$C,盘货信息!$M:$M)="是",_xlfn.XLOOKUP($A42&amp;$B42&amp;$C42,盘货信息!$A:$A&amp;盘货信息!$B:$B&amp;盘货信息!$C:$C,盘货信息!$K:$K)&gt;0),"【全民可用，不限地址】",IF(AND(OR(_xlfn.XLOOKUP($A42&amp;$B42&amp;$C42,盘货信息!$A:$A&amp;盘货信息!$B:$B&amp;盘货信息!$C:$C,盘货信息!$L:$L)="否",_xlfn.XLOOKUP($A42&amp;$B42&amp;$C42,盘货信息!$A:$A&amp;盘货信息!$B:$B&amp;盘货信息!$C:$C,盘货信息!$L:$L)=""),_xlfn.XLOOKUP($A42&amp;$B42&amp;$C42,盘货信息!$A:$A&amp;盘货信息!$B:$B&amp;盘货信息!$C:$C,盘货信息!$M:$M)="是",_xlfn.XLOOKUP($A42&amp;$B42&amp;$C42,盘货信息!$A:$A&amp;盘货信息!$B:$B&amp;盘货信息!$C:$C,盘货信息!$K:$K)&gt;0),"【详情页领取】","")))</f>
        <v/>
      </c>
      <c r="M42" s="27" t="str" cm="1">
        <f t="array" ref="M42">IF($C42="","",IF(_xlfn.XLOOKUP($A42&amp;$B42&amp;$C42,盘货信息!$A:$A&amp;盘货信息!$B:$B&amp;盘货信息!$C:$C,盘货信息!$F:$F)&lt;1,"",_xlfn.XLOOKUP($A42&amp;$B42&amp;$C42,盘货信息!$A:$A&amp;盘货信息!$B:$B&amp;盘货信息!$C:$C,盘货信息!$F:$F)&amp;"元明卷"))</f>
        <v/>
      </c>
      <c r="N42" s="27" t="str">
        <f t="shared" si="1"/>
        <v/>
      </c>
      <c r="O42" s="27" t="str">
        <f>IF(I42="","","【消费券链接】"&amp;固定信息!$B$6)</f>
        <v/>
      </c>
    </row>
    <row r="43" customHeight="1" spans="1:15">
      <c r="A43" s="26" t="str">
        <f>IF(盘货信息!A43="","",盘货信息!A43)</f>
        <v/>
      </c>
      <c r="B43" s="26" t="str">
        <f>IF(盘货信息!B43="","",盘货信息!B43)</f>
        <v/>
      </c>
      <c r="C43" s="27" t="str">
        <f>IF(盘货信息!C43="","",盘货信息!C43)</f>
        <v/>
      </c>
      <c r="D43" s="27" t="str">
        <f t="shared" si="0"/>
        <v/>
      </c>
      <c r="E43" s="27" t="str" cm="1">
        <f t="array" ref="E43">IF($C43="","",IF(AND(OR(_xlfn.XLOOKUP($A43&amp;$B43&amp;$C43,盘货信息!$A:$A&amp;盘货信息!$B:$B&amp;盘货信息!$C:$C,盘货信息!$L:$L)="否",_xlfn.XLOOKUP($A43&amp;$B43&amp;$C43,盘货信息!$A:$A&amp;盘货信息!$B:$B&amp;盘货信息!$C:$C,盘货信息!$L:$L)=""),_xlfn.XLOOKUP($A43&amp;$B43&amp;$C43,盘货信息!$A:$A&amp;盘货信息!$B:$B&amp;盘货信息!$C:$C,盘货信息!$M:$M)="否"),"【预估到手价"&amp;_xlfn.XLOOKUP($A43&amp;$B43&amp;$C43,盘货信息!$A:$A&amp;盘货信息!$B:$B&amp;盘货信息!$C:$C,盘货信息!$D:$D)&amp;"元】",IF(AND(_xlfn.XLOOKUP($A43&amp;$B43&amp;$C43,盘货信息!$A:$A&amp;盘货信息!$B:$B&amp;盘货信息!$C:$C,盘货信息!$M:$M)="是",OR(_xlfn.XLOOKUP($A43&amp;$B43&amp;$C43,盘货信息!$A:$A&amp;盘货信息!$B:$B&amp;盘货信息!$C:$C,盘货信息!$L:$L)="否",_xlfn.XLOOKUP($A43&amp;$B43&amp;$C43,盘货信息!$A:$A&amp;盘货信息!$B:$B&amp;盘货信息!$C:$C,盘货信息!$L:$L)="")),"【预估到手价"&amp;_xlfn.XLOOKUP($A43&amp;$B43&amp;$C43,盘货信息!$A:$A&amp;盘货信息!$B:$B&amp;盘货信息!$C:$C,盘货信息!$D:$D)&amp;"元】"&amp;CHAR(10)&amp;"【焕新补贴预估价"&amp;ROUND(_xlfn.XLOOKUP($A43&amp;$B43&amp;$C43,盘货信息!$A:$A&amp;盘货信息!$B:$B&amp;盘货信息!$C:$C,盘货信息!$E:$E),0)&amp;"元】","【焕新补贴预估价"&amp;ROUND(_xlfn.XLOOKUP($A43&amp;$B43&amp;$C43,盘货信息!$A:$A&amp;盘货信息!$B:$B&amp;盘货信息!$C:$C,盘货信息!$E:$E),0)&amp;"元】")))</f>
        <v/>
      </c>
      <c r="F43" s="27" t="str" cm="1">
        <f t="array" ref="F43">IF($C43="","",_xlfn.XLOOKUP($A43&amp;$B43&amp;$C43,盘货信息!$A:$A&amp;盘货信息!$B:$B&amp;盘货信息!$C:$C,盘货信息!$D:$D)&amp;"元到手价")</f>
        <v/>
      </c>
      <c r="G43" s="27" t="str" cm="1">
        <f t="array" ref="G43">IF($C43="","",IF(_xlfn.XLOOKUP($A43&amp;$B43&amp;$C43,盘货信息!$A:$A&amp;盘货信息!$B:$B&amp;盘货信息!$C:$C,盘货信息!$G:$G)&lt;1,"",ROUND(_xlfn.XLOOKUP($A43&amp;$B43&amp;$C43,盘货信息!$A:$A&amp;盘货信息!$B:$B&amp;盘货信息!$C:$C,盘货信息!$G:$G),0)&amp;"元88VIP立减"))</f>
        <v/>
      </c>
      <c r="H43" s="27" t="str" cm="1">
        <f t="array" ref="H43">IF($C43="","",IF(_xlfn.XLOOKUP($A43&amp;$B43&amp;$C43,盘货信息!$A:$A&amp;盘货信息!$B:$B&amp;盘货信息!$C:$C,盘货信息!$I:$I)&lt;1,"",_xlfn.XLOOKUP($A43&amp;$B43&amp;$C43,盘货信息!$A:$A&amp;盘货信息!$B:$B&amp;盘货信息!$C:$C,盘货信息!$I:$I)&amp;"元惊喜立减"))</f>
        <v/>
      </c>
      <c r="I43" s="27" t="str" cm="1">
        <f t="array" ref="I43">IF($C43="","",IF(_xlfn.XLOOKUP($A43&amp;$B43&amp;$C43,盘货信息!$A:$A&amp;盘货信息!$B:$B&amp;盘货信息!$C:$C,盘货信息!$H:$H)&lt;1,"",ROUND(_xlfn.XLOOKUP($A43&amp;$B43&amp;$C43,盘货信息!$A:$A&amp;盘货信息!$B:$B&amp;盘货信息!$C:$C,盘货信息!$H:$H),0)&amp;"元消费券"))</f>
        <v/>
      </c>
      <c r="J43" s="27" t="str" cm="1">
        <f t="array" ref="J43">IF($C43="","",IF(_xlfn.XLOOKUP($A43&amp;$B43&amp;$C43,盘货信息!$A:$A&amp;盘货信息!$B:$B&amp;盘货信息!$C:$C,盘货信息!$J:$J)&lt;1,"",ROUND(_xlfn.XLOOKUP($A43&amp;$B43&amp;$C43,盘货信息!$A:$A&amp;盘货信息!$B:$B&amp;盘货信息!$C:$C,盘货信息!$J:$J),0)&amp;"元限时补贴"))</f>
        <v/>
      </c>
      <c r="K43" s="27" t="str" cm="1">
        <f t="array" ref="K43">IF($C43="","",IF(_xlfn.XLOOKUP($A43&amp;$B43&amp;$C43,盘货信息!$A:$A&amp;盘货信息!$B:$B&amp;盘货信息!$C:$C,盘货信息!$K:$K)&lt;1,"",ROUND(_xlfn.XLOOKUP($A43&amp;$B43&amp;$C43,盘货信息!$A:$A&amp;盘货信息!$B:$B&amp;盘货信息!$C:$C,盘货信息!$K:$K),0)&amp;"元预估焕新补贴"))</f>
        <v/>
      </c>
      <c r="L43" s="27" t="str" cm="1">
        <f t="array" ref="L43">IF($C43="","",IF(AND(_xlfn.XLOOKUP($A43&amp;$B43&amp;$C43,盘货信息!$A:$A&amp;盘货信息!$B:$B&amp;盘货信息!$C:$C,盘货信息!$L:$L)="是",_xlfn.XLOOKUP($A43&amp;$B43&amp;$C43,盘货信息!$A:$A&amp;盘货信息!$B:$B&amp;盘货信息!$C:$C,盘货信息!$M:$M)="是",_xlfn.XLOOKUP($A43&amp;$B43&amp;$C43,盘货信息!$A:$A&amp;盘货信息!$B:$B&amp;盘货信息!$C:$C,盘货信息!$K:$K)&gt;0),"【全民可用，不限地址】",IF(AND(OR(_xlfn.XLOOKUP($A43&amp;$B43&amp;$C43,盘货信息!$A:$A&amp;盘货信息!$B:$B&amp;盘货信息!$C:$C,盘货信息!$L:$L)="否",_xlfn.XLOOKUP($A43&amp;$B43&amp;$C43,盘货信息!$A:$A&amp;盘货信息!$B:$B&amp;盘货信息!$C:$C,盘货信息!$L:$L)=""),_xlfn.XLOOKUP($A43&amp;$B43&amp;$C43,盘货信息!$A:$A&amp;盘货信息!$B:$B&amp;盘货信息!$C:$C,盘货信息!$M:$M)="是",_xlfn.XLOOKUP($A43&amp;$B43&amp;$C43,盘货信息!$A:$A&amp;盘货信息!$B:$B&amp;盘货信息!$C:$C,盘货信息!$K:$K)&gt;0),"【详情页领取】","")))</f>
        <v/>
      </c>
      <c r="M43" s="27" t="str" cm="1">
        <f t="array" ref="M43">IF($C43="","",IF(_xlfn.XLOOKUP($A43&amp;$B43&amp;$C43,盘货信息!$A:$A&amp;盘货信息!$B:$B&amp;盘货信息!$C:$C,盘货信息!$F:$F)&lt;1,"",_xlfn.XLOOKUP($A43&amp;$B43&amp;$C43,盘货信息!$A:$A&amp;盘货信息!$B:$B&amp;盘货信息!$C:$C,盘货信息!$F:$F)&amp;"元明卷"))</f>
        <v/>
      </c>
      <c r="N43" s="27" t="str">
        <f t="shared" si="1"/>
        <v/>
      </c>
      <c r="O43" s="27" t="str">
        <f>IF(I43="","","【消费券链接】"&amp;固定信息!$B$6)</f>
        <v/>
      </c>
    </row>
    <row r="44" customHeight="1" spans="1:15">
      <c r="A44" s="26" t="str">
        <f>IF(盘货信息!A44="","",盘货信息!A44)</f>
        <v/>
      </c>
      <c r="B44" s="26" t="str">
        <f>IF(盘货信息!B44="","",盘货信息!B44)</f>
        <v/>
      </c>
      <c r="C44" s="27" t="str">
        <f>IF(盘货信息!C44="","",盘货信息!C44)</f>
        <v/>
      </c>
      <c r="D44" s="27" t="str">
        <f t="shared" si="0"/>
        <v/>
      </c>
      <c r="E44" s="27" t="str" cm="1">
        <f t="array" ref="E44">IF($C44="","",IF(AND(OR(_xlfn.XLOOKUP($A44&amp;$B44&amp;$C44,盘货信息!$A:$A&amp;盘货信息!$B:$B&amp;盘货信息!$C:$C,盘货信息!$L:$L)="否",_xlfn.XLOOKUP($A44&amp;$B44&amp;$C44,盘货信息!$A:$A&amp;盘货信息!$B:$B&amp;盘货信息!$C:$C,盘货信息!$L:$L)=""),_xlfn.XLOOKUP($A44&amp;$B44&amp;$C44,盘货信息!$A:$A&amp;盘货信息!$B:$B&amp;盘货信息!$C:$C,盘货信息!$M:$M)="否"),"【预估到手价"&amp;_xlfn.XLOOKUP($A44&amp;$B44&amp;$C44,盘货信息!$A:$A&amp;盘货信息!$B:$B&amp;盘货信息!$C:$C,盘货信息!$D:$D)&amp;"元】",IF(AND(_xlfn.XLOOKUP($A44&amp;$B44&amp;$C44,盘货信息!$A:$A&amp;盘货信息!$B:$B&amp;盘货信息!$C:$C,盘货信息!$M:$M)="是",OR(_xlfn.XLOOKUP($A44&amp;$B44&amp;$C44,盘货信息!$A:$A&amp;盘货信息!$B:$B&amp;盘货信息!$C:$C,盘货信息!$L:$L)="否",_xlfn.XLOOKUP($A44&amp;$B44&amp;$C44,盘货信息!$A:$A&amp;盘货信息!$B:$B&amp;盘货信息!$C:$C,盘货信息!$L:$L)="")),"【预估到手价"&amp;_xlfn.XLOOKUP($A44&amp;$B44&amp;$C44,盘货信息!$A:$A&amp;盘货信息!$B:$B&amp;盘货信息!$C:$C,盘货信息!$D:$D)&amp;"元】"&amp;CHAR(10)&amp;"【焕新补贴预估价"&amp;ROUND(_xlfn.XLOOKUP($A44&amp;$B44&amp;$C44,盘货信息!$A:$A&amp;盘货信息!$B:$B&amp;盘货信息!$C:$C,盘货信息!$E:$E),0)&amp;"元】","【焕新补贴预估价"&amp;ROUND(_xlfn.XLOOKUP($A44&amp;$B44&amp;$C44,盘货信息!$A:$A&amp;盘货信息!$B:$B&amp;盘货信息!$C:$C,盘货信息!$E:$E),0)&amp;"元】")))</f>
        <v/>
      </c>
      <c r="F44" s="27" t="str" cm="1">
        <f t="array" ref="F44">IF($C44="","",_xlfn.XLOOKUP($A44&amp;$B44&amp;$C44,盘货信息!$A:$A&amp;盘货信息!$B:$B&amp;盘货信息!$C:$C,盘货信息!$D:$D)&amp;"元到手价")</f>
        <v/>
      </c>
      <c r="G44" s="27" t="str" cm="1">
        <f t="array" ref="G44">IF($C44="","",IF(_xlfn.XLOOKUP($A44&amp;$B44&amp;$C44,盘货信息!$A:$A&amp;盘货信息!$B:$B&amp;盘货信息!$C:$C,盘货信息!$G:$G)&lt;1,"",ROUND(_xlfn.XLOOKUP($A44&amp;$B44&amp;$C44,盘货信息!$A:$A&amp;盘货信息!$B:$B&amp;盘货信息!$C:$C,盘货信息!$G:$G),0)&amp;"元88VIP立减"))</f>
        <v/>
      </c>
      <c r="H44" s="27" t="str" cm="1">
        <f t="array" ref="H44">IF($C44="","",IF(_xlfn.XLOOKUP($A44&amp;$B44&amp;$C44,盘货信息!$A:$A&amp;盘货信息!$B:$B&amp;盘货信息!$C:$C,盘货信息!$I:$I)&lt;1,"",_xlfn.XLOOKUP($A44&amp;$B44&amp;$C44,盘货信息!$A:$A&amp;盘货信息!$B:$B&amp;盘货信息!$C:$C,盘货信息!$I:$I)&amp;"元惊喜立减"))</f>
        <v/>
      </c>
      <c r="I44" s="27" t="str" cm="1">
        <f t="array" ref="I44">IF($C44="","",IF(_xlfn.XLOOKUP($A44&amp;$B44&amp;$C44,盘货信息!$A:$A&amp;盘货信息!$B:$B&amp;盘货信息!$C:$C,盘货信息!$H:$H)&lt;1,"",ROUND(_xlfn.XLOOKUP($A44&amp;$B44&amp;$C44,盘货信息!$A:$A&amp;盘货信息!$B:$B&amp;盘货信息!$C:$C,盘货信息!$H:$H),0)&amp;"元消费券"))</f>
        <v/>
      </c>
      <c r="J44" s="27" t="str" cm="1">
        <f t="array" ref="J44">IF($C44="","",IF(_xlfn.XLOOKUP($A44&amp;$B44&amp;$C44,盘货信息!$A:$A&amp;盘货信息!$B:$B&amp;盘货信息!$C:$C,盘货信息!$J:$J)&lt;1,"",ROUND(_xlfn.XLOOKUP($A44&amp;$B44&amp;$C44,盘货信息!$A:$A&amp;盘货信息!$B:$B&amp;盘货信息!$C:$C,盘货信息!$J:$J),0)&amp;"元限时补贴"))</f>
        <v/>
      </c>
      <c r="K44" s="27" t="str" cm="1">
        <f t="array" ref="K44">IF($C44="","",IF(_xlfn.XLOOKUP($A44&amp;$B44&amp;$C44,盘货信息!$A:$A&amp;盘货信息!$B:$B&amp;盘货信息!$C:$C,盘货信息!$K:$K)&lt;1,"",ROUND(_xlfn.XLOOKUP($A44&amp;$B44&amp;$C44,盘货信息!$A:$A&amp;盘货信息!$B:$B&amp;盘货信息!$C:$C,盘货信息!$K:$K),0)&amp;"元预估焕新补贴"))</f>
        <v/>
      </c>
      <c r="L44" s="27" t="str" cm="1">
        <f t="array" ref="L44">IF($C44="","",IF(AND(_xlfn.XLOOKUP($A44&amp;$B44&amp;$C44,盘货信息!$A:$A&amp;盘货信息!$B:$B&amp;盘货信息!$C:$C,盘货信息!$L:$L)="是",_xlfn.XLOOKUP($A44&amp;$B44&amp;$C44,盘货信息!$A:$A&amp;盘货信息!$B:$B&amp;盘货信息!$C:$C,盘货信息!$M:$M)="是",_xlfn.XLOOKUP($A44&amp;$B44&amp;$C44,盘货信息!$A:$A&amp;盘货信息!$B:$B&amp;盘货信息!$C:$C,盘货信息!$K:$K)&gt;0),"【全民可用，不限地址】",IF(AND(OR(_xlfn.XLOOKUP($A44&amp;$B44&amp;$C44,盘货信息!$A:$A&amp;盘货信息!$B:$B&amp;盘货信息!$C:$C,盘货信息!$L:$L)="否",_xlfn.XLOOKUP($A44&amp;$B44&amp;$C44,盘货信息!$A:$A&amp;盘货信息!$B:$B&amp;盘货信息!$C:$C,盘货信息!$L:$L)=""),_xlfn.XLOOKUP($A44&amp;$B44&amp;$C44,盘货信息!$A:$A&amp;盘货信息!$B:$B&amp;盘货信息!$C:$C,盘货信息!$M:$M)="是",_xlfn.XLOOKUP($A44&amp;$B44&amp;$C44,盘货信息!$A:$A&amp;盘货信息!$B:$B&amp;盘货信息!$C:$C,盘货信息!$K:$K)&gt;0),"【详情页领取】","")))</f>
        <v/>
      </c>
      <c r="M44" s="27" t="str" cm="1">
        <f t="array" ref="M44">IF($C44="","",IF(_xlfn.XLOOKUP($A44&amp;$B44&amp;$C44,盘货信息!$A:$A&amp;盘货信息!$B:$B&amp;盘货信息!$C:$C,盘货信息!$F:$F)&lt;1,"",_xlfn.XLOOKUP($A44&amp;$B44&amp;$C44,盘货信息!$A:$A&amp;盘货信息!$B:$B&amp;盘货信息!$C:$C,盘货信息!$F:$F)&amp;"元明卷"))</f>
        <v/>
      </c>
      <c r="N44" s="27" t="str">
        <f t="shared" si="1"/>
        <v/>
      </c>
      <c r="O44" s="27" t="str">
        <f>IF(I44="","","【消费券链接】"&amp;固定信息!$B$6)</f>
        <v/>
      </c>
    </row>
    <row r="45" customHeight="1" spans="1:15">
      <c r="A45" s="26" t="str">
        <f>IF(盘货信息!A45="","",盘货信息!A45)</f>
        <v/>
      </c>
      <c r="B45" s="26" t="str">
        <f>IF(盘货信息!B45="","",盘货信息!B45)</f>
        <v/>
      </c>
      <c r="C45" s="27" t="str">
        <f>IF(盘货信息!C45="","",盘货信息!C45)</f>
        <v/>
      </c>
      <c r="D45" s="27" t="str">
        <f t="shared" si="0"/>
        <v/>
      </c>
      <c r="E45" s="27" t="str" cm="1">
        <f t="array" ref="E45">IF($C45="","",IF(AND(OR(_xlfn.XLOOKUP($A45&amp;$B45&amp;$C45,盘货信息!$A:$A&amp;盘货信息!$B:$B&amp;盘货信息!$C:$C,盘货信息!$L:$L)="否",_xlfn.XLOOKUP($A45&amp;$B45&amp;$C45,盘货信息!$A:$A&amp;盘货信息!$B:$B&amp;盘货信息!$C:$C,盘货信息!$L:$L)=""),_xlfn.XLOOKUP($A45&amp;$B45&amp;$C45,盘货信息!$A:$A&amp;盘货信息!$B:$B&amp;盘货信息!$C:$C,盘货信息!$M:$M)="否"),"【预估到手价"&amp;_xlfn.XLOOKUP($A45&amp;$B45&amp;$C45,盘货信息!$A:$A&amp;盘货信息!$B:$B&amp;盘货信息!$C:$C,盘货信息!$D:$D)&amp;"元】",IF(AND(_xlfn.XLOOKUP($A45&amp;$B45&amp;$C45,盘货信息!$A:$A&amp;盘货信息!$B:$B&amp;盘货信息!$C:$C,盘货信息!$M:$M)="是",OR(_xlfn.XLOOKUP($A45&amp;$B45&amp;$C45,盘货信息!$A:$A&amp;盘货信息!$B:$B&amp;盘货信息!$C:$C,盘货信息!$L:$L)="否",_xlfn.XLOOKUP($A45&amp;$B45&amp;$C45,盘货信息!$A:$A&amp;盘货信息!$B:$B&amp;盘货信息!$C:$C,盘货信息!$L:$L)="")),"【预估到手价"&amp;_xlfn.XLOOKUP($A45&amp;$B45&amp;$C45,盘货信息!$A:$A&amp;盘货信息!$B:$B&amp;盘货信息!$C:$C,盘货信息!$D:$D)&amp;"元】"&amp;CHAR(10)&amp;"【焕新补贴预估价"&amp;ROUND(_xlfn.XLOOKUP($A45&amp;$B45&amp;$C45,盘货信息!$A:$A&amp;盘货信息!$B:$B&amp;盘货信息!$C:$C,盘货信息!$E:$E),0)&amp;"元】","【焕新补贴预估价"&amp;ROUND(_xlfn.XLOOKUP($A45&amp;$B45&amp;$C45,盘货信息!$A:$A&amp;盘货信息!$B:$B&amp;盘货信息!$C:$C,盘货信息!$E:$E),0)&amp;"元】")))</f>
        <v/>
      </c>
      <c r="F45" s="27" t="str" cm="1">
        <f t="array" ref="F45">IF($C45="","",_xlfn.XLOOKUP($A45&amp;$B45&amp;$C45,盘货信息!$A:$A&amp;盘货信息!$B:$B&amp;盘货信息!$C:$C,盘货信息!$D:$D)&amp;"元到手价")</f>
        <v/>
      </c>
      <c r="G45" s="27" t="str" cm="1">
        <f t="array" ref="G45">IF($C45="","",IF(_xlfn.XLOOKUP($A45&amp;$B45&amp;$C45,盘货信息!$A:$A&amp;盘货信息!$B:$B&amp;盘货信息!$C:$C,盘货信息!$G:$G)&lt;1,"",ROUND(_xlfn.XLOOKUP($A45&amp;$B45&amp;$C45,盘货信息!$A:$A&amp;盘货信息!$B:$B&amp;盘货信息!$C:$C,盘货信息!$G:$G),0)&amp;"元88VIP立减"))</f>
        <v/>
      </c>
      <c r="H45" s="27" t="str" cm="1">
        <f t="array" ref="H45">IF($C45="","",IF(_xlfn.XLOOKUP($A45&amp;$B45&amp;$C45,盘货信息!$A:$A&amp;盘货信息!$B:$B&amp;盘货信息!$C:$C,盘货信息!$I:$I)&lt;1,"",_xlfn.XLOOKUP($A45&amp;$B45&amp;$C45,盘货信息!$A:$A&amp;盘货信息!$B:$B&amp;盘货信息!$C:$C,盘货信息!$I:$I)&amp;"元惊喜立减"))</f>
        <v/>
      </c>
      <c r="I45" s="27" t="str" cm="1">
        <f t="array" ref="I45">IF($C45="","",IF(_xlfn.XLOOKUP($A45&amp;$B45&amp;$C45,盘货信息!$A:$A&amp;盘货信息!$B:$B&amp;盘货信息!$C:$C,盘货信息!$H:$H)&lt;1,"",ROUND(_xlfn.XLOOKUP($A45&amp;$B45&amp;$C45,盘货信息!$A:$A&amp;盘货信息!$B:$B&amp;盘货信息!$C:$C,盘货信息!$H:$H),0)&amp;"元消费券"))</f>
        <v/>
      </c>
      <c r="J45" s="27" t="str" cm="1">
        <f t="array" ref="J45">IF($C45="","",IF(_xlfn.XLOOKUP($A45&amp;$B45&amp;$C45,盘货信息!$A:$A&amp;盘货信息!$B:$B&amp;盘货信息!$C:$C,盘货信息!$J:$J)&lt;1,"",ROUND(_xlfn.XLOOKUP($A45&amp;$B45&amp;$C45,盘货信息!$A:$A&amp;盘货信息!$B:$B&amp;盘货信息!$C:$C,盘货信息!$J:$J),0)&amp;"元限时补贴"))</f>
        <v/>
      </c>
      <c r="K45" s="27" t="str" cm="1">
        <f t="array" ref="K45">IF($C45="","",IF(_xlfn.XLOOKUP($A45&amp;$B45&amp;$C45,盘货信息!$A:$A&amp;盘货信息!$B:$B&amp;盘货信息!$C:$C,盘货信息!$K:$K)&lt;1,"",ROUND(_xlfn.XLOOKUP($A45&amp;$B45&amp;$C45,盘货信息!$A:$A&amp;盘货信息!$B:$B&amp;盘货信息!$C:$C,盘货信息!$K:$K),0)&amp;"元预估焕新补贴"))</f>
        <v/>
      </c>
      <c r="L45" s="27" t="str" cm="1">
        <f t="array" ref="L45">IF($C45="","",IF(AND(_xlfn.XLOOKUP($A45&amp;$B45&amp;$C45,盘货信息!$A:$A&amp;盘货信息!$B:$B&amp;盘货信息!$C:$C,盘货信息!$L:$L)="是",_xlfn.XLOOKUP($A45&amp;$B45&amp;$C45,盘货信息!$A:$A&amp;盘货信息!$B:$B&amp;盘货信息!$C:$C,盘货信息!$M:$M)="是",_xlfn.XLOOKUP($A45&amp;$B45&amp;$C45,盘货信息!$A:$A&amp;盘货信息!$B:$B&amp;盘货信息!$C:$C,盘货信息!$K:$K)&gt;0),"【全民可用，不限地址】",IF(AND(OR(_xlfn.XLOOKUP($A45&amp;$B45&amp;$C45,盘货信息!$A:$A&amp;盘货信息!$B:$B&amp;盘货信息!$C:$C,盘货信息!$L:$L)="否",_xlfn.XLOOKUP($A45&amp;$B45&amp;$C45,盘货信息!$A:$A&amp;盘货信息!$B:$B&amp;盘货信息!$C:$C,盘货信息!$L:$L)=""),_xlfn.XLOOKUP($A45&amp;$B45&amp;$C45,盘货信息!$A:$A&amp;盘货信息!$B:$B&amp;盘货信息!$C:$C,盘货信息!$M:$M)="是",_xlfn.XLOOKUP($A45&amp;$B45&amp;$C45,盘货信息!$A:$A&amp;盘货信息!$B:$B&amp;盘货信息!$C:$C,盘货信息!$K:$K)&gt;0),"【详情页领取】","")))</f>
        <v/>
      </c>
      <c r="M45" s="27" t="str" cm="1">
        <f t="array" ref="M45">IF($C45="","",IF(_xlfn.XLOOKUP($A45&amp;$B45&amp;$C45,盘货信息!$A:$A&amp;盘货信息!$B:$B&amp;盘货信息!$C:$C,盘货信息!$F:$F)&lt;1,"",_xlfn.XLOOKUP($A45&amp;$B45&amp;$C45,盘货信息!$A:$A&amp;盘货信息!$B:$B&amp;盘货信息!$C:$C,盘货信息!$F:$F)&amp;"元明卷"))</f>
        <v/>
      </c>
      <c r="N45" s="27" t="str">
        <f t="shared" si="1"/>
        <v/>
      </c>
      <c r="O45" s="27" t="str">
        <f>IF(I45="","","【消费券链接】"&amp;固定信息!$B$6)</f>
        <v/>
      </c>
    </row>
    <row r="46" customHeight="1" spans="1:15">
      <c r="A46" s="26" t="str">
        <f>IF(盘货信息!A46="","",盘货信息!A46)</f>
        <v/>
      </c>
      <c r="B46" s="26" t="str">
        <f>IF(盘货信息!B46="","",盘货信息!B46)</f>
        <v/>
      </c>
      <c r="C46" s="27" t="str">
        <f>IF(盘货信息!C46="","",盘货信息!C46)</f>
        <v/>
      </c>
      <c r="D46" s="27" t="str">
        <f t="shared" si="0"/>
        <v/>
      </c>
      <c r="E46" s="27" t="str" cm="1">
        <f t="array" ref="E46">IF($C46="","",IF(AND(OR(_xlfn.XLOOKUP($A46&amp;$B46&amp;$C46,盘货信息!$A:$A&amp;盘货信息!$B:$B&amp;盘货信息!$C:$C,盘货信息!$L:$L)="否",_xlfn.XLOOKUP($A46&amp;$B46&amp;$C46,盘货信息!$A:$A&amp;盘货信息!$B:$B&amp;盘货信息!$C:$C,盘货信息!$L:$L)=""),_xlfn.XLOOKUP($A46&amp;$B46&amp;$C46,盘货信息!$A:$A&amp;盘货信息!$B:$B&amp;盘货信息!$C:$C,盘货信息!$M:$M)="否"),"【预估到手价"&amp;_xlfn.XLOOKUP($A46&amp;$B46&amp;$C46,盘货信息!$A:$A&amp;盘货信息!$B:$B&amp;盘货信息!$C:$C,盘货信息!$D:$D)&amp;"元】",IF(AND(_xlfn.XLOOKUP($A46&amp;$B46&amp;$C46,盘货信息!$A:$A&amp;盘货信息!$B:$B&amp;盘货信息!$C:$C,盘货信息!$M:$M)="是",OR(_xlfn.XLOOKUP($A46&amp;$B46&amp;$C46,盘货信息!$A:$A&amp;盘货信息!$B:$B&amp;盘货信息!$C:$C,盘货信息!$L:$L)="否",_xlfn.XLOOKUP($A46&amp;$B46&amp;$C46,盘货信息!$A:$A&amp;盘货信息!$B:$B&amp;盘货信息!$C:$C,盘货信息!$L:$L)="")),"【预估到手价"&amp;_xlfn.XLOOKUP($A46&amp;$B46&amp;$C46,盘货信息!$A:$A&amp;盘货信息!$B:$B&amp;盘货信息!$C:$C,盘货信息!$D:$D)&amp;"元】"&amp;CHAR(10)&amp;"【焕新补贴预估价"&amp;ROUND(_xlfn.XLOOKUP($A46&amp;$B46&amp;$C46,盘货信息!$A:$A&amp;盘货信息!$B:$B&amp;盘货信息!$C:$C,盘货信息!$E:$E),0)&amp;"元】","【焕新补贴预估价"&amp;ROUND(_xlfn.XLOOKUP($A46&amp;$B46&amp;$C46,盘货信息!$A:$A&amp;盘货信息!$B:$B&amp;盘货信息!$C:$C,盘货信息!$E:$E),0)&amp;"元】")))</f>
        <v/>
      </c>
      <c r="F46" s="27" t="str" cm="1">
        <f t="array" ref="F46">IF($C46="","",_xlfn.XLOOKUP($A46&amp;$B46&amp;$C46,盘货信息!$A:$A&amp;盘货信息!$B:$B&amp;盘货信息!$C:$C,盘货信息!$D:$D)&amp;"元到手价")</f>
        <v/>
      </c>
      <c r="G46" s="27" t="str" cm="1">
        <f t="array" ref="G46">IF($C46="","",IF(_xlfn.XLOOKUP($A46&amp;$B46&amp;$C46,盘货信息!$A:$A&amp;盘货信息!$B:$B&amp;盘货信息!$C:$C,盘货信息!$G:$G)&lt;1,"",ROUND(_xlfn.XLOOKUP($A46&amp;$B46&amp;$C46,盘货信息!$A:$A&amp;盘货信息!$B:$B&amp;盘货信息!$C:$C,盘货信息!$G:$G),0)&amp;"元88VIP立减"))</f>
        <v/>
      </c>
      <c r="H46" s="27" t="str" cm="1">
        <f t="array" ref="H46">IF($C46="","",IF(_xlfn.XLOOKUP($A46&amp;$B46&amp;$C46,盘货信息!$A:$A&amp;盘货信息!$B:$B&amp;盘货信息!$C:$C,盘货信息!$I:$I)&lt;1,"",_xlfn.XLOOKUP($A46&amp;$B46&amp;$C46,盘货信息!$A:$A&amp;盘货信息!$B:$B&amp;盘货信息!$C:$C,盘货信息!$I:$I)&amp;"元惊喜立减"))</f>
        <v/>
      </c>
      <c r="I46" s="27" t="str" cm="1">
        <f t="array" ref="I46">IF($C46="","",IF(_xlfn.XLOOKUP($A46&amp;$B46&amp;$C46,盘货信息!$A:$A&amp;盘货信息!$B:$B&amp;盘货信息!$C:$C,盘货信息!$H:$H)&lt;1,"",ROUND(_xlfn.XLOOKUP($A46&amp;$B46&amp;$C46,盘货信息!$A:$A&amp;盘货信息!$B:$B&amp;盘货信息!$C:$C,盘货信息!$H:$H),0)&amp;"元消费券"))</f>
        <v/>
      </c>
      <c r="J46" s="27" t="str" cm="1">
        <f t="array" ref="J46">IF($C46="","",IF(_xlfn.XLOOKUP($A46&amp;$B46&amp;$C46,盘货信息!$A:$A&amp;盘货信息!$B:$B&amp;盘货信息!$C:$C,盘货信息!$J:$J)&lt;1,"",ROUND(_xlfn.XLOOKUP($A46&amp;$B46&amp;$C46,盘货信息!$A:$A&amp;盘货信息!$B:$B&amp;盘货信息!$C:$C,盘货信息!$J:$J),0)&amp;"元限时补贴"))</f>
        <v/>
      </c>
      <c r="K46" s="27" t="str" cm="1">
        <f t="array" ref="K46">IF($C46="","",IF(_xlfn.XLOOKUP($A46&amp;$B46&amp;$C46,盘货信息!$A:$A&amp;盘货信息!$B:$B&amp;盘货信息!$C:$C,盘货信息!$K:$K)&lt;1,"",ROUND(_xlfn.XLOOKUP($A46&amp;$B46&amp;$C46,盘货信息!$A:$A&amp;盘货信息!$B:$B&amp;盘货信息!$C:$C,盘货信息!$K:$K),0)&amp;"元预估焕新补贴"))</f>
        <v/>
      </c>
      <c r="L46" s="27" t="str" cm="1">
        <f t="array" ref="L46">IF($C46="","",IF(AND(_xlfn.XLOOKUP($A46&amp;$B46&amp;$C46,盘货信息!$A:$A&amp;盘货信息!$B:$B&amp;盘货信息!$C:$C,盘货信息!$L:$L)="是",_xlfn.XLOOKUP($A46&amp;$B46&amp;$C46,盘货信息!$A:$A&amp;盘货信息!$B:$B&amp;盘货信息!$C:$C,盘货信息!$M:$M)="是",_xlfn.XLOOKUP($A46&amp;$B46&amp;$C46,盘货信息!$A:$A&amp;盘货信息!$B:$B&amp;盘货信息!$C:$C,盘货信息!$K:$K)&gt;0),"【全民可用，不限地址】",IF(AND(OR(_xlfn.XLOOKUP($A46&amp;$B46&amp;$C46,盘货信息!$A:$A&amp;盘货信息!$B:$B&amp;盘货信息!$C:$C,盘货信息!$L:$L)="否",_xlfn.XLOOKUP($A46&amp;$B46&amp;$C46,盘货信息!$A:$A&amp;盘货信息!$B:$B&amp;盘货信息!$C:$C,盘货信息!$L:$L)=""),_xlfn.XLOOKUP($A46&amp;$B46&amp;$C46,盘货信息!$A:$A&amp;盘货信息!$B:$B&amp;盘货信息!$C:$C,盘货信息!$M:$M)="是",_xlfn.XLOOKUP($A46&amp;$B46&amp;$C46,盘货信息!$A:$A&amp;盘货信息!$B:$B&amp;盘货信息!$C:$C,盘货信息!$K:$K)&gt;0),"【详情页领取】","")))</f>
        <v/>
      </c>
      <c r="M46" s="27" t="str" cm="1">
        <f t="array" ref="M46">IF($C46="","",IF(_xlfn.XLOOKUP($A46&amp;$B46&amp;$C46,盘货信息!$A:$A&amp;盘货信息!$B:$B&amp;盘货信息!$C:$C,盘货信息!$F:$F)&lt;1,"",_xlfn.XLOOKUP($A46&amp;$B46&amp;$C46,盘货信息!$A:$A&amp;盘货信息!$B:$B&amp;盘货信息!$C:$C,盘货信息!$F:$F)&amp;"元明卷"))</f>
        <v/>
      </c>
      <c r="N46" s="27" t="str">
        <f t="shared" si="1"/>
        <v/>
      </c>
      <c r="O46" s="27" t="str">
        <f>IF(I46="","","【消费券链接】"&amp;固定信息!$B$6)</f>
        <v/>
      </c>
    </row>
    <row r="47" customHeight="1" spans="1:15">
      <c r="A47" s="26" t="str">
        <f>IF(盘货信息!A47="","",盘货信息!A47)</f>
        <v/>
      </c>
      <c r="B47" s="26" t="str">
        <f>IF(盘货信息!B47="","",盘货信息!B47)</f>
        <v/>
      </c>
      <c r="C47" s="27" t="str">
        <f>IF(盘货信息!C47="","",盘货信息!C47)</f>
        <v/>
      </c>
      <c r="D47" s="27" t="str">
        <f t="shared" si="0"/>
        <v/>
      </c>
      <c r="E47" s="27" t="str" cm="1">
        <f t="array" ref="E47">IF($C47="","",IF(AND(OR(_xlfn.XLOOKUP($A47&amp;$B47&amp;$C47,盘货信息!$A:$A&amp;盘货信息!$B:$B&amp;盘货信息!$C:$C,盘货信息!$L:$L)="否",_xlfn.XLOOKUP($A47&amp;$B47&amp;$C47,盘货信息!$A:$A&amp;盘货信息!$B:$B&amp;盘货信息!$C:$C,盘货信息!$L:$L)=""),_xlfn.XLOOKUP($A47&amp;$B47&amp;$C47,盘货信息!$A:$A&amp;盘货信息!$B:$B&amp;盘货信息!$C:$C,盘货信息!$M:$M)="否"),"【预估到手价"&amp;_xlfn.XLOOKUP($A47&amp;$B47&amp;$C47,盘货信息!$A:$A&amp;盘货信息!$B:$B&amp;盘货信息!$C:$C,盘货信息!$D:$D)&amp;"元】",IF(AND(_xlfn.XLOOKUP($A47&amp;$B47&amp;$C47,盘货信息!$A:$A&amp;盘货信息!$B:$B&amp;盘货信息!$C:$C,盘货信息!$M:$M)="是",OR(_xlfn.XLOOKUP($A47&amp;$B47&amp;$C47,盘货信息!$A:$A&amp;盘货信息!$B:$B&amp;盘货信息!$C:$C,盘货信息!$L:$L)="否",_xlfn.XLOOKUP($A47&amp;$B47&amp;$C47,盘货信息!$A:$A&amp;盘货信息!$B:$B&amp;盘货信息!$C:$C,盘货信息!$L:$L)="")),"【预估到手价"&amp;_xlfn.XLOOKUP($A47&amp;$B47&amp;$C47,盘货信息!$A:$A&amp;盘货信息!$B:$B&amp;盘货信息!$C:$C,盘货信息!$D:$D)&amp;"元】"&amp;CHAR(10)&amp;"【焕新补贴预估价"&amp;ROUND(_xlfn.XLOOKUP($A47&amp;$B47&amp;$C47,盘货信息!$A:$A&amp;盘货信息!$B:$B&amp;盘货信息!$C:$C,盘货信息!$E:$E),0)&amp;"元】","【焕新补贴预估价"&amp;ROUND(_xlfn.XLOOKUP($A47&amp;$B47&amp;$C47,盘货信息!$A:$A&amp;盘货信息!$B:$B&amp;盘货信息!$C:$C,盘货信息!$E:$E),0)&amp;"元】")))</f>
        <v/>
      </c>
      <c r="F47" s="27" t="str" cm="1">
        <f t="array" ref="F47">IF($C47="","",_xlfn.XLOOKUP($A47&amp;$B47&amp;$C47,盘货信息!$A:$A&amp;盘货信息!$B:$B&amp;盘货信息!$C:$C,盘货信息!$D:$D)&amp;"元到手价")</f>
        <v/>
      </c>
      <c r="G47" s="27" t="str" cm="1">
        <f t="array" ref="G47">IF($C47="","",IF(_xlfn.XLOOKUP($A47&amp;$B47&amp;$C47,盘货信息!$A:$A&amp;盘货信息!$B:$B&amp;盘货信息!$C:$C,盘货信息!$G:$G)&lt;1,"",ROUND(_xlfn.XLOOKUP($A47&amp;$B47&amp;$C47,盘货信息!$A:$A&amp;盘货信息!$B:$B&amp;盘货信息!$C:$C,盘货信息!$G:$G),0)&amp;"元88VIP立减"))</f>
        <v/>
      </c>
      <c r="H47" s="27" t="str" cm="1">
        <f t="array" ref="H47">IF($C47="","",IF(_xlfn.XLOOKUP($A47&amp;$B47&amp;$C47,盘货信息!$A:$A&amp;盘货信息!$B:$B&amp;盘货信息!$C:$C,盘货信息!$I:$I)&lt;1,"",_xlfn.XLOOKUP($A47&amp;$B47&amp;$C47,盘货信息!$A:$A&amp;盘货信息!$B:$B&amp;盘货信息!$C:$C,盘货信息!$I:$I)&amp;"元惊喜立减"))</f>
        <v/>
      </c>
      <c r="I47" s="27" t="str" cm="1">
        <f t="array" ref="I47">IF($C47="","",IF(_xlfn.XLOOKUP($A47&amp;$B47&amp;$C47,盘货信息!$A:$A&amp;盘货信息!$B:$B&amp;盘货信息!$C:$C,盘货信息!$H:$H)&lt;1,"",ROUND(_xlfn.XLOOKUP($A47&amp;$B47&amp;$C47,盘货信息!$A:$A&amp;盘货信息!$B:$B&amp;盘货信息!$C:$C,盘货信息!$H:$H),0)&amp;"元消费券"))</f>
        <v/>
      </c>
      <c r="J47" s="27" t="str" cm="1">
        <f t="array" ref="J47">IF($C47="","",IF(_xlfn.XLOOKUP($A47&amp;$B47&amp;$C47,盘货信息!$A:$A&amp;盘货信息!$B:$B&amp;盘货信息!$C:$C,盘货信息!$J:$J)&lt;1,"",ROUND(_xlfn.XLOOKUP($A47&amp;$B47&amp;$C47,盘货信息!$A:$A&amp;盘货信息!$B:$B&amp;盘货信息!$C:$C,盘货信息!$J:$J),0)&amp;"元限时补贴"))</f>
        <v/>
      </c>
      <c r="K47" s="27" t="str" cm="1">
        <f t="array" ref="K47">IF($C47="","",IF(_xlfn.XLOOKUP($A47&amp;$B47&amp;$C47,盘货信息!$A:$A&amp;盘货信息!$B:$B&amp;盘货信息!$C:$C,盘货信息!$K:$K)&lt;1,"",ROUND(_xlfn.XLOOKUP($A47&amp;$B47&amp;$C47,盘货信息!$A:$A&amp;盘货信息!$B:$B&amp;盘货信息!$C:$C,盘货信息!$K:$K),0)&amp;"元预估焕新补贴"))</f>
        <v/>
      </c>
      <c r="L47" s="27" t="str" cm="1">
        <f t="array" ref="L47">IF($C47="","",IF(AND(_xlfn.XLOOKUP($A47&amp;$B47&amp;$C47,盘货信息!$A:$A&amp;盘货信息!$B:$B&amp;盘货信息!$C:$C,盘货信息!$L:$L)="是",_xlfn.XLOOKUP($A47&amp;$B47&amp;$C47,盘货信息!$A:$A&amp;盘货信息!$B:$B&amp;盘货信息!$C:$C,盘货信息!$M:$M)="是",_xlfn.XLOOKUP($A47&amp;$B47&amp;$C47,盘货信息!$A:$A&amp;盘货信息!$B:$B&amp;盘货信息!$C:$C,盘货信息!$K:$K)&gt;0),"【全民可用，不限地址】",IF(AND(OR(_xlfn.XLOOKUP($A47&amp;$B47&amp;$C47,盘货信息!$A:$A&amp;盘货信息!$B:$B&amp;盘货信息!$C:$C,盘货信息!$L:$L)="否",_xlfn.XLOOKUP($A47&amp;$B47&amp;$C47,盘货信息!$A:$A&amp;盘货信息!$B:$B&amp;盘货信息!$C:$C,盘货信息!$L:$L)=""),_xlfn.XLOOKUP($A47&amp;$B47&amp;$C47,盘货信息!$A:$A&amp;盘货信息!$B:$B&amp;盘货信息!$C:$C,盘货信息!$M:$M)="是",_xlfn.XLOOKUP($A47&amp;$B47&amp;$C47,盘货信息!$A:$A&amp;盘货信息!$B:$B&amp;盘货信息!$C:$C,盘货信息!$K:$K)&gt;0),"【详情页领取】","")))</f>
        <v/>
      </c>
      <c r="M47" s="27" t="str" cm="1">
        <f t="array" ref="M47">IF($C47="","",IF(_xlfn.XLOOKUP($A47&amp;$B47&amp;$C47,盘货信息!$A:$A&amp;盘货信息!$B:$B&amp;盘货信息!$C:$C,盘货信息!$F:$F)&lt;1,"",_xlfn.XLOOKUP($A47&amp;$B47&amp;$C47,盘货信息!$A:$A&amp;盘货信息!$B:$B&amp;盘货信息!$C:$C,盘货信息!$F:$F)&amp;"元明卷"))</f>
        <v/>
      </c>
      <c r="N47" s="27" t="str">
        <f t="shared" si="1"/>
        <v/>
      </c>
      <c r="O47" s="27" t="str">
        <f>IF(I47="","","【消费券链接】"&amp;固定信息!$B$6)</f>
        <v/>
      </c>
    </row>
    <row r="48" customHeight="1" spans="1:15">
      <c r="A48" s="26" t="str">
        <f>IF(盘货信息!A48="","",盘货信息!A48)</f>
        <v/>
      </c>
      <c r="B48" s="26" t="str">
        <f>IF(盘货信息!B48="","",盘货信息!B48)</f>
        <v/>
      </c>
      <c r="C48" s="27" t="str">
        <f>IF(盘货信息!C48="","",盘货信息!C48)</f>
        <v/>
      </c>
      <c r="D48" s="27" t="str">
        <f t="shared" si="0"/>
        <v/>
      </c>
      <c r="E48" s="27" t="str" cm="1">
        <f t="array" ref="E48">IF($C48="","",IF(AND(OR(_xlfn.XLOOKUP($A48&amp;$B48&amp;$C48,盘货信息!$A:$A&amp;盘货信息!$B:$B&amp;盘货信息!$C:$C,盘货信息!$L:$L)="否",_xlfn.XLOOKUP($A48&amp;$B48&amp;$C48,盘货信息!$A:$A&amp;盘货信息!$B:$B&amp;盘货信息!$C:$C,盘货信息!$L:$L)=""),_xlfn.XLOOKUP($A48&amp;$B48&amp;$C48,盘货信息!$A:$A&amp;盘货信息!$B:$B&amp;盘货信息!$C:$C,盘货信息!$M:$M)="否"),"【预估到手价"&amp;_xlfn.XLOOKUP($A48&amp;$B48&amp;$C48,盘货信息!$A:$A&amp;盘货信息!$B:$B&amp;盘货信息!$C:$C,盘货信息!$D:$D)&amp;"元】",IF(AND(_xlfn.XLOOKUP($A48&amp;$B48&amp;$C48,盘货信息!$A:$A&amp;盘货信息!$B:$B&amp;盘货信息!$C:$C,盘货信息!$M:$M)="是",OR(_xlfn.XLOOKUP($A48&amp;$B48&amp;$C48,盘货信息!$A:$A&amp;盘货信息!$B:$B&amp;盘货信息!$C:$C,盘货信息!$L:$L)="否",_xlfn.XLOOKUP($A48&amp;$B48&amp;$C48,盘货信息!$A:$A&amp;盘货信息!$B:$B&amp;盘货信息!$C:$C,盘货信息!$L:$L)="")),"【预估到手价"&amp;_xlfn.XLOOKUP($A48&amp;$B48&amp;$C48,盘货信息!$A:$A&amp;盘货信息!$B:$B&amp;盘货信息!$C:$C,盘货信息!$D:$D)&amp;"元】"&amp;CHAR(10)&amp;"【焕新补贴预估价"&amp;ROUND(_xlfn.XLOOKUP($A48&amp;$B48&amp;$C48,盘货信息!$A:$A&amp;盘货信息!$B:$B&amp;盘货信息!$C:$C,盘货信息!$E:$E),0)&amp;"元】","【焕新补贴预估价"&amp;ROUND(_xlfn.XLOOKUP($A48&amp;$B48&amp;$C48,盘货信息!$A:$A&amp;盘货信息!$B:$B&amp;盘货信息!$C:$C,盘货信息!$E:$E),0)&amp;"元】")))</f>
        <v/>
      </c>
      <c r="F48" s="27" t="str" cm="1">
        <f t="array" ref="F48">IF($C48="","",_xlfn.XLOOKUP($A48&amp;$B48&amp;$C48,盘货信息!$A:$A&amp;盘货信息!$B:$B&amp;盘货信息!$C:$C,盘货信息!$D:$D)&amp;"元到手价")</f>
        <v/>
      </c>
      <c r="G48" s="27" t="str" cm="1">
        <f t="array" ref="G48">IF($C48="","",IF(_xlfn.XLOOKUP($A48&amp;$B48&amp;$C48,盘货信息!$A:$A&amp;盘货信息!$B:$B&amp;盘货信息!$C:$C,盘货信息!$G:$G)&lt;1,"",ROUND(_xlfn.XLOOKUP($A48&amp;$B48&amp;$C48,盘货信息!$A:$A&amp;盘货信息!$B:$B&amp;盘货信息!$C:$C,盘货信息!$G:$G),0)&amp;"元88VIP立减"))</f>
        <v/>
      </c>
      <c r="H48" s="27" t="str" cm="1">
        <f t="array" ref="H48">IF($C48="","",IF(_xlfn.XLOOKUP($A48&amp;$B48&amp;$C48,盘货信息!$A:$A&amp;盘货信息!$B:$B&amp;盘货信息!$C:$C,盘货信息!$I:$I)&lt;1,"",_xlfn.XLOOKUP($A48&amp;$B48&amp;$C48,盘货信息!$A:$A&amp;盘货信息!$B:$B&amp;盘货信息!$C:$C,盘货信息!$I:$I)&amp;"元惊喜立减"))</f>
        <v/>
      </c>
      <c r="I48" s="27" t="str" cm="1">
        <f t="array" ref="I48">IF($C48="","",IF(_xlfn.XLOOKUP($A48&amp;$B48&amp;$C48,盘货信息!$A:$A&amp;盘货信息!$B:$B&amp;盘货信息!$C:$C,盘货信息!$H:$H)&lt;1,"",ROUND(_xlfn.XLOOKUP($A48&amp;$B48&amp;$C48,盘货信息!$A:$A&amp;盘货信息!$B:$B&amp;盘货信息!$C:$C,盘货信息!$H:$H),0)&amp;"元消费券"))</f>
        <v/>
      </c>
      <c r="J48" s="27" t="str" cm="1">
        <f t="array" ref="J48">IF($C48="","",IF(_xlfn.XLOOKUP($A48&amp;$B48&amp;$C48,盘货信息!$A:$A&amp;盘货信息!$B:$B&amp;盘货信息!$C:$C,盘货信息!$J:$J)&lt;1,"",ROUND(_xlfn.XLOOKUP($A48&amp;$B48&amp;$C48,盘货信息!$A:$A&amp;盘货信息!$B:$B&amp;盘货信息!$C:$C,盘货信息!$J:$J),0)&amp;"元限时补贴"))</f>
        <v/>
      </c>
      <c r="K48" s="27" t="str" cm="1">
        <f t="array" ref="K48">IF($C48="","",IF(_xlfn.XLOOKUP($A48&amp;$B48&amp;$C48,盘货信息!$A:$A&amp;盘货信息!$B:$B&amp;盘货信息!$C:$C,盘货信息!$K:$K)&lt;1,"",ROUND(_xlfn.XLOOKUP($A48&amp;$B48&amp;$C48,盘货信息!$A:$A&amp;盘货信息!$B:$B&amp;盘货信息!$C:$C,盘货信息!$K:$K),0)&amp;"元预估焕新补贴"))</f>
        <v/>
      </c>
      <c r="L48" s="27" t="str" cm="1">
        <f t="array" ref="L48">IF($C48="","",IF(AND(_xlfn.XLOOKUP($A48&amp;$B48&amp;$C48,盘货信息!$A:$A&amp;盘货信息!$B:$B&amp;盘货信息!$C:$C,盘货信息!$L:$L)="是",_xlfn.XLOOKUP($A48&amp;$B48&amp;$C48,盘货信息!$A:$A&amp;盘货信息!$B:$B&amp;盘货信息!$C:$C,盘货信息!$M:$M)="是",_xlfn.XLOOKUP($A48&amp;$B48&amp;$C48,盘货信息!$A:$A&amp;盘货信息!$B:$B&amp;盘货信息!$C:$C,盘货信息!$K:$K)&gt;0),"【全民可用，不限地址】",IF(AND(OR(_xlfn.XLOOKUP($A48&amp;$B48&amp;$C48,盘货信息!$A:$A&amp;盘货信息!$B:$B&amp;盘货信息!$C:$C,盘货信息!$L:$L)="否",_xlfn.XLOOKUP($A48&amp;$B48&amp;$C48,盘货信息!$A:$A&amp;盘货信息!$B:$B&amp;盘货信息!$C:$C,盘货信息!$L:$L)=""),_xlfn.XLOOKUP($A48&amp;$B48&amp;$C48,盘货信息!$A:$A&amp;盘货信息!$B:$B&amp;盘货信息!$C:$C,盘货信息!$M:$M)="是",_xlfn.XLOOKUP($A48&amp;$B48&amp;$C48,盘货信息!$A:$A&amp;盘货信息!$B:$B&amp;盘货信息!$C:$C,盘货信息!$K:$K)&gt;0),"【详情页领取】","")))</f>
        <v/>
      </c>
      <c r="M48" s="27" t="str" cm="1">
        <f t="array" ref="M48">IF($C48="","",IF(_xlfn.XLOOKUP($A48&amp;$B48&amp;$C48,盘货信息!$A:$A&amp;盘货信息!$B:$B&amp;盘货信息!$C:$C,盘货信息!$F:$F)&lt;1,"",_xlfn.XLOOKUP($A48&amp;$B48&amp;$C48,盘货信息!$A:$A&amp;盘货信息!$B:$B&amp;盘货信息!$C:$C,盘货信息!$F:$F)&amp;"元明卷"))</f>
        <v/>
      </c>
      <c r="N48" s="27" t="str">
        <f t="shared" si="1"/>
        <v/>
      </c>
      <c r="O48" s="27" t="str">
        <f>IF(I48="","","【消费券链接】"&amp;固定信息!$B$6)</f>
        <v/>
      </c>
    </row>
    <row r="49" customHeight="1" spans="1:15">
      <c r="A49" s="26" t="str">
        <f>IF(盘货信息!A49="","",盘货信息!A49)</f>
        <v/>
      </c>
      <c r="B49" s="26" t="str">
        <f>IF(盘货信息!B49="","",盘货信息!B49)</f>
        <v/>
      </c>
      <c r="C49" s="27" t="str">
        <f>IF(盘货信息!C49="","",盘货信息!C49)</f>
        <v/>
      </c>
      <c r="D49" s="27" t="str">
        <f t="shared" si="0"/>
        <v/>
      </c>
      <c r="E49" s="27" t="str" cm="1">
        <f t="array" ref="E49">IF($C49="","",IF(AND(OR(_xlfn.XLOOKUP($A49&amp;$B49&amp;$C49,盘货信息!$A:$A&amp;盘货信息!$B:$B&amp;盘货信息!$C:$C,盘货信息!$L:$L)="否",_xlfn.XLOOKUP($A49&amp;$B49&amp;$C49,盘货信息!$A:$A&amp;盘货信息!$B:$B&amp;盘货信息!$C:$C,盘货信息!$L:$L)=""),_xlfn.XLOOKUP($A49&amp;$B49&amp;$C49,盘货信息!$A:$A&amp;盘货信息!$B:$B&amp;盘货信息!$C:$C,盘货信息!$M:$M)="否"),"【预估到手价"&amp;_xlfn.XLOOKUP($A49&amp;$B49&amp;$C49,盘货信息!$A:$A&amp;盘货信息!$B:$B&amp;盘货信息!$C:$C,盘货信息!$D:$D)&amp;"元】",IF(AND(_xlfn.XLOOKUP($A49&amp;$B49&amp;$C49,盘货信息!$A:$A&amp;盘货信息!$B:$B&amp;盘货信息!$C:$C,盘货信息!$M:$M)="是",OR(_xlfn.XLOOKUP($A49&amp;$B49&amp;$C49,盘货信息!$A:$A&amp;盘货信息!$B:$B&amp;盘货信息!$C:$C,盘货信息!$L:$L)="否",_xlfn.XLOOKUP($A49&amp;$B49&amp;$C49,盘货信息!$A:$A&amp;盘货信息!$B:$B&amp;盘货信息!$C:$C,盘货信息!$L:$L)="")),"【预估到手价"&amp;_xlfn.XLOOKUP($A49&amp;$B49&amp;$C49,盘货信息!$A:$A&amp;盘货信息!$B:$B&amp;盘货信息!$C:$C,盘货信息!$D:$D)&amp;"元】"&amp;CHAR(10)&amp;"【焕新补贴预估价"&amp;ROUND(_xlfn.XLOOKUP($A49&amp;$B49&amp;$C49,盘货信息!$A:$A&amp;盘货信息!$B:$B&amp;盘货信息!$C:$C,盘货信息!$E:$E),0)&amp;"元】","【焕新补贴预估价"&amp;ROUND(_xlfn.XLOOKUP($A49&amp;$B49&amp;$C49,盘货信息!$A:$A&amp;盘货信息!$B:$B&amp;盘货信息!$C:$C,盘货信息!$E:$E),0)&amp;"元】")))</f>
        <v/>
      </c>
      <c r="F49" s="27" t="str" cm="1">
        <f t="array" ref="F49">IF($C49="","",_xlfn.XLOOKUP($A49&amp;$B49&amp;$C49,盘货信息!$A:$A&amp;盘货信息!$B:$B&amp;盘货信息!$C:$C,盘货信息!$D:$D)&amp;"元到手价")</f>
        <v/>
      </c>
      <c r="G49" s="27" t="str" cm="1">
        <f t="array" ref="G49">IF($C49="","",IF(_xlfn.XLOOKUP($A49&amp;$B49&amp;$C49,盘货信息!$A:$A&amp;盘货信息!$B:$B&amp;盘货信息!$C:$C,盘货信息!$G:$G)&lt;1,"",ROUND(_xlfn.XLOOKUP($A49&amp;$B49&amp;$C49,盘货信息!$A:$A&amp;盘货信息!$B:$B&amp;盘货信息!$C:$C,盘货信息!$G:$G),0)&amp;"元88VIP立减"))</f>
        <v/>
      </c>
      <c r="H49" s="27" t="str" cm="1">
        <f t="array" ref="H49">IF($C49="","",IF(_xlfn.XLOOKUP($A49&amp;$B49&amp;$C49,盘货信息!$A:$A&amp;盘货信息!$B:$B&amp;盘货信息!$C:$C,盘货信息!$I:$I)&lt;1,"",_xlfn.XLOOKUP($A49&amp;$B49&amp;$C49,盘货信息!$A:$A&amp;盘货信息!$B:$B&amp;盘货信息!$C:$C,盘货信息!$I:$I)&amp;"元惊喜立减"))</f>
        <v/>
      </c>
      <c r="I49" s="27" t="str" cm="1">
        <f t="array" ref="I49">IF($C49="","",IF(_xlfn.XLOOKUP($A49&amp;$B49&amp;$C49,盘货信息!$A:$A&amp;盘货信息!$B:$B&amp;盘货信息!$C:$C,盘货信息!$H:$H)&lt;1,"",ROUND(_xlfn.XLOOKUP($A49&amp;$B49&amp;$C49,盘货信息!$A:$A&amp;盘货信息!$B:$B&amp;盘货信息!$C:$C,盘货信息!$H:$H),0)&amp;"元消费券"))</f>
        <v/>
      </c>
      <c r="J49" s="27" t="str" cm="1">
        <f t="array" ref="J49">IF($C49="","",IF(_xlfn.XLOOKUP($A49&amp;$B49&amp;$C49,盘货信息!$A:$A&amp;盘货信息!$B:$B&amp;盘货信息!$C:$C,盘货信息!$J:$J)&lt;1,"",ROUND(_xlfn.XLOOKUP($A49&amp;$B49&amp;$C49,盘货信息!$A:$A&amp;盘货信息!$B:$B&amp;盘货信息!$C:$C,盘货信息!$J:$J),0)&amp;"元限时补贴"))</f>
        <v/>
      </c>
      <c r="K49" s="27" t="str" cm="1">
        <f t="array" ref="K49">IF($C49="","",IF(_xlfn.XLOOKUP($A49&amp;$B49&amp;$C49,盘货信息!$A:$A&amp;盘货信息!$B:$B&amp;盘货信息!$C:$C,盘货信息!$K:$K)&lt;1,"",ROUND(_xlfn.XLOOKUP($A49&amp;$B49&amp;$C49,盘货信息!$A:$A&amp;盘货信息!$B:$B&amp;盘货信息!$C:$C,盘货信息!$K:$K),0)&amp;"元预估焕新补贴"))</f>
        <v/>
      </c>
      <c r="L49" s="27" t="str" cm="1">
        <f t="array" ref="L49">IF($C49="","",IF(AND(_xlfn.XLOOKUP($A49&amp;$B49&amp;$C49,盘货信息!$A:$A&amp;盘货信息!$B:$B&amp;盘货信息!$C:$C,盘货信息!$L:$L)="是",_xlfn.XLOOKUP($A49&amp;$B49&amp;$C49,盘货信息!$A:$A&amp;盘货信息!$B:$B&amp;盘货信息!$C:$C,盘货信息!$M:$M)="是",_xlfn.XLOOKUP($A49&amp;$B49&amp;$C49,盘货信息!$A:$A&amp;盘货信息!$B:$B&amp;盘货信息!$C:$C,盘货信息!$K:$K)&gt;0),"【全民可用，不限地址】",IF(AND(OR(_xlfn.XLOOKUP($A49&amp;$B49&amp;$C49,盘货信息!$A:$A&amp;盘货信息!$B:$B&amp;盘货信息!$C:$C,盘货信息!$L:$L)="否",_xlfn.XLOOKUP($A49&amp;$B49&amp;$C49,盘货信息!$A:$A&amp;盘货信息!$B:$B&amp;盘货信息!$C:$C,盘货信息!$L:$L)=""),_xlfn.XLOOKUP($A49&amp;$B49&amp;$C49,盘货信息!$A:$A&amp;盘货信息!$B:$B&amp;盘货信息!$C:$C,盘货信息!$M:$M)="是",_xlfn.XLOOKUP($A49&amp;$B49&amp;$C49,盘货信息!$A:$A&amp;盘货信息!$B:$B&amp;盘货信息!$C:$C,盘货信息!$K:$K)&gt;0),"【详情页领取】","")))</f>
        <v/>
      </c>
      <c r="M49" s="27" t="str" cm="1">
        <f t="array" ref="M49">IF($C49="","",IF(_xlfn.XLOOKUP($A49&amp;$B49&amp;$C49,盘货信息!$A:$A&amp;盘货信息!$B:$B&amp;盘货信息!$C:$C,盘货信息!$F:$F)&lt;1,"",_xlfn.XLOOKUP($A49&amp;$B49&amp;$C49,盘货信息!$A:$A&amp;盘货信息!$B:$B&amp;盘货信息!$C:$C,盘货信息!$F:$F)&amp;"元明卷"))</f>
        <v/>
      </c>
      <c r="N49" s="27" t="str">
        <f t="shared" si="1"/>
        <v/>
      </c>
      <c r="O49" s="27" t="str">
        <f>IF(I49="","","【消费券链接】"&amp;固定信息!$B$6)</f>
        <v/>
      </c>
    </row>
    <row r="50" customHeight="1" spans="1:15">
      <c r="A50" s="26" t="str">
        <f>IF(盘货信息!A50="","",盘货信息!A50)</f>
        <v/>
      </c>
      <c r="B50" s="26" t="str">
        <f>IF(盘货信息!B50="","",盘货信息!B50)</f>
        <v/>
      </c>
      <c r="C50" s="27" t="str">
        <f>IF(盘货信息!C50="","",盘货信息!C50)</f>
        <v/>
      </c>
      <c r="D50" s="27" t="str">
        <f t="shared" si="0"/>
        <v/>
      </c>
      <c r="E50" s="27" t="str" cm="1">
        <f t="array" ref="E50">IF($C50="","",IF(AND(OR(_xlfn.XLOOKUP($A50&amp;$B50&amp;$C50,盘货信息!$A:$A&amp;盘货信息!$B:$B&amp;盘货信息!$C:$C,盘货信息!$L:$L)="否",_xlfn.XLOOKUP($A50&amp;$B50&amp;$C50,盘货信息!$A:$A&amp;盘货信息!$B:$B&amp;盘货信息!$C:$C,盘货信息!$L:$L)=""),_xlfn.XLOOKUP($A50&amp;$B50&amp;$C50,盘货信息!$A:$A&amp;盘货信息!$B:$B&amp;盘货信息!$C:$C,盘货信息!$M:$M)="否"),"【预估到手价"&amp;_xlfn.XLOOKUP($A50&amp;$B50&amp;$C50,盘货信息!$A:$A&amp;盘货信息!$B:$B&amp;盘货信息!$C:$C,盘货信息!$D:$D)&amp;"元】",IF(AND(_xlfn.XLOOKUP($A50&amp;$B50&amp;$C50,盘货信息!$A:$A&amp;盘货信息!$B:$B&amp;盘货信息!$C:$C,盘货信息!$M:$M)="是",OR(_xlfn.XLOOKUP($A50&amp;$B50&amp;$C50,盘货信息!$A:$A&amp;盘货信息!$B:$B&amp;盘货信息!$C:$C,盘货信息!$L:$L)="否",_xlfn.XLOOKUP($A50&amp;$B50&amp;$C50,盘货信息!$A:$A&amp;盘货信息!$B:$B&amp;盘货信息!$C:$C,盘货信息!$L:$L)="")),"【预估到手价"&amp;_xlfn.XLOOKUP($A50&amp;$B50&amp;$C50,盘货信息!$A:$A&amp;盘货信息!$B:$B&amp;盘货信息!$C:$C,盘货信息!$D:$D)&amp;"元】"&amp;CHAR(10)&amp;"【焕新补贴预估价"&amp;ROUND(_xlfn.XLOOKUP($A50&amp;$B50&amp;$C50,盘货信息!$A:$A&amp;盘货信息!$B:$B&amp;盘货信息!$C:$C,盘货信息!$E:$E),0)&amp;"元】","【焕新补贴预估价"&amp;ROUND(_xlfn.XLOOKUP($A50&amp;$B50&amp;$C50,盘货信息!$A:$A&amp;盘货信息!$B:$B&amp;盘货信息!$C:$C,盘货信息!$E:$E),0)&amp;"元】")))</f>
        <v/>
      </c>
      <c r="F50" s="27" t="str" cm="1">
        <f t="array" ref="F50">IF($C50="","",_xlfn.XLOOKUP($A50&amp;$B50&amp;$C50,盘货信息!$A:$A&amp;盘货信息!$B:$B&amp;盘货信息!$C:$C,盘货信息!$D:$D)&amp;"元到手价")</f>
        <v/>
      </c>
      <c r="G50" s="27" t="str" cm="1">
        <f t="array" ref="G50">IF($C50="","",IF(_xlfn.XLOOKUP($A50&amp;$B50&amp;$C50,盘货信息!$A:$A&amp;盘货信息!$B:$B&amp;盘货信息!$C:$C,盘货信息!$G:$G)&lt;1,"",ROUND(_xlfn.XLOOKUP($A50&amp;$B50&amp;$C50,盘货信息!$A:$A&amp;盘货信息!$B:$B&amp;盘货信息!$C:$C,盘货信息!$G:$G),0)&amp;"元88VIP立减"))</f>
        <v/>
      </c>
      <c r="H50" s="27" t="str" cm="1">
        <f t="array" ref="H50">IF($C50="","",IF(_xlfn.XLOOKUP($A50&amp;$B50&amp;$C50,盘货信息!$A:$A&amp;盘货信息!$B:$B&amp;盘货信息!$C:$C,盘货信息!$I:$I)&lt;1,"",_xlfn.XLOOKUP($A50&amp;$B50&amp;$C50,盘货信息!$A:$A&amp;盘货信息!$B:$B&amp;盘货信息!$C:$C,盘货信息!$I:$I)&amp;"元惊喜立减"))</f>
        <v/>
      </c>
      <c r="I50" s="27" t="str" cm="1">
        <f t="array" ref="I50">IF($C50="","",IF(_xlfn.XLOOKUP($A50&amp;$B50&amp;$C50,盘货信息!$A:$A&amp;盘货信息!$B:$B&amp;盘货信息!$C:$C,盘货信息!$H:$H)&lt;1,"",ROUND(_xlfn.XLOOKUP($A50&amp;$B50&amp;$C50,盘货信息!$A:$A&amp;盘货信息!$B:$B&amp;盘货信息!$C:$C,盘货信息!$H:$H),0)&amp;"元消费券"))</f>
        <v/>
      </c>
      <c r="J50" s="27" t="str" cm="1">
        <f t="array" ref="J50">IF($C50="","",IF(_xlfn.XLOOKUP($A50&amp;$B50&amp;$C50,盘货信息!$A:$A&amp;盘货信息!$B:$B&amp;盘货信息!$C:$C,盘货信息!$J:$J)&lt;1,"",ROUND(_xlfn.XLOOKUP($A50&amp;$B50&amp;$C50,盘货信息!$A:$A&amp;盘货信息!$B:$B&amp;盘货信息!$C:$C,盘货信息!$J:$J),0)&amp;"元限时补贴"))</f>
        <v/>
      </c>
      <c r="K50" s="27" t="str" cm="1">
        <f t="array" ref="K50">IF($C50="","",IF(_xlfn.XLOOKUP($A50&amp;$B50&amp;$C50,盘货信息!$A:$A&amp;盘货信息!$B:$B&amp;盘货信息!$C:$C,盘货信息!$K:$K)&lt;1,"",ROUND(_xlfn.XLOOKUP($A50&amp;$B50&amp;$C50,盘货信息!$A:$A&amp;盘货信息!$B:$B&amp;盘货信息!$C:$C,盘货信息!$K:$K),0)&amp;"元预估焕新补贴"))</f>
        <v/>
      </c>
      <c r="L50" s="27" t="str" cm="1">
        <f t="array" ref="L50">IF($C50="","",IF(AND(_xlfn.XLOOKUP($A50&amp;$B50&amp;$C50,盘货信息!$A:$A&amp;盘货信息!$B:$B&amp;盘货信息!$C:$C,盘货信息!$L:$L)="是",_xlfn.XLOOKUP($A50&amp;$B50&amp;$C50,盘货信息!$A:$A&amp;盘货信息!$B:$B&amp;盘货信息!$C:$C,盘货信息!$M:$M)="是",_xlfn.XLOOKUP($A50&amp;$B50&amp;$C50,盘货信息!$A:$A&amp;盘货信息!$B:$B&amp;盘货信息!$C:$C,盘货信息!$K:$K)&gt;0),"【全民可用，不限地址】",IF(AND(OR(_xlfn.XLOOKUP($A50&amp;$B50&amp;$C50,盘货信息!$A:$A&amp;盘货信息!$B:$B&amp;盘货信息!$C:$C,盘货信息!$L:$L)="否",_xlfn.XLOOKUP($A50&amp;$B50&amp;$C50,盘货信息!$A:$A&amp;盘货信息!$B:$B&amp;盘货信息!$C:$C,盘货信息!$L:$L)=""),_xlfn.XLOOKUP($A50&amp;$B50&amp;$C50,盘货信息!$A:$A&amp;盘货信息!$B:$B&amp;盘货信息!$C:$C,盘货信息!$M:$M)="是",_xlfn.XLOOKUP($A50&amp;$B50&amp;$C50,盘货信息!$A:$A&amp;盘货信息!$B:$B&amp;盘货信息!$C:$C,盘货信息!$K:$K)&gt;0),"【详情页领取】","")))</f>
        <v/>
      </c>
      <c r="M50" s="27" t="str" cm="1">
        <f t="array" ref="M50">IF($C50="","",IF(_xlfn.XLOOKUP($A50&amp;$B50&amp;$C50,盘货信息!$A:$A&amp;盘货信息!$B:$B&amp;盘货信息!$C:$C,盘货信息!$F:$F)&lt;1,"",_xlfn.XLOOKUP($A50&amp;$B50&amp;$C50,盘货信息!$A:$A&amp;盘货信息!$B:$B&amp;盘货信息!$C:$C,盘货信息!$F:$F)&amp;"元明卷"))</f>
        <v/>
      </c>
      <c r="N50" s="27" t="str">
        <f t="shared" si="1"/>
        <v/>
      </c>
      <c r="O50" s="27" t="str">
        <f>IF(I50="","","【消费券链接】"&amp;固定信息!$B$6)</f>
        <v/>
      </c>
    </row>
    <row r="51" customHeight="1" spans="1:15">
      <c r="A51" s="26" t="str">
        <f>IF(盘货信息!A51="","",盘货信息!A51)</f>
        <v/>
      </c>
      <c r="B51" s="26" t="str">
        <f>IF(盘货信息!B51="","",盘货信息!B51)</f>
        <v/>
      </c>
      <c r="C51" s="27" t="str">
        <f>IF(盘货信息!C51="","",盘货信息!C51)</f>
        <v/>
      </c>
      <c r="D51" s="27" t="str">
        <f t="shared" si="0"/>
        <v/>
      </c>
      <c r="E51" s="27" t="str" cm="1">
        <f t="array" ref="E51">IF($C51="","",IF(AND(OR(_xlfn.XLOOKUP($A51&amp;$B51&amp;$C51,盘货信息!$A:$A&amp;盘货信息!$B:$B&amp;盘货信息!$C:$C,盘货信息!$L:$L)="否",_xlfn.XLOOKUP($A51&amp;$B51&amp;$C51,盘货信息!$A:$A&amp;盘货信息!$B:$B&amp;盘货信息!$C:$C,盘货信息!$L:$L)=""),_xlfn.XLOOKUP($A51&amp;$B51&amp;$C51,盘货信息!$A:$A&amp;盘货信息!$B:$B&amp;盘货信息!$C:$C,盘货信息!$M:$M)="否"),"【预估到手价"&amp;_xlfn.XLOOKUP($A51&amp;$B51&amp;$C51,盘货信息!$A:$A&amp;盘货信息!$B:$B&amp;盘货信息!$C:$C,盘货信息!$D:$D)&amp;"元】",IF(AND(_xlfn.XLOOKUP($A51&amp;$B51&amp;$C51,盘货信息!$A:$A&amp;盘货信息!$B:$B&amp;盘货信息!$C:$C,盘货信息!$M:$M)="是",OR(_xlfn.XLOOKUP($A51&amp;$B51&amp;$C51,盘货信息!$A:$A&amp;盘货信息!$B:$B&amp;盘货信息!$C:$C,盘货信息!$L:$L)="否",_xlfn.XLOOKUP($A51&amp;$B51&amp;$C51,盘货信息!$A:$A&amp;盘货信息!$B:$B&amp;盘货信息!$C:$C,盘货信息!$L:$L)="")),"【预估到手价"&amp;_xlfn.XLOOKUP($A51&amp;$B51&amp;$C51,盘货信息!$A:$A&amp;盘货信息!$B:$B&amp;盘货信息!$C:$C,盘货信息!$D:$D)&amp;"元】"&amp;CHAR(10)&amp;"【焕新补贴预估价"&amp;ROUND(_xlfn.XLOOKUP($A51&amp;$B51&amp;$C51,盘货信息!$A:$A&amp;盘货信息!$B:$B&amp;盘货信息!$C:$C,盘货信息!$E:$E),0)&amp;"元】","【焕新补贴预估价"&amp;ROUND(_xlfn.XLOOKUP($A51&amp;$B51&amp;$C51,盘货信息!$A:$A&amp;盘货信息!$B:$B&amp;盘货信息!$C:$C,盘货信息!$E:$E),0)&amp;"元】")))</f>
        <v/>
      </c>
      <c r="F51" s="27" t="str" cm="1">
        <f t="array" ref="F51">IF($C51="","",_xlfn.XLOOKUP($A51&amp;$B51&amp;$C51,盘货信息!$A:$A&amp;盘货信息!$B:$B&amp;盘货信息!$C:$C,盘货信息!$D:$D)&amp;"元到手价")</f>
        <v/>
      </c>
      <c r="G51" s="27" t="str" cm="1">
        <f t="array" ref="G51">IF($C51="","",IF(_xlfn.XLOOKUP($A51&amp;$B51&amp;$C51,盘货信息!$A:$A&amp;盘货信息!$B:$B&amp;盘货信息!$C:$C,盘货信息!$G:$G)&lt;1,"",ROUND(_xlfn.XLOOKUP($A51&amp;$B51&amp;$C51,盘货信息!$A:$A&amp;盘货信息!$B:$B&amp;盘货信息!$C:$C,盘货信息!$G:$G),0)&amp;"元88VIP立减"))</f>
        <v/>
      </c>
      <c r="H51" s="27" t="str" cm="1">
        <f t="array" ref="H51">IF($C51="","",IF(_xlfn.XLOOKUP($A51&amp;$B51&amp;$C51,盘货信息!$A:$A&amp;盘货信息!$B:$B&amp;盘货信息!$C:$C,盘货信息!$I:$I)&lt;1,"",_xlfn.XLOOKUP($A51&amp;$B51&amp;$C51,盘货信息!$A:$A&amp;盘货信息!$B:$B&amp;盘货信息!$C:$C,盘货信息!$I:$I)&amp;"元惊喜立减"))</f>
        <v/>
      </c>
      <c r="I51" s="27" t="str" cm="1">
        <f t="array" ref="I51">IF($C51="","",IF(_xlfn.XLOOKUP($A51&amp;$B51&amp;$C51,盘货信息!$A:$A&amp;盘货信息!$B:$B&amp;盘货信息!$C:$C,盘货信息!$H:$H)&lt;1,"",ROUND(_xlfn.XLOOKUP($A51&amp;$B51&amp;$C51,盘货信息!$A:$A&amp;盘货信息!$B:$B&amp;盘货信息!$C:$C,盘货信息!$H:$H),0)&amp;"元消费券"))</f>
        <v/>
      </c>
      <c r="J51" s="27" t="str" cm="1">
        <f t="array" ref="J51">IF($C51="","",IF(_xlfn.XLOOKUP($A51&amp;$B51&amp;$C51,盘货信息!$A:$A&amp;盘货信息!$B:$B&amp;盘货信息!$C:$C,盘货信息!$J:$J)&lt;1,"",ROUND(_xlfn.XLOOKUP($A51&amp;$B51&amp;$C51,盘货信息!$A:$A&amp;盘货信息!$B:$B&amp;盘货信息!$C:$C,盘货信息!$J:$J),0)&amp;"元限时补贴"))</f>
        <v/>
      </c>
      <c r="K51" s="27" t="str" cm="1">
        <f t="array" ref="K51">IF($C51="","",IF(_xlfn.XLOOKUP($A51&amp;$B51&amp;$C51,盘货信息!$A:$A&amp;盘货信息!$B:$B&amp;盘货信息!$C:$C,盘货信息!$K:$K)&lt;1,"",ROUND(_xlfn.XLOOKUP($A51&amp;$B51&amp;$C51,盘货信息!$A:$A&amp;盘货信息!$B:$B&amp;盘货信息!$C:$C,盘货信息!$K:$K),0)&amp;"元预估焕新补贴"))</f>
        <v/>
      </c>
      <c r="L51" s="27" t="str" cm="1">
        <f t="array" ref="L51">IF($C51="","",IF(AND(_xlfn.XLOOKUP($A51&amp;$B51&amp;$C51,盘货信息!$A:$A&amp;盘货信息!$B:$B&amp;盘货信息!$C:$C,盘货信息!$L:$L)="是",_xlfn.XLOOKUP($A51&amp;$B51&amp;$C51,盘货信息!$A:$A&amp;盘货信息!$B:$B&amp;盘货信息!$C:$C,盘货信息!$M:$M)="是",_xlfn.XLOOKUP($A51&amp;$B51&amp;$C51,盘货信息!$A:$A&amp;盘货信息!$B:$B&amp;盘货信息!$C:$C,盘货信息!$K:$K)&gt;0),"【全民可用，不限地址】",IF(AND(OR(_xlfn.XLOOKUP($A51&amp;$B51&amp;$C51,盘货信息!$A:$A&amp;盘货信息!$B:$B&amp;盘货信息!$C:$C,盘货信息!$L:$L)="否",_xlfn.XLOOKUP($A51&amp;$B51&amp;$C51,盘货信息!$A:$A&amp;盘货信息!$B:$B&amp;盘货信息!$C:$C,盘货信息!$L:$L)=""),_xlfn.XLOOKUP($A51&amp;$B51&amp;$C51,盘货信息!$A:$A&amp;盘货信息!$B:$B&amp;盘货信息!$C:$C,盘货信息!$M:$M)="是",_xlfn.XLOOKUP($A51&amp;$B51&amp;$C51,盘货信息!$A:$A&amp;盘货信息!$B:$B&amp;盘货信息!$C:$C,盘货信息!$K:$K)&gt;0),"【详情页领取】","")))</f>
        <v/>
      </c>
      <c r="M51" s="27" t="str" cm="1">
        <f t="array" ref="M51">IF($C51="","",IF(_xlfn.XLOOKUP($A51&amp;$B51&amp;$C51,盘货信息!$A:$A&amp;盘货信息!$B:$B&amp;盘货信息!$C:$C,盘货信息!$F:$F)&lt;1,"",_xlfn.XLOOKUP($A51&amp;$B51&amp;$C51,盘货信息!$A:$A&amp;盘货信息!$B:$B&amp;盘货信息!$C:$C,盘货信息!$F:$F)&amp;"元明卷"))</f>
        <v/>
      </c>
      <c r="N51" s="27" t="str">
        <f t="shared" si="1"/>
        <v/>
      </c>
      <c r="O51" s="27" t="str">
        <f>IF(I51="","","【消费券链接】"&amp;固定信息!$B$6)</f>
        <v/>
      </c>
    </row>
    <row r="52" customHeight="1" spans="1:15">
      <c r="A52" s="26" t="str">
        <f>IF(盘货信息!A52="","",盘货信息!A52)</f>
        <v/>
      </c>
      <c r="B52" s="26" t="str">
        <f>IF(盘货信息!B52="","",盘货信息!B52)</f>
        <v/>
      </c>
      <c r="C52" s="27" t="str">
        <f>IF(盘货信息!C52="","",盘货信息!C52)</f>
        <v/>
      </c>
      <c r="D52" s="27" t="str">
        <f t="shared" si="0"/>
        <v/>
      </c>
      <c r="E52" s="27" t="str" cm="1">
        <f t="array" ref="E52">IF($C52="","",IF(AND(OR(_xlfn.XLOOKUP($A52&amp;$B52&amp;$C52,盘货信息!$A:$A&amp;盘货信息!$B:$B&amp;盘货信息!$C:$C,盘货信息!$L:$L)="否",_xlfn.XLOOKUP($A52&amp;$B52&amp;$C52,盘货信息!$A:$A&amp;盘货信息!$B:$B&amp;盘货信息!$C:$C,盘货信息!$L:$L)=""),_xlfn.XLOOKUP($A52&amp;$B52&amp;$C52,盘货信息!$A:$A&amp;盘货信息!$B:$B&amp;盘货信息!$C:$C,盘货信息!$M:$M)="否"),"【预估到手价"&amp;_xlfn.XLOOKUP($A52&amp;$B52&amp;$C52,盘货信息!$A:$A&amp;盘货信息!$B:$B&amp;盘货信息!$C:$C,盘货信息!$D:$D)&amp;"元】",IF(AND(_xlfn.XLOOKUP($A52&amp;$B52&amp;$C52,盘货信息!$A:$A&amp;盘货信息!$B:$B&amp;盘货信息!$C:$C,盘货信息!$M:$M)="是",OR(_xlfn.XLOOKUP($A52&amp;$B52&amp;$C52,盘货信息!$A:$A&amp;盘货信息!$B:$B&amp;盘货信息!$C:$C,盘货信息!$L:$L)="否",_xlfn.XLOOKUP($A52&amp;$B52&amp;$C52,盘货信息!$A:$A&amp;盘货信息!$B:$B&amp;盘货信息!$C:$C,盘货信息!$L:$L)="")),"【预估到手价"&amp;_xlfn.XLOOKUP($A52&amp;$B52&amp;$C52,盘货信息!$A:$A&amp;盘货信息!$B:$B&amp;盘货信息!$C:$C,盘货信息!$D:$D)&amp;"元】"&amp;CHAR(10)&amp;"【焕新补贴预估价"&amp;ROUND(_xlfn.XLOOKUP($A52&amp;$B52&amp;$C52,盘货信息!$A:$A&amp;盘货信息!$B:$B&amp;盘货信息!$C:$C,盘货信息!$E:$E),0)&amp;"元】","【焕新补贴预估价"&amp;ROUND(_xlfn.XLOOKUP($A52&amp;$B52&amp;$C52,盘货信息!$A:$A&amp;盘货信息!$B:$B&amp;盘货信息!$C:$C,盘货信息!$E:$E),0)&amp;"元】")))</f>
        <v/>
      </c>
      <c r="F52" s="27" t="str" cm="1">
        <f t="array" ref="F52">IF($C52="","",_xlfn.XLOOKUP($A52&amp;$B52&amp;$C52,盘货信息!$A:$A&amp;盘货信息!$B:$B&amp;盘货信息!$C:$C,盘货信息!$D:$D)&amp;"元到手价")</f>
        <v/>
      </c>
      <c r="G52" s="27" t="str" cm="1">
        <f t="array" ref="G52">IF($C52="","",IF(_xlfn.XLOOKUP($A52&amp;$B52&amp;$C52,盘货信息!$A:$A&amp;盘货信息!$B:$B&amp;盘货信息!$C:$C,盘货信息!$G:$G)&lt;1,"",ROUND(_xlfn.XLOOKUP($A52&amp;$B52&amp;$C52,盘货信息!$A:$A&amp;盘货信息!$B:$B&amp;盘货信息!$C:$C,盘货信息!$G:$G),0)&amp;"元88VIP立减"))</f>
        <v/>
      </c>
      <c r="H52" s="27" t="str" cm="1">
        <f t="array" ref="H52">IF($C52="","",IF(_xlfn.XLOOKUP($A52&amp;$B52&amp;$C52,盘货信息!$A:$A&amp;盘货信息!$B:$B&amp;盘货信息!$C:$C,盘货信息!$I:$I)&lt;1,"",_xlfn.XLOOKUP($A52&amp;$B52&amp;$C52,盘货信息!$A:$A&amp;盘货信息!$B:$B&amp;盘货信息!$C:$C,盘货信息!$I:$I)&amp;"元惊喜立减"))</f>
        <v/>
      </c>
      <c r="I52" s="27" t="str" cm="1">
        <f t="array" ref="I52">IF($C52="","",IF(_xlfn.XLOOKUP($A52&amp;$B52&amp;$C52,盘货信息!$A:$A&amp;盘货信息!$B:$B&amp;盘货信息!$C:$C,盘货信息!$H:$H)&lt;1,"",ROUND(_xlfn.XLOOKUP($A52&amp;$B52&amp;$C52,盘货信息!$A:$A&amp;盘货信息!$B:$B&amp;盘货信息!$C:$C,盘货信息!$H:$H),0)&amp;"元消费券"))</f>
        <v/>
      </c>
      <c r="J52" s="27" t="str" cm="1">
        <f t="array" ref="J52">IF($C52="","",IF(_xlfn.XLOOKUP($A52&amp;$B52&amp;$C52,盘货信息!$A:$A&amp;盘货信息!$B:$B&amp;盘货信息!$C:$C,盘货信息!$J:$J)&lt;1,"",ROUND(_xlfn.XLOOKUP($A52&amp;$B52&amp;$C52,盘货信息!$A:$A&amp;盘货信息!$B:$B&amp;盘货信息!$C:$C,盘货信息!$J:$J),0)&amp;"元限时补贴"))</f>
        <v/>
      </c>
      <c r="K52" s="27" t="str" cm="1">
        <f t="array" ref="K52">IF($C52="","",IF(_xlfn.XLOOKUP($A52&amp;$B52&amp;$C52,盘货信息!$A:$A&amp;盘货信息!$B:$B&amp;盘货信息!$C:$C,盘货信息!$K:$K)&lt;1,"",ROUND(_xlfn.XLOOKUP($A52&amp;$B52&amp;$C52,盘货信息!$A:$A&amp;盘货信息!$B:$B&amp;盘货信息!$C:$C,盘货信息!$K:$K),0)&amp;"元预估焕新补贴"))</f>
        <v/>
      </c>
      <c r="L52" s="27" t="str" cm="1">
        <f t="array" ref="L52">IF($C52="","",IF(AND(_xlfn.XLOOKUP($A52&amp;$B52&amp;$C52,盘货信息!$A:$A&amp;盘货信息!$B:$B&amp;盘货信息!$C:$C,盘货信息!$L:$L)="是",_xlfn.XLOOKUP($A52&amp;$B52&amp;$C52,盘货信息!$A:$A&amp;盘货信息!$B:$B&amp;盘货信息!$C:$C,盘货信息!$M:$M)="是",_xlfn.XLOOKUP($A52&amp;$B52&amp;$C52,盘货信息!$A:$A&amp;盘货信息!$B:$B&amp;盘货信息!$C:$C,盘货信息!$K:$K)&gt;0),"【全民可用，不限地址】",IF(AND(OR(_xlfn.XLOOKUP($A52&amp;$B52&amp;$C52,盘货信息!$A:$A&amp;盘货信息!$B:$B&amp;盘货信息!$C:$C,盘货信息!$L:$L)="否",_xlfn.XLOOKUP($A52&amp;$B52&amp;$C52,盘货信息!$A:$A&amp;盘货信息!$B:$B&amp;盘货信息!$C:$C,盘货信息!$L:$L)=""),_xlfn.XLOOKUP($A52&amp;$B52&amp;$C52,盘货信息!$A:$A&amp;盘货信息!$B:$B&amp;盘货信息!$C:$C,盘货信息!$M:$M)="是",_xlfn.XLOOKUP($A52&amp;$B52&amp;$C52,盘货信息!$A:$A&amp;盘货信息!$B:$B&amp;盘货信息!$C:$C,盘货信息!$K:$K)&gt;0),"【详情页领取】","")))</f>
        <v/>
      </c>
      <c r="M52" s="27" t="str" cm="1">
        <f t="array" ref="M52">IF($C52="","",IF(_xlfn.XLOOKUP($A52&amp;$B52&amp;$C52,盘货信息!$A:$A&amp;盘货信息!$B:$B&amp;盘货信息!$C:$C,盘货信息!$F:$F)&lt;1,"",_xlfn.XLOOKUP($A52&amp;$B52&amp;$C52,盘货信息!$A:$A&amp;盘货信息!$B:$B&amp;盘货信息!$C:$C,盘货信息!$F:$F)&amp;"元明卷"))</f>
        <v/>
      </c>
      <c r="N52" s="27" t="str">
        <f t="shared" si="1"/>
        <v/>
      </c>
      <c r="O52" s="27" t="str">
        <f>IF(I52="","","【消费券链接】"&amp;固定信息!$B$6)</f>
        <v/>
      </c>
    </row>
    <row r="53" customHeight="1" spans="1:15">
      <c r="A53" s="26" t="str">
        <f>IF(盘货信息!A53="","",盘货信息!A53)</f>
        <v/>
      </c>
      <c r="B53" s="26" t="str">
        <f>IF(盘货信息!B53="","",盘货信息!B53)</f>
        <v/>
      </c>
      <c r="C53" s="27" t="str">
        <f>IF(盘货信息!C53="","",盘货信息!C53)</f>
        <v/>
      </c>
      <c r="D53" s="27" t="str">
        <f t="shared" si="0"/>
        <v/>
      </c>
      <c r="E53" s="27" t="str" cm="1">
        <f t="array" ref="E53">IF($C53="","",IF(AND(OR(_xlfn.XLOOKUP($A53&amp;$B53&amp;$C53,盘货信息!$A:$A&amp;盘货信息!$B:$B&amp;盘货信息!$C:$C,盘货信息!$L:$L)="否",_xlfn.XLOOKUP($A53&amp;$B53&amp;$C53,盘货信息!$A:$A&amp;盘货信息!$B:$B&amp;盘货信息!$C:$C,盘货信息!$L:$L)=""),_xlfn.XLOOKUP($A53&amp;$B53&amp;$C53,盘货信息!$A:$A&amp;盘货信息!$B:$B&amp;盘货信息!$C:$C,盘货信息!$M:$M)="否"),"【预估到手价"&amp;_xlfn.XLOOKUP($A53&amp;$B53&amp;$C53,盘货信息!$A:$A&amp;盘货信息!$B:$B&amp;盘货信息!$C:$C,盘货信息!$D:$D)&amp;"元】",IF(AND(_xlfn.XLOOKUP($A53&amp;$B53&amp;$C53,盘货信息!$A:$A&amp;盘货信息!$B:$B&amp;盘货信息!$C:$C,盘货信息!$M:$M)="是",OR(_xlfn.XLOOKUP($A53&amp;$B53&amp;$C53,盘货信息!$A:$A&amp;盘货信息!$B:$B&amp;盘货信息!$C:$C,盘货信息!$L:$L)="否",_xlfn.XLOOKUP($A53&amp;$B53&amp;$C53,盘货信息!$A:$A&amp;盘货信息!$B:$B&amp;盘货信息!$C:$C,盘货信息!$L:$L)="")),"【预估到手价"&amp;_xlfn.XLOOKUP($A53&amp;$B53&amp;$C53,盘货信息!$A:$A&amp;盘货信息!$B:$B&amp;盘货信息!$C:$C,盘货信息!$D:$D)&amp;"元】"&amp;CHAR(10)&amp;"【焕新补贴预估价"&amp;ROUND(_xlfn.XLOOKUP($A53&amp;$B53&amp;$C53,盘货信息!$A:$A&amp;盘货信息!$B:$B&amp;盘货信息!$C:$C,盘货信息!$E:$E),0)&amp;"元】","【焕新补贴预估价"&amp;ROUND(_xlfn.XLOOKUP($A53&amp;$B53&amp;$C53,盘货信息!$A:$A&amp;盘货信息!$B:$B&amp;盘货信息!$C:$C,盘货信息!$E:$E),0)&amp;"元】")))</f>
        <v/>
      </c>
      <c r="F53" s="27" t="str" cm="1">
        <f t="array" ref="F53">IF($C53="","",_xlfn.XLOOKUP($A53&amp;$B53&amp;$C53,盘货信息!$A:$A&amp;盘货信息!$B:$B&amp;盘货信息!$C:$C,盘货信息!$D:$D)&amp;"元到手价")</f>
        <v/>
      </c>
      <c r="G53" s="27" t="str" cm="1">
        <f t="array" ref="G53">IF($C53="","",IF(_xlfn.XLOOKUP($A53&amp;$B53&amp;$C53,盘货信息!$A:$A&amp;盘货信息!$B:$B&amp;盘货信息!$C:$C,盘货信息!$G:$G)&lt;1,"",ROUND(_xlfn.XLOOKUP($A53&amp;$B53&amp;$C53,盘货信息!$A:$A&amp;盘货信息!$B:$B&amp;盘货信息!$C:$C,盘货信息!$G:$G),0)&amp;"元88VIP立减"))</f>
        <v/>
      </c>
      <c r="H53" s="27" t="str" cm="1">
        <f t="array" ref="H53">IF($C53="","",IF(_xlfn.XLOOKUP($A53&amp;$B53&amp;$C53,盘货信息!$A:$A&amp;盘货信息!$B:$B&amp;盘货信息!$C:$C,盘货信息!$I:$I)&lt;1,"",_xlfn.XLOOKUP($A53&amp;$B53&amp;$C53,盘货信息!$A:$A&amp;盘货信息!$B:$B&amp;盘货信息!$C:$C,盘货信息!$I:$I)&amp;"元惊喜立减"))</f>
        <v/>
      </c>
      <c r="I53" s="27" t="str" cm="1">
        <f t="array" ref="I53">IF($C53="","",IF(_xlfn.XLOOKUP($A53&amp;$B53&amp;$C53,盘货信息!$A:$A&amp;盘货信息!$B:$B&amp;盘货信息!$C:$C,盘货信息!$H:$H)&lt;1,"",ROUND(_xlfn.XLOOKUP($A53&amp;$B53&amp;$C53,盘货信息!$A:$A&amp;盘货信息!$B:$B&amp;盘货信息!$C:$C,盘货信息!$H:$H),0)&amp;"元消费券"))</f>
        <v/>
      </c>
      <c r="J53" s="27" t="str" cm="1">
        <f t="array" ref="J53">IF($C53="","",IF(_xlfn.XLOOKUP($A53&amp;$B53&amp;$C53,盘货信息!$A:$A&amp;盘货信息!$B:$B&amp;盘货信息!$C:$C,盘货信息!$J:$J)&lt;1,"",ROUND(_xlfn.XLOOKUP($A53&amp;$B53&amp;$C53,盘货信息!$A:$A&amp;盘货信息!$B:$B&amp;盘货信息!$C:$C,盘货信息!$J:$J),0)&amp;"元限时补贴"))</f>
        <v/>
      </c>
      <c r="K53" s="27" t="str" cm="1">
        <f t="array" ref="K53">IF($C53="","",IF(_xlfn.XLOOKUP($A53&amp;$B53&amp;$C53,盘货信息!$A:$A&amp;盘货信息!$B:$B&amp;盘货信息!$C:$C,盘货信息!$K:$K)&lt;1,"",ROUND(_xlfn.XLOOKUP($A53&amp;$B53&amp;$C53,盘货信息!$A:$A&amp;盘货信息!$B:$B&amp;盘货信息!$C:$C,盘货信息!$K:$K),0)&amp;"元预估焕新补贴"))</f>
        <v/>
      </c>
      <c r="L53" s="27" t="str" cm="1">
        <f t="array" ref="L53">IF($C53="","",IF(AND(_xlfn.XLOOKUP($A53&amp;$B53&amp;$C53,盘货信息!$A:$A&amp;盘货信息!$B:$B&amp;盘货信息!$C:$C,盘货信息!$L:$L)="是",_xlfn.XLOOKUP($A53&amp;$B53&amp;$C53,盘货信息!$A:$A&amp;盘货信息!$B:$B&amp;盘货信息!$C:$C,盘货信息!$M:$M)="是",_xlfn.XLOOKUP($A53&amp;$B53&amp;$C53,盘货信息!$A:$A&amp;盘货信息!$B:$B&amp;盘货信息!$C:$C,盘货信息!$K:$K)&gt;0),"【全民可用，不限地址】",IF(AND(OR(_xlfn.XLOOKUP($A53&amp;$B53&amp;$C53,盘货信息!$A:$A&amp;盘货信息!$B:$B&amp;盘货信息!$C:$C,盘货信息!$L:$L)="否",_xlfn.XLOOKUP($A53&amp;$B53&amp;$C53,盘货信息!$A:$A&amp;盘货信息!$B:$B&amp;盘货信息!$C:$C,盘货信息!$L:$L)=""),_xlfn.XLOOKUP($A53&amp;$B53&amp;$C53,盘货信息!$A:$A&amp;盘货信息!$B:$B&amp;盘货信息!$C:$C,盘货信息!$M:$M)="是",_xlfn.XLOOKUP($A53&amp;$B53&amp;$C53,盘货信息!$A:$A&amp;盘货信息!$B:$B&amp;盘货信息!$C:$C,盘货信息!$K:$K)&gt;0),"【详情页领取】","")))</f>
        <v/>
      </c>
      <c r="M53" s="27" t="str" cm="1">
        <f t="array" ref="M53">IF($C53="","",IF(_xlfn.XLOOKUP($A53&amp;$B53&amp;$C53,盘货信息!$A:$A&amp;盘货信息!$B:$B&amp;盘货信息!$C:$C,盘货信息!$F:$F)&lt;1,"",_xlfn.XLOOKUP($A53&amp;$B53&amp;$C53,盘货信息!$A:$A&amp;盘货信息!$B:$B&amp;盘货信息!$C:$C,盘货信息!$F:$F)&amp;"元明卷"))</f>
        <v/>
      </c>
      <c r="N53" s="27" t="str">
        <f t="shared" si="1"/>
        <v/>
      </c>
      <c r="O53" s="27" t="str">
        <f>IF(I53="","","【消费券链接】"&amp;固定信息!$B$6)</f>
        <v/>
      </c>
    </row>
    <row r="54" customHeight="1" spans="1:15">
      <c r="A54" s="26" t="str">
        <f>IF(盘货信息!A54="","",盘货信息!A54)</f>
        <v/>
      </c>
      <c r="B54" s="26" t="str">
        <f>IF(盘货信息!B54="","",盘货信息!B54)</f>
        <v/>
      </c>
      <c r="C54" s="27" t="str">
        <f>IF(盘货信息!C54="","",盘货信息!C54)</f>
        <v/>
      </c>
      <c r="D54" s="27" t="str">
        <f t="shared" si="0"/>
        <v/>
      </c>
      <c r="E54" s="27" t="str" cm="1">
        <f t="array" ref="E54">IF($C54="","",IF(AND(OR(_xlfn.XLOOKUP($A54&amp;$B54&amp;$C54,盘货信息!$A:$A&amp;盘货信息!$B:$B&amp;盘货信息!$C:$C,盘货信息!$L:$L)="否",_xlfn.XLOOKUP($A54&amp;$B54&amp;$C54,盘货信息!$A:$A&amp;盘货信息!$B:$B&amp;盘货信息!$C:$C,盘货信息!$L:$L)=""),_xlfn.XLOOKUP($A54&amp;$B54&amp;$C54,盘货信息!$A:$A&amp;盘货信息!$B:$B&amp;盘货信息!$C:$C,盘货信息!$M:$M)="否"),"【预估到手价"&amp;_xlfn.XLOOKUP($A54&amp;$B54&amp;$C54,盘货信息!$A:$A&amp;盘货信息!$B:$B&amp;盘货信息!$C:$C,盘货信息!$D:$D)&amp;"元】",IF(AND(_xlfn.XLOOKUP($A54&amp;$B54&amp;$C54,盘货信息!$A:$A&amp;盘货信息!$B:$B&amp;盘货信息!$C:$C,盘货信息!$M:$M)="是",OR(_xlfn.XLOOKUP($A54&amp;$B54&amp;$C54,盘货信息!$A:$A&amp;盘货信息!$B:$B&amp;盘货信息!$C:$C,盘货信息!$L:$L)="否",_xlfn.XLOOKUP($A54&amp;$B54&amp;$C54,盘货信息!$A:$A&amp;盘货信息!$B:$B&amp;盘货信息!$C:$C,盘货信息!$L:$L)="")),"【预估到手价"&amp;_xlfn.XLOOKUP($A54&amp;$B54&amp;$C54,盘货信息!$A:$A&amp;盘货信息!$B:$B&amp;盘货信息!$C:$C,盘货信息!$D:$D)&amp;"元】"&amp;CHAR(10)&amp;"【焕新补贴预估价"&amp;ROUND(_xlfn.XLOOKUP($A54&amp;$B54&amp;$C54,盘货信息!$A:$A&amp;盘货信息!$B:$B&amp;盘货信息!$C:$C,盘货信息!$E:$E),0)&amp;"元】","【焕新补贴预估价"&amp;ROUND(_xlfn.XLOOKUP($A54&amp;$B54&amp;$C54,盘货信息!$A:$A&amp;盘货信息!$B:$B&amp;盘货信息!$C:$C,盘货信息!$E:$E),0)&amp;"元】")))</f>
        <v/>
      </c>
      <c r="F54" s="27" t="str" cm="1">
        <f t="array" ref="F54">IF($C54="","",_xlfn.XLOOKUP($A54&amp;$B54&amp;$C54,盘货信息!$A:$A&amp;盘货信息!$B:$B&amp;盘货信息!$C:$C,盘货信息!$D:$D)&amp;"元到手价")</f>
        <v/>
      </c>
      <c r="G54" s="27" t="str" cm="1">
        <f t="array" ref="G54">IF($C54="","",IF(_xlfn.XLOOKUP($A54&amp;$B54&amp;$C54,盘货信息!$A:$A&amp;盘货信息!$B:$B&amp;盘货信息!$C:$C,盘货信息!$G:$G)&lt;1,"",ROUND(_xlfn.XLOOKUP($A54&amp;$B54&amp;$C54,盘货信息!$A:$A&amp;盘货信息!$B:$B&amp;盘货信息!$C:$C,盘货信息!$G:$G),0)&amp;"元88VIP立减"))</f>
        <v/>
      </c>
      <c r="H54" s="27" t="str" cm="1">
        <f t="array" ref="H54">IF($C54="","",IF(_xlfn.XLOOKUP($A54&amp;$B54&amp;$C54,盘货信息!$A:$A&amp;盘货信息!$B:$B&amp;盘货信息!$C:$C,盘货信息!$I:$I)&lt;1,"",_xlfn.XLOOKUP($A54&amp;$B54&amp;$C54,盘货信息!$A:$A&amp;盘货信息!$B:$B&amp;盘货信息!$C:$C,盘货信息!$I:$I)&amp;"元惊喜立减"))</f>
        <v/>
      </c>
      <c r="I54" s="27" t="str" cm="1">
        <f t="array" ref="I54">IF($C54="","",IF(_xlfn.XLOOKUP($A54&amp;$B54&amp;$C54,盘货信息!$A:$A&amp;盘货信息!$B:$B&amp;盘货信息!$C:$C,盘货信息!$H:$H)&lt;1,"",ROUND(_xlfn.XLOOKUP($A54&amp;$B54&amp;$C54,盘货信息!$A:$A&amp;盘货信息!$B:$B&amp;盘货信息!$C:$C,盘货信息!$H:$H),0)&amp;"元消费券"))</f>
        <v/>
      </c>
      <c r="J54" s="27" t="str" cm="1">
        <f t="array" ref="J54">IF($C54="","",IF(_xlfn.XLOOKUP($A54&amp;$B54&amp;$C54,盘货信息!$A:$A&amp;盘货信息!$B:$B&amp;盘货信息!$C:$C,盘货信息!$J:$J)&lt;1,"",ROUND(_xlfn.XLOOKUP($A54&amp;$B54&amp;$C54,盘货信息!$A:$A&amp;盘货信息!$B:$B&amp;盘货信息!$C:$C,盘货信息!$J:$J),0)&amp;"元限时补贴"))</f>
        <v/>
      </c>
      <c r="K54" s="27" t="str" cm="1">
        <f t="array" ref="K54">IF($C54="","",IF(_xlfn.XLOOKUP($A54&amp;$B54&amp;$C54,盘货信息!$A:$A&amp;盘货信息!$B:$B&amp;盘货信息!$C:$C,盘货信息!$K:$K)&lt;1,"",ROUND(_xlfn.XLOOKUP($A54&amp;$B54&amp;$C54,盘货信息!$A:$A&amp;盘货信息!$B:$B&amp;盘货信息!$C:$C,盘货信息!$K:$K),0)&amp;"元预估焕新补贴"))</f>
        <v/>
      </c>
      <c r="L54" s="27" t="str" cm="1">
        <f t="array" ref="L54">IF($C54="","",IF(AND(_xlfn.XLOOKUP($A54&amp;$B54&amp;$C54,盘货信息!$A:$A&amp;盘货信息!$B:$B&amp;盘货信息!$C:$C,盘货信息!$L:$L)="是",_xlfn.XLOOKUP($A54&amp;$B54&amp;$C54,盘货信息!$A:$A&amp;盘货信息!$B:$B&amp;盘货信息!$C:$C,盘货信息!$M:$M)="是",_xlfn.XLOOKUP($A54&amp;$B54&amp;$C54,盘货信息!$A:$A&amp;盘货信息!$B:$B&amp;盘货信息!$C:$C,盘货信息!$K:$K)&gt;0),"【全民可用，不限地址】",IF(AND(OR(_xlfn.XLOOKUP($A54&amp;$B54&amp;$C54,盘货信息!$A:$A&amp;盘货信息!$B:$B&amp;盘货信息!$C:$C,盘货信息!$L:$L)="否",_xlfn.XLOOKUP($A54&amp;$B54&amp;$C54,盘货信息!$A:$A&amp;盘货信息!$B:$B&amp;盘货信息!$C:$C,盘货信息!$L:$L)=""),_xlfn.XLOOKUP($A54&amp;$B54&amp;$C54,盘货信息!$A:$A&amp;盘货信息!$B:$B&amp;盘货信息!$C:$C,盘货信息!$M:$M)="是",_xlfn.XLOOKUP($A54&amp;$B54&amp;$C54,盘货信息!$A:$A&amp;盘货信息!$B:$B&amp;盘货信息!$C:$C,盘货信息!$K:$K)&gt;0),"【详情页领取】","")))</f>
        <v/>
      </c>
      <c r="M54" s="27" t="str" cm="1">
        <f t="array" ref="M54">IF($C54="","",IF(_xlfn.XLOOKUP($A54&amp;$B54&amp;$C54,盘货信息!$A:$A&amp;盘货信息!$B:$B&amp;盘货信息!$C:$C,盘货信息!$F:$F)&lt;1,"",_xlfn.XLOOKUP($A54&amp;$B54&amp;$C54,盘货信息!$A:$A&amp;盘货信息!$B:$B&amp;盘货信息!$C:$C,盘货信息!$F:$F)&amp;"元明卷"))</f>
        <v/>
      </c>
      <c r="N54" s="27" t="str">
        <f t="shared" si="1"/>
        <v/>
      </c>
      <c r="O54" s="27" t="str">
        <f>IF(I54="","","【消费券链接】"&amp;固定信息!$B$6)</f>
        <v/>
      </c>
    </row>
    <row r="55" customHeight="1" spans="1:15">
      <c r="A55" s="26" t="str">
        <f>IF(盘货信息!A55="","",盘货信息!A55)</f>
        <v/>
      </c>
      <c r="B55" s="26" t="str">
        <f>IF(盘货信息!B55="","",盘货信息!B55)</f>
        <v/>
      </c>
      <c r="C55" s="27" t="str">
        <f>IF(盘货信息!C55="","",盘货信息!C55)</f>
        <v/>
      </c>
      <c r="D55" s="27" t="str">
        <f t="shared" si="0"/>
        <v/>
      </c>
      <c r="E55" s="27" t="str" cm="1">
        <f t="array" ref="E55">IF($C55="","",IF(AND(OR(_xlfn.XLOOKUP($A55&amp;$B55&amp;$C55,盘货信息!$A:$A&amp;盘货信息!$B:$B&amp;盘货信息!$C:$C,盘货信息!$L:$L)="否",_xlfn.XLOOKUP($A55&amp;$B55&amp;$C55,盘货信息!$A:$A&amp;盘货信息!$B:$B&amp;盘货信息!$C:$C,盘货信息!$L:$L)=""),_xlfn.XLOOKUP($A55&amp;$B55&amp;$C55,盘货信息!$A:$A&amp;盘货信息!$B:$B&amp;盘货信息!$C:$C,盘货信息!$M:$M)="否"),"【预估到手价"&amp;_xlfn.XLOOKUP($A55&amp;$B55&amp;$C55,盘货信息!$A:$A&amp;盘货信息!$B:$B&amp;盘货信息!$C:$C,盘货信息!$D:$D)&amp;"元】",IF(AND(_xlfn.XLOOKUP($A55&amp;$B55&amp;$C55,盘货信息!$A:$A&amp;盘货信息!$B:$B&amp;盘货信息!$C:$C,盘货信息!$M:$M)="是",OR(_xlfn.XLOOKUP($A55&amp;$B55&amp;$C55,盘货信息!$A:$A&amp;盘货信息!$B:$B&amp;盘货信息!$C:$C,盘货信息!$L:$L)="否",_xlfn.XLOOKUP($A55&amp;$B55&amp;$C55,盘货信息!$A:$A&amp;盘货信息!$B:$B&amp;盘货信息!$C:$C,盘货信息!$L:$L)="")),"【预估到手价"&amp;_xlfn.XLOOKUP($A55&amp;$B55&amp;$C55,盘货信息!$A:$A&amp;盘货信息!$B:$B&amp;盘货信息!$C:$C,盘货信息!$D:$D)&amp;"元】"&amp;CHAR(10)&amp;"【焕新补贴预估价"&amp;ROUND(_xlfn.XLOOKUP($A55&amp;$B55&amp;$C55,盘货信息!$A:$A&amp;盘货信息!$B:$B&amp;盘货信息!$C:$C,盘货信息!$E:$E),0)&amp;"元】","【焕新补贴预估价"&amp;ROUND(_xlfn.XLOOKUP($A55&amp;$B55&amp;$C55,盘货信息!$A:$A&amp;盘货信息!$B:$B&amp;盘货信息!$C:$C,盘货信息!$E:$E),0)&amp;"元】")))</f>
        <v/>
      </c>
      <c r="F55" s="27" t="str" cm="1">
        <f t="array" ref="F55">IF($C55="","",_xlfn.XLOOKUP($A55&amp;$B55&amp;$C55,盘货信息!$A:$A&amp;盘货信息!$B:$B&amp;盘货信息!$C:$C,盘货信息!$D:$D)&amp;"元到手价")</f>
        <v/>
      </c>
      <c r="G55" s="27" t="str" cm="1">
        <f t="array" ref="G55">IF($C55="","",IF(_xlfn.XLOOKUP($A55&amp;$B55&amp;$C55,盘货信息!$A:$A&amp;盘货信息!$B:$B&amp;盘货信息!$C:$C,盘货信息!$G:$G)&lt;1,"",ROUND(_xlfn.XLOOKUP($A55&amp;$B55&amp;$C55,盘货信息!$A:$A&amp;盘货信息!$B:$B&amp;盘货信息!$C:$C,盘货信息!$G:$G),0)&amp;"元88VIP立减"))</f>
        <v/>
      </c>
      <c r="H55" s="27" t="str" cm="1">
        <f t="array" ref="H55">IF($C55="","",IF(_xlfn.XLOOKUP($A55&amp;$B55&amp;$C55,盘货信息!$A:$A&amp;盘货信息!$B:$B&amp;盘货信息!$C:$C,盘货信息!$I:$I)&lt;1,"",_xlfn.XLOOKUP($A55&amp;$B55&amp;$C55,盘货信息!$A:$A&amp;盘货信息!$B:$B&amp;盘货信息!$C:$C,盘货信息!$I:$I)&amp;"元惊喜立减"))</f>
        <v/>
      </c>
      <c r="I55" s="27" t="str" cm="1">
        <f t="array" ref="I55">IF($C55="","",IF(_xlfn.XLOOKUP($A55&amp;$B55&amp;$C55,盘货信息!$A:$A&amp;盘货信息!$B:$B&amp;盘货信息!$C:$C,盘货信息!$H:$H)&lt;1,"",ROUND(_xlfn.XLOOKUP($A55&amp;$B55&amp;$C55,盘货信息!$A:$A&amp;盘货信息!$B:$B&amp;盘货信息!$C:$C,盘货信息!$H:$H),0)&amp;"元消费券"))</f>
        <v/>
      </c>
      <c r="J55" s="27" t="str" cm="1">
        <f t="array" ref="J55">IF($C55="","",IF(_xlfn.XLOOKUP($A55&amp;$B55&amp;$C55,盘货信息!$A:$A&amp;盘货信息!$B:$B&amp;盘货信息!$C:$C,盘货信息!$J:$J)&lt;1,"",ROUND(_xlfn.XLOOKUP($A55&amp;$B55&amp;$C55,盘货信息!$A:$A&amp;盘货信息!$B:$B&amp;盘货信息!$C:$C,盘货信息!$J:$J),0)&amp;"元限时补贴"))</f>
        <v/>
      </c>
      <c r="K55" s="27" t="str" cm="1">
        <f t="array" ref="K55">IF($C55="","",IF(_xlfn.XLOOKUP($A55&amp;$B55&amp;$C55,盘货信息!$A:$A&amp;盘货信息!$B:$B&amp;盘货信息!$C:$C,盘货信息!$K:$K)&lt;1,"",ROUND(_xlfn.XLOOKUP($A55&amp;$B55&amp;$C55,盘货信息!$A:$A&amp;盘货信息!$B:$B&amp;盘货信息!$C:$C,盘货信息!$K:$K),0)&amp;"元预估焕新补贴"))</f>
        <v/>
      </c>
      <c r="L55" s="27" t="str" cm="1">
        <f t="array" ref="L55">IF($C55="","",IF(AND(_xlfn.XLOOKUP($A55&amp;$B55&amp;$C55,盘货信息!$A:$A&amp;盘货信息!$B:$B&amp;盘货信息!$C:$C,盘货信息!$L:$L)="是",_xlfn.XLOOKUP($A55&amp;$B55&amp;$C55,盘货信息!$A:$A&amp;盘货信息!$B:$B&amp;盘货信息!$C:$C,盘货信息!$M:$M)="是",_xlfn.XLOOKUP($A55&amp;$B55&amp;$C55,盘货信息!$A:$A&amp;盘货信息!$B:$B&amp;盘货信息!$C:$C,盘货信息!$K:$K)&gt;0),"【全民可用，不限地址】",IF(AND(OR(_xlfn.XLOOKUP($A55&amp;$B55&amp;$C55,盘货信息!$A:$A&amp;盘货信息!$B:$B&amp;盘货信息!$C:$C,盘货信息!$L:$L)="否",_xlfn.XLOOKUP($A55&amp;$B55&amp;$C55,盘货信息!$A:$A&amp;盘货信息!$B:$B&amp;盘货信息!$C:$C,盘货信息!$L:$L)=""),_xlfn.XLOOKUP($A55&amp;$B55&amp;$C55,盘货信息!$A:$A&amp;盘货信息!$B:$B&amp;盘货信息!$C:$C,盘货信息!$M:$M)="是",_xlfn.XLOOKUP($A55&amp;$B55&amp;$C55,盘货信息!$A:$A&amp;盘货信息!$B:$B&amp;盘货信息!$C:$C,盘货信息!$K:$K)&gt;0),"【详情页领取】","")))</f>
        <v/>
      </c>
      <c r="M55" s="27" t="str" cm="1">
        <f t="array" ref="M55">IF($C55="","",IF(_xlfn.XLOOKUP($A55&amp;$B55&amp;$C55,盘货信息!$A:$A&amp;盘货信息!$B:$B&amp;盘货信息!$C:$C,盘货信息!$F:$F)&lt;1,"",_xlfn.XLOOKUP($A55&amp;$B55&amp;$C55,盘货信息!$A:$A&amp;盘货信息!$B:$B&amp;盘货信息!$C:$C,盘货信息!$F:$F)&amp;"元明卷"))</f>
        <v/>
      </c>
      <c r="N55" s="27" t="str">
        <f t="shared" si="1"/>
        <v/>
      </c>
      <c r="O55" s="27" t="str">
        <f>IF(I55="","","【消费券链接】"&amp;固定信息!$B$6)</f>
        <v/>
      </c>
    </row>
    <row r="56" customHeight="1" spans="1:15">
      <c r="A56" s="26" t="str">
        <f>IF(盘货信息!A56="","",盘货信息!A56)</f>
        <v/>
      </c>
      <c r="B56" s="26" t="str">
        <f>IF(盘货信息!B56="","",盘货信息!B56)</f>
        <v/>
      </c>
      <c r="C56" s="27" t="str">
        <f>IF(盘货信息!C56="","",盘货信息!C56)</f>
        <v/>
      </c>
      <c r="D56" s="27" t="str">
        <f t="shared" si="0"/>
        <v/>
      </c>
      <c r="E56" s="27" t="str" cm="1">
        <f t="array" ref="E56">IF($C56="","",IF(AND(OR(_xlfn.XLOOKUP($A56&amp;$B56&amp;$C56,盘货信息!$A:$A&amp;盘货信息!$B:$B&amp;盘货信息!$C:$C,盘货信息!$L:$L)="否",_xlfn.XLOOKUP($A56&amp;$B56&amp;$C56,盘货信息!$A:$A&amp;盘货信息!$B:$B&amp;盘货信息!$C:$C,盘货信息!$L:$L)=""),_xlfn.XLOOKUP($A56&amp;$B56&amp;$C56,盘货信息!$A:$A&amp;盘货信息!$B:$B&amp;盘货信息!$C:$C,盘货信息!$M:$M)="否"),"【预估到手价"&amp;_xlfn.XLOOKUP($A56&amp;$B56&amp;$C56,盘货信息!$A:$A&amp;盘货信息!$B:$B&amp;盘货信息!$C:$C,盘货信息!$D:$D)&amp;"元】",IF(AND(_xlfn.XLOOKUP($A56&amp;$B56&amp;$C56,盘货信息!$A:$A&amp;盘货信息!$B:$B&amp;盘货信息!$C:$C,盘货信息!$M:$M)="是",OR(_xlfn.XLOOKUP($A56&amp;$B56&amp;$C56,盘货信息!$A:$A&amp;盘货信息!$B:$B&amp;盘货信息!$C:$C,盘货信息!$L:$L)="否",_xlfn.XLOOKUP($A56&amp;$B56&amp;$C56,盘货信息!$A:$A&amp;盘货信息!$B:$B&amp;盘货信息!$C:$C,盘货信息!$L:$L)="")),"【预估到手价"&amp;_xlfn.XLOOKUP($A56&amp;$B56&amp;$C56,盘货信息!$A:$A&amp;盘货信息!$B:$B&amp;盘货信息!$C:$C,盘货信息!$D:$D)&amp;"元】"&amp;CHAR(10)&amp;"【焕新补贴预估价"&amp;ROUND(_xlfn.XLOOKUP($A56&amp;$B56&amp;$C56,盘货信息!$A:$A&amp;盘货信息!$B:$B&amp;盘货信息!$C:$C,盘货信息!$E:$E),0)&amp;"元】","【焕新补贴预估价"&amp;ROUND(_xlfn.XLOOKUP($A56&amp;$B56&amp;$C56,盘货信息!$A:$A&amp;盘货信息!$B:$B&amp;盘货信息!$C:$C,盘货信息!$E:$E),0)&amp;"元】")))</f>
        <v/>
      </c>
      <c r="F56" s="27" t="str" cm="1">
        <f t="array" ref="F56">IF($C56="","",_xlfn.XLOOKUP($A56&amp;$B56&amp;$C56,盘货信息!$A:$A&amp;盘货信息!$B:$B&amp;盘货信息!$C:$C,盘货信息!$D:$D)&amp;"元到手价")</f>
        <v/>
      </c>
      <c r="G56" s="27" t="str" cm="1">
        <f t="array" ref="G56">IF($C56="","",IF(_xlfn.XLOOKUP($A56&amp;$B56&amp;$C56,盘货信息!$A:$A&amp;盘货信息!$B:$B&amp;盘货信息!$C:$C,盘货信息!$G:$G)&lt;1,"",ROUND(_xlfn.XLOOKUP($A56&amp;$B56&amp;$C56,盘货信息!$A:$A&amp;盘货信息!$B:$B&amp;盘货信息!$C:$C,盘货信息!$G:$G),0)&amp;"元88VIP立减"))</f>
        <v/>
      </c>
      <c r="H56" s="27" t="str" cm="1">
        <f t="array" ref="H56">IF($C56="","",IF(_xlfn.XLOOKUP($A56&amp;$B56&amp;$C56,盘货信息!$A:$A&amp;盘货信息!$B:$B&amp;盘货信息!$C:$C,盘货信息!$I:$I)&lt;1,"",_xlfn.XLOOKUP($A56&amp;$B56&amp;$C56,盘货信息!$A:$A&amp;盘货信息!$B:$B&amp;盘货信息!$C:$C,盘货信息!$I:$I)&amp;"元惊喜立减"))</f>
        <v/>
      </c>
      <c r="I56" s="27" t="str" cm="1">
        <f t="array" ref="I56">IF($C56="","",IF(_xlfn.XLOOKUP($A56&amp;$B56&amp;$C56,盘货信息!$A:$A&amp;盘货信息!$B:$B&amp;盘货信息!$C:$C,盘货信息!$H:$H)&lt;1,"",ROUND(_xlfn.XLOOKUP($A56&amp;$B56&amp;$C56,盘货信息!$A:$A&amp;盘货信息!$B:$B&amp;盘货信息!$C:$C,盘货信息!$H:$H),0)&amp;"元消费券"))</f>
        <v/>
      </c>
      <c r="J56" s="27" t="str" cm="1">
        <f t="array" ref="J56">IF($C56="","",IF(_xlfn.XLOOKUP($A56&amp;$B56&amp;$C56,盘货信息!$A:$A&amp;盘货信息!$B:$B&amp;盘货信息!$C:$C,盘货信息!$J:$J)&lt;1,"",ROUND(_xlfn.XLOOKUP($A56&amp;$B56&amp;$C56,盘货信息!$A:$A&amp;盘货信息!$B:$B&amp;盘货信息!$C:$C,盘货信息!$J:$J),0)&amp;"元限时补贴"))</f>
        <v/>
      </c>
      <c r="K56" s="27" t="str" cm="1">
        <f t="array" ref="K56">IF($C56="","",IF(_xlfn.XLOOKUP($A56&amp;$B56&amp;$C56,盘货信息!$A:$A&amp;盘货信息!$B:$B&amp;盘货信息!$C:$C,盘货信息!$K:$K)&lt;1,"",ROUND(_xlfn.XLOOKUP($A56&amp;$B56&amp;$C56,盘货信息!$A:$A&amp;盘货信息!$B:$B&amp;盘货信息!$C:$C,盘货信息!$K:$K),0)&amp;"元预估焕新补贴"))</f>
        <v/>
      </c>
      <c r="L56" s="27" t="str" cm="1">
        <f t="array" ref="L56">IF($C56="","",IF(AND(_xlfn.XLOOKUP($A56&amp;$B56&amp;$C56,盘货信息!$A:$A&amp;盘货信息!$B:$B&amp;盘货信息!$C:$C,盘货信息!$L:$L)="是",_xlfn.XLOOKUP($A56&amp;$B56&amp;$C56,盘货信息!$A:$A&amp;盘货信息!$B:$B&amp;盘货信息!$C:$C,盘货信息!$M:$M)="是",_xlfn.XLOOKUP($A56&amp;$B56&amp;$C56,盘货信息!$A:$A&amp;盘货信息!$B:$B&amp;盘货信息!$C:$C,盘货信息!$K:$K)&gt;0),"【全民可用，不限地址】",IF(AND(OR(_xlfn.XLOOKUP($A56&amp;$B56&amp;$C56,盘货信息!$A:$A&amp;盘货信息!$B:$B&amp;盘货信息!$C:$C,盘货信息!$L:$L)="否",_xlfn.XLOOKUP($A56&amp;$B56&amp;$C56,盘货信息!$A:$A&amp;盘货信息!$B:$B&amp;盘货信息!$C:$C,盘货信息!$L:$L)=""),_xlfn.XLOOKUP($A56&amp;$B56&amp;$C56,盘货信息!$A:$A&amp;盘货信息!$B:$B&amp;盘货信息!$C:$C,盘货信息!$M:$M)="是",_xlfn.XLOOKUP($A56&amp;$B56&amp;$C56,盘货信息!$A:$A&amp;盘货信息!$B:$B&amp;盘货信息!$C:$C,盘货信息!$K:$K)&gt;0),"【详情页领取】","")))</f>
        <v/>
      </c>
      <c r="M56" s="27" t="str" cm="1">
        <f t="array" ref="M56">IF($C56="","",IF(_xlfn.XLOOKUP($A56&amp;$B56&amp;$C56,盘货信息!$A:$A&amp;盘货信息!$B:$B&amp;盘货信息!$C:$C,盘货信息!$F:$F)&lt;1,"",_xlfn.XLOOKUP($A56&amp;$B56&amp;$C56,盘货信息!$A:$A&amp;盘货信息!$B:$B&amp;盘货信息!$C:$C,盘货信息!$F:$F)&amp;"元明卷"))</f>
        <v/>
      </c>
      <c r="N56" s="27" t="str">
        <f t="shared" si="1"/>
        <v/>
      </c>
      <c r="O56" s="27" t="str">
        <f>IF(I56="","","【消费券链接】"&amp;固定信息!$B$6)</f>
        <v/>
      </c>
    </row>
    <row r="57" customHeight="1" spans="1:15">
      <c r="A57" s="26" t="str">
        <f>IF(盘货信息!A57="","",盘货信息!A57)</f>
        <v/>
      </c>
      <c r="B57" s="26" t="str">
        <f>IF(盘货信息!B57="","",盘货信息!B57)</f>
        <v/>
      </c>
      <c r="C57" s="27" t="str">
        <f>IF(盘货信息!C57="","",盘货信息!C57)</f>
        <v/>
      </c>
      <c r="D57" s="27" t="str">
        <f t="shared" si="0"/>
        <v/>
      </c>
      <c r="E57" s="27" t="str" cm="1">
        <f t="array" ref="E57">IF($C57="","",IF(AND(OR(_xlfn.XLOOKUP($A57&amp;$B57&amp;$C57,盘货信息!$A:$A&amp;盘货信息!$B:$B&amp;盘货信息!$C:$C,盘货信息!$L:$L)="否",_xlfn.XLOOKUP($A57&amp;$B57&amp;$C57,盘货信息!$A:$A&amp;盘货信息!$B:$B&amp;盘货信息!$C:$C,盘货信息!$L:$L)=""),_xlfn.XLOOKUP($A57&amp;$B57&amp;$C57,盘货信息!$A:$A&amp;盘货信息!$B:$B&amp;盘货信息!$C:$C,盘货信息!$M:$M)="否"),"【预估到手价"&amp;_xlfn.XLOOKUP($A57&amp;$B57&amp;$C57,盘货信息!$A:$A&amp;盘货信息!$B:$B&amp;盘货信息!$C:$C,盘货信息!$D:$D)&amp;"元】",IF(AND(_xlfn.XLOOKUP($A57&amp;$B57&amp;$C57,盘货信息!$A:$A&amp;盘货信息!$B:$B&amp;盘货信息!$C:$C,盘货信息!$M:$M)="是",OR(_xlfn.XLOOKUP($A57&amp;$B57&amp;$C57,盘货信息!$A:$A&amp;盘货信息!$B:$B&amp;盘货信息!$C:$C,盘货信息!$L:$L)="否",_xlfn.XLOOKUP($A57&amp;$B57&amp;$C57,盘货信息!$A:$A&amp;盘货信息!$B:$B&amp;盘货信息!$C:$C,盘货信息!$L:$L)="")),"【预估到手价"&amp;_xlfn.XLOOKUP($A57&amp;$B57&amp;$C57,盘货信息!$A:$A&amp;盘货信息!$B:$B&amp;盘货信息!$C:$C,盘货信息!$D:$D)&amp;"元】"&amp;CHAR(10)&amp;"【焕新补贴预估价"&amp;ROUND(_xlfn.XLOOKUP($A57&amp;$B57&amp;$C57,盘货信息!$A:$A&amp;盘货信息!$B:$B&amp;盘货信息!$C:$C,盘货信息!$E:$E),0)&amp;"元】","【焕新补贴预估价"&amp;ROUND(_xlfn.XLOOKUP($A57&amp;$B57&amp;$C57,盘货信息!$A:$A&amp;盘货信息!$B:$B&amp;盘货信息!$C:$C,盘货信息!$E:$E),0)&amp;"元】")))</f>
        <v/>
      </c>
      <c r="F57" s="27" t="str" cm="1">
        <f t="array" ref="F57">IF($C57="","",_xlfn.XLOOKUP($A57&amp;$B57&amp;$C57,盘货信息!$A:$A&amp;盘货信息!$B:$B&amp;盘货信息!$C:$C,盘货信息!$D:$D)&amp;"元到手价")</f>
        <v/>
      </c>
      <c r="G57" s="27" t="str" cm="1">
        <f t="array" ref="G57">IF($C57="","",IF(_xlfn.XLOOKUP($A57&amp;$B57&amp;$C57,盘货信息!$A:$A&amp;盘货信息!$B:$B&amp;盘货信息!$C:$C,盘货信息!$G:$G)&lt;1,"",ROUND(_xlfn.XLOOKUP($A57&amp;$B57&amp;$C57,盘货信息!$A:$A&amp;盘货信息!$B:$B&amp;盘货信息!$C:$C,盘货信息!$G:$G),0)&amp;"元88VIP立减"))</f>
        <v/>
      </c>
      <c r="H57" s="27" t="str" cm="1">
        <f t="array" ref="H57">IF($C57="","",IF(_xlfn.XLOOKUP($A57&amp;$B57&amp;$C57,盘货信息!$A:$A&amp;盘货信息!$B:$B&amp;盘货信息!$C:$C,盘货信息!$I:$I)&lt;1,"",_xlfn.XLOOKUP($A57&amp;$B57&amp;$C57,盘货信息!$A:$A&amp;盘货信息!$B:$B&amp;盘货信息!$C:$C,盘货信息!$I:$I)&amp;"元惊喜立减"))</f>
        <v/>
      </c>
      <c r="I57" s="27" t="str" cm="1">
        <f t="array" ref="I57">IF($C57="","",IF(_xlfn.XLOOKUP($A57&amp;$B57&amp;$C57,盘货信息!$A:$A&amp;盘货信息!$B:$B&amp;盘货信息!$C:$C,盘货信息!$H:$H)&lt;1,"",ROUND(_xlfn.XLOOKUP($A57&amp;$B57&amp;$C57,盘货信息!$A:$A&amp;盘货信息!$B:$B&amp;盘货信息!$C:$C,盘货信息!$H:$H),0)&amp;"元消费券"))</f>
        <v/>
      </c>
      <c r="J57" s="27" t="str" cm="1">
        <f t="array" ref="J57">IF($C57="","",IF(_xlfn.XLOOKUP($A57&amp;$B57&amp;$C57,盘货信息!$A:$A&amp;盘货信息!$B:$B&amp;盘货信息!$C:$C,盘货信息!$J:$J)&lt;1,"",ROUND(_xlfn.XLOOKUP($A57&amp;$B57&amp;$C57,盘货信息!$A:$A&amp;盘货信息!$B:$B&amp;盘货信息!$C:$C,盘货信息!$J:$J),0)&amp;"元限时补贴"))</f>
        <v/>
      </c>
      <c r="K57" s="27" t="str" cm="1">
        <f t="array" ref="K57">IF($C57="","",IF(_xlfn.XLOOKUP($A57&amp;$B57&amp;$C57,盘货信息!$A:$A&amp;盘货信息!$B:$B&amp;盘货信息!$C:$C,盘货信息!$K:$K)&lt;1,"",ROUND(_xlfn.XLOOKUP($A57&amp;$B57&amp;$C57,盘货信息!$A:$A&amp;盘货信息!$B:$B&amp;盘货信息!$C:$C,盘货信息!$K:$K),0)&amp;"元预估焕新补贴"))</f>
        <v/>
      </c>
      <c r="L57" s="27" t="str" cm="1">
        <f t="array" ref="L57">IF($C57="","",IF(AND(_xlfn.XLOOKUP($A57&amp;$B57&amp;$C57,盘货信息!$A:$A&amp;盘货信息!$B:$B&amp;盘货信息!$C:$C,盘货信息!$L:$L)="是",_xlfn.XLOOKUP($A57&amp;$B57&amp;$C57,盘货信息!$A:$A&amp;盘货信息!$B:$B&amp;盘货信息!$C:$C,盘货信息!$M:$M)="是",_xlfn.XLOOKUP($A57&amp;$B57&amp;$C57,盘货信息!$A:$A&amp;盘货信息!$B:$B&amp;盘货信息!$C:$C,盘货信息!$K:$K)&gt;0),"【全民可用，不限地址】",IF(AND(OR(_xlfn.XLOOKUP($A57&amp;$B57&amp;$C57,盘货信息!$A:$A&amp;盘货信息!$B:$B&amp;盘货信息!$C:$C,盘货信息!$L:$L)="否",_xlfn.XLOOKUP($A57&amp;$B57&amp;$C57,盘货信息!$A:$A&amp;盘货信息!$B:$B&amp;盘货信息!$C:$C,盘货信息!$L:$L)=""),_xlfn.XLOOKUP($A57&amp;$B57&amp;$C57,盘货信息!$A:$A&amp;盘货信息!$B:$B&amp;盘货信息!$C:$C,盘货信息!$M:$M)="是",_xlfn.XLOOKUP($A57&amp;$B57&amp;$C57,盘货信息!$A:$A&amp;盘货信息!$B:$B&amp;盘货信息!$C:$C,盘货信息!$K:$K)&gt;0),"【详情页领取】","")))</f>
        <v/>
      </c>
      <c r="M57" s="27" t="str" cm="1">
        <f t="array" ref="M57">IF($C57="","",IF(_xlfn.XLOOKUP($A57&amp;$B57&amp;$C57,盘货信息!$A:$A&amp;盘货信息!$B:$B&amp;盘货信息!$C:$C,盘货信息!$F:$F)&lt;1,"",_xlfn.XLOOKUP($A57&amp;$B57&amp;$C57,盘货信息!$A:$A&amp;盘货信息!$B:$B&amp;盘货信息!$C:$C,盘货信息!$F:$F)&amp;"元明卷"))</f>
        <v/>
      </c>
      <c r="N57" s="27" t="str">
        <f t="shared" si="1"/>
        <v/>
      </c>
      <c r="O57" s="27" t="str">
        <f>IF(I57="","","【消费券链接】"&amp;固定信息!$B$6)</f>
        <v/>
      </c>
    </row>
    <row r="58" customHeight="1" spans="1:15">
      <c r="A58" s="26" t="str">
        <f>IF(盘货信息!A58="","",盘货信息!A58)</f>
        <v/>
      </c>
      <c r="B58" s="26" t="str">
        <f>IF(盘货信息!B58="","",盘货信息!B58)</f>
        <v/>
      </c>
      <c r="C58" s="27" t="str">
        <f>IF(盘货信息!C58="","",盘货信息!C58)</f>
        <v/>
      </c>
      <c r="D58" s="27" t="str">
        <f t="shared" si="0"/>
        <v/>
      </c>
      <c r="E58" s="27" t="str" cm="1">
        <f t="array" ref="E58">IF($C58="","",IF(AND(OR(_xlfn.XLOOKUP($A58&amp;$B58&amp;$C58,盘货信息!$A:$A&amp;盘货信息!$B:$B&amp;盘货信息!$C:$C,盘货信息!$L:$L)="否",_xlfn.XLOOKUP($A58&amp;$B58&amp;$C58,盘货信息!$A:$A&amp;盘货信息!$B:$B&amp;盘货信息!$C:$C,盘货信息!$L:$L)=""),_xlfn.XLOOKUP($A58&amp;$B58&amp;$C58,盘货信息!$A:$A&amp;盘货信息!$B:$B&amp;盘货信息!$C:$C,盘货信息!$M:$M)="否"),"【预估到手价"&amp;_xlfn.XLOOKUP($A58&amp;$B58&amp;$C58,盘货信息!$A:$A&amp;盘货信息!$B:$B&amp;盘货信息!$C:$C,盘货信息!$D:$D)&amp;"元】",IF(AND(_xlfn.XLOOKUP($A58&amp;$B58&amp;$C58,盘货信息!$A:$A&amp;盘货信息!$B:$B&amp;盘货信息!$C:$C,盘货信息!$M:$M)="是",OR(_xlfn.XLOOKUP($A58&amp;$B58&amp;$C58,盘货信息!$A:$A&amp;盘货信息!$B:$B&amp;盘货信息!$C:$C,盘货信息!$L:$L)="否",_xlfn.XLOOKUP($A58&amp;$B58&amp;$C58,盘货信息!$A:$A&amp;盘货信息!$B:$B&amp;盘货信息!$C:$C,盘货信息!$L:$L)="")),"【预估到手价"&amp;_xlfn.XLOOKUP($A58&amp;$B58&amp;$C58,盘货信息!$A:$A&amp;盘货信息!$B:$B&amp;盘货信息!$C:$C,盘货信息!$D:$D)&amp;"元】"&amp;CHAR(10)&amp;"【焕新补贴预估价"&amp;ROUND(_xlfn.XLOOKUP($A58&amp;$B58&amp;$C58,盘货信息!$A:$A&amp;盘货信息!$B:$B&amp;盘货信息!$C:$C,盘货信息!$E:$E),0)&amp;"元】","【焕新补贴预估价"&amp;ROUND(_xlfn.XLOOKUP($A58&amp;$B58&amp;$C58,盘货信息!$A:$A&amp;盘货信息!$B:$B&amp;盘货信息!$C:$C,盘货信息!$E:$E),0)&amp;"元】")))</f>
        <v/>
      </c>
      <c r="F58" s="27" t="str" cm="1">
        <f t="array" ref="F58">IF($C58="","",_xlfn.XLOOKUP($A58&amp;$B58&amp;$C58,盘货信息!$A:$A&amp;盘货信息!$B:$B&amp;盘货信息!$C:$C,盘货信息!$D:$D)&amp;"元到手价")</f>
        <v/>
      </c>
      <c r="G58" s="27" t="str" cm="1">
        <f t="array" ref="G58">IF($C58="","",IF(_xlfn.XLOOKUP($A58&amp;$B58&amp;$C58,盘货信息!$A:$A&amp;盘货信息!$B:$B&amp;盘货信息!$C:$C,盘货信息!$G:$G)&lt;1,"",ROUND(_xlfn.XLOOKUP($A58&amp;$B58&amp;$C58,盘货信息!$A:$A&amp;盘货信息!$B:$B&amp;盘货信息!$C:$C,盘货信息!$G:$G),0)&amp;"元88VIP立减"))</f>
        <v/>
      </c>
      <c r="H58" s="27" t="str" cm="1">
        <f t="array" ref="H58">IF($C58="","",IF(_xlfn.XLOOKUP($A58&amp;$B58&amp;$C58,盘货信息!$A:$A&amp;盘货信息!$B:$B&amp;盘货信息!$C:$C,盘货信息!$I:$I)&lt;1,"",_xlfn.XLOOKUP($A58&amp;$B58&amp;$C58,盘货信息!$A:$A&amp;盘货信息!$B:$B&amp;盘货信息!$C:$C,盘货信息!$I:$I)&amp;"元惊喜立减"))</f>
        <v/>
      </c>
      <c r="I58" s="27" t="str" cm="1">
        <f t="array" ref="I58">IF($C58="","",IF(_xlfn.XLOOKUP($A58&amp;$B58&amp;$C58,盘货信息!$A:$A&amp;盘货信息!$B:$B&amp;盘货信息!$C:$C,盘货信息!$H:$H)&lt;1,"",ROUND(_xlfn.XLOOKUP($A58&amp;$B58&amp;$C58,盘货信息!$A:$A&amp;盘货信息!$B:$B&amp;盘货信息!$C:$C,盘货信息!$H:$H),0)&amp;"元消费券"))</f>
        <v/>
      </c>
      <c r="J58" s="27" t="str" cm="1">
        <f t="array" ref="J58">IF($C58="","",IF(_xlfn.XLOOKUP($A58&amp;$B58&amp;$C58,盘货信息!$A:$A&amp;盘货信息!$B:$B&amp;盘货信息!$C:$C,盘货信息!$J:$J)&lt;1,"",ROUND(_xlfn.XLOOKUP($A58&amp;$B58&amp;$C58,盘货信息!$A:$A&amp;盘货信息!$B:$B&amp;盘货信息!$C:$C,盘货信息!$J:$J),0)&amp;"元限时补贴"))</f>
        <v/>
      </c>
      <c r="K58" s="27" t="str" cm="1">
        <f t="array" ref="K58">IF($C58="","",IF(_xlfn.XLOOKUP($A58&amp;$B58&amp;$C58,盘货信息!$A:$A&amp;盘货信息!$B:$B&amp;盘货信息!$C:$C,盘货信息!$K:$K)&lt;1,"",ROUND(_xlfn.XLOOKUP($A58&amp;$B58&amp;$C58,盘货信息!$A:$A&amp;盘货信息!$B:$B&amp;盘货信息!$C:$C,盘货信息!$K:$K),0)&amp;"元预估焕新补贴"))</f>
        <v/>
      </c>
      <c r="L58" s="27" t="str" cm="1">
        <f t="array" ref="L58">IF($C58="","",IF(AND(_xlfn.XLOOKUP($A58&amp;$B58&amp;$C58,盘货信息!$A:$A&amp;盘货信息!$B:$B&amp;盘货信息!$C:$C,盘货信息!$L:$L)="是",_xlfn.XLOOKUP($A58&amp;$B58&amp;$C58,盘货信息!$A:$A&amp;盘货信息!$B:$B&amp;盘货信息!$C:$C,盘货信息!$M:$M)="是",_xlfn.XLOOKUP($A58&amp;$B58&amp;$C58,盘货信息!$A:$A&amp;盘货信息!$B:$B&amp;盘货信息!$C:$C,盘货信息!$K:$K)&gt;0),"【全民可用，不限地址】",IF(AND(OR(_xlfn.XLOOKUP($A58&amp;$B58&amp;$C58,盘货信息!$A:$A&amp;盘货信息!$B:$B&amp;盘货信息!$C:$C,盘货信息!$L:$L)="否",_xlfn.XLOOKUP($A58&amp;$B58&amp;$C58,盘货信息!$A:$A&amp;盘货信息!$B:$B&amp;盘货信息!$C:$C,盘货信息!$L:$L)=""),_xlfn.XLOOKUP($A58&amp;$B58&amp;$C58,盘货信息!$A:$A&amp;盘货信息!$B:$B&amp;盘货信息!$C:$C,盘货信息!$M:$M)="是",_xlfn.XLOOKUP($A58&amp;$B58&amp;$C58,盘货信息!$A:$A&amp;盘货信息!$B:$B&amp;盘货信息!$C:$C,盘货信息!$K:$K)&gt;0),"【详情页领取】","")))</f>
        <v/>
      </c>
      <c r="M58" s="27" t="str" cm="1">
        <f t="array" ref="M58">IF($C58="","",IF(_xlfn.XLOOKUP($A58&amp;$B58&amp;$C58,盘货信息!$A:$A&amp;盘货信息!$B:$B&amp;盘货信息!$C:$C,盘货信息!$F:$F)&lt;1,"",_xlfn.XLOOKUP($A58&amp;$B58&amp;$C58,盘货信息!$A:$A&amp;盘货信息!$B:$B&amp;盘货信息!$C:$C,盘货信息!$F:$F)&amp;"元明卷"))</f>
        <v/>
      </c>
      <c r="N58" s="27" t="str">
        <f t="shared" si="1"/>
        <v/>
      </c>
      <c r="O58" s="27" t="str">
        <f>IF(I58="","","【消费券链接】"&amp;固定信息!$B$6)</f>
        <v/>
      </c>
    </row>
    <row r="59" customHeight="1" spans="1:15">
      <c r="A59" s="26" t="str">
        <f>IF(盘货信息!A59="","",盘货信息!A59)</f>
        <v/>
      </c>
      <c r="B59" s="26" t="str">
        <f>IF(盘货信息!B59="","",盘货信息!B59)</f>
        <v/>
      </c>
      <c r="C59" s="27" t="str">
        <f>IF(盘货信息!C59="","",盘货信息!C59)</f>
        <v/>
      </c>
      <c r="D59" s="27" t="str">
        <f t="shared" si="0"/>
        <v/>
      </c>
      <c r="E59" s="27" t="str" cm="1">
        <f t="array" ref="E59">IF($C59="","",IF(AND(OR(_xlfn.XLOOKUP($A59&amp;$B59&amp;$C59,盘货信息!$A:$A&amp;盘货信息!$B:$B&amp;盘货信息!$C:$C,盘货信息!$L:$L)="否",_xlfn.XLOOKUP($A59&amp;$B59&amp;$C59,盘货信息!$A:$A&amp;盘货信息!$B:$B&amp;盘货信息!$C:$C,盘货信息!$L:$L)=""),_xlfn.XLOOKUP($A59&amp;$B59&amp;$C59,盘货信息!$A:$A&amp;盘货信息!$B:$B&amp;盘货信息!$C:$C,盘货信息!$M:$M)="否"),"【预估到手价"&amp;_xlfn.XLOOKUP($A59&amp;$B59&amp;$C59,盘货信息!$A:$A&amp;盘货信息!$B:$B&amp;盘货信息!$C:$C,盘货信息!$D:$D)&amp;"元】",IF(AND(_xlfn.XLOOKUP($A59&amp;$B59&amp;$C59,盘货信息!$A:$A&amp;盘货信息!$B:$B&amp;盘货信息!$C:$C,盘货信息!$M:$M)="是",OR(_xlfn.XLOOKUP($A59&amp;$B59&amp;$C59,盘货信息!$A:$A&amp;盘货信息!$B:$B&amp;盘货信息!$C:$C,盘货信息!$L:$L)="否",_xlfn.XLOOKUP($A59&amp;$B59&amp;$C59,盘货信息!$A:$A&amp;盘货信息!$B:$B&amp;盘货信息!$C:$C,盘货信息!$L:$L)="")),"【预估到手价"&amp;_xlfn.XLOOKUP($A59&amp;$B59&amp;$C59,盘货信息!$A:$A&amp;盘货信息!$B:$B&amp;盘货信息!$C:$C,盘货信息!$D:$D)&amp;"元】"&amp;CHAR(10)&amp;"【焕新补贴预估价"&amp;ROUND(_xlfn.XLOOKUP($A59&amp;$B59&amp;$C59,盘货信息!$A:$A&amp;盘货信息!$B:$B&amp;盘货信息!$C:$C,盘货信息!$E:$E),0)&amp;"元】","【焕新补贴预估价"&amp;ROUND(_xlfn.XLOOKUP($A59&amp;$B59&amp;$C59,盘货信息!$A:$A&amp;盘货信息!$B:$B&amp;盘货信息!$C:$C,盘货信息!$E:$E),0)&amp;"元】")))</f>
        <v/>
      </c>
      <c r="F59" s="27" t="str" cm="1">
        <f t="array" ref="F59">IF($C59="","",_xlfn.XLOOKUP($A59&amp;$B59&amp;$C59,盘货信息!$A:$A&amp;盘货信息!$B:$B&amp;盘货信息!$C:$C,盘货信息!$D:$D)&amp;"元到手价")</f>
        <v/>
      </c>
      <c r="G59" s="27" t="str" cm="1">
        <f t="array" ref="G59">IF($C59="","",IF(_xlfn.XLOOKUP($A59&amp;$B59&amp;$C59,盘货信息!$A:$A&amp;盘货信息!$B:$B&amp;盘货信息!$C:$C,盘货信息!$G:$G)&lt;1,"",ROUND(_xlfn.XLOOKUP($A59&amp;$B59&amp;$C59,盘货信息!$A:$A&amp;盘货信息!$B:$B&amp;盘货信息!$C:$C,盘货信息!$G:$G),0)&amp;"元88VIP立减"))</f>
        <v/>
      </c>
      <c r="H59" s="27" t="str" cm="1">
        <f t="array" ref="H59">IF($C59="","",IF(_xlfn.XLOOKUP($A59&amp;$B59&amp;$C59,盘货信息!$A:$A&amp;盘货信息!$B:$B&amp;盘货信息!$C:$C,盘货信息!$I:$I)&lt;1,"",_xlfn.XLOOKUP($A59&amp;$B59&amp;$C59,盘货信息!$A:$A&amp;盘货信息!$B:$B&amp;盘货信息!$C:$C,盘货信息!$I:$I)&amp;"元惊喜立减"))</f>
        <v/>
      </c>
      <c r="I59" s="27" t="str" cm="1">
        <f t="array" ref="I59">IF($C59="","",IF(_xlfn.XLOOKUP($A59&amp;$B59&amp;$C59,盘货信息!$A:$A&amp;盘货信息!$B:$B&amp;盘货信息!$C:$C,盘货信息!$H:$H)&lt;1,"",ROUND(_xlfn.XLOOKUP($A59&amp;$B59&amp;$C59,盘货信息!$A:$A&amp;盘货信息!$B:$B&amp;盘货信息!$C:$C,盘货信息!$H:$H),0)&amp;"元消费券"))</f>
        <v/>
      </c>
      <c r="J59" s="27" t="str" cm="1">
        <f t="array" ref="J59">IF($C59="","",IF(_xlfn.XLOOKUP($A59&amp;$B59&amp;$C59,盘货信息!$A:$A&amp;盘货信息!$B:$B&amp;盘货信息!$C:$C,盘货信息!$J:$J)&lt;1,"",ROUND(_xlfn.XLOOKUP($A59&amp;$B59&amp;$C59,盘货信息!$A:$A&amp;盘货信息!$B:$B&amp;盘货信息!$C:$C,盘货信息!$J:$J),0)&amp;"元限时补贴"))</f>
        <v/>
      </c>
      <c r="K59" s="27" t="str" cm="1">
        <f t="array" ref="K59">IF($C59="","",IF(_xlfn.XLOOKUP($A59&amp;$B59&amp;$C59,盘货信息!$A:$A&amp;盘货信息!$B:$B&amp;盘货信息!$C:$C,盘货信息!$K:$K)&lt;1,"",ROUND(_xlfn.XLOOKUP($A59&amp;$B59&amp;$C59,盘货信息!$A:$A&amp;盘货信息!$B:$B&amp;盘货信息!$C:$C,盘货信息!$K:$K),0)&amp;"元预估焕新补贴"))</f>
        <v/>
      </c>
      <c r="L59" s="27" t="str" cm="1">
        <f t="array" ref="L59">IF($C59="","",IF(AND(_xlfn.XLOOKUP($A59&amp;$B59&amp;$C59,盘货信息!$A:$A&amp;盘货信息!$B:$B&amp;盘货信息!$C:$C,盘货信息!$L:$L)="是",_xlfn.XLOOKUP($A59&amp;$B59&amp;$C59,盘货信息!$A:$A&amp;盘货信息!$B:$B&amp;盘货信息!$C:$C,盘货信息!$M:$M)="是",_xlfn.XLOOKUP($A59&amp;$B59&amp;$C59,盘货信息!$A:$A&amp;盘货信息!$B:$B&amp;盘货信息!$C:$C,盘货信息!$K:$K)&gt;0),"【全民可用，不限地址】",IF(AND(OR(_xlfn.XLOOKUP($A59&amp;$B59&amp;$C59,盘货信息!$A:$A&amp;盘货信息!$B:$B&amp;盘货信息!$C:$C,盘货信息!$L:$L)="否",_xlfn.XLOOKUP($A59&amp;$B59&amp;$C59,盘货信息!$A:$A&amp;盘货信息!$B:$B&amp;盘货信息!$C:$C,盘货信息!$L:$L)=""),_xlfn.XLOOKUP($A59&amp;$B59&amp;$C59,盘货信息!$A:$A&amp;盘货信息!$B:$B&amp;盘货信息!$C:$C,盘货信息!$M:$M)="是",_xlfn.XLOOKUP($A59&amp;$B59&amp;$C59,盘货信息!$A:$A&amp;盘货信息!$B:$B&amp;盘货信息!$C:$C,盘货信息!$K:$K)&gt;0),"【详情页领取】","")))</f>
        <v/>
      </c>
      <c r="M59" s="27" t="str" cm="1">
        <f t="array" ref="M59">IF($C59="","",IF(_xlfn.XLOOKUP($A59&amp;$B59&amp;$C59,盘货信息!$A:$A&amp;盘货信息!$B:$B&amp;盘货信息!$C:$C,盘货信息!$F:$F)&lt;1,"",_xlfn.XLOOKUP($A59&amp;$B59&amp;$C59,盘货信息!$A:$A&amp;盘货信息!$B:$B&amp;盘货信息!$C:$C,盘货信息!$F:$F)&amp;"元明卷"))</f>
        <v/>
      </c>
      <c r="N59" s="27" t="str">
        <f t="shared" si="1"/>
        <v/>
      </c>
      <c r="O59" s="27" t="str">
        <f>IF(I59="","","【消费券链接】"&amp;固定信息!$B$6)</f>
        <v/>
      </c>
    </row>
    <row r="60" customHeight="1" spans="1:15">
      <c r="A60" s="26" t="str">
        <f>IF(盘货信息!A60="","",盘货信息!A60)</f>
        <v/>
      </c>
      <c r="B60" s="26" t="str">
        <f>IF(盘货信息!B60="","",盘货信息!B60)</f>
        <v/>
      </c>
      <c r="C60" s="27" t="str">
        <f>IF(盘货信息!C60="","",盘货信息!C60)</f>
        <v/>
      </c>
      <c r="D60" s="27" t="str">
        <f t="shared" si="0"/>
        <v/>
      </c>
      <c r="E60" s="27" t="str" cm="1">
        <f t="array" ref="E60">IF($C60="","",IF(AND(OR(_xlfn.XLOOKUP($A60&amp;$B60&amp;$C60,盘货信息!$A:$A&amp;盘货信息!$B:$B&amp;盘货信息!$C:$C,盘货信息!$L:$L)="否",_xlfn.XLOOKUP($A60&amp;$B60&amp;$C60,盘货信息!$A:$A&amp;盘货信息!$B:$B&amp;盘货信息!$C:$C,盘货信息!$L:$L)=""),_xlfn.XLOOKUP($A60&amp;$B60&amp;$C60,盘货信息!$A:$A&amp;盘货信息!$B:$B&amp;盘货信息!$C:$C,盘货信息!$M:$M)="否"),"【预估到手价"&amp;_xlfn.XLOOKUP($A60&amp;$B60&amp;$C60,盘货信息!$A:$A&amp;盘货信息!$B:$B&amp;盘货信息!$C:$C,盘货信息!$D:$D)&amp;"元】",IF(AND(_xlfn.XLOOKUP($A60&amp;$B60&amp;$C60,盘货信息!$A:$A&amp;盘货信息!$B:$B&amp;盘货信息!$C:$C,盘货信息!$M:$M)="是",OR(_xlfn.XLOOKUP($A60&amp;$B60&amp;$C60,盘货信息!$A:$A&amp;盘货信息!$B:$B&amp;盘货信息!$C:$C,盘货信息!$L:$L)="否",_xlfn.XLOOKUP($A60&amp;$B60&amp;$C60,盘货信息!$A:$A&amp;盘货信息!$B:$B&amp;盘货信息!$C:$C,盘货信息!$L:$L)="")),"【预估到手价"&amp;_xlfn.XLOOKUP($A60&amp;$B60&amp;$C60,盘货信息!$A:$A&amp;盘货信息!$B:$B&amp;盘货信息!$C:$C,盘货信息!$D:$D)&amp;"元】"&amp;CHAR(10)&amp;"【焕新补贴预估价"&amp;ROUND(_xlfn.XLOOKUP($A60&amp;$B60&amp;$C60,盘货信息!$A:$A&amp;盘货信息!$B:$B&amp;盘货信息!$C:$C,盘货信息!$E:$E),0)&amp;"元】","【焕新补贴预估价"&amp;ROUND(_xlfn.XLOOKUP($A60&amp;$B60&amp;$C60,盘货信息!$A:$A&amp;盘货信息!$B:$B&amp;盘货信息!$C:$C,盘货信息!$E:$E),0)&amp;"元】")))</f>
        <v/>
      </c>
      <c r="F60" s="27" t="str" cm="1">
        <f t="array" ref="F60">IF($C60="","",_xlfn.XLOOKUP($A60&amp;$B60&amp;$C60,盘货信息!$A:$A&amp;盘货信息!$B:$B&amp;盘货信息!$C:$C,盘货信息!$D:$D)&amp;"元到手价")</f>
        <v/>
      </c>
      <c r="G60" s="27" t="str" cm="1">
        <f t="array" ref="G60">IF($C60="","",IF(_xlfn.XLOOKUP($A60&amp;$B60&amp;$C60,盘货信息!$A:$A&amp;盘货信息!$B:$B&amp;盘货信息!$C:$C,盘货信息!$G:$G)&lt;1,"",ROUND(_xlfn.XLOOKUP($A60&amp;$B60&amp;$C60,盘货信息!$A:$A&amp;盘货信息!$B:$B&amp;盘货信息!$C:$C,盘货信息!$G:$G),0)&amp;"元88VIP立减"))</f>
        <v/>
      </c>
      <c r="H60" s="27" t="str" cm="1">
        <f t="array" ref="H60">IF($C60="","",IF(_xlfn.XLOOKUP($A60&amp;$B60&amp;$C60,盘货信息!$A:$A&amp;盘货信息!$B:$B&amp;盘货信息!$C:$C,盘货信息!$I:$I)&lt;1,"",_xlfn.XLOOKUP($A60&amp;$B60&amp;$C60,盘货信息!$A:$A&amp;盘货信息!$B:$B&amp;盘货信息!$C:$C,盘货信息!$I:$I)&amp;"元惊喜立减"))</f>
        <v/>
      </c>
      <c r="I60" s="27" t="str" cm="1">
        <f t="array" ref="I60">IF($C60="","",IF(_xlfn.XLOOKUP($A60&amp;$B60&amp;$C60,盘货信息!$A:$A&amp;盘货信息!$B:$B&amp;盘货信息!$C:$C,盘货信息!$H:$H)&lt;1,"",ROUND(_xlfn.XLOOKUP($A60&amp;$B60&amp;$C60,盘货信息!$A:$A&amp;盘货信息!$B:$B&amp;盘货信息!$C:$C,盘货信息!$H:$H),0)&amp;"元消费券"))</f>
        <v/>
      </c>
      <c r="J60" s="27" t="str" cm="1">
        <f t="array" ref="J60">IF($C60="","",IF(_xlfn.XLOOKUP($A60&amp;$B60&amp;$C60,盘货信息!$A:$A&amp;盘货信息!$B:$B&amp;盘货信息!$C:$C,盘货信息!$J:$J)&lt;1,"",ROUND(_xlfn.XLOOKUP($A60&amp;$B60&amp;$C60,盘货信息!$A:$A&amp;盘货信息!$B:$B&amp;盘货信息!$C:$C,盘货信息!$J:$J),0)&amp;"元限时补贴"))</f>
        <v/>
      </c>
      <c r="K60" s="27" t="str" cm="1">
        <f t="array" ref="K60">IF($C60="","",IF(_xlfn.XLOOKUP($A60&amp;$B60&amp;$C60,盘货信息!$A:$A&amp;盘货信息!$B:$B&amp;盘货信息!$C:$C,盘货信息!$K:$K)&lt;1,"",ROUND(_xlfn.XLOOKUP($A60&amp;$B60&amp;$C60,盘货信息!$A:$A&amp;盘货信息!$B:$B&amp;盘货信息!$C:$C,盘货信息!$K:$K),0)&amp;"元预估焕新补贴"))</f>
        <v/>
      </c>
      <c r="L60" s="27" t="str" cm="1">
        <f t="array" ref="L60">IF($C60="","",IF(AND(_xlfn.XLOOKUP($A60&amp;$B60&amp;$C60,盘货信息!$A:$A&amp;盘货信息!$B:$B&amp;盘货信息!$C:$C,盘货信息!$L:$L)="是",_xlfn.XLOOKUP($A60&amp;$B60&amp;$C60,盘货信息!$A:$A&amp;盘货信息!$B:$B&amp;盘货信息!$C:$C,盘货信息!$M:$M)="是",_xlfn.XLOOKUP($A60&amp;$B60&amp;$C60,盘货信息!$A:$A&amp;盘货信息!$B:$B&amp;盘货信息!$C:$C,盘货信息!$K:$K)&gt;0),"【全民可用，不限地址】",IF(AND(OR(_xlfn.XLOOKUP($A60&amp;$B60&amp;$C60,盘货信息!$A:$A&amp;盘货信息!$B:$B&amp;盘货信息!$C:$C,盘货信息!$L:$L)="否",_xlfn.XLOOKUP($A60&amp;$B60&amp;$C60,盘货信息!$A:$A&amp;盘货信息!$B:$B&amp;盘货信息!$C:$C,盘货信息!$L:$L)=""),_xlfn.XLOOKUP($A60&amp;$B60&amp;$C60,盘货信息!$A:$A&amp;盘货信息!$B:$B&amp;盘货信息!$C:$C,盘货信息!$M:$M)="是",_xlfn.XLOOKUP($A60&amp;$B60&amp;$C60,盘货信息!$A:$A&amp;盘货信息!$B:$B&amp;盘货信息!$C:$C,盘货信息!$K:$K)&gt;0),"【详情页领取】","")))</f>
        <v/>
      </c>
      <c r="M60" s="27" t="str" cm="1">
        <f t="array" ref="M60">IF($C60="","",IF(_xlfn.XLOOKUP($A60&amp;$B60&amp;$C60,盘货信息!$A:$A&amp;盘货信息!$B:$B&amp;盘货信息!$C:$C,盘货信息!$F:$F)&lt;1,"",_xlfn.XLOOKUP($A60&amp;$B60&amp;$C60,盘货信息!$A:$A&amp;盘货信息!$B:$B&amp;盘货信息!$C:$C,盘货信息!$F:$F)&amp;"元明卷"))</f>
        <v/>
      </c>
      <c r="N60" s="27" t="str">
        <f t="shared" si="1"/>
        <v/>
      </c>
      <c r="O60" s="27" t="str">
        <f>IF(I60="","","【消费券链接】"&amp;固定信息!$B$6)</f>
        <v/>
      </c>
    </row>
    <row r="61" customHeight="1" spans="1:15">
      <c r="A61" s="26" t="str">
        <f>IF(盘货信息!A61="","",盘货信息!A61)</f>
        <v/>
      </c>
      <c r="B61" s="26" t="str">
        <f>IF(盘货信息!B61="","",盘货信息!B61)</f>
        <v/>
      </c>
      <c r="C61" s="27" t="str">
        <f>IF(盘货信息!C61="","",盘货信息!C61)</f>
        <v/>
      </c>
      <c r="D61" s="27" t="str">
        <f t="shared" si="0"/>
        <v/>
      </c>
      <c r="E61" s="27" t="str" cm="1">
        <f t="array" ref="E61">IF($C61="","",IF(AND(OR(_xlfn.XLOOKUP($A61&amp;$B61&amp;$C61,盘货信息!$A:$A&amp;盘货信息!$B:$B&amp;盘货信息!$C:$C,盘货信息!$L:$L)="否",_xlfn.XLOOKUP($A61&amp;$B61&amp;$C61,盘货信息!$A:$A&amp;盘货信息!$B:$B&amp;盘货信息!$C:$C,盘货信息!$L:$L)=""),_xlfn.XLOOKUP($A61&amp;$B61&amp;$C61,盘货信息!$A:$A&amp;盘货信息!$B:$B&amp;盘货信息!$C:$C,盘货信息!$M:$M)="否"),"【预估到手价"&amp;_xlfn.XLOOKUP($A61&amp;$B61&amp;$C61,盘货信息!$A:$A&amp;盘货信息!$B:$B&amp;盘货信息!$C:$C,盘货信息!$D:$D)&amp;"元】",IF(AND(_xlfn.XLOOKUP($A61&amp;$B61&amp;$C61,盘货信息!$A:$A&amp;盘货信息!$B:$B&amp;盘货信息!$C:$C,盘货信息!$M:$M)="是",OR(_xlfn.XLOOKUP($A61&amp;$B61&amp;$C61,盘货信息!$A:$A&amp;盘货信息!$B:$B&amp;盘货信息!$C:$C,盘货信息!$L:$L)="否",_xlfn.XLOOKUP($A61&amp;$B61&amp;$C61,盘货信息!$A:$A&amp;盘货信息!$B:$B&amp;盘货信息!$C:$C,盘货信息!$L:$L)="")),"【预估到手价"&amp;_xlfn.XLOOKUP($A61&amp;$B61&amp;$C61,盘货信息!$A:$A&amp;盘货信息!$B:$B&amp;盘货信息!$C:$C,盘货信息!$D:$D)&amp;"元】"&amp;CHAR(10)&amp;"【焕新补贴预估价"&amp;ROUND(_xlfn.XLOOKUP($A61&amp;$B61&amp;$C61,盘货信息!$A:$A&amp;盘货信息!$B:$B&amp;盘货信息!$C:$C,盘货信息!$E:$E),0)&amp;"元】","【焕新补贴预估价"&amp;ROUND(_xlfn.XLOOKUP($A61&amp;$B61&amp;$C61,盘货信息!$A:$A&amp;盘货信息!$B:$B&amp;盘货信息!$C:$C,盘货信息!$E:$E),0)&amp;"元】")))</f>
        <v/>
      </c>
      <c r="F61" s="27" t="str" cm="1">
        <f t="array" ref="F61">IF($C61="","",_xlfn.XLOOKUP($A61&amp;$B61&amp;$C61,盘货信息!$A:$A&amp;盘货信息!$B:$B&amp;盘货信息!$C:$C,盘货信息!$D:$D)&amp;"元到手价")</f>
        <v/>
      </c>
      <c r="G61" s="27" t="str" cm="1">
        <f t="array" ref="G61">IF($C61="","",IF(_xlfn.XLOOKUP($A61&amp;$B61&amp;$C61,盘货信息!$A:$A&amp;盘货信息!$B:$B&amp;盘货信息!$C:$C,盘货信息!$G:$G)&lt;1,"",ROUND(_xlfn.XLOOKUP($A61&amp;$B61&amp;$C61,盘货信息!$A:$A&amp;盘货信息!$B:$B&amp;盘货信息!$C:$C,盘货信息!$G:$G),0)&amp;"元88VIP立减"))</f>
        <v/>
      </c>
      <c r="H61" s="27" t="str" cm="1">
        <f t="array" ref="H61">IF($C61="","",IF(_xlfn.XLOOKUP($A61&amp;$B61&amp;$C61,盘货信息!$A:$A&amp;盘货信息!$B:$B&amp;盘货信息!$C:$C,盘货信息!$I:$I)&lt;1,"",_xlfn.XLOOKUP($A61&amp;$B61&amp;$C61,盘货信息!$A:$A&amp;盘货信息!$B:$B&amp;盘货信息!$C:$C,盘货信息!$I:$I)&amp;"元惊喜立减"))</f>
        <v/>
      </c>
      <c r="I61" s="27" t="str" cm="1">
        <f t="array" ref="I61">IF($C61="","",IF(_xlfn.XLOOKUP($A61&amp;$B61&amp;$C61,盘货信息!$A:$A&amp;盘货信息!$B:$B&amp;盘货信息!$C:$C,盘货信息!$H:$H)&lt;1,"",ROUND(_xlfn.XLOOKUP($A61&amp;$B61&amp;$C61,盘货信息!$A:$A&amp;盘货信息!$B:$B&amp;盘货信息!$C:$C,盘货信息!$H:$H),0)&amp;"元消费券"))</f>
        <v/>
      </c>
      <c r="J61" s="27" t="str" cm="1">
        <f t="array" ref="J61">IF($C61="","",IF(_xlfn.XLOOKUP($A61&amp;$B61&amp;$C61,盘货信息!$A:$A&amp;盘货信息!$B:$B&amp;盘货信息!$C:$C,盘货信息!$J:$J)&lt;1,"",ROUND(_xlfn.XLOOKUP($A61&amp;$B61&amp;$C61,盘货信息!$A:$A&amp;盘货信息!$B:$B&amp;盘货信息!$C:$C,盘货信息!$J:$J),0)&amp;"元限时补贴"))</f>
        <v/>
      </c>
      <c r="K61" s="27" t="str" cm="1">
        <f t="array" ref="K61">IF($C61="","",IF(_xlfn.XLOOKUP($A61&amp;$B61&amp;$C61,盘货信息!$A:$A&amp;盘货信息!$B:$B&amp;盘货信息!$C:$C,盘货信息!$K:$K)&lt;1,"",ROUND(_xlfn.XLOOKUP($A61&amp;$B61&amp;$C61,盘货信息!$A:$A&amp;盘货信息!$B:$B&amp;盘货信息!$C:$C,盘货信息!$K:$K),0)&amp;"元预估焕新补贴"))</f>
        <v/>
      </c>
      <c r="L61" s="27" t="str" cm="1">
        <f t="array" ref="L61">IF($C61="","",IF(AND(_xlfn.XLOOKUP($A61&amp;$B61&amp;$C61,盘货信息!$A:$A&amp;盘货信息!$B:$B&amp;盘货信息!$C:$C,盘货信息!$L:$L)="是",_xlfn.XLOOKUP($A61&amp;$B61&amp;$C61,盘货信息!$A:$A&amp;盘货信息!$B:$B&amp;盘货信息!$C:$C,盘货信息!$M:$M)="是",_xlfn.XLOOKUP($A61&amp;$B61&amp;$C61,盘货信息!$A:$A&amp;盘货信息!$B:$B&amp;盘货信息!$C:$C,盘货信息!$K:$K)&gt;0),"【全民可用，不限地址】",IF(AND(OR(_xlfn.XLOOKUP($A61&amp;$B61&amp;$C61,盘货信息!$A:$A&amp;盘货信息!$B:$B&amp;盘货信息!$C:$C,盘货信息!$L:$L)="否",_xlfn.XLOOKUP($A61&amp;$B61&amp;$C61,盘货信息!$A:$A&amp;盘货信息!$B:$B&amp;盘货信息!$C:$C,盘货信息!$L:$L)=""),_xlfn.XLOOKUP($A61&amp;$B61&amp;$C61,盘货信息!$A:$A&amp;盘货信息!$B:$B&amp;盘货信息!$C:$C,盘货信息!$M:$M)="是",_xlfn.XLOOKUP($A61&amp;$B61&amp;$C61,盘货信息!$A:$A&amp;盘货信息!$B:$B&amp;盘货信息!$C:$C,盘货信息!$K:$K)&gt;0),"【详情页领取】","")))</f>
        <v/>
      </c>
      <c r="M61" s="27" t="str" cm="1">
        <f t="array" ref="M61">IF($C61="","",IF(_xlfn.XLOOKUP($A61&amp;$B61&amp;$C61,盘货信息!$A:$A&amp;盘货信息!$B:$B&amp;盘货信息!$C:$C,盘货信息!$F:$F)&lt;1,"",_xlfn.XLOOKUP($A61&amp;$B61&amp;$C61,盘货信息!$A:$A&amp;盘货信息!$B:$B&amp;盘货信息!$C:$C,盘货信息!$F:$F)&amp;"元明卷"))</f>
        <v/>
      </c>
      <c r="N61" s="27" t="str">
        <f t="shared" si="1"/>
        <v/>
      </c>
      <c r="O61" s="27" t="str">
        <f>IF(I61="","","【消费券链接】"&amp;固定信息!$B$6)</f>
        <v/>
      </c>
    </row>
    <row r="62" customHeight="1" spans="1:15">
      <c r="A62" s="26" t="str">
        <f>IF(盘货信息!A62="","",盘货信息!A62)</f>
        <v/>
      </c>
      <c r="B62" s="26" t="str">
        <f>IF(盘货信息!B62="","",盘货信息!B62)</f>
        <v/>
      </c>
      <c r="C62" s="27" t="str">
        <f>IF(盘货信息!C62="","",盘货信息!C62)</f>
        <v/>
      </c>
      <c r="D62" s="27" t="str">
        <f t="shared" si="0"/>
        <v/>
      </c>
      <c r="E62" s="27" t="str" cm="1">
        <f t="array" ref="E62">IF($C62="","",IF(AND(OR(_xlfn.XLOOKUP($A62&amp;$B62&amp;$C62,盘货信息!$A:$A&amp;盘货信息!$B:$B&amp;盘货信息!$C:$C,盘货信息!$L:$L)="否",_xlfn.XLOOKUP($A62&amp;$B62&amp;$C62,盘货信息!$A:$A&amp;盘货信息!$B:$B&amp;盘货信息!$C:$C,盘货信息!$L:$L)=""),_xlfn.XLOOKUP($A62&amp;$B62&amp;$C62,盘货信息!$A:$A&amp;盘货信息!$B:$B&amp;盘货信息!$C:$C,盘货信息!$M:$M)="否"),"【预估到手价"&amp;_xlfn.XLOOKUP($A62&amp;$B62&amp;$C62,盘货信息!$A:$A&amp;盘货信息!$B:$B&amp;盘货信息!$C:$C,盘货信息!$D:$D)&amp;"元】",IF(AND(_xlfn.XLOOKUP($A62&amp;$B62&amp;$C62,盘货信息!$A:$A&amp;盘货信息!$B:$B&amp;盘货信息!$C:$C,盘货信息!$M:$M)="是",OR(_xlfn.XLOOKUP($A62&amp;$B62&amp;$C62,盘货信息!$A:$A&amp;盘货信息!$B:$B&amp;盘货信息!$C:$C,盘货信息!$L:$L)="否",_xlfn.XLOOKUP($A62&amp;$B62&amp;$C62,盘货信息!$A:$A&amp;盘货信息!$B:$B&amp;盘货信息!$C:$C,盘货信息!$L:$L)="")),"【预估到手价"&amp;_xlfn.XLOOKUP($A62&amp;$B62&amp;$C62,盘货信息!$A:$A&amp;盘货信息!$B:$B&amp;盘货信息!$C:$C,盘货信息!$D:$D)&amp;"元】"&amp;CHAR(10)&amp;"【焕新补贴预估价"&amp;ROUND(_xlfn.XLOOKUP($A62&amp;$B62&amp;$C62,盘货信息!$A:$A&amp;盘货信息!$B:$B&amp;盘货信息!$C:$C,盘货信息!$E:$E),0)&amp;"元】","【焕新补贴预估价"&amp;ROUND(_xlfn.XLOOKUP($A62&amp;$B62&amp;$C62,盘货信息!$A:$A&amp;盘货信息!$B:$B&amp;盘货信息!$C:$C,盘货信息!$E:$E),0)&amp;"元】")))</f>
        <v/>
      </c>
      <c r="F62" s="27" t="str" cm="1">
        <f t="array" ref="F62">IF($C62="","",_xlfn.XLOOKUP($A62&amp;$B62&amp;$C62,盘货信息!$A:$A&amp;盘货信息!$B:$B&amp;盘货信息!$C:$C,盘货信息!$D:$D)&amp;"元到手价")</f>
        <v/>
      </c>
      <c r="G62" s="27" t="str" cm="1">
        <f t="array" ref="G62">IF($C62="","",IF(_xlfn.XLOOKUP($A62&amp;$B62&amp;$C62,盘货信息!$A:$A&amp;盘货信息!$B:$B&amp;盘货信息!$C:$C,盘货信息!$G:$G)&lt;1,"",ROUND(_xlfn.XLOOKUP($A62&amp;$B62&amp;$C62,盘货信息!$A:$A&amp;盘货信息!$B:$B&amp;盘货信息!$C:$C,盘货信息!$G:$G),0)&amp;"元88VIP立减"))</f>
        <v/>
      </c>
      <c r="H62" s="27" t="str" cm="1">
        <f t="array" ref="H62">IF($C62="","",IF(_xlfn.XLOOKUP($A62&amp;$B62&amp;$C62,盘货信息!$A:$A&amp;盘货信息!$B:$B&amp;盘货信息!$C:$C,盘货信息!$I:$I)&lt;1,"",_xlfn.XLOOKUP($A62&amp;$B62&amp;$C62,盘货信息!$A:$A&amp;盘货信息!$B:$B&amp;盘货信息!$C:$C,盘货信息!$I:$I)&amp;"元惊喜立减"))</f>
        <v/>
      </c>
      <c r="I62" s="27" t="str" cm="1">
        <f t="array" ref="I62">IF($C62="","",IF(_xlfn.XLOOKUP($A62&amp;$B62&amp;$C62,盘货信息!$A:$A&amp;盘货信息!$B:$B&amp;盘货信息!$C:$C,盘货信息!$H:$H)&lt;1,"",ROUND(_xlfn.XLOOKUP($A62&amp;$B62&amp;$C62,盘货信息!$A:$A&amp;盘货信息!$B:$B&amp;盘货信息!$C:$C,盘货信息!$H:$H),0)&amp;"元消费券"))</f>
        <v/>
      </c>
      <c r="J62" s="27" t="str" cm="1">
        <f t="array" ref="J62">IF($C62="","",IF(_xlfn.XLOOKUP($A62&amp;$B62&amp;$C62,盘货信息!$A:$A&amp;盘货信息!$B:$B&amp;盘货信息!$C:$C,盘货信息!$J:$J)&lt;1,"",ROUND(_xlfn.XLOOKUP($A62&amp;$B62&amp;$C62,盘货信息!$A:$A&amp;盘货信息!$B:$B&amp;盘货信息!$C:$C,盘货信息!$J:$J),0)&amp;"元限时补贴"))</f>
        <v/>
      </c>
      <c r="K62" s="27" t="str" cm="1">
        <f t="array" ref="K62">IF($C62="","",IF(_xlfn.XLOOKUP($A62&amp;$B62&amp;$C62,盘货信息!$A:$A&amp;盘货信息!$B:$B&amp;盘货信息!$C:$C,盘货信息!$K:$K)&lt;1,"",ROUND(_xlfn.XLOOKUP($A62&amp;$B62&amp;$C62,盘货信息!$A:$A&amp;盘货信息!$B:$B&amp;盘货信息!$C:$C,盘货信息!$K:$K),0)&amp;"元预估焕新补贴"))</f>
        <v/>
      </c>
      <c r="L62" s="27" t="str" cm="1">
        <f t="array" ref="L62">IF($C62="","",IF(AND(_xlfn.XLOOKUP($A62&amp;$B62&amp;$C62,盘货信息!$A:$A&amp;盘货信息!$B:$B&amp;盘货信息!$C:$C,盘货信息!$L:$L)="是",_xlfn.XLOOKUP($A62&amp;$B62&amp;$C62,盘货信息!$A:$A&amp;盘货信息!$B:$B&amp;盘货信息!$C:$C,盘货信息!$M:$M)="是",_xlfn.XLOOKUP($A62&amp;$B62&amp;$C62,盘货信息!$A:$A&amp;盘货信息!$B:$B&amp;盘货信息!$C:$C,盘货信息!$K:$K)&gt;0),"【全民可用，不限地址】",IF(AND(OR(_xlfn.XLOOKUP($A62&amp;$B62&amp;$C62,盘货信息!$A:$A&amp;盘货信息!$B:$B&amp;盘货信息!$C:$C,盘货信息!$L:$L)="否",_xlfn.XLOOKUP($A62&amp;$B62&amp;$C62,盘货信息!$A:$A&amp;盘货信息!$B:$B&amp;盘货信息!$C:$C,盘货信息!$L:$L)=""),_xlfn.XLOOKUP($A62&amp;$B62&amp;$C62,盘货信息!$A:$A&amp;盘货信息!$B:$B&amp;盘货信息!$C:$C,盘货信息!$M:$M)="是",_xlfn.XLOOKUP($A62&amp;$B62&amp;$C62,盘货信息!$A:$A&amp;盘货信息!$B:$B&amp;盘货信息!$C:$C,盘货信息!$K:$K)&gt;0),"【详情页领取】","")))</f>
        <v/>
      </c>
      <c r="M62" s="27" t="str" cm="1">
        <f t="array" ref="M62">IF($C62="","",IF(_xlfn.XLOOKUP($A62&amp;$B62&amp;$C62,盘货信息!$A:$A&amp;盘货信息!$B:$B&amp;盘货信息!$C:$C,盘货信息!$F:$F)&lt;1,"",_xlfn.XLOOKUP($A62&amp;$B62&amp;$C62,盘货信息!$A:$A&amp;盘货信息!$B:$B&amp;盘货信息!$C:$C,盘货信息!$F:$F)&amp;"元明卷"))</f>
        <v/>
      </c>
      <c r="N62" s="27" t="str">
        <f t="shared" si="1"/>
        <v/>
      </c>
      <c r="O62" s="27" t="str">
        <f>IF(I62="","","【消费券链接】"&amp;固定信息!$B$6)</f>
        <v/>
      </c>
    </row>
    <row r="63" customHeight="1" spans="1:15">
      <c r="A63" s="26" t="str">
        <f>IF(盘货信息!A63="","",盘货信息!A63)</f>
        <v/>
      </c>
      <c r="B63" s="26" t="str">
        <f>IF(盘货信息!B63="","",盘货信息!B63)</f>
        <v/>
      </c>
      <c r="C63" s="27" t="str">
        <f>IF(盘货信息!C63="","",盘货信息!C63)</f>
        <v/>
      </c>
      <c r="D63" s="27" t="str">
        <f t="shared" si="0"/>
        <v/>
      </c>
      <c r="E63" s="27" t="str" cm="1">
        <f t="array" ref="E63">IF($C63="","",IF(AND(OR(_xlfn.XLOOKUP($A63&amp;$B63&amp;$C63,盘货信息!$A:$A&amp;盘货信息!$B:$B&amp;盘货信息!$C:$C,盘货信息!$L:$L)="否",_xlfn.XLOOKUP($A63&amp;$B63&amp;$C63,盘货信息!$A:$A&amp;盘货信息!$B:$B&amp;盘货信息!$C:$C,盘货信息!$L:$L)=""),_xlfn.XLOOKUP($A63&amp;$B63&amp;$C63,盘货信息!$A:$A&amp;盘货信息!$B:$B&amp;盘货信息!$C:$C,盘货信息!$M:$M)="否"),"【预估到手价"&amp;_xlfn.XLOOKUP($A63&amp;$B63&amp;$C63,盘货信息!$A:$A&amp;盘货信息!$B:$B&amp;盘货信息!$C:$C,盘货信息!$D:$D)&amp;"元】",IF(AND(_xlfn.XLOOKUP($A63&amp;$B63&amp;$C63,盘货信息!$A:$A&amp;盘货信息!$B:$B&amp;盘货信息!$C:$C,盘货信息!$M:$M)="是",OR(_xlfn.XLOOKUP($A63&amp;$B63&amp;$C63,盘货信息!$A:$A&amp;盘货信息!$B:$B&amp;盘货信息!$C:$C,盘货信息!$L:$L)="否",_xlfn.XLOOKUP($A63&amp;$B63&amp;$C63,盘货信息!$A:$A&amp;盘货信息!$B:$B&amp;盘货信息!$C:$C,盘货信息!$L:$L)="")),"【预估到手价"&amp;_xlfn.XLOOKUP($A63&amp;$B63&amp;$C63,盘货信息!$A:$A&amp;盘货信息!$B:$B&amp;盘货信息!$C:$C,盘货信息!$D:$D)&amp;"元】"&amp;CHAR(10)&amp;"【焕新补贴预估价"&amp;ROUND(_xlfn.XLOOKUP($A63&amp;$B63&amp;$C63,盘货信息!$A:$A&amp;盘货信息!$B:$B&amp;盘货信息!$C:$C,盘货信息!$E:$E),0)&amp;"元】","【焕新补贴预估价"&amp;ROUND(_xlfn.XLOOKUP($A63&amp;$B63&amp;$C63,盘货信息!$A:$A&amp;盘货信息!$B:$B&amp;盘货信息!$C:$C,盘货信息!$E:$E),0)&amp;"元】")))</f>
        <v/>
      </c>
      <c r="F63" s="27" t="str" cm="1">
        <f t="array" ref="F63">IF($C63="","",_xlfn.XLOOKUP($A63&amp;$B63&amp;$C63,盘货信息!$A:$A&amp;盘货信息!$B:$B&amp;盘货信息!$C:$C,盘货信息!$D:$D)&amp;"元到手价")</f>
        <v/>
      </c>
      <c r="G63" s="27" t="str" cm="1">
        <f t="array" ref="G63">IF($C63="","",IF(_xlfn.XLOOKUP($A63&amp;$B63&amp;$C63,盘货信息!$A:$A&amp;盘货信息!$B:$B&amp;盘货信息!$C:$C,盘货信息!$G:$G)&lt;1,"",ROUND(_xlfn.XLOOKUP($A63&amp;$B63&amp;$C63,盘货信息!$A:$A&amp;盘货信息!$B:$B&amp;盘货信息!$C:$C,盘货信息!$G:$G),0)&amp;"元88VIP立减"))</f>
        <v/>
      </c>
      <c r="H63" s="27" t="str" cm="1">
        <f t="array" ref="H63">IF($C63="","",IF(_xlfn.XLOOKUP($A63&amp;$B63&amp;$C63,盘货信息!$A:$A&amp;盘货信息!$B:$B&amp;盘货信息!$C:$C,盘货信息!$I:$I)&lt;1,"",_xlfn.XLOOKUP($A63&amp;$B63&amp;$C63,盘货信息!$A:$A&amp;盘货信息!$B:$B&amp;盘货信息!$C:$C,盘货信息!$I:$I)&amp;"元惊喜立减"))</f>
        <v/>
      </c>
      <c r="I63" s="27" t="str" cm="1">
        <f t="array" ref="I63">IF($C63="","",IF(_xlfn.XLOOKUP($A63&amp;$B63&amp;$C63,盘货信息!$A:$A&amp;盘货信息!$B:$B&amp;盘货信息!$C:$C,盘货信息!$H:$H)&lt;1,"",ROUND(_xlfn.XLOOKUP($A63&amp;$B63&amp;$C63,盘货信息!$A:$A&amp;盘货信息!$B:$B&amp;盘货信息!$C:$C,盘货信息!$H:$H),0)&amp;"元消费券"))</f>
        <v/>
      </c>
      <c r="J63" s="27" t="str" cm="1">
        <f t="array" ref="J63">IF($C63="","",IF(_xlfn.XLOOKUP($A63&amp;$B63&amp;$C63,盘货信息!$A:$A&amp;盘货信息!$B:$B&amp;盘货信息!$C:$C,盘货信息!$J:$J)&lt;1,"",ROUND(_xlfn.XLOOKUP($A63&amp;$B63&amp;$C63,盘货信息!$A:$A&amp;盘货信息!$B:$B&amp;盘货信息!$C:$C,盘货信息!$J:$J),0)&amp;"元限时补贴"))</f>
        <v/>
      </c>
      <c r="K63" s="27" t="str" cm="1">
        <f t="array" ref="K63">IF($C63="","",IF(_xlfn.XLOOKUP($A63&amp;$B63&amp;$C63,盘货信息!$A:$A&amp;盘货信息!$B:$B&amp;盘货信息!$C:$C,盘货信息!$K:$K)&lt;1,"",ROUND(_xlfn.XLOOKUP($A63&amp;$B63&amp;$C63,盘货信息!$A:$A&amp;盘货信息!$B:$B&amp;盘货信息!$C:$C,盘货信息!$K:$K),0)&amp;"元预估焕新补贴"))</f>
        <v/>
      </c>
      <c r="L63" s="27" t="str" cm="1">
        <f t="array" ref="L63">IF($C63="","",IF(AND(_xlfn.XLOOKUP($A63&amp;$B63&amp;$C63,盘货信息!$A:$A&amp;盘货信息!$B:$B&amp;盘货信息!$C:$C,盘货信息!$L:$L)="是",_xlfn.XLOOKUP($A63&amp;$B63&amp;$C63,盘货信息!$A:$A&amp;盘货信息!$B:$B&amp;盘货信息!$C:$C,盘货信息!$M:$M)="是",_xlfn.XLOOKUP($A63&amp;$B63&amp;$C63,盘货信息!$A:$A&amp;盘货信息!$B:$B&amp;盘货信息!$C:$C,盘货信息!$K:$K)&gt;0),"【全民可用，不限地址】",IF(AND(OR(_xlfn.XLOOKUP($A63&amp;$B63&amp;$C63,盘货信息!$A:$A&amp;盘货信息!$B:$B&amp;盘货信息!$C:$C,盘货信息!$L:$L)="否",_xlfn.XLOOKUP($A63&amp;$B63&amp;$C63,盘货信息!$A:$A&amp;盘货信息!$B:$B&amp;盘货信息!$C:$C,盘货信息!$L:$L)=""),_xlfn.XLOOKUP($A63&amp;$B63&amp;$C63,盘货信息!$A:$A&amp;盘货信息!$B:$B&amp;盘货信息!$C:$C,盘货信息!$M:$M)="是",_xlfn.XLOOKUP($A63&amp;$B63&amp;$C63,盘货信息!$A:$A&amp;盘货信息!$B:$B&amp;盘货信息!$C:$C,盘货信息!$K:$K)&gt;0),"【详情页领取】","")))</f>
        <v/>
      </c>
      <c r="M63" s="27" t="str" cm="1">
        <f t="array" ref="M63">IF($C63="","",IF(_xlfn.XLOOKUP($A63&amp;$B63&amp;$C63,盘货信息!$A:$A&amp;盘货信息!$B:$B&amp;盘货信息!$C:$C,盘货信息!$F:$F)&lt;1,"",_xlfn.XLOOKUP($A63&amp;$B63&amp;$C63,盘货信息!$A:$A&amp;盘货信息!$B:$B&amp;盘货信息!$C:$C,盘货信息!$F:$F)&amp;"元明卷"))</f>
        <v/>
      </c>
      <c r="N63" s="27" t="str">
        <f t="shared" si="1"/>
        <v/>
      </c>
      <c r="O63" s="27" t="str">
        <f>IF(I63="","","【消费券链接】"&amp;固定信息!$B$6)</f>
        <v/>
      </c>
    </row>
    <row r="64" customHeight="1" spans="1:15">
      <c r="A64" s="26" t="str">
        <f>IF(盘货信息!A64="","",盘货信息!A64)</f>
        <v/>
      </c>
      <c r="B64" s="26" t="str">
        <f>IF(盘货信息!B64="","",盘货信息!B64)</f>
        <v/>
      </c>
      <c r="C64" s="27" t="str">
        <f>IF(盘货信息!C64="","",盘货信息!C64)</f>
        <v/>
      </c>
      <c r="D64" s="27" t="str">
        <f t="shared" si="0"/>
        <v/>
      </c>
      <c r="E64" s="27" t="str" cm="1">
        <f t="array" ref="E64">IF($C64="","",IF(AND(OR(_xlfn.XLOOKUP($A64&amp;$B64&amp;$C64,盘货信息!$A:$A&amp;盘货信息!$B:$B&amp;盘货信息!$C:$C,盘货信息!$L:$L)="否",_xlfn.XLOOKUP($A64&amp;$B64&amp;$C64,盘货信息!$A:$A&amp;盘货信息!$B:$B&amp;盘货信息!$C:$C,盘货信息!$L:$L)=""),_xlfn.XLOOKUP($A64&amp;$B64&amp;$C64,盘货信息!$A:$A&amp;盘货信息!$B:$B&amp;盘货信息!$C:$C,盘货信息!$M:$M)="否"),"【预估到手价"&amp;_xlfn.XLOOKUP($A64&amp;$B64&amp;$C64,盘货信息!$A:$A&amp;盘货信息!$B:$B&amp;盘货信息!$C:$C,盘货信息!$D:$D)&amp;"元】",IF(AND(_xlfn.XLOOKUP($A64&amp;$B64&amp;$C64,盘货信息!$A:$A&amp;盘货信息!$B:$B&amp;盘货信息!$C:$C,盘货信息!$M:$M)="是",OR(_xlfn.XLOOKUP($A64&amp;$B64&amp;$C64,盘货信息!$A:$A&amp;盘货信息!$B:$B&amp;盘货信息!$C:$C,盘货信息!$L:$L)="否",_xlfn.XLOOKUP($A64&amp;$B64&amp;$C64,盘货信息!$A:$A&amp;盘货信息!$B:$B&amp;盘货信息!$C:$C,盘货信息!$L:$L)="")),"【预估到手价"&amp;_xlfn.XLOOKUP($A64&amp;$B64&amp;$C64,盘货信息!$A:$A&amp;盘货信息!$B:$B&amp;盘货信息!$C:$C,盘货信息!$D:$D)&amp;"元】"&amp;CHAR(10)&amp;"【焕新补贴预估价"&amp;ROUND(_xlfn.XLOOKUP($A64&amp;$B64&amp;$C64,盘货信息!$A:$A&amp;盘货信息!$B:$B&amp;盘货信息!$C:$C,盘货信息!$E:$E),0)&amp;"元】","【焕新补贴预估价"&amp;ROUND(_xlfn.XLOOKUP($A64&amp;$B64&amp;$C64,盘货信息!$A:$A&amp;盘货信息!$B:$B&amp;盘货信息!$C:$C,盘货信息!$E:$E),0)&amp;"元】")))</f>
        <v/>
      </c>
      <c r="F64" s="27" t="str" cm="1">
        <f t="array" ref="F64">IF($C64="","",_xlfn.XLOOKUP($A64&amp;$B64&amp;$C64,盘货信息!$A:$A&amp;盘货信息!$B:$B&amp;盘货信息!$C:$C,盘货信息!$D:$D)&amp;"元到手价")</f>
        <v/>
      </c>
      <c r="G64" s="27" t="str" cm="1">
        <f t="array" ref="G64">IF($C64="","",IF(_xlfn.XLOOKUP($A64&amp;$B64&amp;$C64,盘货信息!$A:$A&amp;盘货信息!$B:$B&amp;盘货信息!$C:$C,盘货信息!$G:$G)&lt;1,"",ROUND(_xlfn.XLOOKUP($A64&amp;$B64&amp;$C64,盘货信息!$A:$A&amp;盘货信息!$B:$B&amp;盘货信息!$C:$C,盘货信息!$G:$G),0)&amp;"元88VIP立减"))</f>
        <v/>
      </c>
      <c r="H64" s="27" t="str" cm="1">
        <f t="array" ref="H64">IF($C64="","",IF(_xlfn.XLOOKUP($A64&amp;$B64&amp;$C64,盘货信息!$A:$A&amp;盘货信息!$B:$B&amp;盘货信息!$C:$C,盘货信息!$I:$I)&lt;1,"",_xlfn.XLOOKUP($A64&amp;$B64&amp;$C64,盘货信息!$A:$A&amp;盘货信息!$B:$B&amp;盘货信息!$C:$C,盘货信息!$I:$I)&amp;"元惊喜立减"))</f>
        <v/>
      </c>
      <c r="I64" s="27" t="str" cm="1">
        <f t="array" ref="I64">IF($C64="","",IF(_xlfn.XLOOKUP($A64&amp;$B64&amp;$C64,盘货信息!$A:$A&amp;盘货信息!$B:$B&amp;盘货信息!$C:$C,盘货信息!$H:$H)&lt;1,"",ROUND(_xlfn.XLOOKUP($A64&amp;$B64&amp;$C64,盘货信息!$A:$A&amp;盘货信息!$B:$B&amp;盘货信息!$C:$C,盘货信息!$H:$H),0)&amp;"元消费券"))</f>
        <v/>
      </c>
      <c r="J64" s="27" t="str" cm="1">
        <f t="array" ref="J64">IF($C64="","",IF(_xlfn.XLOOKUP($A64&amp;$B64&amp;$C64,盘货信息!$A:$A&amp;盘货信息!$B:$B&amp;盘货信息!$C:$C,盘货信息!$J:$J)&lt;1,"",ROUND(_xlfn.XLOOKUP($A64&amp;$B64&amp;$C64,盘货信息!$A:$A&amp;盘货信息!$B:$B&amp;盘货信息!$C:$C,盘货信息!$J:$J),0)&amp;"元限时补贴"))</f>
        <v/>
      </c>
      <c r="K64" s="27" t="str" cm="1">
        <f t="array" ref="K64">IF($C64="","",IF(_xlfn.XLOOKUP($A64&amp;$B64&amp;$C64,盘货信息!$A:$A&amp;盘货信息!$B:$B&amp;盘货信息!$C:$C,盘货信息!$K:$K)&lt;1,"",ROUND(_xlfn.XLOOKUP($A64&amp;$B64&amp;$C64,盘货信息!$A:$A&amp;盘货信息!$B:$B&amp;盘货信息!$C:$C,盘货信息!$K:$K),0)&amp;"元预估焕新补贴"))</f>
        <v/>
      </c>
      <c r="L64" s="27" t="str" cm="1">
        <f t="array" ref="L64">IF($C64="","",IF(AND(_xlfn.XLOOKUP($A64&amp;$B64&amp;$C64,盘货信息!$A:$A&amp;盘货信息!$B:$B&amp;盘货信息!$C:$C,盘货信息!$L:$L)="是",_xlfn.XLOOKUP($A64&amp;$B64&amp;$C64,盘货信息!$A:$A&amp;盘货信息!$B:$B&amp;盘货信息!$C:$C,盘货信息!$M:$M)="是",_xlfn.XLOOKUP($A64&amp;$B64&amp;$C64,盘货信息!$A:$A&amp;盘货信息!$B:$B&amp;盘货信息!$C:$C,盘货信息!$K:$K)&gt;0),"【全民可用，不限地址】",IF(AND(OR(_xlfn.XLOOKUP($A64&amp;$B64&amp;$C64,盘货信息!$A:$A&amp;盘货信息!$B:$B&amp;盘货信息!$C:$C,盘货信息!$L:$L)="否",_xlfn.XLOOKUP($A64&amp;$B64&amp;$C64,盘货信息!$A:$A&amp;盘货信息!$B:$B&amp;盘货信息!$C:$C,盘货信息!$L:$L)=""),_xlfn.XLOOKUP($A64&amp;$B64&amp;$C64,盘货信息!$A:$A&amp;盘货信息!$B:$B&amp;盘货信息!$C:$C,盘货信息!$M:$M)="是",_xlfn.XLOOKUP($A64&amp;$B64&amp;$C64,盘货信息!$A:$A&amp;盘货信息!$B:$B&amp;盘货信息!$C:$C,盘货信息!$K:$K)&gt;0),"【详情页领取】","")))</f>
        <v/>
      </c>
      <c r="M64" s="27" t="str" cm="1">
        <f t="array" ref="M64">IF($C64="","",IF(_xlfn.XLOOKUP($A64&amp;$B64&amp;$C64,盘货信息!$A:$A&amp;盘货信息!$B:$B&amp;盘货信息!$C:$C,盘货信息!$F:$F)&lt;1,"",_xlfn.XLOOKUP($A64&amp;$B64&amp;$C64,盘货信息!$A:$A&amp;盘货信息!$B:$B&amp;盘货信息!$C:$C,盘货信息!$F:$F)&amp;"元明卷"))</f>
        <v/>
      </c>
      <c r="N64" s="27" t="str">
        <f t="shared" si="1"/>
        <v/>
      </c>
      <c r="O64" s="27" t="str">
        <f>IF(I64="","","【消费券链接】"&amp;固定信息!$B$6)</f>
        <v/>
      </c>
    </row>
    <row r="65" customHeight="1" spans="1:15">
      <c r="A65" s="26" t="str">
        <f>IF(盘货信息!A65="","",盘货信息!A65)</f>
        <v/>
      </c>
      <c r="B65" s="26" t="str">
        <f>IF(盘货信息!B65="","",盘货信息!B65)</f>
        <v/>
      </c>
      <c r="C65" s="27" t="str">
        <f>IF(盘货信息!C65="","",盘货信息!C65)</f>
        <v/>
      </c>
      <c r="D65" s="27" t="str">
        <f t="shared" si="0"/>
        <v/>
      </c>
      <c r="E65" s="27" t="str" cm="1">
        <f t="array" ref="E65">IF($C65="","",IF(AND(OR(_xlfn.XLOOKUP($A65&amp;$B65&amp;$C65,盘货信息!$A:$A&amp;盘货信息!$B:$B&amp;盘货信息!$C:$C,盘货信息!$L:$L)="否",_xlfn.XLOOKUP($A65&amp;$B65&amp;$C65,盘货信息!$A:$A&amp;盘货信息!$B:$B&amp;盘货信息!$C:$C,盘货信息!$L:$L)=""),_xlfn.XLOOKUP($A65&amp;$B65&amp;$C65,盘货信息!$A:$A&amp;盘货信息!$B:$B&amp;盘货信息!$C:$C,盘货信息!$M:$M)="否"),"【预估到手价"&amp;_xlfn.XLOOKUP($A65&amp;$B65&amp;$C65,盘货信息!$A:$A&amp;盘货信息!$B:$B&amp;盘货信息!$C:$C,盘货信息!$D:$D)&amp;"元】",IF(AND(_xlfn.XLOOKUP($A65&amp;$B65&amp;$C65,盘货信息!$A:$A&amp;盘货信息!$B:$B&amp;盘货信息!$C:$C,盘货信息!$M:$M)="是",OR(_xlfn.XLOOKUP($A65&amp;$B65&amp;$C65,盘货信息!$A:$A&amp;盘货信息!$B:$B&amp;盘货信息!$C:$C,盘货信息!$L:$L)="否",_xlfn.XLOOKUP($A65&amp;$B65&amp;$C65,盘货信息!$A:$A&amp;盘货信息!$B:$B&amp;盘货信息!$C:$C,盘货信息!$L:$L)="")),"【预估到手价"&amp;_xlfn.XLOOKUP($A65&amp;$B65&amp;$C65,盘货信息!$A:$A&amp;盘货信息!$B:$B&amp;盘货信息!$C:$C,盘货信息!$D:$D)&amp;"元】"&amp;CHAR(10)&amp;"【焕新补贴预估价"&amp;ROUND(_xlfn.XLOOKUP($A65&amp;$B65&amp;$C65,盘货信息!$A:$A&amp;盘货信息!$B:$B&amp;盘货信息!$C:$C,盘货信息!$E:$E),0)&amp;"元】","【焕新补贴预估价"&amp;ROUND(_xlfn.XLOOKUP($A65&amp;$B65&amp;$C65,盘货信息!$A:$A&amp;盘货信息!$B:$B&amp;盘货信息!$C:$C,盘货信息!$E:$E),0)&amp;"元】")))</f>
        <v/>
      </c>
      <c r="F65" s="27" t="str" cm="1">
        <f t="array" ref="F65">IF($C65="","",_xlfn.XLOOKUP($A65&amp;$B65&amp;$C65,盘货信息!$A:$A&amp;盘货信息!$B:$B&amp;盘货信息!$C:$C,盘货信息!$D:$D)&amp;"元到手价")</f>
        <v/>
      </c>
      <c r="G65" s="27" t="str" cm="1">
        <f t="array" ref="G65">IF($C65="","",IF(_xlfn.XLOOKUP($A65&amp;$B65&amp;$C65,盘货信息!$A:$A&amp;盘货信息!$B:$B&amp;盘货信息!$C:$C,盘货信息!$G:$G)&lt;1,"",ROUND(_xlfn.XLOOKUP($A65&amp;$B65&amp;$C65,盘货信息!$A:$A&amp;盘货信息!$B:$B&amp;盘货信息!$C:$C,盘货信息!$G:$G),0)&amp;"元88VIP立减"))</f>
        <v/>
      </c>
      <c r="H65" s="27" t="str" cm="1">
        <f t="array" ref="H65">IF($C65="","",IF(_xlfn.XLOOKUP($A65&amp;$B65&amp;$C65,盘货信息!$A:$A&amp;盘货信息!$B:$B&amp;盘货信息!$C:$C,盘货信息!$I:$I)&lt;1,"",_xlfn.XLOOKUP($A65&amp;$B65&amp;$C65,盘货信息!$A:$A&amp;盘货信息!$B:$B&amp;盘货信息!$C:$C,盘货信息!$I:$I)&amp;"元惊喜立减"))</f>
        <v/>
      </c>
      <c r="I65" s="27" t="str" cm="1">
        <f t="array" ref="I65">IF($C65="","",IF(_xlfn.XLOOKUP($A65&amp;$B65&amp;$C65,盘货信息!$A:$A&amp;盘货信息!$B:$B&amp;盘货信息!$C:$C,盘货信息!$H:$H)&lt;1,"",ROUND(_xlfn.XLOOKUP($A65&amp;$B65&amp;$C65,盘货信息!$A:$A&amp;盘货信息!$B:$B&amp;盘货信息!$C:$C,盘货信息!$H:$H),0)&amp;"元消费券"))</f>
        <v/>
      </c>
      <c r="J65" s="27" t="str" cm="1">
        <f t="array" ref="J65">IF($C65="","",IF(_xlfn.XLOOKUP($A65&amp;$B65&amp;$C65,盘货信息!$A:$A&amp;盘货信息!$B:$B&amp;盘货信息!$C:$C,盘货信息!$J:$J)&lt;1,"",ROUND(_xlfn.XLOOKUP($A65&amp;$B65&amp;$C65,盘货信息!$A:$A&amp;盘货信息!$B:$B&amp;盘货信息!$C:$C,盘货信息!$J:$J),0)&amp;"元限时补贴"))</f>
        <v/>
      </c>
      <c r="K65" s="27" t="str" cm="1">
        <f t="array" ref="K65">IF($C65="","",IF(_xlfn.XLOOKUP($A65&amp;$B65&amp;$C65,盘货信息!$A:$A&amp;盘货信息!$B:$B&amp;盘货信息!$C:$C,盘货信息!$K:$K)&lt;1,"",ROUND(_xlfn.XLOOKUP($A65&amp;$B65&amp;$C65,盘货信息!$A:$A&amp;盘货信息!$B:$B&amp;盘货信息!$C:$C,盘货信息!$K:$K),0)&amp;"元预估焕新补贴"))</f>
        <v/>
      </c>
      <c r="L65" s="27" t="str" cm="1">
        <f t="array" ref="L65">IF($C65="","",IF(AND(_xlfn.XLOOKUP($A65&amp;$B65&amp;$C65,盘货信息!$A:$A&amp;盘货信息!$B:$B&amp;盘货信息!$C:$C,盘货信息!$L:$L)="是",_xlfn.XLOOKUP($A65&amp;$B65&amp;$C65,盘货信息!$A:$A&amp;盘货信息!$B:$B&amp;盘货信息!$C:$C,盘货信息!$M:$M)="是",_xlfn.XLOOKUP($A65&amp;$B65&amp;$C65,盘货信息!$A:$A&amp;盘货信息!$B:$B&amp;盘货信息!$C:$C,盘货信息!$K:$K)&gt;0),"【全民可用，不限地址】",IF(AND(OR(_xlfn.XLOOKUP($A65&amp;$B65&amp;$C65,盘货信息!$A:$A&amp;盘货信息!$B:$B&amp;盘货信息!$C:$C,盘货信息!$L:$L)="否",_xlfn.XLOOKUP($A65&amp;$B65&amp;$C65,盘货信息!$A:$A&amp;盘货信息!$B:$B&amp;盘货信息!$C:$C,盘货信息!$L:$L)=""),_xlfn.XLOOKUP($A65&amp;$B65&amp;$C65,盘货信息!$A:$A&amp;盘货信息!$B:$B&amp;盘货信息!$C:$C,盘货信息!$M:$M)="是",_xlfn.XLOOKUP($A65&amp;$B65&amp;$C65,盘货信息!$A:$A&amp;盘货信息!$B:$B&amp;盘货信息!$C:$C,盘货信息!$K:$K)&gt;0),"【详情页领取】","")))</f>
        <v/>
      </c>
      <c r="M65" s="27" t="str" cm="1">
        <f t="array" ref="M65">IF($C65="","",IF(_xlfn.XLOOKUP($A65&amp;$B65&amp;$C65,盘货信息!$A:$A&amp;盘货信息!$B:$B&amp;盘货信息!$C:$C,盘货信息!$F:$F)&lt;1,"",_xlfn.XLOOKUP($A65&amp;$B65&amp;$C65,盘货信息!$A:$A&amp;盘货信息!$B:$B&amp;盘货信息!$C:$C,盘货信息!$F:$F)&amp;"元明卷"))</f>
        <v/>
      </c>
      <c r="N65" s="27" t="str">
        <f t="shared" si="1"/>
        <v/>
      </c>
      <c r="O65" s="27" t="str">
        <f>IF(I65="","","【消费券链接】"&amp;固定信息!$B$6)</f>
        <v/>
      </c>
    </row>
    <row r="66" customHeight="1" spans="1:15">
      <c r="A66" s="26" t="str">
        <f>IF(盘货信息!A66="","",盘货信息!A66)</f>
        <v/>
      </c>
      <c r="B66" s="26" t="str">
        <f>IF(盘货信息!B66="","",盘货信息!B66)</f>
        <v/>
      </c>
      <c r="C66" s="27" t="str">
        <f>IF(盘货信息!C66="","",盘货信息!C66)</f>
        <v/>
      </c>
      <c r="D66" s="27" t="str">
        <f t="shared" si="0"/>
        <v/>
      </c>
      <c r="E66" s="27" t="str" cm="1">
        <f t="array" ref="E66">IF($C66="","",IF(AND(OR(_xlfn.XLOOKUP($A66&amp;$B66&amp;$C66,盘货信息!$A:$A&amp;盘货信息!$B:$B&amp;盘货信息!$C:$C,盘货信息!$L:$L)="否",_xlfn.XLOOKUP($A66&amp;$B66&amp;$C66,盘货信息!$A:$A&amp;盘货信息!$B:$B&amp;盘货信息!$C:$C,盘货信息!$L:$L)=""),_xlfn.XLOOKUP($A66&amp;$B66&amp;$C66,盘货信息!$A:$A&amp;盘货信息!$B:$B&amp;盘货信息!$C:$C,盘货信息!$M:$M)="否"),"【预估到手价"&amp;_xlfn.XLOOKUP($A66&amp;$B66&amp;$C66,盘货信息!$A:$A&amp;盘货信息!$B:$B&amp;盘货信息!$C:$C,盘货信息!$D:$D)&amp;"元】",IF(AND(_xlfn.XLOOKUP($A66&amp;$B66&amp;$C66,盘货信息!$A:$A&amp;盘货信息!$B:$B&amp;盘货信息!$C:$C,盘货信息!$M:$M)="是",OR(_xlfn.XLOOKUP($A66&amp;$B66&amp;$C66,盘货信息!$A:$A&amp;盘货信息!$B:$B&amp;盘货信息!$C:$C,盘货信息!$L:$L)="否",_xlfn.XLOOKUP($A66&amp;$B66&amp;$C66,盘货信息!$A:$A&amp;盘货信息!$B:$B&amp;盘货信息!$C:$C,盘货信息!$L:$L)="")),"【预估到手价"&amp;_xlfn.XLOOKUP($A66&amp;$B66&amp;$C66,盘货信息!$A:$A&amp;盘货信息!$B:$B&amp;盘货信息!$C:$C,盘货信息!$D:$D)&amp;"元】"&amp;CHAR(10)&amp;"【焕新补贴预估价"&amp;ROUND(_xlfn.XLOOKUP($A66&amp;$B66&amp;$C66,盘货信息!$A:$A&amp;盘货信息!$B:$B&amp;盘货信息!$C:$C,盘货信息!$E:$E),0)&amp;"元】","【焕新补贴预估价"&amp;ROUND(_xlfn.XLOOKUP($A66&amp;$B66&amp;$C66,盘货信息!$A:$A&amp;盘货信息!$B:$B&amp;盘货信息!$C:$C,盘货信息!$E:$E),0)&amp;"元】")))</f>
        <v/>
      </c>
      <c r="F66" s="27" t="str" cm="1">
        <f t="array" ref="F66">IF($C66="","",_xlfn.XLOOKUP($A66&amp;$B66&amp;$C66,盘货信息!$A:$A&amp;盘货信息!$B:$B&amp;盘货信息!$C:$C,盘货信息!$D:$D)&amp;"元到手价")</f>
        <v/>
      </c>
      <c r="G66" s="27" t="str" cm="1">
        <f t="array" ref="G66">IF($C66="","",IF(_xlfn.XLOOKUP($A66&amp;$B66&amp;$C66,盘货信息!$A:$A&amp;盘货信息!$B:$B&amp;盘货信息!$C:$C,盘货信息!$G:$G)&lt;1,"",ROUND(_xlfn.XLOOKUP($A66&amp;$B66&amp;$C66,盘货信息!$A:$A&amp;盘货信息!$B:$B&amp;盘货信息!$C:$C,盘货信息!$G:$G),0)&amp;"元88VIP立减"))</f>
        <v/>
      </c>
      <c r="H66" s="27" t="str" cm="1">
        <f t="array" ref="H66">IF($C66="","",IF(_xlfn.XLOOKUP($A66&amp;$B66&amp;$C66,盘货信息!$A:$A&amp;盘货信息!$B:$B&amp;盘货信息!$C:$C,盘货信息!$I:$I)&lt;1,"",_xlfn.XLOOKUP($A66&amp;$B66&amp;$C66,盘货信息!$A:$A&amp;盘货信息!$B:$B&amp;盘货信息!$C:$C,盘货信息!$I:$I)&amp;"元惊喜立减"))</f>
        <v/>
      </c>
      <c r="I66" s="27" t="str" cm="1">
        <f t="array" ref="I66">IF($C66="","",IF(_xlfn.XLOOKUP($A66&amp;$B66&amp;$C66,盘货信息!$A:$A&amp;盘货信息!$B:$B&amp;盘货信息!$C:$C,盘货信息!$H:$H)&lt;1,"",ROUND(_xlfn.XLOOKUP($A66&amp;$B66&amp;$C66,盘货信息!$A:$A&amp;盘货信息!$B:$B&amp;盘货信息!$C:$C,盘货信息!$H:$H),0)&amp;"元消费券"))</f>
        <v/>
      </c>
      <c r="J66" s="27" t="str" cm="1">
        <f t="array" ref="J66">IF($C66="","",IF(_xlfn.XLOOKUP($A66&amp;$B66&amp;$C66,盘货信息!$A:$A&amp;盘货信息!$B:$B&amp;盘货信息!$C:$C,盘货信息!$J:$J)&lt;1,"",ROUND(_xlfn.XLOOKUP($A66&amp;$B66&amp;$C66,盘货信息!$A:$A&amp;盘货信息!$B:$B&amp;盘货信息!$C:$C,盘货信息!$J:$J),0)&amp;"元限时补贴"))</f>
        <v/>
      </c>
      <c r="K66" s="27" t="str" cm="1">
        <f t="array" ref="K66">IF($C66="","",IF(_xlfn.XLOOKUP($A66&amp;$B66&amp;$C66,盘货信息!$A:$A&amp;盘货信息!$B:$B&amp;盘货信息!$C:$C,盘货信息!$K:$K)&lt;1,"",ROUND(_xlfn.XLOOKUP($A66&amp;$B66&amp;$C66,盘货信息!$A:$A&amp;盘货信息!$B:$B&amp;盘货信息!$C:$C,盘货信息!$K:$K),0)&amp;"元预估焕新补贴"))</f>
        <v/>
      </c>
      <c r="L66" s="27" t="str" cm="1">
        <f t="array" ref="L66">IF($C66="","",IF(AND(_xlfn.XLOOKUP($A66&amp;$B66&amp;$C66,盘货信息!$A:$A&amp;盘货信息!$B:$B&amp;盘货信息!$C:$C,盘货信息!$L:$L)="是",_xlfn.XLOOKUP($A66&amp;$B66&amp;$C66,盘货信息!$A:$A&amp;盘货信息!$B:$B&amp;盘货信息!$C:$C,盘货信息!$M:$M)="是",_xlfn.XLOOKUP($A66&amp;$B66&amp;$C66,盘货信息!$A:$A&amp;盘货信息!$B:$B&amp;盘货信息!$C:$C,盘货信息!$K:$K)&gt;0),"【全民可用，不限地址】",IF(AND(OR(_xlfn.XLOOKUP($A66&amp;$B66&amp;$C66,盘货信息!$A:$A&amp;盘货信息!$B:$B&amp;盘货信息!$C:$C,盘货信息!$L:$L)="否",_xlfn.XLOOKUP($A66&amp;$B66&amp;$C66,盘货信息!$A:$A&amp;盘货信息!$B:$B&amp;盘货信息!$C:$C,盘货信息!$L:$L)=""),_xlfn.XLOOKUP($A66&amp;$B66&amp;$C66,盘货信息!$A:$A&amp;盘货信息!$B:$B&amp;盘货信息!$C:$C,盘货信息!$M:$M)="是",_xlfn.XLOOKUP($A66&amp;$B66&amp;$C66,盘货信息!$A:$A&amp;盘货信息!$B:$B&amp;盘货信息!$C:$C,盘货信息!$K:$K)&gt;0),"【详情页领取】","")))</f>
        <v/>
      </c>
      <c r="M66" s="27" t="str" cm="1">
        <f t="array" ref="M66">IF($C66="","",IF(_xlfn.XLOOKUP($A66&amp;$B66&amp;$C66,盘货信息!$A:$A&amp;盘货信息!$B:$B&amp;盘货信息!$C:$C,盘货信息!$F:$F)&lt;1,"",_xlfn.XLOOKUP($A66&amp;$B66&amp;$C66,盘货信息!$A:$A&amp;盘货信息!$B:$B&amp;盘货信息!$C:$C,盘货信息!$F:$F)&amp;"元明卷"))</f>
        <v/>
      </c>
      <c r="N66" s="27" t="str">
        <f t="shared" si="1"/>
        <v/>
      </c>
      <c r="O66" s="27" t="str">
        <f>IF(I66="","","【消费券链接】"&amp;固定信息!$B$6)</f>
        <v/>
      </c>
    </row>
    <row r="67" customHeight="1" spans="1:15">
      <c r="A67" s="26" t="str">
        <f>IF(盘货信息!A67="","",盘货信息!A67)</f>
        <v/>
      </c>
      <c r="B67" s="26" t="str">
        <f>IF(盘货信息!B67="","",盘货信息!B67)</f>
        <v/>
      </c>
      <c r="C67" s="27" t="str">
        <f>IF(盘货信息!C67="","",盘货信息!C67)</f>
        <v/>
      </c>
      <c r="D67" s="27" t="str">
        <f t="shared" ref="D67:D130" si="2">IF($C67="","",_xlfn.TEXTJOIN(CHAR(10),TRUE,N67:O67))</f>
        <v/>
      </c>
      <c r="E67" s="27" t="str" cm="1">
        <f t="array" ref="E67">IF($C67="","",IF(AND(OR(_xlfn.XLOOKUP($A67&amp;$B67&amp;$C67,盘货信息!$A:$A&amp;盘货信息!$B:$B&amp;盘货信息!$C:$C,盘货信息!$L:$L)="否",_xlfn.XLOOKUP($A67&amp;$B67&amp;$C67,盘货信息!$A:$A&amp;盘货信息!$B:$B&amp;盘货信息!$C:$C,盘货信息!$L:$L)=""),_xlfn.XLOOKUP($A67&amp;$B67&amp;$C67,盘货信息!$A:$A&amp;盘货信息!$B:$B&amp;盘货信息!$C:$C,盘货信息!$M:$M)="否"),"【预估到手价"&amp;_xlfn.XLOOKUP($A67&amp;$B67&amp;$C67,盘货信息!$A:$A&amp;盘货信息!$B:$B&amp;盘货信息!$C:$C,盘货信息!$D:$D)&amp;"元】",IF(AND(_xlfn.XLOOKUP($A67&amp;$B67&amp;$C67,盘货信息!$A:$A&amp;盘货信息!$B:$B&amp;盘货信息!$C:$C,盘货信息!$M:$M)="是",OR(_xlfn.XLOOKUP($A67&amp;$B67&amp;$C67,盘货信息!$A:$A&amp;盘货信息!$B:$B&amp;盘货信息!$C:$C,盘货信息!$L:$L)="否",_xlfn.XLOOKUP($A67&amp;$B67&amp;$C67,盘货信息!$A:$A&amp;盘货信息!$B:$B&amp;盘货信息!$C:$C,盘货信息!$L:$L)="")),"【预估到手价"&amp;_xlfn.XLOOKUP($A67&amp;$B67&amp;$C67,盘货信息!$A:$A&amp;盘货信息!$B:$B&amp;盘货信息!$C:$C,盘货信息!$D:$D)&amp;"元】"&amp;CHAR(10)&amp;"【焕新补贴预估价"&amp;ROUND(_xlfn.XLOOKUP($A67&amp;$B67&amp;$C67,盘货信息!$A:$A&amp;盘货信息!$B:$B&amp;盘货信息!$C:$C,盘货信息!$E:$E),0)&amp;"元】","【焕新补贴预估价"&amp;ROUND(_xlfn.XLOOKUP($A67&amp;$B67&amp;$C67,盘货信息!$A:$A&amp;盘货信息!$B:$B&amp;盘货信息!$C:$C,盘货信息!$E:$E),0)&amp;"元】")))</f>
        <v/>
      </c>
      <c r="F67" s="27" t="str" cm="1">
        <f t="array" ref="F67">IF($C67="","",_xlfn.XLOOKUP($A67&amp;$B67&amp;$C67,盘货信息!$A:$A&amp;盘货信息!$B:$B&amp;盘货信息!$C:$C,盘货信息!$D:$D)&amp;"元到手价")</f>
        <v/>
      </c>
      <c r="G67" s="27" t="str" cm="1">
        <f t="array" ref="G67">IF($C67="","",IF(_xlfn.XLOOKUP($A67&amp;$B67&amp;$C67,盘货信息!$A:$A&amp;盘货信息!$B:$B&amp;盘货信息!$C:$C,盘货信息!$G:$G)&lt;1,"",ROUND(_xlfn.XLOOKUP($A67&amp;$B67&amp;$C67,盘货信息!$A:$A&amp;盘货信息!$B:$B&amp;盘货信息!$C:$C,盘货信息!$G:$G),0)&amp;"元88VIP立减"))</f>
        <v/>
      </c>
      <c r="H67" s="27" t="str" cm="1">
        <f t="array" ref="H67">IF($C67="","",IF(_xlfn.XLOOKUP($A67&amp;$B67&amp;$C67,盘货信息!$A:$A&amp;盘货信息!$B:$B&amp;盘货信息!$C:$C,盘货信息!$I:$I)&lt;1,"",_xlfn.XLOOKUP($A67&amp;$B67&amp;$C67,盘货信息!$A:$A&amp;盘货信息!$B:$B&amp;盘货信息!$C:$C,盘货信息!$I:$I)&amp;"元惊喜立减"))</f>
        <v/>
      </c>
      <c r="I67" s="27" t="str" cm="1">
        <f t="array" ref="I67">IF($C67="","",IF(_xlfn.XLOOKUP($A67&amp;$B67&amp;$C67,盘货信息!$A:$A&amp;盘货信息!$B:$B&amp;盘货信息!$C:$C,盘货信息!$H:$H)&lt;1,"",ROUND(_xlfn.XLOOKUP($A67&amp;$B67&amp;$C67,盘货信息!$A:$A&amp;盘货信息!$B:$B&amp;盘货信息!$C:$C,盘货信息!$H:$H),0)&amp;"元消费券"))</f>
        <v/>
      </c>
      <c r="J67" s="27" t="str" cm="1">
        <f t="array" ref="J67">IF($C67="","",IF(_xlfn.XLOOKUP($A67&amp;$B67&amp;$C67,盘货信息!$A:$A&amp;盘货信息!$B:$B&amp;盘货信息!$C:$C,盘货信息!$J:$J)&lt;1,"",ROUND(_xlfn.XLOOKUP($A67&amp;$B67&amp;$C67,盘货信息!$A:$A&amp;盘货信息!$B:$B&amp;盘货信息!$C:$C,盘货信息!$J:$J),0)&amp;"元限时补贴"))</f>
        <v/>
      </c>
      <c r="K67" s="27" t="str" cm="1">
        <f t="array" ref="K67">IF($C67="","",IF(_xlfn.XLOOKUP($A67&amp;$B67&amp;$C67,盘货信息!$A:$A&amp;盘货信息!$B:$B&amp;盘货信息!$C:$C,盘货信息!$K:$K)&lt;1,"",ROUND(_xlfn.XLOOKUP($A67&amp;$B67&amp;$C67,盘货信息!$A:$A&amp;盘货信息!$B:$B&amp;盘货信息!$C:$C,盘货信息!$K:$K),0)&amp;"元预估焕新补贴"))</f>
        <v/>
      </c>
      <c r="L67" s="27" t="str" cm="1">
        <f t="array" ref="L67">IF($C67="","",IF(AND(_xlfn.XLOOKUP($A67&amp;$B67&amp;$C67,盘货信息!$A:$A&amp;盘货信息!$B:$B&amp;盘货信息!$C:$C,盘货信息!$L:$L)="是",_xlfn.XLOOKUP($A67&amp;$B67&amp;$C67,盘货信息!$A:$A&amp;盘货信息!$B:$B&amp;盘货信息!$C:$C,盘货信息!$M:$M)="是",_xlfn.XLOOKUP($A67&amp;$B67&amp;$C67,盘货信息!$A:$A&amp;盘货信息!$B:$B&amp;盘货信息!$C:$C,盘货信息!$K:$K)&gt;0),"【全民可用，不限地址】",IF(AND(OR(_xlfn.XLOOKUP($A67&amp;$B67&amp;$C67,盘货信息!$A:$A&amp;盘货信息!$B:$B&amp;盘货信息!$C:$C,盘货信息!$L:$L)="否",_xlfn.XLOOKUP($A67&amp;$B67&amp;$C67,盘货信息!$A:$A&amp;盘货信息!$B:$B&amp;盘货信息!$C:$C,盘货信息!$L:$L)=""),_xlfn.XLOOKUP($A67&amp;$B67&amp;$C67,盘货信息!$A:$A&amp;盘货信息!$B:$B&amp;盘货信息!$C:$C,盘货信息!$M:$M)="是",_xlfn.XLOOKUP($A67&amp;$B67&amp;$C67,盘货信息!$A:$A&amp;盘货信息!$B:$B&amp;盘货信息!$C:$C,盘货信息!$K:$K)&gt;0),"【详情页领取】","")))</f>
        <v/>
      </c>
      <c r="M67" s="27" t="str" cm="1">
        <f t="array" ref="M67">IF($C67="","",IF(_xlfn.XLOOKUP($A67&amp;$B67&amp;$C67,盘货信息!$A:$A&amp;盘货信息!$B:$B&amp;盘货信息!$C:$C,盘货信息!$F:$F)&lt;1,"",_xlfn.XLOOKUP($A67&amp;$B67&amp;$C67,盘货信息!$A:$A&amp;盘货信息!$B:$B&amp;盘货信息!$C:$C,盘货信息!$F:$F)&amp;"元明卷"))</f>
        <v/>
      </c>
      <c r="N67" s="27" t="str">
        <f t="shared" ref="N67:N130" si="3">IF(C67="","",E67&amp;"="&amp;F67&amp;IF(G67="","","-"&amp;G67)&amp;IF(H67="","","-"&amp;H67)&amp;IF(I67="","","-"&amp;I67)&amp;IF(J67="","","-"&amp;J67)&amp;IF(K67="","","-"&amp;K67&amp;L67))</f>
        <v/>
      </c>
      <c r="O67" s="27" t="str">
        <f>IF(I67="","","【消费券链接】"&amp;固定信息!$B$6)</f>
        <v/>
      </c>
    </row>
    <row r="68" customHeight="1" spans="1:15">
      <c r="A68" s="26" t="str">
        <f>IF(盘货信息!A68="","",盘货信息!A68)</f>
        <v/>
      </c>
      <c r="B68" s="26" t="str">
        <f>IF(盘货信息!B68="","",盘货信息!B68)</f>
        <v/>
      </c>
      <c r="C68" s="27" t="str">
        <f>IF(盘货信息!C68="","",盘货信息!C68)</f>
        <v/>
      </c>
      <c r="D68" s="27" t="str">
        <f t="shared" si="2"/>
        <v/>
      </c>
      <c r="E68" s="27" t="str" cm="1">
        <f t="array" ref="E68">IF($C68="","",IF(AND(OR(_xlfn.XLOOKUP($A68&amp;$B68&amp;$C68,盘货信息!$A:$A&amp;盘货信息!$B:$B&amp;盘货信息!$C:$C,盘货信息!$L:$L)="否",_xlfn.XLOOKUP($A68&amp;$B68&amp;$C68,盘货信息!$A:$A&amp;盘货信息!$B:$B&amp;盘货信息!$C:$C,盘货信息!$L:$L)=""),_xlfn.XLOOKUP($A68&amp;$B68&amp;$C68,盘货信息!$A:$A&amp;盘货信息!$B:$B&amp;盘货信息!$C:$C,盘货信息!$M:$M)="否"),"【预估到手价"&amp;_xlfn.XLOOKUP($A68&amp;$B68&amp;$C68,盘货信息!$A:$A&amp;盘货信息!$B:$B&amp;盘货信息!$C:$C,盘货信息!$D:$D)&amp;"元】",IF(AND(_xlfn.XLOOKUP($A68&amp;$B68&amp;$C68,盘货信息!$A:$A&amp;盘货信息!$B:$B&amp;盘货信息!$C:$C,盘货信息!$M:$M)="是",OR(_xlfn.XLOOKUP($A68&amp;$B68&amp;$C68,盘货信息!$A:$A&amp;盘货信息!$B:$B&amp;盘货信息!$C:$C,盘货信息!$L:$L)="否",_xlfn.XLOOKUP($A68&amp;$B68&amp;$C68,盘货信息!$A:$A&amp;盘货信息!$B:$B&amp;盘货信息!$C:$C,盘货信息!$L:$L)="")),"【预估到手价"&amp;_xlfn.XLOOKUP($A68&amp;$B68&amp;$C68,盘货信息!$A:$A&amp;盘货信息!$B:$B&amp;盘货信息!$C:$C,盘货信息!$D:$D)&amp;"元】"&amp;CHAR(10)&amp;"【焕新补贴预估价"&amp;ROUND(_xlfn.XLOOKUP($A68&amp;$B68&amp;$C68,盘货信息!$A:$A&amp;盘货信息!$B:$B&amp;盘货信息!$C:$C,盘货信息!$E:$E),0)&amp;"元】","【焕新补贴预估价"&amp;ROUND(_xlfn.XLOOKUP($A68&amp;$B68&amp;$C68,盘货信息!$A:$A&amp;盘货信息!$B:$B&amp;盘货信息!$C:$C,盘货信息!$E:$E),0)&amp;"元】")))</f>
        <v/>
      </c>
      <c r="F68" s="27" t="str" cm="1">
        <f t="array" ref="F68">IF($C68="","",_xlfn.XLOOKUP($A68&amp;$B68&amp;$C68,盘货信息!$A:$A&amp;盘货信息!$B:$B&amp;盘货信息!$C:$C,盘货信息!$D:$D)&amp;"元到手价")</f>
        <v/>
      </c>
      <c r="G68" s="27" t="str" cm="1">
        <f t="array" ref="G68">IF($C68="","",IF(_xlfn.XLOOKUP($A68&amp;$B68&amp;$C68,盘货信息!$A:$A&amp;盘货信息!$B:$B&amp;盘货信息!$C:$C,盘货信息!$G:$G)&lt;1,"",ROUND(_xlfn.XLOOKUP($A68&amp;$B68&amp;$C68,盘货信息!$A:$A&amp;盘货信息!$B:$B&amp;盘货信息!$C:$C,盘货信息!$G:$G),0)&amp;"元88VIP立减"))</f>
        <v/>
      </c>
      <c r="H68" s="27" t="str" cm="1">
        <f t="array" ref="H68">IF($C68="","",IF(_xlfn.XLOOKUP($A68&amp;$B68&amp;$C68,盘货信息!$A:$A&amp;盘货信息!$B:$B&amp;盘货信息!$C:$C,盘货信息!$I:$I)&lt;1,"",_xlfn.XLOOKUP($A68&amp;$B68&amp;$C68,盘货信息!$A:$A&amp;盘货信息!$B:$B&amp;盘货信息!$C:$C,盘货信息!$I:$I)&amp;"元惊喜立减"))</f>
        <v/>
      </c>
      <c r="I68" s="27" t="str" cm="1">
        <f t="array" ref="I68">IF($C68="","",IF(_xlfn.XLOOKUP($A68&amp;$B68&amp;$C68,盘货信息!$A:$A&amp;盘货信息!$B:$B&amp;盘货信息!$C:$C,盘货信息!$H:$H)&lt;1,"",ROUND(_xlfn.XLOOKUP($A68&amp;$B68&amp;$C68,盘货信息!$A:$A&amp;盘货信息!$B:$B&amp;盘货信息!$C:$C,盘货信息!$H:$H),0)&amp;"元消费券"))</f>
        <v/>
      </c>
      <c r="J68" s="27" t="str" cm="1">
        <f t="array" ref="J68">IF($C68="","",IF(_xlfn.XLOOKUP($A68&amp;$B68&amp;$C68,盘货信息!$A:$A&amp;盘货信息!$B:$B&amp;盘货信息!$C:$C,盘货信息!$J:$J)&lt;1,"",ROUND(_xlfn.XLOOKUP($A68&amp;$B68&amp;$C68,盘货信息!$A:$A&amp;盘货信息!$B:$B&amp;盘货信息!$C:$C,盘货信息!$J:$J),0)&amp;"元限时补贴"))</f>
        <v/>
      </c>
      <c r="K68" s="27" t="str" cm="1">
        <f t="array" ref="K68">IF($C68="","",IF(_xlfn.XLOOKUP($A68&amp;$B68&amp;$C68,盘货信息!$A:$A&amp;盘货信息!$B:$B&amp;盘货信息!$C:$C,盘货信息!$K:$K)&lt;1,"",ROUND(_xlfn.XLOOKUP($A68&amp;$B68&amp;$C68,盘货信息!$A:$A&amp;盘货信息!$B:$B&amp;盘货信息!$C:$C,盘货信息!$K:$K),0)&amp;"元预估焕新补贴"))</f>
        <v/>
      </c>
      <c r="L68" s="27" t="str" cm="1">
        <f t="array" ref="L68">IF($C68="","",IF(AND(_xlfn.XLOOKUP($A68&amp;$B68&amp;$C68,盘货信息!$A:$A&amp;盘货信息!$B:$B&amp;盘货信息!$C:$C,盘货信息!$L:$L)="是",_xlfn.XLOOKUP($A68&amp;$B68&amp;$C68,盘货信息!$A:$A&amp;盘货信息!$B:$B&amp;盘货信息!$C:$C,盘货信息!$M:$M)="是",_xlfn.XLOOKUP($A68&amp;$B68&amp;$C68,盘货信息!$A:$A&amp;盘货信息!$B:$B&amp;盘货信息!$C:$C,盘货信息!$K:$K)&gt;0),"【全民可用，不限地址】",IF(AND(OR(_xlfn.XLOOKUP($A68&amp;$B68&amp;$C68,盘货信息!$A:$A&amp;盘货信息!$B:$B&amp;盘货信息!$C:$C,盘货信息!$L:$L)="否",_xlfn.XLOOKUP($A68&amp;$B68&amp;$C68,盘货信息!$A:$A&amp;盘货信息!$B:$B&amp;盘货信息!$C:$C,盘货信息!$L:$L)=""),_xlfn.XLOOKUP($A68&amp;$B68&amp;$C68,盘货信息!$A:$A&amp;盘货信息!$B:$B&amp;盘货信息!$C:$C,盘货信息!$M:$M)="是",_xlfn.XLOOKUP($A68&amp;$B68&amp;$C68,盘货信息!$A:$A&amp;盘货信息!$B:$B&amp;盘货信息!$C:$C,盘货信息!$K:$K)&gt;0),"【详情页领取】","")))</f>
        <v/>
      </c>
      <c r="M68" s="27" t="str" cm="1">
        <f t="array" ref="M68">IF($C68="","",IF(_xlfn.XLOOKUP($A68&amp;$B68&amp;$C68,盘货信息!$A:$A&amp;盘货信息!$B:$B&amp;盘货信息!$C:$C,盘货信息!$F:$F)&lt;1,"",_xlfn.XLOOKUP($A68&amp;$B68&amp;$C68,盘货信息!$A:$A&amp;盘货信息!$B:$B&amp;盘货信息!$C:$C,盘货信息!$F:$F)&amp;"元明卷"))</f>
        <v/>
      </c>
      <c r="N68" s="27" t="str">
        <f t="shared" si="3"/>
        <v/>
      </c>
      <c r="O68" s="27" t="str">
        <f>IF(I68="","","【消费券链接】"&amp;固定信息!$B$6)</f>
        <v/>
      </c>
    </row>
    <row r="69" customHeight="1" spans="1:15">
      <c r="A69" s="26" t="str">
        <f>IF(盘货信息!A69="","",盘货信息!A69)</f>
        <v/>
      </c>
      <c r="B69" s="26" t="str">
        <f>IF(盘货信息!B69="","",盘货信息!B69)</f>
        <v/>
      </c>
      <c r="C69" s="27" t="str">
        <f>IF(盘货信息!C69="","",盘货信息!C69)</f>
        <v/>
      </c>
      <c r="D69" s="27" t="str">
        <f t="shared" si="2"/>
        <v/>
      </c>
      <c r="E69" s="27" t="str" cm="1">
        <f t="array" ref="E69">IF($C69="","",IF(AND(OR(_xlfn.XLOOKUP($A69&amp;$B69&amp;$C69,盘货信息!$A:$A&amp;盘货信息!$B:$B&amp;盘货信息!$C:$C,盘货信息!$L:$L)="否",_xlfn.XLOOKUP($A69&amp;$B69&amp;$C69,盘货信息!$A:$A&amp;盘货信息!$B:$B&amp;盘货信息!$C:$C,盘货信息!$L:$L)=""),_xlfn.XLOOKUP($A69&amp;$B69&amp;$C69,盘货信息!$A:$A&amp;盘货信息!$B:$B&amp;盘货信息!$C:$C,盘货信息!$M:$M)="否"),"【预估到手价"&amp;_xlfn.XLOOKUP($A69&amp;$B69&amp;$C69,盘货信息!$A:$A&amp;盘货信息!$B:$B&amp;盘货信息!$C:$C,盘货信息!$D:$D)&amp;"元】",IF(AND(_xlfn.XLOOKUP($A69&amp;$B69&amp;$C69,盘货信息!$A:$A&amp;盘货信息!$B:$B&amp;盘货信息!$C:$C,盘货信息!$M:$M)="是",OR(_xlfn.XLOOKUP($A69&amp;$B69&amp;$C69,盘货信息!$A:$A&amp;盘货信息!$B:$B&amp;盘货信息!$C:$C,盘货信息!$L:$L)="否",_xlfn.XLOOKUP($A69&amp;$B69&amp;$C69,盘货信息!$A:$A&amp;盘货信息!$B:$B&amp;盘货信息!$C:$C,盘货信息!$L:$L)="")),"【预估到手价"&amp;_xlfn.XLOOKUP($A69&amp;$B69&amp;$C69,盘货信息!$A:$A&amp;盘货信息!$B:$B&amp;盘货信息!$C:$C,盘货信息!$D:$D)&amp;"元】"&amp;CHAR(10)&amp;"【焕新补贴预估价"&amp;ROUND(_xlfn.XLOOKUP($A69&amp;$B69&amp;$C69,盘货信息!$A:$A&amp;盘货信息!$B:$B&amp;盘货信息!$C:$C,盘货信息!$E:$E),0)&amp;"元】","【焕新补贴预估价"&amp;ROUND(_xlfn.XLOOKUP($A69&amp;$B69&amp;$C69,盘货信息!$A:$A&amp;盘货信息!$B:$B&amp;盘货信息!$C:$C,盘货信息!$E:$E),0)&amp;"元】")))</f>
        <v/>
      </c>
      <c r="F69" s="27" t="str" cm="1">
        <f t="array" ref="F69">IF($C69="","",_xlfn.XLOOKUP($A69&amp;$B69&amp;$C69,盘货信息!$A:$A&amp;盘货信息!$B:$B&amp;盘货信息!$C:$C,盘货信息!$D:$D)&amp;"元到手价")</f>
        <v/>
      </c>
      <c r="G69" s="27" t="str" cm="1">
        <f t="array" ref="G69">IF($C69="","",IF(_xlfn.XLOOKUP($A69&amp;$B69&amp;$C69,盘货信息!$A:$A&amp;盘货信息!$B:$B&amp;盘货信息!$C:$C,盘货信息!$G:$G)&lt;1,"",ROUND(_xlfn.XLOOKUP($A69&amp;$B69&amp;$C69,盘货信息!$A:$A&amp;盘货信息!$B:$B&amp;盘货信息!$C:$C,盘货信息!$G:$G),0)&amp;"元88VIP立减"))</f>
        <v/>
      </c>
      <c r="H69" s="27" t="str" cm="1">
        <f t="array" ref="H69">IF($C69="","",IF(_xlfn.XLOOKUP($A69&amp;$B69&amp;$C69,盘货信息!$A:$A&amp;盘货信息!$B:$B&amp;盘货信息!$C:$C,盘货信息!$I:$I)&lt;1,"",_xlfn.XLOOKUP($A69&amp;$B69&amp;$C69,盘货信息!$A:$A&amp;盘货信息!$B:$B&amp;盘货信息!$C:$C,盘货信息!$I:$I)&amp;"元惊喜立减"))</f>
        <v/>
      </c>
      <c r="I69" s="27" t="str" cm="1">
        <f t="array" ref="I69">IF($C69="","",IF(_xlfn.XLOOKUP($A69&amp;$B69&amp;$C69,盘货信息!$A:$A&amp;盘货信息!$B:$B&amp;盘货信息!$C:$C,盘货信息!$H:$H)&lt;1,"",ROUND(_xlfn.XLOOKUP($A69&amp;$B69&amp;$C69,盘货信息!$A:$A&amp;盘货信息!$B:$B&amp;盘货信息!$C:$C,盘货信息!$H:$H),0)&amp;"元消费券"))</f>
        <v/>
      </c>
      <c r="J69" s="27" t="str" cm="1">
        <f t="array" ref="J69">IF($C69="","",IF(_xlfn.XLOOKUP($A69&amp;$B69&amp;$C69,盘货信息!$A:$A&amp;盘货信息!$B:$B&amp;盘货信息!$C:$C,盘货信息!$J:$J)&lt;1,"",ROUND(_xlfn.XLOOKUP($A69&amp;$B69&amp;$C69,盘货信息!$A:$A&amp;盘货信息!$B:$B&amp;盘货信息!$C:$C,盘货信息!$J:$J),0)&amp;"元限时补贴"))</f>
        <v/>
      </c>
      <c r="K69" s="27" t="str" cm="1">
        <f t="array" ref="K69">IF($C69="","",IF(_xlfn.XLOOKUP($A69&amp;$B69&amp;$C69,盘货信息!$A:$A&amp;盘货信息!$B:$B&amp;盘货信息!$C:$C,盘货信息!$K:$K)&lt;1,"",ROUND(_xlfn.XLOOKUP($A69&amp;$B69&amp;$C69,盘货信息!$A:$A&amp;盘货信息!$B:$B&amp;盘货信息!$C:$C,盘货信息!$K:$K),0)&amp;"元预估焕新补贴"))</f>
        <v/>
      </c>
      <c r="L69" s="27" t="str" cm="1">
        <f t="array" ref="L69">IF($C69="","",IF(AND(_xlfn.XLOOKUP($A69&amp;$B69&amp;$C69,盘货信息!$A:$A&amp;盘货信息!$B:$B&amp;盘货信息!$C:$C,盘货信息!$L:$L)="是",_xlfn.XLOOKUP($A69&amp;$B69&amp;$C69,盘货信息!$A:$A&amp;盘货信息!$B:$B&amp;盘货信息!$C:$C,盘货信息!$M:$M)="是",_xlfn.XLOOKUP($A69&amp;$B69&amp;$C69,盘货信息!$A:$A&amp;盘货信息!$B:$B&amp;盘货信息!$C:$C,盘货信息!$K:$K)&gt;0),"【全民可用，不限地址】",IF(AND(OR(_xlfn.XLOOKUP($A69&amp;$B69&amp;$C69,盘货信息!$A:$A&amp;盘货信息!$B:$B&amp;盘货信息!$C:$C,盘货信息!$L:$L)="否",_xlfn.XLOOKUP($A69&amp;$B69&amp;$C69,盘货信息!$A:$A&amp;盘货信息!$B:$B&amp;盘货信息!$C:$C,盘货信息!$L:$L)=""),_xlfn.XLOOKUP($A69&amp;$B69&amp;$C69,盘货信息!$A:$A&amp;盘货信息!$B:$B&amp;盘货信息!$C:$C,盘货信息!$M:$M)="是",_xlfn.XLOOKUP($A69&amp;$B69&amp;$C69,盘货信息!$A:$A&amp;盘货信息!$B:$B&amp;盘货信息!$C:$C,盘货信息!$K:$K)&gt;0),"【详情页领取】","")))</f>
        <v/>
      </c>
      <c r="M69" s="27" t="str" cm="1">
        <f t="array" ref="M69">IF($C69="","",IF(_xlfn.XLOOKUP($A69&amp;$B69&amp;$C69,盘货信息!$A:$A&amp;盘货信息!$B:$B&amp;盘货信息!$C:$C,盘货信息!$F:$F)&lt;1,"",_xlfn.XLOOKUP($A69&amp;$B69&amp;$C69,盘货信息!$A:$A&amp;盘货信息!$B:$B&amp;盘货信息!$C:$C,盘货信息!$F:$F)&amp;"元明卷"))</f>
        <v/>
      </c>
      <c r="N69" s="27" t="str">
        <f t="shared" si="3"/>
        <v/>
      </c>
      <c r="O69" s="27" t="str">
        <f>IF(I69="","","【消费券链接】"&amp;固定信息!$B$6)</f>
        <v/>
      </c>
    </row>
    <row r="70" customHeight="1" spans="1:15">
      <c r="A70" s="26" t="str">
        <f>IF(盘货信息!A70="","",盘货信息!A70)</f>
        <v/>
      </c>
      <c r="B70" s="26" t="str">
        <f>IF(盘货信息!B70="","",盘货信息!B70)</f>
        <v/>
      </c>
      <c r="C70" s="27" t="str">
        <f>IF(盘货信息!C70="","",盘货信息!C70)</f>
        <v/>
      </c>
      <c r="D70" s="27" t="str">
        <f t="shared" si="2"/>
        <v/>
      </c>
      <c r="E70" s="27" t="str" cm="1">
        <f t="array" ref="E70">IF($C70="","",IF(AND(OR(_xlfn.XLOOKUP($A70&amp;$B70&amp;$C70,盘货信息!$A:$A&amp;盘货信息!$B:$B&amp;盘货信息!$C:$C,盘货信息!$L:$L)="否",_xlfn.XLOOKUP($A70&amp;$B70&amp;$C70,盘货信息!$A:$A&amp;盘货信息!$B:$B&amp;盘货信息!$C:$C,盘货信息!$L:$L)=""),_xlfn.XLOOKUP($A70&amp;$B70&amp;$C70,盘货信息!$A:$A&amp;盘货信息!$B:$B&amp;盘货信息!$C:$C,盘货信息!$M:$M)="否"),"【预估到手价"&amp;_xlfn.XLOOKUP($A70&amp;$B70&amp;$C70,盘货信息!$A:$A&amp;盘货信息!$B:$B&amp;盘货信息!$C:$C,盘货信息!$D:$D)&amp;"元】",IF(AND(_xlfn.XLOOKUP($A70&amp;$B70&amp;$C70,盘货信息!$A:$A&amp;盘货信息!$B:$B&amp;盘货信息!$C:$C,盘货信息!$M:$M)="是",OR(_xlfn.XLOOKUP($A70&amp;$B70&amp;$C70,盘货信息!$A:$A&amp;盘货信息!$B:$B&amp;盘货信息!$C:$C,盘货信息!$L:$L)="否",_xlfn.XLOOKUP($A70&amp;$B70&amp;$C70,盘货信息!$A:$A&amp;盘货信息!$B:$B&amp;盘货信息!$C:$C,盘货信息!$L:$L)="")),"【预估到手价"&amp;_xlfn.XLOOKUP($A70&amp;$B70&amp;$C70,盘货信息!$A:$A&amp;盘货信息!$B:$B&amp;盘货信息!$C:$C,盘货信息!$D:$D)&amp;"元】"&amp;CHAR(10)&amp;"【焕新补贴预估价"&amp;ROUND(_xlfn.XLOOKUP($A70&amp;$B70&amp;$C70,盘货信息!$A:$A&amp;盘货信息!$B:$B&amp;盘货信息!$C:$C,盘货信息!$E:$E),0)&amp;"元】","【焕新补贴预估价"&amp;ROUND(_xlfn.XLOOKUP($A70&amp;$B70&amp;$C70,盘货信息!$A:$A&amp;盘货信息!$B:$B&amp;盘货信息!$C:$C,盘货信息!$E:$E),0)&amp;"元】")))</f>
        <v/>
      </c>
      <c r="F70" s="27" t="str" cm="1">
        <f t="array" ref="F70">IF($C70="","",_xlfn.XLOOKUP($A70&amp;$B70&amp;$C70,盘货信息!$A:$A&amp;盘货信息!$B:$B&amp;盘货信息!$C:$C,盘货信息!$D:$D)&amp;"元到手价")</f>
        <v/>
      </c>
      <c r="G70" s="27" t="str" cm="1">
        <f t="array" ref="G70">IF($C70="","",IF(_xlfn.XLOOKUP($A70&amp;$B70&amp;$C70,盘货信息!$A:$A&amp;盘货信息!$B:$B&amp;盘货信息!$C:$C,盘货信息!$G:$G)&lt;1,"",ROUND(_xlfn.XLOOKUP($A70&amp;$B70&amp;$C70,盘货信息!$A:$A&amp;盘货信息!$B:$B&amp;盘货信息!$C:$C,盘货信息!$G:$G),0)&amp;"元88VIP立减"))</f>
        <v/>
      </c>
      <c r="H70" s="27" t="str" cm="1">
        <f t="array" ref="H70">IF($C70="","",IF(_xlfn.XLOOKUP($A70&amp;$B70&amp;$C70,盘货信息!$A:$A&amp;盘货信息!$B:$B&amp;盘货信息!$C:$C,盘货信息!$I:$I)&lt;1,"",_xlfn.XLOOKUP($A70&amp;$B70&amp;$C70,盘货信息!$A:$A&amp;盘货信息!$B:$B&amp;盘货信息!$C:$C,盘货信息!$I:$I)&amp;"元惊喜立减"))</f>
        <v/>
      </c>
      <c r="I70" s="27" t="str" cm="1">
        <f t="array" ref="I70">IF($C70="","",IF(_xlfn.XLOOKUP($A70&amp;$B70&amp;$C70,盘货信息!$A:$A&amp;盘货信息!$B:$B&amp;盘货信息!$C:$C,盘货信息!$H:$H)&lt;1,"",ROUND(_xlfn.XLOOKUP($A70&amp;$B70&amp;$C70,盘货信息!$A:$A&amp;盘货信息!$B:$B&amp;盘货信息!$C:$C,盘货信息!$H:$H),0)&amp;"元消费券"))</f>
        <v/>
      </c>
      <c r="J70" s="27" t="str" cm="1">
        <f t="array" ref="J70">IF($C70="","",IF(_xlfn.XLOOKUP($A70&amp;$B70&amp;$C70,盘货信息!$A:$A&amp;盘货信息!$B:$B&amp;盘货信息!$C:$C,盘货信息!$J:$J)&lt;1,"",ROUND(_xlfn.XLOOKUP($A70&amp;$B70&amp;$C70,盘货信息!$A:$A&amp;盘货信息!$B:$B&amp;盘货信息!$C:$C,盘货信息!$J:$J),0)&amp;"元限时补贴"))</f>
        <v/>
      </c>
      <c r="K70" s="27" t="str" cm="1">
        <f t="array" ref="K70">IF($C70="","",IF(_xlfn.XLOOKUP($A70&amp;$B70&amp;$C70,盘货信息!$A:$A&amp;盘货信息!$B:$B&amp;盘货信息!$C:$C,盘货信息!$K:$K)&lt;1,"",ROUND(_xlfn.XLOOKUP($A70&amp;$B70&amp;$C70,盘货信息!$A:$A&amp;盘货信息!$B:$B&amp;盘货信息!$C:$C,盘货信息!$K:$K),0)&amp;"元预估焕新补贴"))</f>
        <v/>
      </c>
      <c r="L70" s="27" t="str" cm="1">
        <f t="array" ref="L70">IF($C70="","",IF(AND(_xlfn.XLOOKUP($A70&amp;$B70&amp;$C70,盘货信息!$A:$A&amp;盘货信息!$B:$B&amp;盘货信息!$C:$C,盘货信息!$L:$L)="是",_xlfn.XLOOKUP($A70&amp;$B70&amp;$C70,盘货信息!$A:$A&amp;盘货信息!$B:$B&amp;盘货信息!$C:$C,盘货信息!$M:$M)="是",_xlfn.XLOOKUP($A70&amp;$B70&amp;$C70,盘货信息!$A:$A&amp;盘货信息!$B:$B&amp;盘货信息!$C:$C,盘货信息!$K:$K)&gt;0),"【全民可用，不限地址】",IF(AND(OR(_xlfn.XLOOKUP($A70&amp;$B70&amp;$C70,盘货信息!$A:$A&amp;盘货信息!$B:$B&amp;盘货信息!$C:$C,盘货信息!$L:$L)="否",_xlfn.XLOOKUP($A70&amp;$B70&amp;$C70,盘货信息!$A:$A&amp;盘货信息!$B:$B&amp;盘货信息!$C:$C,盘货信息!$L:$L)=""),_xlfn.XLOOKUP($A70&amp;$B70&amp;$C70,盘货信息!$A:$A&amp;盘货信息!$B:$B&amp;盘货信息!$C:$C,盘货信息!$M:$M)="是",_xlfn.XLOOKUP($A70&amp;$B70&amp;$C70,盘货信息!$A:$A&amp;盘货信息!$B:$B&amp;盘货信息!$C:$C,盘货信息!$K:$K)&gt;0),"【详情页领取】","")))</f>
        <v/>
      </c>
      <c r="M70" s="27" t="str" cm="1">
        <f t="array" ref="M70">IF($C70="","",IF(_xlfn.XLOOKUP($A70&amp;$B70&amp;$C70,盘货信息!$A:$A&amp;盘货信息!$B:$B&amp;盘货信息!$C:$C,盘货信息!$F:$F)&lt;1,"",_xlfn.XLOOKUP($A70&amp;$B70&amp;$C70,盘货信息!$A:$A&amp;盘货信息!$B:$B&amp;盘货信息!$C:$C,盘货信息!$F:$F)&amp;"元明卷"))</f>
        <v/>
      </c>
      <c r="N70" s="27" t="str">
        <f t="shared" si="3"/>
        <v/>
      </c>
      <c r="O70" s="27" t="str">
        <f>IF(I70="","","【消费券链接】"&amp;固定信息!$B$6)</f>
        <v/>
      </c>
    </row>
    <row r="71" customHeight="1" spans="1:15">
      <c r="A71" s="26" t="str">
        <f>IF(盘货信息!A71="","",盘货信息!A71)</f>
        <v/>
      </c>
      <c r="B71" s="26" t="str">
        <f>IF(盘货信息!B71="","",盘货信息!B71)</f>
        <v/>
      </c>
      <c r="C71" s="27" t="str">
        <f>IF(盘货信息!C71="","",盘货信息!C71)</f>
        <v/>
      </c>
      <c r="D71" s="27" t="str">
        <f t="shared" si="2"/>
        <v/>
      </c>
      <c r="E71" s="27" t="str" cm="1">
        <f t="array" ref="E71">IF($C71="","",IF(AND(OR(_xlfn.XLOOKUP($A71&amp;$B71&amp;$C71,盘货信息!$A:$A&amp;盘货信息!$B:$B&amp;盘货信息!$C:$C,盘货信息!$L:$L)="否",_xlfn.XLOOKUP($A71&amp;$B71&amp;$C71,盘货信息!$A:$A&amp;盘货信息!$B:$B&amp;盘货信息!$C:$C,盘货信息!$L:$L)=""),_xlfn.XLOOKUP($A71&amp;$B71&amp;$C71,盘货信息!$A:$A&amp;盘货信息!$B:$B&amp;盘货信息!$C:$C,盘货信息!$M:$M)="否"),"【预估到手价"&amp;_xlfn.XLOOKUP($A71&amp;$B71&amp;$C71,盘货信息!$A:$A&amp;盘货信息!$B:$B&amp;盘货信息!$C:$C,盘货信息!$D:$D)&amp;"元】",IF(AND(_xlfn.XLOOKUP($A71&amp;$B71&amp;$C71,盘货信息!$A:$A&amp;盘货信息!$B:$B&amp;盘货信息!$C:$C,盘货信息!$M:$M)="是",OR(_xlfn.XLOOKUP($A71&amp;$B71&amp;$C71,盘货信息!$A:$A&amp;盘货信息!$B:$B&amp;盘货信息!$C:$C,盘货信息!$L:$L)="否",_xlfn.XLOOKUP($A71&amp;$B71&amp;$C71,盘货信息!$A:$A&amp;盘货信息!$B:$B&amp;盘货信息!$C:$C,盘货信息!$L:$L)="")),"【预估到手价"&amp;_xlfn.XLOOKUP($A71&amp;$B71&amp;$C71,盘货信息!$A:$A&amp;盘货信息!$B:$B&amp;盘货信息!$C:$C,盘货信息!$D:$D)&amp;"元】"&amp;CHAR(10)&amp;"【焕新补贴预估价"&amp;ROUND(_xlfn.XLOOKUP($A71&amp;$B71&amp;$C71,盘货信息!$A:$A&amp;盘货信息!$B:$B&amp;盘货信息!$C:$C,盘货信息!$E:$E),0)&amp;"元】","【焕新补贴预估价"&amp;ROUND(_xlfn.XLOOKUP($A71&amp;$B71&amp;$C71,盘货信息!$A:$A&amp;盘货信息!$B:$B&amp;盘货信息!$C:$C,盘货信息!$E:$E),0)&amp;"元】")))</f>
        <v/>
      </c>
      <c r="F71" s="27" t="str" cm="1">
        <f t="array" ref="F71">IF($C71="","",_xlfn.XLOOKUP($A71&amp;$B71&amp;$C71,盘货信息!$A:$A&amp;盘货信息!$B:$B&amp;盘货信息!$C:$C,盘货信息!$D:$D)&amp;"元到手价")</f>
        <v/>
      </c>
      <c r="G71" s="27" t="str" cm="1">
        <f t="array" ref="G71">IF($C71="","",IF(_xlfn.XLOOKUP($A71&amp;$B71&amp;$C71,盘货信息!$A:$A&amp;盘货信息!$B:$B&amp;盘货信息!$C:$C,盘货信息!$G:$G)&lt;1,"",ROUND(_xlfn.XLOOKUP($A71&amp;$B71&amp;$C71,盘货信息!$A:$A&amp;盘货信息!$B:$B&amp;盘货信息!$C:$C,盘货信息!$G:$G),0)&amp;"元88VIP立减"))</f>
        <v/>
      </c>
      <c r="H71" s="27" t="str" cm="1">
        <f t="array" ref="H71">IF($C71="","",IF(_xlfn.XLOOKUP($A71&amp;$B71&amp;$C71,盘货信息!$A:$A&amp;盘货信息!$B:$B&amp;盘货信息!$C:$C,盘货信息!$I:$I)&lt;1,"",_xlfn.XLOOKUP($A71&amp;$B71&amp;$C71,盘货信息!$A:$A&amp;盘货信息!$B:$B&amp;盘货信息!$C:$C,盘货信息!$I:$I)&amp;"元惊喜立减"))</f>
        <v/>
      </c>
      <c r="I71" s="27" t="str" cm="1">
        <f t="array" ref="I71">IF($C71="","",IF(_xlfn.XLOOKUP($A71&amp;$B71&amp;$C71,盘货信息!$A:$A&amp;盘货信息!$B:$B&amp;盘货信息!$C:$C,盘货信息!$H:$H)&lt;1,"",ROUND(_xlfn.XLOOKUP($A71&amp;$B71&amp;$C71,盘货信息!$A:$A&amp;盘货信息!$B:$B&amp;盘货信息!$C:$C,盘货信息!$H:$H),0)&amp;"元消费券"))</f>
        <v/>
      </c>
      <c r="J71" s="27" t="str" cm="1">
        <f t="array" ref="J71">IF($C71="","",IF(_xlfn.XLOOKUP($A71&amp;$B71&amp;$C71,盘货信息!$A:$A&amp;盘货信息!$B:$B&amp;盘货信息!$C:$C,盘货信息!$J:$J)&lt;1,"",ROUND(_xlfn.XLOOKUP($A71&amp;$B71&amp;$C71,盘货信息!$A:$A&amp;盘货信息!$B:$B&amp;盘货信息!$C:$C,盘货信息!$J:$J),0)&amp;"元限时补贴"))</f>
        <v/>
      </c>
      <c r="K71" s="27" t="str" cm="1">
        <f t="array" ref="K71">IF($C71="","",IF(_xlfn.XLOOKUP($A71&amp;$B71&amp;$C71,盘货信息!$A:$A&amp;盘货信息!$B:$B&amp;盘货信息!$C:$C,盘货信息!$K:$K)&lt;1,"",ROUND(_xlfn.XLOOKUP($A71&amp;$B71&amp;$C71,盘货信息!$A:$A&amp;盘货信息!$B:$B&amp;盘货信息!$C:$C,盘货信息!$K:$K),0)&amp;"元预估焕新补贴"))</f>
        <v/>
      </c>
      <c r="L71" s="27" t="str" cm="1">
        <f t="array" ref="L71">IF($C71="","",IF(AND(_xlfn.XLOOKUP($A71&amp;$B71&amp;$C71,盘货信息!$A:$A&amp;盘货信息!$B:$B&amp;盘货信息!$C:$C,盘货信息!$L:$L)="是",_xlfn.XLOOKUP($A71&amp;$B71&amp;$C71,盘货信息!$A:$A&amp;盘货信息!$B:$B&amp;盘货信息!$C:$C,盘货信息!$M:$M)="是",_xlfn.XLOOKUP($A71&amp;$B71&amp;$C71,盘货信息!$A:$A&amp;盘货信息!$B:$B&amp;盘货信息!$C:$C,盘货信息!$K:$K)&gt;0),"【全民可用，不限地址】",IF(AND(OR(_xlfn.XLOOKUP($A71&amp;$B71&amp;$C71,盘货信息!$A:$A&amp;盘货信息!$B:$B&amp;盘货信息!$C:$C,盘货信息!$L:$L)="否",_xlfn.XLOOKUP($A71&amp;$B71&amp;$C71,盘货信息!$A:$A&amp;盘货信息!$B:$B&amp;盘货信息!$C:$C,盘货信息!$L:$L)=""),_xlfn.XLOOKUP($A71&amp;$B71&amp;$C71,盘货信息!$A:$A&amp;盘货信息!$B:$B&amp;盘货信息!$C:$C,盘货信息!$M:$M)="是",_xlfn.XLOOKUP($A71&amp;$B71&amp;$C71,盘货信息!$A:$A&amp;盘货信息!$B:$B&amp;盘货信息!$C:$C,盘货信息!$K:$K)&gt;0),"【详情页领取】","")))</f>
        <v/>
      </c>
      <c r="M71" s="27" t="str" cm="1">
        <f t="array" ref="M71">IF($C71="","",IF(_xlfn.XLOOKUP($A71&amp;$B71&amp;$C71,盘货信息!$A:$A&amp;盘货信息!$B:$B&amp;盘货信息!$C:$C,盘货信息!$F:$F)&lt;1,"",_xlfn.XLOOKUP($A71&amp;$B71&amp;$C71,盘货信息!$A:$A&amp;盘货信息!$B:$B&amp;盘货信息!$C:$C,盘货信息!$F:$F)&amp;"元明卷"))</f>
        <v/>
      </c>
      <c r="N71" s="27" t="str">
        <f t="shared" si="3"/>
        <v/>
      </c>
      <c r="O71" s="27" t="str">
        <f>IF(I71="","","【消费券链接】"&amp;固定信息!$B$6)</f>
        <v/>
      </c>
    </row>
    <row r="72" customHeight="1" spans="1:15">
      <c r="A72" s="26" t="str">
        <f>IF(盘货信息!A72="","",盘货信息!A72)</f>
        <v/>
      </c>
      <c r="B72" s="26" t="str">
        <f>IF(盘货信息!B72="","",盘货信息!B72)</f>
        <v/>
      </c>
      <c r="C72" s="27" t="str">
        <f>IF(盘货信息!C72="","",盘货信息!C72)</f>
        <v/>
      </c>
      <c r="D72" s="27" t="str">
        <f t="shared" si="2"/>
        <v/>
      </c>
      <c r="E72" s="27" t="str" cm="1">
        <f t="array" ref="E72">IF($C72="","",IF(AND(OR(_xlfn.XLOOKUP($A72&amp;$B72&amp;$C72,盘货信息!$A:$A&amp;盘货信息!$B:$B&amp;盘货信息!$C:$C,盘货信息!$L:$L)="否",_xlfn.XLOOKUP($A72&amp;$B72&amp;$C72,盘货信息!$A:$A&amp;盘货信息!$B:$B&amp;盘货信息!$C:$C,盘货信息!$L:$L)=""),_xlfn.XLOOKUP($A72&amp;$B72&amp;$C72,盘货信息!$A:$A&amp;盘货信息!$B:$B&amp;盘货信息!$C:$C,盘货信息!$M:$M)="否"),"【预估到手价"&amp;_xlfn.XLOOKUP($A72&amp;$B72&amp;$C72,盘货信息!$A:$A&amp;盘货信息!$B:$B&amp;盘货信息!$C:$C,盘货信息!$D:$D)&amp;"元】",IF(AND(_xlfn.XLOOKUP($A72&amp;$B72&amp;$C72,盘货信息!$A:$A&amp;盘货信息!$B:$B&amp;盘货信息!$C:$C,盘货信息!$M:$M)="是",OR(_xlfn.XLOOKUP($A72&amp;$B72&amp;$C72,盘货信息!$A:$A&amp;盘货信息!$B:$B&amp;盘货信息!$C:$C,盘货信息!$L:$L)="否",_xlfn.XLOOKUP($A72&amp;$B72&amp;$C72,盘货信息!$A:$A&amp;盘货信息!$B:$B&amp;盘货信息!$C:$C,盘货信息!$L:$L)="")),"【预估到手价"&amp;_xlfn.XLOOKUP($A72&amp;$B72&amp;$C72,盘货信息!$A:$A&amp;盘货信息!$B:$B&amp;盘货信息!$C:$C,盘货信息!$D:$D)&amp;"元】"&amp;CHAR(10)&amp;"【焕新补贴预估价"&amp;ROUND(_xlfn.XLOOKUP($A72&amp;$B72&amp;$C72,盘货信息!$A:$A&amp;盘货信息!$B:$B&amp;盘货信息!$C:$C,盘货信息!$E:$E),0)&amp;"元】","【焕新补贴预估价"&amp;ROUND(_xlfn.XLOOKUP($A72&amp;$B72&amp;$C72,盘货信息!$A:$A&amp;盘货信息!$B:$B&amp;盘货信息!$C:$C,盘货信息!$E:$E),0)&amp;"元】")))</f>
        <v/>
      </c>
      <c r="F72" s="27" t="str" cm="1">
        <f t="array" ref="F72">IF($C72="","",_xlfn.XLOOKUP($A72&amp;$B72&amp;$C72,盘货信息!$A:$A&amp;盘货信息!$B:$B&amp;盘货信息!$C:$C,盘货信息!$D:$D)&amp;"元到手价")</f>
        <v/>
      </c>
      <c r="G72" s="27" t="str" cm="1">
        <f t="array" ref="G72">IF($C72="","",IF(_xlfn.XLOOKUP($A72&amp;$B72&amp;$C72,盘货信息!$A:$A&amp;盘货信息!$B:$B&amp;盘货信息!$C:$C,盘货信息!$G:$G)&lt;1,"",ROUND(_xlfn.XLOOKUP($A72&amp;$B72&amp;$C72,盘货信息!$A:$A&amp;盘货信息!$B:$B&amp;盘货信息!$C:$C,盘货信息!$G:$G),0)&amp;"元88VIP立减"))</f>
        <v/>
      </c>
      <c r="H72" s="27" t="str" cm="1">
        <f t="array" ref="H72">IF($C72="","",IF(_xlfn.XLOOKUP($A72&amp;$B72&amp;$C72,盘货信息!$A:$A&amp;盘货信息!$B:$B&amp;盘货信息!$C:$C,盘货信息!$I:$I)&lt;1,"",_xlfn.XLOOKUP($A72&amp;$B72&amp;$C72,盘货信息!$A:$A&amp;盘货信息!$B:$B&amp;盘货信息!$C:$C,盘货信息!$I:$I)&amp;"元惊喜立减"))</f>
        <v/>
      </c>
      <c r="I72" s="27" t="str" cm="1">
        <f t="array" ref="I72">IF($C72="","",IF(_xlfn.XLOOKUP($A72&amp;$B72&amp;$C72,盘货信息!$A:$A&amp;盘货信息!$B:$B&amp;盘货信息!$C:$C,盘货信息!$H:$H)&lt;1,"",ROUND(_xlfn.XLOOKUP($A72&amp;$B72&amp;$C72,盘货信息!$A:$A&amp;盘货信息!$B:$B&amp;盘货信息!$C:$C,盘货信息!$H:$H),0)&amp;"元消费券"))</f>
        <v/>
      </c>
      <c r="J72" s="27" t="str" cm="1">
        <f t="array" ref="J72">IF($C72="","",IF(_xlfn.XLOOKUP($A72&amp;$B72&amp;$C72,盘货信息!$A:$A&amp;盘货信息!$B:$B&amp;盘货信息!$C:$C,盘货信息!$J:$J)&lt;1,"",ROUND(_xlfn.XLOOKUP($A72&amp;$B72&amp;$C72,盘货信息!$A:$A&amp;盘货信息!$B:$B&amp;盘货信息!$C:$C,盘货信息!$J:$J),0)&amp;"元限时补贴"))</f>
        <v/>
      </c>
      <c r="K72" s="27" t="str" cm="1">
        <f t="array" ref="K72">IF($C72="","",IF(_xlfn.XLOOKUP($A72&amp;$B72&amp;$C72,盘货信息!$A:$A&amp;盘货信息!$B:$B&amp;盘货信息!$C:$C,盘货信息!$K:$K)&lt;1,"",ROUND(_xlfn.XLOOKUP($A72&amp;$B72&amp;$C72,盘货信息!$A:$A&amp;盘货信息!$B:$B&amp;盘货信息!$C:$C,盘货信息!$K:$K),0)&amp;"元预估焕新补贴"))</f>
        <v/>
      </c>
      <c r="L72" s="27" t="str" cm="1">
        <f t="array" ref="L72">IF($C72="","",IF(AND(_xlfn.XLOOKUP($A72&amp;$B72&amp;$C72,盘货信息!$A:$A&amp;盘货信息!$B:$B&amp;盘货信息!$C:$C,盘货信息!$L:$L)="是",_xlfn.XLOOKUP($A72&amp;$B72&amp;$C72,盘货信息!$A:$A&amp;盘货信息!$B:$B&amp;盘货信息!$C:$C,盘货信息!$M:$M)="是",_xlfn.XLOOKUP($A72&amp;$B72&amp;$C72,盘货信息!$A:$A&amp;盘货信息!$B:$B&amp;盘货信息!$C:$C,盘货信息!$K:$K)&gt;0),"【全民可用，不限地址】",IF(AND(OR(_xlfn.XLOOKUP($A72&amp;$B72&amp;$C72,盘货信息!$A:$A&amp;盘货信息!$B:$B&amp;盘货信息!$C:$C,盘货信息!$L:$L)="否",_xlfn.XLOOKUP($A72&amp;$B72&amp;$C72,盘货信息!$A:$A&amp;盘货信息!$B:$B&amp;盘货信息!$C:$C,盘货信息!$L:$L)=""),_xlfn.XLOOKUP($A72&amp;$B72&amp;$C72,盘货信息!$A:$A&amp;盘货信息!$B:$B&amp;盘货信息!$C:$C,盘货信息!$M:$M)="是",_xlfn.XLOOKUP($A72&amp;$B72&amp;$C72,盘货信息!$A:$A&amp;盘货信息!$B:$B&amp;盘货信息!$C:$C,盘货信息!$K:$K)&gt;0),"【详情页领取】","")))</f>
        <v/>
      </c>
      <c r="M72" s="27" t="str" cm="1">
        <f t="array" ref="M72">IF($C72="","",IF(_xlfn.XLOOKUP($A72&amp;$B72&amp;$C72,盘货信息!$A:$A&amp;盘货信息!$B:$B&amp;盘货信息!$C:$C,盘货信息!$F:$F)&lt;1,"",_xlfn.XLOOKUP($A72&amp;$B72&amp;$C72,盘货信息!$A:$A&amp;盘货信息!$B:$B&amp;盘货信息!$C:$C,盘货信息!$F:$F)&amp;"元明卷"))</f>
        <v/>
      </c>
      <c r="N72" s="27" t="str">
        <f t="shared" si="3"/>
        <v/>
      </c>
      <c r="O72" s="27" t="str">
        <f>IF(I72="","","【消费券链接】"&amp;固定信息!$B$6)</f>
        <v/>
      </c>
    </row>
    <row r="73" customHeight="1" spans="1:15">
      <c r="A73" s="26" t="str">
        <f>IF(盘货信息!A73="","",盘货信息!A73)</f>
        <v/>
      </c>
      <c r="B73" s="26" t="str">
        <f>IF(盘货信息!B73="","",盘货信息!B73)</f>
        <v/>
      </c>
      <c r="C73" s="27" t="str">
        <f>IF(盘货信息!C73="","",盘货信息!C73)</f>
        <v/>
      </c>
      <c r="D73" s="27" t="str">
        <f t="shared" si="2"/>
        <v/>
      </c>
      <c r="E73" s="27" t="str" cm="1">
        <f t="array" ref="E73">IF($C73="","",IF(AND(OR(_xlfn.XLOOKUP($A73&amp;$B73&amp;$C73,盘货信息!$A:$A&amp;盘货信息!$B:$B&amp;盘货信息!$C:$C,盘货信息!$L:$L)="否",_xlfn.XLOOKUP($A73&amp;$B73&amp;$C73,盘货信息!$A:$A&amp;盘货信息!$B:$B&amp;盘货信息!$C:$C,盘货信息!$L:$L)=""),_xlfn.XLOOKUP($A73&amp;$B73&amp;$C73,盘货信息!$A:$A&amp;盘货信息!$B:$B&amp;盘货信息!$C:$C,盘货信息!$M:$M)="否"),"【预估到手价"&amp;_xlfn.XLOOKUP($A73&amp;$B73&amp;$C73,盘货信息!$A:$A&amp;盘货信息!$B:$B&amp;盘货信息!$C:$C,盘货信息!$D:$D)&amp;"元】",IF(AND(_xlfn.XLOOKUP($A73&amp;$B73&amp;$C73,盘货信息!$A:$A&amp;盘货信息!$B:$B&amp;盘货信息!$C:$C,盘货信息!$M:$M)="是",OR(_xlfn.XLOOKUP($A73&amp;$B73&amp;$C73,盘货信息!$A:$A&amp;盘货信息!$B:$B&amp;盘货信息!$C:$C,盘货信息!$L:$L)="否",_xlfn.XLOOKUP($A73&amp;$B73&amp;$C73,盘货信息!$A:$A&amp;盘货信息!$B:$B&amp;盘货信息!$C:$C,盘货信息!$L:$L)="")),"【预估到手价"&amp;_xlfn.XLOOKUP($A73&amp;$B73&amp;$C73,盘货信息!$A:$A&amp;盘货信息!$B:$B&amp;盘货信息!$C:$C,盘货信息!$D:$D)&amp;"元】"&amp;CHAR(10)&amp;"【焕新补贴预估价"&amp;ROUND(_xlfn.XLOOKUP($A73&amp;$B73&amp;$C73,盘货信息!$A:$A&amp;盘货信息!$B:$B&amp;盘货信息!$C:$C,盘货信息!$E:$E),0)&amp;"元】","【焕新补贴预估价"&amp;ROUND(_xlfn.XLOOKUP($A73&amp;$B73&amp;$C73,盘货信息!$A:$A&amp;盘货信息!$B:$B&amp;盘货信息!$C:$C,盘货信息!$E:$E),0)&amp;"元】")))</f>
        <v/>
      </c>
      <c r="F73" s="27" t="str" cm="1">
        <f t="array" ref="F73">IF($C73="","",_xlfn.XLOOKUP($A73&amp;$B73&amp;$C73,盘货信息!$A:$A&amp;盘货信息!$B:$B&amp;盘货信息!$C:$C,盘货信息!$D:$D)&amp;"元到手价")</f>
        <v/>
      </c>
      <c r="G73" s="27" t="str" cm="1">
        <f t="array" ref="G73">IF($C73="","",IF(_xlfn.XLOOKUP($A73&amp;$B73&amp;$C73,盘货信息!$A:$A&amp;盘货信息!$B:$B&amp;盘货信息!$C:$C,盘货信息!$G:$G)&lt;1,"",ROUND(_xlfn.XLOOKUP($A73&amp;$B73&amp;$C73,盘货信息!$A:$A&amp;盘货信息!$B:$B&amp;盘货信息!$C:$C,盘货信息!$G:$G),0)&amp;"元88VIP立减"))</f>
        <v/>
      </c>
      <c r="H73" s="27" t="str" cm="1">
        <f t="array" ref="H73">IF($C73="","",IF(_xlfn.XLOOKUP($A73&amp;$B73&amp;$C73,盘货信息!$A:$A&amp;盘货信息!$B:$B&amp;盘货信息!$C:$C,盘货信息!$I:$I)&lt;1,"",_xlfn.XLOOKUP($A73&amp;$B73&amp;$C73,盘货信息!$A:$A&amp;盘货信息!$B:$B&amp;盘货信息!$C:$C,盘货信息!$I:$I)&amp;"元惊喜立减"))</f>
        <v/>
      </c>
      <c r="I73" s="27" t="str" cm="1">
        <f t="array" ref="I73">IF($C73="","",IF(_xlfn.XLOOKUP($A73&amp;$B73&amp;$C73,盘货信息!$A:$A&amp;盘货信息!$B:$B&amp;盘货信息!$C:$C,盘货信息!$H:$H)&lt;1,"",ROUND(_xlfn.XLOOKUP($A73&amp;$B73&amp;$C73,盘货信息!$A:$A&amp;盘货信息!$B:$B&amp;盘货信息!$C:$C,盘货信息!$H:$H),0)&amp;"元消费券"))</f>
        <v/>
      </c>
      <c r="J73" s="27" t="str" cm="1">
        <f t="array" ref="J73">IF($C73="","",IF(_xlfn.XLOOKUP($A73&amp;$B73&amp;$C73,盘货信息!$A:$A&amp;盘货信息!$B:$B&amp;盘货信息!$C:$C,盘货信息!$J:$J)&lt;1,"",ROUND(_xlfn.XLOOKUP($A73&amp;$B73&amp;$C73,盘货信息!$A:$A&amp;盘货信息!$B:$B&amp;盘货信息!$C:$C,盘货信息!$J:$J),0)&amp;"元限时补贴"))</f>
        <v/>
      </c>
      <c r="K73" s="27" t="str" cm="1">
        <f t="array" ref="K73">IF($C73="","",IF(_xlfn.XLOOKUP($A73&amp;$B73&amp;$C73,盘货信息!$A:$A&amp;盘货信息!$B:$B&amp;盘货信息!$C:$C,盘货信息!$K:$K)&lt;1,"",ROUND(_xlfn.XLOOKUP($A73&amp;$B73&amp;$C73,盘货信息!$A:$A&amp;盘货信息!$B:$B&amp;盘货信息!$C:$C,盘货信息!$K:$K),0)&amp;"元预估焕新补贴"))</f>
        <v/>
      </c>
      <c r="L73" s="27" t="str" cm="1">
        <f t="array" ref="L73">IF($C73="","",IF(AND(_xlfn.XLOOKUP($A73&amp;$B73&amp;$C73,盘货信息!$A:$A&amp;盘货信息!$B:$B&amp;盘货信息!$C:$C,盘货信息!$L:$L)="是",_xlfn.XLOOKUP($A73&amp;$B73&amp;$C73,盘货信息!$A:$A&amp;盘货信息!$B:$B&amp;盘货信息!$C:$C,盘货信息!$M:$M)="是",_xlfn.XLOOKUP($A73&amp;$B73&amp;$C73,盘货信息!$A:$A&amp;盘货信息!$B:$B&amp;盘货信息!$C:$C,盘货信息!$K:$K)&gt;0),"【全民可用，不限地址】",IF(AND(OR(_xlfn.XLOOKUP($A73&amp;$B73&amp;$C73,盘货信息!$A:$A&amp;盘货信息!$B:$B&amp;盘货信息!$C:$C,盘货信息!$L:$L)="否",_xlfn.XLOOKUP($A73&amp;$B73&amp;$C73,盘货信息!$A:$A&amp;盘货信息!$B:$B&amp;盘货信息!$C:$C,盘货信息!$L:$L)=""),_xlfn.XLOOKUP($A73&amp;$B73&amp;$C73,盘货信息!$A:$A&amp;盘货信息!$B:$B&amp;盘货信息!$C:$C,盘货信息!$M:$M)="是",_xlfn.XLOOKUP($A73&amp;$B73&amp;$C73,盘货信息!$A:$A&amp;盘货信息!$B:$B&amp;盘货信息!$C:$C,盘货信息!$K:$K)&gt;0),"【详情页领取】","")))</f>
        <v/>
      </c>
      <c r="M73" s="27" t="str" cm="1">
        <f t="array" ref="M73">IF($C73="","",IF(_xlfn.XLOOKUP($A73&amp;$B73&amp;$C73,盘货信息!$A:$A&amp;盘货信息!$B:$B&amp;盘货信息!$C:$C,盘货信息!$F:$F)&lt;1,"",_xlfn.XLOOKUP($A73&amp;$B73&amp;$C73,盘货信息!$A:$A&amp;盘货信息!$B:$B&amp;盘货信息!$C:$C,盘货信息!$F:$F)&amp;"元明卷"))</f>
        <v/>
      </c>
      <c r="N73" s="27" t="str">
        <f t="shared" si="3"/>
        <v/>
      </c>
      <c r="O73" s="27" t="str">
        <f>IF(I73="","","【消费券链接】"&amp;固定信息!$B$6)</f>
        <v/>
      </c>
    </row>
    <row r="74" customHeight="1" spans="1:15">
      <c r="A74" s="26" t="str">
        <f>IF(盘货信息!A74="","",盘货信息!A74)</f>
        <v/>
      </c>
      <c r="B74" s="26" t="str">
        <f>IF(盘货信息!B74="","",盘货信息!B74)</f>
        <v/>
      </c>
      <c r="C74" s="27" t="str">
        <f>IF(盘货信息!C74="","",盘货信息!C74)</f>
        <v/>
      </c>
      <c r="D74" s="27" t="str">
        <f t="shared" si="2"/>
        <v/>
      </c>
      <c r="E74" s="27" t="str" cm="1">
        <f t="array" ref="E74">IF($C74="","",IF(AND(OR(_xlfn.XLOOKUP($A74&amp;$B74&amp;$C74,盘货信息!$A:$A&amp;盘货信息!$B:$B&amp;盘货信息!$C:$C,盘货信息!$L:$L)="否",_xlfn.XLOOKUP($A74&amp;$B74&amp;$C74,盘货信息!$A:$A&amp;盘货信息!$B:$B&amp;盘货信息!$C:$C,盘货信息!$L:$L)=""),_xlfn.XLOOKUP($A74&amp;$B74&amp;$C74,盘货信息!$A:$A&amp;盘货信息!$B:$B&amp;盘货信息!$C:$C,盘货信息!$M:$M)="否"),"【预估到手价"&amp;_xlfn.XLOOKUP($A74&amp;$B74&amp;$C74,盘货信息!$A:$A&amp;盘货信息!$B:$B&amp;盘货信息!$C:$C,盘货信息!$D:$D)&amp;"元】",IF(AND(_xlfn.XLOOKUP($A74&amp;$B74&amp;$C74,盘货信息!$A:$A&amp;盘货信息!$B:$B&amp;盘货信息!$C:$C,盘货信息!$M:$M)="是",OR(_xlfn.XLOOKUP($A74&amp;$B74&amp;$C74,盘货信息!$A:$A&amp;盘货信息!$B:$B&amp;盘货信息!$C:$C,盘货信息!$L:$L)="否",_xlfn.XLOOKUP($A74&amp;$B74&amp;$C74,盘货信息!$A:$A&amp;盘货信息!$B:$B&amp;盘货信息!$C:$C,盘货信息!$L:$L)="")),"【预估到手价"&amp;_xlfn.XLOOKUP($A74&amp;$B74&amp;$C74,盘货信息!$A:$A&amp;盘货信息!$B:$B&amp;盘货信息!$C:$C,盘货信息!$D:$D)&amp;"元】"&amp;CHAR(10)&amp;"【焕新补贴预估价"&amp;ROUND(_xlfn.XLOOKUP($A74&amp;$B74&amp;$C74,盘货信息!$A:$A&amp;盘货信息!$B:$B&amp;盘货信息!$C:$C,盘货信息!$E:$E),0)&amp;"元】","【焕新补贴预估价"&amp;ROUND(_xlfn.XLOOKUP($A74&amp;$B74&amp;$C74,盘货信息!$A:$A&amp;盘货信息!$B:$B&amp;盘货信息!$C:$C,盘货信息!$E:$E),0)&amp;"元】")))</f>
        <v/>
      </c>
      <c r="F74" s="27" t="str" cm="1">
        <f t="array" ref="F74">IF($C74="","",_xlfn.XLOOKUP($A74&amp;$B74&amp;$C74,盘货信息!$A:$A&amp;盘货信息!$B:$B&amp;盘货信息!$C:$C,盘货信息!$D:$D)&amp;"元到手价")</f>
        <v/>
      </c>
      <c r="G74" s="27" t="str" cm="1">
        <f t="array" ref="G74">IF($C74="","",IF(_xlfn.XLOOKUP($A74&amp;$B74&amp;$C74,盘货信息!$A:$A&amp;盘货信息!$B:$B&amp;盘货信息!$C:$C,盘货信息!$G:$G)&lt;1,"",ROUND(_xlfn.XLOOKUP($A74&amp;$B74&amp;$C74,盘货信息!$A:$A&amp;盘货信息!$B:$B&amp;盘货信息!$C:$C,盘货信息!$G:$G),0)&amp;"元88VIP立减"))</f>
        <v/>
      </c>
      <c r="H74" s="27" t="str" cm="1">
        <f t="array" ref="H74">IF($C74="","",IF(_xlfn.XLOOKUP($A74&amp;$B74&amp;$C74,盘货信息!$A:$A&amp;盘货信息!$B:$B&amp;盘货信息!$C:$C,盘货信息!$I:$I)&lt;1,"",_xlfn.XLOOKUP($A74&amp;$B74&amp;$C74,盘货信息!$A:$A&amp;盘货信息!$B:$B&amp;盘货信息!$C:$C,盘货信息!$I:$I)&amp;"元惊喜立减"))</f>
        <v/>
      </c>
      <c r="I74" s="27" t="str" cm="1">
        <f t="array" ref="I74">IF($C74="","",IF(_xlfn.XLOOKUP($A74&amp;$B74&amp;$C74,盘货信息!$A:$A&amp;盘货信息!$B:$B&amp;盘货信息!$C:$C,盘货信息!$H:$H)&lt;1,"",ROUND(_xlfn.XLOOKUP($A74&amp;$B74&amp;$C74,盘货信息!$A:$A&amp;盘货信息!$B:$B&amp;盘货信息!$C:$C,盘货信息!$H:$H),0)&amp;"元消费券"))</f>
        <v/>
      </c>
      <c r="J74" s="27" t="str" cm="1">
        <f t="array" ref="J74">IF($C74="","",IF(_xlfn.XLOOKUP($A74&amp;$B74&amp;$C74,盘货信息!$A:$A&amp;盘货信息!$B:$B&amp;盘货信息!$C:$C,盘货信息!$J:$J)&lt;1,"",ROUND(_xlfn.XLOOKUP($A74&amp;$B74&amp;$C74,盘货信息!$A:$A&amp;盘货信息!$B:$B&amp;盘货信息!$C:$C,盘货信息!$J:$J),0)&amp;"元限时补贴"))</f>
        <v/>
      </c>
      <c r="K74" s="27" t="str" cm="1">
        <f t="array" ref="K74">IF($C74="","",IF(_xlfn.XLOOKUP($A74&amp;$B74&amp;$C74,盘货信息!$A:$A&amp;盘货信息!$B:$B&amp;盘货信息!$C:$C,盘货信息!$K:$K)&lt;1,"",ROUND(_xlfn.XLOOKUP($A74&amp;$B74&amp;$C74,盘货信息!$A:$A&amp;盘货信息!$B:$B&amp;盘货信息!$C:$C,盘货信息!$K:$K),0)&amp;"元预估焕新补贴"))</f>
        <v/>
      </c>
      <c r="L74" s="27" t="str" cm="1">
        <f t="array" ref="L74">IF($C74="","",IF(AND(_xlfn.XLOOKUP($A74&amp;$B74&amp;$C74,盘货信息!$A:$A&amp;盘货信息!$B:$B&amp;盘货信息!$C:$C,盘货信息!$L:$L)="是",_xlfn.XLOOKUP($A74&amp;$B74&amp;$C74,盘货信息!$A:$A&amp;盘货信息!$B:$B&amp;盘货信息!$C:$C,盘货信息!$M:$M)="是",_xlfn.XLOOKUP($A74&amp;$B74&amp;$C74,盘货信息!$A:$A&amp;盘货信息!$B:$B&amp;盘货信息!$C:$C,盘货信息!$K:$K)&gt;0),"【全民可用，不限地址】",IF(AND(OR(_xlfn.XLOOKUP($A74&amp;$B74&amp;$C74,盘货信息!$A:$A&amp;盘货信息!$B:$B&amp;盘货信息!$C:$C,盘货信息!$L:$L)="否",_xlfn.XLOOKUP($A74&amp;$B74&amp;$C74,盘货信息!$A:$A&amp;盘货信息!$B:$B&amp;盘货信息!$C:$C,盘货信息!$L:$L)=""),_xlfn.XLOOKUP($A74&amp;$B74&amp;$C74,盘货信息!$A:$A&amp;盘货信息!$B:$B&amp;盘货信息!$C:$C,盘货信息!$M:$M)="是",_xlfn.XLOOKUP($A74&amp;$B74&amp;$C74,盘货信息!$A:$A&amp;盘货信息!$B:$B&amp;盘货信息!$C:$C,盘货信息!$K:$K)&gt;0),"【详情页领取】","")))</f>
        <v/>
      </c>
      <c r="M74" s="27" t="str" cm="1">
        <f t="array" ref="M74">IF($C74="","",IF(_xlfn.XLOOKUP($A74&amp;$B74&amp;$C74,盘货信息!$A:$A&amp;盘货信息!$B:$B&amp;盘货信息!$C:$C,盘货信息!$F:$F)&lt;1,"",_xlfn.XLOOKUP($A74&amp;$B74&amp;$C74,盘货信息!$A:$A&amp;盘货信息!$B:$B&amp;盘货信息!$C:$C,盘货信息!$F:$F)&amp;"元明卷"))</f>
        <v/>
      </c>
      <c r="N74" s="27" t="str">
        <f t="shared" si="3"/>
        <v/>
      </c>
      <c r="O74" s="27" t="str">
        <f>IF(I74="","","【消费券链接】"&amp;固定信息!$B$6)</f>
        <v/>
      </c>
    </row>
    <row r="75" customHeight="1" spans="1:15">
      <c r="A75" s="26" t="str">
        <f>IF(盘货信息!A75="","",盘货信息!A75)</f>
        <v/>
      </c>
      <c r="B75" s="26" t="str">
        <f>IF(盘货信息!B75="","",盘货信息!B75)</f>
        <v/>
      </c>
      <c r="C75" s="27" t="str">
        <f>IF(盘货信息!C75="","",盘货信息!C75)</f>
        <v/>
      </c>
      <c r="D75" s="27" t="str">
        <f t="shared" si="2"/>
        <v/>
      </c>
      <c r="E75" s="27" t="str" cm="1">
        <f t="array" ref="E75">IF($C75="","",IF(AND(OR(_xlfn.XLOOKUP($A75&amp;$B75&amp;$C75,盘货信息!$A:$A&amp;盘货信息!$B:$B&amp;盘货信息!$C:$C,盘货信息!$L:$L)="否",_xlfn.XLOOKUP($A75&amp;$B75&amp;$C75,盘货信息!$A:$A&amp;盘货信息!$B:$B&amp;盘货信息!$C:$C,盘货信息!$L:$L)=""),_xlfn.XLOOKUP($A75&amp;$B75&amp;$C75,盘货信息!$A:$A&amp;盘货信息!$B:$B&amp;盘货信息!$C:$C,盘货信息!$M:$M)="否"),"【预估到手价"&amp;_xlfn.XLOOKUP($A75&amp;$B75&amp;$C75,盘货信息!$A:$A&amp;盘货信息!$B:$B&amp;盘货信息!$C:$C,盘货信息!$D:$D)&amp;"元】",IF(AND(_xlfn.XLOOKUP($A75&amp;$B75&amp;$C75,盘货信息!$A:$A&amp;盘货信息!$B:$B&amp;盘货信息!$C:$C,盘货信息!$M:$M)="是",OR(_xlfn.XLOOKUP($A75&amp;$B75&amp;$C75,盘货信息!$A:$A&amp;盘货信息!$B:$B&amp;盘货信息!$C:$C,盘货信息!$L:$L)="否",_xlfn.XLOOKUP($A75&amp;$B75&amp;$C75,盘货信息!$A:$A&amp;盘货信息!$B:$B&amp;盘货信息!$C:$C,盘货信息!$L:$L)="")),"【预估到手价"&amp;_xlfn.XLOOKUP($A75&amp;$B75&amp;$C75,盘货信息!$A:$A&amp;盘货信息!$B:$B&amp;盘货信息!$C:$C,盘货信息!$D:$D)&amp;"元】"&amp;CHAR(10)&amp;"【焕新补贴预估价"&amp;ROUND(_xlfn.XLOOKUP($A75&amp;$B75&amp;$C75,盘货信息!$A:$A&amp;盘货信息!$B:$B&amp;盘货信息!$C:$C,盘货信息!$E:$E),0)&amp;"元】","【焕新补贴预估价"&amp;ROUND(_xlfn.XLOOKUP($A75&amp;$B75&amp;$C75,盘货信息!$A:$A&amp;盘货信息!$B:$B&amp;盘货信息!$C:$C,盘货信息!$E:$E),0)&amp;"元】")))</f>
        <v/>
      </c>
      <c r="F75" s="27" t="str" cm="1">
        <f t="array" ref="F75">IF($C75="","",_xlfn.XLOOKUP($A75&amp;$B75&amp;$C75,盘货信息!$A:$A&amp;盘货信息!$B:$B&amp;盘货信息!$C:$C,盘货信息!$D:$D)&amp;"元到手价")</f>
        <v/>
      </c>
      <c r="G75" s="27" t="str" cm="1">
        <f t="array" ref="G75">IF($C75="","",IF(_xlfn.XLOOKUP($A75&amp;$B75&amp;$C75,盘货信息!$A:$A&amp;盘货信息!$B:$B&amp;盘货信息!$C:$C,盘货信息!$G:$G)&lt;1,"",ROUND(_xlfn.XLOOKUP($A75&amp;$B75&amp;$C75,盘货信息!$A:$A&amp;盘货信息!$B:$B&amp;盘货信息!$C:$C,盘货信息!$G:$G),0)&amp;"元88VIP立减"))</f>
        <v/>
      </c>
      <c r="H75" s="27" t="str" cm="1">
        <f t="array" ref="H75">IF($C75="","",IF(_xlfn.XLOOKUP($A75&amp;$B75&amp;$C75,盘货信息!$A:$A&amp;盘货信息!$B:$B&amp;盘货信息!$C:$C,盘货信息!$I:$I)&lt;1,"",_xlfn.XLOOKUP($A75&amp;$B75&amp;$C75,盘货信息!$A:$A&amp;盘货信息!$B:$B&amp;盘货信息!$C:$C,盘货信息!$I:$I)&amp;"元惊喜立减"))</f>
        <v/>
      </c>
      <c r="I75" s="27" t="str" cm="1">
        <f t="array" ref="I75">IF($C75="","",IF(_xlfn.XLOOKUP($A75&amp;$B75&amp;$C75,盘货信息!$A:$A&amp;盘货信息!$B:$B&amp;盘货信息!$C:$C,盘货信息!$H:$H)&lt;1,"",ROUND(_xlfn.XLOOKUP($A75&amp;$B75&amp;$C75,盘货信息!$A:$A&amp;盘货信息!$B:$B&amp;盘货信息!$C:$C,盘货信息!$H:$H),0)&amp;"元消费券"))</f>
        <v/>
      </c>
      <c r="J75" s="27" t="str" cm="1">
        <f t="array" ref="J75">IF($C75="","",IF(_xlfn.XLOOKUP($A75&amp;$B75&amp;$C75,盘货信息!$A:$A&amp;盘货信息!$B:$B&amp;盘货信息!$C:$C,盘货信息!$J:$J)&lt;1,"",ROUND(_xlfn.XLOOKUP($A75&amp;$B75&amp;$C75,盘货信息!$A:$A&amp;盘货信息!$B:$B&amp;盘货信息!$C:$C,盘货信息!$J:$J),0)&amp;"元限时补贴"))</f>
        <v/>
      </c>
      <c r="K75" s="27" t="str" cm="1">
        <f t="array" ref="K75">IF($C75="","",IF(_xlfn.XLOOKUP($A75&amp;$B75&amp;$C75,盘货信息!$A:$A&amp;盘货信息!$B:$B&amp;盘货信息!$C:$C,盘货信息!$K:$K)&lt;1,"",ROUND(_xlfn.XLOOKUP($A75&amp;$B75&amp;$C75,盘货信息!$A:$A&amp;盘货信息!$B:$B&amp;盘货信息!$C:$C,盘货信息!$K:$K),0)&amp;"元预估焕新补贴"))</f>
        <v/>
      </c>
      <c r="L75" s="27" t="str" cm="1">
        <f t="array" ref="L75">IF($C75="","",IF(AND(_xlfn.XLOOKUP($A75&amp;$B75&amp;$C75,盘货信息!$A:$A&amp;盘货信息!$B:$B&amp;盘货信息!$C:$C,盘货信息!$L:$L)="是",_xlfn.XLOOKUP($A75&amp;$B75&amp;$C75,盘货信息!$A:$A&amp;盘货信息!$B:$B&amp;盘货信息!$C:$C,盘货信息!$M:$M)="是",_xlfn.XLOOKUP($A75&amp;$B75&amp;$C75,盘货信息!$A:$A&amp;盘货信息!$B:$B&amp;盘货信息!$C:$C,盘货信息!$K:$K)&gt;0),"【全民可用，不限地址】",IF(AND(OR(_xlfn.XLOOKUP($A75&amp;$B75&amp;$C75,盘货信息!$A:$A&amp;盘货信息!$B:$B&amp;盘货信息!$C:$C,盘货信息!$L:$L)="否",_xlfn.XLOOKUP($A75&amp;$B75&amp;$C75,盘货信息!$A:$A&amp;盘货信息!$B:$B&amp;盘货信息!$C:$C,盘货信息!$L:$L)=""),_xlfn.XLOOKUP($A75&amp;$B75&amp;$C75,盘货信息!$A:$A&amp;盘货信息!$B:$B&amp;盘货信息!$C:$C,盘货信息!$M:$M)="是",_xlfn.XLOOKUP($A75&amp;$B75&amp;$C75,盘货信息!$A:$A&amp;盘货信息!$B:$B&amp;盘货信息!$C:$C,盘货信息!$K:$K)&gt;0),"【详情页领取】","")))</f>
        <v/>
      </c>
      <c r="M75" s="27" t="str" cm="1">
        <f t="array" ref="M75">IF($C75="","",IF(_xlfn.XLOOKUP($A75&amp;$B75&amp;$C75,盘货信息!$A:$A&amp;盘货信息!$B:$B&amp;盘货信息!$C:$C,盘货信息!$F:$F)&lt;1,"",_xlfn.XLOOKUP($A75&amp;$B75&amp;$C75,盘货信息!$A:$A&amp;盘货信息!$B:$B&amp;盘货信息!$C:$C,盘货信息!$F:$F)&amp;"元明卷"))</f>
        <v/>
      </c>
      <c r="N75" s="27" t="str">
        <f t="shared" si="3"/>
        <v/>
      </c>
      <c r="O75" s="27" t="str">
        <f>IF(I75="","","【消费券链接】"&amp;固定信息!$B$6)</f>
        <v/>
      </c>
    </row>
    <row r="76" customHeight="1" spans="1:15">
      <c r="A76" s="26" t="str">
        <f>IF(盘货信息!A76="","",盘货信息!A76)</f>
        <v/>
      </c>
      <c r="B76" s="26" t="str">
        <f>IF(盘货信息!B76="","",盘货信息!B76)</f>
        <v/>
      </c>
      <c r="C76" s="27" t="str">
        <f>IF(盘货信息!C76="","",盘货信息!C76)</f>
        <v/>
      </c>
      <c r="D76" s="27" t="str">
        <f t="shared" si="2"/>
        <v/>
      </c>
      <c r="E76" s="27" t="str" cm="1">
        <f t="array" ref="E76">IF($C76="","",IF(AND(OR(_xlfn.XLOOKUP($A76&amp;$B76&amp;$C76,盘货信息!$A:$A&amp;盘货信息!$B:$B&amp;盘货信息!$C:$C,盘货信息!$L:$L)="否",_xlfn.XLOOKUP($A76&amp;$B76&amp;$C76,盘货信息!$A:$A&amp;盘货信息!$B:$B&amp;盘货信息!$C:$C,盘货信息!$L:$L)=""),_xlfn.XLOOKUP($A76&amp;$B76&amp;$C76,盘货信息!$A:$A&amp;盘货信息!$B:$B&amp;盘货信息!$C:$C,盘货信息!$M:$M)="否"),"【预估到手价"&amp;_xlfn.XLOOKUP($A76&amp;$B76&amp;$C76,盘货信息!$A:$A&amp;盘货信息!$B:$B&amp;盘货信息!$C:$C,盘货信息!$D:$D)&amp;"元】",IF(AND(_xlfn.XLOOKUP($A76&amp;$B76&amp;$C76,盘货信息!$A:$A&amp;盘货信息!$B:$B&amp;盘货信息!$C:$C,盘货信息!$M:$M)="是",OR(_xlfn.XLOOKUP($A76&amp;$B76&amp;$C76,盘货信息!$A:$A&amp;盘货信息!$B:$B&amp;盘货信息!$C:$C,盘货信息!$L:$L)="否",_xlfn.XLOOKUP($A76&amp;$B76&amp;$C76,盘货信息!$A:$A&amp;盘货信息!$B:$B&amp;盘货信息!$C:$C,盘货信息!$L:$L)="")),"【预估到手价"&amp;_xlfn.XLOOKUP($A76&amp;$B76&amp;$C76,盘货信息!$A:$A&amp;盘货信息!$B:$B&amp;盘货信息!$C:$C,盘货信息!$D:$D)&amp;"元】"&amp;CHAR(10)&amp;"【焕新补贴预估价"&amp;ROUND(_xlfn.XLOOKUP($A76&amp;$B76&amp;$C76,盘货信息!$A:$A&amp;盘货信息!$B:$B&amp;盘货信息!$C:$C,盘货信息!$E:$E),0)&amp;"元】","【焕新补贴预估价"&amp;ROUND(_xlfn.XLOOKUP($A76&amp;$B76&amp;$C76,盘货信息!$A:$A&amp;盘货信息!$B:$B&amp;盘货信息!$C:$C,盘货信息!$E:$E),0)&amp;"元】")))</f>
        <v/>
      </c>
      <c r="F76" s="27" t="str" cm="1">
        <f t="array" ref="F76">IF($C76="","",_xlfn.XLOOKUP($A76&amp;$B76&amp;$C76,盘货信息!$A:$A&amp;盘货信息!$B:$B&amp;盘货信息!$C:$C,盘货信息!$D:$D)&amp;"元到手价")</f>
        <v/>
      </c>
      <c r="G76" s="27" t="str" cm="1">
        <f t="array" ref="G76">IF($C76="","",IF(_xlfn.XLOOKUP($A76&amp;$B76&amp;$C76,盘货信息!$A:$A&amp;盘货信息!$B:$B&amp;盘货信息!$C:$C,盘货信息!$G:$G)&lt;1,"",ROUND(_xlfn.XLOOKUP($A76&amp;$B76&amp;$C76,盘货信息!$A:$A&amp;盘货信息!$B:$B&amp;盘货信息!$C:$C,盘货信息!$G:$G),0)&amp;"元88VIP立减"))</f>
        <v/>
      </c>
      <c r="H76" s="27" t="str" cm="1">
        <f t="array" ref="H76">IF($C76="","",IF(_xlfn.XLOOKUP($A76&amp;$B76&amp;$C76,盘货信息!$A:$A&amp;盘货信息!$B:$B&amp;盘货信息!$C:$C,盘货信息!$I:$I)&lt;1,"",_xlfn.XLOOKUP($A76&amp;$B76&amp;$C76,盘货信息!$A:$A&amp;盘货信息!$B:$B&amp;盘货信息!$C:$C,盘货信息!$I:$I)&amp;"元惊喜立减"))</f>
        <v/>
      </c>
      <c r="I76" s="27" t="str" cm="1">
        <f t="array" ref="I76">IF($C76="","",IF(_xlfn.XLOOKUP($A76&amp;$B76&amp;$C76,盘货信息!$A:$A&amp;盘货信息!$B:$B&amp;盘货信息!$C:$C,盘货信息!$H:$H)&lt;1,"",ROUND(_xlfn.XLOOKUP($A76&amp;$B76&amp;$C76,盘货信息!$A:$A&amp;盘货信息!$B:$B&amp;盘货信息!$C:$C,盘货信息!$H:$H),0)&amp;"元消费券"))</f>
        <v/>
      </c>
      <c r="J76" s="27" t="str" cm="1">
        <f t="array" ref="J76">IF($C76="","",IF(_xlfn.XLOOKUP($A76&amp;$B76&amp;$C76,盘货信息!$A:$A&amp;盘货信息!$B:$B&amp;盘货信息!$C:$C,盘货信息!$J:$J)&lt;1,"",ROUND(_xlfn.XLOOKUP($A76&amp;$B76&amp;$C76,盘货信息!$A:$A&amp;盘货信息!$B:$B&amp;盘货信息!$C:$C,盘货信息!$J:$J),0)&amp;"元限时补贴"))</f>
        <v/>
      </c>
      <c r="K76" s="27" t="str" cm="1">
        <f t="array" ref="K76">IF($C76="","",IF(_xlfn.XLOOKUP($A76&amp;$B76&amp;$C76,盘货信息!$A:$A&amp;盘货信息!$B:$B&amp;盘货信息!$C:$C,盘货信息!$K:$K)&lt;1,"",ROUND(_xlfn.XLOOKUP($A76&amp;$B76&amp;$C76,盘货信息!$A:$A&amp;盘货信息!$B:$B&amp;盘货信息!$C:$C,盘货信息!$K:$K),0)&amp;"元预估焕新补贴"))</f>
        <v/>
      </c>
      <c r="L76" s="27" t="str" cm="1">
        <f t="array" ref="L76">IF($C76="","",IF(AND(_xlfn.XLOOKUP($A76&amp;$B76&amp;$C76,盘货信息!$A:$A&amp;盘货信息!$B:$B&amp;盘货信息!$C:$C,盘货信息!$L:$L)="是",_xlfn.XLOOKUP($A76&amp;$B76&amp;$C76,盘货信息!$A:$A&amp;盘货信息!$B:$B&amp;盘货信息!$C:$C,盘货信息!$M:$M)="是",_xlfn.XLOOKUP($A76&amp;$B76&amp;$C76,盘货信息!$A:$A&amp;盘货信息!$B:$B&amp;盘货信息!$C:$C,盘货信息!$K:$K)&gt;0),"【全民可用，不限地址】",IF(AND(OR(_xlfn.XLOOKUP($A76&amp;$B76&amp;$C76,盘货信息!$A:$A&amp;盘货信息!$B:$B&amp;盘货信息!$C:$C,盘货信息!$L:$L)="否",_xlfn.XLOOKUP($A76&amp;$B76&amp;$C76,盘货信息!$A:$A&amp;盘货信息!$B:$B&amp;盘货信息!$C:$C,盘货信息!$L:$L)=""),_xlfn.XLOOKUP($A76&amp;$B76&amp;$C76,盘货信息!$A:$A&amp;盘货信息!$B:$B&amp;盘货信息!$C:$C,盘货信息!$M:$M)="是",_xlfn.XLOOKUP($A76&amp;$B76&amp;$C76,盘货信息!$A:$A&amp;盘货信息!$B:$B&amp;盘货信息!$C:$C,盘货信息!$K:$K)&gt;0),"【详情页领取】","")))</f>
        <v/>
      </c>
      <c r="M76" s="27" t="str" cm="1">
        <f t="array" ref="M76">IF($C76="","",IF(_xlfn.XLOOKUP($A76&amp;$B76&amp;$C76,盘货信息!$A:$A&amp;盘货信息!$B:$B&amp;盘货信息!$C:$C,盘货信息!$F:$F)&lt;1,"",_xlfn.XLOOKUP($A76&amp;$B76&amp;$C76,盘货信息!$A:$A&amp;盘货信息!$B:$B&amp;盘货信息!$C:$C,盘货信息!$F:$F)&amp;"元明卷"))</f>
        <v/>
      </c>
      <c r="N76" s="27" t="str">
        <f t="shared" si="3"/>
        <v/>
      </c>
      <c r="O76" s="27" t="str">
        <f>IF(I76="","","【消费券链接】"&amp;固定信息!$B$6)</f>
        <v/>
      </c>
    </row>
    <row r="77" customHeight="1" spans="1:15">
      <c r="A77" s="26" t="str">
        <f>IF(盘货信息!A77="","",盘货信息!A77)</f>
        <v/>
      </c>
      <c r="B77" s="26" t="str">
        <f>IF(盘货信息!B77="","",盘货信息!B77)</f>
        <v/>
      </c>
      <c r="C77" s="27" t="str">
        <f>IF(盘货信息!C77="","",盘货信息!C77)</f>
        <v/>
      </c>
      <c r="D77" s="27" t="str">
        <f t="shared" si="2"/>
        <v/>
      </c>
      <c r="E77" s="27" t="str" cm="1">
        <f t="array" ref="E77">IF($C77="","",IF(AND(OR(_xlfn.XLOOKUP($A77&amp;$B77&amp;$C77,盘货信息!$A:$A&amp;盘货信息!$B:$B&amp;盘货信息!$C:$C,盘货信息!$L:$L)="否",_xlfn.XLOOKUP($A77&amp;$B77&amp;$C77,盘货信息!$A:$A&amp;盘货信息!$B:$B&amp;盘货信息!$C:$C,盘货信息!$L:$L)=""),_xlfn.XLOOKUP($A77&amp;$B77&amp;$C77,盘货信息!$A:$A&amp;盘货信息!$B:$B&amp;盘货信息!$C:$C,盘货信息!$M:$M)="否"),"【预估到手价"&amp;_xlfn.XLOOKUP($A77&amp;$B77&amp;$C77,盘货信息!$A:$A&amp;盘货信息!$B:$B&amp;盘货信息!$C:$C,盘货信息!$D:$D)&amp;"元】",IF(AND(_xlfn.XLOOKUP($A77&amp;$B77&amp;$C77,盘货信息!$A:$A&amp;盘货信息!$B:$B&amp;盘货信息!$C:$C,盘货信息!$M:$M)="是",OR(_xlfn.XLOOKUP($A77&amp;$B77&amp;$C77,盘货信息!$A:$A&amp;盘货信息!$B:$B&amp;盘货信息!$C:$C,盘货信息!$L:$L)="否",_xlfn.XLOOKUP($A77&amp;$B77&amp;$C77,盘货信息!$A:$A&amp;盘货信息!$B:$B&amp;盘货信息!$C:$C,盘货信息!$L:$L)="")),"【预估到手价"&amp;_xlfn.XLOOKUP($A77&amp;$B77&amp;$C77,盘货信息!$A:$A&amp;盘货信息!$B:$B&amp;盘货信息!$C:$C,盘货信息!$D:$D)&amp;"元】"&amp;CHAR(10)&amp;"【焕新补贴预估价"&amp;ROUND(_xlfn.XLOOKUP($A77&amp;$B77&amp;$C77,盘货信息!$A:$A&amp;盘货信息!$B:$B&amp;盘货信息!$C:$C,盘货信息!$E:$E),0)&amp;"元】","【焕新补贴预估价"&amp;ROUND(_xlfn.XLOOKUP($A77&amp;$B77&amp;$C77,盘货信息!$A:$A&amp;盘货信息!$B:$B&amp;盘货信息!$C:$C,盘货信息!$E:$E),0)&amp;"元】")))</f>
        <v/>
      </c>
      <c r="F77" s="27" t="str" cm="1">
        <f t="array" ref="F77">IF($C77="","",_xlfn.XLOOKUP($A77&amp;$B77&amp;$C77,盘货信息!$A:$A&amp;盘货信息!$B:$B&amp;盘货信息!$C:$C,盘货信息!$D:$D)&amp;"元到手价")</f>
        <v/>
      </c>
      <c r="G77" s="27" t="str" cm="1">
        <f t="array" ref="G77">IF($C77="","",IF(_xlfn.XLOOKUP($A77&amp;$B77&amp;$C77,盘货信息!$A:$A&amp;盘货信息!$B:$B&amp;盘货信息!$C:$C,盘货信息!$G:$G)&lt;1,"",ROUND(_xlfn.XLOOKUP($A77&amp;$B77&amp;$C77,盘货信息!$A:$A&amp;盘货信息!$B:$B&amp;盘货信息!$C:$C,盘货信息!$G:$G),0)&amp;"元88VIP立减"))</f>
        <v/>
      </c>
      <c r="H77" s="27" t="str" cm="1">
        <f t="array" ref="H77">IF($C77="","",IF(_xlfn.XLOOKUP($A77&amp;$B77&amp;$C77,盘货信息!$A:$A&amp;盘货信息!$B:$B&amp;盘货信息!$C:$C,盘货信息!$I:$I)&lt;1,"",_xlfn.XLOOKUP($A77&amp;$B77&amp;$C77,盘货信息!$A:$A&amp;盘货信息!$B:$B&amp;盘货信息!$C:$C,盘货信息!$I:$I)&amp;"元惊喜立减"))</f>
        <v/>
      </c>
      <c r="I77" s="27" t="str" cm="1">
        <f t="array" ref="I77">IF($C77="","",IF(_xlfn.XLOOKUP($A77&amp;$B77&amp;$C77,盘货信息!$A:$A&amp;盘货信息!$B:$B&amp;盘货信息!$C:$C,盘货信息!$H:$H)&lt;1,"",ROUND(_xlfn.XLOOKUP($A77&amp;$B77&amp;$C77,盘货信息!$A:$A&amp;盘货信息!$B:$B&amp;盘货信息!$C:$C,盘货信息!$H:$H),0)&amp;"元消费券"))</f>
        <v/>
      </c>
      <c r="J77" s="27" t="str" cm="1">
        <f t="array" ref="J77">IF($C77="","",IF(_xlfn.XLOOKUP($A77&amp;$B77&amp;$C77,盘货信息!$A:$A&amp;盘货信息!$B:$B&amp;盘货信息!$C:$C,盘货信息!$J:$J)&lt;1,"",ROUND(_xlfn.XLOOKUP($A77&amp;$B77&amp;$C77,盘货信息!$A:$A&amp;盘货信息!$B:$B&amp;盘货信息!$C:$C,盘货信息!$J:$J),0)&amp;"元限时补贴"))</f>
        <v/>
      </c>
      <c r="K77" s="27" t="str" cm="1">
        <f t="array" ref="K77">IF($C77="","",IF(_xlfn.XLOOKUP($A77&amp;$B77&amp;$C77,盘货信息!$A:$A&amp;盘货信息!$B:$B&amp;盘货信息!$C:$C,盘货信息!$K:$K)&lt;1,"",ROUND(_xlfn.XLOOKUP($A77&amp;$B77&amp;$C77,盘货信息!$A:$A&amp;盘货信息!$B:$B&amp;盘货信息!$C:$C,盘货信息!$K:$K),0)&amp;"元预估焕新补贴"))</f>
        <v/>
      </c>
      <c r="L77" s="27" t="str" cm="1">
        <f t="array" ref="L77">IF($C77="","",IF(AND(_xlfn.XLOOKUP($A77&amp;$B77&amp;$C77,盘货信息!$A:$A&amp;盘货信息!$B:$B&amp;盘货信息!$C:$C,盘货信息!$L:$L)="是",_xlfn.XLOOKUP($A77&amp;$B77&amp;$C77,盘货信息!$A:$A&amp;盘货信息!$B:$B&amp;盘货信息!$C:$C,盘货信息!$M:$M)="是",_xlfn.XLOOKUP($A77&amp;$B77&amp;$C77,盘货信息!$A:$A&amp;盘货信息!$B:$B&amp;盘货信息!$C:$C,盘货信息!$K:$K)&gt;0),"【全民可用，不限地址】",IF(AND(OR(_xlfn.XLOOKUP($A77&amp;$B77&amp;$C77,盘货信息!$A:$A&amp;盘货信息!$B:$B&amp;盘货信息!$C:$C,盘货信息!$L:$L)="否",_xlfn.XLOOKUP($A77&amp;$B77&amp;$C77,盘货信息!$A:$A&amp;盘货信息!$B:$B&amp;盘货信息!$C:$C,盘货信息!$L:$L)=""),_xlfn.XLOOKUP($A77&amp;$B77&amp;$C77,盘货信息!$A:$A&amp;盘货信息!$B:$B&amp;盘货信息!$C:$C,盘货信息!$M:$M)="是",_xlfn.XLOOKUP($A77&amp;$B77&amp;$C77,盘货信息!$A:$A&amp;盘货信息!$B:$B&amp;盘货信息!$C:$C,盘货信息!$K:$K)&gt;0),"【详情页领取】","")))</f>
        <v/>
      </c>
      <c r="M77" s="27" t="str" cm="1">
        <f t="array" ref="M77">IF($C77="","",IF(_xlfn.XLOOKUP($A77&amp;$B77&amp;$C77,盘货信息!$A:$A&amp;盘货信息!$B:$B&amp;盘货信息!$C:$C,盘货信息!$F:$F)&lt;1,"",_xlfn.XLOOKUP($A77&amp;$B77&amp;$C77,盘货信息!$A:$A&amp;盘货信息!$B:$B&amp;盘货信息!$C:$C,盘货信息!$F:$F)&amp;"元明卷"))</f>
        <v/>
      </c>
      <c r="N77" s="27" t="str">
        <f t="shared" si="3"/>
        <v/>
      </c>
      <c r="O77" s="27" t="str">
        <f>IF(I77="","","【消费券链接】"&amp;固定信息!$B$6)</f>
        <v/>
      </c>
    </row>
    <row r="78" customHeight="1" spans="1:15">
      <c r="A78" s="26" t="str">
        <f>IF(盘货信息!A78="","",盘货信息!A78)</f>
        <v/>
      </c>
      <c r="B78" s="26" t="str">
        <f>IF(盘货信息!B78="","",盘货信息!B78)</f>
        <v/>
      </c>
      <c r="C78" s="27" t="str">
        <f>IF(盘货信息!C78="","",盘货信息!C78)</f>
        <v/>
      </c>
      <c r="D78" s="27" t="str">
        <f t="shared" si="2"/>
        <v/>
      </c>
      <c r="E78" s="27" t="str" cm="1">
        <f t="array" ref="E78">IF($C78="","",IF(AND(OR(_xlfn.XLOOKUP($A78&amp;$B78&amp;$C78,盘货信息!$A:$A&amp;盘货信息!$B:$B&amp;盘货信息!$C:$C,盘货信息!$L:$L)="否",_xlfn.XLOOKUP($A78&amp;$B78&amp;$C78,盘货信息!$A:$A&amp;盘货信息!$B:$B&amp;盘货信息!$C:$C,盘货信息!$L:$L)=""),_xlfn.XLOOKUP($A78&amp;$B78&amp;$C78,盘货信息!$A:$A&amp;盘货信息!$B:$B&amp;盘货信息!$C:$C,盘货信息!$M:$M)="否"),"【预估到手价"&amp;_xlfn.XLOOKUP($A78&amp;$B78&amp;$C78,盘货信息!$A:$A&amp;盘货信息!$B:$B&amp;盘货信息!$C:$C,盘货信息!$D:$D)&amp;"元】",IF(AND(_xlfn.XLOOKUP($A78&amp;$B78&amp;$C78,盘货信息!$A:$A&amp;盘货信息!$B:$B&amp;盘货信息!$C:$C,盘货信息!$M:$M)="是",OR(_xlfn.XLOOKUP($A78&amp;$B78&amp;$C78,盘货信息!$A:$A&amp;盘货信息!$B:$B&amp;盘货信息!$C:$C,盘货信息!$L:$L)="否",_xlfn.XLOOKUP($A78&amp;$B78&amp;$C78,盘货信息!$A:$A&amp;盘货信息!$B:$B&amp;盘货信息!$C:$C,盘货信息!$L:$L)="")),"【预估到手价"&amp;_xlfn.XLOOKUP($A78&amp;$B78&amp;$C78,盘货信息!$A:$A&amp;盘货信息!$B:$B&amp;盘货信息!$C:$C,盘货信息!$D:$D)&amp;"元】"&amp;CHAR(10)&amp;"【焕新补贴预估价"&amp;ROUND(_xlfn.XLOOKUP($A78&amp;$B78&amp;$C78,盘货信息!$A:$A&amp;盘货信息!$B:$B&amp;盘货信息!$C:$C,盘货信息!$E:$E),0)&amp;"元】","【焕新补贴预估价"&amp;ROUND(_xlfn.XLOOKUP($A78&amp;$B78&amp;$C78,盘货信息!$A:$A&amp;盘货信息!$B:$B&amp;盘货信息!$C:$C,盘货信息!$E:$E),0)&amp;"元】")))</f>
        <v/>
      </c>
      <c r="F78" s="27" t="str" cm="1">
        <f t="array" ref="F78">IF($C78="","",_xlfn.XLOOKUP($A78&amp;$B78&amp;$C78,盘货信息!$A:$A&amp;盘货信息!$B:$B&amp;盘货信息!$C:$C,盘货信息!$D:$D)&amp;"元到手价")</f>
        <v/>
      </c>
      <c r="G78" s="27" t="str" cm="1">
        <f t="array" ref="G78">IF($C78="","",IF(_xlfn.XLOOKUP($A78&amp;$B78&amp;$C78,盘货信息!$A:$A&amp;盘货信息!$B:$B&amp;盘货信息!$C:$C,盘货信息!$G:$G)&lt;1,"",ROUND(_xlfn.XLOOKUP($A78&amp;$B78&amp;$C78,盘货信息!$A:$A&amp;盘货信息!$B:$B&amp;盘货信息!$C:$C,盘货信息!$G:$G),0)&amp;"元88VIP立减"))</f>
        <v/>
      </c>
      <c r="H78" s="27" t="str" cm="1">
        <f t="array" ref="H78">IF($C78="","",IF(_xlfn.XLOOKUP($A78&amp;$B78&amp;$C78,盘货信息!$A:$A&amp;盘货信息!$B:$B&amp;盘货信息!$C:$C,盘货信息!$I:$I)&lt;1,"",_xlfn.XLOOKUP($A78&amp;$B78&amp;$C78,盘货信息!$A:$A&amp;盘货信息!$B:$B&amp;盘货信息!$C:$C,盘货信息!$I:$I)&amp;"元惊喜立减"))</f>
        <v/>
      </c>
      <c r="I78" s="27" t="str" cm="1">
        <f t="array" ref="I78">IF($C78="","",IF(_xlfn.XLOOKUP($A78&amp;$B78&amp;$C78,盘货信息!$A:$A&amp;盘货信息!$B:$B&amp;盘货信息!$C:$C,盘货信息!$H:$H)&lt;1,"",ROUND(_xlfn.XLOOKUP($A78&amp;$B78&amp;$C78,盘货信息!$A:$A&amp;盘货信息!$B:$B&amp;盘货信息!$C:$C,盘货信息!$H:$H),0)&amp;"元消费券"))</f>
        <v/>
      </c>
      <c r="J78" s="27" t="str" cm="1">
        <f t="array" ref="J78">IF($C78="","",IF(_xlfn.XLOOKUP($A78&amp;$B78&amp;$C78,盘货信息!$A:$A&amp;盘货信息!$B:$B&amp;盘货信息!$C:$C,盘货信息!$J:$J)&lt;1,"",ROUND(_xlfn.XLOOKUP($A78&amp;$B78&amp;$C78,盘货信息!$A:$A&amp;盘货信息!$B:$B&amp;盘货信息!$C:$C,盘货信息!$J:$J),0)&amp;"元限时补贴"))</f>
        <v/>
      </c>
      <c r="K78" s="27" t="str" cm="1">
        <f t="array" ref="K78">IF($C78="","",IF(_xlfn.XLOOKUP($A78&amp;$B78&amp;$C78,盘货信息!$A:$A&amp;盘货信息!$B:$B&amp;盘货信息!$C:$C,盘货信息!$K:$K)&lt;1,"",ROUND(_xlfn.XLOOKUP($A78&amp;$B78&amp;$C78,盘货信息!$A:$A&amp;盘货信息!$B:$B&amp;盘货信息!$C:$C,盘货信息!$K:$K),0)&amp;"元预估焕新补贴"))</f>
        <v/>
      </c>
      <c r="L78" s="27" t="str" cm="1">
        <f t="array" ref="L78">IF($C78="","",IF(AND(_xlfn.XLOOKUP($A78&amp;$B78&amp;$C78,盘货信息!$A:$A&amp;盘货信息!$B:$B&amp;盘货信息!$C:$C,盘货信息!$L:$L)="是",_xlfn.XLOOKUP($A78&amp;$B78&amp;$C78,盘货信息!$A:$A&amp;盘货信息!$B:$B&amp;盘货信息!$C:$C,盘货信息!$M:$M)="是",_xlfn.XLOOKUP($A78&amp;$B78&amp;$C78,盘货信息!$A:$A&amp;盘货信息!$B:$B&amp;盘货信息!$C:$C,盘货信息!$K:$K)&gt;0),"【全民可用，不限地址】",IF(AND(OR(_xlfn.XLOOKUP($A78&amp;$B78&amp;$C78,盘货信息!$A:$A&amp;盘货信息!$B:$B&amp;盘货信息!$C:$C,盘货信息!$L:$L)="否",_xlfn.XLOOKUP($A78&amp;$B78&amp;$C78,盘货信息!$A:$A&amp;盘货信息!$B:$B&amp;盘货信息!$C:$C,盘货信息!$L:$L)=""),_xlfn.XLOOKUP($A78&amp;$B78&amp;$C78,盘货信息!$A:$A&amp;盘货信息!$B:$B&amp;盘货信息!$C:$C,盘货信息!$M:$M)="是",_xlfn.XLOOKUP($A78&amp;$B78&amp;$C78,盘货信息!$A:$A&amp;盘货信息!$B:$B&amp;盘货信息!$C:$C,盘货信息!$K:$K)&gt;0),"【详情页领取】","")))</f>
        <v/>
      </c>
      <c r="M78" s="27" t="str" cm="1">
        <f t="array" ref="M78">IF($C78="","",IF(_xlfn.XLOOKUP($A78&amp;$B78&amp;$C78,盘货信息!$A:$A&amp;盘货信息!$B:$B&amp;盘货信息!$C:$C,盘货信息!$F:$F)&lt;1,"",_xlfn.XLOOKUP($A78&amp;$B78&amp;$C78,盘货信息!$A:$A&amp;盘货信息!$B:$B&amp;盘货信息!$C:$C,盘货信息!$F:$F)&amp;"元明卷"))</f>
        <v/>
      </c>
      <c r="N78" s="27" t="str">
        <f t="shared" si="3"/>
        <v/>
      </c>
      <c r="O78" s="27" t="str">
        <f>IF(I78="","","【消费券链接】"&amp;固定信息!$B$6)</f>
        <v/>
      </c>
    </row>
    <row r="79" customHeight="1" spans="1:15">
      <c r="A79" s="28" t="str">
        <f>IF(盘货信息!A79="","",盘货信息!A79)</f>
        <v/>
      </c>
      <c r="B79" s="28" t="str">
        <f>IF(盘货信息!B79="","",盘货信息!B79)</f>
        <v/>
      </c>
      <c r="C79" s="27" t="str">
        <f>IF(盘货信息!C79="","",盘货信息!C79)</f>
        <v/>
      </c>
      <c r="D79" s="27" t="str">
        <f t="shared" si="2"/>
        <v/>
      </c>
      <c r="E79" s="27" t="str" cm="1">
        <f t="array" ref="E79">IF($C79="","",IF(AND(OR(_xlfn.XLOOKUP($A79&amp;$B79&amp;$C79,盘货信息!$A:$A&amp;盘货信息!$B:$B&amp;盘货信息!$C:$C,盘货信息!$L:$L)="否",_xlfn.XLOOKUP($A79&amp;$B79&amp;$C79,盘货信息!$A:$A&amp;盘货信息!$B:$B&amp;盘货信息!$C:$C,盘货信息!$L:$L)=""),_xlfn.XLOOKUP($A79&amp;$B79&amp;$C79,盘货信息!$A:$A&amp;盘货信息!$B:$B&amp;盘货信息!$C:$C,盘货信息!$M:$M)="否"),"【预估到手价"&amp;_xlfn.XLOOKUP($A79&amp;$B79&amp;$C79,盘货信息!$A:$A&amp;盘货信息!$B:$B&amp;盘货信息!$C:$C,盘货信息!$D:$D)&amp;"元】",IF(AND(_xlfn.XLOOKUP($A79&amp;$B79&amp;$C79,盘货信息!$A:$A&amp;盘货信息!$B:$B&amp;盘货信息!$C:$C,盘货信息!$M:$M)="是",OR(_xlfn.XLOOKUP($A79&amp;$B79&amp;$C79,盘货信息!$A:$A&amp;盘货信息!$B:$B&amp;盘货信息!$C:$C,盘货信息!$L:$L)="否",_xlfn.XLOOKUP($A79&amp;$B79&amp;$C79,盘货信息!$A:$A&amp;盘货信息!$B:$B&amp;盘货信息!$C:$C,盘货信息!$L:$L)="")),"【预估到手价"&amp;_xlfn.XLOOKUP($A79&amp;$B79&amp;$C79,盘货信息!$A:$A&amp;盘货信息!$B:$B&amp;盘货信息!$C:$C,盘货信息!$D:$D)&amp;"元】"&amp;CHAR(10)&amp;"【焕新补贴预估价"&amp;ROUND(_xlfn.XLOOKUP($A79&amp;$B79&amp;$C79,盘货信息!$A:$A&amp;盘货信息!$B:$B&amp;盘货信息!$C:$C,盘货信息!$E:$E),0)&amp;"元】","【焕新补贴预估价"&amp;ROUND(_xlfn.XLOOKUP($A79&amp;$B79&amp;$C79,盘货信息!$A:$A&amp;盘货信息!$B:$B&amp;盘货信息!$C:$C,盘货信息!$E:$E),0)&amp;"元】")))</f>
        <v/>
      </c>
      <c r="F79" s="27" t="str" cm="1">
        <f t="array" ref="F79">IF($C79="","",_xlfn.XLOOKUP($A79&amp;$B79&amp;$C79,盘货信息!$A:$A&amp;盘货信息!$B:$B&amp;盘货信息!$C:$C,盘货信息!$D:$D)&amp;"元到手价")</f>
        <v/>
      </c>
      <c r="G79" s="27" t="str" cm="1">
        <f t="array" ref="G79">IF($C79="","",IF(_xlfn.XLOOKUP($A79&amp;$B79&amp;$C79,盘货信息!$A:$A&amp;盘货信息!$B:$B&amp;盘货信息!$C:$C,盘货信息!$G:$G)&lt;1,"",ROUND(_xlfn.XLOOKUP($A79&amp;$B79&amp;$C79,盘货信息!$A:$A&amp;盘货信息!$B:$B&amp;盘货信息!$C:$C,盘货信息!$G:$G),0)&amp;"元88VIP立减"))</f>
        <v/>
      </c>
      <c r="H79" s="27" t="str" cm="1">
        <f t="array" ref="H79">IF($C79="","",IF(_xlfn.XLOOKUP($A79&amp;$B79&amp;$C79,盘货信息!$A:$A&amp;盘货信息!$B:$B&amp;盘货信息!$C:$C,盘货信息!$I:$I)&lt;1,"",_xlfn.XLOOKUP($A79&amp;$B79&amp;$C79,盘货信息!$A:$A&amp;盘货信息!$B:$B&amp;盘货信息!$C:$C,盘货信息!$I:$I)&amp;"元惊喜立减"))</f>
        <v/>
      </c>
      <c r="I79" s="27" t="str" cm="1">
        <f t="array" ref="I79">IF($C79="","",IF(_xlfn.XLOOKUP($A79&amp;$B79&amp;$C79,盘货信息!$A:$A&amp;盘货信息!$B:$B&amp;盘货信息!$C:$C,盘货信息!$H:$H)&lt;1,"",ROUND(_xlfn.XLOOKUP($A79&amp;$B79&amp;$C79,盘货信息!$A:$A&amp;盘货信息!$B:$B&amp;盘货信息!$C:$C,盘货信息!$H:$H),0)&amp;"元消费券"))</f>
        <v/>
      </c>
      <c r="J79" s="27" t="str" cm="1">
        <f t="array" ref="J79">IF($C79="","",IF(_xlfn.XLOOKUP($A79&amp;$B79&amp;$C79,盘货信息!$A:$A&amp;盘货信息!$B:$B&amp;盘货信息!$C:$C,盘货信息!$J:$J)&lt;1,"",ROUND(_xlfn.XLOOKUP($A79&amp;$B79&amp;$C79,盘货信息!$A:$A&amp;盘货信息!$B:$B&amp;盘货信息!$C:$C,盘货信息!$J:$J),0)&amp;"元限时补贴"))</f>
        <v/>
      </c>
      <c r="K79" s="27" t="str" cm="1">
        <f t="array" ref="K79">IF($C79="","",IF(_xlfn.XLOOKUP($A79&amp;$B79&amp;$C79,盘货信息!$A:$A&amp;盘货信息!$B:$B&amp;盘货信息!$C:$C,盘货信息!$K:$K)&lt;1,"",ROUND(_xlfn.XLOOKUP($A79&amp;$B79&amp;$C79,盘货信息!$A:$A&amp;盘货信息!$B:$B&amp;盘货信息!$C:$C,盘货信息!$K:$K),0)&amp;"元预估焕新补贴"))</f>
        <v/>
      </c>
      <c r="L79" s="27" t="str" cm="1">
        <f t="array" ref="L79">IF($C79="","",IF(AND(_xlfn.XLOOKUP($A79&amp;$B79&amp;$C79,盘货信息!$A:$A&amp;盘货信息!$B:$B&amp;盘货信息!$C:$C,盘货信息!$L:$L)="是",_xlfn.XLOOKUP($A79&amp;$B79&amp;$C79,盘货信息!$A:$A&amp;盘货信息!$B:$B&amp;盘货信息!$C:$C,盘货信息!$M:$M)="是",_xlfn.XLOOKUP($A79&amp;$B79&amp;$C79,盘货信息!$A:$A&amp;盘货信息!$B:$B&amp;盘货信息!$C:$C,盘货信息!$K:$K)&gt;0),"【全民可用，不限地址】",IF(AND(OR(_xlfn.XLOOKUP($A79&amp;$B79&amp;$C79,盘货信息!$A:$A&amp;盘货信息!$B:$B&amp;盘货信息!$C:$C,盘货信息!$L:$L)="否",_xlfn.XLOOKUP($A79&amp;$B79&amp;$C79,盘货信息!$A:$A&amp;盘货信息!$B:$B&amp;盘货信息!$C:$C,盘货信息!$L:$L)=""),_xlfn.XLOOKUP($A79&amp;$B79&amp;$C79,盘货信息!$A:$A&amp;盘货信息!$B:$B&amp;盘货信息!$C:$C,盘货信息!$M:$M)="是",_xlfn.XLOOKUP($A79&amp;$B79&amp;$C79,盘货信息!$A:$A&amp;盘货信息!$B:$B&amp;盘货信息!$C:$C,盘货信息!$K:$K)&gt;0),"【详情页领取】","")))</f>
        <v/>
      </c>
      <c r="M79" s="27" t="str" cm="1">
        <f t="array" ref="M79">IF($C79="","",IF(_xlfn.XLOOKUP($A79&amp;$B79&amp;$C79,盘货信息!$A:$A&amp;盘货信息!$B:$B&amp;盘货信息!$C:$C,盘货信息!$F:$F)&lt;1,"",_xlfn.XLOOKUP($A79&amp;$B79&amp;$C79,盘货信息!$A:$A&amp;盘货信息!$B:$B&amp;盘货信息!$C:$C,盘货信息!$F:$F)&amp;"元明卷"))</f>
        <v/>
      </c>
      <c r="N79" s="27" t="str">
        <f t="shared" si="3"/>
        <v/>
      </c>
      <c r="O79" s="27" t="str">
        <f>IF(I79="","","【消费券链接】"&amp;固定信息!$B$6)</f>
        <v/>
      </c>
    </row>
    <row r="80" customHeight="1" spans="1:15">
      <c r="A80" s="26" t="str">
        <f>IF(盘货信息!A80="","",盘货信息!A80)</f>
        <v/>
      </c>
      <c r="B80" s="26" t="str">
        <f>IF(盘货信息!B80="","",盘货信息!B80)</f>
        <v/>
      </c>
      <c r="C80" s="27" t="str">
        <f>IF(盘货信息!C80="","",盘货信息!C80)</f>
        <v/>
      </c>
      <c r="D80" s="27" t="str">
        <f t="shared" si="2"/>
        <v/>
      </c>
      <c r="E80" s="27" t="str" cm="1">
        <f t="array" ref="E80">IF($C80="","",IF(AND(OR(_xlfn.XLOOKUP($A80&amp;$B80&amp;$C80,盘货信息!$A:$A&amp;盘货信息!$B:$B&amp;盘货信息!$C:$C,盘货信息!$L:$L)="否",_xlfn.XLOOKUP($A80&amp;$B80&amp;$C80,盘货信息!$A:$A&amp;盘货信息!$B:$B&amp;盘货信息!$C:$C,盘货信息!$L:$L)=""),_xlfn.XLOOKUP($A80&amp;$B80&amp;$C80,盘货信息!$A:$A&amp;盘货信息!$B:$B&amp;盘货信息!$C:$C,盘货信息!$M:$M)="否"),"【预估到手价"&amp;_xlfn.XLOOKUP($A80&amp;$B80&amp;$C80,盘货信息!$A:$A&amp;盘货信息!$B:$B&amp;盘货信息!$C:$C,盘货信息!$D:$D)&amp;"元】",IF(AND(_xlfn.XLOOKUP($A80&amp;$B80&amp;$C80,盘货信息!$A:$A&amp;盘货信息!$B:$B&amp;盘货信息!$C:$C,盘货信息!$M:$M)="是",OR(_xlfn.XLOOKUP($A80&amp;$B80&amp;$C80,盘货信息!$A:$A&amp;盘货信息!$B:$B&amp;盘货信息!$C:$C,盘货信息!$L:$L)="否",_xlfn.XLOOKUP($A80&amp;$B80&amp;$C80,盘货信息!$A:$A&amp;盘货信息!$B:$B&amp;盘货信息!$C:$C,盘货信息!$L:$L)="")),"【预估到手价"&amp;_xlfn.XLOOKUP($A80&amp;$B80&amp;$C80,盘货信息!$A:$A&amp;盘货信息!$B:$B&amp;盘货信息!$C:$C,盘货信息!$D:$D)&amp;"元】"&amp;CHAR(10)&amp;"【焕新补贴预估价"&amp;ROUND(_xlfn.XLOOKUP($A80&amp;$B80&amp;$C80,盘货信息!$A:$A&amp;盘货信息!$B:$B&amp;盘货信息!$C:$C,盘货信息!$E:$E),0)&amp;"元】","【焕新补贴预估价"&amp;ROUND(_xlfn.XLOOKUP($A80&amp;$B80&amp;$C80,盘货信息!$A:$A&amp;盘货信息!$B:$B&amp;盘货信息!$C:$C,盘货信息!$E:$E),0)&amp;"元】")))</f>
        <v/>
      </c>
      <c r="F80" s="27" t="str" cm="1">
        <f t="array" ref="F80">IF($C80="","",_xlfn.XLOOKUP($A80&amp;$B80&amp;$C80,盘货信息!$A:$A&amp;盘货信息!$B:$B&amp;盘货信息!$C:$C,盘货信息!$D:$D)&amp;"元到手价")</f>
        <v/>
      </c>
      <c r="G80" s="27" t="str" cm="1">
        <f t="array" ref="G80">IF($C80="","",IF(_xlfn.XLOOKUP($A80&amp;$B80&amp;$C80,盘货信息!$A:$A&amp;盘货信息!$B:$B&amp;盘货信息!$C:$C,盘货信息!$G:$G)&lt;1,"",ROUND(_xlfn.XLOOKUP($A80&amp;$B80&amp;$C80,盘货信息!$A:$A&amp;盘货信息!$B:$B&amp;盘货信息!$C:$C,盘货信息!$G:$G),0)&amp;"元88VIP立减"))</f>
        <v/>
      </c>
      <c r="H80" s="27" t="str" cm="1">
        <f t="array" ref="H80">IF($C80="","",IF(_xlfn.XLOOKUP($A80&amp;$B80&amp;$C80,盘货信息!$A:$A&amp;盘货信息!$B:$B&amp;盘货信息!$C:$C,盘货信息!$I:$I)&lt;1,"",_xlfn.XLOOKUP($A80&amp;$B80&amp;$C80,盘货信息!$A:$A&amp;盘货信息!$B:$B&amp;盘货信息!$C:$C,盘货信息!$I:$I)&amp;"元惊喜立减"))</f>
        <v/>
      </c>
      <c r="I80" s="27" t="str" cm="1">
        <f t="array" ref="I80">IF($C80="","",IF(_xlfn.XLOOKUP($A80&amp;$B80&amp;$C80,盘货信息!$A:$A&amp;盘货信息!$B:$B&amp;盘货信息!$C:$C,盘货信息!$H:$H)&lt;1,"",ROUND(_xlfn.XLOOKUP($A80&amp;$B80&amp;$C80,盘货信息!$A:$A&amp;盘货信息!$B:$B&amp;盘货信息!$C:$C,盘货信息!$H:$H),0)&amp;"元消费券"))</f>
        <v/>
      </c>
      <c r="J80" s="27" t="str" cm="1">
        <f t="array" ref="J80">IF($C80="","",IF(_xlfn.XLOOKUP($A80&amp;$B80&amp;$C80,盘货信息!$A:$A&amp;盘货信息!$B:$B&amp;盘货信息!$C:$C,盘货信息!$J:$J)&lt;1,"",ROUND(_xlfn.XLOOKUP($A80&amp;$B80&amp;$C80,盘货信息!$A:$A&amp;盘货信息!$B:$B&amp;盘货信息!$C:$C,盘货信息!$J:$J),0)&amp;"元限时补贴"))</f>
        <v/>
      </c>
      <c r="K80" s="27" t="str" cm="1">
        <f t="array" ref="K80">IF($C80="","",IF(_xlfn.XLOOKUP($A80&amp;$B80&amp;$C80,盘货信息!$A:$A&amp;盘货信息!$B:$B&amp;盘货信息!$C:$C,盘货信息!$K:$K)&lt;1,"",ROUND(_xlfn.XLOOKUP($A80&amp;$B80&amp;$C80,盘货信息!$A:$A&amp;盘货信息!$B:$B&amp;盘货信息!$C:$C,盘货信息!$K:$K),0)&amp;"元预估焕新补贴"))</f>
        <v/>
      </c>
      <c r="L80" s="27" t="str" cm="1">
        <f t="array" ref="L80">IF($C80="","",IF(AND(_xlfn.XLOOKUP($A80&amp;$B80&amp;$C80,盘货信息!$A:$A&amp;盘货信息!$B:$B&amp;盘货信息!$C:$C,盘货信息!$L:$L)="是",_xlfn.XLOOKUP($A80&amp;$B80&amp;$C80,盘货信息!$A:$A&amp;盘货信息!$B:$B&amp;盘货信息!$C:$C,盘货信息!$M:$M)="是",_xlfn.XLOOKUP($A80&amp;$B80&amp;$C80,盘货信息!$A:$A&amp;盘货信息!$B:$B&amp;盘货信息!$C:$C,盘货信息!$K:$K)&gt;0),"【全民可用，不限地址】",IF(AND(OR(_xlfn.XLOOKUP($A80&amp;$B80&amp;$C80,盘货信息!$A:$A&amp;盘货信息!$B:$B&amp;盘货信息!$C:$C,盘货信息!$L:$L)="否",_xlfn.XLOOKUP($A80&amp;$B80&amp;$C80,盘货信息!$A:$A&amp;盘货信息!$B:$B&amp;盘货信息!$C:$C,盘货信息!$L:$L)=""),_xlfn.XLOOKUP($A80&amp;$B80&amp;$C80,盘货信息!$A:$A&amp;盘货信息!$B:$B&amp;盘货信息!$C:$C,盘货信息!$M:$M)="是",_xlfn.XLOOKUP($A80&amp;$B80&amp;$C80,盘货信息!$A:$A&amp;盘货信息!$B:$B&amp;盘货信息!$C:$C,盘货信息!$K:$K)&gt;0),"【详情页领取】","")))</f>
        <v/>
      </c>
      <c r="M80" s="27" t="str" cm="1">
        <f t="array" ref="M80">IF($C80="","",IF(_xlfn.XLOOKUP($A80&amp;$B80&amp;$C80,盘货信息!$A:$A&amp;盘货信息!$B:$B&amp;盘货信息!$C:$C,盘货信息!$F:$F)&lt;1,"",_xlfn.XLOOKUP($A80&amp;$B80&amp;$C80,盘货信息!$A:$A&amp;盘货信息!$B:$B&amp;盘货信息!$C:$C,盘货信息!$F:$F)&amp;"元明卷"))</f>
        <v/>
      </c>
      <c r="N80" s="27" t="str">
        <f t="shared" si="3"/>
        <v/>
      </c>
      <c r="O80" s="27" t="str">
        <f>IF(I80="","","【消费券链接】"&amp;固定信息!$B$6)</f>
        <v/>
      </c>
    </row>
    <row r="81" customHeight="1" spans="1:15">
      <c r="A81" s="26" t="str">
        <f>IF(盘货信息!A81="","",盘货信息!A81)</f>
        <v/>
      </c>
      <c r="B81" s="26" t="str">
        <f>IF(盘货信息!B81="","",盘货信息!B81)</f>
        <v/>
      </c>
      <c r="C81" s="27" t="str">
        <f>IF(盘货信息!C81="","",盘货信息!C81)</f>
        <v/>
      </c>
      <c r="D81" s="27" t="str">
        <f t="shared" si="2"/>
        <v/>
      </c>
      <c r="E81" s="27" t="str" cm="1">
        <f t="array" ref="E81">IF($C81="","",IF(AND(OR(_xlfn.XLOOKUP($A81&amp;$B81&amp;$C81,盘货信息!$A:$A&amp;盘货信息!$B:$B&amp;盘货信息!$C:$C,盘货信息!$L:$L)="否",_xlfn.XLOOKUP($A81&amp;$B81&amp;$C81,盘货信息!$A:$A&amp;盘货信息!$B:$B&amp;盘货信息!$C:$C,盘货信息!$L:$L)=""),_xlfn.XLOOKUP($A81&amp;$B81&amp;$C81,盘货信息!$A:$A&amp;盘货信息!$B:$B&amp;盘货信息!$C:$C,盘货信息!$M:$M)="否"),"【预估到手价"&amp;_xlfn.XLOOKUP($A81&amp;$B81&amp;$C81,盘货信息!$A:$A&amp;盘货信息!$B:$B&amp;盘货信息!$C:$C,盘货信息!$D:$D)&amp;"元】",IF(AND(_xlfn.XLOOKUP($A81&amp;$B81&amp;$C81,盘货信息!$A:$A&amp;盘货信息!$B:$B&amp;盘货信息!$C:$C,盘货信息!$M:$M)="是",OR(_xlfn.XLOOKUP($A81&amp;$B81&amp;$C81,盘货信息!$A:$A&amp;盘货信息!$B:$B&amp;盘货信息!$C:$C,盘货信息!$L:$L)="否",_xlfn.XLOOKUP($A81&amp;$B81&amp;$C81,盘货信息!$A:$A&amp;盘货信息!$B:$B&amp;盘货信息!$C:$C,盘货信息!$L:$L)="")),"【预估到手价"&amp;_xlfn.XLOOKUP($A81&amp;$B81&amp;$C81,盘货信息!$A:$A&amp;盘货信息!$B:$B&amp;盘货信息!$C:$C,盘货信息!$D:$D)&amp;"元】"&amp;CHAR(10)&amp;"【焕新补贴预估价"&amp;ROUND(_xlfn.XLOOKUP($A81&amp;$B81&amp;$C81,盘货信息!$A:$A&amp;盘货信息!$B:$B&amp;盘货信息!$C:$C,盘货信息!$E:$E),0)&amp;"元】","【焕新补贴预估价"&amp;ROUND(_xlfn.XLOOKUP($A81&amp;$B81&amp;$C81,盘货信息!$A:$A&amp;盘货信息!$B:$B&amp;盘货信息!$C:$C,盘货信息!$E:$E),0)&amp;"元】")))</f>
        <v/>
      </c>
      <c r="F81" s="27" t="str" cm="1">
        <f t="array" ref="F81">IF($C81="","",_xlfn.XLOOKUP($A81&amp;$B81&amp;$C81,盘货信息!$A:$A&amp;盘货信息!$B:$B&amp;盘货信息!$C:$C,盘货信息!$D:$D)&amp;"元到手价")</f>
        <v/>
      </c>
      <c r="G81" s="27" t="str" cm="1">
        <f t="array" ref="G81">IF($C81="","",IF(_xlfn.XLOOKUP($A81&amp;$B81&amp;$C81,盘货信息!$A:$A&amp;盘货信息!$B:$B&amp;盘货信息!$C:$C,盘货信息!$G:$G)&lt;1,"",ROUND(_xlfn.XLOOKUP($A81&amp;$B81&amp;$C81,盘货信息!$A:$A&amp;盘货信息!$B:$B&amp;盘货信息!$C:$C,盘货信息!$G:$G),0)&amp;"元88VIP立减"))</f>
        <v/>
      </c>
      <c r="H81" s="27" t="str" cm="1">
        <f t="array" ref="H81">IF($C81="","",IF(_xlfn.XLOOKUP($A81&amp;$B81&amp;$C81,盘货信息!$A:$A&amp;盘货信息!$B:$B&amp;盘货信息!$C:$C,盘货信息!$I:$I)&lt;1,"",_xlfn.XLOOKUP($A81&amp;$B81&amp;$C81,盘货信息!$A:$A&amp;盘货信息!$B:$B&amp;盘货信息!$C:$C,盘货信息!$I:$I)&amp;"元惊喜立减"))</f>
        <v/>
      </c>
      <c r="I81" s="27" t="str" cm="1">
        <f t="array" ref="I81">IF($C81="","",IF(_xlfn.XLOOKUP($A81&amp;$B81&amp;$C81,盘货信息!$A:$A&amp;盘货信息!$B:$B&amp;盘货信息!$C:$C,盘货信息!$H:$H)&lt;1,"",ROUND(_xlfn.XLOOKUP($A81&amp;$B81&amp;$C81,盘货信息!$A:$A&amp;盘货信息!$B:$B&amp;盘货信息!$C:$C,盘货信息!$H:$H),0)&amp;"元消费券"))</f>
        <v/>
      </c>
      <c r="J81" s="27" t="str" cm="1">
        <f t="array" ref="J81">IF($C81="","",IF(_xlfn.XLOOKUP($A81&amp;$B81&amp;$C81,盘货信息!$A:$A&amp;盘货信息!$B:$B&amp;盘货信息!$C:$C,盘货信息!$J:$J)&lt;1,"",ROUND(_xlfn.XLOOKUP($A81&amp;$B81&amp;$C81,盘货信息!$A:$A&amp;盘货信息!$B:$B&amp;盘货信息!$C:$C,盘货信息!$J:$J),0)&amp;"元限时补贴"))</f>
        <v/>
      </c>
      <c r="K81" s="27" t="str" cm="1">
        <f t="array" ref="K81">IF($C81="","",IF(_xlfn.XLOOKUP($A81&amp;$B81&amp;$C81,盘货信息!$A:$A&amp;盘货信息!$B:$B&amp;盘货信息!$C:$C,盘货信息!$K:$K)&lt;1,"",ROUND(_xlfn.XLOOKUP($A81&amp;$B81&amp;$C81,盘货信息!$A:$A&amp;盘货信息!$B:$B&amp;盘货信息!$C:$C,盘货信息!$K:$K),0)&amp;"元预估焕新补贴"))</f>
        <v/>
      </c>
      <c r="L81" s="27" t="str" cm="1">
        <f t="array" ref="L81">IF($C81="","",IF(AND(_xlfn.XLOOKUP($A81&amp;$B81&amp;$C81,盘货信息!$A:$A&amp;盘货信息!$B:$B&amp;盘货信息!$C:$C,盘货信息!$L:$L)="是",_xlfn.XLOOKUP($A81&amp;$B81&amp;$C81,盘货信息!$A:$A&amp;盘货信息!$B:$B&amp;盘货信息!$C:$C,盘货信息!$M:$M)="是",_xlfn.XLOOKUP($A81&amp;$B81&amp;$C81,盘货信息!$A:$A&amp;盘货信息!$B:$B&amp;盘货信息!$C:$C,盘货信息!$K:$K)&gt;0),"【全民可用，不限地址】",IF(AND(OR(_xlfn.XLOOKUP($A81&amp;$B81&amp;$C81,盘货信息!$A:$A&amp;盘货信息!$B:$B&amp;盘货信息!$C:$C,盘货信息!$L:$L)="否",_xlfn.XLOOKUP($A81&amp;$B81&amp;$C81,盘货信息!$A:$A&amp;盘货信息!$B:$B&amp;盘货信息!$C:$C,盘货信息!$L:$L)=""),_xlfn.XLOOKUP($A81&amp;$B81&amp;$C81,盘货信息!$A:$A&amp;盘货信息!$B:$B&amp;盘货信息!$C:$C,盘货信息!$M:$M)="是",_xlfn.XLOOKUP($A81&amp;$B81&amp;$C81,盘货信息!$A:$A&amp;盘货信息!$B:$B&amp;盘货信息!$C:$C,盘货信息!$K:$K)&gt;0),"【详情页领取】","")))</f>
        <v/>
      </c>
      <c r="M81" s="27" t="str" cm="1">
        <f t="array" ref="M81">IF($C81="","",IF(_xlfn.XLOOKUP($A81&amp;$B81&amp;$C81,盘货信息!$A:$A&amp;盘货信息!$B:$B&amp;盘货信息!$C:$C,盘货信息!$F:$F)&lt;1,"",_xlfn.XLOOKUP($A81&amp;$B81&amp;$C81,盘货信息!$A:$A&amp;盘货信息!$B:$B&amp;盘货信息!$C:$C,盘货信息!$F:$F)&amp;"元明卷"))</f>
        <v/>
      </c>
      <c r="N81" s="27" t="str">
        <f t="shared" si="3"/>
        <v/>
      </c>
      <c r="O81" s="27" t="str">
        <f>IF(I81="","","【消费券链接】"&amp;固定信息!$B$6)</f>
        <v/>
      </c>
    </row>
    <row r="82" customHeight="1" spans="1:15">
      <c r="A82" s="26" t="str">
        <f>IF(盘货信息!A82="","",盘货信息!A82)</f>
        <v/>
      </c>
      <c r="B82" s="26" t="str">
        <f>IF(盘货信息!B82="","",盘货信息!B82)</f>
        <v/>
      </c>
      <c r="C82" s="27" t="str">
        <f>IF(盘货信息!C82="","",盘货信息!C82)</f>
        <v/>
      </c>
      <c r="D82" s="27" t="str">
        <f t="shared" si="2"/>
        <v/>
      </c>
      <c r="E82" s="27" t="str" cm="1">
        <f t="array" ref="E82">IF($C82="","",IF(AND(OR(_xlfn.XLOOKUP($A82&amp;$B82&amp;$C82,盘货信息!$A:$A&amp;盘货信息!$B:$B&amp;盘货信息!$C:$C,盘货信息!$L:$L)="否",_xlfn.XLOOKUP($A82&amp;$B82&amp;$C82,盘货信息!$A:$A&amp;盘货信息!$B:$B&amp;盘货信息!$C:$C,盘货信息!$L:$L)=""),_xlfn.XLOOKUP($A82&amp;$B82&amp;$C82,盘货信息!$A:$A&amp;盘货信息!$B:$B&amp;盘货信息!$C:$C,盘货信息!$M:$M)="否"),"【预估到手价"&amp;_xlfn.XLOOKUP($A82&amp;$B82&amp;$C82,盘货信息!$A:$A&amp;盘货信息!$B:$B&amp;盘货信息!$C:$C,盘货信息!$D:$D)&amp;"元】",IF(AND(_xlfn.XLOOKUP($A82&amp;$B82&amp;$C82,盘货信息!$A:$A&amp;盘货信息!$B:$B&amp;盘货信息!$C:$C,盘货信息!$M:$M)="是",OR(_xlfn.XLOOKUP($A82&amp;$B82&amp;$C82,盘货信息!$A:$A&amp;盘货信息!$B:$B&amp;盘货信息!$C:$C,盘货信息!$L:$L)="否",_xlfn.XLOOKUP($A82&amp;$B82&amp;$C82,盘货信息!$A:$A&amp;盘货信息!$B:$B&amp;盘货信息!$C:$C,盘货信息!$L:$L)="")),"【预估到手价"&amp;_xlfn.XLOOKUP($A82&amp;$B82&amp;$C82,盘货信息!$A:$A&amp;盘货信息!$B:$B&amp;盘货信息!$C:$C,盘货信息!$D:$D)&amp;"元】"&amp;CHAR(10)&amp;"【焕新补贴预估价"&amp;ROUND(_xlfn.XLOOKUP($A82&amp;$B82&amp;$C82,盘货信息!$A:$A&amp;盘货信息!$B:$B&amp;盘货信息!$C:$C,盘货信息!$E:$E),0)&amp;"元】","【焕新补贴预估价"&amp;ROUND(_xlfn.XLOOKUP($A82&amp;$B82&amp;$C82,盘货信息!$A:$A&amp;盘货信息!$B:$B&amp;盘货信息!$C:$C,盘货信息!$E:$E),0)&amp;"元】")))</f>
        <v/>
      </c>
      <c r="F82" s="27" t="str" cm="1">
        <f t="array" ref="F82">IF($C82="","",_xlfn.XLOOKUP($A82&amp;$B82&amp;$C82,盘货信息!$A:$A&amp;盘货信息!$B:$B&amp;盘货信息!$C:$C,盘货信息!$D:$D)&amp;"元到手价")</f>
        <v/>
      </c>
      <c r="G82" s="27" t="str" cm="1">
        <f t="array" ref="G82">IF($C82="","",IF(_xlfn.XLOOKUP($A82&amp;$B82&amp;$C82,盘货信息!$A:$A&amp;盘货信息!$B:$B&amp;盘货信息!$C:$C,盘货信息!$G:$G)&lt;1,"",ROUND(_xlfn.XLOOKUP($A82&amp;$B82&amp;$C82,盘货信息!$A:$A&amp;盘货信息!$B:$B&amp;盘货信息!$C:$C,盘货信息!$G:$G),0)&amp;"元88VIP立减"))</f>
        <v/>
      </c>
      <c r="H82" s="27" t="str" cm="1">
        <f t="array" ref="H82">IF($C82="","",IF(_xlfn.XLOOKUP($A82&amp;$B82&amp;$C82,盘货信息!$A:$A&amp;盘货信息!$B:$B&amp;盘货信息!$C:$C,盘货信息!$I:$I)&lt;1,"",_xlfn.XLOOKUP($A82&amp;$B82&amp;$C82,盘货信息!$A:$A&amp;盘货信息!$B:$B&amp;盘货信息!$C:$C,盘货信息!$I:$I)&amp;"元惊喜立减"))</f>
        <v/>
      </c>
      <c r="I82" s="27" t="str" cm="1">
        <f t="array" ref="I82">IF($C82="","",IF(_xlfn.XLOOKUP($A82&amp;$B82&amp;$C82,盘货信息!$A:$A&amp;盘货信息!$B:$B&amp;盘货信息!$C:$C,盘货信息!$H:$H)&lt;1,"",ROUND(_xlfn.XLOOKUP($A82&amp;$B82&amp;$C82,盘货信息!$A:$A&amp;盘货信息!$B:$B&amp;盘货信息!$C:$C,盘货信息!$H:$H),0)&amp;"元消费券"))</f>
        <v/>
      </c>
      <c r="J82" s="27" t="str" cm="1">
        <f t="array" ref="J82">IF($C82="","",IF(_xlfn.XLOOKUP($A82&amp;$B82&amp;$C82,盘货信息!$A:$A&amp;盘货信息!$B:$B&amp;盘货信息!$C:$C,盘货信息!$J:$J)&lt;1,"",ROUND(_xlfn.XLOOKUP($A82&amp;$B82&amp;$C82,盘货信息!$A:$A&amp;盘货信息!$B:$B&amp;盘货信息!$C:$C,盘货信息!$J:$J),0)&amp;"元限时补贴"))</f>
        <v/>
      </c>
      <c r="K82" s="27" t="str" cm="1">
        <f t="array" ref="K82">IF($C82="","",IF(_xlfn.XLOOKUP($A82&amp;$B82&amp;$C82,盘货信息!$A:$A&amp;盘货信息!$B:$B&amp;盘货信息!$C:$C,盘货信息!$K:$K)&lt;1,"",ROUND(_xlfn.XLOOKUP($A82&amp;$B82&amp;$C82,盘货信息!$A:$A&amp;盘货信息!$B:$B&amp;盘货信息!$C:$C,盘货信息!$K:$K),0)&amp;"元预估焕新补贴"))</f>
        <v/>
      </c>
      <c r="L82" s="27" t="str" cm="1">
        <f t="array" ref="L82">IF($C82="","",IF(AND(_xlfn.XLOOKUP($A82&amp;$B82&amp;$C82,盘货信息!$A:$A&amp;盘货信息!$B:$B&amp;盘货信息!$C:$C,盘货信息!$L:$L)="是",_xlfn.XLOOKUP($A82&amp;$B82&amp;$C82,盘货信息!$A:$A&amp;盘货信息!$B:$B&amp;盘货信息!$C:$C,盘货信息!$M:$M)="是",_xlfn.XLOOKUP($A82&amp;$B82&amp;$C82,盘货信息!$A:$A&amp;盘货信息!$B:$B&amp;盘货信息!$C:$C,盘货信息!$K:$K)&gt;0),"【全民可用，不限地址】",IF(AND(OR(_xlfn.XLOOKUP($A82&amp;$B82&amp;$C82,盘货信息!$A:$A&amp;盘货信息!$B:$B&amp;盘货信息!$C:$C,盘货信息!$L:$L)="否",_xlfn.XLOOKUP($A82&amp;$B82&amp;$C82,盘货信息!$A:$A&amp;盘货信息!$B:$B&amp;盘货信息!$C:$C,盘货信息!$L:$L)=""),_xlfn.XLOOKUP($A82&amp;$B82&amp;$C82,盘货信息!$A:$A&amp;盘货信息!$B:$B&amp;盘货信息!$C:$C,盘货信息!$M:$M)="是",_xlfn.XLOOKUP($A82&amp;$B82&amp;$C82,盘货信息!$A:$A&amp;盘货信息!$B:$B&amp;盘货信息!$C:$C,盘货信息!$K:$K)&gt;0),"【详情页领取】","")))</f>
        <v/>
      </c>
      <c r="M82" s="27" t="str" cm="1">
        <f t="array" ref="M82">IF($C82="","",IF(_xlfn.XLOOKUP($A82&amp;$B82&amp;$C82,盘货信息!$A:$A&amp;盘货信息!$B:$B&amp;盘货信息!$C:$C,盘货信息!$F:$F)&lt;1,"",_xlfn.XLOOKUP($A82&amp;$B82&amp;$C82,盘货信息!$A:$A&amp;盘货信息!$B:$B&amp;盘货信息!$C:$C,盘货信息!$F:$F)&amp;"元明卷"))</f>
        <v/>
      </c>
      <c r="N82" s="27" t="str">
        <f t="shared" si="3"/>
        <v/>
      </c>
      <c r="O82" s="27" t="str">
        <f>IF(I82="","","【消费券链接】"&amp;固定信息!$B$6)</f>
        <v/>
      </c>
    </row>
    <row r="83" customHeight="1" spans="1:15">
      <c r="A83" s="26" t="str">
        <f>IF(盘货信息!A83="","",盘货信息!A83)</f>
        <v/>
      </c>
      <c r="B83" s="26" t="str">
        <f>IF(盘货信息!B83="","",盘货信息!B83)</f>
        <v/>
      </c>
      <c r="C83" s="27" t="str">
        <f>IF(盘货信息!C83="","",盘货信息!C83)</f>
        <v/>
      </c>
      <c r="D83" s="27" t="str">
        <f t="shared" si="2"/>
        <v/>
      </c>
      <c r="E83" s="27" t="str" cm="1">
        <f t="array" ref="E83">IF($C83="","",IF(AND(OR(_xlfn.XLOOKUP($A83&amp;$B83&amp;$C83,盘货信息!$A:$A&amp;盘货信息!$B:$B&amp;盘货信息!$C:$C,盘货信息!$L:$L)="否",_xlfn.XLOOKUP($A83&amp;$B83&amp;$C83,盘货信息!$A:$A&amp;盘货信息!$B:$B&amp;盘货信息!$C:$C,盘货信息!$L:$L)=""),_xlfn.XLOOKUP($A83&amp;$B83&amp;$C83,盘货信息!$A:$A&amp;盘货信息!$B:$B&amp;盘货信息!$C:$C,盘货信息!$M:$M)="否"),"【预估到手价"&amp;_xlfn.XLOOKUP($A83&amp;$B83&amp;$C83,盘货信息!$A:$A&amp;盘货信息!$B:$B&amp;盘货信息!$C:$C,盘货信息!$D:$D)&amp;"元】",IF(AND(_xlfn.XLOOKUP($A83&amp;$B83&amp;$C83,盘货信息!$A:$A&amp;盘货信息!$B:$B&amp;盘货信息!$C:$C,盘货信息!$M:$M)="是",OR(_xlfn.XLOOKUP($A83&amp;$B83&amp;$C83,盘货信息!$A:$A&amp;盘货信息!$B:$B&amp;盘货信息!$C:$C,盘货信息!$L:$L)="否",_xlfn.XLOOKUP($A83&amp;$B83&amp;$C83,盘货信息!$A:$A&amp;盘货信息!$B:$B&amp;盘货信息!$C:$C,盘货信息!$L:$L)="")),"【预估到手价"&amp;_xlfn.XLOOKUP($A83&amp;$B83&amp;$C83,盘货信息!$A:$A&amp;盘货信息!$B:$B&amp;盘货信息!$C:$C,盘货信息!$D:$D)&amp;"元】"&amp;CHAR(10)&amp;"【焕新补贴预估价"&amp;ROUND(_xlfn.XLOOKUP($A83&amp;$B83&amp;$C83,盘货信息!$A:$A&amp;盘货信息!$B:$B&amp;盘货信息!$C:$C,盘货信息!$E:$E),0)&amp;"元】","【焕新补贴预估价"&amp;ROUND(_xlfn.XLOOKUP($A83&amp;$B83&amp;$C83,盘货信息!$A:$A&amp;盘货信息!$B:$B&amp;盘货信息!$C:$C,盘货信息!$E:$E),0)&amp;"元】")))</f>
        <v/>
      </c>
      <c r="F83" s="27" t="str" cm="1">
        <f t="array" ref="F83">IF($C83="","",_xlfn.XLOOKUP($A83&amp;$B83&amp;$C83,盘货信息!$A:$A&amp;盘货信息!$B:$B&amp;盘货信息!$C:$C,盘货信息!$D:$D)&amp;"元到手价")</f>
        <v/>
      </c>
      <c r="G83" s="27" t="str" cm="1">
        <f t="array" ref="G83">IF($C83="","",IF(_xlfn.XLOOKUP($A83&amp;$B83&amp;$C83,盘货信息!$A:$A&amp;盘货信息!$B:$B&amp;盘货信息!$C:$C,盘货信息!$G:$G)&lt;1,"",ROUND(_xlfn.XLOOKUP($A83&amp;$B83&amp;$C83,盘货信息!$A:$A&amp;盘货信息!$B:$B&amp;盘货信息!$C:$C,盘货信息!$G:$G),0)&amp;"元88VIP立减"))</f>
        <v/>
      </c>
      <c r="H83" s="27" t="str" cm="1">
        <f t="array" ref="H83">IF($C83="","",IF(_xlfn.XLOOKUP($A83&amp;$B83&amp;$C83,盘货信息!$A:$A&amp;盘货信息!$B:$B&amp;盘货信息!$C:$C,盘货信息!$I:$I)&lt;1,"",_xlfn.XLOOKUP($A83&amp;$B83&amp;$C83,盘货信息!$A:$A&amp;盘货信息!$B:$B&amp;盘货信息!$C:$C,盘货信息!$I:$I)&amp;"元惊喜立减"))</f>
        <v/>
      </c>
      <c r="I83" s="27" t="str" cm="1">
        <f t="array" ref="I83">IF($C83="","",IF(_xlfn.XLOOKUP($A83&amp;$B83&amp;$C83,盘货信息!$A:$A&amp;盘货信息!$B:$B&amp;盘货信息!$C:$C,盘货信息!$H:$H)&lt;1,"",ROUND(_xlfn.XLOOKUP($A83&amp;$B83&amp;$C83,盘货信息!$A:$A&amp;盘货信息!$B:$B&amp;盘货信息!$C:$C,盘货信息!$H:$H),0)&amp;"元消费券"))</f>
        <v/>
      </c>
      <c r="J83" s="27" t="str" cm="1">
        <f t="array" ref="J83">IF($C83="","",IF(_xlfn.XLOOKUP($A83&amp;$B83&amp;$C83,盘货信息!$A:$A&amp;盘货信息!$B:$B&amp;盘货信息!$C:$C,盘货信息!$J:$J)&lt;1,"",ROUND(_xlfn.XLOOKUP($A83&amp;$B83&amp;$C83,盘货信息!$A:$A&amp;盘货信息!$B:$B&amp;盘货信息!$C:$C,盘货信息!$J:$J),0)&amp;"元限时补贴"))</f>
        <v/>
      </c>
      <c r="K83" s="27" t="str" cm="1">
        <f t="array" ref="K83">IF($C83="","",IF(_xlfn.XLOOKUP($A83&amp;$B83&amp;$C83,盘货信息!$A:$A&amp;盘货信息!$B:$B&amp;盘货信息!$C:$C,盘货信息!$K:$K)&lt;1,"",ROUND(_xlfn.XLOOKUP($A83&amp;$B83&amp;$C83,盘货信息!$A:$A&amp;盘货信息!$B:$B&amp;盘货信息!$C:$C,盘货信息!$K:$K),0)&amp;"元预估焕新补贴"))</f>
        <v/>
      </c>
      <c r="L83" s="27" t="str" cm="1">
        <f t="array" ref="L83">IF($C83="","",IF(AND(_xlfn.XLOOKUP($A83&amp;$B83&amp;$C83,盘货信息!$A:$A&amp;盘货信息!$B:$B&amp;盘货信息!$C:$C,盘货信息!$L:$L)="是",_xlfn.XLOOKUP($A83&amp;$B83&amp;$C83,盘货信息!$A:$A&amp;盘货信息!$B:$B&amp;盘货信息!$C:$C,盘货信息!$M:$M)="是",_xlfn.XLOOKUP($A83&amp;$B83&amp;$C83,盘货信息!$A:$A&amp;盘货信息!$B:$B&amp;盘货信息!$C:$C,盘货信息!$K:$K)&gt;0),"【全民可用，不限地址】",IF(AND(OR(_xlfn.XLOOKUP($A83&amp;$B83&amp;$C83,盘货信息!$A:$A&amp;盘货信息!$B:$B&amp;盘货信息!$C:$C,盘货信息!$L:$L)="否",_xlfn.XLOOKUP($A83&amp;$B83&amp;$C83,盘货信息!$A:$A&amp;盘货信息!$B:$B&amp;盘货信息!$C:$C,盘货信息!$L:$L)=""),_xlfn.XLOOKUP($A83&amp;$B83&amp;$C83,盘货信息!$A:$A&amp;盘货信息!$B:$B&amp;盘货信息!$C:$C,盘货信息!$M:$M)="是",_xlfn.XLOOKUP($A83&amp;$B83&amp;$C83,盘货信息!$A:$A&amp;盘货信息!$B:$B&amp;盘货信息!$C:$C,盘货信息!$K:$K)&gt;0),"【详情页领取】","")))</f>
        <v/>
      </c>
      <c r="M83" s="27" t="str" cm="1">
        <f t="array" ref="M83">IF($C83="","",IF(_xlfn.XLOOKUP($A83&amp;$B83&amp;$C83,盘货信息!$A:$A&amp;盘货信息!$B:$B&amp;盘货信息!$C:$C,盘货信息!$F:$F)&lt;1,"",_xlfn.XLOOKUP($A83&amp;$B83&amp;$C83,盘货信息!$A:$A&amp;盘货信息!$B:$B&amp;盘货信息!$C:$C,盘货信息!$F:$F)&amp;"元明卷"))</f>
        <v/>
      </c>
      <c r="N83" s="27" t="str">
        <f t="shared" si="3"/>
        <v/>
      </c>
      <c r="O83" s="27" t="str">
        <f>IF(I83="","","【消费券链接】"&amp;固定信息!$B$6)</f>
        <v/>
      </c>
    </row>
    <row r="84" customHeight="1" spans="1:15">
      <c r="A84" s="26" t="str">
        <f>IF(盘货信息!A84="","",盘货信息!A84)</f>
        <v/>
      </c>
      <c r="B84" s="26" t="str">
        <f>IF(盘货信息!B84="","",盘货信息!B84)</f>
        <v/>
      </c>
      <c r="C84" s="27" t="str">
        <f>IF(盘货信息!C84="","",盘货信息!C84)</f>
        <v/>
      </c>
      <c r="D84" s="27" t="str">
        <f t="shared" si="2"/>
        <v/>
      </c>
      <c r="E84" s="27" t="str" cm="1">
        <f t="array" ref="E84">IF($C84="","",IF(AND(OR(_xlfn.XLOOKUP($A84&amp;$B84&amp;$C84,盘货信息!$A:$A&amp;盘货信息!$B:$B&amp;盘货信息!$C:$C,盘货信息!$L:$L)="否",_xlfn.XLOOKUP($A84&amp;$B84&amp;$C84,盘货信息!$A:$A&amp;盘货信息!$B:$B&amp;盘货信息!$C:$C,盘货信息!$L:$L)=""),_xlfn.XLOOKUP($A84&amp;$B84&amp;$C84,盘货信息!$A:$A&amp;盘货信息!$B:$B&amp;盘货信息!$C:$C,盘货信息!$M:$M)="否"),"【预估到手价"&amp;_xlfn.XLOOKUP($A84&amp;$B84&amp;$C84,盘货信息!$A:$A&amp;盘货信息!$B:$B&amp;盘货信息!$C:$C,盘货信息!$D:$D)&amp;"元】",IF(AND(_xlfn.XLOOKUP($A84&amp;$B84&amp;$C84,盘货信息!$A:$A&amp;盘货信息!$B:$B&amp;盘货信息!$C:$C,盘货信息!$M:$M)="是",OR(_xlfn.XLOOKUP($A84&amp;$B84&amp;$C84,盘货信息!$A:$A&amp;盘货信息!$B:$B&amp;盘货信息!$C:$C,盘货信息!$L:$L)="否",_xlfn.XLOOKUP($A84&amp;$B84&amp;$C84,盘货信息!$A:$A&amp;盘货信息!$B:$B&amp;盘货信息!$C:$C,盘货信息!$L:$L)="")),"【预估到手价"&amp;_xlfn.XLOOKUP($A84&amp;$B84&amp;$C84,盘货信息!$A:$A&amp;盘货信息!$B:$B&amp;盘货信息!$C:$C,盘货信息!$D:$D)&amp;"元】"&amp;CHAR(10)&amp;"【焕新补贴预估价"&amp;ROUND(_xlfn.XLOOKUP($A84&amp;$B84&amp;$C84,盘货信息!$A:$A&amp;盘货信息!$B:$B&amp;盘货信息!$C:$C,盘货信息!$E:$E),0)&amp;"元】","【焕新补贴预估价"&amp;ROUND(_xlfn.XLOOKUP($A84&amp;$B84&amp;$C84,盘货信息!$A:$A&amp;盘货信息!$B:$B&amp;盘货信息!$C:$C,盘货信息!$E:$E),0)&amp;"元】")))</f>
        <v/>
      </c>
      <c r="F84" s="27" t="str" cm="1">
        <f t="array" ref="F84">IF($C84="","",_xlfn.XLOOKUP($A84&amp;$B84&amp;$C84,盘货信息!$A:$A&amp;盘货信息!$B:$B&amp;盘货信息!$C:$C,盘货信息!$D:$D)&amp;"元到手价")</f>
        <v/>
      </c>
      <c r="G84" s="27" t="str" cm="1">
        <f t="array" ref="G84">IF($C84="","",IF(_xlfn.XLOOKUP($A84&amp;$B84&amp;$C84,盘货信息!$A:$A&amp;盘货信息!$B:$B&amp;盘货信息!$C:$C,盘货信息!$G:$G)&lt;1,"",ROUND(_xlfn.XLOOKUP($A84&amp;$B84&amp;$C84,盘货信息!$A:$A&amp;盘货信息!$B:$B&amp;盘货信息!$C:$C,盘货信息!$G:$G),0)&amp;"元88VIP立减"))</f>
        <v/>
      </c>
      <c r="H84" s="27" t="str" cm="1">
        <f t="array" ref="H84">IF($C84="","",IF(_xlfn.XLOOKUP($A84&amp;$B84&amp;$C84,盘货信息!$A:$A&amp;盘货信息!$B:$B&amp;盘货信息!$C:$C,盘货信息!$I:$I)&lt;1,"",_xlfn.XLOOKUP($A84&amp;$B84&amp;$C84,盘货信息!$A:$A&amp;盘货信息!$B:$B&amp;盘货信息!$C:$C,盘货信息!$I:$I)&amp;"元惊喜立减"))</f>
        <v/>
      </c>
      <c r="I84" s="27" t="str" cm="1">
        <f t="array" ref="I84">IF($C84="","",IF(_xlfn.XLOOKUP($A84&amp;$B84&amp;$C84,盘货信息!$A:$A&amp;盘货信息!$B:$B&amp;盘货信息!$C:$C,盘货信息!$H:$H)&lt;1,"",ROUND(_xlfn.XLOOKUP($A84&amp;$B84&amp;$C84,盘货信息!$A:$A&amp;盘货信息!$B:$B&amp;盘货信息!$C:$C,盘货信息!$H:$H),0)&amp;"元消费券"))</f>
        <v/>
      </c>
      <c r="J84" s="27" t="str" cm="1">
        <f t="array" ref="J84">IF($C84="","",IF(_xlfn.XLOOKUP($A84&amp;$B84&amp;$C84,盘货信息!$A:$A&amp;盘货信息!$B:$B&amp;盘货信息!$C:$C,盘货信息!$J:$J)&lt;1,"",ROUND(_xlfn.XLOOKUP($A84&amp;$B84&amp;$C84,盘货信息!$A:$A&amp;盘货信息!$B:$B&amp;盘货信息!$C:$C,盘货信息!$J:$J),0)&amp;"元限时补贴"))</f>
        <v/>
      </c>
      <c r="K84" s="27" t="str" cm="1">
        <f t="array" ref="K84">IF($C84="","",IF(_xlfn.XLOOKUP($A84&amp;$B84&amp;$C84,盘货信息!$A:$A&amp;盘货信息!$B:$B&amp;盘货信息!$C:$C,盘货信息!$K:$K)&lt;1,"",ROUND(_xlfn.XLOOKUP($A84&amp;$B84&amp;$C84,盘货信息!$A:$A&amp;盘货信息!$B:$B&amp;盘货信息!$C:$C,盘货信息!$K:$K),0)&amp;"元预估焕新补贴"))</f>
        <v/>
      </c>
      <c r="L84" s="27" t="str" cm="1">
        <f t="array" ref="L84">IF($C84="","",IF(AND(_xlfn.XLOOKUP($A84&amp;$B84&amp;$C84,盘货信息!$A:$A&amp;盘货信息!$B:$B&amp;盘货信息!$C:$C,盘货信息!$L:$L)="是",_xlfn.XLOOKUP($A84&amp;$B84&amp;$C84,盘货信息!$A:$A&amp;盘货信息!$B:$B&amp;盘货信息!$C:$C,盘货信息!$M:$M)="是",_xlfn.XLOOKUP($A84&amp;$B84&amp;$C84,盘货信息!$A:$A&amp;盘货信息!$B:$B&amp;盘货信息!$C:$C,盘货信息!$K:$K)&gt;0),"【全民可用，不限地址】",IF(AND(OR(_xlfn.XLOOKUP($A84&amp;$B84&amp;$C84,盘货信息!$A:$A&amp;盘货信息!$B:$B&amp;盘货信息!$C:$C,盘货信息!$L:$L)="否",_xlfn.XLOOKUP($A84&amp;$B84&amp;$C84,盘货信息!$A:$A&amp;盘货信息!$B:$B&amp;盘货信息!$C:$C,盘货信息!$L:$L)=""),_xlfn.XLOOKUP($A84&amp;$B84&amp;$C84,盘货信息!$A:$A&amp;盘货信息!$B:$B&amp;盘货信息!$C:$C,盘货信息!$M:$M)="是",_xlfn.XLOOKUP($A84&amp;$B84&amp;$C84,盘货信息!$A:$A&amp;盘货信息!$B:$B&amp;盘货信息!$C:$C,盘货信息!$K:$K)&gt;0),"【详情页领取】","")))</f>
        <v/>
      </c>
      <c r="M84" s="27" t="str" cm="1">
        <f t="array" ref="M84">IF($C84="","",IF(_xlfn.XLOOKUP($A84&amp;$B84&amp;$C84,盘货信息!$A:$A&amp;盘货信息!$B:$B&amp;盘货信息!$C:$C,盘货信息!$F:$F)&lt;1,"",_xlfn.XLOOKUP($A84&amp;$B84&amp;$C84,盘货信息!$A:$A&amp;盘货信息!$B:$B&amp;盘货信息!$C:$C,盘货信息!$F:$F)&amp;"元明卷"))</f>
        <v/>
      </c>
      <c r="N84" s="27" t="str">
        <f t="shared" si="3"/>
        <v/>
      </c>
      <c r="O84" s="27" t="str">
        <f>IF(I84="","","【消费券链接】"&amp;固定信息!$B$6)</f>
        <v/>
      </c>
    </row>
    <row r="85" customHeight="1" spans="1:15">
      <c r="A85" s="26" t="str">
        <f>IF(盘货信息!A85="","",盘货信息!A85)</f>
        <v/>
      </c>
      <c r="B85" s="26" t="str">
        <f>IF(盘货信息!B85="","",盘货信息!B85)</f>
        <v/>
      </c>
      <c r="C85" s="27" t="str">
        <f>IF(盘货信息!C85="","",盘货信息!C85)</f>
        <v/>
      </c>
      <c r="D85" s="27" t="str">
        <f t="shared" si="2"/>
        <v/>
      </c>
      <c r="E85" s="27" t="str" cm="1">
        <f t="array" ref="E85">IF($C85="","",IF(AND(OR(_xlfn.XLOOKUP($A85&amp;$B85&amp;$C85,盘货信息!$A:$A&amp;盘货信息!$B:$B&amp;盘货信息!$C:$C,盘货信息!$L:$L)="否",_xlfn.XLOOKUP($A85&amp;$B85&amp;$C85,盘货信息!$A:$A&amp;盘货信息!$B:$B&amp;盘货信息!$C:$C,盘货信息!$L:$L)=""),_xlfn.XLOOKUP($A85&amp;$B85&amp;$C85,盘货信息!$A:$A&amp;盘货信息!$B:$B&amp;盘货信息!$C:$C,盘货信息!$M:$M)="否"),"【预估到手价"&amp;_xlfn.XLOOKUP($A85&amp;$B85&amp;$C85,盘货信息!$A:$A&amp;盘货信息!$B:$B&amp;盘货信息!$C:$C,盘货信息!$D:$D)&amp;"元】",IF(AND(_xlfn.XLOOKUP($A85&amp;$B85&amp;$C85,盘货信息!$A:$A&amp;盘货信息!$B:$B&amp;盘货信息!$C:$C,盘货信息!$M:$M)="是",OR(_xlfn.XLOOKUP($A85&amp;$B85&amp;$C85,盘货信息!$A:$A&amp;盘货信息!$B:$B&amp;盘货信息!$C:$C,盘货信息!$L:$L)="否",_xlfn.XLOOKUP($A85&amp;$B85&amp;$C85,盘货信息!$A:$A&amp;盘货信息!$B:$B&amp;盘货信息!$C:$C,盘货信息!$L:$L)="")),"【预估到手价"&amp;_xlfn.XLOOKUP($A85&amp;$B85&amp;$C85,盘货信息!$A:$A&amp;盘货信息!$B:$B&amp;盘货信息!$C:$C,盘货信息!$D:$D)&amp;"元】"&amp;CHAR(10)&amp;"【焕新补贴预估价"&amp;ROUND(_xlfn.XLOOKUP($A85&amp;$B85&amp;$C85,盘货信息!$A:$A&amp;盘货信息!$B:$B&amp;盘货信息!$C:$C,盘货信息!$E:$E),0)&amp;"元】","【焕新补贴预估价"&amp;ROUND(_xlfn.XLOOKUP($A85&amp;$B85&amp;$C85,盘货信息!$A:$A&amp;盘货信息!$B:$B&amp;盘货信息!$C:$C,盘货信息!$E:$E),0)&amp;"元】")))</f>
        <v/>
      </c>
      <c r="F85" s="27" t="str" cm="1">
        <f t="array" ref="F85">IF($C85="","",_xlfn.XLOOKUP($A85&amp;$B85&amp;$C85,盘货信息!$A:$A&amp;盘货信息!$B:$B&amp;盘货信息!$C:$C,盘货信息!$D:$D)&amp;"元到手价")</f>
        <v/>
      </c>
      <c r="G85" s="27" t="str" cm="1">
        <f t="array" ref="G85">IF($C85="","",IF(_xlfn.XLOOKUP($A85&amp;$B85&amp;$C85,盘货信息!$A:$A&amp;盘货信息!$B:$B&amp;盘货信息!$C:$C,盘货信息!$G:$G)&lt;1,"",ROUND(_xlfn.XLOOKUP($A85&amp;$B85&amp;$C85,盘货信息!$A:$A&amp;盘货信息!$B:$B&amp;盘货信息!$C:$C,盘货信息!$G:$G),0)&amp;"元88VIP立减"))</f>
        <v/>
      </c>
      <c r="H85" s="27" t="str" cm="1">
        <f t="array" ref="H85">IF($C85="","",IF(_xlfn.XLOOKUP($A85&amp;$B85&amp;$C85,盘货信息!$A:$A&amp;盘货信息!$B:$B&amp;盘货信息!$C:$C,盘货信息!$I:$I)&lt;1,"",_xlfn.XLOOKUP($A85&amp;$B85&amp;$C85,盘货信息!$A:$A&amp;盘货信息!$B:$B&amp;盘货信息!$C:$C,盘货信息!$I:$I)&amp;"元惊喜立减"))</f>
        <v/>
      </c>
      <c r="I85" s="27" t="str" cm="1">
        <f t="array" ref="I85">IF($C85="","",IF(_xlfn.XLOOKUP($A85&amp;$B85&amp;$C85,盘货信息!$A:$A&amp;盘货信息!$B:$B&amp;盘货信息!$C:$C,盘货信息!$H:$H)&lt;1,"",ROUND(_xlfn.XLOOKUP($A85&amp;$B85&amp;$C85,盘货信息!$A:$A&amp;盘货信息!$B:$B&amp;盘货信息!$C:$C,盘货信息!$H:$H),0)&amp;"元消费券"))</f>
        <v/>
      </c>
      <c r="J85" s="27" t="str" cm="1">
        <f t="array" ref="J85">IF($C85="","",IF(_xlfn.XLOOKUP($A85&amp;$B85&amp;$C85,盘货信息!$A:$A&amp;盘货信息!$B:$B&amp;盘货信息!$C:$C,盘货信息!$J:$J)&lt;1,"",ROUND(_xlfn.XLOOKUP($A85&amp;$B85&amp;$C85,盘货信息!$A:$A&amp;盘货信息!$B:$B&amp;盘货信息!$C:$C,盘货信息!$J:$J),0)&amp;"元限时补贴"))</f>
        <v/>
      </c>
      <c r="K85" s="27" t="str" cm="1">
        <f t="array" ref="K85">IF($C85="","",IF(_xlfn.XLOOKUP($A85&amp;$B85&amp;$C85,盘货信息!$A:$A&amp;盘货信息!$B:$B&amp;盘货信息!$C:$C,盘货信息!$K:$K)&lt;1,"",ROUND(_xlfn.XLOOKUP($A85&amp;$B85&amp;$C85,盘货信息!$A:$A&amp;盘货信息!$B:$B&amp;盘货信息!$C:$C,盘货信息!$K:$K),0)&amp;"元预估焕新补贴"))</f>
        <v/>
      </c>
      <c r="L85" s="27" t="str" cm="1">
        <f t="array" ref="L85">IF($C85="","",IF(AND(_xlfn.XLOOKUP($A85&amp;$B85&amp;$C85,盘货信息!$A:$A&amp;盘货信息!$B:$B&amp;盘货信息!$C:$C,盘货信息!$L:$L)="是",_xlfn.XLOOKUP($A85&amp;$B85&amp;$C85,盘货信息!$A:$A&amp;盘货信息!$B:$B&amp;盘货信息!$C:$C,盘货信息!$M:$M)="是",_xlfn.XLOOKUP($A85&amp;$B85&amp;$C85,盘货信息!$A:$A&amp;盘货信息!$B:$B&amp;盘货信息!$C:$C,盘货信息!$K:$K)&gt;0),"【全民可用，不限地址】",IF(AND(OR(_xlfn.XLOOKUP($A85&amp;$B85&amp;$C85,盘货信息!$A:$A&amp;盘货信息!$B:$B&amp;盘货信息!$C:$C,盘货信息!$L:$L)="否",_xlfn.XLOOKUP($A85&amp;$B85&amp;$C85,盘货信息!$A:$A&amp;盘货信息!$B:$B&amp;盘货信息!$C:$C,盘货信息!$L:$L)=""),_xlfn.XLOOKUP($A85&amp;$B85&amp;$C85,盘货信息!$A:$A&amp;盘货信息!$B:$B&amp;盘货信息!$C:$C,盘货信息!$M:$M)="是",_xlfn.XLOOKUP($A85&amp;$B85&amp;$C85,盘货信息!$A:$A&amp;盘货信息!$B:$B&amp;盘货信息!$C:$C,盘货信息!$K:$K)&gt;0),"【详情页领取】","")))</f>
        <v/>
      </c>
      <c r="M85" s="27" t="str" cm="1">
        <f t="array" ref="M85">IF($C85="","",IF(_xlfn.XLOOKUP($A85&amp;$B85&amp;$C85,盘货信息!$A:$A&amp;盘货信息!$B:$B&amp;盘货信息!$C:$C,盘货信息!$F:$F)&lt;1,"",_xlfn.XLOOKUP($A85&amp;$B85&amp;$C85,盘货信息!$A:$A&amp;盘货信息!$B:$B&amp;盘货信息!$C:$C,盘货信息!$F:$F)&amp;"元明卷"))</f>
        <v/>
      </c>
      <c r="N85" s="27" t="str">
        <f t="shared" si="3"/>
        <v/>
      </c>
      <c r="O85" s="27" t="str">
        <f>IF(I85="","","【消费券链接】"&amp;固定信息!$B$6)</f>
        <v/>
      </c>
    </row>
    <row r="86" customHeight="1" spans="1:15">
      <c r="A86" s="26" t="str">
        <f>IF(盘货信息!A86="","",盘货信息!A86)</f>
        <v/>
      </c>
      <c r="B86" s="26" t="str">
        <f>IF(盘货信息!B86="","",盘货信息!B86)</f>
        <v/>
      </c>
      <c r="C86" s="27" t="str">
        <f>IF(盘货信息!C86="","",盘货信息!C86)</f>
        <v/>
      </c>
      <c r="D86" s="27" t="str">
        <f t="shared" si="2"/>
        <v/>
      </c>
      <c r="E86" s="27" t="str" cm="1">
        <f t="array" ref="E86">IF($C86="","",IF(AND(OR(_xlfn.XLOOKUP($A86&amp;$B86&amp;$C86,盘货信息!$A:$A&amp;盘货信息!$B:$B&amp;盘货信息!$C:$C,盘货信息!$L:$L)="否",_xlfn.XLOOKUP($A86&amp;$B86&amp;$C86,盘货信息!$A:$A&amp;盘货信息!$B:$B&amp;盘货信息!$C:$C,盘货信息!$L:$L)=""),_xlfn.XLOOKUP($A86&amp;$B86&amp;$C86,盘货信息!$A:$A&amp;盘货信息!$B:$B&amp;盘货信息!$C:$C,盘货信息!$M:$M)="否"),"【预估到手价"&amp;_xlfn.XLOOKUP($A86&amp;$B86&amp;$C86,盘货信息!$A:$A&amp;盘货信息!$B:$B&amp;盘货信息!$C:$C,盘货信息!$D:$D)&amp;"元】",IF(AND(_xlfn.XLOOKUP($A86&amp;$B86&amp;$C86,盘货信息!$A:$A&amp;盘货信息!$B:$B&amp;盘货信息!$C:$C,盘货信息!$M:$M)="是",OR(_xlfn.XLOOKUP($A86&amp;$B86&amp;$C86,盘货信息!$A:$A&amp;盘货信息!$B:$B&amp;盘货信息!$C:$C,盘货信息!$L:$L)="否",_xlfn.XLOOKUP($A86&amp;$B86&amp;$C86,盘货信息!$A:$A&amp;盘货信息!$B:$B&amp;盘货信息!$C:$C,盘货信息!$L:$L)="")),"【预估到手价"&amp;_xlfn.XLOOKUP($A86&amp;$B86&amp;$C86,盘货信息!$A:$A&amp;盘货信息!$B:$B&amp;盘货信息!$C:$C,盘货信息!$D:$D)&amp;"元】"&amp;CHAR(10)&amp;"【焕新补贴预估价"&amp;ROUND(_xlfn.XLOOKUP($A86&amp;$B86&amp;$C86,盘货信息!$A:$A&amp;盘货信息!$B:$B&amp;盘货信息!$C:$C,盘货信息!$E:$E),0)&amp;"元】","【焕新补贴预估价"&amp;ROUND(_xlfn.XLOOKUP($A86&amp;$B86&amp;$C86,盘货信息!$A:$A&amp;盘货信息!$B:$B&amp;盘货信息!$C:$C,盘货信息!$E:$E),0)&amp;"元】")))</f>
        <v/>
      </c>
      <c r="F86" s="27" t="str" cm="1">
        <f t="array" ref="F86">IF($C86="","",_xlfn.XLOOKUP($A86&amp;$B86&amp;$C86,盘货信息!$A:$A&amp;盘货信息!$B:$B&amp;盘货信息!$C:$C,盘货信息!$D:$D)&amp;"元到手价")</f>
        <v/>
      </c>
      <c r="G86" s="27" t="str" cm="1">
        <f t="array" ref="G86">IF($C86="","",IF(_xlfn.XLOOKUP($A86&amp;$B86&amp;$C86,盘货信息!$A:$A&amp;盘货信息!$B:$B&amp;盘货信息!$C:$C,盘货信息!$G:$G)&lt;1,"",ROUND(_xlfn.XLOOKUP($A86&amp;$B86&amp;$C86,盘货信息!$A:$A&amp;盘货信息!$B:$B&amp;盘货信息!$C:$C,盘货信息!$G:$G),0)&amp;"元88VIP立减"))</f>
        <v/>
      </c>
      <c r="H86" s="27" t="str" cm="1">
        <f t="array" ref="H86">IF($C86="","",IF(_xlfn.XLOOKUP($A86&amp;$B86&amp;$C86,盘货信息!$A:$A&amp;盘货信息!$B:$B&amp;盘货信息!$C:$C,盘货信息!$I:$I)&lt;1,"",_xlfn.XLOOKUP($A86&amp;$B86&amp;$C86,盘货信息!$A:$A&amp;盘货信息!$B:$B&amp;盘货信息!$C:$C,盘货信息!$I:$I)&amp;"元惊喜立减"))</f>
        <v/>
      </c>
      <c r="I86" s="27" t="str" cm="1">
        <f t="array" ref="I86">IF($C86="","",IF(_xlfn.XLOOKUP($A86&amp;$B86&amp;$C86,盘货信息!$A:$A&amp;盘货信息!$B:$B&amp;盘货信息!$C:$C,盘货信息!$H:$H)&lt;1,"",ROUND(_xlfn.XLOOKUP($A86&amp;$B86&amp;$C86,盘货信息!$A:$A&amp;盘货信息!$B:$B&amp;盘货信息!$C:$C,盘货信息!$H:$H),0)&amp;"元消费券"))</f>
        <v/>
      </c>
      <c r="J86" s="27" t="str" cm="1">
        <f t="array" ref="J86">IF($C86="","",IF(_xlfn.XLOOKUP($A86&amp;$B86&amp;$C86,盘货信息!$A:$A&amp;盘货信息!$B:$B&amp;盘货信息!$C:$C,盘货信息!$J:$J)&lt;1,"",ROUND(_xlfn.XLOOKUP($A86&amp;$B86&amp;$C86,盘货信息!$A:$A&amp;盘货信息!$B:$B&amp;盘货信息!$C:$C,盘货信息!$J:$J),0)&amp;"元限时补贴"))</f>
        <v/>
      </c>
      <c r="K86" s="27" t="str" cm="1">
        <f t="array" ref="K86">IF($C86="","",IF(_xlfn.XLOOKUP($A86&amp;$B86&amp;$C86,盘货信息!$A:$A&amp;盘货信息!$B:$B&amp;盘货信息!$C:$C,盘货信息!$K:$K)&lt;1,"",ROUND(_xlfn.XLOOKUP($A86&amp;$B86&amp;$C86,盘货信息!$A:$A&amp;盘货信息!$B:$B&amp;盘货信息!$C:$C,盘货信息!$K:$K),0)&amp;"元预估焕新补贴"))</f>
        <v/>
      </c>
      <c r="L86" s="27" t="str" cm="1">
        <f t="array" ref="L86">IF($C86="","",IF(AND(_xlfn.XLOOKUP($A86&amp;$B86&amp;$C86,盘货信息!$A:$A&amp;盘货信息!$B:$B&amp;盘货信息!$C:$C,盘货信息!$L:$L)="是",_xlfn.XLOOKUP($A86&amp;$B86&amp;$C86,盘货信息!$A:$A&amp;盘货信息!$B:$B&amp;盘货信息!$C:$C,盘货信息!$M:$M)="是",_xlfn.XLOOKUP($A86&amp;$B86&amp;$C86,盘货信息!$A:$A&amp;盘货信息!$B:$B&amp;盘货信息!$C:$C,盘货信息!$K:$K)&gt;0),"【全民可用，不限地址】",IF(AND(OR(_xlfn.XLOOKUP($A86&amp;$B86&amp;$C86,盘货信息!$A:$A&amp;盘货信息!$B:$B&amp;盘货信息!$C:$C,盘货信息!$L:$L)="否",_xlfn.XLOOKUP($A86&amp;$B86&amp;$C86,盘货信息!$A:$A&amp;盘货信息!$B:$B&amp;盘货信息!$C:$C,盘货信息!$L:$L)=""),_xlfn.XLOOKUP($A86&amp;$B86&amp;$C86,盘货信息!$A:$A&amp;盘货信息!$B:$B&amp;盘货信息!$C:$C,盘货信息!$M:$M)="是",_xlfn.XLOOKUP($A86&amp;$B86&amp;$C86,盘货信息!$A:$A&amp;盘货信息!$B:$B&amp;盘货信息!$C:$C,盘货信息!$K:$K)&gt;0),"【详情页领取】","")))</f>
        <v/>
      </c>
      <c r="M86" s="27" t="str" cm="1">
        <f t="array" ref="M86">IF($C86="","",IF(_xlfn.XLOOKUP($A86&amp;$B86&amp;$C86,盘货信息!$A:$A&amp;盘货信息!$B:$B&amp;盘货信息!$C:$C,盘货信息!$F:$F)&lt;1,"",_xlfn.XLOOKUP($A86&amp;$B86&amp;$C86,盘货信息!$A:$A&amp;盘货信息!$B:$B&amp;盘货信息!$C:$C,盘货信息!$F:$F)&amp;"元明卷"))</f>
        <v/>
      </c>
      <c r="N86" s="27" t="str">
        <f t="shared" si="3"/>
        <v/>
      </c>
      <c r="O86" s="27" t="str">
        <f>IF(I86="","","【消费券链接】"&amp;固定信息!$B$6)</f>
        <v/>
      </c>
    </row>
    <row r="87" customHeight="1" spans="1:15">
      <c r="A87" s="26" t="str">
        <f>IF(盘货信息!A87="","",盘货信息!A87)</f>
        <v/>
      </c>
      <c r="B87" s="26" t="str">
        <f>IF(盘货信息!B87="","",盘货信息!B87)</f>
        <v/>
      </c>
      <c r="C87" s="27" t="str">
        <f>IF(盘货信息!C87="","",盘货信息!C87)</f>
        <v/>
      </c>
      <c r="D87" s="27" t="str">
        <f t="shared" si="2"/>
        <v/>
      </c>
      <c r="E87" s="27" t="str" cm="1">
        <f t="array" ref="E87">IF($C87="","",IF(AND(OR(_xlfn.XLOOKUP($A87&amp;$B87&amp;$C87,盘货信息!$A:$A&amp;盘货信息!$B:$B&amp;盘货信息!$C:$C,盘货信息!$L:$L)="否",_xlfn.XLOOKUP($A87&amp;$B87&amp;$C87,盘货信息!$A:$A&amp;盘货信息!$B:$B&amp;盘货信息!$C:$C,盘货信息!$L:$L)=""),_xlfn.XLOOKUP($A87&amp;$B87&amp;$C87,盘货信息!$A:$A&amp;盘货信息!$B:$B&amp;盘货信息!$C:$C,盘货信息!$M:$M)="否"),"【预估到手价"&amp;_xlfn.XLOOKUP($A87&amp;$B87&amp;$C87,盘货信息!$A:$A&amp;盘货信息!$B:$B&amp;盘货信息!$C:$C,盘货信息!$D:$D)&amp;"元】",IF(AND(_xlfn.XLOOKUP($A87&amp;$B87&amp;$C87,盘货信息!$A:$A&amp;盘货信息!$B:$B&amp;盘货信息!$C:$C,盘货信息!$M:$M)="是",OR(_xlfn.XLOOKUP($A87&amp;$B87&amp;$C87,盘货信息!$A:$A&amp;盘货信息!$B:$B&amp;盘货信息!$C:$C,盘货信息!$L:$L)="否",_xlfn.XLOOKUP($A87&amp;$B87&amp;$C87,盘货信息!$A:$A&amp;盘货信息!$B:$B&amp;盘货信息!$C:$C,盘货信息!$L:$L)="")),"【预估到手价"&amp;_xlfn.XLOOKUP($A87&amp;$B87&amp;$C87,盘货信息!$A:$A&amp;盘货信息!$B:$B&amp;盘货信息!$C:$C,盘货信息!$D:$D)&amp;"元】"&amp;CHAR(10)&amp;"【焕新补贴预估价"&amp;ROUND(_xlfn.XLOOKUP($A87&amp;$B87&amp;$C87,盘货信息!$A:$A&amp;盘货信息!$B:$B&amp;盘货信息!$C:$C,盘货信息!$E:$E),0)&amp;"元】","【焕新补贴预估价"&amp;ROUND(_xlfn.XLOOKUP($A87&amp;$B87&amp;$C87,盘货信息!$A:$A&amp;盘货信息!$B:$B&amp;盘货信息!$C:$C,盘货信息!$E:$E),0)&amp;"元】")))</f>
        <v/>
      </c>
      <c r="F87" s="27" t="str" cm="1">
        <f t="array" ref="F87">IF($C87="","",_xlfn.XLOOKUP($A87&amp;$B87&amp;$C87,盘货信息!$A:$A&amp;盘货信息!$B:$B&amp;盘货信息!$C:$C,盘货信息!$D:$D)&amp;"元到手价")</f>
        <v/>
      </c>
      <c r="G87" s="27" t="str" cm="1">
        <f t="array" ref="G87">IF($C87="","",IF(_xlfn.XLOOKUP($A87&amp;$B87&amp;$C87,盘货信息!$A:$A&amp;盘货信息!$B:$B&amp;盘货信息!$C:$C,盘货信息!$G:$G)&lt;1,"",ROUND(_xlfn.XLOOKUP($A87&amp;$B87&amp;$C87,盘货信息!$A:$A&amp;盘货信息!$B:$B&amp;盘货信息!$C:$C,盘货信息!$G:$G),0)&amp;"元88VIP立减"))</f>
        <v/>
      </c>
      <c r="H87" s="27" t="str" cm="1">
        <f t="array" ref="H87">IF($C87="","",IF(_xlfn.XLOOKUP($A87&amp;$B87&amp;$C87,盘货信息!$A:$A&amp;盘货信息!$B:$B&amp;盘货信息!$C:$C,盘货信息!$I:$I)&lt;1,"",_xlfn.XLOOKUP($A87&amp;$B87&amp;$C87,盘货信息!$A:$A&amp;盘货信息!$B:$B&amp;盘货信息!$C:$C,盘货信息!$I:$I)&amp;"元惊喜立减"))</f>
        <v/>
      </c>
      <c r="I87" s="27" t="str" cm="1">
        <f t="array" ref="I87">IF($C87="","",IF(_xlfn.XLOOKUP($A87&amp;$B87&amp;$C87,盘货信息!$A:$A&amp;盘货信息!$B:$B&amp;盘货信息!$C:$C,盘货信息!$H:$H)&lt;1,"",ROUND(_xlfn.XLOOKUP($A87&amp;$B87&amp;$C87,盘货信息!$A:$A&amp;盘货信息!$B:$B&amp;盘货信息!$C:$C,盘货信息!$H:$H),0)&amp;"元消费券"))</f>
        <v/>
      </c>
      <c r="J87" s="27" t="str" cm="1">
        <f t="array" ref="J87">IF($C87="","",IF(_xlfn.XLOOKUP($A87&amp;$B87&amp;$C87,盘货信息!$A:$A&amp;盘货信息!$B:$B&amp;盘货信息!$C:$C,盘货信息!$J:$J)&lt;1,"",ROUND(_xlfn.XLOOKUP($A87&amp;$B87&amp;$C87,盘货信息!$A:$A&amp;盘货信息!$B:$B&amp;盘货信息!$C:$C,盘货信息!$J:$J),0)&amp;"元限时补贴"))</f>
        <v/>
      </c>
      <c r="K87" s="27" t="str" cm="1">
        <f t="array" ref="K87">IF($C87="","",IF(_xlfn.XLOOKUP($A87&amp;$B87&amp;$C87,盘货信息!$A:$A&amp;盘货信息!$B:$B&amp;盘货信息!$C:$C,盘货信息!$K:$K)&lt;1,"",ROUND(_xlfn.XLOOKUP($A87&amp;$B87&amp;$C87,盘货信息!$A:$A&amp;盘货信息!$B:$B&amp;盘货信息!$C:$C,盘货信息!$K:$K),0)&amp;"元预估焕新补贴"))</f>
        <v/>
      </c>
      <c r="L87" s="27" t="str" cm="1">
        <f t="array" ref="L87">IF($C87="","",IF(AND(_xlfn.XLOOKUP($A87&amp;$B87&amp;$C87,盘货信息!$A:$A&amp;盘货信息!$B:$B&amp;盘货信息!$C:$C,盘货信息!$L:$L)="是",_xlfn.XLOOKUP($A87&amp;$B87&amp;$C87,盘货信息!$A:$A&amp;盘货信息!$B:$B&amp;盘货信息!$C:$C,盘货信息!$M:$M)="是",_xlfn.XLOOKUP($A87&amp;$B87&amp;$C87,盘货信息!$A:$A&amp;盘货信息!$B:$B&amp;盘货信息!$C:$C,盘货信息!$K:$K)&gt;0),"【全民可用，不限地址】",IF(AND(OR(_xlfn.XLOOKUP($A87&amp;$B87&amp;$C87,盘货信息!$A:$A&amp;盘货信息!$B:$B&amp;盘货信息!$C:$C,盘货信息!$L:$L)="否",_xlfn.XLOOKUP($A87&amp;$B87&amp;$C87,盘货信息!$A:$A&amp;盘货信息!$B:$B&amp;盘货信息!$C:$C,盘货信息!$L:$L)=""),_xlfn.XLOOKUP($A87&amp;$B87&amp;$C87,盘货信息!$A:$A&amp;盘货信息!$B:$B&amp;盘货信息!$C:$C,盘货信息!$M:$M)="是",_xlfn.XLOOKUP($A87&amp;$B87&amp;$C87,盘货信息!$A:$A&amp;盘货信息!$B:$B&amp;盘货信息!$C:$C,盘货信息!$K:$K)&gt;0),"【详情页领取】","")))</f>
        <v/>
      </c>
      <c r="M87" s="27" t="str" cm="1">
        <f t="array" ref="M87">IF($C87="","",IF(_xlfn.XLOOKUP($A87&amp;$B87&amp;$C87,盘货信息!$A:$A&amp;盘货信息!$B:$B&amp;盘货信息!$C:$C,盘货信息!$F:$F)&lt;1,"",_xlfn.XLOOKUP($A87&amp;$B87&amp;$C87,盘货信息!$A:$A&amp;盘货信息!$B:$B&amp;盘货信息!$C:$C,盘货信息!$F:$F)&amp;"元明卷"))</f>
        <v/>
      </c>
      <c r="N87" s="27" t="str">
        <f t="shared" si="3"/>
        <v/>
      </c>
      <c r="O87" s="27" t="str">
        <f>IF(I87="","","【消费券链接】"&amp;固定信息!$B$6)</f>
        <v/>
      </c>
    </row>
    <row r="88" customHeight="1" spans="1:15">
      <c r="A88" s="26" t="str">
        <f>IF(盘货信息!A88="","",盘货信息!A88)</f>
        <v/>
      </c>
      <c r="B88" s="26" t="str">
        <f>IF(盘货信息!B88="","",盘货信息!B88)</f>
        <v/>
      </c>
      <c r="C88" s="27" t="str">
        <f>IF(盘货信息!C88="","",盘货信息!C88)</f>
        <v/>
      </c>
      <c r="D88" s="27" t="str">
        <f t="shared" si="2"/>
        <v/>
      </c>
      <c r="E88" s="27" t="str" cm="1">
        <f t="array" ref="E88">IF($C88="","",IF(AND(OR(_xlfn.XLOOKUP($A88&amp;$B88&amp;$C88,盘货信息!$A:$A&amp;盘货信息!$B:$B&amp;盘货信息!$C:$C,盘货信息!$L:$L)="否",_xlfn.XLOOKUP($A88&amp;$B88&amp;$C88,盘货信息!$A:$A&amp;盘货信息!$B:$B&amp;盘货信息!$C:$C,盘货信息!$L:$L)=""),_xlfn.XLOOKUP($A88&amp;$B88&amp;$C88,盘货信息!$A:$A&amp;盘货信息!$B:$B&amp;盘货信息!$C:$C,盘货信息!$M:$M)="否"),"【预估到手价"&amp;_xlfn.XLOOKUP($A88&amp;$B88&amp;$C88,盘货信息!$A:$A&amp;盘货信息!$B:$B&amp;盘货信息!$C:$C,盘货信息!$D:$D)&amp;"元】",IF(AND(_xlfn.XLOOKUP($A88&amp;$B88&amp;$C88,盘货信息!$A:$A&amp;盘货信息!$B:$B&amp;盘货信息!$C:$C,盘货信息!$M:$M)="是",OR(_xlfn.XLOOKUP($A88&amp;$B88&amp;$C88,盘货信息!$A:$A&amp;盘货信息!$B:$B&amp;盘货信息!$C:$C,盘货信息!$L:$L)="否",_xlfn.XLOOKUP($A88&amp;$B88&amp;$C88,盘货信息!$A:$A&amp;盘货信息!$B:$B&amp;盘货信息!$C:$C,盘货信息!$L:$L)="")),"【预估到手价"&amp;_xlfn.XLOOKUP($A88&amp;$B88&amp;$C88,盘货信息!$A:$A&amp;盘货信息!$B:$B&amp;盘货信息!$C:$C,盘货信息!$D:$D)&amp;"元】"&amp;CHAR(10)&amp;"【焕新补贴预估价"&amp;ROUND(_xlfn.XLOOKUP($A88&amp;$B88&amp;$C88,盘货信息!$A:$A&amp;盘货信息!$B:$B&amp;盘货信息!$C:$C,盘货信息!$E:$E),0)&amp;"元】","【焕新补贴预估价"&amp;ROUND(_xlfn.XLOOKUP($A88&amp;$B88&amp;$C88,盘货信息!$A:$A&amp;盘货信息!$B:$B&amp;盘货信息!$C:$C,盘货信息!$E:$E),0)&amp;"元】")))</f>
        <v/>
      </c>
      <c r="F88" s="27" t="str" cm="1">
        <f t="array" ref="F88">IF($C88="","",_xlfn.XLOOKUP($A88&amp;$B88&amp;$C88,盘货信息!$A:$A&amp;盘货信息!$B:$B&amp;盘货信息!$C:$C,盘货信息!$D:$D)&amp;"元到手价")</f>
        <v/>
      </c>
      <c r="G88" s="27" t="str" cm="1">
        <f t="array" ref="G88">IF($C88="","",IF(_xlfn.XLOOKUP($A88&amp;$B88&amp;$C88,盘货信息!$A:$A&amp;盘货信息!$B:$B&amp;盘货信息!$C:$C,盘货信息!$G:$G)&lt;1,"",ROUND(_xlfn.XLOOKUP($A88&amp;$B88&amp;$C88,盘货信息!$A:$A&amp;盘货信息!$B:$B&amp;盘货信息!$C:$C,盘货信息!$G:$G),0)&amp;"元88VIP立减"))</f>
        <v/>
      </c>
      <c r="H88" s="27" t="str" cm="1">
        <f t="array" ref="H88">IF($C88="","",IF(_xlfn.XLOOKUP($A88&amp;$B88&amp;$C88,盘货信息!$A:$A&amp;盘货信息!$B:$B&amp;盘货信息!$C:$C,盘货信息!$I:$I)&lt;1,"",_xlfn.XLOOKUP($A88&amp;$B88&amp;$C88,盘货信息!$A:$A&amp;盘货信息!$B:$B&amp;盘货信息!$C:$C,盘货信息!$I:$I)&amp;"元惊喜立减"))</f>
        <v/>
      </c>
      <c r="I88" s="27" t="str" cm="1">
        <f t="array" ref="I88">IF($C88="","",IF(_xlfn.XLOOKUP($A88&amp;$B88&amp;$C88,盘货信息!$A:$A&amp;盘货信息!$B:$B&amp;盘货信息!$C:$C,盘货信息!$H:$H)&lt;1,"",ROUND(_xlfn.XLOOKUP($A88&amp;$B88&amp;$C88,盘货信息!$A:$A&amp;盘货信息!$B:$B&amp;盘货信息!$C:$C,盘货信息!$H:$H),0)&amp;"元消费券"))</f>
        <v/>
      </c>
      <c r="J88" s="27" t="str" cm="1">
        <f t="array" ref="J88">IF($C88="","",IF(_xlfn.XLOOKUP($A88&amp;$B88&amp;$C88,盘货信息!$A:$A&amp;盘货信息!$B:$B&amp;盘货信息!$C:$C,盘货信息!$J:$J)&lt;1,"",ROUND(_xlfn.XLOOKUP($A88&amp;$B88&amp;$C88,盘货信息!$A:$A&amp;盘货信息!$B:$B&amp;盘货信息!$C:$C,盘货信息!$J:$J),0)&amp;"元限时补贴"))</f>
        <v/>
      </c>
      <c r="K88" s="27" t="str" cm="1">
        <f t="array" ref="K88">IF($C88="","",IF(_xlfn.XLOOKUP($A88&amp;$B88&amp;$C88,盘货信息!$A:$A&amp;盘货信息!$B:$B&amp;盘货信息!$C:$C,盘货信息!$K:$K)&lt;1,"",ROUND(_xlfn.XLOOKUP($A88&amp;$B88&amp;$C88,盘货信息!$A:$A&amp;盘货信息!$B:$B&amp;盘货信息!$C:$C,盘货信息!$K:$K),0)&amp;"元预估焕新补贴"))</f>
        <v/>
      </c>
      <c r="L88" s="27" t="str" cm="1">
        <f t="array" ref="L88">IF($C88="","",IF(AND(_xlfn.XLOOKUP($A88&amp;$B88&amp;$C88,盘货信息!$A:$A&amp;盘货信息!$B:$B&amp;盘货信息!$C:$C,盘货信息!$L:$L)="是",_xlfn.XLOOKUP($A88&amp;$B88&amp;$C88,盘货信息!$A:$A&amp;盘货信息!$B:$B&amp;盘货信息!$C:$C,盘货信息!$M:$M)="是",_xlfn.XLOOKUP($A88&amp;$B88&amp;$C88,盘货信息!$A:$A&amp;盘货信息!$B:$B&amp;盘货信息!$C:$C,盘货信息!$K:$K)&gt;0),"【全民可用，不限地址】",IF(AND(OR(_xlfn.XLOOKUP($A88&amp;$B88&amp;$C88,盘货信息!$A:$A&amp;盘货信息!$B:$B&amp;盘货信息!$C:$C,盘货信息!$L:$L)="否",_xlfn.XLOOKUP($A88&amp;$B88&amp;$C88,盘货信息!$A:$A&amp;盘货信息!$B:$B&amp;盘货信息!$C:$C,盘货信息!$L:$L)=""),_xlfn.XLOOKUP($A88&amp;$B88&amp;$C88,盘货信息!$A:$A&amp;盘货信息!$B:$B&amp;盘货信息!$C:$C,盘货信息!$M:$M)="是",_xlfn.XLOOKUP($A88&amp;$B88&amp;$C88,盘货信息!$A:$A&amp;盘货信息!$B:$B&amp;盘货信息!$C:$C,盘货信息!$K:$K)&gt;0),"【详情页领取】","")))</f>
        <v/>
      </c>
      <c r="M88" s="27" t="str" cm="1">
        <f t="array" ref="M88">IF($C88="","",IF(_xlfn.XLOOKUP($A88&amp;$B88&amp;$C88,盘货信息!$A:$A&amp;盘货信息!$B:$B&amp;盘货信息!$C:$C,盘货信息!$F:$F)&lt;1,"",_xlfn.XLOOKUP($A88&amp;$B88&amp;$C88,盘货信息!$A:$A&amp;盘货信息!$B:$B&amp;盘货信息!$C:$C,盘货信息!$F:$F)&amp;"元明卷"))</f>
        <v/>
      </c>
      <c r="N88" s="27" t="str">
        <f t="shared" si="3"/>
        <v/>
      </c>
      <c r="O88" s="27" t="str">
        <f>IF(I88="","","【消费券链接】"&amp;固定信息!$B$6)</f>
        <v/>
      </c>
    </row>
    <row r="89" customHeight="1" spans="1:15">
      <c r="A89" s="26" t="str">
        <f>IF(盘货信息!A89="","",盘货信息!A89)</f>
        <v/>
      </c>
      <c r="B89" s="26" t="str">
        <f>IF(盘货信息!B89="","",盘货信息!B89)</f>
        <v/>
      </c>
      <c r="C89" s="27" t="str">
        <f>IF(盘货信息!C89="","",盘货信息!C89)</f>
        <v/>
      </c>
      <c r="D89" s="27" t="str">
        <f t="shared" si="2"/>
        <v/>
      </c>
      <c r="E89" s="27" t="str" cm="1">
        <f t="array" ref="E89">IF($C89="","",IF(AND(OR(_xlfn.XLOOKUP($A89&amp;$B89&amp;$C89,盘货信息!$A:$A&amp;盘货信息!$B:$B&amp;盘货信息!$C:$C,盘货信息!$L:$L)="否",_xlfn.XLOOKUP($A89&amp;$B89&amp;$C89,盘货信息!$A:$A&amp;盘货信息!$B:$B&amp;盘货信息!$C:$C,盘货信息!$L:$L)=""),_xlfn.XLOOKUP($A89&amp;$B89&amp;$C89,盘货信息!$A:$A&amp;盘货信息!$B:$B&amp;盘货信息!$C:$C,盘货信息!$M:$M)="否"),"【预估到手价"&amp;_xlfn.XLOOKUP($A89&amp;$B89&amp;$C89,盘货信息!$A:$A&amp;盘货信息!$B:$B&amp;盘货信息!$C:$C,盘货信息!$D:$D)&amp;"元】",IF(AND(_xlfn.XLOOKUP($A89&amp;$B89&amp;$C89,盘货信息!$A:$A&amp;盘货信息!$B:$B&amp;盘货信息!$C:$C,盘货信息!$M:$M)="是",OR(_xlfn.XLOOKUP($A89&amp;$B89&amp;$C89,盘货信息!$A:$A&amp;盘货信息!$B:$B&amp;盘货信息!$C:$C,盘货信息!$L:$L)="否",_xlfn.XLOOKUP($A89&amp;$B89&amp;$C89,盘货信息!$A:$A&amp;盘货信息!$B:$B&amp;盘货信息!$C:$C,盘货信息!$L:$L)="")),"【预估到手价"&amp;_xlfn.XLOOKUP($A89&amp;$B89&amp;$C89,盘货信息!$A:$A&amp;盘货信息!$B:$B&amp;盘货信息!$C:$C,盘货信息!$D:$D)&amp;"元】"&amp;CHAR(10)&amp;"【焕新补贴预估价"&amp;ROUND(_xlfn.XLOOKUP($A89&amp;$B89&amp;$C89,盘货信息!$A:$A&amp;盘货信息!$B:$B&amp;盘货信息!$C:$C,盘货信息!$E:$E),0)&amp;"元】","【焕新补贴预估价"&amp;ROUND(_xlfn.XLOOKUP($A89&amp;$B89&amp;$C89,盘货信息!$A:$A&amp;盘货信息!$B:$B&amp;盘货信息!$C:$C,盘货信息!$E:$E),0)&amp;"元】")))</f>
        <v/>
      </c>
      <c r="F89" s="27" t="str" cm="1">
        <f t="array" ref="F89">IF($C89="","",_xlfn.XLOOKUP($A89&amp;$B89&amp;$C89,盘货信息!$A:$A&amp;盘货信息!$B:$B&amp;盘货信息!$C:$C,盘货信息!$D:$D)&amp;"元到手价")</f>
        <v/>
      </c>
      <c r="G89" s="27" t="str" cm="1">
        <f t="array" ref="G89">IF($C89="","",IF(_xlfn.XLOOKUP($A89&amp;$B89&amp;$C89,盘货信息!$A:$A&amp;盘货信息!$B:$B&amp;盘货信息!$C:$C,盘货信息!$G:$G)&lt;1,"",ROUND(_xlfn.XLOOKUP($A89&amp;$B89&amp;$C89,盘货信息!$A:$A&amp;盘货信息!$B:$B&amp;盘货信息!$C:$C,盘货信息!$G:$G),0)&amp;"元88VIP立减"))</f>
        <v/>
      </c>
      <c r="H89" s="27" t="str" cm="1">
        <f t="array" ref="H89">IF($C89="","",IF(_xlfn.XLOOKUP($A89&amp;$B89&amp;$C89,盘货信息!$A:$A&amp;盘货信息!$B:$B&amp;盘货信息!$C:$C,盘货信息!$I:$I)&lt;1,"",_xlfn.XLOOKUP($A89&amp;$B89&amp;$C89,盘货信息!$A:$A&amp;盘货信息!$B:$B&amp;盘货信息!$C:$C,盘货信息!$I:$I)&amp;"元惊喜立减"))</f>
        <v/>
      </c>
      <c r="I89" s="27" t="str" cm="1">
        <f t="array" ref="I89">IF($C89="","",IF(_xlfn.XLOOKUP($A89&amp;$B89&amp;$C89,盘货信息!$A:$A&amp;盘货信息!$B:$B&amp;盘货信息!$C:$C,盘货信息!$H:$H)&lt;1,"",ROUND(_xlfn.XLOOKUP($A89&amp;$B89&amp;$C89,盘货信息!$A:$A&amp;盘货信息!$B:$B&amp;盘货信息!$C:$C,盘货信息!$H:$H),0)&amp;"元消费券"))</f>
        <v/>
      </c>
      <c r="J89" s="27" t="str" cm="1">
        <f t="array" ref="J89">IF($C89="","",IF(_xlfn.XLOOKUP($A89&amp;$B89&amp;$C89,盘货信息!$A:$A&amp;盘货信息!$B:$B&amp;盘货信息!$C:$C,盘货信息!$J:$J)&lt;1,"",ROUND(_xlfn.XLOOKUP($A89&amp;$B89&amp;$C89,盘货信息!$A:$A&amp;盘货信息!$B:$B&amp;盘货信息!$C:$C,盘货信息!$J:$J),0)&amp;"元限时补贴"))</f>
        <v/>
      </c>
      <c r="K89" s="27" t="str" cm="1">
        <f t="array" ref="K89">IF($C89="","",IF(_xlfn.XLOOKUP($A89&amp;$B89&amp;$C89,盘货信息!$A:$A&amp;盘货信息!$B:$B&amp;盘货信息!$C:$C,盘货信息!$K:$K)&lt;1,"",ROUND(_xlfn.XLOOKUP($A89&amp;$B89&amp;$C89,盘货信息!$A:$A&amp;盘货信息!$B:$B&amp;盘货信息!$C:$C,盘货信息!$K:$K),0)&amp;"元预估焕新补贴"))</f>
        <v/>
      </c>
      <c r="L89" s="27" t="str" cm="1">
        <f t="array" ref="L89">IF($C89="","",IF(AND(_xlfn.XLOOKUP($A89&amp;$B89&amp;$C89,盘货信息!$A:$A&amp;盘货信息!$B:$B&amp;盘货信息!$C:$C,盘货信息!$L:$L)="是",_xlfn.XLOOKUP($A89&amp;$B89&amp;$C89,盘货信息!$A:$A&amp;盘货信息!$B:$B&amp;盘货信息!$C:$C,盘货信息!$M:$M)="是",_xlfn.XLOOKUP($A89&amp;$B89&amp;$C89,盘货信息!$A:$A&amp;盘货信息!$B:$B&amp;盘货信息!$C:$C,盘货信息!$K:$K)&gt;0),"【全民可用，不限地址】",IF(AND(OR(_xlfn.XLOOKUP($A89&amp;$B89&amp;$C89,盘货信息!$A:$A&amp;盘货信息!$B:$B&amp;盘货信息!$C:$C,盘货信息!$L:$L)="否",_xlfn.XLOOKUP($A89&amp;$B89&amp;$C89,盘货信息!$A:$A&amp;盘货信息!$B:$B&amp;盘货信息!$C:$C,盘货信息!$L:$L)=""),_xlfn.XLOOKUP($A89&amp;$B89&amp;$C89,盘货信息!$A:$A&amp;盘货信息!$B:$B&amp;盘货信息!$C:$C,盘货信息!$M:$M)="是",_xlfn.XLOOKUP($A89&amp;$B89&amp;$C89,盘货信息!$A:$A&amp;盘货信息!$B:$B&amp;盘货信息!$C:$C,盘货信息!$K:$K)&gt;0),"【详情页领取】","")))</f>
        <v/>
      </c>
      <c r="M89" s="27" t="str" cm="1">
        <f t="array" ref="M89">IF($C89="","",IF(_xlfn.XLOOKUP($A89&amp;$B89&amp;$C89,盘货信息!$A:$A&amp;盘货信息!$B:$B&amp;盘货信息!$C:$C,盘货信息!$F:$F)&lt;1,"",_xlfn.XLOOKUP($A89&amp;$B89&amp;$C89,盘货信息!$A:$A&amp;盘货信息!$B:$B&amp;盘货信息!$C:$C,盘货信息!$F:$F)&amp;"元明卷"))</f>
        <v/>
      </c>
      <c r="N89" s="27" t="str">
        <f t="shared" si="3"/>
        <v/>
      </c>
      <c r="O89" s="27" t="str">
        <f>IF(I89="","","【消费券链接】"&amp;固定信息!$B$6)</f>
        <v/>
      </c>
    </row>
    <row r="90" customHeight="1" spans="1:15">
      <c r="A90" s="26" t="str">
        <f>IF(盘货信息!A90="","",盘货信息!A90)</f>
        <v/>
      </c>
      <c r="B90" s="26" t="str">
        <f>IF(盘货信息!B90="","",盘货信息!B90)</f>
        <v/>
      </c>
      <c r="C90" s="27" t="str">
        <f>IF(盘货信息!C90="","",盘货信息!C90)</f>
        <v/>
      </c>
      <c r="D90" s="27" t="str">
        <f t="shared" si="2"/>
        <v/>
      </c>
      <c r="E90" s="27" t="str" cm="1">
        <f t="array" ref="E90">IF($C90="","",IF(AND(OR(_xlfn.XLOOKUP($A90&amp;$B90&amp;$C90,盘货信息!$A:$A&amp;盘货信息!$B:$B&amp;盘货信息!$C:$C,盘货信息!$L:$L)="否",_xlfn.XLOOKUP($A90&amp;$B90&amp;$C90,盘货信息!$A:$A&amp;盘货信息!$B:$B&amp;盘货信息!$C:$C,盘货信息!$L:$L)=""),_xlfn.XLOOKUP($A90&amp;$B90&amp;$C90,盘货信息!$A:$A&amp;盘货信息!$B:$B&amp;盘货信息!$C:$C,盘货信息!$M:$M)="否"),"【预估到手价"&amp;_xlfn.XLOOKUP($A90&amp;$B90&amp;$C90,盘货信息!$A:$A&amp;盘货信息!$B:$B&amp;盘货信息!$C:$C,盘货信息!$D:$D)&amp;"元】",IF(AND(_xlfn.XLOOKUP($A90&amp;$B90&amp;$C90,盘货信息!$A:$A&amp;盘货信息!$B:$B&amp;盘货信息!$C:$C,盘货信息!$M:$M)="是",OR(_xlfn.XLOOKUP($A90&amp;$B90&amp;$C90,盘货信息!$A:$A&amp;盘货信息!$B:$B&amp;盘货信息!$C:$C,盘货信息!$L:$L)="否",_xlfn.XLOOKUP($A90&amp;$B90&amp;$C90,盘货信息!$A:$A&amp;盘货信息!$B:$B&amp;盘货信息!$C:$C,盘货信息!$L:$L)="")),"【预估到手价"&amp;_xlfn.XLOOKUP($A90&amp;$B90&amp;$C90,盘货信息!$A:$A&amp;盘货信息!$B:$B&amp;盘货信息!$C:$C,盘货信息!$D:$D)&amp;"元】"&amp;CHAR(10)&amp;"【焕新补贴预估价"&amp;ROUND(_xlfn.XLOOKUP($A90&amp;$B90&amp;$C90,盘货信息!$A:$A&amp;盘货信息!$B:$B&amp;盘货信息!$C:$C,盘货信息!$E:$E),0)&amp;"元】","【焕新补贴预估价"&amp;ROUND(_xlfn.XLOOKUP($A90&amp;$B90&amp;$C90,盘货信息!$A:$A&amp;盘货信息!$B:$B&amp;盘货信息!$C:$C,盘货信息!$E:$E),0)&amp;"元】")))</f>
        <v/>
      </c>
      <c r="F90" s="27" t="str" cm="1">
        <f t="array" ref="F90">IF($C90="","",_xlfn.XLOOKUP($A90&amp;$B90&amp;$C90,盘货信息!$A:$A&amp;盘货信息!$B:$B&amp;盘货信息!$C:$C,盘货信息!$D:$D)&amp;"元到手价")</f>
        <v/>
      </c>
      <c r="G90" s="27" t="str" cm="1">
        <f t="array" ref="G90">IF($C90="","",IF(_xlfn.XLOOKUP($A90&amp;$B90&amp;$C90,盘货信息!$A:$A&amp;盘货信息!$B:$B&amp;盘货信息!$C:$C,盘货信息!$G:$G)&lt;1,"",ROUND(_xlfn.XLOOKUP($A90&amp;$B90&amp;$C90,盘货信息!$A:$A&amp;盘货信息!$B:$B&amp;盘货信息!$C:$C,盘货信息!$G:$G),0)&amp;"元88VIP立减"))</f>
        <v/>
      </c>
      <c r="H90" s="27" t="str" cm="1">
        <f t="array" ref="H90">IF($C90="","",IF(_xlfn.XLOOKUP($A90&amp;$B90&amp;$C90,盘货信息!$A:$A&amp;盘货信息!$B:$B&amp;盘货信息!$C:$C,盘货信息!$I:$I)&lt;1,"",_xlfn.XLOOKUP($A90&amp;$B90&amp;$C90,盘货信息!$A:$A&amp;盘货信息!$B:$B&amp;盘货信息!$C:$C,盘货信息!$I:$I)&amp;"元惊喜立减"))</f>
        <v/>
      </c>
      <c r="I90" s="27" t="str" cm="1">
        <f t="array" ref="I90">IF($C90="","",IF(_xlfn.XLOOKUP($A90&amp;$B90&amp;$C90,盘货信息!$A:$A&amp;盘货信息!$B:$B&amp;盘货信息!$C:$C,盘货信息!$H:$H)&lt;1,"",ROUND(_xlfn.XLOOKUP($A90&amp;$B90&amp;$C90,盘货信息!$A:$A&amp;盘货信息!$B:$B&amp;盘货信息!$C:$C,盘货信息!$H:$H),0)&amp;"元消费券"))</f>
        <v/>
      </c>
      <c r="J90" s="27" t="str" cm="1">
        <f t="array" ref="J90">IF($C90="","",IF(_xlfn.XLOOKUP($A90&amp;$B90&amp;$C90,盘货信息!$A:$A&amp;盘货信息!$B:$B&amp;盘货信息!$C:$C,盘货信息!$J:$J)&lt;1,"",ROUND(_xlfn.XLOOKUP($A90&amp;$B90&amp;$C90,盘货信息!$A:$A&amp;盘货信息!$B:$B&amp;盘货信息!$C:$C,盘货信息!$J:$J),0)&amp;"元限时补贴"))</f>
        <v/>
      </c>
      <c r="K90" s="27" t="str" cm="1">
        <f t="array" ref="K90">IF($C90="","",IF(_xlfn.XLOOKUP($A90&amp;$B90&amp;$C90,盘货信息!$A:$A&amp;盘货信息!$B:$B&amp;盘货信息!$C:$C,盘货信息!$K:$K)&lt;1,"",ROUND(_xlfn.XLOOKUP($A90&amp;$B90&amp;$C90,盘货信息!$A:$A&amp;盘货信息!$B:$B&amp;盘货信息!$C:$C,盘货信息!$K:$K),0)&amp;"元预估焕新补贴"))</f>
        <v/>
      </c>
      <c r="L90" s="27" t="str" cm="1">
        <f t="array" ref="L90">IF($C90="","",IF(AND(_xlfn.XLOOKUP($A90&amp;$B90&amp;$C90,盘货信息!$A:$A&amp;盘货信息!$B:$B&amp;盘货信息!$C:$C,盘货信息!$L:$L)="是",_xlfn.XLOOKUP($A90&amp;$B90&amp;$C90,盘货信息!$A:$A&amp;盘货信息!$B:$B&amp;盘货信息!$C:$C,盘货信息!$M:$M)="是",_xlfn.XLOOKUP($A90&amp;$B90&amp;$C90,盘货信息!$A:$A&amp;盘货信息!$B:$B&amp;盘货信息!$C:$C,盘货信息!$K:$K)&gt;0),"【全民可用，不限地址】",IF(AND(OR(_xlfn.XLOOKUP($A90&amp;$B90&amp;$C90,盘货信息!$A:$A&amp;盘货信息!$B:$B&amp;盘货信息!$C:$C,盘货信息!$L:$L)="否",_xlfn.XLOOKUP($A90&amp;$B90&amp;$C90,盘货信息!$A:$A&amp;盘货信息!$B:$B&amp;盘货信息!$C:$C,盘货信息!$L:$L)=""),_xlfn.XLOOKUP($A90&amp;$B90&amp;$C90,盘货信息!$A:$A&amp;盘货信息!$B:$B&amp;盘货信息!$C:$C,盘货信息!$M:$M)="是",_xlfn.XLOOKUP($A90&amp;$B90&amp;$C90,盘货信息!$A:$A&amp;盘货信息!$B:$B&amp;盘货信息!$C:$C,盘货信息!$K:$K)&gt;0),"【详情页领取】","")))</f>
        <v/>
      </c>
      <c r="M90" s="27" t="str" cm="1">
        <f t="array" ref="M90">IF($C90="","",IF(_xlfn.XLOOKUP($A90&amp;$B90&amp;$C90,盘货信息!$A:$A&amp;盘货信息!$B:$B&amp;盘货信息!$C:$C,盘货信息!$F:$F)&lt;1,"",_xlfn.XLOOKUP($A90&amp;$B90&amp;$C90,盘货信息!$A:$A&amp;盘货信息!$B:$B&amp;盘货信息!$C:$C,盘货信息!$F:$F)&amp;"元明卷"))</f>
        <v/>
      </c>
      <c r="N90" s="27" t="str">
        <f t="shared" si="3"/>
        <v/>
      </c>
      <c r="O90" s="27" t="str">
        <f>IF(I90="","","【消费券链接】"&amp;固定信息!$B$6)</f>
        <v/>
      </c>
    </row>
    <row r="91" customHeight="1" spans="1:15">
      <c r="A91" s="26" t="str">
        <f>IF(盘货信息!A91="","",盘货信息!A91)</f>
        <v/>
      </c>
      <c r="B91" s="26" t="str">
        <f>IF(盘货信息!B91="","",盘货信息!B91)</f>
        <v/>
      </c>
      <c r="C91" s="27" t="str">
        <f>IF(盘货信息!C91="","",盘货信息!C91)</f>
        <v/>
      </c>
      <c r="D91" s="27" t="str">
        <f t="shared" si="2"/>
        <v/>
      </c>
      <c r="E91" s="27" t="str" cm="1">
        <f t="array" ref="E91">IF($C91="","",IF(AND(OR(_xlfn.XLOOKUP($A91&amp;$B91&amp;$C91,盘货信息!$A:$A&amp;盘货信息!$B:$B&amp;盘货信息!$C:$C,盘货信息!$L:$L)="否",_xlfn.XLOOKUP($A91&amp;$B91&amp;$C91,盘货信息!$A:$A&amp;盘货信息!$B:$B&amp;盘货信息!$C:$C,盘货信息!$L:$L)=""),_xlfn.XLOOKUP($A91&amp;$B91&amp;$C91,盘货信息!$A:$A&amp;盘货信息!$B:$B&amp;盘货信息!$C:$C,盘货信息!$M:$M)="否"),"【预估到手价"&amp;_xlfn.XLOOKUP($A91&amp;$B91&amp;$C91,盘货信息!$A:$A&amp;盘货信息!$B:$B&amp;盘货信息!$C:$C,盘货信息!$D:$D)&amp;"元】",IF(AND(_xlfn.XLOOKUP($A91&amp;$B91&amp;$C91,盘货信息!$A:$A&amp;盘货信息!$B:$B&amp;盘货信息!$C:$C,盘货信息!$M:$M)="是",OR(_xlfn.XLOOKUP($A91&amp;$B91&amp;$C91,盘货信息!$A:$A&amp;盘货信息!$B:$B&amp;盘货信息!$C:$C,盘货信息!$L:$L)="否",_xlfn.XLOOKUP($A91&amp;$B91&amp;$C91,盘货信息!$A:$A&amp;盘货信息!$B:$B&amp;盘货信息!$C:$C,盘货信息!$L:$L)="")),"【预估到手价"&amp;_xlfn.XLOOKUP($A91&amp;$B91&amp;$C91,盘货信息!$A:$A&amp;盘货信息!$B:$B&amp;盘货信息!$C:$C,盘货信息!$D:$D)&amp;"元】"&amp;CHAR(10)&amp;"【焕新补贴预估价"&amp;ROUND(_xlfn.XLOOKUP($A91&amp;$B91&amp;$C91,盘货信息!$A:$A&amp;盘货信息!$B:$B&amp;盘货信息!$C:$C,盘货信息!$E:$E),0)&amp;"元】","【焕新补贴预估价"&amp;ROUND(_xlfn.XLOOKUP($A91&amp;$B91&amp;$C91,盘货信息!$A:$A&amp;盘货信息!$B:$B&amp;盘货信息!$C:$C,盘货信息!$E:$E),0)&amp;"元】")))</f>
        <v/>
      </c>
      <c r="F91" s="27" t="str" cm="1">
        <f t="array" ref="F91">IF($C91="","",_xlfn.XLOOKUP($A91&amp;$B91&amp;$C91,盘货信息!$A:$A&amp;盘货信息!$B:$B&amp;盘货信息!$C:$C,盘货信息!$D:$D)&amp;"元到手价")</f>
        <v/>
      </c>
      <c r="G91" s="27" t="str" cm="1">
        <f t="array" ref="G91">IF($C91="","",IF(_xlfn.XLOOKUP($A91&amp;$B91&amp;$C91,盘货信息!$A:$A&amp;盘货信息!$B:$B&amp;盘货信息!$C:$C,盘货信息!$G:$G)&lt;1,"",ROUND(_xlfn.XLOOKUP($A91&amp;$B91&amp;$C91,盘货信息!$A:$A&amp;盘货信息!$B:$B&amp;盘货信息!$C:$C,盘货信息!$G:$G),0)&amp;"元88VIP立减"))</f>
        <v/>
      </c>
      <c r="H91" s="27" t="str" cm="1">
        <f t="array" ref="H91">IF($C91="","",IF(_xlfn.XLOOKUP($A91&amp;$B91&amp;$C91,盘货信息!$A:$A&amp;盘货信息!$B:$B&amp;盘货信息!$C:$C,盘货信息!$I:$I)&lt;1,"",_xlfn.XLOOKUP($A91&amp;$B91&amp;$C91,盘货信息!$A:$A&amp;盘货信息!$B:$B&amp;盘货信息!$C:$C,盘货信息!$I:$I)&amp;"元惊喜立减"))</f>
        <v/>
      </c>
      <c r="I91" s="27" t="str" cm="1">
        <f t="array" ref="I91">IF($C91="","",IF(_xlfn.XLOOKUP($A91&amp;$B91&amp;$C91,盘货信息!$A:$A&amp;盘货信息!$B:$B&amp;盘货信息!$C:$C,盘货信息!$H:$H)&lt;1,"",ROUND(_xlfn.XLOOKUP($A91&amp;$B91&amp;$C91,盘货信息!$A:$A&amp;盘货信息!$B:$B&amp;盘货信息!$C:$C,盘货信息!$H:$H),0)&amp;"元消费券"))</f>
        <v/>
      </c>
      <c r="J91" s="27" t="str" cm="1">
        <f t="array" ref="J91">IF($C91="","",IF(_xlfn.XLOOKUP($A91&amp;$B91&amp;$C91,盘货信息!$A:$A&amp;盘货信息!$B:$B&amp;盘货信息!$C:$C,盘货信息!$J:$J)&lt;1,"",ROUND(_xlfn.XLOOKUP($A91&amp;$B91&amp;$C91,盘货信息!$A:$A&amp;盘货信息!$B:$B&amp;盘货信息!$C:$C,盘货信息!$J:$J),0)&amp;"元限时补贴"))</f>
        <v/>
      </c>
      <c r="K91" s="27" t="str" cm="1">
        <f t="array" ref="K91">IF($C91="","",IF(_xlfn.XLOOKUP($A91&amp;$B91&amp;$C91,盘货信息!$A:$A&amp;盘货信息!$B:$B&amp;盘货信息!$C:$C,盘货信息!$K:$K)&lt;1,"",ROUND(_xlfn.XLOOKUP($A91&amp;$B91&amp;$C91,盘货信息!$A:$A&amp;盘货信息!$B:$B&amp;盘货信息!$C:$C,盘货信息!$K:$K),0)&amp;"元预估焕新补贴"))</f>
        <v/>
      </c>
      <c r="L91" s="27" t="str" cm="1">
        <f t="array" ref="L91">IF($C91="","",IF(AND(_xlfn.XLOOKUP($A91&amp;$B91&amp;$C91,盘货信息!$A:$A&amp;盘货信息!$B:$B&amp;盘货信息!$C:$C,盘货信息!$L:$L)="是",_xlfn.XLOOKUP($A91&amp;$B91&amp;$C91,盘货信息!$A:$A&amp;盘货信息!$B:$B&amp;盘货信息!$C:$C,盘货信息!$M:$M)="是",_xlfn.XLOOKUP($A91&amp;$B91&amp;$C91,盘货信息!$A:$A&amp;盘货信息!$B:$B&amp;盘货信息!$C:$C,盘货信息!$K:$K)&gt;0),"【全民可用，不限地址】",IF(AND(OR(_xlfn.XLOOKUP($A91&amp;$B91&amp;$C91,盘货信息!$A:$A&amp;盘货信息!$B:$B&amp;盘货信息!$C:$C,盘货信息!$L:$L)="否",_xlfn.XLOOKUP($A91&amp;$B91&amp;$C91,盘货信息!$A:$A&amp;盘货信息!$B:$B&amp;盘货信息!$C:$C,盘货信息!$L:$L)=""),_xlfn.XLOOKUP($A91&amp;$B91&amp;$C91,盘货信息!$A:$A&amp;盘货信息!$B:$B&amp;盘货信息!$C:$C,盘货信息!$M:$M)="是",_xlfn.XLOOKUP($A91&amp;$B91&amp;$C91,盘货信息!$A:$A&amp;盘货信息!$B:$B&amp;盘货信息!$C:$C,盘货信息!$K:$K)&gt;0),"【详情页领取】","")))</f>
        <v/>
      </c>
      <c r="M91" s="27" t="str" cm="1">
        <f t="array" ref="M91">IF($C91="","",IF(_xlfn.XLOOKUP($A91&amp;$B91&amp;$C91,盘货信息!$A:$A&amp;盘货信息!$B:$B&amp;盘货信息!$C:$C,盘货信息!$F:$F)&lt;1,"",_xlfn.XLOOKUP($A91&amp;$B91&amp;$C91,盘货信息!$A:$A&amp;盘货信息!$B:$B&amp;盘货信息!$C:$C,盘货信息!$F:$F)&amp;"元明卷"))</f>
        <v/>
      </c>
      <c r="N91" s="27" t="str">
        <f t="shared" si="3"/>
        <v/>
      </c>
      <c r="O91" s="27" t="str">
        <f>IF(I91="","","【消费券链接】"&amp;固定信息!$B$6)</f>
        <v/>
      </c>
    </row>
    <row r="92" customHeight="1" spans="1:15">
      <c r="A92" s="26" t="str">
        <f>IF(盘货信息!A92="","",盘货信息!A92)</f>
        <v/>
      </c>
      <c r="B92" s="26" t="str">
        <f>IF(盘货信息!B92="","",盘货信息!B92)</f>
        <v/>
      </c>
      <c r="C92" s="27" t="str">
        <f>IF(盘货信息!C92="","",盘货信息!C92)</f>
        <v/>
      </c>
      <c r="D92" s="27" t="str">
        <f t="shared" si="2"/>
        <v/>
      </c>
      <c r="E92" s="27" t="str" cm="1">
        <f t="array" ref="E92">IF($C92="","",IF(AND(OR(_xlfn.XLOOKUP($A92&amp;$B92&amp;$C92,盘货信息!$A:$A&amp;盘货信息!$B:$B&amp;盘货信息!$C:$C,盘货信息!$L:$L)="否",_xlfn.XLOOKUP($A92&amp;$B92&amp;$C92,盘货信息!$A:$A&amp;盘货信息!$B:$B&amp;盘货信息!$C:$C,盘货信息!$L:$L)=""),_xlfn.XLOOKUP($A92&amp;$B92&amp;$C92,盘货信息!$A:$A&amp;盘货信息!$B:$B&amp;盘货信息!$C:$C,盘货信息!$M:$M)="否"),"【预估到手价"&amp;_xlfn.XLOOKUP($A92&amp;$B92&amp;$C92,盘货信息!$A:$A&amp;盘货信息!$B:$B&amp;盘货信息!$C:$C,盘货信息!$D:$D)&amp;"元】",IF(AND(_xlfn.XLOOKUP($A92&amp;$B92&amp;$C92,盘货信息!$A:$A&amp;盘货信息!$B:$B&amp;盘货信息!$C:$C,盘货信息!$M:$M)="是",OR(_xlfn.XLOOKUP($A92&amp;$B92&amp;$C92,盘货信息!$A:$A&amp;盘货信息!$B:$B&amp;盘货信息!$C:$C,盘货信息!$L:$L)="否",_xlfn.XLOOKUP($A92&amp;$B92&amp;$C92,盘货信息!$A:$A&amp;盘货信息!$B:$B&amp;盘货信息!$C:$C,盘货信息!$L:$L)="")),"【预估到手价"&amp;_xlfn.XLOOKUP($A92&amp;$B92&amp;$C92,盘货信息!$A:$A&amp;盘货信息!$B:$B&amp;盘货信息!$C:$C,盘货信息!$D:$D)&amp;"元】"&amp;CHAR(10)&amp;"【焕新补贴预估价"&amp;ROUND(_xlfn.XLOOKUP($A92&amp;$B92&amp;$C92,盘货信息!$A:$A&amp;盘货信息!$B:$B&amp;盘货信息!$C:$C,盘货信息!$E:$E),0)&amp;"元】","【焕新补贴预估价"&amp;ROUND(_xlfn.XLOOKUP($A92&amp;$B92&amp;$C92,盘货信息!$A:$A&amp;盘货信息!$B:$B&amp;盘货信息!$C:$C,盘货信息!$E:$E),0)&amp;"元】")))</f>
        <v/>
      </c>
      <c r="F92" s="27" t="str" cm="1">
        <f t="array" ref="F92">IF($C92="","",_xlfn.XLOOKUP($A92&amp;$B92&amp;$C92,盘货信息!$A:$A&amp;盘货信息!$B:$B&amp;盘货信息!$C:$C,盘货信息!$D:$D)&amp;"元到手价")</f>
        <v/>
      </c>
      <c r="G92" s="27" t="str" cm="1">
        <f t="array" ref="G92">IF($C92="","",IF(_xlfn.XLOOKUP($A92&amp;$B92&amp;$C92,盘货信息!$A:$A&amp;盘货信息!$B:$B&amp;盘货信息!$C:$C,盘货信息!$G:$G)&lt;1,"",ROUND(_xlfn.XLOOKUP($A92&amp;$B92&amp;$C92,盘货信息!$A:$A&amp;盘货信息!$B:$B&amp;盘货信息!$C:$C,盘货信息!$G:$G),0)&amp;"元88VIP立减"))</f>
        <v/>
      </c>
      <c r="H92" s="27" t="str" cm="1">
        <f t="array" ref="H92">IF($C92="","",IF(_xlfn.XLOOKUP($A92&amp;$B92&amp;$C92,盘货信息!$A:$A&amp;盘货信息!$B:$B&amp;盘货信息!$C:$C,盘货信息!$I:$I)&lt;1,"",_xlfn.XLOOKUP($A92&amp;$B92&amp;$C92,盘货信息!$A:$A&amp;盘货信息!$B:$B&amp;盘货信息!$C:$C,盘货信息!$I:$I)&amp;"元惊喜立减"))</f>
        <v/>
      </c>
      <c r="I92" s="27" t="str" cm="1">
        <f t="array" ref="I92">IF($C92="","",IF(_xlfn.XLOOKUP($A92&amp;$B92&amp;$C92,盘货信息!$A:$A&amp;盘货信息!$B:$B&amp;盘货信息!$C:$C,盘货信息!$H:$H)&lt;1,"",ROUND(_xlfn.XLOOKUP($A92&amp;$B92&amp;$C92,盘货信息!$A:$A&amp;盘货信息!$B:$B&amp;盘货信息!$C:$C,盘货信息!$H:$H),0)&amp;"元消费券"))</f>
        <v/>
      </c>
      <c r="J92" s="27" t="str" cm="1">
        <f t="array" ref="J92">IF($C92="","",IF(_xlfn.XLOOKUP($A92&amp;$B92&amp;$C92,盘货信息!$A:$A&amp;盘货信息!$B:$B&amp;盘货信息!$C:$C,盘货信息!$J:$J)&lt;1,"",ROUND(_xlfn.XLOOKUP($A92&amp;$B92&amp;$C92,盘货信息!$A:$A&amp;盘货信息!$B:$B&amp;盘货信息!$C:$C,盘货信息!$J:$J),0)&amp;"元限时补贴"))</f>
        <v/>
      </c>
      <c r="K92" s="27" t="str" cm="1">
        <f t="array" ref="K92">IF($C92="","",IF(_xlfn.XLOOKUP($A92&amp;$B92&amp;$C92,盘货信息!$A:$A&amp;盘货信息!$B:$B&amp;盘货信息!$C:$C,盘货信息!$K:$K)&lt;1,"",ROUND(_xlfn.XLOOKUP($A92&amp;$B92&amp;$C92,盘货信息!$A:$A&amp;盘货信息!$B:$B&amp;盘货信息!$C:$C,盘货信息!$K:$K),0)&amp;"元预估焕新补贴"))</f>
        <v/>
      </c>
      <c r="L92" s="27" t="str" cm="1">
        <f t="array" ref="L92">IF($C92="","",IF(AND(_xlfn.XLOOKUP($A92&amp;$B92&amp;$C92,盘货信息!$A:$A&amp;盘货信息!$B:$B&amp;盘货信息!$C:$C,盘货信息!$L:$L)="是",_xlfn.XLOOKUP($A92&amp;$B92&amp;$C92,盘货信息!$A:$A&amp;盘货信息!$B:$B&amp;盘货信息!$C:$C,盘货信息!$M:$M)="是",_xlfn.XLOOKUP($A92&amp;$B92&amp;$C92,盘货信息!$A:$A&amp;盘货信息!$B:$B&amp;盘货信息!$C:$C,盘货信息!$K:$K)&gt;0),"【全民可用，不限地址】",IF(AND(OR(_xlfn.XLOOKUP($A92&amp;$B92&amp;$C92,盘货信息!$A:$A&amp;盘货信息!$B:$B&amp;盘货信息!$C:$C,盘货信息!$L:$L)="否",_xlfn.XLOOKUP($A92&amp;$B92&amp;$C92,盘货信息!$A:$A&amp;盘货信息!$B:$B&amp;盘货信息!$C:$C,盘货信息!$L:$L)=""),_xlfn.XLOOKUP($A92&amp;$B92&amp;$C92,盘货信息!$A:$A&amp;盘货信息!$B:$B&amp;盘货信息!$C:$C,盘货信息!$M:$M)="是",_xlfn.XLOOKUP($A92&amp;$B92&amp;$C92,盘货信息!$A:$A&amp;盘货信息!$B:$B&amp;盘货信息!$C:$C,盘货信息!$K:$K)&gt;0),"【详情页领取】","")))</f>
        <v/>
      </c>
      <c r="M92" s="27" t="str" cm="1">
        <f t="array" ref="M92">IF($C92="","",IF(_xlfn.XLOOKUP($A92&amp;$B92&amp;$C92,盘货信息!$A:$A&amp;盘货信息!$B:$B&amp;盘货信息!$C:$C,盘货信息!$F:$F)&lt;1,"",_xlfn.XLOOKUP($A92&amp;$B92&amp;$C92,盘货信息!$A:$A&amp;盘货信息!$B:$B&amp;盘货信息!$C:$C,盘货信息!$F:$F)&amp;"元明卷"))</f>
        <v/>
      </c>
      <c r="N92" s="27" t="str">
        <f t="shared" si="3"/>
        <v/>
      </c>
      <c r="O92" s="27" t="str">
        <f>IF(I92="","","【消费券链接】"&amp;固定信息!$B$6)</f>
        <v/>
      </c>
    </row>
    <row r="93" customHeight="1" spans="1:15">
      <c r="A93" s="26" t="str">
        <f>IF(盘货信息!A93="","",盘货信息!A93)</f>
        <v/>
      </c>
      <c r="B93" s="26" t="str">
        <f>IF(盘货信息!B93="","",盘货信息!B93)</f>
        <v/>
      </c>
      <c r="C93" s="23" t="str">
        <f>IF(盘货信息!C93="","",盘货信息!C93)</f>
        <v/>
      </c>
      <c r="D93" s="27" t="str">
        <f t="shared" si="2"/>
        <v/>
      </c>
      <c r="E93" s="27" t="str" cm="1">
        <f t="array" ref="E93">IF($C93="","",IF(AND(OR(_xlfn.XLOOKUP($A93&amp;$B93&amp;$C93,盘货信息!$A:$A&amp;盘货信息!$B:$B&amp;盘货信息!$C:$C,盘货信息!$L:$L)="否",_xlfn.XLOOKUP($A93&amp;$B93&amp;$C93,盘货信息!$A:$A&amp;盘货信息!$B:$B&amp;盘货信息!$C:$C,盘货信息!$L:$L)=""),_xlfn.XLOOKUP($A93&amp;$B93&amp;$C93,盘货信息!$A:$A&amp;盘货信息!$B:$B&amp;盘货信息!$C:$C,盘货信息!$M:$M)="否"),"【预估到手价"&amp;_xlfn.XLOOKUP($A93&amp;$B93&amp;$C93,盘货信息!$A:$A&amp;盘货信息!$B:$B&amp;盘货信息!$C:$C,盘货信息!$D:$D)&amp;"元】",IF(AND(_xlfn.XLOOKUP($A93&amp;$B93&amp;$C93,盘货信息!$A:$A&amp;盘货信息!$B:$B&amp;盘货信息!$C:$C,盘货信息!$M:$M)="是",OR(_xlfn.XLOOKUP($A93&amp;$B93&amp;$C93,盘货信息!$A:$A&amp;盘货信息!$B:$B&amp;盘货信息!$C:$C,盘货信息!$L:$L)="否",_xlfn.XLOOKUP($A93&amp;$B93&amp;$C93,盘货信息!$A:$A&amp;盘货信息!$B:$B&amp;盘货信息!$C:$C,盘货信息!$L:$L)="")),"【预估到手价"&amp;_xlfn.XLOOKUP($A93&amp;$B93&amp;$C93,盘货信息!$A:$A&amp;盘货信息!$B:$B&amp;盘货信息!$C:$C,盘货信息!$D:$D)&amp;"元】"&amp;CHAR(10)&amp;"【焕新补贴预估价"&amp;ROUND(_xlfn.XLOOKUP($A93&amp;$B93&amp;$C93,盘货信息!$A:$A&amp;盘货信息!$B:$B&amp;盘货信息!$C:$C,盘货信息!$E:$E),0)&amp;"元】","【焕新补贴预估价"&amp;ROUND(_xlfn.XLOOKUP($A93&amp;$B93&amp;$C93,盘货信息!$A:$A&amp;盘货信息!$B:$B&amp;盘货信息!$C:$C,盘货信息!$E:$E),0)&amp;"元】")))</f>
        <v/>
      </c>
      <c r="F93" s="27" t="str" cm="1">
        <f t="array" ref="F93">IF($C93="","",_xlfn.XLOOKUP($A93&amp;$B93&amp;$C93,盘货信息!$A:$A&amp;盘货信息!$B:$B&amp;盘货信息!$C:$C,盘货信息!$D:$D)&amp;"元到手价")</f>
        <v/>
      </c>
      <c r="G93" s="27" t="str" cm="1">
        <f t="array" ref="G93">IF($C93="","",IF(_xlfn.XLOOKUP($A93&amp;$B93&amp;$C93,盘货信息!$A:$A&amp;盘货信息!$B:$B&amp;盘货信息!$C:$C,盘货信息!$G:$G)&lt;1,"",ROUND(_xlfn.XLOOKUP($A93&amp;$B93&amp;$C93,盘货信息!$A:$A&amp;盘货信息!$B:$B&amp;盘货信息!$C:$C,盘货信息!$G:$G),0)&amp;"元88VIP立减"))</f>
        <v/>
      </c>
      <c r="H93" s="27" t="str" cm="1">
        <f t="array" ref="H93">IF($C93="","",IF(_xlfn.XLOOKUP($A93&amp;$B93&amp;$C93,盘货信息!$A:$A&amp;盘货信息!$B:$B&amp;盘货信息!$C:$C,盘货信息!$I:$I)&lt;1,"",_xlfn.XLOOKUP($A93&amp;$B93&amp;$C93,盘货信息!$A:$A&amp;盘货信息!$B:$B&amp;盘货信息!$C:$C,盘货信息!$I:$I)&amp;"元惊喜立减"))</f>
        <v/>
      </c>
      <c r="I93" s="27" t="str" cm="1">
        <f t="array" ref="I93">IF($C93="","",IF(_xlfn.XLOOKUP($A93&amp;$B93&amp;$C93,盘货信息!$A:$A&amp;盘货信息!$B:$B&amp;盘货信息!$C:$C,盘货信息!$H:$H)&lt;1,"",ROUND(_xlfn.XLOOKUP($A93&amp;$B93&amp;$C93,盘货信息!$A:$A&amp;盘货信息!$B:$B&amp;盘货信息!$C:$C,盘货信息!$H:$H),0)&amp;"元消费券"))</f>
        <v/>
      </c>
      <c r="J93" s="27" t="str" cm="1">
        <f t="array" ref="J93">IF($C93="","",IF(_xlfn.XLOOKUP($A93&amp;$B93&amp;$C93,盘货信息!$A:$A&amp;盘货信息!$B:$B&amp;盘货信息!$C:$C,盘货信息!$J:$J)&lt;1,"",ROUND(_xlfn.XLOOKUP($A93&amp;$B93&amp;$C93,盘货信息!$A:$A&amp;盘货信息!$B:$B&amp;盘货信息!$C:$C,盘货信息!$J:$J),0)&amp;"元限时补贴"))</f>
        <v/>
      </c>
      <c r="K93" s="27" t="str" cm="1">
        <f t="array" ref="K93">IF($C93="","",IF(_xlfn.XLOOKUP($A93&amp;$B93&amp;$C93,盘货信息!$A:$A&amp;盘货信息!$B:$B&amp;盘货信息!$C:$C,盘货信息!$K:$K)&lt;1,"",ROUND(_xlfn.XLOOKUP($A93&amp;$B93&amp;$C93,盘货信息!$A:$A&amp;盘货信息!$B:$B&amp;盘货信息!$C:$C,盘货信息!$K:$K),0)&amp;"元预估焕新补贴"))</f>
        <v/>
      </c>
      <c r="L93" s="27" t="str" cm="1">
        <f t="array" ref="L93">IF($C93="","",IF(AND(_xlfn.XLOOKUP($A93&amp;$B93&amp;$C93,盘货信息!$A:$A&amp;盘货信息!$B:$B&amp;盘货信息!$C:$C,盘货信息!$L:$L)="是",_xlfn.XLOOKUP($A93&amp;$B93&amp;$C93,盘货信息!$A:$A&amp;盘货信息!$B:$B&amp;盘货信息!$C:$C,盘货信息!$M:$M)="是",_xlfn.XLOOKUP($A93&amp;$B93&amp;$C93,盘货信息!$A:$A&amp;盘货信息!$B:$B&amp;盘货信息!$C:$C,盘货信息!$K:$K)&gt;0),"【全民可用，不限地址】",IF(AND(OR(_xlfn.XLOOKUP($A93&amp;$B93&amp;$C93,盘货信息!$A:$A&amp;盘货信息!$B:$B&amp;盘货信息!$C:$C,盘货信息!$L:$L)="否",_xlfn.XLOOKUP($A93&amp;$B93&amp;$C93,盘货信息!$A:$A&amp;盘货信息!$B:$B&amp;盘货信息!$C:$C,盘货信息!$L:$L)=""),_xlfn.XLOOKUP($A93&amp;$B93&amp;$C93,盘货信息!$A:$A&amp;盘货信息!$B:$B&amp;盘货信息!$C:$C,盘货信息!$M:$M)="是",_xlfn.XLOOKUP($A93&amp;$B93&amp;$C93,盘货信息!$A:$A&amp;盘货信息!$B:$B&amp;盘货信息!$C:$C,盘货信息!$K:$K)&gt;0),"【详情页领取】","")))</f>
        <v/>
      </c>
      <c r="M93" s="27" t="str" cm="1">
        <f t="array" ref="M93">IF($C93="","",IF(_xlfn.XLOOKUP($A93&amp;$B93&amp;$C93,盘货信息!$A:$A&amp;盘货信息!$B:$B&amp;盘货信息!$C:$C,盘货信息!$F:$F)&lt;1,"",_xlfn.XLOOKUP($A93&amp;$B93&amp;$C93,盘货信息!$A:$A&amp;盘货信息!$B:$B&amp;盘货信息!$C:$C,盘货信息!$F:$F)&amp;"元明卷"))</f>
        <v/>
      </c>
      <c r="N93" s="27" t="str">
        <f t="shared" si="3"/>
        <v/>
      </c>
      <c r="O93" s="27" t="str">
        <f>IF(I93="","","【消费券链接】"&amp;固定信息!$B$6)</f>
        <v/>
      </c>
    </row>
    <row r="94" customHeight="1" spans="1:15">
      <c r="A94" s="26" t="str">
        <f>IF(盘货信息!A94="","",盘货信息!A94)</f>
        <v/>
      </c>
      <c r="B94" s="26" t="str">
        <f>IF(盘货信息!B94="","",盘货信息!B94)</f>
        <v/>
      </c>
      <c r="C94" s="26" t="str">
        <f>IF(盘货信息!C94="","",盘货信息!C94)</f>
        <v/>
      </c>
      <c r="D94" s="27" t="str">
        <f t="shared" si="2"/>
        <v/>
      </c>
      <c r="E94" s="27" t="str" cm="1">
        <f t="array" ref="E94">IF($C94="","",IF(AND(OR(_xlfn.XLOOKUP($A94&amp;$B94&amp;$C94,盘货信息!$A:$A&amp;盘货信息!$B:$B&amp;盘货信息!$C:$C,盘货信息!$L:$L)="否",_xlfn.XLOOKUP($A94&amp;$B94&amp;$C94,盘货信息!$A:$A&amp;盘货信息!$B:$B&amp;盘货信息!$C:$C,盘货信息!$L:$L)=""),_xlfn.XLOOKUP($A94&amp;$B94&amp;$C94,盘货信息!$A:$A&amp;盘货信息!$B:$B&amp;盘货信息!$C:$C,盘货信息!$M:$M)="否"),"【预估到手价"&amp;_xlfn.XLOOKUP($A94&amp;$B94&amp;$C94,盘货信息!$A:$A&amp;盘货信息!$B:$B&amp;盘货信息!$C:$C,盘货信息!$D:$D)&amp;"元】",IF(AND(_xlfn.XLOOKUP($A94&amp;$B94&amp;$C94,盘货信息!$A:$A&amp;盘货信息!$B:$B&amp;盘货信息!$C:$C,盘货信息!$M:$M)="是",OR(_xlfn.XLOOKUP($A94&amp;$B94&amp;$C94,盘货信息!$A:$A&amp;盘货信息!$B:$B&amp;盘货信息!$C:$C,盘货信息!$L:$L)="否",_xlfn.XLOOKUP($A94&amp;$B94&amp;$C94,盘货信息!$A:$A&amp;盘货信息!$B:$B&amp;盘货信息!$C:$C,盘货信息!$L:$L)="")),"【预估到手价"&amp;_xlfn.XLOOKUP($A94&amp;$B94&amp;$C94,盘货信息!$A:$A&amp;盘货信息!$B:$B&amp;盘货信息!$C:$C,盘货信息!$D:$D)&amp;"元】"&amp;CHAR(10)&amp;"【焕新补贴预估价"&amp;ROUND(_xlfn.XLOOKUP($A94&amp;$B94&amp;$C94,盘货信息!$A:$A&amp;盘货信息!$B:$B&amp;盘货信息!$C:$C,盘货信息!$E:$E),0)&amp;"元】","【焕新补贴预估价"&amp;ROUND(_xlfn.XLOOKUP($A94&amp;$B94&amp;$C94,盘货信息!$A:$A&amp;盘货信息!$B:$B&amp;盘货信息!$C:$C,盘货信息!$E:$E),0)&amp;"元】")))</f>
        <v/>
      </c>
      <c r="F94" s="27" t="str" cm="1">
        <f t="array" ref="F94">IF($C94="","",_xlfn.XLOOKUP($A94&amp;$B94&amp;$C94,盘货信息!$A:$A&amp;盘货信息!$B:$B&amp;盘货信息!$C:$C,盘货信息!$D:$D)&amp;"元到手价")</f>
        <v/>
      </c>
      <c r="G94" s="27" t="str" cm="1">
        <f t="array" ref="G94">IF($C94="","",IF(_xlfn.XLOOKUP($A94&amp;$B94&amp;$C94,盘货信息!$A:$A&amp;盘货信息!$B:$B&amp;盘货信息!$C:$C,盘货信息!$G:$G)&lt;1,"",ROUND(_xlfn.XLOOKUP($A94&amp;$B94&amp;$C94,盘货信息!$A:$A&amp;盘货信息!$B:$B&amp;盘货信息!$C:$C,盘货信息!$G:$G),0)&amp;"元88VIP立减"))</f>
        <v/>
      </c>
      <c r="H94" s="27" t="str" cm="1">
        <f t="array" ref="H94">IF($C94="","",IF(_xlfn.XLOOKUP($A94&amp;$B94&amp;$C94,盘货信息!$A:$A&amp;盘货信息!$B:$B&amp;盘货信息!$C:$C,盘货信息!$I:$I)&lt;1,"",_xlfn.XLOOKUP($A94&amp;$B94&amp;$C94,盘货信息!$A:$A&amp;盘货信息!$B:$B&amp;盘货信息!$C:$C,盘货信息!$I:$I)&amp;"元惊喜立减"))</f>
        <v/>
      </c>
      <c r="I94" s="27" t="str" cm="1">
        <f t="array" ref="I94">IF($C94="","",IF(_xlfn.XLOOKUP($A94&amp;$B94&amp;$C94,盘货信息!$A:$A&amp;盘货信息!$B:$B&amp;盘货信息!$C:$C,盘货信息!$H:$H)&lt;1,"",ROUND(_xlfn.XLOOKUP($A94&amp;$B94&amp;$C94,盘货信息!$A:$A&amp;盘货信息!$B:$B&amp;盘货信息!$C:$C,盘货信息!$H:$H),0)&amp;"元消费券"))</f>
        <v/>
      </c>
      <c r="J94" s="27" t="str" cm="1">
        <f t="array" ref="J94">IF($C94="","",IF(_xlfn.XLOOKUP($A94&amp;$B94&amp;$C94,盘货信息!$A:$A&amp;盘货信息!$B:$B&amp;盘货信息!$C:$C,盘货信息!$J:$J)&lt;1,"",ROUND(_xlfn.XLOOKUP($A94&amp;$B94&amp;$C94,盘货信息!$A:$A&amp;盘货信息!$B:$B&amp;盘货信息!$C:$C,盘货信息!$J:$J),0)&amp;"元限时补贴"))</f>
        <v/>
      </c>
      <c r="K94" s="27" t="str" cm="1">
        <f t="array" ref="K94">IF($C94="","",IF(_xlfn.XLOOKUP($A94&amp;$B94&amp;$C94,盘货信息!$A:$A&amp;盘货信息!$B:$B&amp;盘货信息!$C:$C,盘货信息!$K:$K)&lt;1,"",ROUND(_xlfn.XLOOKUP($A94&amp;$B94&amp;$C94,盘货信息!$A:$A&amp;盘货信息!$B:$B&amp;盘货信息!$C:$C,盘货信息!$K:$K),0)&amp;"元预估焕新补贴"))</f>
        <v/>
      </c>
      <c r="L94" s="27" t="str" cm="1">
        <f t="array" ref="L94">IF($C94="","",IF(AND(_xlfn.XLOOKUP($A94&amp;$B94&amp;$C94,盘货信息!$A:$A&amp;盘货信息!$B:$B&amp;盘货信息!$C:$C,盘货信息!$L:$L)="是",_xlfn.XLOOKUP($A94&amp;$B94&amp;$C94,盘货信息!$A:$A&amp;盘货信息!$B:$B&amp;盘货信息!$C:$C,盘货信息!$M:$M)="是",_xlfn.XLOOKUP($A94&amp;$B94&amp;$C94,盘货信息!$A:$A&amp;盘货信息!$B:$B&amp;盘货信息!$C:$C,盘货信息!$K:$K)&gt;0),"【全民可用，不限地址】",IF(AND(OR(_xlfn.XLOOKUP($A94&amp;$B94&amp;$C94,盘货信息!$A:$A&amp;盘货信息!$B:$B&amp;盘货信息!$C:$C,盘货信息!$L:$L)="否",_xlfn.XLOOKUP($A94&amp;$B94&amp;$C94,盘货信息!$A:$A&amp;盘货信息!$B:$B&amp;盘货信息!$C:$C,盘货信息!$L:$L)=""),_xlfn.XLOOKUP($A94&amp;$B94&amp;$C94,盘货信息!$A:$A&amp;盘货信息!$B:$B&amp;盘货信息!$C:$C,盘货信息!$M:$M)="是",_xlfn.XLOOKUP($A94&amp;$B94&amp;$C94,盘货信息!$A:$A&amp;盘货信息!$B:$B&amp;盘货信息!$C:$C,盘货信息!$K:$K)&gt;0),"【详情页领取】","")))</f>
        <v/>
      </c>
      <c r="M94" s="27" t="str" cm="1">
        <f t="array" ref="M94">IF($C94="","",IF(_xlfn.XLOOKUP($A94&amp;$B94&amp;$C94,盘货信息!$A:$A&amp;盘货信息!$B:$B&amp;盘货信息!$C:$C,盘货信息!$F:$F)&lt;1,"",_xlfn.XLOOKUP($A94&amp;$B94&amp;$C94,盘货信息!$A:$A&amp;盘货信息!$B:$B&amp;盘货信息!$C:$C,盘货信息!$F:$F)&amp;"元明卷"))</f>
        <v/>
      </c>
      <c r="N94" s="27" t="str">
        <f t="shared" si="3"/>
        <v/>
      </c>
      <c r="O94" s="27" t="str">
        <f>IF(I94="","","【消费券链接】"&amp;固定信息!$B$6)</f>
        <v/>
      </c>
    </row>
    <row r="95" customHeight="1" spans="1:15">
      <c r="A95" s="26" t="str">
        <f>IF(盘货信息!A95="","",盘货信息!A95)</f>
        <v/>
      </c>
      <c r="B95" s="26" t="str">
        <f>IF(盘货信息!B95="","",盘货信息!B95)</f>
        <v/>
      </c>
      <c r="C95" s="23" t="str">
        <f>IF(盘货信息!C95="","",盘货信息!C95)</f>
        <v/>
      </c>
      <c r="D95" s="27" t="str">
        <f t="shared" si="2"/>
        <v/>
      </c>
      <c r="E95" s="27" t="str" cm="1">
        <f t="array" ref="E95">IF($C95="","",IF(AND(OR(_xlfn.XLOOKUP($A95&amp;$B95&amp;$C95,盘货信息!$A:$A&amp;盘货信息!$B:$B&amp;盘货信息!$C:$C,盘货信息!$L:$L)="否",_xlfn.XLOOKUP($A95&amp;$B95&amp;$C95,盘货信息!$A:$A&amp;盘货信息!$B:$B&amp;盘货信息!$C:$C,盘货信息!$L:$L)=""),_xlfn.XLOOKUP($A95&amp;$B95&amp;$C95,盘货信息!$A:$A&amp;盘货信息!$B:$B&amp;盘货信息!$C:$C,盘货信息!$M:$M)="否"),"【预估到手价"&amp;_xlfn.XLOOKUP($A95&amp;$B95&amp;$C95,盘货信息!$A:$A&amp;盘货信息!$B:$B&amp;盘货信息!$C:$C,盘货信息!$D:$D)&amp;"元】",IF(AND(_xlfn.XLOOKUP($A95&amp;$B95&amp;$C95,盘货信息!$A:$A&amp;盘货信息!$B:$B&amp;盘货信息!$C:$C,盘货信息!$M:$M)="是",OR(_xlfn.XLOOKUP($A95&amp;$B95&amp;$C95,盘货信息!$A:$A&amp;盘货信息!$B:$B&amp;盘货信息!$C:$C,盘货信息!$L:$L)="否",_xlfn.XLOOKUP($A95&amp;$B95&amp;$C95,盘货信息!$A:$A&amp;盘货信息!$B:$B&amp;盘货信息!$C:$C,盘货信息!$L:$L)="")),"【预估到手价"&amp;_xlfn.XLOOKUP($A95&amp;$B95&amp;$C95,盘货信息!$A:$A&amp;盘货信息!$B:$B&amp;盘货信息!$C:$C,盘货信息!$D:$D)&amp;"元】"&amp;CHAR(10)&amp;"【焕新补贴预估价"&amp;ROUND(_xlfn.XLOOKUP($A95&amp;$B95&amp;$C95,盘货信息!$A:$A&amp;盘货信息!$B:$B&amp;盘货信息!$C:$C,盘货信息!$E:$E),0)&amp;"元】","【焕新补贴预估价"&amp;ROUND(_xlfn.XLOOKUP($A95&amp;$B95&amp;$C95,盘货信息!$A:$A&amp;盘货信息!$B:$B&amp;盘货信息!$C:$C,盘货信息!$E:$E),0)&amp;"元】")))</f>
        <v/>
      </c>
      <c r="F95" s="27" t="str" cm="1">
        <f t="array" ref="F95">IF($C95="","",_xlfn.XLOOKUP($A95&amp;$B95&amp;$C95,盘货信息!$A:$A&amp;盘货信息!$B:$B&amp;盘货信息!$C:$C,盘货信息!$D:$D)&amp;"元到手价")</f>
        <v/>
      </c>
      <c r="G95" s="27" t="str" cm="1">
        <f t="array" ref="G95">IF($C95="","",IF(_xlfn.XLOOKUP($A95&amp;$B95&amp;$C95,盘货信息!$A:$A&amp;盘货信息!$B:$B&amp;盘货信息!$C:$C,盘货信息!$G:$G)&lt;1,"",ROUND(_xlfn.XLOOKUP($A95&amp;$B95&amp;$C95,盘货信息!$A:$A&amp;盘货信息!$B:$B&amp;盘货信息!$C:$C,盘货信息!$G:$G),0)&amp;"元88VIP立减"))</f>
        <v/>
      </c>
      <c r="H95" s="27" t="str" cm="1">
        <f t="array" ref="H95">IF($C95="","",IF(_xlfn.XLOOKUP($A95&amp;$B95&amp;$C95,盘货信息!$A:$A&amp;盘货信息!$B:$B&amp;盘货信息!$C:$C,盘货信息!$I:$I)&lt;1,"",_xlfn.XLOOKUP($A95&amp;$B95&amp;$C95,盘货信息!$A:$A&amp;盘货信息!$B:$B&amp;盘货信息!$C:$C,盘货信息!$I:$I)&amp;"元惊喜立减"))</f>
        <v/>
      </c>
      <c r="I95" s="27" t="str" cm="1">
        <f t="array" ref="I95">IF($C95="","",IF(_xlfn.XLOOKUP($A95&amp;$B95&amp;$C95,盘货信息!$A:$A&amp;盘货信息!$B:$B&amp;盘货信息!$C:$C,盘货信息!$H:$H)&lt;1,"",ROUND(_xlfn.XLOOKUP($A95&amp;$B95&amp;$C95,盘货信息!$A:$A&amp;盘货信息!$B:$B&amp;盘货信息!$C:$C,盘货信息!$H:$H),0)&amp;"元消费券"))</f>
        <v/>
      </c>
      <c r="J95" s="27" t="str" cm="1">
        <f t="array" ref="J95">IF($C95="","",IF(_xlfn.XLOOKUP($A95&amp;$B95&amp;$C95,盘货信息!$A:$A&amp;盘货信息!$B:$B&amp;盘货信息!$C:$C,盘货信息!$J:$J)&lt;1,"",ROUND(_xlfn.XLOOKUP($A95&amp;$B95&amp;$C95,盘货信息!$A:$A&amp;盘货信息!$B:$B&amp;盘货信息!$C:$C,盘货信息!$J:$J),0)&amp;"元限时补贴"))</f>
        <v/>
      </c>
      <c r="K95" s="27" t="str" cm="1">
        <f t="array" ref="K95">IF($C95="","",IF(_xlfn.XLOOKUP($A95&amp;$B95&amp;$C95,盘货信息!$A:$A&amp;盘货信息!$B:$B&amp;盘货信息!$C:$C,盘货信息!$K:$K)&lt;1,"",ROUND(_xlfn.XLOOKUP($A95&amp;$B95&amp;$C95,盘货信息!$A:$A&amp;盘货信息!$B:$B&amp;盘货信息!$C:$C,盘货信息!$K:$K),0)&amp;"元预估焕新补贴"))</f>
        <v/>
      </c>
      <c r="L95" s="27" t="str" cm="1">
        <f t="array" ref="L95">IF($C95="","",IF(AND(_xlfn.XLOOKUP($A95&amp;$B95&amp;$C95,盘货信息!$A:$A&amp;盘货信息!$B:$B&amp;盘货信息!$C:$C,盘货信息!$L:$L)="是",_xlfn.XLOOKUP($A95&amp;$B95&amp;$C95,盘货信息!$A:$A&amp;盘货信息!$B:$B&amp;盘货信息!$C:$C,盘货信息!$M:$M)="是",_xlfn.XLOOKUP($A95&amp;$B95&amp;$C95,盘货信息!$A:$A&amp;盘货信息!$B:$B&amp;盘货信息!$C:$C,盘货信息!$K:$K)&gt;0),"【全民可用，不限地址】",IF(AND(OR(_xlfn.XLOOKUP($A95&amp;$B95&amp;$C95,盘货信息!$A:$A&amp;盘货信息!$B:$B&amp;盘货信息!$C:$C,盘货信息!$L:$L)="否",_xlfn.XLOOKUP($A95&amp;$B95&amp;$C95,盘货信息!$A:$A&amp;盘货信息!$B:$B&amp;盘货信息!$C:$C,盘货信息!$L:$L)=""),_xlfn.XLOOKUP($A95&amp;$B95&amp;$C95,盘货信息!$A:$A&amp;盘货信息!$B:$B&amp;盘货信息!$C:$C,盘货信息!$M:$M)="是",_xlfn.XLOOKUP($A95&amp;$B95&amp;$C95,盘货信息!$A:$A&amp;盘货信息!$B:$B&amp;盘货信息!$C:$C,盘货信息!$K:$K)&gt;0),"【详情页领取】","")))</f>
        <v/>
      </c>
      <c r="M95" s="27" t="str" cm="1">
        <f t="array" ref="M95">IF($C95="","",IF(_xlfn.XLOOKUP($A95&amp;$B95&amp;$C95,盘货信息!$A:$A&amp;盘货信息!$B:$B&amp;盘货信息!$C:$C,盘货信息!$F:$F)&lt;1,"",_xlfn.XLOOKUP($A95&amp;$B95&amp;$C95,盘货信息!$A:$A&amp;盘货信息!$B:$B&amp;盘货信息!$C:$C,盘货信息!$F:$F)&amp;"元明卷"))</f>
        <v/>
      </c>
      <c r="N95" s="27" t="str">
        <f t="shared" si="3"/>
        <v/>
      </c>
      <c r="O95" s="27" t="str">
        <f>IF(I95="","","【消费券链接】"&amp;固定信息!$B$6)</f>
        <v/>
      </c>
    </row>
    <row r="96" customHeight="1" spans="1:15">
      <c r="A96" s="26" t="str">
        <f>IF(盘货信息!A96="","",盘货信息!A96)</f>
        <v/>
      </c>
      <c r="B96" s="26" t="str">
        <f>IF(盘货信息!B96="","",盘货信息!B96)</f>
        <v/>
      </c>
      <c r="C96" s="23" t="str">
        <f>IF(盘货信息!C96="","",盘货信息!C96)</f>
        <v/>
      </c>
      <c r="D96" s="27" t="str">
        <f t="shared" si="2"/>
        <v/>
      </c>
      <c r="E96" s="27" t="str" cm="1">
        <f t="array" ref="E96">IF($C96="","",IF(AND(OR(_xlfn.XLOOKUP($A96&amp;$B96&amp;$C96,盘货信息!$A:$A&amp;盘货信息!$B:$B&amp;盘货信息!$C:$C,盘货信息!$L:$L)="否",_xlfn.XLOOKUP($A96&amp;$B96&amp;$C96,盘货信息!$A:$A&amp;盘货信息!$B:$B&amp;盘货信息!$C:$C,盘货信息!$L:$L)=""),_xlfn.XLOOKUP($A96&amp;$B96&amp;$C96,盘货信息!$A:$A&amp;盘货信息!$B:$B&amp;盘货信息!$C:$C,盘货信息!$M:$M)="否"),"【预估到手价"&amp;_xlfn.XLOOKUP($A96&amp;$B96&amp;$C96,盘货信息!$A:$A&amp;盘货信息!$B:$B&amp;盘货信息!$C:$C,盘货信息!$D:$D)&amp;"元】",IF(AND(_xlfn.XLOOKUP($A96&amp;$B96&amp;$C96,盘货信息!$A:$A&amp;盘货信息!$B:$B&amp;盘货信息!$C:$C,盘货信息!$M:$M)="是",OR(_xlfn.XLOOKUP($A96&amp;$B96&amp;$C96,盘货信息!$A:$A&amp;盘货信息!$B:$B&amp;盘货信息!$C:$C,盘货信息!$L:$L)="否",_xlfn.XLOOKUP($A96&amp;$B96&amp;$C96,盘货信息!$A:$A&amp;盘货信息!$B:$B&amp;盘货信息!$C:$C,盘货信息!$L:$L)="")),"【预估到手价"&amp;_xlfn.XLOOKUP($A96&amp;$B96&amp;$C96,盘货信息!$A:$A&amp;盘货信息!$B:$B&amp;盘货信息!$C:$C,盘货信息!$D:$D)&amp;"元】"&amp;CHAR(10)&amp;"【焕新补贴预估价"&amp;ROUND(_xlfn.XLOOKUP($A96&amp;$B96&amp;$C96,盘货信息!$A:$A&amp;盘货信息!$B:$B&amp;盘货信息!$C:$C,盘货信息!$E:$E),0)&amp;"元】","【焕新补贴预估价"&amp;ROUND(_xlfn.XLOOKUP($A96&amp;$B96&amp;$C96,盘货信息!$A:$A&amp;盘货信息!$B:$B&amp;盘货信息!$C:$C,盘货信息!$E:$E),0)&amp;"元】")))</f>
        <v/>
      </c>
      <c r="F96" s="27" t="str" cm="1">
        <f t="array" ref="F96">IF($C96="","",_xlfn.XLOOKUP($A96&amp;$B96&amp;$C96,盘货信息!$A:$A&amp;盘货信息!$B:$B&amp;盘货信息!$C:$C,盘货信息!$D:$D)&amp;"元到手价")</f>
        <v/>
      </c>
      <c r="G96" s="27" t="str" cm="1">
        <f t="array" ref="G96">IF($C96="","",IF(_xlfn.XLOOKUP($A96&amp;$B96&amp;$C96,盘货信息!$A:$A&amp;盘货信息!$B:$B&amp;盘货信息!$C:$C,盘货信息!$G:$G)&lt;1,"",ROUND(_xlfn.XLOOKUP($A96&amp;$B96&amp;$C96,盘货信息!$A:$A&amp;盘货信息!$B:$B&amp;盘货信息!$C:$C,盘货信息!$G:$G),0)&amp;"元88VIP立减"))</f>
        <v/>
      </c>
      <c r="H96" s="27" t="str" cm="1">
        <f t="array" ref="H96">IF($C96="","",IF(_xlfn.XLOOKUP($A96&amp;$B96&amp;$C96,盘货信息!$A:$A&amp;盘货信息!$B:$B&amp;盘货信息!$C:$C,盘货信息!$I:$I)&lt;1,"",_xlfn.XLOOKUP($A96&amp;$B96&amp;$C96,盘货信息!$A:$A&amp;盘货信息!$B:$B&amp;盘货信息!$C:$C,盘货信息!$I:$I)&amp;"元惊喜立减"))</f>
        <v/>
      </c>
      <c r="I96" s="27" t="str" cm="1">
        <f t="array" ref="I96">IF($C96="","",IF(_xlfn.XLOOKUP($A96&amp;$B96&amp;$C96,盘货信息!$A:$A&amp;盘货信息!$B:$B&amp;盘货信息!$C:$C,盘货信息!$H:$H)&lt;1,"",ROUND(_xlfn.XLOOKUP($A96&amp;$B96&amp;$C96,盘货信息!$A:$A&amp;盘货信息!$B:$B&amp;盘货信息!$C:$C,盘货信息!$H:$H),0)&amp;"元消费券"))</f>
        <v/>
      </c>
      <c r="J96" s="27" t="str" cm="1">
        <f t="array" ref="J96">IF($C96="","",IF(_xlfn.XLOOKUP($A96&amp;$B96&amp;$C96,盘货信息!$A:$A&amp;盘货信息!$B:$B&amp;盘货信息!$C:$C,盘货信息!$J:$J)&lt;1,"",ROUND(_xlfn.XLOOKUP($A96&amp;$B96&amp;$C96,盘货信息!$A:$A&amp;盘货信息!$B:$B&amp;盘货信息!$C:$C,盘货信息!$J:$J),0)&amp;"元限时补贴"))</f>
        <v/>
      </c>
      <c r="K96" s="27" t="str" cm="1">
        <f t="array" ref="K96">IF($C96="","",IF(_xlfn.XLOOKUP($A96&amp;$B96&amp;$C96,盘货信息!$A:$A&amp;盘货信息!$B:$B&amp;盘货信息!$C:$C,盘货信息!$K:$K)&lt;1,"",ROUND(_xlfn.XLOOKUP($A96&amp;$B96&amp;$C96,盘货信息!$A:$A&amp;盘货信息!$B:$B&amp;盘货信息!$C:$C,盘货信息!$K:$K),0)&amp;"元预估焕新补贴"))</f>
        <v/>
      </c>
      <c r="L96" s="27" t="str" cm="1">
        <f t="array" ref="L96">IF($C96="","",IF(AND(_xlfn.XLOOKUP($A96&amp;$B96&amp;$C96,盘货信息!$A:$A&amp;盘货信息!$B:$B&amp;盘货信息!$C:$C,盘货信息!$L:$L)="是",_xlfn.XLOOKUP($A96&amp;$B96&amp;$C96,盘货信息!$A:$A&amp;盘货信息!$B:$B&amp;盘货信息!$C:$C,盘货信息!$M:$M)="是",_xlfn.XLOOKUP($A96&amp;$B96&amp;$C96,盘货信息!$A:$A&amp;盘货信息!$B:$B&amp;盘货信息!$C:$C,盘货信息!$K:$K)&gt;0),"【全民可用，不限地址】",IF(AND(OR(_xlfn.XLOOKUP($A96&amp;$B96&amp;$C96,盘货信息!$A:$A&amp;盘货信息!$B:$B&amp;盘货信息!$C:$C,盘货信息!$L:$L)="否",_xlfn.XLOOKUP($A96&amp;$B96&amp;$C96,盘货信息!$A:$A&amp;盘货信息!$B:$B&amp;盘货信息!$C:$C,盘货信息!$L:$L)=""),_xlfn.XLOOKUP($A96&amp;$B96&amp;$C96,盘货信息!$A:$A&amp;盘货信息!$B:$B&amp;盘货信息!$C:$C,盘货信息!$M:$M)="是",_xlfn.XLOOKUP($A96&amp;$B96&amp;$C96,盘货信息!$A:$A&amp;盘货信息!$B:$B&amp;盘货信息!$C:$C,盘货信息!$K:$K)&gt;0),"【详情页领取】","")))</f>
        <v/>
      </c>
      <c r="M96" s="27" t="str" cm="1">
        <f t="array" ref="M96">IF($C96="","",IF(_xlfn.XLOOKUP($A96&amp;$B96&amp;$C96,盘货信息!$A:$A&amp;盘货信息!$B:$B&amp;盘货信息!$C:$C,盘货信息!$F:$F)&lt;1,"",_xlfn.XLOOKUP($A96&amp;$B96&amp;$C96,盘货信息!$A:$A&amp;盘货信息!$B:$B&amp;盘货信息!$C:$C,盘货信息!$F:$F)&amp;"元明卷"))</f>
        <v/>
      </c>
      <c r="N96" s="27" t="str">
        <f t="shared" si="3"/>
        <v/>
      </c>
      <c r="O96" s="27" t="str">
        <f>IF(I96="","","【消费券链接】"&amp;固定信息!$B$6)</f>
        <v/>
      </c>
    </row>
    <row r="97" customHeight="1" spans="1:15">
      <c r="A97" s="26" t="str">
        <f>IF(盘货信息!A97="","",盘货信息!A97)</f>
        <v/>
      </c>
      <c r="B97" s="26" t="str">
        <f>IF(盘货信息!B97="","",盘货信息!B97)</f>
        <v/>
      </c>
      <c r="C97" s="23" t="str">
        <f>IF(盘货信息!C97="","",盘货信息!C97)</f>
        <v/>
      </c>
      <c r="D97" s="27" t="str">
        <f t="shared" si="2"/>
        <v/>
      </c>
      <c r="E97" s="27" t="str" cm="1">
        <f t="array" ref="E97">IF($C97="","",IF(AND(OR(_xlfn.XLOOKUP($A97&amp;$B97&amp;$C97,盘货信息!$A:$A&amp;盘货信息!$B:$B&amp;盘货信息!$C:$C,盘货信息!$L:$L)="否",_xlfn.XLOOKUP($A97&amp;$B97&amp;$C97,盘货信息!$A:$A&amp;盘货信息!$B:$B&amp;盘货信息!$C:$C,盘货信息!$L:$L)=""),_xlfn.XLOOKUP($A97&amp;$B97&amp;$C97,盘货信息!$A:$A&amp;盘货信息!$B:$B&amp;盘货信息!$C:$C,盘货信息!$M:$M)="否"),"【预估到手价"&amp;_xlfn.XLOOKUP($A97&amp;$B97&amp;$C97,盘货信息!$A:$A&amp;盘货信息!$B:$B&amp;盘货信息!$C:$C,盘货信息!$D:$D)&amp;"元】",IF(AND(_xlfn.XLOOKUP($A97&amp;$B97&amp;$C97,盘货信息!$A:$A&amp;盘货信息!$B:$B&amp;盘货信息!$C:$C,盘货信息!$M:$M)="是",OR(_xlfn.XLOOKUP($A97&amp;$B97&amp;$C97,盘货信息!$A:$A&amp;盘货信息!$B:$B&amp;盘货信息!$C:$C,盘货信息!$L:$L)="否",_xlfn.XLOOKUP($A97&amp;$B97&amp;$C97,盘货信息!$A:$A&amp;盘货信息!$B:$B&amp;盘货信息!$C:$C,盘货信息!$L:$L)="")),"【预估到手价"&amp;_xlfn.XLOOKUP($A97&amp;$B97&amp;$C97,盘货信息!$A:$A&amp;盘货信息!$B:$B&amp;盘货信息!$C:$C,盘货信息!$D:$D)&amp;"元】"&amp;CHAR(10)&amp;"【焕新补贴预估价"&amp;ROUND(_xlfn.XLOOKUP($A97&amp;$B97&amp;$C97,盘货信息!$A:$A&amp;盘货信息!$B:$B&amp;盘货信息!$C:$C,盘货信息!$E:$E),0)&amp;"元】","【焕新补贴预估价"&amp;ROUND(_xlfn.XLOOKUP($A97&amp;$B97&amp;$C97,盘货信息!$A:$A&amp;盘货信息!$B:$B&amp;盘货信息!$C:$C,盘货信息!$E:$E),0)&amp;"元】")))</f>
        <v/>
      </c>
      <c r="F97" s="27" t="str" cm="1">
        <f t="array" ref="F97">IF($C97="","",_xlfn.XLOOKUP($A97&amp;$B97&amp;$C97,盘货信息!$A:$A&amp;盘货信息!$B:$B&amp;盘货信息!$C:$C,盘货信息!$D:$D)&amp;"元到手价")</f>
        <v/>
      </c>
      <c r="G97" s="27" t="str" cm="1">
        <f t="array" ref="G97">IF($C97="","",IF(_xlfn.XLOOKUP($A97&amp;$B97&amp;$C97,盘货信息!$A:$A&amp;盘货信息!$B:$B&amp;盘货信息!$C:$C,盘货信息!$G:$G)&lt;1,"",ROUND(_xlfn.XLOOKUP($A97&amp;$B97&amp;$C97,盘货信息!$A:$A&amp;盘货信息!$B:$B&amp;盘货信息!$C:$C,盘货信息!$G:$G),0)&amp;"元88VIP立减"))</f>
        <v/>
      </c>
      <c r="H97" s="27" t="str" cm="1">
        <f t="array" ref="H97">IF($C97="","",IF(_xlfn.XLOOKUP($A97&amp;$B97&amp;$C97,盘货信息!$A:$A&amp;盘货信息!$B:$B&amp;盘货信息!$C:$C,盘货信息!$I:$I)&lt;1,"",_xlfn.XLOOKUP($A97&amp;$B97&amp;$C97,盘货信息!$A:$A&amp;盘货信息!$B:$B&amp;盘货信息!$C:$C,盘货信息!$I:$I)&amp;"元惊喜立减"))</f>
        <v/>
      </c>
      <c r="I97" s="27" t="str" cm="1">
        <f t="array" ref="I97">IF($C97="","",IF(_xlfn.XLOOKUP($A97&amp;$B97&amp;$C97,盘货信息!$A:$A&amp;盘货信息!$B:$B&amp;盘货信息!$C:$C,盘货信息!$H:$H)&lt;1,"",ROUND(_xlfn.XLOOKUP($A97&amp;$B97&amp;$C97,盘货信息!$A:$A&amp;盘货信息!$B:$B&amp;盘货信息!$C:$C,盘货信息!$H:$H),0)&amp;"元消费券"))</f>
        <v/>
      </c>
      <c r="J97" s="27" t="str" cm="1">
        <f t="array" ref="J97">IF($C97="","",IF(_xlfn.XLOOKUP($A97&amp;$B97&amp;$C97,盘货信息!$A:$A&amp;盘货信息!$B:$B&amp;盘货信息!$C:$C,盘货信息!$J:$J)&lt;1,"",ROUND(_xlfn.XLOOKUP($A97&amp;$B97&amp;$C97,盘货信息!$A:$A&amp;盘货信息!$B:$B&amp;盘货信息!$C:$C,盘货信息!$J:$J),0)&amp;"元限时补贴"))</f>
        <v/>
      </c>
      <c r="K97" s="27" t="str" cm="1">
        <f t="array" ref="K97">IF($C97="","",IF(_xlfn.XLOOKUP($A97&amp;$B97&amp;$C97,盘货信息!$A:$A&amp;盘货信息!$B:$B&amp;盘货信息!$C:$C,盘货信息!$K:$K)&lt;1,"",ROUND(_xlfn.XLOOKUP($A97&amp;$B97&amp;$C97,盘货信息!$A:$A&amp;盘货信息!$B:$B&amp;盘货信息!$C:$C,盘货信息!$K:$K),0)&amp;"元预估焕新补贴"))</f>
        <v/>
      </c>
      <c r="L97" s="27" t="str" cm="1">
        <f t="array" ref="L97">IF($C97="","",IF(AND(_xlfn.XLOOKUP($A97&amp;$B97&amp;$C97,盘货信息!$A:$A&amp;盘货信息!$B:$B&amp;盘货信息!$C:$C,盘货信息!$L:$L)="是",_xlfn.XLOOKUP($A97&amp;$B97&amp;$C97,盘货信息!$A:$A&amp;盘货信息!$B:$B&amp;盘货信息!$C:$C,盘货信息!$M:$M)="是",_xlfn.XLOOKUP($A97&amp;$B97&amp;$C97,盘货信息!$A:$A&amp;盘货信息!$B:$B&amp;盘货信息!$C:$C,盘货信息!$K:$K)&gt;0),"【全民可用，不限地址】",IF(AND(OR(_xlfn.XLOOKUP($A97&amp;$B97&amp;$C97,盘货信息!$A:$A&amp;盘货信息!$B:$B&amp;盘货信息!$C:$C,盘货信息!$L:$L)="否",_xlfn.XLOOKUP($A97&amp;$B97&amp;$C97,盘货信息!$A:$A&amp;盘货信息!$B:$B&amp;盘货信息!$C:$C,盘货信息!$L:$L)=""),_xlfn.XLOOKUP($A97&amp;$B97&amp;$C97,盘货信息!$A:$A&amp;盘货信息!$B:$B&amp;盘货信息!$C:$C,盘货信息!$M:$M)="是",_xlfn.XLOOKUP($A97&amp;$B97&amp;$C97,盘货信息!$A:$A&amp;盘货信息!$B:$B&amp;盘货信息!$C:$C,盘货信息!$K:$K)&gt;0),"【详情页领取】","")))</f>
        <v/>
      </c>
      <c r="M97" s="27" t="str" cm="1">
        <f t="array" ref="M97">IF($C97="","",IF(_xlfn.XLOOKUP($A97&amp;$B97&amp;$C97,盘货信息!$A:$A&amp;盘货信息!$B:$B&amp;盘货信息!$C:$C,盘货信息!$F:$F)&lt;1,"",_xlfn.XLOOKUP($A97&amp;$B97&amp;$C97,盘货信息!$A:$A&amp;盘货信息!$B:$B&amp;盘货信息!$C:$C,盘货信息!$F:$F)&amp;"元明卷"))</f>
        <v/>
      </c>
      <c r="N97" s="27" t="str">
        <f t="shared" si="3"/>
        <v/>
      </c>
      <c r="O97" s="27" t="str">
        <f>IF(I97="","","【消费券链接】"&amp;固定信息!$B$6)</f>
        <v/>
      </c>
    </row>
    <row r="98" customHeight="1" spans="1:15">
      <c r="A98" s="26" t="str">
        <f>IF(盘货信息!A98="","",盘货信息!A98)</f>
        <v/>
      </c>
      <c r="B98" s="26" t="str">
        <f>IF(盘货信息!B98="","",盘货信息!B98)</f>
        <v/>
      </c>
      <c r="C98" s="23" t="str">
        <f>IF(盘货信息!C98="","",盘货信息!C98)</f>
        <v/>
      </c>
      <c r="D98" s="27" t="str">
        <f t="shared" si="2"/>
        <v/>
      </c>
      <c r="E98" s="27" t="str" cm="1">
        <f t="array" ref="E98">IF($C98="","",IF(AND(OR(_xlfn.XLOOKUP($A98&amp;$B98&amp;$C98,盘货信息!$A:$A&amp;盘货信息!$B:$B&amp;盘货信息!$C:$C,盘货信息!$L:$L)="否",_xlfn.XLOOKUP($A98&amp;$B98&amp;$C98,盘货信息!$A:$A&amp;盘货信息!$B:$B&amp;盘货信息!$C:$C,盘货信息!$L:$L)=""),_xlfn.XLOOKUP($A98&amp;$B98&amp;$C98,盘货信息!$A:$A&amp;盘货信息!$B:$B&amp;盘货信息!$C:$C,盘货信息!$M:$M)="否"),"【预估到手价"&amp;_xlfn.XLOOKUP($A98&amp;$B98&amp;$C98,盘货信息!$A:$A&amp;盘货信息!$B:$B&amp;盘货信息!$C:$C,盘货信息!$D:$D)&amp;"元】",IF(AND(_xlfn.XLOOKUP($A98&amp;$B98&amp;$C98,盘货信息!$A:$A&amp;盘货信息!$B:$B&amp;盘货信息!$C:$C,盘货信息!$M:$M)="是",OR(_xlfn.XLOOKUP($A98&amp;$B98&amp;$C98,盘货信息!$A:$A&amp;盘货信息!$B:$B&amp;盘货信息!$C:$C,盘货信息!$L:$L)="否",_xlfn.XLOOKUP($A98&amp;$B98&amp;$C98,盘货信息!$A:$A&amp;盘货信息!$B:$B&amp;盘货信息!$C:$C,盘货信息!$L:$L)="")),"【预估到手价"&amp;_xlfn.XLOOKUP($A98&amp;$B98&amp;$C98,盘货信息!$A:$A&amp;盘货信息!$B:$B&amp;盘货信息!$C:$C,盘货信息!$D:$D)&amp;"元】"&amp;CHAR(10)&amp;"【焕新补贴预估价"&amp;ROUND(_xlfn.XLOOKUP($A98&amp;$B98&amp;$C98,盘货信息!$A:$A&amp;盘货信息!$B:$B&amp;盘货信息!$C:$C,盘货信息!$E:$E),0)&amp;"元】","【焕新补贴预估价"&amp;ROUND(_xlfn.XLOOKUP($A98&amp;$B98&amp;$C98,盘货信息!$A:$A&amp;盘货信息!$B:$B&amp;盘货信息!$C:$C,盘货信息!$E:$E),0)&amp;"元】")))</f>
        <v/>
      </c>
      <c r="F98" s="27" t="str" cm="1">
        <f t="array" ref="F98">IF($C98="","",_xlfn.XLOOKUP($A98&amp;$B98&amp;$C98,盘货信息!$A:$A&amp;盘货信息!$B:$B&amp;盘货信息!$C:$C,盘货信息!$D:$D)&amp;"元到手价")</f>
        <v/>
      </c>
      <c r="G98" s="27" t="str" cm="1">
        <f t="array" ref="G98">IF($C98="","",IF(_xlfn.XLOOKUP($A98&amp;$B98&amp;$C98,盘货信息!$A:$A&amp;盘货信息!$B:$B&amp;盘货信息!$C:$C,盘货信息!$G:$G)&lt;1,"",ROUND(_xlfn.XLOOKUP($A98&amp;$B98&amp;$C98,盘货信息!$A:$A&amp;盘货信息!$B:$B&amp;盘货信息!$C:$C,盘货信息!$G:$G),0)&amp;"元88VIP立减"))</f>
        <v/>
      </c>
      <c r="H98" s="27" t="str" cm="1">
        <f t="array" ref="H98">IF($C98="","",IF(_xlfn.XLOOKUP($A98&amp;$B98&amp;$C98,盘货信息!$A:$A&amp;盘货信息!$B:$B&amp;盘货信息!$C:$C,盘货信息!$I:$I)&lt;1,"",_xlfn.XLOOKUP($A98&amp;$B98&amp;$C98,盘货信息!$A:$A&amp;盘货信息!$B:$B&amp;盘货信息!$C:$C,盘货信息!$I:$I)&amp;"元惊喜立减"))</f>
        <v/>
      </c>
      <c r="I98" s="27" t="str" cm="1">
        <f t="array" ref="I98">IF($C98="","",IF(_xlfn.XLOOKUP($A98&amp;$B98&amp;$C98,盘货信息!$A:$A&amp;盘货信息!$B:$B&amp;盘货信息!$C:$C,盘货信息!$H:$H)&lt;1,"",ROUND(_xlfn.XLOOKUP($A98&amp;$B98&amp;$C98,盘货信息!$A:$A&amp;盘货信息!$B:$B&amp;盘货信息!$C:$C,盘货信息!$H:$H),0)&amp;"元消费券"))</f>
        <v/>
      </c>
      <c r="J98" s="27" t="str" cm="1">
        <f t="array" ref="J98">IF($C98="","",IF(_xlfn.XLOOKUP($A98&amp;$B98&amp;$C98,盘货信息!$A:$A&amp;盘货信息!$B:$B&amp;盘货信息!$C:$C,盘货信息!$J:$J)&lt;1,"",ROUND(_xlfn.XLOOKUP($A98&amp;$B98&amp;$C98,盘货信息!$A:$A&amp;盘货信息!$B:$B&amp;盘货信息!$C:$C,盘货信息!$J:$J),0)&amp;"元限时补贴"))</f>
        <v/>
      </c>
      <c r="K98" s="27" t="str" cm="1">
        <f t="array" ref="K98">IF($C98="","",IF(_xlfn.XLOOKUP($A98&amp;$B98&amp;$C98,盘货信息!$A:$A&amp;盘货信息!$B:$B&amp;盘货信息!$C:$C,盘货信息!$K:$K)&lt;1,"",ROUND(_xlfn.XLOOKUP($A98&amp;$B98&amp;$C98,盘货信息!$A:$A&amp;盘货信息!$B:$B&amp;盘货信息!$C:$C,盘货信息!$K:$K),0)&amp;"元预估焕新补贴"))</f>
        <v/>
      </c>
      <c r="L98" s="27" t="str" cm="1">
        <f t="array" ref="L98">IF($C98="","",IF(AND(_xlfn.XLOOKUP($A98&amp;$B98&amp;$C98,盘货信息!$A:$A&amp;盘货信息!$B:$B&amp;盘货信息!$C:$C,盘货信息!$L:$L)="是",_xlfn.XLOOKUP($A98&amp;$B98&amp;$C98,盘货信息!$A:$A&amp;盘货信息!$B:$B&amp;盘货信息!$C:$C,盘货信息!$M:$M)="是",_xlfn.XLOOKUP($A98&amp;$B98&amp;$C98,盘货信息!$A:$A&amp;盘货信息!$B:$B&amp;盘货信息!$C:$C,盘货信息!$K:$K)&gt;0),"【全民可用，不限地址】",IF(AND(OR(_xlfn.XLOOKUP($A98&amp;$B98&amp;$C98,盘货信息!$A:$A&amp;盘货信息!$B:$B&amp;盘货信息!$C:$C,盘货信息!$L:$L)="否",_xlfn.XLOOKUP($A98&amp;$B98&amp;$C98,盘货信息!$A:$A&amp;盘货信息!$B:$B&amp;盘货信息!$C:$C,盘货信息!$L:$L)=""),_xlfn.XLOOKUP($A98&amp;$B98&amp;$C98,盘货信息!$A:$A&amp;盘货信息!$B:$B&amp;盘货信息!$C:$C,盘货信息!$M:$M)="是",_xlfn.XLOOKUP($A98&amp;$B98&amp;$C98,盘货信息!$A:$A&amp;盘货信息!$B:$B&amp;盘货信息!$C:$C,盘货信息!$K:$K)&gt;0),"【详情页领取】","")))</f>
        <v/>
      </c>
      <c r="M98" s="27" t="str" cm="1">
        <f t="array" ref="M98">IF($C98="","",IF(_xlfn.XLOOKUP($A98&amp;$B98&amp;$C98,盘货信息!$A:$A&amp;盘货信息!$B:$B&amp;盘货信息!$C:$C,盘货信息!$F:$F)&lt;1,"",_xlfn.XLOOKUP($A98&amp;$B98&amp;$C98,盘货信息!$A:$A&amp;盘货信息!$B:$B&amp;盘货信息!$C:$C,盘货信息!$F:$F)&amp;"元明卷"))</f>
        <v/>
      </c>
      <c r="N98" s="27" t="str">
        <f t="shared" si="3"/>
        <v/>
      </c>
      <c r="O98" s="27" t="str">
        <f>IF(I98="","","【消费券链接】"&amp;固定信息!$B$6)</f>
        <v/>
      </c>
    </row>
    <row r="99" customHeight="1" spans="1:15">
      <c r="A99" s="26" t="str">
        <f>IF(盘货信息!A99="","",盘货信息!A99)</f>
        <v/>
      </c>
      <c r="B99" s="26" t="str">
        <f>IF(盘货信息!B99="","",盘货信息!B99)</f>
        <v/>
      </c>
      <c r="C99" s="23" t="str">
        <f>IF(盘货信息!C99="","",盘货信息!C99)</f>
        <v/>
      </c>
      <c r="D99" s="27" t="str">
        <f t="shared" si="2"/>
        <v/>
      </c>
      <c r="E99" s="27" t="str" cm="1">
        <f t="array" ref="E99">IF($C99="","",IF(AND(OR(_xlfn.XLOOKUP($A99&amp;$B99&amp;$C99,盘货信息!$A:$A&amp;盘货信息!$B:$B&amp;盘货信息!$C:$C,盘货信息!$L:$L)="否",_xlfn.XLOOKUP($A99&amp;$B99&amp;$C99,盘货信息!$A:$A&amp;盘货信息!$B:$B&amp;盘货信息!$C:$C,盘货信息!$L:$L)=""),_xlfn.XLOOKUP($A99&amp;$B99&amp;$C99,盘货信息!$A:$A&amp;盘货信息!$B:$B&amp;盘货信息!$C:$C,盘货信息!$M:$M)="否"),"【预估到手价"&amp;_xlfn.XLOOKUP($A99&amp;$B99&amp;$C99,盘货信息!$A:$A&amp;盘货信息!$B:$B&amp;盘货信息!$C:$C,盘货信息!$D:$D)&amp;"元】",IF(AND(_xlfn.XLOOKUP($A99&amp;$B99&amp;$C99,盘货信息!$A:$A&amp;盘货信息!$B:$B&amp;盘货信息!$C:$C,盘货信息!$M:$M)="是",OR(_xlfn.XLOOKUP($A99&amp;$B99&amp;$C99,盘货信息!$A:$A&amp;盘货信息!$B:$B&amp;盘货信息!$C:$C,盘货信息!$L:$L)="否",_xlfn.XLOOKUP($A99&amp;$B99&amp;$C99,盘货信息!$A:$A&amp;盘货信息!$B:$B&amp;盘货信息!$C:$C,盘货信息!$L:$L)="")),"【预估到手价"&amp;_xlfn.XLOOKUP($A99&amp;$B99&amp;$C99,盘货信息!$A:$A&amp;盘货信息!$B:$B&amp;盘货信息!$C:$C,盘货信息!$D:$D)&amp;"元】"&amp;CHAR(10)&amp;"【焕新补贴预估价"&amp;ROUND(_xlfn.XLOOKUP($A99&amp;$B99&amp;$C99,盘货信息!$A:$A&amp;盘货信息!$B:$B&amp;盘货信息!$C:$C,盘货信息!$E:$E),0)&amp;"元】","【焕新补贴预估价"&amp;ROUND(_xlfn.XLOOKUP($A99&amp;$B99&amp;$C99,盘货信息!$A:$A&amp;盘货信息!$B:$B&amp;盘货信息!$C:$C,盘货信息!$E:$E),0)&amp;"元】")))</f>
        <v/>
      </c>
      <c r="F99" s="27" t="str" cm="1">
        <f t="array" ref="F99">IF($C99="","",_xlfn.XLOOKUP($A99&amp;$B99&amp;$C99,盘货信息!$A:$A&amp;盘货信息!$B:$B&amp;盘货信息!$C:$C,盘货信息!$D:$D)&amp;"元到手价")</f>
        <v/>
      </c>
      <c r="G99" s="27" t="str" cm="1">
        <f t="array" ref="G99">IF($C99="","",IF(_xlfn.XLOOKUP($A99&amp;$B99&amp;$C99,盘货信息!$A:$A&amp;盘货信息!$B:$B&amp;盘货信息!$C:$C,盘货信息!$G:$G)&lt;1,"",ROUND(_xlfn.XLOOKUP($A99&amp;$B99&amp;$C99,盘货信息!$A:$A&amp;盘货信息!$B:$B&amp;盘货信息!$C:$C,盘货信息!$G:$G),0)&amp;"元88VIP立减"))</f>
        <v/>
      </c>
      <c r="H99" s="27" t="str" cm="1">
        <f t="array" ref="H99">IF($C99="","",IF(_xlfn.XLOOKUP($A99&amp;$B99&amp;$C99,盘货信息!$A:$A&amp;盘货信息!$B:$B&amp;盘货信息!$C:$C,盘货信息!$I:$I)&lt;1,"",_xlfn.XLOOKUP($A99&amp;$B99&amp;$C99,盘货信息!$A:$A&amp;盘货信息!$B:$B&amp;盘货信息!$C:$C,盘货信息!$I:$I)&amp;"元惊喜立减"))</f>
        <v/>
      </c>
      <c r="I99" s="27" t="str" cm="1">
        <f t="array" ref="I99">IF($C99="","",IF(_xlfn.XLOOKUP($A99&amp;$B99&amp;$C99,盘货信息!$A:$A&amp;盘货信息!$B:$B&amp;盘货信息!$C:$C,盘货信息!$H:$H)&lt;1,"",ROUND(_xlfn.XLOOKUP($A99&amp;$B99&amp;$C99,盘货信息!$A:$A&amp;盘货信息!$B:$B&amp;盘货信息!$C:$C,盘货信息!$H:$H),0)&amp;"元消费券"))</f>
        <v/>
      </c>
      <c r="J99" s="27" t="str" cm="1">
        <f t="array" ref="J99">IF($C99="","",IF(_xlfn.XLOOKUP($A99&amp;$B99&amp;$C99,盘货信息!$A:$A&amp;盘货信息!$B:$B&amp;盘货信息!$C:$C,盘货信息!$J:$J)&lt;1,"",ROUND(_xlfn.XLOOKUP($A99&amp;$B99&amp;$C99,盘货信息!$A:$A&amp;盘货信息!$B:$B&amp;盘货信息!$C:$C,盘货信息!$J:$J),0)&amp;"元限时补贴"))</f>
        <v/>
      </c>
      <c r="K99" s="27" t="str" cm="1">
        <f t="array" ref="K99">IF($C99="","",IF(_xlfn.XLOOKUP($A99&amp;$B99&amp;$C99,盘货信息!$A:$A&amp;盘货信息!$B:$B&amp;盘货信息!$C:$C,盘货信息!$K:$K)&lt;1,"",ROUND(_xlfn.XLOOKUP($A99&amp;$B99&amp;$C99,盘货信息!$A:$A&amp;盘货信息!$B:$B&amp;盘货信息!$C:$C,盘货信息!$K:$K),0)&amp;"元预估焕新补贴"))</f>
        <v/>
      </c>
      <c r="L99" s="27" t="str" cm="1">
        <f t="array" ref="L99">IF($C99="","",IF(AND(_xlfn.XLOOKUP($A99&amp;$B99&amp;$C99,盘货信息!$A:$A&amp;盘货信息!$B:$B&amp;盘货信息!$C:$C,盘货信息!$L:$L)="是",_xlfn.XLOOKUP($A99&amp;$B99&amp;$C99,盘货信息!$A:$A&amp;盘货信息!$B:$B&amp;盘货信息!$C:$C,盘货信息!$M:$M)="是",_xlfn.XLOOKUP($A99&amp;$B99&amp;$C99,盘货信息!$A:$A&amp;盘货信息!$B:$B&amp;盘货信息!$C:$C,盘货信息!$K:$K)&gt;0),"【全民可用，不限地址】",IF(AND(OR(_xlfn.XLOOKUP($A99&amp;$B99&amp;$C99,盘货信息!$A:$A&amp;盘货信息!$B:$B&amp;盘货信息!$C:$C,盘货信息!$L:$L)="否",_xlfn.XLOOKUP($A99&amp;$B99&amp;$C99,盘货信息!$A:$A&amp;盘货信息!$B:$B&amp;盘货信息!$C:$C,盘货信息!$L:$L)=""),_xlfn.XLOOKUP($A99&amp;$B99&amp;$C99,盘货信息!$A:$A&amp;盘货信息!$B:$B&amp;盘货信息!$C:$C,盘货信息!$M:$M)="是",_xlfn.XLOOKUP($A99&amp;$B99&amp;$C99,盘货信息!$A:$A&amp;盘货信息!$B:$B&amp;盘货信息!$C:$C,盘货信息!$K:$K)&gt;0),"【详情页领取】","")))</f>
        <v/>
      </c>
      <c r="M99" s="27" t="str" cm="1">
        <f t="array" ref="M99">IF($C99="","",IF(_xlfn.XLOOKUP($A99&amp;$B99&amp;$C99,盘货信息!$A:$A&amp;盘货信息!$B:$B&amp;盘货信息!$C:$C,盘货信息!$F:$F)&lt;1,"",_xlfn.XLOOKUP($A99&amp;$B99&amp;$C99,盘货信息!$A:$A&amp;盘货信息!$B:$B&amp;盘货信息!$C:$C,盘货信息!$F:$F)&amp;"元明卷"))</f>
        <v/>
      </c>
      <c r="N99" s="27" t="str">
        <f t="shared" si="3"/>
        <v/>
      </c>
      <c r="O99" s="27" t="str">
        <f>IF(I99="","","【消费券链接】"&amp;固定信息!$B$6)</f>
        <v/>
      </c>
    </row>
    <row r="100" customHeight="1" spans="1:15">
      <c r="A100" s="26" t="str">
        <f>IF(盘货信息!A100="","",盘货信息!A100)</f>
        <v/>
      </c>
      <c r="B100" s="26" t="str">
        <f>IF(盘货信息!B100="","",盘货信息!B100)</f>
        <v/>
      </c>
      <c r="C100" s="23" t="str">
        <f>IF(盘货信息!C100="","",盘货信息!C100)</f>
        <v/>
      </c>
      <c r="D100" s="27" t="str">
        <f t="shared" si="2"/>
        <v/>
      </c>
      <c r="E100" s="27" t="str" cm="1">
        <f t="array" ref="E100">IF($C100="","",IF(AND(OR(_xlfn.XLOOKUP($A100&amp;$B100&amp;$C100,盘货信息!$A:$A&amp;盘货信息!$B:$B&amp;盘货信息!$C:$C,盘货信息!$L:$L)="否",_xlfn.XLOOKUP($A100&amp;$B100&amp;$C100,盘货信息!$A:$A&amp;盘货信息!$B:$B&amp;盘货信息!$C:$C,盘货信息!$L:$L)=""),_xlfn.XLOOKUP($A100&amp;$B100&amp;$C100,盘货信息!$A:$A&amp;盘货信息!$B:$B&amp;盘货信息!$C:$C,盘货信息!$M:$M)="否"),"【预估到手价"&amp;_xlfn.XLOOKUP($A100&amp;$B100&amp;$C100,盘货信息!$A:$A&amp;盘货信息!$B:$B&amp;盘货信息!$C:$C,盘货信息!$D:$D)&amp;"元】",IF(AND(_xlfn.XLOOKUP($A100&amp;$B100&amp;$C100,盘货信息!$A:$A&amp;盘货信息!$B:$B&amp;盘货信息!$C:$C,盘货信息!$M:$M)="是",OR(_xlfn.XLOOKUP($A100&amp;$B100&amp;$C100,盘货信息!$A:$A&amp;盘货信息!$B:$B&amp;盘货信息!$C:$C,盘货信息!$L:$L)="否",_xlfn.XLOOKUP($A100&amp;$B100&amp;$C100,盘货信息!$A:$A&amp;盘货信息!$B:$B&amp;盘货信息!$C:$C,盘货信息!$L:$L)="")),"【预估到手价"&amp;_xlfn.XLOOKUP($A100&amp;$B100&amp;$C100,盘货信息!$A:$A&amp;盘货信息!$B:$B&amp;盘货信息!$C:$C,盘货信息!$D:$D)&amp;"元】"&amp;CHAR(10)&amp;"【焕新补贴预估价"&amp;ROUND(_xlfn.XLOOKUP($A100&amp;$B100&amp;$C100,盘货信息!$A:$A&amp;盘货信息!$B:$B&amp;盘货信息!$C:$C,盘货信息!$E:$E),0)&amp;"元】","【焕新补贴预估价"&amp;ROUND(_xlfn.XLOOKUP($A100&amp;$B100&amp;$C100,盘货信息!$A:$A&amp;盘货信息!$B:$B&amp;盘货信息!$C:$C,盘货信息!$E:$E),0)&amp;"元】")))</f>
        <v/>
      </c>
      <c r="F100" s="27" t="str" cm="1">
        <f t="array" ref="F100">IF($C100="","",_xlfn.XLOOKUP($A100&amp;$B100&amp;$C100,盘货信息!$A:$A&amp;盘货信息!$B:$B&amp;盘货信息!$C:$C,盘货信息!$D:$D)&amp;"元到手价")</f>
        <v/>
      </c>
      <c r="G100" s="27" t="str" cm="1">
        <f t="array" ref="G100">IF($C100="","",IF(_xlfn.XLOOKUP($A100&amp;$B100&amp;$C100,盘货信息!$A:$A&amp;盘货信息!$B:$B&amp;盘货信息!$C:$C,盘货信息!$G:$G)&lt;1,"",ROUND(_xlfn.XLOOKUP($A100&amp;$B100&amp;$C100,盘货信息!$A:$A&amp;盘货信息!$B:$B&amp;盘货信息!$C:$C,盘货信息!$G:$G),0)&amp;"元88VIP立减"))</f>
        <v/>
      </c>
      <c r="H100" s="27" t="str" cm="1">
        <f t="array" ref="H100">IF($C100="","",IF(_xlfn.XLOOKUP($A100&amp;$B100&amp;$C100,盘货信息!$A:$A&amp;盘货信息!$B:$B&amp;盘货信息!$C:$C,盘货信息!$I:$I)&lt;1,"",_xlfn.XLOOKUP($A100&amp;$B100&amp;$C100,盘货信息!$A:$A&amp;盘货信息!$B:$B&amp;盘货信息!$C:$C,盘货信息!$I:$I)&amp;"元惊喜立减"))</f>
        <v/>
      </c>
      <c r="I100" s="27" t="str" cm="1">
        <f t="array" ref="I100">IF($C100="","",IF(_xlfn.XLOOKUP($A100&amp;$B100&amp;$C100,盘货信息!$A:$A&amp;盘货信息!$B:$B&amp;盘货信息!$C:$C,盘货信息!$H:$H)&lt;1,"",ROUND(_xlfn.XLOOKUP($A100&amp;$B100&amp;$C100,盘货信息!$A:$A&amp;盘货信息!$B:$B&amp;盘货信息!$C:$C,盘货信息!$H:$H),0)&amp;"元消费券"))</f>
        <v/>
      </c>
      <c r="J100" s="27" t="str" cm="1">
        <f t="array" ref="J100">IF($C100="","",IF(_xlfn.XLOOKUP($A100&amp;$B100&amp;$C100,盘货信息!$A:$A&amp;盘货信息!$B:$B&amp;盘货信息!$C:$C,盘货信息!$J:$J)&lt;1,"",ROUND(_xlfn.XLOOKUP($A100&amp;$B100&amp;$C100,盘货信息!$A:$A&amp;盘货信息!$B:$B&amp;盘货信息!$C:$C,盘货信息!$J:$J),0)&amp;"元限时补贴"))</f>
        <v/>
      </c>
      <c r="K100" s="27" t="str" cm="1">
        <f t="array" ref="K100">IF($C100="","",IF(_xlfn.XLOOKUP($A100&amp;$B100&amp;$C100,盘货信息!$A:$A&amp;盘货信息!$B:$B&amp;盘货信息!$C:$C,盘货信息!$K:$K)&lt;1,"",ROUND(_xlfn.XLOOKUP($A100&amp;$B100&amp;$C100,盘货信息!$A:$A&amp;盘货信息!$B:$B&amp;盘货信息!$C:$C,盘货信息!$K:$K),0)&amp;"元预估焕新补贴"))</f>
        <v/>
      </c>
      <c r="L100" s="27" t="str" cm="1">
        <f t="array" ref="L100">IF($C100="","",IF(AND(_xlfn.XLOOKUP($A100&amp;$B100&amp;$C100,盘货信息!$A:$A&amp;盘货信息!$B:$B&amp;盘货信息!$C:$C,盘货信息!$L:$L)="是",_xlfn.XLOOKUP($A100&amp;$B100&amp;$C100,盘货信息!$A:$A&amp;盘货信息!$B:$B&amp;盘货信息!$C:$C,盘货信息!$M:$M)="是",_xlfn.XLOOKUP($A100&amp;$B100&amp;$C100,盘货信息!$A:$A&amp;盘货信息!$B:$B&amp;盘货信息!$C:$C,盘货信息!$K:$K)&gt;0),"【全民可用，不限地址】",IF(AND(OR(_xlfn.XLOOKUP($A100&amp;$B100&amp;$C100,盘货信息!$A:$A&amp;盘货信息!$B:$B&amp;盘货信息!$C:$C,盘货信息!$L:$L)="否",_xlfn.XLOOKUP($A100&amp;$B100&amp;$C100,盘货信息!$A:$A&amp;盘货信息!$B:$B&amp;盘货信息!$C:$C,盘货信息!$L:$L)=""),_xlfn.XLOOKUP($A100&amp;$B100&amp;$C100,盘货信息!$A:$A&amp;盘货信息!$B:$B&amp;盘货信息!$C:$C,盘货信息!$M:$M)="是",_xlfn.XLOOKUP($A100&amp;$B100&amp;$C100,盘货信息!$A:$A&amp;盘货信息!$B:$B&amp;盘货信息!$C:$C,盘货信息!$K:$K)&gt;0),"【详情页领取】","")))</f>
        <v/>
      </c>
      <c r="M100" s="27" t="str" cm="1">
        <f t="array" ref="M100">IF($C100="","",IF(_xlfn.XLOOKUP($A100&amp;$B100&amp;$C100,盘货信息!$A:$A&amp;盘货信息!$B:$B&amp;盘货信息!$C:$C,盘货信息!$F:$F)&lt;1,"",_xlfn.XLOOKUP($A100&amp;$B100&amp;$C100,盘货信息!$A:$A&amp;盘货信息!$B:$B&amp;盘货信息!$C:$C,盘货信息!$F:$F)&amp;"元明卷"))</f>
        <v/>
      </c>
      <c r="N100" s="27" t="str">
        <f t="shared" si="3"/>
        <v/>
      </c>
      <c r="O100" s="27" t="str">
        <f>IF(I100="","","【消费券链接】"&amp;固定信息!$B$6)</f>
        <v/>
      </c>
    </row>
    <row r="101" customHeight="1" spans="1:15">
      <c r="A101" s="26" t="str">
        <f>IF(盘货信息!A101="","",盘货信息!A101)</f>
        <v/>
      </c>
      <c r="B101" s="26" t="str">
        <f>IF(盘货信息!B101="","",盘货信息!B101)</f>
        <v/>
      </c>
      <c r="C101" s="23" t="str">
        <f>IF(盘货信息!C101="","",盘货信息!C101)</f>
        <v/>
      </c>
      <c r="D101" s="27" t="str">
        <f t="shared" si="2"/>
        <v/>
      </c>
      <c r="E101" s="27" t="str" cm="1">
        <f t="array" ref="E101">IF($C101="","",IF(AND(OR(_xlfn.XLOOKUP($A101&amp;$B101&amp;$C101,盘货信息!$A:$A&amp;盘货信息!$B:$B&amp;盘货信息!$C:$C,盘货信息!$L:$L)="否",_xlfn.XLOOKUP($A101&amp;$B101&amp;$C101,盘货信息!$A:$A&amp;盘货信息!$B:$B&amp;盘货信息!$C:$C,盘货信息!$L:$L)=""),_xlfn.XLOOKUP($A101&amp;$B101&amp;$C101,盘货信息!$A:$A&amp;盘货信息!$B:$B&amp;盘货信息!$C:$C,盘货信息!$M:$M)="否"),"【预估到手价"&amp;_xlfn.XLOOKUP($A101&amp;$B101&amp;$C101,盘货信息!$A:$A&amp;盘货信息!$B:$B&amp;盘货信息!$C:$C,盘货信息!$D:$D)&amp;"元】",IF(AND(_xlfn.XLOOKUP($A101&amp;$B101&amp;$C101,盘货信息!$A:$A&amp;盘货信息!$B:$B&amp;盘货信息!$C:$C,盘货信息!$M:$M)="是",OR(_xlfn.XLOOKUP($A101&amp;$B101&amp;$C101,盘货信息!$A:$A&amp;盘货信息!$B:$B&amp;盘货信息!$C:$C,盘货信息!$L:$L)="否",_xlfn.XLOOKUP($A101&amp;$B101&amp;$C101,盘货信息!$A:$A&amp;盘货信息!$B:$B&amp;盘货信息!$C:$C,盘货信息!$L:$L)="")),"【预估到手价"&amp;_xlfn.XLOOKUP($A101&amp;$B101&amp;$C101,盘货信息!$A:$A&amp;盘货信息!$B:$B&amp;盘货信息!$C:$C,盘货信息!$D:$D)&amp;"元】"&amp;CHAR(10)&amp;"【焕新补贴预估价"&amp;ROUND(_xlfn.XLOOKUP($A101&amp;$B101&amp;$C101,盘货信息!$A:$A&amp;盘货信息!$B:$B&amp;盘货信息!$C:$C,盘货信息!$E:$E),0)&amp;"元】","【焕新补贴预估价"&amp;ROUND(_xlfn.XLOOKUP($A101&amp;$B101&amp;$C101,盘货信息!$A:$A&amp;盘货信息!$B:$B&amp;盘货信息!$C:$C,盘货信息!$E:$E),0)&amp;"元】")))</f>
        <v/>
      </c>
      <c r="F101" s="27" t="str" cm="1">
        <f t="array" ref="F101">IF($C101="","",_xlfn.XLOOKUP($A101&amp;$B101&amp;$C101,盘货信息!$A:$A&amp;盘货信息!$B:$B&amp;盘货信息!$C:$C,盘货信息!$D:$D)&amp;"元到手价")</f>
        <v/>
      </c>
      <c r="G101" s="27" t="str" cm="1">
        <f t="array" ref="G101">IF($C101="","",IF(_xlfn.XLOOKUP($A101&amp;$B101&amp;$C101,盘货信息!$A:$A&amp;盘货信息!$B:$B&amp;盘货信息!$C:$C,盘货信息!$G:$G)&lt;1,"",ROUND(_xlfn.XLOOKUP($A101&amp;$B101&amp;$C101,盘货信息!$A:$A&amp;盘货信息!$B:$B&amp;盘货信息!$C:$C,盘货信息!$G:$G),0)&amp;"元88VIP立减"))</f>
        <v/>
      </c>
      <c r="H101" s="27" t="str" cm="1">
        <f t="array" ref="H101">IF($C101="","",IF(_xlfn.XLOOKUP($A101&amp;$B101&amp;$C101,盘货信息!$A:$A&amp;盘货信息!$B:$B&amp;盘货信息!$C:$C,盘货信息!$I:$I)&lt;1,"",_xlfn.XLOOKUP($A101&amp;$B101&amp;$C101,盘货信息!$A:$A&amp;盘货信息!$B:$B&amp;盘货信息!$C:$C,盘货信息!$I:$I)&amp;"元惊喜立减"))</f>
        <v/>
      </c>
      <c r="I101" s="27" t="str" cm="1">
        <f t="array" ref="I101">IF($C101="","",IF(_xlfn.XLOOKUP($A101&amp;$B101&amp;$C101,盘货信息!$A:$A&amp;盘货信息!$B:$B&amp;盘货信息!$C:$C,盘货信息!$H:$H)&lt;1,"",ROUND(_xlfn.XLOOKUP($A101&amp;$B101&amp;$C101,盘货信息!$A:$A&amp;盘货信息!$B:$B&amp;盘货信息!$C:$C,盘货信息!$H:$H),0)&amp;"元消费券"))</f>
        <v/>
      </c>
      <c r="J101" s="27" t="str" cm="1">
        <f t="array" ref="J101">IF($C101="","",IF(_xlfn.XLOOKUP($A101&amp;$B101&amp;$C101,盘货信息!$A:$A&amp;盘货信息!$B:$B&amp;盘货信息!$C:$C,盘货信息!$J:$J)&lt;1,"",ROUND(_xlfn.XLOOKUP($A101&amp;$B101&amp;$C101,盘货信息!$A:$A&amp;盘货信息!$B:$B&amp;盘货信息!$C:$C,盘货信息!$J:$J),0)&amp;"元限时补贴"))</f>
        <v/>
      </c>
      <c r="K101" s="27" t="str" cm="1">
        <f t="array" ref="K101">IF($C101="","",IF(_xlfn.XLOOKUP($A101&amp;$B101&amp;$C101,盘货信息!$A:$A&amp;盘货信息!$B:$B&amp;盘货信息!$C:$C,盘货信息!$K:$K)&lt;1,"",ROUND(_xlfn.XLOOKUP($A101&amp;$B101&amp;$C101,盘货信息!$A:$A&amp;盘货信息!$B:$B&amp;盘货信息!$C:$C,盘货信息!$K:$K),0)&amp;"元预估焕新补贴"))</f>
        <v/>
      </c>
      <c r="L101" s="27" t="str" cm="1">
        <f t="array" ref="L101">IF($C101="","",IF(AND(_xlfn.XLOOKUP($A101&amp;$B101&amp;$C101,盘货信息!$A:$A&amp;盘货信息!$B:$B&amp;盘货信息!$C:$C,盘货信息!$L:$L)="是",_xlfn.XLOOKUP($A101&amp;$B101&amp;$C101,盘货信息!$A:$A&amp;盘货信息!$B:$B&amp;盘货信息!$C:$C,盘货信息!$M:$M)="是",_xlfn.XLOOKUP($A101&amp;$B101&amp;$C101,盘货信息!$A:$A&amp;盘货信息!$B:$B&amp;盘货信息!$C:$C,盘货信息!$K:$K)&gt;0),"【全民可用，不限地址】",IF(AND(OR(_xlfn.XLOOKUP($A101&amp;$B101&amp;$C101,盘货信息!$A:$A&amp;盘货信息!$B:$B&amp;盘货信息!$C:$C,盘货信息!$L:$L)="否",_xlfn.XLOOKUP($A101&amp;$B101&amp;$C101,盘货信息!$A:$A&amp;盘货信息!$B:$B&amp;盘货信息!$C:$C,盘货信息!$L:$L)=""),_xlfn.XLOOKUP($A101&amp;$B101&amp;$C101,盘货信息!$A:$A&amp;盘货信息!$B:$B&amp;盘货信息!$C:$C,盘货信息!$M:$M)="是",_xlfn.XLOOKUP($A101&amp;$B101&amp;$C101,盘货信息!$A:$A&amp;盘货信息!$B:$B&amp;盘货信息!$C:$C,盘货信息!$K:$K)&gt;0),"【详情页领取】","")))</f>
        <v/>
      </c>
      <c r="M101" s="27" t="str" cm="1">
        <f t="array" ref="M101">IF($C101="","",IF(_xlfn.XLOOKUP($A101&amp;$B101&amp;$C101,盘货信息!$A:$A&amp;盘货信息!$B:$B&amp;盘货信息!$C:$C,盘货信息!$F:$F)&lt;1,"",_xlfn.XLOOKUP($A101&amp;$B101&amp;$C101,盘货信息!$A:$A&amp;盘货信息!$B:$B&amp;盘货信息!$C:$C,盘货信息!$F:$F)&amp;"元明卷"))</f>
        <v/>
      </c>
      <c r="N101" s="27" t="str">
        <f t="shared" si="3"/>
        <v/>
      </c>
      <c r="O101" s="27" t="str">
        <f>IF(I101="","","【消费券链接】"&amp;固定信息!$B$6)</f>
        <v/>
      </c>
    </row>
    <row r="102" customHeight="1" spans="1:15">
      <c r="A102" s="26" t="str">
        <f>IF(盘货信息!A102="","",盘货信息!A102)</f>
        <v/>
      </c>
      <c r="B102" s="26" t="str">
        <f>IF(盘货信息!B102="","",盘货信息!B102)</f>
        <v/>
      </c>
      <c r="C102" s="23" t="str">
        <f>IF(盘货信息!C102="","",盘货信息!C102)</f>
        <v/>
      </c>
      <c r="D102" s="27" t="str">
        <f t="shared" si="2"/>
        <v/>
      </c>
      <c r="E102" s="27" t="str" cm="1">
        <f t="array" ref="E102">IF($C102="","",IF(AND(OR(_xlfn.XLOOKUP($A102&amp;$B102&amp;$C102,盘货信息!$A:$A&amp;盘货信息!$B:$B&amp;盘货信息!$C:$C,盘货信息!$L:$L)="否",_xlfn.XLOOKUP($A102&amp;$B102&amp;$C102,盘货信息!$A:$A&amp;盘货信息!$B:$B&amp;盘货信息!$C:$C,盘货信息!$L:$L)=""),_xlfn.XLOOKUP($A102&amp;$B102&amp;$C102,盘货信息!$A:$A&amp;盘货信息!$B:$B&amp;盘货信息!$C:$C,盘货信息!$M:$M)="否"),"【预估到手价"&amp;_xlfn.XLOOKUP($A102&amp;$B102&amp;$C102,盘货信息!$A:$A&amp;盘货信息!$B:$B&amp;盘货信息!$C:$C,盘货信息!$D:$D)&amp;"元】",IF(AND(_xlfn.XLOOKUP($A102&amp;$B102&amp;$C102,盘货信息!$A:$A&amp;盘货信息!$B:$B&amp;盘货信息!$C:$C,盘货信息!$M:$M)="是",OR(_xlfn.XLOOKUP($A102&amp;$B102&amp;$C102,盘货信息!$A:$A&amp;盘货信息!$B:$B&amp;盘货信息!$C:$C,盘货信息!$L:$L)="否",_xlfn.XLOOKUP($A102&amp;$B102&amp;$C102,盘货信息!$A:$A&amp;盘货信息!$B:$B&amp;盘货信息!$C:$C,盘货信息!$L:$L)="")),"【预估到手价"&amp;_xlfn.XLOOKUP($A102&amp;$B102&amp;$C102,盘货信息!$A:$A&amp;盘货信息!$B:$B&amp;盘货信息!$C:$C,盘货信息!$D:$D)&amp;"元】"&amp;CHAR(10)&amp;"【焕新补贴预估价"&amp;ROUND(_xlfn.XLOOKUP($A102&amp;$B102&amp;$C102,盘货信息!$A:$A&amp;盘货信息!$B:$B&amp;盘货信息!$C:$C,盘货信息!$E:$E),0)&amp;"元】","【焕新补贴预估价"&amp;ROUND(_xlfn.XLOOKUP($A102&amp;$B102&amp;$C102,盘货信息!$A:$A&amp;盘货信息!$B:$B&amp;盘货信息!$C:$C,盘货信息!$E:$E),0)&amp;"元】")))</f>
        <v/>
      </c>
      <c r="F102" s="27" t="str" cm="1">
        <f t="array" ref="F102">IF($C102="","",_xlfn.XLOOKUP($A102&amp;$B102&amp;$C102,盘货信息!$A:$A&amp;盘货信息!$B:$B&amp;盘货信息!$C:$C,盘货信息!$D:$D)&amp;"元到手价")</f>
        <v/>
      </c>
      <c r="G102" s="27" t="str" cm="1">
        <f t="array" ref="G102">IF($C102="","",IF(_xlfn.XLOOKUP($A102&amp;$B102&amp;$C102,盘货信息!$A:$A&amp;盘货信息!$B:$B&amp;盘货信息!$C:$C,盘货信息!$G:$G)&lt;1,"",ROUND(_xlfn.XLOOKUP($A102&amp;$B102&amp;$C102,盘货信息!$A:$A&amp;盘货信息!$B:$B&amp;盘货信息!$C:$C,盘货信息!$G:$G),0)&amp;"元88VIP立减"))</f>
        <v/>
      </c>
      <c r="H102" s="27" t="str" cm="1">
        <f t="array" ref="H102">IF($C102="","",IF(_xlfn.XLOOKUP($A102&amp;$B102&amp;$C102,盘货信息!$A:$A&amp;盘货信息!$B:$B&amp;盘货信息!$C:$C,盘货信息!$I:$I)&lt;1,"",_xlfn.XLOOKUP($A102&amp;$B102&amp;$C102,盘货信息!$A:$A&amp;盘货信息!$B:$B&amp;盘货信息!$C:$C,盘货信息!$I:$I)&amp;"元惊喜立减"))</f>
        <v/>
      </c>
      <c r="I102" s="27" t="str" cm="1">
        <f t="array" ref="I102">IF($C102="","",IF(_xlfn.XLOOKUP($A102&amp;$B102&amp;$C102,盘货信息!$A:$A&amp;盘货信息!$B:$B&amp;盘货信息!$C:$C,盘货信息!$H:$H)&lt;1,"",ROUND(_xlfn.XLOOKUP($A102&amp;$B102&amp;$C102,盘货信息!$A:$A&amp;盘货信息!$B:$B&amp;盘货信息!$C:$C,盘货信息!$H:$H),0)&amp;"元消费券"))</f>
        <v/>
      </c>
      <c r="J102" s="27" t="str" cm="1">
        <f t="array" ref="J102">IF($C102="","",IF(_xlfn.XLOOKUP($A102&amp;$B102&amp;$C102,盘货信息!$A:$A&amp;盘货信息!$B:$B&amp;盘货信息!$C:$C,盘货信息!$J:$J)&lt;1,"",ROUND(_xlfn.XLOOKUP($A102&amp;$B102&amp;$C102,盘货信息!$A:$A&amp;盘货信息!$B:$B&amp;盘货信息!$C:$C,盘货信息!$J:$J),0)&amp;"元限时补贴"))</f>
        <v/>
      </c>
      <c r="K102" s="27" t="str" cm="1">
        <f t="array" ref="K102">IF($C102="","",IF(_xlfn.XLOOKUP($A102&amp;$B102&amp;$C102,盘货信息!$A:$A&amp;盘货信息!$B:$B&amp;盘货信息!$C:$C,盘货信息!$K:$K)&lt;1,"",ROUND(_xlfn.XLOOKUP($A102&amp;$B102&amp;$C102,盘货信息!$A:$A&amp;盘货信息!$B:$B&amp;盘货信息!$C:$C,盘货信息!$K:$K),0)&amp;"元预估焕新补贴"))</f>
        <v/>
      </c>
      <c r="L102" s="27" t="str" cm="1">
        <f t="array" ref="L102">IF($C102="","",IF(AND(_xlfn.XLOOKUP($A102&amp;$B102&amp;$C102,盘货信息!$A:$A&amp;盘货信息!$B:$B&amp;盘货信息!$C:$C,盘货信息!$L:$L)="是",_xlfn.XLOOKUP($A102&amp;$B102&amp;$C102,盘货信息!$A:$A&amp;盘货信息!$B:$B&amp;盘货信息!$C:$C,盘货信息!$M:$M)="是",_xlfn.XLOOKUP($A102&amp;$B102&amp;$C102,盘货信息!$A:$A&amp;盘货信息!$B:$B&amp;盘货信息!$C:$C,盘货信息!$K:$K)&gt;0),"【全民可用，不限地址】",IF(AND(OR(_xlfn.XLOOKUP($A102&amp;$B102&amp;$C102,盘货信息!$A:$A&amp;盘货信息!$B:$B&amp;盘货信息!$C:$C,盘货信息!$L:$L)="否",_xlfn.XLOOKUP($A102&amp;$B102&amp;$C102,盘货信息!$A:$A&amp;盘货信息!$B:$B&amp;盘货信息!$C:$C,盘货信息!$L:$L)=""),_xlfn.XLOOKUP($A102&amp;$B102&amp;$C102,盘货信息!$A:$A&amp;盘货信息!$B:$B&amp;盘货信息!$C:$C,盘货信息!$M:$M)="是",_xlfn.XLOOKUP($A102&amp;$B102&amp;$C102,盘货信息!$A:$A&amp;盘货信息!$B:$B&amp;盘货信息!$C:$C,盘货信息!$K:$K)&gt;0),"【详情页领取】","")))</f>
        <v/>
      </c>
      <c r="M102" s="27" t="str" cm="1">
        <f t="array" ref="M102">IF($C102="","",IF(_xlfn.XLOOKUP($A102&amp;$B102&amp;$C102,盘货信息!$A:$A&amp;盘货信息!$B:$B&amp;盘货信息!$C:$C,盘货信息!$F:$F)&lt;1,"",_xlfn.XLOOKUP($A102&amp;$B102&amp;$C102,盘货信息!$A:$A&amp;盘货信息!$B:$B&amp;盘货信息!$C:$C,盘货信息!$F:$F)&amp;"元明卷"))</f>
        <v/>
      </c>
      <c r="N102" s="27" t="str">
        <f t="shared" si="3"/>
        <v/>
      </c>
      <c r="O102" s="27" t="str">
        <f>IF(I102="","","【消费券链接】"&amp;固定信息!$B$6)</f>
        <v/>
      </c>
    </row>
    <row r="103" customHeight="1" spans="1:15">
      <c r="A103" s="26" t="str">
        <f>IF(盘货信息!A103="","",盘货信息!A103)</f>
        <v/>
      </c>
      <c r="B103" s="26" t="str">
        <f>IF(盘货信息!B103="","",盘货信息!B103)</f>
        <v/>
      </c>
      <c r="C103" s="23" t="str">
        <f>IF(盘货信息!C103="","",盘货信息!C103)</f>
        <v/>
      </c>
      <c r="D103" s="27" t="str">
        <f t="shared" si="2"/>
        <v/>
      </c>
      <c r="E103" s="27" t="str" cm="1">
        <f t="array" ref="E103">IF($C103="","",IF(AND(OR(_xlfn.XLOOKUP($A103&amp;$B103&amp;$C103,盘货信息!$A:$A&amp;盘货信息!$B:$B&amp;盘货信息!$C:$C,盘货信息!$L:$L)="否",_xlfn.XLOOKUP($A103&amp;$B103&amp;$C103,盘货信息!$A:$A&amp;盘货信息!$B:$B&amp;盘货信息!$C:$C,盘货信息!$L:$L)=""),_xlfn.XLOOKUP($A103&amp;$B103&amp;$C103,盘货信息!$A:$A&amp;盘货信息!$B:$B&amp;盘货信息!$C:$C,盘货信息!$M:$M)="否"),"【预估到手价"&amp;_xlfn.XLOOKUP($A103&amp;$B103&amp;$C103,盘货信息!$A:$A&amp;盘货信息!$B:$B&amp;盘货信息!$C:$C,盘货信息!$D:$D)&amp;"元】",IF(AND(_xlfn.XLOOKUP($A103&amp;$B103&amp;$C103,盘货信息!$A:$A&amp;盘货信息!$B:$B&amp;盘货信息!$C:$C,盘货信息!$M:$M)="是",OR(_xlfn.XLOOKUP($A103&amp;$B103&amp;$C103,盘货信息!$A:$A&amp;盘货信息!$B:$B&amp;盘货信息!$C:$C,盘货信息!$L:$L)="否",_xlfn.XLOOKUP($A103&amp;$B103&amp;$C103,盘货信息!$A:$A&amp;盘货信息!$B:$B&amp;盘货信息!$C:$C,盘货信息!$L:$L)="")),"【预估到手价"&amp;_xlfn.XLOOKUP($A103&amp;$B103&amp;$C103,盘货信息!$A:$A&amp;盘货信息!$B:$B&amp;盘货信息!$C:$C,盘货信息!$D:$D)&amp;"元】"&amp;CHAR(10)&amp;"【焕新补贴预估价"&amp;ROUND(_xlfn.XLOOKUP($A103&amp;$B103&amp;$C103,盘货信息!$A:$A&amp;盘货信息!$B:$B&amp;盘货信息!$C:$C,盘货信息!$E:$E),0)&amp;"元】","【焕新补贴预估价"&amp;ROUND(_xlfn.XLOOKUP($A103&amp;$B103&amp;$C103,盘货信息!$A:$A&amp;盘货信息!$B:$B&amp;盘货信息!$C:$C,盘货信息!$E:$E),0)&amp;"元】")))</f>
        <v/>
      </c>
      <c r="F103" s="27" t="str" cm="1">
        <f t="array" ref="F103">IF($C103="","",_xlfn.XLOOKUP($A103&amp;$B103&amp;$C103,盘货信息!$A:$A&amp;盘货信息!$B:$B&amp;盘货信息!$C:$C,盘货信息!$D:$D)&amp;"元到手价")</f>
        <v/>
      </c>
      <c r="G103" s="27" t="str" cm="1">
        <f t="array" ref="G103">IF($C103="","",IF(_xlfn.XLOOKUP($A103&amp;$B103&amp;$C103,盘货信息!$A:$A&amp;盘货信息!$B:$B&amp;盘货信息!$C:$C,盘货信息!$G:$G)&lt;1,"",ROUND(_xlfn.XLOOKUP($A103&amp;$B103&amp;$C103,盘货信息!$A:$A&amp;盘货信息!$B:$B&amp;盘货信息!$C:$C,盘货信息!$G:$G),0)&amp;"元88VIP立减"))</f>
        <v/>
      </c>
      <c r="H103" s="27" t="str" cm="1">
        <f t="array" ref="H103">IF($C103="","",IF(_xlfn.XLOOKUP($A103&amp;$B103&amp;$C103,盘货信息!$A:$A&amp;盘货信息!$B:$B&amp;盘货信息!$C:$C,盘货信息!$I:$I)&lt;1,"",_xlfn.XLOOKUP($A103&amp;$B103&amp;$C103,盘货信息!$A:$A&amp;盘货信息!$B:$B&amp;盘货信息!$C:$C,盘货信息!$I:$I)&amp;"元惊喜立减"))</f>
        <v/>
      </c>
      <c r="I103" s="27" t="str" cm="1">
        <f t="array" ref="I103">IF($C103="","",IF(_xlfn.XLOOKUP($A103&amp;$B103&amp;$C103,盘货信息!$A:$A&amp;盘货信息!$B:$B&amp;盘货信息!$C:$C,盘货信息!$H:$H)&lt;1,"",ROUND(_xlfn.XLOOKUP($A103&amp;$B103&amp;$C103,盘货信息!$A:$A&amp;盘货信息!$B:$B&amp;盘货信息!$C:$C,盘货信息!$H:$H),0)&amp;"元消费券"))</f>
        <v/>
      </c>
      <c r="J103" s="27" t="str" cm="1">
        <f t="array" ref="J103">IF($C103="","",IF(_xlfn.XLOOKUP($A103&amp;$B103&amp;$C103,盘货信息!$A:$A&amp;盘货信息!$B:$B&amp;盘货信息!$C:$C,盘货信息!$J:$J)&lt;1,"",ROUND(_xlfn.XLOOKUP($A103&amp;$B103&amp;$C103,盘货信息!$A:$A&amp;盘货信息!$B:$B&amp;盘货信息!$C:$C,盘货信息!$J:$J),0)&amp;"元限时补贴"))</f>
        <v/>
      </c>
      <c r="K103" s="27" t="str" cm="1">
        <f t="array" ref="K103">IF($C103="","",IF(_xlfn.XLOOKUP($A103&amp;$B103&amp;$C103,盘货信息!$A:$A&amp;盘货信息!$B:$B&amp;盘货信息!$C:$C,盘货信息!$K:$K)&lt;1,"",ROUND(_xlfn.XLOOKUP($A103&amp;$B103&amp;$C103,盘货信息!$A:$A&amp;盘货信息!$B:$B&amp;盘货信息!$C:$C,盘货信息!$K:$K),0)&amp;"元预估焕新补贴"))</f>
        <v/>
      </c>
      <c r="L103" s="27" t="str" cm="1">
        <f t="array" ref="L103">IF($C103="","",IF(AND(_xlfn.XLOOKUP($A103&amp;$B103&amp;$C103,盘货信息!$A:$A&amp;盘货信息!$B:$B&amp;盘货信息!$C:$C,盘货信息!$L:$L)="是",_xlfn.XLOOKUP($A103&amp;$B103&amp;$C103,盘货信息!$A:$A&amp;盘货信息!$B:$B&amp;盘货信息!$C:$C,盘货信息!$M:$M)="是",_xlfn.XLOOKUP($A103&amp;$B103&amp;$C103,盘货信息!$A:$A&amp;盘货信息!$B:$B&amp;盘货信息!$C:$C,盘货信息!$K:$K)&gt;0),"【全民可用，不限地址】",IF(AND(OR(_xlfn.XLOOKUP($A103&amp;$B103&amp;$C103,盘货信息!$A:$A&amp;盘货信息!$B:$B&amp;盘货信息!$C:$C,盘货信息!$L:$L)="否",_xlfn.XLOOKUP($A103&amp;$B103&amp;$C103,盘货信息!$A:$A&amp;盘货信息!$B:$B&amp;盘货信息!$C:$C,盘货信息!$L:$L)=""),_xlfn.XLOOKUP($A103&amp;$B103&amp;$C103,盘货信息!$A:$A&amp;盘货信息!$B:$B&amp;盘货信息!$C:$C,盘货信息!$M:$M)="是",_xlfn.XLOOKUP($A103&amp;$B103&amp;$C103,盘货信息!$A:$A&amp;盘货信息!$B:$B&amp;盘货信息!$C:$C,盘货信息!$K:$K)&gt;0),"【详情页领取】","")))</f>
        <v/>
      </c>
      <c r="M103" s="27" t="str" cm="1">
        <f t="array" ref="M103">IF($C103="","",IF(_xlfn.XLOOKUP($A103&amp;$B103&amp;$C103,盘货信息!$A:$A&amp;盘货信息!$B:$B&amp;盘货信息!$C:$C,盘货信息!$F:$F)&lt;1,"",_xlfn.XLOOKUP($A103&amp;$B103&amp;$C103,盘货信息!$A:$A&amp;盘货信息!$B:$B&amp;盘货信息!$C:$C,盘货信息!$F:$F)&amp;"元明卷"))</f>
        <v/>
      </c>
      <c r="N103" s="27" t="str">
        <f t="shared" si="3"/>
        <v/>
      </c>
      <c r="O103" s="27" t="str">
        <f>IF(I103="","","【消费券链接】"&amp;固定信息!$B$6)</f>
        <v/>
      </c>
    </row>
    <row r="104" customHeight="1" spans="1:15">
      <c r="A104" s="26" t="str">
        <f>IF(盘货信息!A104="","",盘货信息!A104)</f>
        <v/>
      </c>
      <c r="B104" s="26" t="str">
        <f>IF(盘货信息!B104="","",盘货信息!B104)</f>
        <v/>
      </c>
      <c r="C104" s="23" t="str">
        <f>IF(盘货信息!C104="","",盘货信息!C104)</f>
        <v/>
      </c>
      <c r="D104" s="27" t="str">
        <f t="shared" si="2"/>
        <v/>
      </c>
      <c r="E104" s="27" t="str" cm="1">
        <f t="array" ref="E104">IF($C104="","",IF(AND(OR(_xlfn.XLOOKUP($A104&amp;$B104&amp;$C104,盘货信息!$A:$A&amp;盘货信息!$B:$B&amp;盘货信息!$C:$C,盘货信息!$L:$L)="否",_xlfn.XLOOKUP($A104&amp;$B104&amp;$C104,盘货信息!$A:$A&amp;盘货信息!$B:$B&amp;盘货信息!$C:$C,盘货信息!$L:$L)=""),_xlfn.XLOOKUP($A104&amp;$B104&amp;$C104,盘货信息!$A:$A&amp;盘货信息!$B:$B&amp;盘货信息!$C:$C,盘货信息!$M:$M)="否"),"【预估到手价"&amp;_xlfn.XLOOKUP($A104&amp;$B104&amp;$C104,盘货信息!$A:$A&amp;盘货信息!$B:$B&amp;盘货信息!$C:$C,盘货信息!$D:$D)&amp;"元】",IF(AND(_xlfn.XLOOKUP($A104&amp;$B104&amp;$C104,盘货信息!$A:$A&amp;盘货信息!$B:$B&amp;盘货信息!$C:$C,盘货信息!$M:$M)="是",OR(_xlfn.XLOOKUP($A104&amp;$B104&amp;$C104,盘货信息!$A:$A&amp;盘货信息!$B:$B&amp;盘货信息!$C:$C,盘货信息!$L:$L)="否",_xlfn.XLOOKUP($A104&amp;$B104&amp;$C104,盘货信息!$A:$A&amp;盘货信息!$B:$B&amp;盘货信息!$C:$C,盘货信息!$L:$L)="")),"【预估到手价"&amp;_xlfn.XLOOKUP($A104&amp;$B104&amp;$C104,盘货信息!$A:$A&amp;盘货信息!$B:$B&amp;盘货信息!$C:$C,盘货信息!$D:$D)&amp;"元】"&amp;CHAR(10)&amp;"【焕新补贴预估价"&amp;ROUND(_xlfn.XLOOKUP($A104&amp;$B104&amp;$C104,盘货信息!$A:$A&amp;盘货信息!$B:$B&amp;盘货信息!$C:$C,盘货信息!$E:$E),0)&amp;"元】","【焕新补贴预估价"&amp;ROUND(_xlfn.XLOOKUP($A104&amp;$B104&amp;$C104,盘货信息!$A:$A&amp;盘货信息!$B:$B&amp;盘货信息!$C:$C,盘货信息!$E:$E),0)&amp;"元】")))</f>
        <v/>
      </c>
      <c r="F104" s="27" t="str" cm="1">
        <f t="array" ref="F104">IF($C104="","",_xlfn.XLOOKUP($A104&amp;$B104&amp;$C104,盘货信息!$A:$A&amp;盘货信息!$B:$B&amp;盘货信息!$C:$C,盘货信息!$D:$D)&amp;"元到手价")</f>
        <v/>
      </c>
      <c r="G104" s="27" t="str" cm="1">
        <f t="array" ref="G104">IF($C104="","",IF(_xlfn.XLOOKUP($A104&amp;$B104&amp;$C104,盘货信息!$A:$A&amp;盘货信息!$B:$B&amp;盘货信息!$C:$C,盘货信息!$G:$G)&lt;1,"",ROUND(_xlfn.XLOOKUP($A104&amp;$B104&amp;$C104,盘货信息!$A:$A&amp;盘货信息!$B:$B&amp;盘货信息!$C:$C,盘货信息!$G:$G),0)&amp;"元88VIP立减"))</f>
        <v/>
      </c>
      <c r="H104" s="27" t="str" cm="1">
        <f t="array" ref="H104">IF($C104="","",IF(_xlfn.XLOOKUP($A104&amp;$B104&amp;$C104,盘货信息!$A:$A&amp;盘货信息!$B:$B&amp;盘货信息!$C:$C,盘货信息!$I:$I)&lt;1,"",_xlfn.XLOOKUP($A104&amp;$B104&amp;$C104,盘货信息!$A:$A&amp;盘货信息!$B:$B&amp;盘货信息!$C:$C,盘货信息!$I:$I)&amp;"元惊喜立减"))</f>
        <v/>
      </c>
      <c r="I104" s="27" t="str" cm="1">
        <f t="array" ref="I104">IF($C104="","",IF(_xlfn.XLOOKUP($A104&amp;$B104&amp;$C104,盘货信息!$A:$A&amp;盘货信息!$B:$B&amp;盘货信息!$C:$C,盘货信息!$H:$H)&lt;1,"",ROUND(_xlfn.XLOOKUP($A104&amp;$B104&amp;$C104,盘货信息!$A:$A&amp;盘货信息!$B:$B&amp;盘货信息!$C:$C,盘货信息!$H:$H),0)&amp;"元消费券"))</f>
        <v/>
      </c>
      <c r="J104" s="27" t="str" cm="1">
        <f t="array" ref="J104">IF($C104="","",IF(_xlfn.XLOOKUP($A104&amp;$B104&amp;$C104,盘货信息!$A:$A&amp;盘货信息!$B:$B&amp;盘货信息!$C:$C,盘货信息!$J:$J)&lt;1,"",ROUND(_xlfn.XLOOKUP($A104&amp;$B104&amp;$C104,盘货信息!$A:$A&amp;盘货信息!$B:$B&amp;盘货信息!$C:$C,盘货信息!$J:$J),0)&amp;"元限时补贴"))</f>
        <v/>
      </c>
      <c r="K104" s="27" t="str" cm="1">
        <f t="array" ref="K104">IF($C104="","",IF(_xlfn.XLOOKUP($A104&amp;$B104&amp;$C104,盘货信息!$A:$A&amp;盘货信息!$B:$B&amp;盘货信息!$C:$C,盘货信息!$K:$K)&lt;1,"",ROUND(_xlfn.XLOOKUP($A104&amp;$B104&amp;$C104,盘货信息!$A:$A&amp;盘货信息!$B:$B&amp;盘货信息!$C:$C,盘货信息!$K:$K),0)&amp;"元预估焕新补贴"))</f>
        <v/>
      </c>
      <c r="L104" s="27" t="str" cm="1">
        <f t="array" ref="L104">IF($C104="","",IF(AND(_xlfn.XLOOKUP($A104&amp;$B104&amp;$C104,盘货信息!$A:$A&amp;盘货信息!$B:$B&amp;盘货信息!$C:$C,盘货信息!$L:$L)="是",_xlfn.XLOOKUP($A104&amp;$B104&amp;$C104,盘货信息!$A:$A&amp;盘货信息!$B:$B&amp;盘货信息!$C:$C,盘货信息!$M:$M)="是",_xlfn.XLOOKUP($A104&amp;$B104&amp;$C104,盘货信息!$A:$A&amp;盘货信息!$B:$B&amp;盘货信息!$C:$C,盘货信息!$K:$K)&gt;0),"【全民可用，不限地址】",IF(AND(OR(_xlfn.XLOOKUP($A104&amp;$B104&amp;$C104,盘货信息!$A:$A&amp;盘货信息!$B:$B&amp;盘货信息!$C:$C,盘货信息!$L:$L)="否",_xlfn.XLOOKUP($A104&amp;$B104&amp;$C104,盘货信息!$A:$A&amp;盘货信息!$B:$B&amp;盘货信息!$C:$C,盘货信息!$L:$L)=""),_xlfn.XLOOKUP($A104&amp;$B104&amp;$C104,盘货信息!$A:$A&amp;盘货信息!$B:$B&amp;盘货信息!$C:$C,盘货信息!$M:$M)="是",_xlfn.XLOOKUP($A104&amp;$B104&amp;$C104,盘货信息!$A:$A&amp;盘货信息!$B:$B&amp;盘货信息!$C:$C,盘货信息!$K:$K)&gt;0),"【详情页领取】","")))</f>
        <v/>
      </c>
      <c r="M104" s="27" t="str" cm="1">
        <f t="array" ref="M104">IF($C104="","",IF(_xlfn.XLOOKUP($A104&amp;$B104&amp;$C104,盘货信息!$A:$A&amp;盘货信息!$B:$B&amp;盘货信息!$C:$C,盘货信息!$F:$F)&lt;1,"",_xlfn.XLOOKUP($A104&amp;$B104&amp;$C104,盘货信息!$A:$A&amp;盘货信息!$B:$B&amp;盘货信息!$C:$C,盘货信息!$F:$F)&amp;"元明卷"))</f>
        <v/>
      </c>
      <c r="N104" s="27" t="str">
        <f t="shared" si="3"/>
        <v/>
      </c>
      <c r="O104" s="27" t="str">
        <f>IF(I104="","","【消费券链接】"&amp;固定信息!$B$6)</f>
        <v/>
      </c>
    </row>
    <row r="105" customHeight="1" spans="1:15">
      <c r="A105" s="26" t="str">
        <f>IF(盘货信息!A105="","",盘货信息!A105)</f>
        <v/>
      </c>
      <c r="B105" s="26" t="str">
        <f>IF(盘货信息!B105="","",盘货信息!B105)</f>
        <v/>
      </c>
      <c r="C105" s="23" t="str">
        <f>IF(盘货信息!C105="","",盘货信息!C105)</f>
        <v/>
      </c>
      <c r="D105" s="27" t="str">
        <f t="shared" si="2"/>
        <v/>
      </c>
      <c r="E105" s="27" t="str" cm="1">
        <f t="array" ref="E105">IF($C105="","",IF(AND(OR(_xlfn.XLOOKUP($A105&amp;$B105&amp;$C105,盘货信息!$A:$A&amp;盘货信息!$B:$B&amp;盘货信息!$C:$C,盘货信息!$L:$L)="否",_xlfn.XLOOKUP($A105&amp;$B105&amp;$C105,盘货信息!$A:$A&amp;盘货信息!$B:$B&amp;盘货信息!$C:$C,盘货信息!$L:$L)=""),_xlfn.XLOOKUP($A105&amp;$B105&amp;$C105,盘货信息!$A:$A&amp;盘货信息!$B:$B&amp;盘货信息!$C:$C,盘货信息!$M:$M)="否"),"【预估到手价"&amp;_xlfn.XLOOKUP($A105&amp;$B105&amp;$C105,盘货信息!$A:$A&amp;盘货信息!$B:$B&amp;盘货信息!$C:$C,盘货信息!$D:$D)&amp;"元】",IF(AND(_xlfn.XLOOKUP($A105&amp;$B105&amp;$C105,盘货信息!$A:$A&amp;盘货信息!$B:$B&amp;盘货信息!$C:$C,盘货信息!$M:$M)="是",OR(_xlfn.XLOOKUP($A105&amp;$B105&amp;$C105,盘货信息!$A:$A&amp;盘货信息!$B:$B&amp;盘货信息!$C:$C,盘货信息!$L:$L)="否",_xlfn.XLOOKUP($A105&amp;$B105&amp;$C105,盘货信息!$A:$A&amp;盘货信息!$B:$B&amp;盘货信息!$C:$C,盘货信息!$L:$L)="")),"【预估到手价"&amp;_xlfn.XLOOKUP($A105&amp;$B105&amp;$C105,盘货信息!$A:$A&amp;盘货信息!$B:$B&amp;盘货信息!$C:$C,盘货信息!$D:$D)&amp;"元】"&amp;CHAR(10)&amp;"【焕新补贴预估价"&amp;ROUND(_xlfn.XLOOKUP($A105&amp;$B105&amp;$C105,盘货信息!$A:$A&amp;盘货信息!$B:$B&amp;盘货信息!$C:$C,盘货信息!$E:$E),0)&amp;"元】","【焕新补贴预估价"&amp;ROUND(_xlfn.XLOOKUP($A105&amp;$B105&amp;$C105,盘货信息!$A:$A&amp;盘货信息!$B:$B&amp;盘货信息!$C:$C,盘货信息!$E:$E),0)&amp;"元】")))</f>
        <v/>
      </c>
      <c r="F105" s="27" t="str" cm="1">
        <f t="array" ref="F105">IF($C105="","",_xlfn.XLOOKUP($A105&amp;$B105&amp;$C105,盘货信息!$A:$A&amp;盘货信息!$B:$B&amp;盘货信息!$C:$C,盘货信息!$D:$D)&amp;"元到手价")</f>
        <v/>
      </c>
      <c r="G105" s="27" t="str" cm="1">
        <f t="array" ref="G105">IF($C105="","",IF(_xlfn.XLOOKUP($A105&amp;$B105&amp;$C105,盘货信息!$A:$A&amp;盘货信息!$B:$B&amp;盘货信息!$C:$C,盘货信息!$G:$G)&lt;1,"",ROUND(_xlfn.XLOOKUP($A105&amp;$B105&amp;$C105,盘货信息!$A:$A&amp;盘货信息!$B:$B&amp;盘货信息!$C:$C,盘货信息!$G:$G),0)&amp;"元88VIP立减"))</f>
        <v/>
      </c>
      <c r="H105" s="27" t="str" cm="1">
        <f t="array" ref="H105">IF($C105="","",IF(_xlfn.XLOOKUP($A105&amp;$B105&amp;$C105,盘货信息!$A:$A&amp;盘货信息!$B:$B&amp;盘货信息!$C:$C,盘货信息!$I:$I)&lt;1,"",_xlfn.XLOOKUP($A105&amp;$B105&amp;$C105,盘货信息!$A:$A&amp;盘货信息!$B:$B&amp;盘货信息!$C:$C,盘货信息!$I:$I)&amp;"元惊喜立减"))</f>
        <v/>
      </c>
      <c r="I105" s="27" t="str" cm="1">
        <f t="array" ref="I105">IF($C105="","",IF(_xlfn.XLOOKUP($A105&amp;$B105&amp;$C105,盘货信息!$A:$A&amp;盘货信息!$B:$B&amp;盘货信息!$C:$C,盘货信息!$H:$H)&lt;1,"",ROUND(_xlfn.XLOOKUP($A105&amp;$B105&amp;$C105,盘货信息!$A:$A&amp;盘货信息!$B:$B&amp;盘货信息!$C:$C,盘货信息!$H:$H),0)&amp;"元消费券"))</f>
        <v/>
      </c>
      <c r="J105" s="27" t="str" cm="1">
        <f t="array" ref="J105">IF($C105="","",IF(_xlfn.XLOOKUP($A105&amp;$B105&amp;$C105,盘货信息!$A:$A&amp;盘货信息!$B:$B&amp;盘货信息!$C:$C,盘货信息!$J:$J)&lt;1,"",ROUND(_xlfn.XLOOKUP($A105&amp;$B105&amp;$C105,盘货信息!$A:$A&amp;盘货信息!$B:$B&amp;盘货信息!$C:$C,盘货信息!$J:$J),0)&amp;"元限时补贴"))</f>
        <v/>
      </c>
      <c r="K105" s="27" t="str" cm="1">
        <f t="array" ref="K105">IF($C105="","",IF(_xlfn.XLOOKUP($A105&amp;$B105&amp;$C105,盘货信息!$A:$A&amp;盘货信息!$B:$B&amp;盘货信息!$C:$C,盘货信息!$K:$K)&lt;1,"",ROUND(_xlfn.XLOOKUP($A105&amp;$B105&amp;$C105,盘货信息!$A:$A&amp;盘货信息!$B:$B&amp;盘货信息!$C:$C,盘货信息!$K:$K),0)&amp;"元预估焕新补贴"))</f>
        <v/>
      </c>
      <c r="L105" s="27" t="str" cm="1">
        <f t="array" ref="L105">IF($C105="","",IF(AND(_xlfn.XLOOKUP($A105&amp;$B105&amp;$C105,盘货信息!$A:$A&amp;盘货信息!$B:$B&amp;盘货信息!$C:$C,盘货信息!$L:$L)="是",_xlfn.XLOOKUP($A105&amp;$B105&amp;$C105,盘货信息!$A:$A&amp;盘货信息!$B:$B&amp;盘货信息!$C:$C,盘货信息!$M:$M)="是",_xlfn.XLOOKUP($A105&amp;$B105&amp;$C105,盘货信息!$A:$A&amp;盘货信息!$B:$B&amp;盘货信息!$C:$C,盘货信息!$K:$K)&gt;0),"【全民可用，不限地址】",IF(AND(OR(_xlfn.XLOOKUP($A105&amp;$B105&amp;$C105,盘货信息!$A:$A&amp;盘货信息!$B:$B&amp;盘货信息!$C:$C,盘货信息!$L:$L)="否",_xlfn.XLOOKUP($A105&amp;$B105&amp;$C105,盘货信息!$A:$A&amp;盘货信息!$B:$B&amp;盘货信息!$C:$C,盘货信息!$L:$L)=""),_xlfn.XLOOKUP($A105&amp;$B105&amp;$C105,盘货信息!$A:$A&amp;盘货信息!$B:$B&amp;盘货信息!$C:$C,盘货信息!$M:$M)="是",_xlfn.XLOOKUP($A105&amp;$B105&amp;$C105,盘货信息!$A:$A&amp;盘货信息!$B:$B&amp;盘货信息!$C:$C,盘货信息!$K:$K)&gt;0),"【详情页领取】","")))</f>
        <v/>
      </c>
      <c r="M105" s="27" t="str" cm="1">
        <f t="array" ref="M105">IF($C105="","",IF(_xlfn.XLOOKUP($A105&amp;$B105&amp;$C105,盘货信息!$A:$A&amp;盘货信息!$B:$B&amp;盘货信息!$C:$C,盘货信息!$F:$F)&lt;1,"",_xlfn.XLOOKUP($A105&amp;$B105&amp;$C105,盘货信息!$A:$A&amp;盘货信息!$B:$B&amp;盘货信息!$C:$C,盘货信息!$F:$F)&amp;"元明卷"))</f>
        <v/>
      </c>
      <c r="N105" s="27" t="str">
        <f t="shared" si="3"/>
        <v/>
      </c>
      <c r="O105" s="27" t="str">
        <f>IF(I105="","","【消费券链接】"&amp;固定信息!$B$6)</f>
        <v/>
      </c>
    </row>
    <row r="106" customHeight="1" spans="1:15">
      <c r="A106" s="26" t="str">
        <f>IF(盘货信息!A106="","",盘货信息!A106)</f>
        <v/>
      </c>
      <c r="B106" s="26" t="str">
        <f>IF(盘货信息!B106="","",盘货信息!B106)</f>
        <v/>
      </c>
      <c r="C106" s="26" t="str">
        <f>IF(盘货信息!C106="","",盘货信息!C106)</f>
        <v/>
      </c>
      <c r="D106" s="27" t="str">
        <f t="shared" si="2"/>
        <v/>
      </c>
      <c r="E106" s="27" t="str" cm="1">
        <f t="array" ref="E106">IF($C106="","",IF(AND(OR(_xlfn.XLOOKUP($A106&amp;$B106&amp;$C106,盘货信息!$A:$A&amp;盘货信息!$B:$B&amp;盘货信息!$C:$C,盘货信息!$L:$L)="否",_xlfn.XLOOKUP($A106&amp;$B106&amp;$C106,盘货信息!$A:$A&amp;盘货信息!$B:$B&amp;盘货信息!$C:$C,盘货信息!$L:$L)=""),_xlfn.XLOOKUP($A106&amp;$B106&amp;$C106,盘货信息!$A:$A&amp;盘货信息!$B:$B&amp;盘货信息!$C:$C,盘货信息!$M:$M)="否"),"【预估到手价"&amp;_xlfn.XLOOKUP($A106&amp;$B106&amp;$C106,盘货信息!$A:$A&amp;盘货信息!$B:$B&amp;盘货信息!$C:$C,盘货信息!$D:$D)&amp;"元】",IF(AND(_xlfn.XLOOKUP($A106&amp;$B106&amp;$C106,盘货信息!$A:$A&amp;盘货信息!$B:$B&amp;盘货信息!$C:$C,盘货信息!$M:$M)="是",OR(_xlfn.XLOOKUP($A106&amp;$B106&amp;$C106,盘货信息!$A:$A&amp;盘货信息!$B:$B&amp;盘货信息!$C:$C,盘货信息!$L:$L)="否",_xlfn.XLOOKUP($A106&amp;$B106&amp;$C106,盘货信息!$A:$A&amp;盘货信息!$B:$B&amp;盘货信息!$C:$C,盘货信息!$L:$L)="")),"【预估到手价"&amp;_xlfn.XLOOKUP($A106&amp;$B106&amp;$C106,盘货信息!$A:$A&amp;盘货信息!$B:$B&amp;盘货信息!$C:$C,盘货信息!$D:$D)&amp;"元】"&amp;CHAR(10)&amp;"【焕新补贴预估价"&amp;ROUND(_xlfn.XLOOKUP($A106&amp;$B106&amp;$C106,盘货信息!$A:$A&amp;盘货信息!$B:$B&amp;盘货信息!$C:$C,盘货信息!$E:$E),0)&amp;"元】","【焕新补贴预估价"&amp;ROUND(_xlfn.XLOOKUP($A106&amp;$B106&amp;$C106,盘货信息!$A:$A&amp;盘货信息!$B:$B&amp;盘货信息!$C:$C,盘货信息!$E:$E),0)&amp;"元】")))</f>
        <v/>
      </c>
      <c r="F106" s="27" t="str" cm="1">
        <f t="array" ref="F106">IF($C106="","",_xlfn.XLOOKUP($A106&amp;$B106&amp;$C106,盘货信息!$A:$A&amp;盘货信息!$B:$B&amp;盘货信息!$C:$C,盘货信息!$D:$D)&amp;"元到手价")</f>
        <v/>
      </c>
      <c r="G106" s="27" t="str" cm="1">
        <f t="array" ref="G106">IF($C106="","",IF(_xlfn.XLOOKUP($A106&amp;$B106&amp;$C106,盘货信息!$A:$A&amp;盘货信息!$B:$B&amp;盘货信息!$C:$C,盘货信息!$G:$G)&lt;1,"",ROUND(_xlfn.XLOOKUP($A106&amp;$B106&amp;$C106,盘货信息!$A:$A&amp;盘货信息!$B:$B&amp;盘货信息!$C:$C,盘货信息!$G:$G),0)&amp;"元88VIP立减"))</f>
        <v/>
      </c>
      <c r="H106" s="27" t="str" cm="1">
        <f t="array" ref="H106">IF($C106="","",IF(_xlfn.XLOOKUP($A106&amp;$B106&amp;$C106,盘货信息!$A:$A&amp;盘货信息!$B:$B&amp;盘货信息!$C:$C,盘货信息!$I:$I)&lt;1,"",_xlfn.XLOOKUP($A106&amp;$B106&amp;$C106,盘货信息!$A:$A&amp;盘货信息!$B:$B&amp;盘货信息!$C:$C,盘货信息!$I:$I)&amp;"元惊喜立减"))</f>
        <v/>
      </c>
      <c r="I106" s="27" t="str" cm="1">
        <f t="array" ref="I106">IF($C106="","",IF(_xlfn.XLOOKUP($A106&amp;$B106&amp;$C106,盘货信息!$A:$A&amp;盘货信息!$B:$B&amp;盘货信息!$C:$C,盘货信息!$H:$H)&lt;1,"",ROUND(_xlfn.XLOOKUP($A106&amp;$B106&amp;$C106,盘货信息!$A:$A&amp;盘货信息!$B:$B&amp;盘货信息!$C:$C,盘货信息!$H:$H),0)&amp;"元消费券"))</f>
        <v/>
      </c>
      <c r="J106" s="27" t="str" cm="1">
        <f t="array" ref="J106">IF($C106="","",IF(_xlfn.XLOOKUP($A106&amp;$B106&amp;$C106,盘货信息!$A:$A&amp;盘货信息!$B:$B&amp;盘货信息!$C:$C,盘货信息!$J:$J)&lt;1,"",ROUND(_xlfn.XLOOKUP($A106&amp;$B106&amp;$C106,盘货信息!$A:$A&amp;盘货信息!$B:$B&amp;盘货信息!$C:$C,盘货信息!$J:$J),0)&amp;"元限时补贴"))</f>
        <v/>
      </c>
      <c r="K106" s="27" t="str" cm="1">
        <f t="array" ref="K106">IF($C106="","",IF(_xlfn.XLOOKUP($A106&amp;$B106&amp;$C106,盘货信息!$A:$A&amp;盘货信息!$B:$B&amp;盘货信息!$C:$C,盘货信息!$K:$K)&lt;1,"",ROUND(_xlfn.XLOOKUP($A106&amp;$B106&amp;$C106,盘货信息!$A:$A&amp;盘货信息!$B:$B&amp;盘货信息!$C:$C,盘货信息!$K:$K),0)&amp;"元预估焕新补贴"))</f>
        <v/>
      </c>
      <c r="L106" s="27" t="str" cm="1">
        <f t="array" ref="L106">IF($C106="","",IF(AND(_xlfn.XLOOKUP($A106&amp;$B106&amp;$C106,盘货信息!$A:$A&amp;盘货信息!$B:$B&amp;盘货信息!$C:$C,盘货信息!$L:$L)="是",_xlfn.XLOOKUP($A106&amp;$B106&amp;$C106,盘货信息!$A:$A&amp;盘货信息!$B:$B&amp;盘货信息!$C:$C,盘货信息!$M:$M)="是",_xlfn.XLOOKUP($A106&amp;$B106&amp;$C106,盘货信息!$A:$A&amp;盘货信息!$B:$B&amp;盘货信息!$C:$C,盘货信息!$K:$K)&gt;0),"【全民可用，不限地址】",IF(AND(OR(_xlfn.XLOOKUP($A106&amp;$B106&amp;$C106,盘货信息!$A:$A&amp;盘货信息!$B:$B&amp;盘货信息!$C:$C,盘货信息!$L:$L)="否",_xlfn.XLOOKUP($A106&amp;$B106&amp;$C106,盘货信息!$A:$A&amp;盘货信息!$B:$B&amp;盘货信息!$C:$C,盘货信息!$L:$L)=""),_xlfn.XLOOKUP($A106&amp;$B106&amp;$C106,盘货信息!$A:$A&amp;盘货信息!$B:$B&amp;盘货信息!$C:$C,盘货信息!$M:$M)="是",_xlfn.XLOOKUP($A106&amp;$B106&amp;$C106,盘货信息!$A:$A&amp;盘货信息!$B:$B&amp;盘货信息!$C:$C,盘货信息!$K:$K)&gt;0),"【详情页领取】","")))</f>
        <v/>
      </c>
      <c r="M106" s="27" t="str" cm="1">
        <f t="array" ref="M106">IF($C106="","",IF(_xlfn.XLOOKUP($A106&amp;$B106&amp;$C106,盘货信息!$A:$A&amp;盘货信息!$B:$B&amp;盘货信息!$C:$C,盘货信息!$F:$F)&lt;1,"",_xlfn.XLOOKUP($A106&amp;$B106&amp;$C106,盘货信息!$A:$A&amp;盘货信息!$B:$B&amp;盘货信息!$C:$C,盘货信息!$F:$F)&amp;"元明卷"))</f>
        <v/>
      </c>
      <c r="N106" s="27" t="str">
        <f t="shared" si="3"/>
        <v/>
      </c>
      <c r="O106" s="27" t="str">
        <f>IF(I106="","","【消费券链接】"&amp;固定信息!$B$6)</f>
        <v/>
      </c>
    </row>
    <row r="107" customHeight="1" spans="1:15">
      <c r="A107" s="26" t="str">
        <f>IF(盘货信息!A107="","",盘货信息!A107)</f>
        <v/>
      </c>
      <c r="B107" s="26" t="str">
        <f>IF(盘货信息!B107="","",盘货信息!B107)</f>
        <v/>
      </c>
      <c r="C107" s="26" t="str">
        <f>IF(盘货信息!C107="","",盘货信息!C107)</f>
        <v/>
      </c>
      <c r="D107" s="27" t="str">
        <f t="shared" si="2"/>
        <v/>
      </c>
      <c r="E107" s="27" t="str" cm="1">
        <f t="array" ref="E107">IF($C107="","",IF(AND(OR(_xlfn.XLOOKUP($A107&amp;$B107&amp;$C107,盘货信息!$A:$A&amp;盘货信息!$B:$B&amp;盘货信息!$C:$C,盘货信息!$L:$L)="否",_xlfn.XLOOKUP($A107&amp;$B107&amp;$C107,盘货信息!$A:$A&amp;盘货信息!$B:$B&amp;盘货信息!$C:$C,盘货信息!$L:$L)=""),_xlfn.XLOOKUP($A107&amp;$B107&amp;$C107,盘货信息!$A:$A&amp;盘货信息!$B:$B&amp;盘货信息!$C:$C,盘货信息!$M:$M)="否"),"【预估到手价"&amp;_xlfn.XLOOKUP($A107&amp;$B107&amp;$C107,盘货信息!$A:$A&amp;盘货信息!$B:$B&amp;盘货信息!$C:$C,盘货信息!$D:$D)&amp;"元】",IF(AND(_xlfn.XLOOKUP($A107&amp;$B107&amp;$C107,盘货信息!$A:$A&amp;盘货信息!$B:$B&amp;盘货信息!$C:$C,盘货信息!$M:$M)="是",OR(_xlfn.XLOOKUP($A107&amp;$B107&amp;$C107,盘货信息!$A:$A&amp;盘货信息!$B:$B&amp;盘货信息!$C:$C,盘货信息!$L:$L)="否",_xlfn.XLOOKUP($A107&amp;$B107&amp;$C107,盘货信息!$A:$A&amp;盘货信息!$B:$B&amp;盘货信息!$C:$C,盘货信息!$L:$L)="")),"【预估到手价"&amp;_xlfn.XLOOKUP($A107&amp;$B107&amp;$C107,盘货信息!$A:$A&amp;盘货信息!$B:$B&amp;盘货信息!$C:$C,盘货信息!$D:$D)&amp;"元】"&amp;CHAR(10)&amp;"【焕新补贴预估价"&amp;ROUND(_xlfn.XLOOKUP($A107&amp;$B107&amp;$C107,盘货信息!$A:$A&amp;盘货信息!$B:$B&amp;盘货信息!$C:$C,盘货信息!$E:$E),0)&amp;"元】","【焕新补贴预估价"&amp;ROUND(_xlfn.XLOOKUP($A107&amp;$B107&amp;$C107,盘货信息!$A:$A&amp;盘货信息!$B:$B&amp;盘货信息!$C:$C,盘货信息!$E:$E),0)&amp;"元】")))</f>
        <v/>
      </c>
      <c r="F107" s="27" t="str" cm="1">
        <f t="array" ref="F107">IF($C107="","",_xlfn.XLOOKUP($A107&amp;$B107&amp;$C107,盘货信息!$A:$A&amp;盘货信息!$B:$B&amp;盘货信息!$C:$C,盘货信息!$D:$D)&amp;"元到手价")</f>
        <v/>
      </c>
      <c r="G107" s="27" t="str" cm="1">
        <f t="array" ref="G107">IF($C107="","",IF(_xlfn.XLOOKUP($A107&amp;$B107&amp;$C107,盘货信息!$A:$A&amp;盘货信息!$B:$B&amp;盘货信息!$C:$C,盘货信息!$G:$G)&lt;1,"",ROUND(_xlfn.XLOOKUP($A107&amp;$B107&amp;$C107,盘货信息!$A:$A&amp;盘货信息!$B:$B&amp;盘货信息!$C:$C,盘货信息!$G:$G),0)&amp;"元88VIP立减"))</f>
        <v/>
      </c>
      <c r="H107" s="27" t="str" cm="1">
        <f t="array" ref="H107">IF($C107="","",IF(_xlfn.XLOOKUP($A107&amp;$B107&amp;$C107,盘货信息!$A:$A&amp;盘货信息!$B:$B&amp;盘货信息!$C:$C,盘货信息!$I:$I)&lt;1,"",_xlfn.XLOOKUP($A107&amp;$B107&amp;$C107,盘货信息!$A:$A&amp;盘货信息!$B:$B&amp;盘货信息!$C:$C,盘货信息!$I:$I)&amp;"元惊喜立减"))</f>
        <v/>
      </c>
      <c r="I107" s="27" t="str" cm="1">
        <f t="array" ref="I107">IF($C107="","",IF(_xlfn.XLOOKUP($A107&amp;$B107&amp;$C107,盘货信息!$A:$A&amp;盘货信息!$B:$B&amp;盘货信息!$C:$C,盘货信息!$H:$H)&lt;1,"",ROUND(_xlfn.XLOOKUP($A107&amp;$B107&amp;$C107,盘货信息!$A:$A&amp;盘货信息!$B:$B&amp;盘货信息!$C:$C,盘货信息!$H:$H),0)&amp;"元消费券"))</f>
        <v/>
      </c>
      <c r="J107" s="27" t="str" cm="1">
        <f t="array" ref="J107">IF($C107="","",IF(_xlfn.XLOOKUP($A107&amp;$B107&amp;$C107,盘货信息!$A:$A&amp;盘货信息!$B:$B&amp;盘货信息!$C:$C,盘货信息!$J:$J)&lt;1,"",ROUND(_xlfn.XLOOKUP($A107&amp;$B107&amp;$C107,盘货信息!$A:$A&amp;盘货信息!$B:$B&amp;盘货信息!$C:$C,盘货信息!$J:$J),0)&amp;"元限时补贴"))</f>
        <v/>
      </c>
      <c r="K107" s="27" t="str" cm="1">
        <f t="array" ref="K107">IF($C107="","",IF(_xlfn.XLOOKUP($A107&amp;$B107&amp;$C107,盘货信息!$A:$A&amp;盘货信息!$B:$B&amp;盘货信息!$C:$C,盘货信息!$K:$K)&lt;1,"",ROUND(_xlfn.XLOOKUP($A107&amp;$B107&amp;$C107,盘货信息!$A:$A&amp;盘货信息!$B:$B&amp;盘货信息!$C:$C,盘货信息!$K:$K),0)&amp;"元预估焕新补贴"))</f>
        <v/>
      </c>
      <c r="L107" s="27" t="str" cm="1">
        <f t="array" ref="L107">IF($C107="","",IF(AND(_xlfn.XLOOKUP($A107&amp;$B107&amp;$C107,盘货信息!$A:$A&amp;盘货信息!$B:$B&amp;盘货信息!$C:$C,盘货信息!$L:$L)="是",_xlfn.XLOOKUP($A107&amp;$B107&amp;$C107,盘货信息!$A:$A&amp;盘货信息!$B:$B&amp;盘货信息!$C:$C,盘货信息!$M:$M)="是",_xlfn.XLOOKUP($A107&amp;$B107&amp;$C107,盘货信息!$A:$A&amp;盘货信息!$B:$B&amp;盘货信息!$C:$C,盘货信息!$K:$K)&gt;0),"【全民可用，不限地址】",IF(AND(OR(_xlfn.XLOOKUP($A107&amp;$B107&amp;$C107,盘货信息!$A:$A&amp;盘货信息!$B:$B&amp;盘货信息!$C:$C,盘货信息!$L:$L)="否",_xlfn.XLOOKUP($A107&amp;$B107&amp;$C107,盘货信息!$A:$A&amp;盘货信息!$B:$B&amp;盘货信息!$C:$C,盘货信息!$L:$L)=""),_xlfn.XLOOKUP($A107&amp;$B107&amp;$C107,盘货信息!$A:$A&amp;盘货信息!$B:$B&amp;盘货信息!$C:$C,盘货信息!$M:$M)="是",_xlfn.XLOOKUP($A107&amp;$B107&amp;$C107,盘货信息!$A:$A&amp;盘货信息!$B:$B&amp;盘货信息!$C:$C,盘货信息!$K:$K)&gt;0),"【详情页领取】","")))</f>
        <v/>
      </c>
      <c r="M107" s="27" t="str" cm="1">
        <f t="array" ref="M107">IF($C107="","",IF(_xlfn.XLOOKUP($A107&amp;$B107&amp;$C107,盘货信息!$A:$A&amp;盘货信息!$B:$B&amp;盘货信息!$C:$C,盘货信息!$F:$F)&lt;1,"",_xlfn.XLOOKUP($A107&amp;$B107&amp;$C107,盘货信息!$A:$A&amp;盘货信息!$B:$B&amp;盘货信息!$C:$C,盘货信息!$F:$F)&amp;"元明卷"))</f>
        <v/>
      </c>
      <c r="N107" s="27" t="str">
        <f t="shared" si="3"/>
        <v/>
      </c>
      <c r="O107" s="27" t="str">
        <f>IF(I107="","","【消费券链接】"&amp;固定信息!$B$6)</f>
        <v/>
      </c>
    </row>
    <row r="108" customHeight="1" spans="1:15">
      <c r="A108" s="26" t="str">
        <f>IF(盘货信息!A108="","",盘货信息!A108)</f>
        <v/>
      </c>
      <c r="B108" s="26" t="str">
        <f>IF(盘货信息!B108="","",盘货信息!B108)</f>
        <v/>
      </c>
      <c r="C108" s="23" t="str">
        <f>IF(盘货信息!C108="","",盘货信息!C108)</f>
        <v/>
      </c>
      <c r="D108" s="27" t="str">
        <f t="shared" si="2"/>
        <v/>
      </c>
      <c r="E108" s="27" t="str" cm="1">
        <f t="array" ref="E108">IF($C108="","",IF(AND(OR(_xlfn.XLOOKUP($A108&amp;$B108&amp;$C108,盘货信息!$A:$A&amp;盘货信息!$B:$B&amp;盘货信息!$C:$C,盘货信息!$L:$L)="否",_xlfn.XLOOKUP($A108&amp;$B108&amp;$C108,盘货信息!$A:$A&amp;盘货信息!$B:$B&amp;盘货信息!$C:$C,盘货信息!$L:$L)=""),_xlfn.XLOOKUP($A108&amp;$B108&amp;$C108,盘货信息!$A:$A&amp;盘货信息!$B:$B&amp;盘货信息!$C:$C,盘货信息!$M:$M)="否"),"【预估到手价"&amp;_xlfn.XLOOKUP($A108&amp;$B108&amp;$C108,盘货信息!$A:$A&amp;盘货信息!$B:$B&amp;盘货信息!$C:$C,盘货信息!$D:$D)&amp;"元】",IF(AND(_xlfn.XLOOKUP($A108&amp;$B108&amp;$C108,盘货信息!$A:$A&amp;盘货信息!$B:$B&amp;盘货信息!$C:$C,盘货信息!$M:$M)="是",OR(_xlfn.XLOOKUP($A108&amp;$B108&amp;$C108,盘货信息!$A:$A&amp;盘货信息!$B:$B&amp;盘货信息!$C:$C,盘货信息!$L:$L)="否",_xlfn.XLOOKUP($A108&amp;$B108&amp;$C108,盘货信息!$A:$A&amp;盘货信息!$B:$B&amp;盘货信息!$C:$C,盘货信息!$L:$L)="")),"【预估到手价"&amp;_xlfn.XLOOKUP($A108&amp;$B108&amp;$C108,盘货信息!$A:$A&amp;盘货信息!$B:$B&amp;盘货信息!$C:$C,盘货信息!$D:$D)&amp;"元】"&amp;CHAR(10)&amp;"【焕新补贴预估价"&amp;ROUND(_xlfn.XLOOKUP($A108&amp;$B108&amp;$C108,盘货信息!$A:$A&amp;盘货信息!$B:$B&amp;盘货信息!$C:$C,盘货信息!$E:$E),0)&amp;"元】","【焕新补贴预估价"&amp;ROUND(_xlfn.XLOOKUP($A108&amp;$B108&amp;$C108,盘货信息!$A:$A&amp;盘货信息!$B:$B&amp;盘货信息!$C:$C,盘货信息!$E:$E),0)&amp;"元】")))</f>
        <v/>
      </c>
      <c r="F108" s="27" t="str" cm="1">
        <f t="array" ref="F108">IF($C108="","",_xlfn.XLOOKUP($A108&amp;$B108&amp;$C108,盘货信息!$A:$A&amp;盘货信息!$B:$B&amp;盘货信息!$C:$C,盘货信息!$D:$D)&amp;"元到手价")</f>
        <v/>
      </c>
      <c r="G108" s="27" t="str" cm="1">
        <f t="array" ref="G108">IF($C108="","",IF(_xlfn.XLOOKUP($A108&amp;$B108&amp;$C108,盘货信息!$A:$A&amp;盘货信息!$B:$B&amp;盘货信息!$C:$C,盘货信息!$G:$G)&lt;1,"",ROUND(_xlfn.XLOOKUP($A108&amp;$B108&amp;$C108,盘货信息!$A:$A&amp;盘货信息!$B:$B&amp;盘货信息!$C:$C,盘货信息!$G:$G),0)&amp;"元88VIP立减"))</f>
        <v/>
      </c>
      <c r="H108" s="27" t="str" cm="1">
        <f t="array" ref="H108">IF($C108="","",IF(_xlfn.XLOOKUP($A108&amp;$B108&amp;$C108,盘货信息!$A:$A&amp;盘货信息!$B:$B&amp;盘货信息!$C:$C,盘货信息!$I:$I)&lt;1,"",_xlfn.XLOOKUP($A108&amp;$B108&amp;$C108,盘货信息!$A:$A&amp;盘货信息!$B:$B&amp;盘货信息!$C:$C,盘货信息!$I:$I)&amp;"元惊喜立减"))</f>
        <v/>
      </c>
      <c r="I108" s="27" t="str" cm="1">
        <f t="array" ref="I108">IF($C108="","",IF(_xlfn.XLOOKUP($A108&amp;$B108&amp;$C108,盘货信息!$A:$A&amp;盘货信息!$B:$B&amp;盘货信息!$C:$C,盘货信息!$H:$H)&lt;1,"",ROUND(_xlfn.XLOOKUP($A108&amp;$B108&amp;$C108,盘货信息!$A:$A&amp;盘货信息!$B:$B&amp;盘货信息!$C:$C,盘货信息!$H:$H),0)&amp;"元消费券"))</f>
        <v/>
      </c>
      <c r="J108" s="27" t="str" cm="1">
        <f t="array" ref="J108">IF($C108="","",IF(_xlfn.XLOOKUP($A108&amp;$B108&amp;$C108,盘货信息!$A:$A&amp;盘货信息!$B:$B&amp;盘货信息!$C:$C,盘货信息!$J:$J)&lt;1,"",ROUND(_xlfn.XLOOKUP($A108&amp;$B108&amp;$C108,盘货信息!$A:$A&amp;盘货信息!$B:$B&amp;盘货信息!$C:$C,盘货信息!$J:$J),0)&amp;"元限时补贴"))</f>
        <v/>
      </c>
      <c r="K108" s="27" t="str" cm="1">
        <f t="array" ref="K108">IF($C108="","",IF(_xlfn.XLOOKUP($A108&amp;$B108&amp;$C108,盘货信息!$A:$A&amp;盘货信息!$B:$B&amp;盘货信息!$C:$C,盘货信息!$K:$K)&lt;1,"",ROUND(_xlfn.XLOOKUP($A108&amp;$B108&amp;$C108,盘货信息!$A:$A&amp;盘货信息!$B:$B&amp;盘货信息!$C:$C,盘货信息!$K:$K),0)&amp;"元预估焕新补贴"))</f>
        <v/>
      </c>
      <c r="L108" s="27" t="str" cm="1">
        <f t="array" ref="L108">IF($C108="","",IF(AND(_xlfn.XLOOKUP($A108&amp;$B108&amp;$C108,盘货信息!$A:$A&amp;盘货信息!$B:$B&amp;盘货信息!$C:$C,盘货信息!$L:$L)="是",_xlfn.XLOOKUP($A108&amp;$B108&amp;$C108,盘货信息!$A:$A&amp;盘货信息!$B:$B&amp;盘货信息!$C:$C,盘货信息!$M:$M)="是",_xlfn.XLOOKUP($A108&amp;$B108&amp;$C108,盘货信息!$A:$A&amp;盘货信息!$B:$B&amp;盘货信息!$C:$C,盘货信息!$K:$K)&gt;0),"【全民可用，不限地址】",IF(AND(OR(_xlfn.XLOOKUP($A108&amp;$B108&amp;$C108,盘货信息!$A:$A&amp;盘货信息!$B:$B&amp;盘货信息!$C:$C,盘货信息!$L:$L)="否",_xlfn.XLOOKUP($A108&amp;$B108&amp;$C108,盘货信息!$A:$A&amp;盘货信息!$B:$B&amp;盘货信息!$C:$C,盘货信息!$L:$L)=""),_xlfn.XLOOKUP($A108&amp;$B108&amp;$C108,盘货信息!$A:$A&amp;盘货信息!$B:$B&amp;盘货信息!$C:$C,盘货信息!$M:$M)="是",_xlfn.XLOOKUP($A108&amp;$B108&amp;$C108,盘货信息!$A:$A&amp;盘货信息!$B:$B&amp;盘货信息!$C:$C,盘货信息!$K:$K)&gt;0),"【详情页领取】","")))</f>
        <v/>
      </c>
      <c r="M108" s="27" t="str" cm="1">
        <f t="array" ref="M108">IF($C108="","",IF(_xlfn.XLOOKUP($A108&amp;$B108&amp;$C108,盘货信息!$A:$A&amp;盘货信息!$B:$B&amp;盘货信息!$C:$C,盘货信息!$F:$F)&lt;1,"",_xlfn.XLOOKUP($A108&amp;$B108&amp;$C108,盘货信息!$A:$A&amp;盘货信息!$B:$B&amp;盘货信息!$C:$C,盘货信息!$F:$F)&amp;"元明卷"))</f>
        <v/>
      </c>
      <c r="N108" s="27" t="str">
        <f t="shared" si="3"/>
        <v/>
      </c>
      <c r="O108" s="27" t="str">
        <f>IF(I108="","","【消费券链接】"&amp;固定信息!$B$6)</f>
        <v/>
      </c>
    </row>
    <row r="109" customHeight="1" spans="1:15">
      <c r="A109" s="26" t="str">
        <f>IF(盘货信息!A109="","",盘货信息!A109)</f>
        <v/>
      </c>
      <c r="B109" s="26" t="str">
        <f>IF(盘货信息!B109="","",盘货信息!B109)</f>
        <v/>
      </c>
      <c r="C109" s="26" t="str">
        <f>IF(盘货信息!C109="","",盘货信息!C109)</f>
        <v/>
      </c>
      <c r="D109" s="27" t="str">
        <f t="shared" si="2"/>
        <v/>
      </c>
      <c r="E109" s="27" t="str" cm="1">
        <f t="array" ref="E109">IF($C109="","",IF(AND(OR(_xlfn.XLOOKUP($A109&amp;$B109&amp;$C109,盘货信息!$A:$A&amp;盘货信息!$B:$B&amp;盘货信息!$C:$C,盘货信息!$L:$L)="否",_xlfn.XLOOKUP($A109&amp;$B109&amp;$C109,盘货信息!$A:$A&amp;盘货信息!$B:$B&amp;盘货信息!$C:$C,盘货信息!$L:$L)=""),_xlfn.XLOOKUP($A109&amp;$B109&amp;$C109,盘货信息!$A:$A&amp;盘货信息!$B:$B&amp;盘货信息!$C:$C,盘货信息!$M:$M)="否"),"【预估到手价"&amp;_xlfn.XLOOKUP($A109&amp;$B109&amp;$C109,盘货信息!$A:$A&amp;盘货信息!$B:$B&amp;盘货信息!$C:$C,盘货信息!$D:$D)&amp;"元】",IF(AND(_xlfn.XLOOKUP($A109&amp;$B109&amp;$C109,盘货信息!$A:$A&amp;盘货信息!$B:$B&amp;盘货信息!$C:$C,盘货信息!$M:$M)="是",OR(_xlfn.XLOOKUP($A109&amp;$B109&amp;$C109,盘货信息!$A:$A&amp;盘货信息!$B:$B&amp;盘货信息!$C:$C,盘货信息!$L:$L)="否",_xlfn.XLOOKUP($A109&amp;$B109&amp;$C109,盘货信息!$A:$A&amp;盘货信息!$B:$B&amp;盘货信息!$C:$C,盘货信息!$L:$L)="")),"【预估到手价"&amp;_xlfn.XLOOKUP($A109&amp;$B109&amp;$C109,盘货信息!$A:$A&amp;盘货信息!$B:$B&amp;盘货信息!$C:$C,盘货信息!$D:$D)&amp;"元】"&amp;CHAR(10)&amp;"【焕新补贴预估价"&amp;ROUND(_xlfn.XLOOKUP($A109&amp;$B109&amp;$C109,盘货信息!$A:$A&amp;盘货信息!$B:$B&amp;盘货信息!$C:$C,盘货信息!$E:$E),0)&amp;"元】","【焕新补贴预估价"&amp;ROUND(_xlfn.XLOOKUP($A109&amp;$B109&amp;$C109,盘货信息!$A:$A&amp;盘货信息!$B:$B&amp;盘货信息!$C:$C,盘货信息!$E:$E),0)&amp;"元】")))</f>
        <v/>
      </c>
      <c r="F109" s="27" t="str" cm="1">
        <f t="array" ref="F109">IF($C109="","",_xlfn.XLOOKUP($A109&amp;$B109&amp;$C109,盘货信息!$A:$A&amp;盘货信息!$B:$B&amp;盘货信息!$C:$C,盘货信息!$D:$D)&amp;"元到手价")</f>
        <v/>
      </c>
      <c r="G109" s="27" t="str" cm="1">
        <f t="array" ref="G109">IF($C109="","",IF(_xlfn.XLOOKUP($A109&amp;$B109&amp;$C109,盘货信息!$A:$A&amp;盘货信息!$B:$B&amp;盘货信息!$C:$C,盘货信息!$G:$G)&lt;1,"",ROUND(_xlfn.XLOOKUP($A109&amp;$B109&amp;$C109,盘货信息!$A:$A&amp;盘货信息!$B:$B&amp;盘货信息!$C:$C,盘货信息!$G:$G),0)&amp;"元88VIP立减"))</f>
        <v/>
      </c>
      <c r="H109" s="27" t="str" cm="1">
        <f t="array" ref="H109">IF($C109="","",IF(_xlfn.XLOOKUP($A109&amp;$B109&amp;$C109,盘货信息!$A:$A&amp;盘货信息!$B:$B&amp;盘货信息!$C:$C,盘货信息!$I:$I)&lt;1,"",_xlfn.XLOOKUP($A109&amp;$B109&amp;$C109,盘货信息!$A:$A&amp;盘货信息!$B:$B&amp;盘货信息!$C:$C,盘货信息!$I:$I)&amp;"元惊喜立减"))</f>
        <v/>
      </c>
      <c r="I109" s="27" t="str" cm="1">
        <f t="array" ref="I109">IF($C109="","",IF(_xlfn.XLOOKUP($A109&amp;$B109&amp;$C109,盘货信息!$A:$A&amp;盘货信息!$B:$B&amp;盘货信息!$C:$C,盘货信息!$H:$H)&lt;1,"",ROUND(_xlfn.XLOOKUP($A109&amp;$B109&amp;$C109,盘货信息!$A:$A&amp;盘货信息!$B:$B&amp;盘货信息!$C:$C,盘货信息!$H:$H),0)&amp;"元消费券"))</f>
        <v/>
      </c>
      <c r="J109" s="27" t="str" cm="1">
        <f t="array" ref="J109">IF($C109="","",IF(_xlfn.XLOOKUP($A109&amp;$B109&amp;$C109,盘货信息!$A:$A&amp;盘货信息!$B:$B&amp;盘货信息!$C:$C,盘货信息!$J:$J)&lt;1,"",ROUND(_xlfn.XLOOKUP($A109&amp;$B109&amp;$C109,盘货信息!$A:$A&amp;盘货信息!$B:$B&amp;盘货信息!$C:$C,盘货信息!$J:$J),0)&amp;"元限时补贴"))</f>
        <v/>
      </c>
      <c r="K109" s="27" t="str" cm="1">
        <f t="array" ref="K109">IF($C109="","",IF(_xlfn.XLOOKUP($A109&amp;$B109&amp;$C109,盘货信息!$A:$A&amp;盘货信息!$B:$B&amp;盘货信息!$C:$C,盘货信息!$K:$K)&lt;1,"",ROUND(_xlfn.XLOOKUP($A109&amp;$B109&amp;$C109,盘货信息!$A:$A&amp;盘货信息!$B:$B&amp;盘货信息!$C:$C,盘货信息!$K:$K),0)&amp;"元预估焕新补贴"))</f>
        <v/>
      </c>
      <c r="L109" s="27" t="str" cm="1">
        <f t="array" ref="L109">IF($C109="","",IF(AND(_xlfn.XLOOKUP($A109&amp;$B109&amp;$C109,盘货信息!$A:$A&amp;盘货信息!$B:$B&amp;盘货信息!$C:$C,盘货信息!$L:$L)="是",_xlfn.XLOOKUP($A109&amp;$B109&amp;$C109,盘货信息!$A:$A&amp;盘货信息!$B:$B&amp;盘货信息!$C:$C,盘货信息!$M:$M)="是",_xlfn.XLOOKUP($A109&amp;$B109&amp;$C109,盘货信息!$A:$A&amp;盘货信息!$B:$B&amp;盘货信息!$C:$C,盘货信息!$K:$K)&gt;0),"【全民可用，不限地址】",IF(AND(OR(_xlfn.XLOOKUP($A109&amp;$B109&amp;$C109,盘货信息!$A:$A&amp;盘货信息!$B:$B&amp;盘货信息!$C:$C,盘货信息!$L:$L)="否",_xlfn.XLOOKUP($A109&amp;$B109&amp;$C109,盘货信息!$A:$A&amp;盘货信息!$B:$B&amp;盘货信息!$C:$C,盘货信息!$L:$L)=""),_xlfn.XLOOKUP($A109&amp;$B109&amp;$C109,盘货信息!$A:$A&amp;盘货信息!$B:$B&amp;盘货信息!$C:$C,盘货信息!$M:$M)="是",_xlfn.XLOOKUP($A109&amp;$B109&amp;$C109,盘货信息!$A:$A&amp;盘货信息!$B:$B&amp;盘货信息!$C:$C,盘货信息!$K:$K)&gt;0),"【详情页领取】","")))</f>
        <v/>
      </c>
      <c r="M109" s="27" t="str" cm="1">
        <f t="array" ref="M109">IF($C109="","",IF(_xlfn.XLOOKUP($A109&amp;$B109&amp;$C109,盘货信息!$A:$A&amp;盘货信息!$B:$B&amp;盘货信息!$C:$C,盘货信息!$F:$F)&lt;1,"",_xlfn.XLOOKUP($A109&amp;$B109&amp;$C109,盘货信息!$A:$A&amp;盘货信息!$B:$B&amp;盘货信息!$C:$C,盘货信息!$F:$F)&amp;"元明卷"))</f>
        <v/>
      </c>
      <c r="N109" s="27" t="str">
        <f t="shared" si="3"/>
        <v/>
      </c>
      <c r="O109" s="27" t="str">
        <f>IF(I109="","","【消费券链接】"&amp;固定信息!$B$6)</f>
        <v/>
      </c>
    </row>
    <row r="110" customHeight="1" spans="1:15">
      <c r="A110" s="26" t="str">
        <f>IF(盘货信息!A110="","",盘货信息!A110)</f>
        <v/>
      </c>
      <c r="B110" s="26" t="str">
        <f>IF(盘货信息!B110="","",盘货信息!B110)</f>
        <v/>
      </c>
      <c r="C110" s="26" t="str">
        <f>IF(盘货信息!C110="","",盘货信息!C110)</f>
        <v/>
      </c>
      <c r="D110" s="27" t="str">
        <f t="shared" si="2"/>
        <v/>
      </c>
      <c r="E110" s="27" t="str" cm="1">
        <f t="array" ref="E110">IF($C110="","",IF(AND(OR(_xlfn.XLOOKUP($A110&amp;$B110&amp;$C110,盘货信息!$A:$A&amp;盘货信息!$B:$B&amp;盘货信息!$C:$C,盘货信息!$L:$L)="否",_xlfn.XLOOKUP($A110&amp;$B110&amp;$C110,盘货信息!$A:$A&amp;盘货信息!$B:$B&amp;盘货信息!$C:$C,盘货信息!$L:$L)=""),_xlfn.XLOOKUP($A110&amp;$B110&amp;$C110,盘货信息!$A:$A&amp;盘货信息!$B:$B&amp;盘货信息!$C:$C,盘货信息!$M:$M)="否"),"【预估到手价"&amp;_xlfn.XLOOKUP($A110&amp;$B110&amp;$C110,盘货信息!$A:$A&amp;盘货信息!$B:$B&amp;盘货信息!$C:$C,盘货信息!$D:$D)&amp;"元】",IF(AND(_xlfn.XLOOKUP($A110&amp;$B110&amp;$C110,盘货信息!$A:$A&amp;盘货信息!$B:$B&amp;盘货信息!$C:$C,盘货信息!$M:$M)="是",OR(_xlfn.XLOOKUP($A110&amp;$B110&amp;$C110,盘货信息!$A:$A&amp;盘货信息!$B:$B&amp;盘货信息!$C:$C,盘货信息!$L:$L)="否",_xlfn.XLOOKUP($A110&amp;$B110&amp;$C110,盘货信息!$A:$A&amp;盘货信息!$B:$B&amp;盘货信息!$C:$C,盘货信息!$L:$L)="")),"【预估到手价"&amp;_xlfn.XLOOKUP($A110&amp;$B110&amp;$C110,盘货信息!$A:$A&amp;盘货信息!$B:$B&amp;盘货信息!$C:$C,盘货信息!$D:$D)&amp;"元】"&amp;CHAR(10)&amp;"【焕新补贴预估价"&amp;ROUND(_xlfn.XLOOKUP($A110&amp;$B110&amp;$C110,盘货信息!$A:$A&amp;盘货信息!$B:$B&amp;盘货信息!$C:$C,盘货信息!$E:$E),0)&amp;"元】","【焕新补贴预估价"&amp;ROUND(_xlfn.XLOOKUP($A110&amp;$B110&amp;$C110,盘货信息!$A:$A&amp;盘货信息!$B:$B&amp;盘货信息!$C:$C,盘货信息!$E:$E),0)&amp;"元】")))</f>
        <v/>
      </c>
      <c r="F110" s="27" t="str" cm="1">
        <f t="array" ref="F110">IF($C110="","",_xlfn.XLOOKUP($A110&amp;$B110&amp;$C110,盘货信息!$A:$A&amp;盘货信息!$B:$B&amp;盘货信息!$C:$C,盘货信息!$D:$D)&amp;"元到手价")</f>
        <v/>
      </c>
      <c r="G110" s="27" t="str" cm="1">
        <f t="array" ref="G110">IF($C110="","",IF(_xlfn.XLOOKUP($A110&amp;$B110&amp;$C110,盘货信息!$A:$A&amp;盘货信息!$B:$B&amp;盘货信息!$C:$C,盘货信息!$G:$G)&lt;1,"",ROUND(_xlfn.XLOOKUP($A110&amp;$B110&amp;$C110,盘货信息!$A:$A&amp;盘货信息!$B:$B&amp;盘货信息!$C:$C,盘货信息!$G:$G),0)&amp;"元88VIP立减"))</f>
        <v/>
      </c>
      <c r="H110" s="27" t="str" cm="1">
        <f t="array" ref="H110">IF($C110="","",IF(_xlfn.XLOOKUP($A110&amp;$B110&amp;$C110,盘货信息!$A:$A&amp;盘货信息!$B:$B&amp;盘货信息!$C:$C,盘货信息!$I:$I)&lt;1,"",_xlfn.XLOOKUP($A110&amp;$B110&amp;$C110,盘货信息!$A:$A&amp;盘货信息!$B:$B&amp;盘货信息!$C:$C,盘货信息!$I:$I)&amp;"元惊喜立减"))</f>
        <v/>
      </c>
      <c r="I110" s="27" t="str" cm="1">
        <f t="array" ref="I110">IF($C110="","",IF(_xlfn.XLOOKUP($A110&amp;$B110&amp;$C110,盘货信息!$A:$A&amp;盘货信息!$B:$B&amp;盘货信息!$C:$C,盘货信息!$H:$H)&lt;1,"",ROUND(_xlfn.XLOOKUP($A110&amp;$B110&amp;$C110,盘货信息!$A:$A&amp;盘货信息!$B:$B&amp;盘货信息!$C:$C,盘货信息!$H:$H),0)&amp;"元消费券"))</f>
        <v/>
      </c>
      <c r="J110" s="27" t="str" cm="1">
        <f t="array" ref="J110">IF($C110="","",IF(_xlfn.XLOOKUP($A110&amp;$B110&amp;$C110,盘货信息!$A:$A&amp;盘货信息!$B:$B&amp;盘货信息!$C:$C,盘货信息!$J:$J)&lt;1,"",ROUND(_xlfn.XLOOKUP($A110&amp;$B110&amp;$C110,盘货信息!$A:$A&amp;盘货信息!$B:$B&amp;盘货信息!$C:$C,盘货信息!$J:$J),0)&amp;"元限时补贴"))</f>
        <v/>
      </c>
      <c r="K110" s="27" t="str" cm="1">
        <f t="array" ref="K110">IF($C110="","",IF(_xlfn.XLOOKUP($A110&amp;$B110&amp;$C110,盘货信息!$A:$A&amp;盘货信息!$B:$B&amp;盘货信息!$C:$C,盘货信息!$K:$K)&lt;1,"",ROUND(_xlfn.XLOOKUP($A110&amp;$B110&amp;$C110,盘货信息!$A:$A&amp;盘货信息!$B:$B&amp;盘货信息!$C:$C,盘货信息!$K:$K),0)&amp;"元预估焕新补贴"))</f>
        <v/>
      </c>
      <c r="L110" s="27" t="str" cm="1">
        <f t="array" ref="L110">IF($C110="","",IF(AND(_xlfn.XLOOKUP($A110&amp;$B110&amp;$C110,盘货信息!$A:$A&amp;盘货信息!$B:$B&amp;盘货信息!$C:$C,盘货信息!$L:$L)="是",_xlfn.XLOOKUP($A110&amp;$B110&amp;$C110,盘货信息!$A:$A&amp;盘货信息!$B:$B&amp;盘货信息!$C:$C,盘货信息!$M:$M)="是",_xlfn.XLOOKUP($A110&amp;$B110&amp;$C110,盘货信息!$A:$A&amp;盘货信息!$B:$B&amp;盘货信息!$C:$C,盘货信息!$K:$K)&gt;0),"【全民可用，不限地址】",IF(AND(OR(_xlfn.XLOOKUP($A110&amp;$B110&amp;$C110,盘货信息!$A:$A&amp;盘货信息!$B:$B&amp;盘货信息!$C:$C,盘货信息!$L:$L)="否",_xlfn.XLOOKUP($A110&amp;$B110&amp;$C110,盘货信息!$A:$A&amp;盘货信息!$B:$B&amp;盘货信息!$C:$C,盘货信息!$L:$L)=""),_xlfn.XLOOKUP($A110&amp;$B110&amp;$C110,盘货信息!$A:$A&amp;盘货信息!$B:$B&amp;盘货信息!$C:$C,盘货信息!$M:$M)="是",_xlfn.XLOOKUP($A110&amp;$B110&amp;$C110,盘货信息!$A:$A&amp;盘货信息!$B:$B&amp;盘货信息!$C:$C,盘货信息!$K:$K)&gt;0),"【详情页领取】","")))</f>
        <v/>
      </c>
      <c r="M110" s="27" t="str" cm="1">
        <f t="array" ref="M110">IF($C110="","",IF(_xlfn.XLOOKUP($A110&amp;$B110&amp;$C110,盘货信息!$A:$A&amp;盘货信息!$B:$B&amp;盘货信息!$C:$C,盘货信息!$F:$F)&lt;1,"",_xlfn.XLOOKUP($A110&amp;$B110&amp;$C110,盘货信息!$A:$A&amp;盘货信息!$B:$B&amp;盘货信息!$C:$C,盘货信息!$F:$F)&amp;"元明卷"))</f>
        <v/>
      </c>
      <c r="N110" s="27" t="str">
        <f t="shared" si="3"/>
        <v/>
      </c>
      <c r="O110" s="27" t="str">
        <f>IF(I110="","","【消费券链接】"&amp;固定信息!$B$6)</f>
        <v/>
      </c>
    </row>
    <row r="111" customHeight="1" spans="1:15">
      <c r="A111" s="26" t="str">
        <f>IF(盘货信息!A111="","",盘货信息!A111)</f>
        <v/>
      </c>
      <c r="B111" s="26" t="str">
        <f>IF(盘货信息!B111="","",盘货信息!B111)</f>
        <v/>
      </c>
      <c r="C111" s="23" t="str">
        <f>IF(盘货信息!C111="","",盘货信息!C111)</f>
        <v/>
      </c>
      <c r="D111" s="27" t="str">
        <f t="shared" si="2"/>
        <v/>
      </c>
      <c r="E111" s="27" t="str" cm="1">
        <f t="array" ref="E111">IF($C111="","",IF(AND(OR(_xlfn.XLOOKUP($A111&amp;$B111&amp;$C111,盘货信息!$A:$A&amp;盘货信息!$B:$B&amp;盘货信息!$C:$C,盘货信息!$L:$L)="否",_xlfn.XLOOKUP($A111&amp;$B111&amp;$C111,盘货信息!$A:$A&amp;盘货信息!$B:$B&amp;盘货信息!$C:$C,盘货信息!$L:$L)=""),_xlfn.XLOOKUP($A111&amp;$B111&amp;$C111,盘货信息!$A:$A&amp;盘货信息!$B:$B&amp;盘货信息!$C:$C,盘货信息!$M:$M)="否"),"【预估到手价"&amp;_xlfn.XLOOKUP($A111&amp;$B111&amp;$C111,盘货信息!$A:$A&amp;盘货信息!$B:$B&amp;盘货信息!$C:$C,盘货信息!$D:$D)&amp;"元】",IF(AND(_xlfn.XLOOKUP($A111&amp;$B111&amp;$C111,盘货信息!$A:$A&amp;盘货信息!$B:$B&amp;盘货信息!$C:$C,盘货信息!$M:$M)="是",OR(_xlfn.XLOOKUP($A111&amp;$B111&amp;$C111,盘货信息!$A:$A&amp;盘货信息!$B:$B&amp;盘货信息!$C:$C,盘货信息!$L:$L)="否",_xlfn.XLOOKUP($A111&amp;$B111&amp;$C111,盘货信息!$A:$A&amp;盘货信息!$B:$B&amp;盘货信息!$C:$C,盘货信息!$L:$L)="")),"【预估到手价"&amp;_xlfn.XLOOKUP($A111&amp;$B111&amp;$C111,盘货信息!$A:$A&amp;盘货信息!$B:$B&amp;盘货信息!$C:$C,盘货信息!$D:$D)&amp;"元】"&amp;CHAR(10)&amp;"【焕新补贴预估价"&amp;ROUND(_xlfn.XLOOKUP($A111&amp;$B111&amp;$C111,盘货信息!$A:$A&amp;盘货信息!$B:$B&amp;盘货信息!$C:$C,盘货信息!$E:$E),0)&amp;"元】","【焕新补贴预估价"&amp;ROUND(_xlfn.XLOOKUP($A111&amp;$B111&amp;$C111,盘货信息!$A:$A&amp;盘货信息!$B:$B&amp;盘货信息!$C:$C,盘货信息!$E:$E),0)&amp;"元】")))</f>
        <v/>
      </c>
      <c r="F111" s="27" t="str" cm="1">
        <f t="array" ref="F111">IF($C111="","",_xlfn.XLOOKUP($A111&amp;$B111&amp;$C111,盘货信息!$A:$A&amp;盘货信息!$B:$B&amp;盘货信息!$C:$C,盘货信息!$D:$D)&amp;"元到手价")</f>
        <v/>
      </c>
      <c r="G111" s="27" t="str" cm="1">
        <f t="array" ref="G111">IF($C111="","",IF(_xlfn.XLOOKUP($A111&amp;$B111&amp;$C111,盘货信息!$A:$A&amp;盘货信息!$B:$B&amp;盘货信息!$C:$C,盘货信息!$G:$G)&lt;1,"",ROUND(_xlfn.XLOOKUP($A111&amp;$B111&amp;$C111,盘货信息!$A:$A&amp;盘货信息!$B:$B&amp;盘货信息!$C:$C,盘货信息!$G:$G),0)&amp;"元88VIP立减"))</f>
        <v/>
      </c>
      <c r="H111" s="27" t="str" cm="1">
        <f t="array" ref="H111">IF($C111="","",IF(_xlfn.XLOOKUP($A111&amp;$B111&amp;$C111,盘货信息!$A:$A&amp;盘货信息!$B:$B&amp;盘货信息!$C:$C,盘货信息!$I:$I)&lt;1,"",_xlfn.XLOOKUP($A111&amp;$B111&amp;$C111,盘货信息!$A:$A&amp;盘货信息!$B:$B&amp;盘货信息!$C:$C,盘货信息!$I:$I)&amp;"元惊喜立减"))</f>
        <v/>
      </c>
      <c r="I111" s="27" t="str" cm="1">
        <f t="array" ref="I111">IF($C111="","",IF(_xlfn.XLOOKUP($A111&amp;$B111&amp;$C111,盘货信息!$A:$A&amp;盘货信息!$B:$B&amp;盘货信息!$C:$C,盘货信息!$H:$H)&lt;1,"",ROUND(_xlfn.XLOOKUP($A111&amp;$B111&amp;$C111,盘货信息!$A:$A&amp;盘货信息!$B:$B&amp;盘货信息!$C:$C,盘货信息!$H:$H),0)&amp;"元消费券"))</f>
        <v/>
      </c>
      <c r="J111" s="27" t="str" cm="1">
        <f t="array" ref="J111">IF($C111="","",IF(_xlfn.XLOOKUP($A111&amp;$B111&amp;$C111,盘货信息!$A:$A&amp;盘货信息!$B:$B&amp;盘货信息!$C:$C,盘货信息!$J:$J)&lt;1,"",ROUND(_xlfn.XLOOKUP($A111&amp;$B111&amp;$C111,盘货信息!$A:$A&amp;盘货信息!$B:$B&amp;盘货信息!$C:$C,盘货信息!$J:$J),0)&amp;"元限时补贴"))</f>
        <v/>
      </c>
      <c r="K111" s="27" t="str" cm="1">
        <f t="array" ref="K111">IF($C111="","",IF(_xlfn.XLOOKUP($A111&amp;$B111&amp;$C111,盘货信息!$A:$A&amp;盘货信息!$B:$B&amp;盘货信息!$C:$C,盘货信息!$K:$K)&lt;1,"",ROUND(_xlfn.XLOOKUP($A111&amp;$B111&amp;$C111,盘货信息!$A:$A&amp;盘货信息!$B:$B&amp;盘货信息!$C:$C,盘货信息!$K:$K),0)&amp;"元预估焕新补贴"))</f>
        <v/>
      </c>
      <c r="L111" s="27" t="str" cm="1">
        <f t="array" ref="L111">IF($C111="","",IF(AND(_xlfn.XLOOKUP($A111&amp;$B111&amp;$C111,盘货信息!$A:$A&amp;盘货信息!$B:$B&amp;盘货信息!$C:$C,盘货信息!$L:$L)="是",_xlfn.XLOOKUP($A111&amp;$B111&amp;$C111,盘货信息!$A:$A&amp;盘货信息!$B:$B&amp;盘货信息!$C:$C,盘货信息!$M:$M)="是",_xlfn.XLOOKUP($A111&amp;$B111&amp;$C111,盘货信息!$A:$A&amp;盘货信息!$B:$B&amp;盘货信息!$C:$C,盘货信息!$K:$K)&gt;0),"【全民可用，不限地址】",IF(AND(OR(_xlfn.XLOOKUP($A111&amp;$B111&amp;$C111,盘货信息!$A:$A&amp;盘货信息!$B:$B&amp;盘货信息!$C:$C,盘货信息!$L:$L)="否",_xlfn.XLOOKUP($A111&amp;$B111&amp;$C111,盘货信息!$A:$A&amp;盘货信息!$B:$B&amp;盘货信息!$C:$C,盘货信息!$L:$L)=""),_xlfn.XLOOKUP($A111&amp;$B111&amp;$C111,盘货信息!$A:$A&amp;盘货信息!$B:$B&amp;盘货信息!$C:$C,盘货信息!$M:$M)="是",_xlfn.XLOOKUP($A111&amp;$B111&amp;$C111,盘货信息!$A:$A&amp;盘货信息!$B:$B&amp;盘货信息!$C:$C,盘货信息!$K:$K)&gt;0),"【详情页领取】","")))</f>
        <v/>
      </c>
      <c r="M111" s="27" t="str" cm="1">
        <f t="array" ref="M111">IF($C111="","",IF(_xlfn.XLOOKUP($A111&amp;$B111&amp;$C111,盘货信息!$A:$A&amp;盘货信息!$B:$B&amp;盘货信息!$C:$C,盘货信息!$F:$F)&lt;1,"",_xlfn.XLOOKUP($A111&amp;$B111&amp;$C111,盘货信息!$A:$A&amp;盘货信息!$B:$B&amp;盘货信息!$C:$C,盘货信息!$F:$F)&amp;"元明卷"))</f>
        <v/>
      </c>
      <c r="N111" s="27" t="str">
        <f t="shared" si="3"/>
        <v/>
      </c>
      <c r="O111" s="27" t="str">
        <f>IF(I111="","","【消费券链接】"&amp;固定信息!$B$6)</f>
        <v/>
      </c>
    </row>
    <row r="112" customHeight="1" spans="1:15">
      <c r="A112" s="26" t="str">
        <f>IF(盘货信息!A112="","",盘货信息!A112)</f>
        <v/>
      </c>
      <c r="B112" s="26" t="str">
        <f>IF(盘货信息!B112="","",盘货信息!B112)</f>
        <v/>
      </c>
      <c r="C112" s="23" t="str">
        <f>IF(盘货信息!C112="","",盘货信息!C112)</f>
        <v/>
      </c>
      <c r="D112" s="27" t="str">
        <f t="shared" si="2"/>
        <v/>
      </c>
      <c r="E112" s="27" t="str" cm="1">
        <f t="array" ref="E112">IF($C112="","",IF(AND(OR(_xlfn.XLOOKUP($A112&amp;$B112&amp;$C112,盘货信息!$A:$A&amp;盘货信息!$B:$B&amp;盘货信息!$C:$C,盘货信息!$L:$L)="否",_xlfn.XLOOKUP($A112&amp;$B112&amp;$C112,盘货信息!$A:$A&amp;盘货信息!$B:$B&amp;盘货信息!$C:$C,盘货信息!$L:$L)=""),_xlfn.XLOOKUP($A112&amp;$B112&amp;$C112,盘货信息!$A:$A&amp;盘货信息!$B:$B&amp;盘货信息!$C:$C,盘货信息!$M:$M)="否"),"【预估到手价"&amp;_xlfn.XLOOKUP($A112&amp;$B112&amp;$C112,盘货信息!$A:$A&amp;盘货信息!$B:$B&amp;盘货信息!$C:$C,盘货信息!$D:$D)&amp;"元】",IF(AND(_xlfn.XLOOKUP($A112&amp;$B112&amp;$C112,盘货信息!$A:$A&amp;盘货信息!$B:$B&amp;盘货信息!$C:$C,盘货信息!$M:$M)="是",OR(_xlfn.XLOOKUP($A112&amp;$B112&amp;$C112,盘货信息!$A:$A&amp;盘货信息!$B:$B&amp;盘货信息!$C:$C,盘货信息!$L:$L)="否",_xlfn.XLOOKUP($A112&amp;$B112&amp;$C112,盘货信息!$A:$A&amp;盘货信息!$B:$B&amp;盘货信息!$C:$C,盘货信息!$L:$L)="")),"【预估到手价"&amp;_xlfn.XLOOKUP($A112&amp;$B112&amp;$C112,盘货信息!$A:$A&amp;盘货信息!$B:$B&amp;盘货信息!$C:$C,盘货信息!$D:$D)&amp;"元】"&amp;CHAR(10)&amp;"【焕新补贴预估价"&amp;ROUND(_xlfn.XLOOKUP($A112&amp;$B112&amp;$C112,盘货信息!$A:$A&amp;盘货信息!$B:$B&amp;盘货信息!$C:$C,盘货信息!$E:$E),0)&amp;"元】","【焕新补贴预估价"&amp;ROUND(_xlfn.XLOOKUP($A112&amp;$B112&amp;$C112,盘货信息!$A:$A&amp;盘货信息!$B:$B&amp;盘货信息!$C:$C,盘货信息!$E:$E),0)&amp;"元】")))</f>
        <v/>
      </c>
      <c r="F112" s="27" t="str" cm="1">
        <f t="array" ref="F112">IF($C112="","",_xlfn.XLOOKUP($A112&amp;$B112&amp;$C112,盘货信息!$A:$A&amp;盘货信息!$B:$B&amp;盘货信息!$C:$C,盘货信息!$D:$D)&amp;"元到手价")</f>
        <v/>
      </c>
      <c r="G112" s="27" t="str" cm="1">
        <f t="array" ref="G112">IF($C112="","",IF(_xlfn.XLOOKUP($A112&amp;$B112&amp;$C112,盘货信息!$A:$A&amp;盘货信息!$B:$B&amp;盘货信息!$C:$C,盘货信息!$G:$G)&lt;1,"",ROUND(_xlfn.XLOOKUP($A112&amp;$B112&amp;$C112,盘货信息!$A:$A&amp;盘货信息!$B:$B&amp;盘货信息!$C:$C,盘货信息!$G:$G),0)&amp;"元88VIP立减"))</f>
        <v/>
      </c>
      <c r="H112" s="27" t="str" cm="1">
        <f t="array" ref="H112">IF($C112="","",IF(_xlfn.XLOOKUP($A112&amp;$B112&amp;$C112,盘货信息!$A:$A&amp;盘货信息!$B:$B&amp;盘货信息!$C:$C,盘货信息!$I:$I)&lt;1,"",_xlfn.XLOOKUP($A112&amp;$B112&amp;$C112,盘货信息!$A:$A&amp;盘货信息!$B:$B&amp;盘货信息!$C:$C,盘货信息!$I:$I)&amp;"元惊喜立减"))</f>
        <v/>
      </c>
      <c r="I112" s="27" t="str" cm="1">
        <f t="array" ref="I112">IF($C112="","",IF(_xlfn.XLOOKUP($A112&amp;$B112&amp;$C112,盘货信息!$A:$A&amp;盘货信息!$B:$B&amp;盘货信息!$C:$C,盘货信息!$H:$H)&lt;1,"",ROUND(_xlfn.XLOOKUP($A112&amp;$B112&amp;$C112,盘货信息!$A:$A&amp;盘货信息!$B:$B&amp;盘货信息!$C:$C,盘货信息!$H:$H),0)&amp;"元消费券"))</f>
        <v/>
      </c>
      <c r="J112" s="27" t="str" cm="1">
        <f t="array" ref="J112">IF($C112="","",IF(_xlfn.XLOOKUP($A112&amp;$B112&amp;$C112,盘货信息!$A:$A&amp;盘货信息!$B:$B&amp;盘货信息!$C:$C,盘货信息!$J:$J)&lt;1,"",ROUND(_xlfn.XLOOKUP($A112&amp;$B112&amp;$C112,盘货信息!$A:$A&amp;盘货信息!$B:$B&amp;盘货信息!$C:$C,盘货信息!$J:$J),0)&amp;"元限时补贴"))</f>
        <v/>
      </c>
      <c r="K112" s="27" t="str" cm="1">
        <f t="array" ref="K112">IF($C112="","",IF(_xlfn.XLOOKUP($A112&amp;$B112&amp;$C112,盘货信息!$A:$A&amp;盘货信息!$B:$B&amp;盘货信息!$C:$C,盘货信息!$K:$K)&lt;1,"",ROUND(_xlfn.XLOOKUP($A112&amp;$B112&amp;$C112,盘货信息!$A:$A&amp;盘货信息!$B:$B&amp;盘货信息!$C:$C,盘货信息!$K:$K),0)&amp;"元预估焕新补贴"))</f>
        <v/>
      </c>
      <c r="L112" s="27" t="str" cm="1">
        <f t="array" ref="L112">IF($C112="","",IF(AND(_xlfn.XLOOKUP($A112&amp;$B112&amp;$C112,盘货信息!$A:$A&amp;盘货信息!$B:$B&amp;盘货信息!$C:$C,盘货信息!$L:$L)="是",_xlfn.XLOOKUP($A112&amp;$B112&amp;$C112,盘货信息!$A:$A&amp;盘货信息!$B:$B&amp;盘货信息!$C:$C,盘货信息!$M:$M)="是",_xlfn.XLOOKUP($A112&amp;$B112&amp;$C112,盘货信息!$A:$A&amp;盘货信息!$B:$B&amp;盘货信息!$C:$C,盘货信息!$K:$K)&gt;0),"【全民可用，不限地址】",IF(AND(OR(_xlfn.XLOOKUP($A112&amp;$B112&amp;$C112,盘货信息!$A:$A&amp;盘货信息!$B:$B&amp;盘货信息!$C:$C,盘货信息!$L:$L)="否",_xlfn.XLOOKUP($A112&amp;$B112&amp;$C112,盘货信息!$A:$A&amp;盘货信息!$B:$B&amp;盘货信息!$C:$C,盘货信息!$L:$L)=""),_xlfn.XLOOKUP($A112&amp;$B112&amp;$C112,盘货信息!$A:$A&amp;盘货信息!$B:$B&amp;盘货信息!$C:$C,盘货信息!$M:$M)="是",_xlfn.XLOOKUP($A112&amp;$B112&amp;$C112,盘货信息!$A:$A&amp;盘货信息!$B:$B&amp;盘货信息!$C:$C,盘货信息!$K:$K)&gt;0),"【详情页领取】","")))</f>
        <v/>
      </c>
      <c r="M112" s="27" t="str" cm="1">
        <f t="array" ref="M112">IF($C112="","",IF(_xlfn.XLOOKUP($A112&amp;$B112&amp;$C112,盘货信息!$A:$A&amp;盘货信息!$B:$B&amp;盘货信息!$C:$C,盘货信息!$F:$F)&lt;1,"",_xlfn.XLOOKUP($A112&amp;$B112&amp;$C112,盘货信息!$A:$A&amp;盘货信息!$B:$B&amp;盘货信息!$C:$C,盘货信息!$F:$F)&amp;"元明卷"))</f>
        <v/>
      </c>
      <c r="N112" s="27" t="str">
        <f t="shared" si="3"/>
        <v/>
      </c>
      <c r="O112" s="27" t="str">
        <f>IF(I112="","","【消费券链接】"&amp;固定信息!$B$6)</f>
        <v/>
      </c>
    </row>
    <row r="113" customHeight="1" spans="1:15">
      <c r="A113" s="26" t="str">
        <f>IF(盘货信息!A113="","",盘货信息!A113)</f>
        <v/>
      </c>
      <c r="B113" s="26" t="str">
        <f>IF(盘货信息!B113="","",盘货信息!B113)</f>
        <v/>
      </c>
      <c r="C113" s="23" t="str">
        <f>IF(盘货信息!C113="","",盘货信息!C113)</f>
        <v/>
      </c>
      <c r="D113" s="27" t="str">
        <f t="shared" si="2"/>
        <v/>
      </c>
      <c r="E113" s="27" t="str" cm="1">
        <f t="array" ref="E113">IF($C113="","",IF(AND(OR(_xlfn.XLOOKUP($A113&amp;$B113&amp;$C113,盘货信息!$A:$A&amp;盘货信息!$B:$B&amp;盘货信息!$C:$C,盘货信息!$L:$L)="否",_xlfn.XLOOKUP($A113&amp;$B113&amp;$C113,盘货信息!$A:$A&amp;盘货信息!$B:$B&amp;盘货信息!$C:$C,盘货信息!$L:$L)=""),_xlfn.XLOOKUP($A113&amp;$B113&amp;$C113,盘货信息!$A:$A&amp;盘货信息!$B:$B&amp;盘货信息!$C:$C,盘货信息!$M:$M)="否"),"【预估到手价"&amp;_xlfn.XLOOKUP($A113&amp;$B113&amp;$C113,盘货信息!$A:$A&amp;盘货信息!$B:$B&amp;盘货信息!$C:$C,盘货信息!$D:$D)&amp;"元】",IF(AND(_xlfn.XLOOKUP($A113&amp;$B113&amp;$C113,盘货信息!$A:$A&amp;盘货信息!$B:$B&amp;盘货信息!$C:$C,盘货信息!$M:$M)="是",OR(_xlfn.XLOOKUP($A113&amp;$B113&amp;$C113,盘货信息!$A:$A&amp;盘货信息!$B:$B&amp;盘货信息!$C:$C,盘货信息!$L:$L)="否",_xlfn.XLOOKUP($A113&amp;$B113&amp;$C113,盘货信息!$A:$A&amp;盘货信息!$B:$B&amp;盘货信息!$C:$C,盘货信息!$L:$L)="")),"【预估到手价"&amp;_xlfn.XLOOKUP($A113&amp;$B113&amp;$C113,盘货信息!$A:$A&amp;盘货信息!$B:$B&amp;盘货信息!$C:$C,盘货信息!$D:$D)&amp;"元】"&amp;CHAR(10)&amp;"【焕新补贴预估价"&amp;ROUND(_xlfn.XLOOKUP($A113&amp;$B113&amp;$C113,盘货信息!$A:$A&amp;盘货信息!$B:$B&amp;盘货信息!$C:$C,盘货信息!$E:$E),0)&amp;"元】","【焕新补贴预估价"&amp;ROUND(_xlfn.XLOOKUP($A113&amp;$B113&amp;$C113,盘货信息!$A:$A&amp;盘货信息!$B:$B&amp;盘货信息!$C:$C,盘货信息!$E:$E),0)&amp;"元】")))</f>
        <v/>
      </c>
      <c r="F113" s="27" t="str" cm="1">
        <f t="array" ref="F113">IF($C113="","",_xlfn.XLOOKUP($A113&amp;$B113&amp;$C113,盘货信息!$A:$A&amp;盘货信息!$B:$B&amp;盘货信息!$C:$C,盘货信息!$D:$D)&amp;"元到手价")</f>
        <v/>
      </c>
      <c r="G113" s="27" t="str" cm="1">
        <f t="array" ref="G113">IF($C113="","",IF(_xlfn.XLOOKUP($A113&amp;$B113&amp;$C113,盘货信息!$A:$A&amp;盘货信息!$B:$B&amp;盘货信息!$C:$C,盘货信息!$G:$G)&lt;1,"",ROUND(_xlfn.XLOOKUP($A113&amp;$B113&amp;$C113,盘货信息!$A:$A&amp;盘货信息!$B:$B&amp;盘货信息!$C:$C,盘货信息!$G:$G),0)&amp;"元88VIP立减"))</f>
        <v/>
      </c>
      <c r="H113" s="27" t="str" cm="1">
        <f t="array" ref="H113">IF($C113="","",IF(_xlfn.XLOOKUP($A113&amp;$B113&amp;$C113,盘货信息!$A:$A&amp;盘货信息!$B:$B&amp;盘货信息!$C:$C,盘货信息!$I:$I)&lt;1,"",_xlfn.XLOOKUP($A113&amp;$B113&amp;$C113,盘货信息!$A:$A&amp;盘货信息!$B:$B&amp;盘货信息!$C:$C,盘货信息!$I:$I)&amp;"元惊喜立减"))</f>
        <v/>
      </c>
      <c r="I113" s="27" t="str" cm="1">
        <f t="array" ref="I113">IF($C113="","",IF(_xlfn.XLOOKUP($A113&amp;$B113&amp;$C113,盘货信息!$A:$A&amp;盘货信息!$B:$B&amp;盘货信息!$C:$C,盘货信息!$H:$H)&lt;1,"",ROUND(_xlfn.XLOOKUP($A113&amp;$B113&amp;$C113,盘货信息!$A:$A&amp;盘货信息!$B:$B&amp;盘货信息!$C:$C,盘货信息!$H:$H),0)&amp;"元消费券"))</f>
        <v/>
      </c>
      <c r="J113" s="27" t="str" cm="1">
        <f t="array" ref="J113">IF($C113="","",IF(_xlfn.XLOOKUP($A113&amp;$B113&amp;$C113,盘货信息!$A:$A&amp;盘货信息!$B:$B&amp;盘货信息!$C:$C,盘货信息!$J:$J)&lt;1,"",ROUND(_xlfn.XLOOKUP($A113&amp;$B113&amp;$C113,盘货信息!$A:$A&amp;盘货信息!$B:$B&amp;盘货信息!$C:$C,盘货信息!$J:$J),0)&amp;"元限时补贴"))</f>
        <v/>
      </c>
      <c r="K113" s="27" t="str" cm="1">
        <f t="array" ref="K113">IF($C113="","",IF(_xlfn.XLOOKUP($A113&amp;$B113&amp;$C113,盘货信息!$A:$A&amp;盘货信息!$B:$B&amp;盘货信息!$C:$C,盘货信息!$K:$K)&lt;1,"",ROUND(_xlfn.XLOOKUP($A113&amp;$B113&amp;$C113,盘货信息!$A:$A&amp;盘货信息!$B:$B&amp;盘货信息!$C:$C,盘货信息!$K:$K),0)&amp;"元预估焕新补贴"))</f>
        <v/>
      </c>
      <c r="L113" s="27" t="str" cm="1">
        <f t="array" ref="L113">IF($C113="","",IF(AND(_xlfn.XLOOKUP($A113&amp;$B113&amp;$C113,盘货信息!$A:$A&amp;盘货信息!$B:$B&amp;盘货信息!$C:$C,盘货信息!$L:$L)="是",_xlfn.XLOOKUP($A113&amp;$B113&amp;$C113,盘货信息!$A:$A&amp;盘货信息!$B:$B&amp;盘货信息!$C:$C,盘货信息!$M:$M)="是",_xlfn.XLOOKUP($A113&amp;$B113&amp;$C113,盘货信息!$A:$A&amp;盘货信息!$B:$B&amp;盘货信息!$C:$C,盘货信息!$K:$K)&gt;0),"【全民可用，不限地址】",IF(AND(OR(_xlfn.XLOOKUP($A113&amp;$B113&amp;$C113,盘货信息!$A:$A&amp;盘货信息!$B:$B&amp;盘货信息!$C:$C,盘货信息!$L:$L)="否",_xlfn.XLOOKUP($A113&amp;$B113&amp;$C113,盘货信息!$A:$A&amp;盘货信息!$B:$B&amp;盘货信息!$C:$C,盘货信息!$L:$L)=""),_xlfn.XLOOKUP($A113&amp;$B113&amp;$C113,盘货信息!$A:$A&amp;盘货信息!$B:$B&amp;盘货信息!$C:$C,盘货信息!$M:$M)="是",_xlfn.XLOOKUP($A113&amp;$B113&amp;$C113,盘货信息!$A:$A&amp;盘货信息!$B:$B&amp;盘货信息!$C:$C,盘货信息!$K:$K)&gt;0),"【详情页领取】","")))</f>
        <v/>
      </c>
      <c r="M113" s="27" t="str" cm="1">
        <f t="array" ref="M113">IF($C113="","",IF(_xlfn.XLOOKUP($A113&amp;$B113&amp;$C113,盘货信息!$A:$A&amp;盘货信息!$B:$B&amp;盘货信息!$C:$C,盘货信息!$F:$F)&lt;1,"",_xlfn.XLOOKUP($A113&amp;$B113&amp;$C113,盘货信息!$A:$A&amp;盘货信息!$B:$B&amp;盘货信息!$C:$C,盘货信息!$F:$F)&amp;"元明卷"))</f>
        <v/>
      </c>
      <c r="N113" s="27" t="str">
        <f t="shared" si="3"/>
        <v/>
      </c>
      <c r="O113" s="27" t="str">
        <f>IF(I113="","","【消费券链接】"&amp;固定信息!$B$6)</f>
        <v/>
      </c>
    </row>
    <row r="114" customHeight="1" spans="1:15">
      <c r="A114" s="26" t="str">
        <f>IF(盘货信息!A114="","",盘货信息!A114)</f>
        <v/>
      </c>
      <c r="B114" s="26" t="str">
        <f>IF(盘货信息!B114="","",盘货信息!B114)</f>
        <v/>
      </c>
      <c r="C114" s="26" t="str">
        <f>IF(盘货信息!C114="","",盘货信息!C114)</f>
        <v/>
      </c>
      <c r="D114" s="27" t="str">
        <f t="shared" si="2"/>
        <v/>
      </c>
      <c r="E114" s="27" t="str" cm="1">
        <f t="array" ref="E114">IF($C114="","",IF(AND(OR(_xlfn.XLOOKUP($A114&amp;$B114&amp;$C114,盘货信息!$A:$A&amp;盘货信息!$B:$B&amp;盘货信息!$C:$C,盘货信息!$L:$L)="否",_xlfn.XLOOKUP($A114&amp;$B114&amp;$C114,盘货信息!$A:$A&amp;盘货信息!$B:$B&amp;盘货信息!$C:$C,盘货信息!$L:$L)=""),_xlfn.XLOOKUP($A114&amp;$B114&amp;$C114,盘货信息!$A:$A&amp;盘货信息!$B:$B&amp;盘货信息!$C:$C,盘货信息!$M:$M)="否"),"【预估到手价"&amp;_xlfn.XLOOKUP($A114&amp;$B114&amp;$C114,盘货信息!$A:$A&amp;盘货信息!$B:$B&amp;盘货信息!$C:$C,盘货信息!$D:$D)&amp;"元】",IF(AND(_xlfn.XLOOKUP($A114&amp;$B114&amp;$C114,盘货信息!$A:$A&amp;盘货信息!$B:$B&amp;盘货信息!$C:$C,盘货信息!$M:$M)="是",OR(_xlfn.XLOOKUP($A114&amp;$B114&amp;$C114,盘货信息!$A:$A&amp;盘货信息!$B:$B&amp;盘货信息!$C:$C,盘货信息!$L:$L)="否",_xlfn.XLOOKUP($A114&amp;$B114&amp;$C114,盘货信息!$A:$A&amp;盘货信息!$B:$B&amp;盘货信息!$C:$C,盘货信息!$L:$L)="")),"【预估到手价"&amp;_xlfn.XLOOKUP($A114&amp;$B114&amp;$C114,盘货信息!$A:$A&amp;盘货信息!$B:$B&amp;盘货信息!$C:$C,盘货信息!$D:$D)&amp;"元】"&amp;CHAR(10)&amp;"【焕新补贴预估价"&amp;ROUND(_xlfn.XLOOKUP($A114&amp;$B114&amp;$C114,盘货信息!$A:$A&amp;盘货信息!$B:$B&amp;盘货信息!$C:$C,盘货信息!$E:$E),0)&amp;"元】","【焕新补贴预估价"&amp;ROUND(_xlfn.XLOOKUP($A114&amp;$B114&amp;$C114,盘货信息!$A:$A&amp;盘货信息!$B:$B&amp;盘货信息!$C:$C,盘货信息!$E:$E),0)&amp;"元】")))</f>
        <v/>
      </c>
      <c r="F114" s="27" t="str" cm="1">
        <f t="array" ref="F114">IF($C114="","",_xlfn.XLOOKUP($A114&amp;$B114&amp;$C114,盘货信息!$A:$A&amp;盘货信息!$B:$B&amp;盘货信息!$C:$C,盘货信息!$D:$D)&amp;"元到手价")</f>
        <v/>
      </c>
      <c r="G114" s="27" t="str" cm="1">
        <f t="array" ref="G114">IF($C114="","",IF(_xlfn.XLOOKUP($A114&amp;$B114&amp;$C114,盘货信息!$A:$A&amp;盘货信息!$B:$B&amp;盘货信息!$C:$C,盘货信息!$G:$G)&lt;1,"",ROUND(_xlfn.XLOOKUP($A114&amp;$B114&amp;$C114,盘货信息!$A:$A&amp;盘货信息!$B:$B&amp;盘货信息!$C:$C,盘货信息!$G:$G),0)&amp;"元88VIP立减"))</f>
        <v/>
      </c>
      <c r="H114" s="27" t="str" cm="1">
        <f t="array" ref="H114">IF($C114="","",IF(_xlfn.XLOOKUP($A114&amp;$B114&amp;$C114,盘货信息!$A:$A&amp;盘货信息!$B:$B&amp;盘货信息!$C:$C,盘货信息!$I:$I)&lt;1,"",_xlfn.XLOOKUP($A114&amp;$B114&amp;$C114,盘货信息!$A:$A&amp;盘货信息!$B:$B&amp;盘货信息!$C:$C,盘货信息!$I:$I)&amp;"元惊喜立减"))</f>
        <v/>
      </c>
      <c r="I114" s="27" t="str" cm="1">
        <f t="array" ref="I114">IF($C114="","",IF(_xlfn.XLOOKUP($A114&amp;$B114&amp;$C114,盘货信息!$A:$A&amp;盘货信息!$B:$B&amp;盘货信息!$C:$C,盘货信息!$H:$H)&lt;1,"",ROUND(_xlfn.XLOOKUP($A114&amp;$B114&amp;$C114,盘货信息!$A:$A&amp;盘货信息!$B:$B&amp;盘货信息!$C:$C,盘货信息!$H:$H),0)&amp;"元消费券"))</f>
        <v/>
      </c>
      <c r="J114" s="27" t="str" cm="1">
        <f t="array" ref="J114">IF($C114="","",IF(_xlfn.XLOOKUP($A114&amp;$B114&amp;$C114,盘货信息!$A:$A&amp;盘货信息!$B:$B&amp;盘货信息!$C:$C,盘货信息!$J:$J)&lt;1,"",ROUND(_xlfn.XLOOKUP($A114&amp;$B114&amp;$C114,盘货信息!$A:$A&amp;盘货信息!$B:$B&amp;盘货信息!$C:$C,盘货信息!$J:$J),0)&amp;"元限时补贴"))</f>
        <v/>
      </c>
      <c r="K114" s="27" t="str" cm="1">
        <f t="array" ref="K114">IF($C114="","",IF(_xlfn.XLOOKUP($A114&amp;$B114&amp;$C114,盘货信息!$A:$A&amp;盘货信息!$B:$B&amp;盘货信息!$C:$C,盘货信息!$K:$K)&lt;1,"",ROUND(_xlfn.XLOOKUP($A114&amp;$B114&amp;$C114,盘货信息!$A:$A&amp;盘货信息!$B:$B&amp;盘货信息!$C:$C,盘货信息!$K:$K),0)&amp;"元预估焕新补贴"))</f>
        <v/>
      </c>
      <c r="L114" s="27" t="str" cm="1">
        <f t="array" ref="L114">IF($C114="","",IF(AND(_xlfn.XLOOKUP($A114&amp;$B114&amp;$C114,盘货信息!$A:$A&amp;盘货信息!$B:$B&amp;盘货信息!$C:$C,盘货信息!$L:$L)="是",_xlfn.XLOOKUP($A114&amp;$B114&amp;$C114,盘货信息!$A:$A&amp;盘货信息!$B:$B&amp;盘货信息!$C:$C,盘货信息!$M:$M)="是",_xlfn.XLOOKUP($A114&amp;$B114&amp;$C114,盘货信息!$A:$A&amp;盘货信息!$B:$B&amp;盘货信息!$C:$C,盘货信息!$K:$K)&gt;0),"【全民可用，不限地址】",IF(AND(OR(_xlfn.XLOOKUP($A114&amp;$B114&amp;$C114,盘货信息!$A:$A&amp;盘货信息!$B:$B&amp;盘货信息!$C:$C,盘货信息!$L:$L)="否",_xlfn.XLOOKUP($A114&amp;$B114&amp;$C114,盘货信息!$A:$A&amp;盘货信息!$B:$B&amp;盘货信息!$C:$C,盘货信息!$L:$L)=""),_xlfn.XLOOKUP($A114&amp;$B114&amp;$C114,盘货信息!$A:$A&amp;盘货信息!$B:$B&amp;盘货信息!$C:$C,盘货信息!$M:$M)="是",_xlfn.XLOOKUP($A114&amp;$B114&amp;$C114,盘货信息!$A:$A&amp;盘货信息!$B:$B&amp;盘货信息!$C:$C,盘货信息!$K:$K)&gt;0),"【详情页领取】","")))</f>
        <v/>
      </c>
      <c r="M114" s="27" t="str" cm="1">
        <f t="array" ref="M114">IF($C114="","",IF(_xlfn.XLOOKUP($A114&amp;$B114&amp;$C114,盘货信息!$A:$A&amp;盘货信息!$B:$B&amp;盘货信息!$C:$C,盘货信息!$F:$F)&lt;1,"",_xlfn.XLOOKUP($A114&amp;$B114&amp;$C114,盘货信息!$A:$A&amp;盘货信息!$B:$B&amp;盘货信息!$C:$C,盘货信息!$F:$F)&amp;"元明卷"))</f>
        <v/>
      </c>
      <c r="N114" s="27" t="str">
        <f t="shared" si="3"/>
        <v/>
      </c>
      <c r="O114" s="27" t="str">
        <f>IF(I114="","","【消费券链接】"&amp;固定信息!$B$6)</f>
        <v/>
      </c>
    </row>
    <row r="115" customHeight="1" spans="1:15">
      <c r="A115" s="26" t="str">
        <f>IF(盘货信息!A115="","",盘货信息!A115)</f>
        <v/>
      </c>
      <c r="B115" s="26" t="str">
        <f>IF(盘货信息!B115="","",盘货信息!B115)</f>
        <v/>
      </c>
      <c r="C115" s="26" t="str">
        <f>IF(盘货信息!C115="","",盘货信息!C115)</f>
        <v/>
      </c>
      <c r="D115" s="27" t="str">
        <f t="shared" si="2"/>
        <v/>
      </c>
      <c r="E115" s="27" t="str" cm="1">
        <f t="array" ref="E115">IF($C115="","",IF(AND(OR(_xlfn.XLOOKUP($A115&amp;$B115&amp;$C115,盘货信息!$A:$A&amp;盘货信息!$B:$B&amp;盘货信息!$C:$C,盘货信息!$L:$L)="否",_xlfn.XLOOKUP($A115&amp;$B115&amp;$C115,盘货信息!$A:$A&amp;盘货信息!$B:$B&amp;盘货信息!$C:$C,盘货信息!$L:$L)=""),_xlfn.XLOOKUP($A115&amp;$B115&amp;$C115,盘货信息!$A:$A&amp;盘货信息!$B:$B&amp;盘货信息!$C:$C,盘货信息!$M:$M)="否"),"【预估到手价"&amp;_xlfn.XLOOKUP($A115&amp;$B115&amp;$C115,盘货信息!$A:$A&amp;盘货信息!$B:$B&amp;盘货信息!$C:$C,盘货信息!$D:$D)&amp;"元】",IF(AND(_xlfn.XLOOKUP($A115&amp;$B115&amp;$C115,盘货信息!$A:$A&amp;盘货信息!$B:$B&amp;盘货信息!$C:$C,盘货信息!$M:$M)="是",OR(_xlfn.XLOOKUP($A115&amp;$B115&amp;$C115,盘货信息!$A:$A&amp;盘货信息!$B:$B&amp;盘货信息!$C:$C,盘货信息!$L:$L)="否",_xlfn.XLOOKUP($A115&amp;$B115&amp;$C115,盘货信息!$A:$A&amp;盘货信息!$B:$B&amp;盘货信息!$C:$C,盘货信息!$L:$L)="")),"【预估到手价"&amp;_xlfn.XLOOKUP($A115&amp;$B115&amp;$C115,盘货信息!$A:$A&amp;盘货信息!$B:$B&amp;盘货信息!$C:$C,盘货信息!$D:$D)&amp;"元】"&amp;CHAR(10)&amp;"【焕新补贴预估价"&amp;ROUND(_xlfn.XLOOKUP($A115&amp;$B115&amp;$C115,盘货信息!$A:$A&amp;盘货信息!$B:$B&amp;盘货信息!$C:$C,盘货信息!$E:$E),0)&amp;"元】","【焕新补贴预估价"&amp;ROUND(_xlfn.XLOOKUP($A115&amp;$B115&amp;$C115,盘货信息!$A:$A&amp;盘货信息!$B:$B&amp;盘货信息!$C:$C,盘货信息!$E:$E),0)&amp;"元】")))</f>
        <v/>
      </c>
      <c r="F115" s="27" t="str" cm="1">
        <f t="array" ref="F115">IF($C115="","",_xlfn.XLOOKUP($A115&amp;$B115&amp;$C115,盘货信息!$A:$A&amp;盘货信息!$B:$B&amp;盘货信息!$C:$C,盘货信息!$D:$D)&amp;"元到手价")</f>
        <v/>
      </c>
      <c r="G115" s="27" t="str" cm="1">
        <f t="array" ref="G115">IF($C115="","",IF(_xlfn.XLOOKUP($A115&amp;$B115&amp;$C115,盘货信息!$A:$A&amp;盘货信息!$B:$B&amp;盘货信息!$C:$C,盘货信息!$G:$G)&lt;1,"",ROUND(_xlfn.XLOOKUP($A115&amp;$B115&amp;$C115,盘货信息!$A:$A&amp;盘货信息!$B:$B&amp;盘货信息!$C:$C,盘货信息!$G:$G),0)&amp;"元88VIP立减"))</f>
        <v/>
      </c>
      <c r="H115" s="27" t="str" cm="1">
        <f t="array" ref="H115">IF($C115="","",IF(_xlfn.XLOOKUP($A115&amp;$B115&amp;$C115,盘货信息!$A:$A&amp;盘货信息!$B:$B&amp;盘货信息!$C:$C,盘货信息!$I:$I)&lt;1,"",_xlfn.XLOOKUP($A115&amp;$B115&amp;$C115,盘货信息!$A:$A&amp;盘货信息!$B:$B&amp;盘货信息!$C:$C,盘货信息!$I:$I)&amp;"元惊喜立减"))</f>
        <v/>
      </c>
      <c r="I115" s="27" t="str" cm="1">
        <f t="array" ref="I115">IF($C115="","",IF(_xlfn.XLOOKUP($A115&amp;$B115&amp;$C115,盘货信息!$A:$A&amp;盘货信息!$B:$B&amp;盘货信息!$C:$C,盘货信息!$H:$H)&lt;1,"",ROUND(_xlfn.XLOOKUP($A115&amp;$B115&amp;$C115,盘货信息!$A:$A&amp;盘货信息!$B:$B&amp;盘货信息!$C:$C,盘货信息!$H:$H),0)&amp;"元消费券"))</f>
        <v/>
      </c>
      <c r="J115" s="27" t="str" cm="1">
        <f t="array" ref="J115">IF($C115="","",IF(_xlfn.XLOOKUP($A115&amp;$B115&amp;$C115,盘货信息!$A:$A&amp;盘货信息!$B:$B&amp;盘货信息!$C:$C,盘货信息!$J:$J)&lt;1,"",ROUND(_xlfn.XLOOKUP($A115&amp;$B115&amp;$C115,盘货信息!$A:$A&amp;盘货信息!$B:$B&amp;盘货信息!$C:$C,盘货信息!$J:$J),0)&amp;"元限时补贴"))</f>
        <v/>
      </c>
      <c r="K115" s="27" t="str" cm="1">
        <f t="array" ref="K115">IF($C115="","",IF(_xlfn.XLOOKUP($A115&amp;$B115&amp;$C115,盘货信息!$A:$A&amp;盘货信息!$B:$B&amp;盘货信息!$C:$C,盘货信息!$K:$K)&lt;1,"",ROUND(_xlfn.XLOOKUP($A115&amp;$B115&amp;$C115,盘货信息!$A:$A&amp;盘货信息!$B:$B&amp;盘货信息!$C:$C,盘货信息!$K:$K),0)&amp;"元预估焕新补贴"))</f>
        <v/>
      </c>
      <c r="L115" s="27" t="str" cm="1">
        <f t="array" ref="L115">IF($C115="","",IF(AND(_xlfn.XLOOKUP($A115&amp;$B115&amp;$C115,盘货信息!$A:$A&amp;盘货信息!$B:$B&amp;盘货信息!$C:$C,盘货信息!$L:$L)="是",_xlfn.XLOOKUP($A115&amp;$B115&amp;$C115,盘货信息!$A:$A&amp;盘货信息!$B:$B&amp;盘货信息!$C:$C,盘货信息!$M:$M)="是",_xlfn.XLOOKUP($A115&amp;$B115&amp;$C115,盘货信息!$A:$A&amp;盘货信息!$B:$B&amp;盘货信息!$C:$C,盘货信息!$K:$K)&gt;0),"【全民可用，不限地址】",IF(AND(OR(_xlfn.XLOOKUP($A115&amp;$B115&amp;$C115,盘货信息!$A:$A&amp;盘货信息!$B:$B&amp;盘货信息!$C:$C,盘货信息!$L:$L)="否",_xlfn.XLOOKUP($A115&amp;$B115&amp;$C115,盘货信息!$A:$A&amp;盘货信息!$B:$B&amp;盘货信息!$C:$C,盘货信息!$L:$L)=""),_xlfn.XLOOKUP($A115&amp;$B115&amp;$C115,盘货信息!$A:$A&amp;盘货信息!$B:$B&amp;盘货信息!$C:$C,盘货信息!$M:$M)="是",_xlfn.XLOOKUP($A115&amp;$B115&amp;$C115,盘货信息!$A:$A&amp;盘货信息!$B:$B&amp;盘货信息!$C:$C,盘货信息!$K:$K)&gt;0),"【详情页领取】","")))</f>
        <v/>
      </c>
      <c r="M115" s="27" t="str" cm="1">
        <f t="array" ref="M115">IF($C115="","",IF(_xlfn.XLOOKUP($A115&amp;$B115&amp;$C115,盘货信息!$A:$A&amp;盘货信息!$B:$B&amp;盘货信息!$C:$C,盘货信息!$F:$F)&lt;1,"",_xlfn.XLOOKUP($A115&amp;$B115&amp;$C115,盘货信息!$A:$A&amp;盘货信息!$B:$B&amp;盘货信息!$C:$C,盘货信息!$F:$F)&amp;"元明卷"))</f>
        <v/>
      </c>
      <c r="N115" s="27" t="str">
        <f t="shared" si="3"/>
        <v/>
      </c>
      <c r="O115" s="27" t="str">
        <f>IF(I115="","","【消费券链接】"&amp;固定信息!$B$6)</f>
        <v/>
      </c>
    </row>
    <row r="116" customHeight="1" spans="1:15">
      <c r="A116" s="26" t="str">
        <f>IF(盘货信息!A116="","",盘货信息!A116)</f>
        <v/>
      </c>
      <c r="B116" s="26" t="str">
        <f>IF(盘货信息!B116="","",盘货信息!B116)</f>
        <v/>
      </c>
      <c r="C116" s="26" t="str">
        <f>IF(盘货信息!C116="","",盘货信息!C116)</f>
        <v/>
      </c>
      <c r="D116" s="27" t="str">
        <f t="shared" si="2"/>
        <v/>
      </c>
      <c r="E116" s="27" t="str" cm="1">
        <f t="array" ref="E116">IF($C116="","",IF(AND(OR(_xlfn.XLOOKUP($A116&amp;$B116&amp;$C116,盘货信息!$A:$A&amp;盘货信息!$B:$B&amp;盘货信息!$C:$C,盘货信息!$L:$L)="否",_xlfn.XLOOKUP($A116&amp;$B116&amp;$C116,盘货信息!$A:$A&amp;盘货信息!$B:$B&amp;盘货信息!$C:$C,盘货信息!$L:$L)=""),_xlfn.XLOOKUP($A116&amp;$B116&amp;$C116,盘货信息!$A:$A&amp;盘货信息!$B:$B&amp;盘货信息!$C:$C,盘货信息!$M:$M)="否"),"【预估到手价"&amp;_xlfn.XLOOKUP($A116&amp;$B116&amp;$C116,盘货信息!$A:$A&amp;盘货信息!$B:$B&amp;盘货信息!$C:$C,盘货信息!$D:$D)&amp;"元】",IF(AND(_xlfn.XLOOKUP($A116&amp;$B116&amp;$C116,盘货信息!$A:$A&amp;盘货信息!$B:$B&amp;盘货信息!$C:$C,盘货信息!$M:$M)="是",OR(_xlfn.XLOOKUP($A116&amp;$B116&amp;$C116,盘货信息!$A:$A&amp;盘货信息!$B:$B&amp;盘货信息!$C:$C,盘货信息!$L:$L)="否",_xlfn.XLOOKUP($A116&amp;$B116&amp;$C116,盘货信息!$A:$A&amp;盘货信息!$B:$B&amp;盘货信息!$C:$C,盘货信息!$L:$L)="")),"【预估到手价"&amp;_xlfn.XLOOKUP($A116&amp;$B116&amp;$C116,盘货信息!$A:$A&amp;盘货信息!$B:$B&amp;盘货信息!$C:$C,盘货信息!$D:$D)&amp;"元】"&amp;CHAR(10)&amp;"【焕新补贴预估价"&amp;ROUND(_xlfn.XLOOKUP($A116&amp;$B116&amp;$C116,盘货信息!$A:$A&amp;盘货信息!$B:$B&amp;盘货信息!$C:$C,盘货信息!$E:$E),0)&amp;"元】","【焕新补贴预估价"&amp;ROUND(_xlfn.XLOOKUP($A116&amp;$B116&amp;$C116,盘货信息!$A:$A&amp;盘货信息!$B:$B&amp;盘货信息!$C:$C,盘货信息!$E:$E),0)&amp;"元】")))</f>
        <v/>
      </c>
      <c r="F116" s="27" t="str" cm="1">
        <f t="array" ref="F116">IF($C116="","",_xlfn.XLOOKUP($A116&amp;$B116&amp;$C116,盘货信息!$A:$A&amp;盘货信息!$B:$B&amp;盘货信息!$C:$C,盘货信息!$D:$D)&amp;"元到手价")</f>
        <v/>
      </c>
      <c r="G116" s="27" t="str" cm="1">
        <f t="array" ref="G116">IF($C116="","",IF(_xlfn.XLOOKUP($A116&amp;$B116&amp;$C116,盘货信息!$A:$A&amp;盘货信息!$B:$B&amp;盘货信息!$C:$C,盘货信息!$G:$G)&lt;1,"",ROUND(_xlfn.XLOOKUP($A116&amp;$B116&amp;$C116,盘货信息!$A:$A&amp;盘货信息!$B:$B&amp;盘货信息!$C:$C,盘货信息!$G:$G),0)&amp;"元88VIP立减"))</f>
        <v/>
      </c>
      <c r="H116" s="27" t="str" cm="1">
        <f t="array" ref="H116">IF($C116="","",IF(_xlfn.XLOOKUP($A116&amp;$B116&amp;$C116,盘货信息!$A:$A&amp;盘货信息!$B:$B&amp;盘货信息!$C:$C,盘货信息!$I:$I)&lt;1,"",_xlfn.XLOOKUP($A116&amp;$B116&amp;$C116,盘货信息!$A:$A&amp;盘货信息!$B:$B&amp;盘货信息!$C:$C,盘货信息!$I:$I)&amp;"元惊喜立减"))</f>
        <v/>
      </c>
      <c r="I116" s="27" t="str" cm="1">
        <f t="array" ref="I116">IF($C116="","",IF(_xlfn.XLOOKUP($A116&amp;$B116&amp;$C116,盘货信息!$A:$A&amp;盘货信息!$B:$B&amp;盘货信息!$C:$C,盘货信息!$H:$H)&lt;1,"",ROUND(_xlfn.XLOOKUP($A116&amp;$B116&amp;$C116,盘货信息!$A:$A&amp;盘货信息!$B:$B&amp;盘货信息!$C:$C,盘货信息!$H:$H),0)&amp;"元消费券"))</f>
        <v/>
      </c>
      <c r="J116" s="27" t="str" cm="1">
        <f t="array" ref="J116">IF($C116="","",IF(_xlfn.XLOOKUP($A116&amp;$B116&amp;$C116,盘货信息!$A:$A&amp;盘货信息!$B:$B&amp;盘货信息!$C:$C,盘货信息!$J:$J)&lt;1,"",ROUND(_xlfn.XLOOKUP($A116&amp;$B116&amp;$C116,盘货信息!$A:$A&amp;盘货信息!$B:$B&amp;盘货信息!$C:$C,盘货信息!$J:$J),0)&amp;"元限时补贴"))</f>
        <v/>
      </c>
      <c r="K116" s="27" t="str" cm="1">
        <f t="array" ref="K116">IF($C116="","",IF(_xlfn.XLOOKUP($A116&amp;$B116&amp;$C116,盘货信息!$A:$A&amp;盘货信息!$B:$B&amp;盘货信息!$C:$C,盘货信息!$K:$K)&lt;1,"",ROUND(_xlfn.XLOOKUP($A116&amp;$B116&amp;$C116,盘货信息!$A:$A&amp;盘货信息!$B:$B&amp;盘货信息!$C:$C,盘货信息!$K:$K),0)&amp;"元预估焕新补贴"))</f>
        <v/>
      </c>
      <c r="L116" s="27" t="str" cm="1">
        <f t="array" ref="L116">IF($C116="","",IF(AND(_xlfn.XLOOKUP($A116&amp;$B116&amp;$C116,盘货信息!$A:$A&amp;盘货信息!$B:$B&amp;盘货信息!$C:$C,盘货信息!$L:$L)="是",_xlfn.XLOOKUP($A116&amp;$B116&amp;$C116,盘货信息!$A:$A&amp;盘货信息!$B:$B&amp;盘货信息!$C:$C,盘货信息!$M:$M)="是",_xlfn.XLOOKUP($A116&amp;$B116&amp;$C116,盘货信息!$A:$A&amp;盘货信息!$B:$B&amp;盘货信息!$C:$C,盘货信息!$K:$K)&gt;0),"【全民可用，不限地址】",IF(AND(OR(_xlfn.XLOOKUP($A116&amp;$B116&amp;$C116,盘货信息!$A:$A&amp;盘货信息!$B:$B&amp;盘货信息!$C:$C,盘货信息!$L:$L)="否",_xlfn.XLOOKUP($A116&amp;$B116&amp;$C116,盘货信息!$A:$A&amp;盘货信息!$B:$B&amp;盘货信息!$C:$C,盘货信息!$L:$L)=""),_xlfn.XLOOKUP($A116&amp;$B116&amp;$C116,盘货信息!$A:$A&amp;盘货信息!$B:$B&amp;盘货信息!$C:$C,盘货信息!$M:$M)="是",_xlfn.XLOOKUP($A116&amp;$B116&amp;$C116,盘货信息!$A:$A&amp;盘货信息!$B:$B&amp;盘货信息!$C:$C,盘货信息!$K:$K)&gt;0),"【详情页领取】","")))</f>
        <v/>
      </c>
      <c r="M116" s="27" t="str" cm="1">
        <f t="array" ref="M116">IF($C116="","",IF(_xlfn.XLOOKUP($A116&amp;$B116&amp;$C116,盘货信息!$A:$A&amp;盘货信息!$B:$B&amp;盘货信息!$C:$C,盘货信息!$F:$F)&lt;1,"",_xlfn.XLOOKUP($A116&amp;$B116&amp;$C116,盘货信息!$A:$A&amp;盘货信息!$B:$B&amp;盘货信息!$C:$C,盘货信息!$F:$F)&amp;"元明卷"))</f>
        <v/>
      </c>
      <c r="N116" s="27" t="str">
        <f t="shared" si="3"/>
        <v/>
      </c>
      <c r="O116" s="27" t="str">
        <f>IF(I116="","","【消费券链接】"&amp;固定信息!$B$6)</f>
        <v/>
      </c>
    </row>
    <row r="117" customHeight="1" spans="1:15">
      <c r="A117" s="26" t="str">
        <f>IF(盘货信息!A117="","",盘货信息!A117)</f>
        <v/>
      </c>
      <c r="B117" s="26" t="str">
        <f>IF(盘货信息!B117="","",盘货信息!B117)</f>
        <v/>
      </c>
      <c r="C117" s="20" t="str">
        <f>IF(盘货信息!C117="","",盘货信息!C117)</f>
        <v/>
      </c>
      <c r="D117" s="27" t="str">
        <f t="shared" si="2"/>
        <v/>
      </c>
      <c r="E117" s="27" t="str" cm="1">
        <f t="array" ref="E117">IF($C117="","",IF(AND(OR(_xlfn.XLOOKUP($A117&amp;$B117&amp;$C117,盘货信息!$A:$A&amp;盘货信息!$B:$B&amp;盘货信息!$C:$C,盘货信息!$L:$L)="否",_xlfn.XLOOKUP($A117&amp;$B117&amp;$C117,盘货信息!$A:$A&amp;盘货信息!$B:$B&amp;盘货信息!$C:$C,盘货信息!$L:$L)=""),_xlfn.XLOOKUP($A117&amp;$B117&amp;$C117,盘货信息!$A:$A&amp;盘货信息!$B:$B&amp;盘货信息!$C:$C,盘货信息!$M:$M)="否"),"【预估到手价"&amp;_xlfn.XLOOKUP($A117&amp;$B117&amp;$C117,盘货信息!$A:$A&amp;盘货信息!$B:$B&amp;盘货信息!$C:$C,盘货信息!$D:$D)&amp;"元】",IF(AND(_xlfn.XLOOKUP($A117&amp;$B117&amp;$C117,盘货信息!$A:$A&amp;盘货信息!$B:$B&amp;盘货信息!$C:$C,盘货信息!$M:$M)="是",OR(_xlfn.XLOOKUP($A117&amp;$B117&amp;$C117,盘货信息!$A:$A&amp;盘货信息!$B:$B&amp;盘货信息!$C:$C,盘货信息!$L:$L)="否",_xlfn.XLOOKUP($A117&amp;$B117&amp;$C117,盘货信息!$A:$A&amp;盘货信息!$B:$B&amp;盘货信息!$C:$C,盘货信息!$L:$L)="")),"【预估到手价"&amp;_xlfn.XLOOKUP($A117&amp;$B117&amp;$C117,盘货信息!$A:$A&amp;盘货信息!$B:$B&amp;盘货信息!$C:$C,盘货信息!$D:$D)&amp;"元】"&amp;CHAR(10)&amp;"【焕新补贴预估价"&amp;ROUND(_xlfn.XLOOKUP($A117&amp;$B117&amp;$C117,盘货信息!$A:$A&amp;盘货信息!$B:$B&amp;盘货信息!$C:$C,盘货信息!$E:$E),0)&amp;"元】","【焕新补贴预估价"&amp;ROUND(_xlfn.XLOOKUP($A117&amp;$B117&amp;$C117,盘货信息!$A:$A&amp;盘货信息!$B:$B&amp;盘货信息!$C:$C,盘货信息!$E:$E),0)&amp;"元】")))</f>
        <v/>
      </c>
      <c r="F117" s="27" t="str" cm="1">
        <f t="array" ref="F117">IF($C117="","",_xlfn.XLOOKUP($A117&amp;$B117&amp;$C117,盘货信息!$A:$A&amp;盘货信息!$B:$B&amp;盘货信息!$C:$C,盘货信息!$D:$D)&amp;"元到手价")</f>
        <v/>
      </c>
      <c r="G117" s="27" t="str" cm="1">
        <f t="array" ref="G117">IF($C117="","",IF(_xlfn.XLOOKUP($A117&amp;$B117&amp;$C117,盘货信息!$A:$A&amp;盘货信息!$B:$B&amp;盘货信息!$C:$C,盘货信息!$G:$G)&lt;1,"",ROUND(_xlfn.XLOOKUP($A117&amp;$B117&amp;$C117,盘货信息!$A:$A&amp;盘货信息!$B:$B&amp;盘货信息!$C:$C,盘货信息!$G:$G),0)&amp;"元88VIP立减"))</f>
        <v/>
      </c>
      <c r="H117" s="27" t="str" cm="1">
        <f t="array" ref="H117">IF($C117="","",IF(_xlfn.XLOOKUP($A117&amp;$B117&amp;$C117,盘货信息!$A:$A&amp;盘货信息!$B:$B&amp;盘货信息!$C:$C,盘货信息!$I:$I)&lt;1,"",_xlfn.XLOOKUP($A117&amp;$B117&amp;$C117,盘货信息!$A:$A&amp;盘货信息!$B:$B&amp;盘货信息!$C:$C,盘货信息!$I:$I)&amp;"元惊喜立减"))</f>
        <v/>
      </c>
      <c r="I117" s="27" t="str" cm="1">
        <f t="array" ref="I117">IF($C117="","",IF(_xlfn.XLOOKUP($A117&amp;$B117&amp;$C117,盘货信息!$A:$A&amp;盘货信息!$B:$B&amp;盘货信息!$C:$C,盘货信息!$H:$H)&lt;1,"",ROUND(_xlfn.XLOOKUP($A117&amp;$B117&amp;$C117,盘货信息!$A:$A&amp;盘货信息!$B:$B&amp;盘货信息!$C:$C,盘货信息!$H:$H),0)&amp;"元消费券"))</f>
        <v/>
      </c>
      <c r="J117" s="27" t="str" cm="1">
        <f t="array" ref="J117">IF($C117="","",IF(_xlfn.XLOOKUP($A117&amp;$B117&amp;$C117,盘货信息!$A:$A&amp;盘货信息!$B:$B&amp;盘货信息!$C:$C,盘货信息!$J:$J)&lt;1,"",ROUND(_xlfn.XLOOKUP($A117&amp;$B117&amp;$C117,盘货信息!$A:$A&amp;盘货信息!$B:$B&amp;盘货信息!$C:$C,盘货信息!$J:$J),0)&amp;"元限时补贴"))</f>
        <v/>
      </c>
      <c r="K117" s="27" t="str" cm="1">
        <f t="array" ref="K117">IF($C117="","",IF(_xlfn.XLOOKUP($A117&amp;$B117&amp;$C117,盘货信息!$A:$A&amp;盘货信息!$B:$B&amp;盘货信息!$C:$C,盘货信息!$K:$K)&lt;1,"",ROUND(_xlfn.XLOOKUP($A117&amp;$B117&amp;$C117,盘货信息!$A:$A&amp;盘货信息!$B:$B&amp;盘货信息!$C:$C,盘货信息!$K:$K),0)&amp;"元预估焕新补贴"))</f>
        <v/>
      </c>
      <c r="L117" s="27" t="str" cm="1">
        <f t="array" ref="L117">IF($C117="","",IF(AND(_xlfn.XLOOKUP($A117&amp;$B117&amp;$C117,盘货信息!$A:$A&amp;盘货信息!$B:$B&amp;盘货信息!$C:$C,盘货信息!$L:$L)="是",_xlfn.XLOOKUP($A117&amp;$B117&amp;$C117,盘货信息!$A:$A&amp;盘货信息!$B:$B&amp;盘货信息!$C:$C,盘货信息!$M:$M)="是",_xlfn.XLOOKUP($A117&amp;$B117&amp;$C117,盘货信息!$A:$A&amp;盘货信息!$B:$B&amp;盘货信息!$C:$C,盘货信息!$K:$K)&gt;0),"【全民可用，不限地址】",IF(AND(OR(_xlfn.XLOOKUP($A117&amp;$B117&amp;$C117,盘货信息!$A:$A&amp;盘货信息!$B:$B&amp;盘货信息!$C:$C,盘货信息!$L:$L)="否",_xlfn.XLOOKUP($A117&amp;$B117&amp;$C117,盘货信息!$A:$A&amp;盘货信息!$B:$B&amp;盘货信息!$C:$C,盘货信息!$L:$L)=""),_xlfn.XLOOKUP($A117&amp;$B117&amp;$C117,盘货信息!$A:$A&amp;盘货信息!$B:$B&amp;盘货信息!$C:$C,盘货信息!$M:$M)="是",_xlfn.XLOOKUP($A117&amp;$B117&amp;$C117,盘货信息!$A:$A&amp;盘货信息!$B:$B&amp;盘货信息!$C:$C,盘货信息!$K:$K)&gt;0),"【详情页领取】","")))</f>
        <v/>
      </c>
      <c r="M117" s="27" t="str" cm="1">
        <f t="array" ref="M117">IF($C117="","",IF(_xlfn.XLOOKUP($A117&amp;$B117&amp;$C117,盘货信息!$A:$A&amp;盘货信息!$B:$B&amp;盘货信息!$C:$C,盘货信息!$F:$F)&lt;1,"",_xlfn.XLOOKUP($A117&amp;$B117&amp;$C117,盘货信息!$A:$A&amp;盘货信息!$B:$B&amp;盘货信息!$C:$C,盘货信息!$F:$F)&amp;"元明卷"))</f>
        <v/>
      </c>
      <c r="N117" s="27" t="str">
        <f t="shared" si="3"/>
        <v/>
      </c>
      <c r="O117" s="27" t="str">
        <f>IF(I117="","","【消费券链接】"&amp;固定信息!$B$6)</f>
        <v/>
      </c>
    </row>
    <row r="118" customHeight="1" spans="1:15">
      <c r="A118" s="26" t="str">
        <f>IF(盘货信息!A118="","",盘货信息!A118)</f>
        <v/>
      </c>
      <c r="B118" s="26" t="str">
        <f>IF(盘货信息!B118="","",盘货信息!B118)</f>
        <v/>
      </c>
      <c r="C118" s="26" t="str">
        <f>IF(盘货信息!C118="","",盘货信息!C118)</f>
        <v/>
      </c>
      <c r="D118" s="27" t="str">
        <f t="shared" si="2"/>
        <v/>
      </c>
      <c r="E118" s="27" t="str" cm="1">
        <f t="array" ref="E118">IF($C118="","",IF(AND(OR(_xlfn.XLOOKUP($A118&amp;$B118&amp;$C118,盘货信息!$A:$A&amp;盘货信息!$B:$B&amp;盘货信息!$C:$C,盘货信息!$L:$L)="否",_xlfn.XLOOKUP($A118&amp;$B118&amp;$C118,盘货信息!$A:$A&amp;盘货信息!$B:$B&amp;盘货信息!$C:$C,盘货信息!$L:$L)=""),_xlfn.XLOOKUP($A118&amp;$B118&amp;$C118,盘货信息!$A:$A&amp;盘货信息!$B:$B&amp;盘货信息!$C:$C,盘货信息!$M:$M)="否"),"【预估到手价"&amp;_xlfn.XLOOKUP($A118&amp;$B118&amp;$C118,盘货信息!$A:$A&amp;盘货信息!$B:$B&amp;盘货信息!$C:$C,盘货信息!$D:$D)&amp;"元】",IF(AND(_xlfn.XLOOKUP($A118&amp;$B118&amp;$C118,盘货信息!$A:$A&amp;盘货信息!$B:$B&amp;盘货信息!$C:$C,盘货信息!$M:$M)="是",OR(_xlfn.XLOOKUP($A118&amp;$B118&amp;$C118,盘货信息!$A:$A&amp;盘货信息!$B:$B&amp;盘货信息!$C:$C,盘货信息!$L:$L)="否",_xlfn.XLOOKUP($A118&amp;$B118&amp;$C118,盘货信息!$A:$A&amp;盘货信息!$B:$B&amp;盘货信息!$C:$C,盘货信息!$L:$L)="")),"【预估到手价"&amp;_xlfn.XLOOKUP($A118&amp;$B118&amp;$C118,盘货信息!$A:$A&amp;盘货信息!$B:$B&amp;盘货信息!$C:$C,盘货信息!$D:$D)&amp;"元】"&amp;CHAR(10)&amp;"【焕新补贴预估价"&amp;ROUND(_xlfn.XLOOKUP($A118&amp;$B118&amp;$C118,盘货信息!$A:$A&amp;盘货信息!$B:$B&amp;盘货信息!$C:$C,盘货信息!$E:$E),0)&amp;"元】","【焕新补贴预估价"&amp;ROUND(_xlfn.XLOOKUP($A118&amp;$B118&amp;$C118,盘货信息!$A:$A&amp;盘货信息!$B:$B&amp;盘货信息!$C:$C,盘货信息!$E:$E),0)&amp;"元】")))</f>
        <v/>
      </c>
      <c r="F118" s="27" t="str" cm="1">
        <f t="array" ref="F118">IF($C118="","",_xlfn.XLOOKUP($A118&amp;$B118&amp;$C118,盘货信息!$A:$A&amp;盘货信息!$B:$B&amp;盘货信息!$C:$C,盘货信息!$D:$D)&amp;"元到手价")</f>
        <v/>
      </c>
      <c r="G118" s="27" t="str" cm="1">
        <f t="array" ref="G118">IF($C118="","",IF(_xlfn.XLOOKUP($A118&amp;$B118&amp;$C118,盘货信息!$A:$A&amp;盘货信息!$B:$B&amp;盘货信息!$C:$C,盘货信息!$G:$G)&lt;1,"",ROUND(_xlfn.XLOOKUP($A118&amp;$B118&amp;$C118,盘货信息!$A:$A&amp;盘货信息!$B:$B&amp;盘货信息!$C:$C,盘货信息!$G:$G),0)&amp;"元88VIP立减"))</f>
        <v/>
      </c>
      <c r="H118" s="27" t="str" cm="1">
        <f t="array" ref="H118">IF($C118="","",IF(_xlfn.XLOOKUP($A118&amp;$B118&amp;$C118,盘货信息!$A:$A&amp;盘货信息!$B:$B&amp;盘货信息!$C:$C,盘货信息!$I:$I)&lt;1,"",_xlfn.XLOOKUP($A118&amp;$B118&amp;$C118,盘货信息!$A:$A&amp;盘货信息!$B:$B&amp;盘货信息!$C:$C,盘货信息!$I:$I)&amp;"元惊喜立减"))</f>
        <v/>
      </c>
      <c r="I118" s="27" t="str" cm="1">
        <f t="array" ref="I118">IF($C118="","",IF(_xlfn.XLOOKUP($A118&amp;$B118&amp;$C118,盘货信息!$A:$A&amp;盘货信息!$B:$B&amp;盘货信息!$C:$C,盘货信息!$H:$H)&lt;1,"",ROUND(_xlfn.XLOOKUP($A118&amp;$B118&amp;$C118,盘货信息!$A:$A&amp;盘货信息!$B:$B&amp;盘货信息!$C:$C,盘货信息!$H:$H),0)&amp;"元消费券"))</f>
        <v/>
      </c>
      <c r="J118" s="27" t="str" cm="1">
        <f t="array" ref="J118">IF($C118="","",IF(_xlfn.XLOOKUP($A118&amp;$B118&amp;$C118,盘货信息!$A:$A&amp;盘货信息!$B:$B&amp;盘货信息!$C:$C,盘货信息!$J:$J)&lt;1,"",ROUND(_xlfn.XLOOKUP($A118&amp;$B118&amp;$C118,盘货信息!$A:$A&amp;盘货信息!$B:$B&amp;盘货信息!$C:$C,盘货信息!$J:$J),0)&amp;"元限时补贴"))</f>
        <v/>
      </c>
      <c r="K118" s="27" t="str" cm="1">
        <f t="array" ref="K118">IF($C118="","",IF(_xlfn.XLOOKUP($A118&amp;$B118&amp;$C118,盘货信息!$A:$A&amp;盘货信息!$B:$B&amp;盘货信息!$C:$C,盘货信息!$K:$K)&lt;1,"",ROUND(_xlfn.XLOOKUP($A118&amp;$B118&amp;$C118,盘货信息!$A:$A&amp;盘货信息!$B:$B&amp;盘货信息!$C:$C,盘货信息!$K:$K),0)&amp;"元预估焕新补贴"))</f>
        <v/>
      </c>
      <c r="L118" s="27" t="str" cm="1">
        <f t="array" ref="L118">IF($C118="","",IF(AND(_xlfn.XLOOKUP($A118&amp;$B118&amp;$C118,盘货信息!$A:$A&amp;盘货信息!$B:$B&amp;盘货信息!$C:$C,盘货信息!$L:$L)="是",_xlfn.XLOOKUP($A118&amp;$B118&amp;$C118,盘货信息!$A:$A&amp;盘货信息!$B:$B&amp;盘货信息!$C:$C,盘货信息!$M:$M)="是",_xlfn.XLOOKUP($A118&amp;$B118&amp;$C118,盘货信息!$A:$A&amp;盘货信息!$B:$B&amp;盘货信息!$C:$C,盘货信息!$K:$K)&gt;0),"【全民可用，不限地址】",IF(AND(OR(_xlfn.XLOOKUP($A118&amp;$B118&amp;$C118,盘货信息!$A:$A&amp;盘货信息!$B:$B&amp;盘货信息!$C:$C,盘货信息!$L:$L)="否",_xlfn.XLOOKUP($A118&amp;$B118&amp;$C118,盘货信息!$A:$A&amp;盘货信息!$B:$B&amp;盘货信息!$C:$C,盘货信息!$L:$L)=""),_xlfn.XLOOKUP($A118&amp;$B118&amp;$C118,盘货信息!$A:$A&amp;盘货信息!$B:$B&amp;盘货信息!$C:$C,盘货信息!$M:$M)="是",_xlfn.XLOOKUP($A118&amp;$B118&amp;$C118,盘货信息!$A:$A&amp;盘货信息!$B:$B&amp;盘货信息!$C:$C,盘货信息!$K:$K)&gt;0),"【详情页领取】","")))</f>
        <v/>
      </c>
      <c r="M118" s="27" t="str" cm="1">
        <f t="array" ref="M118">IF($C118="","",IF(_xlfn.XLOOKUP($A118&amp;$B118&amp;$C118,盘货信息!$A:$A&amp;盘货信息!$B:$B&amp;盘货信息!$C:$C,盘货信息!$F:$F)&lt;1,"",_xlfn.XLOOKUP($A118&amp;$B118&amp;$C118,盘货信息!$A:$A&amp;盘货信息!$B:$B&amp;盘货信息!$C:$C,盘货信息!$F:$F)&amp;"元明卷"))</f>
        <v/>
      </c>
      <c r="N118" s="27" t="str">
        <f t="shared" si="3"/>
        <v/>
      </c>
      <c r="O118" s="27" t="str">
        <f>IF(I118="","","【消费券链接】"&amp;固定信息!$B$6)</f>
        <v/>
      </c>
    </row>
    <row r="119" customHeight="1" spans="1:15">
      <c r="A119" s="26" t="str">
        <f>IF(盘货信息!A119="","",盘货信息!A119)</f>
        <v/>
      </c>
      <c r="B119" s="26" t="str">
        <f>IF(盘货信息!B119="","",盘货信息!B119)</f>
        <v/>
      </c>
      <c r="C119" s="26" t="str">
        <f>IF(盘货信息!C119="","",盘货信息!C119)</f>
        <v/>
      </c>
      <c r="D119" s="27" t="str">
        <f t="shared" si="2"/>
        <v/>
      </c>
      <c r="E119" s="27" t="str" cm="1">
        <f t="array" ref="E119">IF($C119="","",IF(AND(OR(_xlfn.XLOOKUP($A119&amp;$B119&amp;$C119,盘货信息!$A:$A&amp;盘货信息!$B:$B&amp;盘货信息!$C:$C,盘货信息!$L:$L)="否",_xlfn.XLOOKUP($A119&amp;$B119&amp;$C119,盘货信息!$A:$A&amp;盘货信息!$B:$B&amp;盘货信息!$C:$C,盘货信息!$L:$L)=""),_xlfn.XLOOKUP($A119&amp;$B119&amp;$C119,盘货信息!$A:$A&amp;盘货信息!$B:$B&amp;盘货信息!$C:$C,盘货信息!$M:$M)="否"),"【预估到手价"&amp;_xlfn.XLOOKUP($A119&amp;$B119&amp;$C119,盘货信息!$A:$A&amp;盘货信息!$B:$B&amp;盘货信息!$C:$C,盘货信息!$D:$D)&amp;"元】",IF(AND(_xlfn.XLOOKUP($A119&amp;$B119&amp;$C119,盘货信息!$A:$A&amp;盘货信息!$B:$B&amp;盘货信息!$C:$C,盘货信息!$M:$M)="是",OR(_xlfn.XLOOKUP($A119&amp;$B119&amp;$C119,盘货信息!$A:$A&amp;盘货信息!$B:$B&amp;盘货信息!$C:$C,盘货信息!$L:$L)="否",_xlfn.XLOOKUP($A119&amp;$B119&amp;$C119,盘货信息!$A:$A&amp;盘货信息!$B:$B&amp;盘货信息!$C:$C,盘货信息!$L:$L)="")),"【预估到手价"&amp;_xlfn.XLOOKUP($A119&amp;$B119&amp;$C119,盘货信息!$A:$A&amp;盘货信息!$B:$B&amp;盘货信息!$C:$C,盘货信息!$D:$D)&amp;"元】"&amp;CHAR(10)&amp;"【焕新补贴预估价"&amp;ROUND(_xlfn.XLOOKUP($A119&amp;$B119&amp;$C119,盘货信息!$A:$A&amp;盘货信息!$B:$B&amp;盘货信息!$C:$C,盘货信息!$E:$E),0)&amp;"元】","【焕新补贴预估价"&amp;ROUND(_xlfn.XLOOKUP($A119&amp;$B119&amp;$C119,盘货信息!$A:$A&amp;盘货信息!$B:$B&amp;盘货信息!$C:$C,盘货信息!$E:$E),0)&amp;"元】")))</f>
        <v/>
      </c>
      <c r="F119" s="27" t="str" cm="1">
        <f t="array" ref="F119">IF($C119="","",_xlfn.XLOOKUP($A119&amp;$B119&amp;$C119,盘货信息!$A:$A&amp;盘货信息!$B:$B&amp;盘货信息!$C:$C,盘货信息!$D:$D)&amp;"元到手价")</f>
        <v/>
      </c>
      <c r="G119" s="27" t="str" cm="1">
        <f t="array" ref="G119">IF($C119="","",IF(_xlfn.XLOOKUP($A119&amp;$B119&amp;$C119,盘货信息!$A:$A&amp;盘货信息!$B:$B&amp;盘货信息!$C:$C,盘货信息!$G:$G)&lt;1,"",ROUND(_xlfn.XLOOKUP($A119&amp;$B119&amp;$C119,盘货信息!$A:$A&amp;盘货信息!$B:$B&amp;盘货信息!$C:$C,盘货信息!$G:$G),0)&amp;"元88VIP立减"))</f>
        <v/>
      </c>
      <c r="H119" s="27" t="str" cm="1">
        <f t="array" ref="H119">IF($C119="","",IF(_xlfn.XLOOKUP($A119&amp;$B119&amp;$C119,盘货信息!$A:$A&amp;盘货信息!$B:$B&amp;盘货信息!$C:$C,盘货信息!$I:$I)&lt;1,"",_xlfn.XLOOKUP($A119&amp;$B119&amp;$C119,盘货信息!$A:$A&amp;盘货信息!$B:$B&amp;盘货信息!$C:$C,盘货信息!$I:$I)&amp;"元惊喜立减"))</f>
        <v/>
      </c>
      <c r="I119" s="27" t="str" cm="1">
        <f t="array" ref="I119">IF($C119="","",IF(_xlfn.XLOOKUP($A119&amp;$B119&amp;$C119,盘货信息!$A:$A&amp;盘货信息!$B:$B&amp;盘货信息!$C:$C,盘货信息!$H:$H)&lt;1,"",ROUND(_xlfn.XLOOKUP($A119&amp;$B119&amp;$C119,盘货信息!$A:$A&amp;盘货信息!$B:$B&amp;盘货信息!$C:$C,盘货信息!$H:$H),0)&amp;"元消费券"))</f>
        <v/>
      </c>
      <c r="J119" s="27" t="str" cm="1">
        <f t="array" ref="J119">IF($C119="","",IF(_xlfn.XLOOKUP($A119&amp;$B119&amp;$C119,盘货信息!$A:$A&amp;盘货信息!$B:$B&amp;盘货信息!$C:$C,盘货信息!$J:$J)&lt;1,"",ROUND(_xlfn.XLOOKUP($A119&amp;$B119&amp;$C119,盘货信息!$A:$A&amp;盘货信息!$B:$B&amp;盘货信息!$C:$C,盘货信息!$J:$J),0)&amp;"元限时补贴"))</f>
        <v/>
      </c>
      <c r="K119" s="27" t="str" cm="1">
        <f t="array" ref="K119">IF($C119="","",IF(_xlfn.XLOOKUP($A119&amp;$B119&amp;$C119,盘货信息!$A:$A&amp;盘货信息!$B:$B&amp;盘货信息!$C:$C,盘货信息!$K:$K)&lt;1,"",ROUND(_xlfn.XLOOKUP($A119&amp;$B119&amp;$C119,盘货信息!$A:$A&amp;盘货信息!$B:$B&amp;盘货信息!$C:$C,盘货信息!$K:$K),0)&amp;"元预估焕新补贴"))</f>
        <v/>
      </c>
      <c r="L119" s="27" t="str" cm="1">
        <f t="array" ref="L119">IF($C119="","",IF(AND(_xlfn.XLOOKUP($A119&amp;$B119&amp;$C119,盘货信息!$A:$A&amp;盘货信息!$B:$B&amp;盘货信息!$C:$C,盘货信息!$L:$L)="是",_xlfn.XLOOKUP($A119&amp;$B119&amp;$C119,盘货信息!$A:$A&amp;盘货信息!$B:$B&amp;盘货信息!$C:$C,盘货信息!$M:$M)="是",_xlfn.XLOOKUP($A119&amp;$B119&amp;$C119,盘货信息!$A:$A&amp;盘货信息!$B:$B&amp;盘货信息!$C:$C,盘货信息!$K:$K)&gt;0),"【全民可用，不限地址】",IF(AND(OR(_xlfn.XLOOKUP($A119&amp;$B119&amp;$C119,盘货信息!$A:$A&amp;盘货信息!$B:$B&amp;盘货信息!$C:$C,盘货信息!$L:$L)="否",_xlfn.XLOOKUP($A119&amp;$B119&amp;$C119,盘货信息!$A:$A&amp;盘货信息!$B:$B&amp;盘货信息!$C:$C,盘货信息!$L:$L)=""),_xlfn.XLOOKUP($A119&amp;$B119&amp;$C119,盘货信息!$A:$A&amp;盘货信息!$B:$B&amp;盘货信息!$C:$C,盘货信息!$M:$M)="是",_xlfn.XLOOKUP($A119&amp;$B119&amp;$C119,盘货信息!$A:$A&amp;盘货信息!$B:$B&amp;盘货信息!$C:$C,盘货信息!$K:$K)&gt;0),"【详情页领取】","")))</f>
        <v/>
      </c>
      <c r="M119" s="27" t="str" cm="1">
        <f t="array" ref="M119">IF($C119="","",IF(_xlfn.XLOOKUP($A119&amp;$B119&amp;$C119,盘货信息!$A:$A&amp;盘货信息!$B:$B&amp;盘货信息!$C:$C,盘货信息!$F:$F)&lt;1,"",_xlfn.XLOOKUP($A119&amp;$B119&amp;$C119,盘货信息!$A:$A&amp;盘货信息!$B:$B&amp;盘货信息!$C:$C,盘货信息!$F:$F)&amp;"元明卷"))</f>
        <v/>
      </c>
      <c r="N119" s="27" t="str">
        <f t="shared" si="3"/>
        <v/>
      </c>
      <c r="O119" s="27" t="str">
        <f>IF(I119="","","【消费券链接】"&amp;固定信息!$B$6)</f>
        <v/>
      </c>
    </row>
    <row r="120" customHeight="1" spans="1:15">
      <c r="A120" s="26" t="str">
        <f>IF(盘货信息!A120="","",盘货信息!A120)</f>
        <v/>
      </c>
      <c r="B120" s="26" t="str">
        <f>IF(盘货信息!B120="","",盘货信息!B120)</f>
        <v/>
      </c>
      <c r="C120" s="23" t="str">
        <f>IF(盘货信息!C120="","",盘货信息!C120)</f>
        <v/>
      </c>
      <c r="D120" s="27" t="str">
        <f t="shared" si="2"/>
        <v/>
      </c>
      <c r="E120" s="27" t="str" cm="1">
        <f t="array" ref="E120">IF($C120="","",IF(AND(OR(_xlfn.XLOOKUP($A120&amp;$B120&amp;$C120,盘货信息!$A:$A&amp;盘货信息!$B:$B&amp;盘货信息!$C:$C,盘货信息!$L:$L)="否",_xlfn.XLOOKUP($A120&amp;$B120&amp;$C120,盘货信息!$A:$A&amp;盘货信息!$B:$B&amp;盘货信息!$C:$C,盘货信息!$L:$L)=""),_xlfn.XLOOKUP($A120&amp;$B120&amp;$C120,盘货信息!$A:$A&amp;盘货信息!$B:$B&amp;盘货信息!$C:$C,盘货信息!$M:$M)="否"),"【预估到手价"&amp;_xlfn.XLOOKUP($A120&amp;$B120&amp;$C120,盘货信息!$A:$A&amp;盘货信息!$B:$B&amp;盘货信息!$C:$C,盘货信息!$D:$D)&amp;"元】",IF(AND(_xlfn.XLOOKUP($A120&amp;$B120&amp;$C120,盘货信息!$A:$A&amp;盘货信息!$B:$B&amp;盘货信息!$C:$C,盘货信息!$M:$M)="是",OR(_xlfn.XLOOKUP($A120&amp;$B120&amp;$C120,盘货信息!$A:$A&amp;盘货信息!$B:$B&amp;盘货信息!$C:$C,盘货信息!$L:$L)="否",_xlfn.XLOOKUP($A120&amp;$B120&amp;$C120,盘货信息!$A:$A&amp;盘货信息!$B:$B&amp;盘货信息!$C:$C,盘货信息!$L:$L)="")),"【预估到手价"&amp;_xlfn.XLOOKUP($A120&amp;$B120&amp;$C120,盘货信息!$A:$A&amp;盘货信息!$B:$B&amp;盘货信息!$C:$C,盘货信息!$D:$D)&amp;"元】"&amp;CHAR(10)&amp;"【焕新补贴预估价"&amp;ROUND(_xlfn.XLOOKUP($A120&amp;$B120&amp;$C120,盘货信息!$A:$A&amp;盘货信息!$B:$B&amp;盘货信息!$C:$C,盘货信息!$E:$E),0)&amp;"元】","【焕新补贴预估价"&amp;ROUND(_xlfn.XLOOKUP($A120&amp;$B120&amp;$C120,盘货信息!$A:$A&amp;盘货信息!$B:$B&amp;盘货信息!$C:$C,盘货信息!$E:$E),0)&amp;"元】")))</f>
        <v/>
      </c>
      <c r="F120" s="27" t="str" cm="1">
        <f t="array" ref="F120">IF($C120="","",_xlfn.XLOOKUP($A120&amp;$B120&amp;$C120,盘货信息!$A:$A&amp;盘货信息!$B:$B&amp;盘货信息!$C:$C,盘货信息!$D:$D)&amp;"元到手价")</f>
        <v/>
      </c>
      <c r="G120" s="27" t="str" cm="1">
        <f t="array" ref="G120">IF($C120="","",IF(_xlfn.XLOOKUP($A120&amp;$B120&amp;$C120,盘货信息!$A:$A&amp;盘货信息!$B:$B&amp;盘货信息!$C:$C,盘货信息!$G:$G)&lt;1,"",ROUND(_xlfn.XLOOKUP($A120&amp;$B120&amp;$C120,盘货信息!$A:$A&amp;盘货信息!$B:$B&amp;盘货信息!$C:$C,盘货信息!$G:$G),0)&amp;"元88VIP立减"))</f>
        <v/>
      </c>
      <c r="H120" s="27" t="str" cm="1">
        <f t="array" ref="H120">IF($C120="","",IF(_xlfn.XLOOKUP($A120&amp;$B120&amp;$C120,盘货信息!$A:$A&amp;盘货信息!$B:$B&amp;盘货信息!$C:$C,盘货信息!$I:$I)&lt;1,"",_xlfn.XLOOKUP($A120&amp;$B120&amp;$C120,盘货信息!$A:$A&amp;盘货信息!$B:$B&amp;盘货信息!$C:$C,盘货信息!$I:$I)&amp;"元惊喜立减"))</f>
        <v/>
      </c>
      <c r="I120" s="27" t="str" cm="1">
        <f t="array" ref="I120">IF($C120="","",IF(_xlfn.XLOOKUP($A120&amp;$B120&amp;$C120,盘货信息!$A:$A&amp;盘货信息!$B:$B&amp;盘货信息!$C:$C,盘货信息!$H:$H)&lt;1,"",ROUND(_xlfn.XLOOKUP($A120&amp;$B120&amp;$C120,盘货信息!$A:$A&amp;盘货信息!$B:$B&amp;盘货信息!$C:$C,盘货信息!$H:$H),0)&amp;"元消费券"))</f>
        <v/>
      </c>
      <c r="J120" s="27" t="str" cm="1">
        <f t="array" ref="J120">IF($C120="","",IF(_xlfn.XLOOKUP($A120&amp;$B120&amp;$C120,盘货信息!$A:$A&amp;盘货信息!$B:$B&amp;盘货信息!$C:$C,盘货信息!$J:$J)&lt;1,"",ROUND(_xlfn.XLOOKUP($A120&amp;$B120&amp;$C120,盘货信息!$A:$A&amp;盘货信息!$B:$B&amp;盘货信息!$C:$C,盘货信息!$J:$J),0)&amp;"元限时补贴"))</f>
        <v/>
      </c>
      <c r="K120" s="27" t="str" cm="1">
        <f t="array" ref="K120">IF($C120="","",IF(_xlfn.XLOOKUP($A120&amp;$B120&amp;$C120,盘货信息!$A:$A&amp;盘货信息!$B:$B&amp;盘货信息!$C:$C,盘货信息!$K:$K)&lt;1,"",ROUND(_xlfn.XLOOKUP($A120&amp;$B120&amp;$C120,盘货信息!$A:$A&amp;盘货信息!$B:$B&amp;盘货信息!$C:$C,盘货信息!$K:$K),0)&amp;"元预估焕新补贴"))</f>
        <v/>
      </c>
      <c r="L120" s="27" t="str" cm="1">
        <f t="array" ref="L120">IF($C120="","",IF(AND(_xlfn.XLOOKUP($A120&amp;$B120&amp;$C120,盘货信息!$A:$A&amp;盘货信息!$B:$B&amp;盘货信息!$C:$C,盘货信息!$L:$L)="是",_xlfn.XLOOKUP($A120&amp;$B120&amp;$C120,盘货信息!$A:$A&amp;盘货信息!$B:$B&amp;盘货信息!$C:$C,盘货信息!$M:$M)="是",_xlfn.XLOOKUP($A120&amp;$B120&amp;$C120,盘货信息!$A:$A&amp;盘货信息!$B:$B&amp;盘货信息!$C:$C,盘货信息!$K:$K)&gt;0),"【全民可用，不限地址】",IF(AND(OR(_xlfn.XLOOKUP($A120&amp;$B120&amp;$C120,盘货信息!$A:$A&amp;盘货信息!$B:$B&amp;盘货信息!$C:$C,盘货信息!$L:$L)="否",_xlfn.XLOOKUP($A120&amp;$B120&amp;$C120,盘货信息!$A:$A&amp;盘货信息!$B:$B&amp;盘货信息!$C:$C,盘货信息!$L:$L)=""),_xlfn.XLOOKUP($A120&amp;$B120&amp;$C120,盘货信息!$A:$A&amp;盘货信息!$B:$B&amp;盘货信息!$C:$C,盘货信息!$M:$M)="是",_xlfn.XLOOKUP($A120&amp;$B120&amp;$C120,盘货信息!$A:$A&amp;盘货信息!$B:$B&amp;盘货信息!$C:$C,盘货信息!$K:$K)&gt;0),"【详情页领取】","")))</f>
        <v/>
      </c>
      <c r="M120" s="27" t="str" cm="1">
        <f t="array" ref="M120">IF($C120="","",IF(_xlfn.XLOOKUP($A120&amp;$B120&amp;$C120,盘货信息!$A:$A&amp;盘货信息!$B:$B&amp;盘货信息!$C:$C,盘货信息!$F:$F)&lt;1,"",_xlfn.XLOOKUP($A120&amp;$B120&amp;$C120,盘货信息!$A:$A&amp;盘货信息!$B:$B&amp;盘货信息!$C:$C,盘货信息!$F:$F)&amp;"元明卷"))</f>
        <v/>
      </c>
      <c r="N120" s="27" t="str">
        <f t="shared" si="3"/>
        <v/>
      </c>
      <c r="O120" s="27" t="str">
        <f>IF(I120="","","【消费券链接】"&amp;固定信息!$B$6)</f>
        <v/>
      </c>
    </row>
    <row r="121" customHeight="1" spans="1:15">
      <c r="A121" s="26" t="str">
        <f>IF(盘货信息!A121="","",盘货信息!A121)</f>
        <v/>
      </c>
      <c r="B121" s="26" t="str">
        <f>IF(盘货信息!B121="","",盘货信息!B121)</f>
        <v/>
      </c>
      <c r="C121" s="23" t="str">
        <f>IF(盘货信息!C121="","",盘货信息!C121)</f>
        <v/>
      </c>
      <c r="D121" s="27" t="str">
        <f t="shared" si="2"/>
        <v/>
      </c>
      <c r="E121" s="27" t="str" cm="1">
        <f t="array" ref="E121">IF($C121="","",IF(AND(OR(_xlfn.XLOOKUP($A121&amp;$B121&amp;$C121,盘货信息!$A:$A&amp;盘货信息!$B:$B&amp;盘货信息!$C:$C,盘货信息!$L:$L)="否",_xlfn.XLOOKUP($A121&amp;$B121&amp;$C121,盘货信息!$A:$A&amp;盘货信息!$B:$B&amp;盘货信息!$C:$C,盘货信息!$L:$L)=""),_xlfn.XLOOKUP($A121&amp;$B121&amp;$C121,盘货信息!$A:$A&amp;盘货信息!$B:$B&amp;盘货信息!$C:$C,盘货信息!$M:$M)="否"),"【预估到手价"&amp;_xlfn.XLOOKUP($A121&amp;$B121&amp;$C121,盘货信息!$A:$A&amp;盘货信息!$B:$B&amp;盘货信息!$C:$C,盘货信息!$D:$D)&amp;"元】",IF(AND(_xlfn.XLOOKUP($A121&amp;$B121&amp;$C121,盘货信息!$A:$A&amp;盘货信息!$B:$B&amp;盘货信息!$C:$C,盘货信息!$M:$M)="是",OR(_xlfn.XLOOKUP($A121&amp;$B121&amp;$C121,盘货信息!$A:$A&amp;盘货信息!$B:$B&amp;盘货信息!$C:$C,盘货信息!$L:$L)="否",_xlfn.XLOOKUP($A121&amp;$B121&amp;$C121,盘货信息!$A:$A&amp;盘货信息!$B:$B&amp;盘货信息!$C:$C,盘货信息!$L:$L)="")),"【预估到手价"&amp;_xlfn.XLOOKUP($A121&amp;$B121&amp;$C121,盘货信息!$A:$A&amp;盘货信息!$B:$B&amp;盘货信息!$C:$C,盘货信息!$D:$D)&amp;"元】"&amp;CHAR(10)&amp;"【焕新补贴预估价"&amp;ROUND(_xlfn.XLOOKUP($A121&amp;$B121&amp;$C121,盘货信息!$A:$A&amp;盘货信息!$B:$B&amp;盘货信息!$C:$C,盘货信息!$E:$E),0)&amp;"元】","【焕新补贴预估价"&amp;ROUND(_xlfn.XLOOKUP($A121&amp;$B121&amp;$C121,盘货信息!$A:$A&amp;盘货信息!$B:$B&amp;盘货信息!$C:$C,盘货信息!$E:$E),0)&amp;"元】")))</f>
        <v/>
      </c>
      <c r="F121" s="27" t="str" cm="1">
        <f t="array" ref="F121">IF($C121="","",_xlfn.XLOOKUP($A121&amp;$B121&amp;$C121,盘货信息!$A:$A&amp;盘货信息!$B:$B&amp;盘货信息!$C:$C,盘货信息!$D:$D)&amp;"元到手价")</f>
        <v/>
      </c>
      <c r="G121" s="27" t="str" cm="1">
        <f t="array" ref="G121">IF($C121="","",IF(_xlfn.XLOOKUP($A121&amp;$B121&amp;$C121,盘货信息!$A:$A&amp;盘货信息!$B:$B&amp;盘货信息!$C:$C,盘货信息!$G:$G)&lt;1,"",ROUND(_xlfn.XLOOKUP($A121&amp;$B121&amp;$C121,盘货信息!$A:$A&amp;盘货信息!$B:$B&amp;盘货信息!$C:$C,盘货信息!$G:$G),0)&amp;"元88VIP立减"))</f>
        <v/>
      </c>
      <c r="H121" s="27" t="str" cm="1">
        <f t="array" ref="H121">IF($C121="","",IF(_xlfn.XLOOKUP($A121&amp;$B121&amp;$C121,盘货信息!$A:$A&amp;盘货信息!$B:$B&amp;盘货信息!$C:$C,盘货信息!$I:$I)&lt;1,"",_xlfn.XLOOKUP($A121&amp;$B121&amp;$C121,盘货信息!$A:$A&amp;盘货信息!$B:$B&amp;盘货信息!$C:$C,盘货信息!$I:$I)&amp;"元惊喜立减"))</f>
        <v/>
      </c>
      <c r="I121" s="27" t="str" cm="1">
        <f t="array" ref="I121">IF($C121="","",IF(_xlfn.XLOOKUP($A121&amp;$B121&amp;$C121,盘货信息!$A:$A&amp;盘货信息!$B:$B&amp;盘货信息!$C:$C,盘货信息!$H:$H)&lt;1,"",ROUND(_xlfn.XLOOKUP($A121&amp;$B121&amp;$C121,盘货信息!$A:$A&amp;盘货信息!$B:$B&amp;盘货信息!$C:$C,盘货信息!$H:$H),0)&amp;"元消费券"))</f>
        <v/>
      </c>
      <c r="J121" s="27" t="str" cm="1">
        <f t="array" ref="J121">IF($C121="","",IF(_xlfn.XLOOKUP($A121&amp;$B121&amp;$C121,盘货信息!$A:$A&amp;盘货信息!$B:$B&amp;盘货信息!$C:$C,盘货信息!$J:$J)&lt;1,"",ROUND(_xlfn.XLOOKUP($A121&amp;$B121&amp;$C121,盘货信息!$A:$A&amp;盘货信息!$B:$B&amp;盘货信息!$C:$C,盘货信息!$J:$J),0)&amp;"元限时补贴"))</f>
        <v/>
      </c>
      <c r="K121" s="27" t="str" cm="1">
        <f t="array" ref="K121">IF($C121="","",IF(_xlfn.XLOOKUP($A121&amp;$B121&amp;$C121,盘货信息!$A:$A&amp;盘货信息!$B:$B&amp;盘货信息!$C:$C,盘货信息!$K:$K)&lt;1,"",ROUND(_xlfn.XLOOKUP($A121&amp;$B121&amp;$C121,盘货信息!$A:$A&amp;盘货信息!$B:$B&amp;盘货信息!$C:$C,盘货信息!$K:$K),0)&amp;"元预估焕新补贴"))</f>
        <v/>
      </c>
      <c r="L121" s="27" t="str" cm="1">
        <f t="array" ref="L121">IF($C121="","",IF(AND(_xlfn.XLOOKUP($A121&amp;$B121&amp;$C121,盘货信息!$A:$A&amp;盘货信息!$B:$B&amp;盘货信息!$C:$C,盘货信息!$L:$L)="是",_xlfn.XLOOKUP($A121&amp;$B121&amp;$C121,盘货信息!$A:$A&amp;盘货信息!$B:$B&amp;盘货信息!$C:$C,盘货信息!$M:$M)="是",_xlfn.XLOOKUP($A121&amp;$B121&amp;$C121,盘货信息!$A:$A&amp;盘货信息!$B:$B&amp;盘货信息!$C:$C,盘货信息!$K:$K)&gt;0),"【全民可用，不限地址】",IF(AND(OR(_xlfn.XLOOKUP($A121&amp;$B121&amp;$C121,盘货信息!$A:$A&amp;盘货信息!$B:$B&amp;盘货信息!$C:$C,盘货信息!$L:$L)="否",_xlfn.XLOOKUP($A121&amp;$B121&amp;$C121,盘货信息!$A:$A&amp;盘货信息!$B:$B&amp;盘货信息!$C:$C,盘货信息!$L:$L)=""),_xlfn.XLOOKUP($A121&amp;$B121&amp;$C121,盘货信息!$A:$A&amp;盘货信息!$B:$B&amp;盘货信息!$C:$C,盘货信息!$M:$M)="是",_xlfn.XLOOKUP($A121&amp;$B121&amp;$C121,盘货信息!$A:$A&amp;盘货信息!$B:$B&amp;盘货信息!$C:$C,盘货信息!$K:$K)&gt;0),"【详情页领取】","")))</f>
        <v/>
      </c>
      <c r="M121" s="27" t="str" cm="1">
        <f t="array" ref="M121">IF($C121="","",IF(_xlfn.XLOOKUP($A121&amp;$B121&amp;$C121,盘货信息!$A:$A&amp;盘货信息!$B:$B&amp;盘货信息!$C:$C,盘货信息!$F:$F)&lt;1,"",_xlfn.XLOOKUP($A121&amp;$B121&amp;$C121,盘货信息!$A:$A&amp;盘货信息!$B:$B&amp;盘货信息!$C:$C,盘货信息!$F:$F)&amp;"元明卷"))</f>
        <v/>
      </c>
      <c r="N121" s="27" t="str">
        <f t="shared" si="3"/>
        <v/>
      </c>
      <c r="O121" s="27" t="str">
        <f>IF(I121="","","【消费券链接】"&amp;固定信息!$B$6)</f>
        <v/>
      </c>
    </row>
    <row r="122" customHeight="1" spans="1:15">
      <c r="A122" s="26" t="str">
        <f>IF(盘货信息!A122="","",盘货信息!A122)</f>
        <v/>
      </c>
      <c r="B122" s="26" t="str">
        <f>IF(盘货信息!B122="","",盘货信息!B122)</f>
        <v/>
      </c>
      <c r="C122" s="23" t="str">
        <f>IF(盘货信息!C122="","",盘货信息!C122)</f>
        <v/>
      </c>
      <c r="D122" s="27" t="str">
        <f t="shared" si="2"/>
        <v/>
      </c>
      <c r="E122" s="27" t="str" cm="1">
        <f t="array" ref="E122">IF($C122="","",IF(AND(OR(_xlfn.XLOOKUP($A122&amp;$B122&amp;$C122,盘货信息!$A:$A&amp;盘货信息!$B:$B&amp;盘货信息!$C:$C,盘货信息!$L:$L)="否",_xlfn.XLOOKUP($A122&amp;$B122&amp;$C122,盘货信息!$A:$A&amp;盘货信息!$B:$B&amp;盘货信息!$C:$C,盘货信息!$L:$L)=""),_xlfn.XLOOKUP($A122&amp;$B122&amp;$C122,盘货信息!$A:$A&amp;盘货信息!$B:$B&amp;盘货信息!$C:$C,盘货信息!$M:$M)="否"),"【预估到手价"&amp;_xlfn.XLOOKUP($A122&amp;$B122&amp;$C122,盘货信息!$A:$A&amp;盘货信息!$B:$B&amp;盘货信息!$C:$C,盘货信息!$D:$D)&amp;"元】",IF(AND(_xlfn.XLOOKUP($A122&amp;$B122&amp;$C122,盘货信息!$A:$A&amp;盘货信息!$B:$B&amp;盘货信息!$C:$C,盘货信息!$M:$M)="是",OR(_xlfn.XLOOKUP($A122&amp;$B122&amp;$C122,盘货信息!$A:$A&amp;盘货信息!$B:$B&amp;盘货信息!$C:$C,盘货信息!$L:$L)="否",_xlfn.XLOOKUP($A122&amp;$B122&amp;$C122,盘货信息!$A:$A&amp;盘货信息!$B:$B&amp;盘货信息!$C:$C,盘货信息!$L:$L)="")),"【预估到手价"&amp;_xlfn.XLOOKUP($A122&amp;$B122&amp;$C122,盘货信息!$A:$A&amp;盘货信息!$B:$B&amp;盘货信息!$C:$C,盘货信息!$D:$D)&amp;"元】"&amp;CHAR(10)&amp;"【焕新补贴预估价"&amp;ROUND(_xlfn.XLOOKUP($A122&amp;$B122&amp;$C122,盘货信息!$A:$A&amp;盘货信息!$B:$B&amp;盘货信息!$C:$C,盘货信息!$E:$E),0)&amp;"元】","【焕新补贴预估价"&amp;ROUND(_xlfn.XLOOKUP($A122&amp;$B122&amp;$C122,盘货信息!$A:$A&amp;盘货信息!$B:$B&amp;盘货信息!$C:$C,盘货信息!$E:$E),0)&amp;"元】")))</f>
        <v/>
      </c>
      <c r="F122" s="27" t="str" cm="1">
        <f t="array" ref="F122">IF($C122="","",_xlfn.XLOOKUP($A122&amp;$B122&amp;$C122,盘货信息!$A:$A&amp;盘货信息!$B:$B&amp;盘货信息!$C:$C,盘货信息!$D:$D)&amp;"元到手价")</f>
        <v/>
      </c>
      <c r="G122" s="27" t="str" cm="1">
        <f t="array" ref="G122">IF($C122="","",IF(_xlfn.XLOOKUP($A122&amp;$B122&amp;$C122,盘货信息!$A:$A&amp;盘货信息!$B:$B&amp;盘货信息!$C:$C,盘货信息!$G:$G)&lt;1,"",ROUND(_xlfn.XLOOKUP($A122&amp;$B122&amp;$C122,盘货信息!$A:$A&amp;盘货信息!$B:$B&amp;盘货信息!$C:$C,盘货信息!$G:$G),0)&amp;"元88VIP立减"))</f>
        <v/>
      </c>
      <c r="H122" s="27" t="str" cm="1">
        <f t="array" ref="H122">IF($C122="","",IF(_xlfn.XLOOKUP($A122&amp;$B122&amp;$C122,盘货信息!$A:$A&amp;盘货信息!$B:$B&amp;盘货信息!$C:$C,盘货信息!$I:$I)&lt;1,"",_xlfn.XLOOKUP($A122&amp;$B122&amp;$C122,盘货信息!$A:$A&amp;盘货信息!$B:$B&amp;盘货信息!$C:$C,盘货信息!$I:$I)&amp;"元惊喜立减"))</f>
        <v/>
      </c>
      <c r="I122" s="27" t="str" cm="1">
        <f t="array" ref="I122">IF($C122="","",IF(_xlfn.XLOOKUP($A122&amp;$B122&amp;$C122,盘货信息!$A:$A&amp;盘货信息!$B:$B&amp;盘货信息!$C:$C,盘货信息!$H:$H)&lt;1,"",ROUND(_xlfn.XLOOKUP($A122&amp;$B122&amp;$C122,盘货信息!$A:$A&amp;盘货信息!$B:$B&amp;盘货信息!$C:$C,盘货信息!$H:$H),0)&amp;"元消费券"))</f>
        <v/>
      </c>
      <c r="J122" s="27" t="str" cm="1">
        <f t="array" ref="J122">IF($C122="","",IF(_xlfn.XLOOKUP($A122&amp;$B122&amp;$C122,盘货信息!$A:$A&amp;盘货信息!$B:$B&amp;盘货信息!$C:$C,盘货信息!$J:$J)&lt;1,"",ROUND(_xlfn.XLOOKUP($A122&amp;$B122&amp;$C122,盘货信息!$A:$A&amp;盘货信息!$B:$B&amp;盘货信息!$C:$C,盘货信息!$J:$J),0)&amp;"元限时补贴"))</f>
        <v/>
      </c>
      <c r="K122" s="27" t="str" cm="1">
        <f t="array" ref="K122">IF($C122="","",IF(_xlfn.XLOOKUP($A122&amp;$B122&amp;$C122,盘货信息!$A:$A&amp;盘货信息!$B:$B&amp;盘货信息!$C:$C,盘货信息!$K:$K)&lt;1,"",ROUND(_xlfn.XLOOKUP($A122&amp;$B122&amp;$C122,盘货信息!$A:$A&amp;盘货信息!$B:$B&amp;盘货信息!$C:$C,盘货信息!$K:$K),0)&amp;"元预估焕新补贴"))</f>
        <v/>
      </c>
      <c r="L122" s="27" t="str" cm="1">
        <f t="array" ref="L122">IF($C122="","",IF(AND(_xlfn.XLOOKUP($A122&amp;$B122&amp;$C122,盘货信息!$A:$A&amp;盘货信息!$B:$B&amp;盘货信息!$C:$C,盘货信息!$L:$L)="是",_xlfn.XLOOKUP($A122&amp;$B122&amp;$C122,盘货信息!$A:$A&amp;盘货信息!$B:$B&amp;盘货信息!$C:$C,盘货信息!$M:$M)="是",_xlfn.XLOOKUP($A122&amp;$B122&amp;$C122,盘货信息!$A:$A&amp;盘货信息!$B:$B&amp;盘货信息!$C:$C,盘货信息!$K:$K)&gt;0),"【全民可用，不限地址】",IF(AND(OR(_xlfn.XLOOKUP($A122&amp;$B122&amp;$C122,盘货信息!$A:$A&amp;盘货信息!$B:$B&amp;盘货信息!$C:$C,盘货信息!$L:$L)="否",_xlfn.XLOOKUP($A122&amp;$B122&amp;$C122,盘货信息!$A:$A&amp;盘货信息!$B:$B&amp;盘货信息!$C:$C,盘货信息!$L:$L)=""),_xlfn.XLOOKUP($A122&amp;$B122&amp;$C122,盘货信息!$A:$A&amp;盘货信息!$B:$B&amp;盘货信息!$C:$C,盘货信息!$M:$M)="是",_xlfn.XLOOKUP($A122&amp;$B122&amp;$C122,盘货信息!$A:$A&amp;盘货信息!$B:$B&amp;盘货信息!$C:$C,盘货信息!$K:$K)&gt;0),"【详情页领取】","")))</f>
        <v/>
      </c>
      <c r="M122" s="27" t="str" cm="1">
        <f t="array" ref="M122">IF($C122="","",IF(_xlfn.XLOOKUP($A122&amp;$B122&amp;$C122,盘货信息!$A:$A&amp;盘货信息!$B:$B&amp;盘货信息!$C:$C,盘货信息!$F:$F)&lt;1,"",_xlfn.XLOOKUP($A122&amp;$B122&amp;$C122,盘货信息!$A:$A&amp;盘货信息!$B:$B&amp;盘货信息!$C:$C,盘货信息!$F:$F)&amp;"元明卷"))</f>
        <v/>
      </c>
      <c r="N122" s="27" t="str">
        <f t="shared" si="3"/>
        <v/>
      </c>
      <c r="O122" s="27" t="str">
        <f>IF(I122="","","【消费券链接】"&amp;固定信息!$B$6)</f>
        <v/>
      </c>
    </row>
    <row r="123" customHeight="1" spans="1:15">
      <c r="A123" s="26" t="str">
        <f>IF(盘货信息!A123="","",盘货信息!A123)</f>
        <v/>
      </c>
      <c r="B123" s="26" t="str">
        <f>IF(盘货信息!B123="","",盘货信息!B123)</f>
        <v/>
      </c>
      <c r="C123" s="23" t="str">
        <f>IF(盘货信息!C123="","",盘货信息!C123)</f>
        <v/>
      </c>
      <c r="D123" s="27" t="str">
        <f t="shared" si="2"/>
        <v/>
      </c>
      <c r="E123" s="27" t="str" cm="1">
        <f t="array" ref="E123">IF($C123="","",IF(AND(OR(_xlfn.XLOOKUP($A123&amp;$B123&amp;$C123,盘货信息!$A:$A&amp;盘货信息!$B:$B&amp;盘货信息!$C:$C,盘货信息!$L:$L)="否",_xlfn.XLOOKUP($A123&amp;$B123&amp;$C123,盘货信息!$A:$A&amp;盘货信息!$B:$B&amp;盘货信息!$C:$C,盘货信息!$L:$L)=""),_xlfn.XLOOKUP($A123&amp;$B123&amp;$C123,盘货信息!$A:$A&amp;盘货信息!$B:$B&amp;盘货信息!$C:$C,盘货信息!$M:$M)="否"),"【预估到手价"&amp;_xlfn.XLOOKUP($A123&amp;$B123&amp;$C123,盘货信息!$A:$A&amp;盘货信息!$B:$B&amp;盘货信息!$C:$C,盘货信息!$D:$D)&amp;"元】",IF(AND(_xlfn.XLOOKUP($A123&amp;$B123&amp;$C123,盘货信息!$A:$A&amp;盘货信息!$B:$B&amp;盘货信息!$C:$C,盘货信息!$M:$M)="是",OR(_xlfn.XLOOKUP($A123&amp;$B123&amp;$C123,盘货信息!$A:$A&amp;盘货信息!$B:$B&amp;盘货信息!$C:$C,盘货信息!$L:$L)="否",_xlfn.XLOOKUP($A123&amp;$B123&amp;$C123,盘货信息!$A:$A&amp;盘货信息!$B:$B&amp;盘货信息!$C:$C,盘货信息!$L:$L)="")),"【预估到手价"&amp;_xlfn.XLOOKUP($A123&amp;$B123&amp;$C123,盘货信息!$A:$A&amp;盘货信息!$B:$B&amp;盘货信息!$C:$C,盘货信息!$D:$D)&amp;"元】"&amp;CHAR(10)&amp;"【焕新补贴预估价"&amp;ROUND(_xlfn.XLOOKUP($A123&amp;$B123&amp;$C123,盘货信息!$A:$A&amp;盘货信息!$B:$B&amp;盘货信息!$C:$C,盘货信息!$E:$E),0)&amp;"元】","【焕新补贴预估价"&amp;ROUND(_xlfn.XLOOKUP($A123&amp;$B123&amp;$C123,盘货信息!$A:$A&amp;盘货信息!$B:$B&amp;盘货信息!$C:$C,盘货信息!$E:$E),0)&amp;"元】")))</f>
        <v/>
      </c>
      <c r="F123" s="27" t="str" cm="1">
        <f t="array" ref="F123">IF($C123="","",_xlfn.XLOOKUP($A123&amp;$B123&amp;$C123,盘货信息!$A:$A&amp;盘货信息!$B:$B&amp;盘货信息!$C:$C,盘货信息!$D:$D)&amp;"元到手价")</f>
        <v/>
      </c>
      <c r="G123" s="27" t="str" cm="1">
        <f t="array" ref="G123">IF($C123="","",IF(_xlfn.XLOOKUP($A123&amp;$B123&amp;$C123,盘货信息!$A:$A&amp;盘货信息!$B:$B&amp;盘货信息!$C:$C,盘货信息!$G:$G)&lt;1,"",ROUND(_xlfn.XLOOKUP($A123&amp;$B123&amp;$C123,盘货信息!$A:$A&amp;盘货信息!$B:$B&amp;盘货信息!$C:$C,盘货信息!$G:$G),0)&amp;"元88VIP立减"))</f>
        <v/>
      </c>
      <c r="H123" s="27" t="str" cm="1">
        <f t="array" ref="H123">IF($C123="","",IF(_xlfn.XLOOKUP($A123&amp;$B123&amp;$C123,盘货信息!$A:$A&amp;盘货信息!$B:$B&amp;盘货信息!$C:$C,盘货信息!$I:$I)&lt;1,"",_xlfn.XLOOKUP($A123&amp;$B123&amp;$C123,盘货信息!$A:$A&amp;盘货信息!$B:$B&amp;盘货信息!$C:$C,盘货信息!$I:$I)&amp;"元惊喜立减"))</f>
        <v/>
      </c>
      <c r="I123" s="27" t="str" cm="1">
        <f t="array" ref="I123">IF($C123="","",IF(_xlfn.XLOOKUP($A123&amp;$B123&amp;$C123,盘货信息!$A:$A&amp;盘货信息!$B:$B&amp;盘货信息!$C:$C,盘货信息!$H:$H)&lt;1,"",ROUND(_xlfn.XLOOKUP($A123&amp;$B123&amp;$C123,盘货信息!$A:$A&amp;盘货信息!$B:$B&amp;盘货信息!$C:$C,盘货信息!$H:$H),0)&amp;"元消费券"))</f>
        <v/>
      </c>
      <c r="J123" s="27" t="str" cm="1">
        <f t="array" ref="J123">IF($C123="","",IF(_xlfn.XLOOKUP($A123&amp;$B123&amp;$C123,盘货信息!$A:$A&amp;盘货信息!$B:$B&amp;盘货信息!$C:$C,盘货信息!$J:$J)&lt;1,"",ROUND(_xlfn.XLOOKUP($A123&amp;$B123&amp;$C123,盘货信息!$A:$A&amp;盘货信息!$B:$B&amp;盘货信息!$C:$C,盘货信息!$J:$J),0)&amp;"元限时补贴"))</f>
        <v/>
      </c>
      <c r="K123" s="27" t="str" cm="1">
        <f t="array" ref="K123">IF($C123="","",IF(_xlfn.XLOOKUP($A123&amp;$B123&amp;$C123,盘货信息!$A:$A&amp;盘货信息!$B:$B&amp;盘货信息!$C:$C,盘货信息!$K:$K)&lt;1,"",ROUND(_xlfn.XLOOKUP($A123&amp;$B123&amp;$C123,盘货信息!$A:$A&amp;盘货信息!$B:$B&amp;盘货信息!$C:$C,盘货信息!$K:$K),0)&amp;"元预估焕新补贴"))</f>
        <v/>
      </c>
      <c r="L123" s="27" t="str" cm="1">
        <f t="array" ref="L123">IF($C123="","",IF(AND(_xlfn.XLOOKUP($A123&amp;$B123&amp;$C123,盘货信息!$A:$A&amp;盘货信息!$B:$B&amp;盘货信息!$C:$C,盘货信息!$L:$L)="是",_xlfn.XLOOKUP($A123&amp;$B123&amp;$C123,盘货信息!$A:$A&amp;盘货信息!$B:$B&amp;盘货信息!$C:$C,盘货信息!$M:$M)="是",_xlfn.XLOOKUP($A123&amp;$B123&amp;$C123,盘货信息!$A:$A&amp;盘货信息!$B:$B&amp;盘货信息!$C:$C,盘货信息!$K:$K)&gt;0),"【全民可用，不限地址】",IF(AND(OR(_xlfn.XLOOKUP($A123&amp;$B123&amp;$C123,盘货信息!$A:$A&amp;盘货信息!$B:$B&amp;盘货信息!$C:$C,盘货信息!$L:$L)="否",_xlfn.XLOOKUP($A123&amp;$B123&amp;$C123,盘货信息!$A:$A&amp;盘货信息!$B:$B&amp;盘货信息!$C:$C,盘货信息!$L:$L)=""),_xlfn.XLOOKUP($A123&amp;$B123&amp;$C123,盘货信息!$A:$A&amp;盘货信息!$B:$B&amp;盘货信息!$C:$C,盘货信息!$M:$M)="是",_xlfn.XLOOKUP($A123&amp;$B123&amp;$C123,盘货信息!$A:$A&amp;盘货信息!$B:$B&amp;盘货信息!$C:$C,盘货信息!$K:$K)&gt;0),"【详情页领取】","")))</f>
        <v/>
      </c>
      <c r="M123" s="27" t="str" cm="1">
        <f t="array" ref="M123">IF($C123="","",IF(_xlfn.XLOOKUP($A123&amp;$B123&amp;$C123,盘货信息!$A:$A&amp;盘货信息!$B:$B&amp;盘货信息!$C:$C,盘货信息!$F:$F)&lt;1,"",_xlfn.XLOOKUP($A123&amp;$B123&amp;$C123,盘货信息!$A:$A&amp;盘货信息!$B:$B&amp;盘货信息!$C:$C,盘货信息!$F:$F)&amp;"元明卷"))</f>
        <v/>
      </c>
      <c r="N123" s="27" t="str">
        <f t="shared" si="3"/>
        <v/>
      </c>
      <c r="O123" s="27" t="str">
        <f>IF(I123="","","【消费券链接】"&amp;固定信息!$B$6)</f>
        <v/>
      </c>
    </row>
    <row r="124" customHeight="1" spans="1:15">
      <c r="A124" s="26" t="str">
        <f>IF(盘货信息!A124="","",盘货信息!A124)</f>
        <v/>
      </c>
      <c r="B124" s="26" t="str">
        <f>IF(盘货信息!B124="","",盘货信息!B124)</f>
        <v/>
      </c>
      <c r="C124" s="26" t="str">
        <f>IF(盘货信息!C124="","",盘货信息!C124)</f>
        <v/>
      </c>
      <c r="D124" s="27" t="str">
        <f t="shared" si="2"/>
        <v/>
      </c>
      <c r="E124" s="27" t="str" cm="1">
        <f t="array" ref="E124">IF($C124="","",IF(AND(OR(_xlfn.XLOOKUP($A124&amp;$B124&amp;$C124,盘货信息!$A:$A&amp;盘货信息!$B:$B&amp;盘货信息!$C:$C,盘货信息!$L:$L)="否",_xlfn.XLOOKUP($A124&amp;$B124&amp;$C124,盘货信息!$A:$A&amp;盘货信息!$B:$B&amp;盘货信息!$C:$C,盘货信息!$L:$L)=""),_xlfn.XLOOKUP($A124&amp;$B124&amp;$C124,盘货信息!$A:$A&amp;盘货信息!$B:$B&amp;盘货信息!$C:$C,盘货信息!$M:$M)="否"),"【预估到手价"&amp;_xlfn.XLOOKUP($A124&amp;$B124&amp;$C124,盘货信息!$A:$A&amp;盘货信息!$B:$B&amp;盘货信息!$C:$C,盘货信息!$D:$D)&amp;"元】",IF(AND(_xlfn.XLOOKUP($A124&amp;$B124&amp;$C124,盘货信息!$A:$A&amp;盘货信息!$B:$B&amp;盘货信息!$C:$C,盘货信息!$M:$M)="是",OR(_xlfn.XLOOKUP($A124&amp;$B124&amp;$C124,盘货信息!$A:$A&amp;盘货信息!$B:$B&amp;盘货信息!$C:$C,盘货信息!$L:$L)="否",_xlfn.XLOOKUP($A124&amp;$B124&amp;$C124,盘货信息!$A:$A&amp;盘货信息!$B:$B&amp;盘货信息!$C:$C,盘货信息!$L:$L)="")),"【预估到手价"&amp;_xlfn.XLOOKUP($A124&amp;$B124&amp;$C124,盘货信息!$A:$A&amp;盘货信息!$B:$B&amp;盘货信息!$C:$C,盘货信息!$D:$D)&amp;"元】"&amp;CHAR(10)&amp;"【焕新补贴预估价"&amp;ROUND(_xlfn.XLOOKUP($A124&amp;$B124&amp;$C124,盘货信息!$A:$A&amp;盘货信息!$B:$B&amp;盘货信息!$C:$C,盘货信息!$E:$E),0)&amp;"元】","【焕新补贴预估价"&amp;ROUND(_xlfn.XLOOKUP($A124&amp;$B124&amp;$C124,盘货信息!$A:$A&amp;盘货信息!$B:$B&amp;盘货信息!$C:$C,盘货信息!$E:$E),0)&amp;"元】")))</f>
        <v/>
      </c>
      <c r="F124" s="27" t="str" cm="1">
        <f t="array" ref="F124">IF($C124="","",_xlfn.XLOOKUP($A124&amp;$B124&amp;$C124,盘货信息!$A:$A&amp;盘货信息!$B:$B&amp;盘货信息!$C:$C,盘货信息!$D:$D)&amp;"元到手价")</f>
        <v/>
      </c>
      <c r="G124" s="27" t="str" cm="1">
        <f t="array" ref="G124">IF($C124="","",IF(_xlfn.XLOOKUP($A124&amp;$B124&amp;$C124,盘货信息!$A:$A&amp;盘货信息!$B:$B&amp;盘货信息!$C:$C,盘货信息!$G:$G)&lt;1,"",ROUND(_xlfn.XLOOKUP($A124&amp;$B124&amp;$C124,盘货信息!$A:$A&amp;盘货信息!$B:$B&amp;盘货信息!$C:$C,盘货信息!$G:$G),0)&amp;"元88VIP立减"))</f>
        <v/>
      </c>
      <c r="H124" s="27" t="str" cm="1">
        <f t="array" ref="H124">IF($C124="","",IF(_xlfn.XLOOKUP($A124&amp;$B124&amp;$C124,盘货信息!$A:$A&amp;盘货信息!$B:$B&amp;盘货信息!$C:$C,盘货信息!$I:$I)&lt;1,"",_xlfn.XLOOKUP($A124&amp;$B124&amp;$C124,盘货信息!$A:$A&amp;盘货信息!$B:$B&amp;盘货信息!$C:$C,盘货信息!$I:$I)&amp;"元惊喜立减"))</f>
        <v/>
      </c>
      <c r="I124" s="27" t="str" cm="1">
        <f t="array" ref="I124">IF($C124="","",IF(_xlfn.XLOOKUP($A124&amp;$B124&amp;$C124,盘货信息!$A:$A&amp;盘货信息!$B:$B&amp;盘货信息!$C:$C,盘货信息!$H:$H)&lt;1,"",ROUND(_xlfn.XLOOKUP($A124&amp;$B124&amp;$C124,盘货信息!$A:$A&amp;盘货信息!$B:$B&amp;盘货信息!$C:$C,盘货信息!$H:$H),0)&amp;"元消费券"))</f>
        <v/>
      </c>
      <c r="J124" s="27" t="str" cm="1">
        <f t="array" ref="J124">IF($C124="","",IF(_xlfn.XLOOKUP($A124&amp;$B124&amp;$C124,盘货信息!$A:$A&amp;盘货信息!$B:$B&amp;盘货信息!$C:$C,盘货信息!$J:$J)&lt;1,"",ROUND(_xlfn.XLOOKUP($A124&amp;$B124&amp;$C124,盘货信息!$A:$A&amp;盘货信息!$B:$B&amp;盘货信息!$C:$C,盘货信息!$J:$J),0)&amp;"元限时补贴"))</f>
        <v/>
      </c>
      <c r="K124" s="27" t="str" cm="1">
        <f t="array" ref="K124">IF($C124="","",IF(_xlfn.XLOOKUP($A124&amp;$B124&amp;$C124,盘货信息!$A:$A&amp;盘货信息!$B:$B&amp;盘货信息!$C:$C,盘货信息!$K:$K)&lt;1,"",ROUND(_xlfn.XLOOKUP($A124&amp;$B124&amp;$C124,盘货信息!$A:$A&amp;盘货信息!$B:$B&amp;盘货信息!$C:$C,盘货信息!$K:$K),0)&amp;"元预估焕新补贴"))</f>
        <v/>
      </c>
      <c r="L124" s="27" t="str" cm="1">
        <f t="array" ref="L124">IF($C124="","",IF(AND(_xlfn.XLOOKUP($A124&amp;$B124&amp;$C124,盘货信息!$A:$A&amp;盘货信息!$B:$B&amp;盘货信息!$C:$C,盘货信息!$L:$L)="是",_xlfn.XLOOKUP($A124&amp;$B124&amp;$C124,盘货信息!$A:$A&amp;盘货信息!$B:$B&amp;盘货信息!$C:$C,盘货信息!$M:$M)="是",_xlfn.XLOOKUP($A124&amp;$B124&amp;$C124,盘货信息!$A:$A&amp;盘货信息!$B:$B&amp;盘货信息!$C:$C,盘货信息!$K:$K)&gt;0),"【全民可用，不限地址】",IF(AND(OR(_xlfn.XLOOKUP($A124&amp;$B124&amp;$C124,盘货信息!$A:$A&amp;盘货信息!$B:$B&amp;盘货信息!$C:$C,盘货信息!$L:$L)="否",_xlfn.XLOOKUP($A124&amp;$B124&amp;$C124,盘货信息!$A:$A&amp;盘货信息!$B:$B&amp;盘货信息!$C:$C,盘货信息!$L:$L)=""),_xlfn.XLOOKUP($A124&amp;$B124&amp;$C124,盘货信息!$A:$A&amp;盘货信息!$B:$B&amp;盘货信息!$C:$C,盘货信息!$M:$M)="是",_xlfn.XLOOKUP($A124&amp;$B124&amp;$C124,盘货信息!$A:$A&amp;盘货信息!$B:$B&amp;盘货信息!$C:$C,盘货信息!$K:$K)&gt;0),"【详情页领取】","")))</f>
        <v/>
      </c>
      <c r="M124" s="27" t="str" cm="1">
        <f t="array" ref="M124">IF($C124="","",IF(_xlfn.XLOOKUP($A124&amp;$B124&amp;$C124,盘货信息!$A:$A&amp;盘货信息!$B:$B&amp;盘货信息!$C:$C,盘货信息!$F:$F)&lt;1,"",_xlfn.XLOOKUP($A124&amp;$B124&amp;$C124,盘货信息!$A:$A&amp;盘货信息!$B:$B&amp;盘货信息!$C:$C,盘货信息!$F:$F)&amp;"元明卷"))</f>
        <v/>
      </c>
      <c r="N124" s="27" t="str">
        <f t="shared" si="3"/>
        <v/>
      </c>
      <c r="O124" s="27" t="str">
        <f>IF(I124="","","【消费券链接】"&amp;固定信息!$B$6)</f>
        <v/>
      </c>
    </row>
    <row r="125" customHeight="1" spans="1:15">
      <c r="A125" s="26" t="str">
        <f>IF(盘货信息!A125="","",盘货信息!A125)</f>
        <v/>
      </c>
      <c r="B125" s="26" t="str">
        <f>IF(盘货信息!B125="","",盘货信息!B125)</f>
        <v/>
      </c>
      <c r="C125" s="26" t="str">
        <f>IF(盘货信息!C125="","",盘货信息!C125)</f>
        <v/>
      </c>
      <c r="D125" s="27" t="str">
        <f t="shared" si="2"/>
        <v/>
      </c>
      <c r="E125" s="27" t="str" cm="1">
        <f t="array" ref="E125">IF($C125="","",IF(AND(OR(_xlfn.XLOOKUP($A125&amp;$B125&amp;$C125,盘货信息!$A:$A&amp;盘货信息!$B:$B&amp;盘货信息!$C:$C,盘货信息!$L:$L)="否",_xlfn.XLOOKUP($A125&amp;$B125&amp;$C125,盘货信息!$A:$A&amp;盘货信息!$B:$B&amp;盘货信息!$C:$C,盘货信息!$L:$L)=""),_xlfn.XLOOKUP($A125&amp;$B125&amp;$C125,盘货信息!$A:$A&amp;盘货信息!$B:$B&amp;盘货信息!$C:$C,盘货信息!$M:$M)="否"),"【预估到手价"&amp;_xlfn.XLOOKUP($A125&amp;$B125&amp;$C125,盘货信息!$A:$A&amp;盘货信息!$B:$B&amp;盘货信息!$C:$C,盘货信息!$D:$D)&amp;"元】",IF(AND(_xlfn.XLOOKUP($A125&amp;$B125&amp;$C125,盘货信息!$A:$A&amp;盘货信息!$B:$B&amp;盘货信息!$C:$C,盘货信息!$M:$M)="是",OR(_xlfn.XLOOKUP($A125&amp;$B125&amp;$C125,盘货信息!$A:$A&amp;盘货信息!$B:$B&amp;盘货信息!$C:$C,盘货信息!$L:$L)="否",_xlfn.XLOOKUP($A125&amp;$B125&amp;$C125,盘货信息!$A:$A&amp;盘货信息!$B:$B&amp;盘货信息!$C:$C,盘货信息!$L:$L)="")),"【预估到手价"&amp;_xlfn.XLOOKUP($A125&amp;$B125&amp;$C125,盘货信息!$A:$A&amp;盘货信息!$B:$B&amp;盘货信息!$C:$C,盘货信息!$D:$D)&amp;"元】"&amp;CHAR(10)&amp;"【焕新补贴预估价"&amp;ROUND(_xlfn.XLOOKUP($A125&amp;$B125&amp;$C125,盘货信息!$A:$A&amp;盘货信息!$B:$B&amp;盘货信息!$C:$C,盘货信息!$E:$E),0)&amp;"元】","【焕新补贴预估价"&amp;ROUND(_xlfn.XLOOKUP($A125&amp;$B125&amp;$C125,盘货信息!$A:$A&amp;盘货信息!$B:$B&amp;盘货信息!$C:$C,盘货信息!$E:$E),0)&amp;"元】")))</f>
        <v/>
      </c>
      <c r="F125" s="27" t="str" cm="1">
        <f t="array" ref="F125">IF($C125="","",_xlfn.XLOOKUP($A125&amp;$B125&amp;$C125,盘货信息!$A:$A&amp;盘货信息!$B:$B&amp;盘货信息!$C:$C,盘货信息!$D:$D)&amp;"元到手价")</f>
        <v/>
      </c>
      <c r="G125" s="27" t="str" cm="1">
        <f t="array" ref="G125">IF($C125="","",IF(_xlfn.XLOOKUP($A125&amp;$B125&amp;$C125,盘货信息!$A:$A&amp;盘货信息!$B:$B&amp;盘货信息!$C:$C,盘货信息!$G:$G)&lt;1,"",ROUND(_xlfn.XLOOKUP($A125&amp;$B125&amp;$C125,盘货信息!$A:$A&amp;盘货信息!$B:$B&amp;盘货信息!$C:$C,盘货信息!$G:$G),0)&amp;"元88VIP立减"))</f>
        <v/>
      </c>
      <c r="H125" s="27" t="str" cm="1">
        <f t="array" ref="H125">IF($C125="","",IF(_xlfn.XLOOKUP($A125&amp;$B125&amp;$C125,盘货信息!$A:$A&amp;盘货信息!$B:$B&amp;盘货信息!$C:$C,盘货信息!$I:$I)&lt;1,"",_xlfn.XLOOKUP($A125&amp;$B125&amp;$C125,盘货信息!$A:$A&amp;盘货信息!$B:$B&amp;盘货信息!$C:$C,盘货信息!$I:$I)&amp;"元惊喜立减"))</f>
        <v/>
      </c>
      <c r="I125" s="27" t="str" cm="1">
        <f t="array" ref="I125">IF($C125="","",IF(_xlfn.XLOOKUP($A125&amp;$B125&amp;$C125,盘货信息!$A:$A&amp;盘货信息!$B:$B&amp;盘货信息!$C:$C,盘货信息!$H:$H)&lt;1,"",ROUND(_xlfn.XLOOKUP($A125&amp;$B125&amp;$C125,盘货信息!$A:$A&amp;盘货信息!$B:$B&amp;盘货信息!$C:$C,盘货信息!$H:$H),0)&amp;"元消费券"))</f>
        <v/>
      </c>
      <c r="J125" s="27" t="str" cm="1">
        <f t="array" ref="J125">IF($C125="","",IF(_xlfn.XLOOKUP($A125&amp;$B125&amp;$C125,盘货信息!$A:$A&amp;盘货信息!$B:$B&amp;盘货信息!$C:$C,盘货信息!$J:$J)&lt;1,"",ROUND(_xlfn.XLOOKUP($A125&amp;$B125&amp;$C125,盘货信息!$A:$A&amp;盘货信息!$B:$B&amp;盘货信息!$C:$C,盘货信息!$J:$J),0)&amp;"元限时补贴"))</f>
        <v/>
      </c>
      <c r="K125" s="27" t="str" cm="1">
        <f t="array" ref="K125">IF($C125="","",IF(_xlfn.XLOOKUP($A125&amp;$B125&amp;$C125,盘货信息!$A:$A&amp;盘货信息!$B:$B&amp;盘货信息!$C:$C,盘货信息!$K:$K)&lt;1,"",ROUND(_xlfn.XLOOKUP($A125&amp;$B125&amp;$C125,盘货信息!$A:$A&amp;盘货信息!$B:$B&amp;盘货信息!$C:$C,盘货信息!$K:$K),0)&amp;"元预估焕新补贴"))</f>
        <v/>
      </c>
      <c r="L125" s="27" t="str" cm="1">
        <f t="array" ref="L125">IF($C125="","",IF(AND(_xlfn.XLOOKUP($A125&amp;$B125&amp;$C125,盘货信息!$A:$A&amp;盘货信息!$B:$B&amp;盘货信息!$C:$C,盘货信息!$L:$L)="是",_xlfn.XLOOKUP($A125&amp;$B125&amp;$C125,盘货信息!$A:$A&amp;盘货信息!$B:$B&amp;盘货信息!$C:$C,盘货信息!$M:$M)="是",_xlfn.XLOOKUP($A125&amp;$B125&amp;$C125,盘货信息!$A:$A&amp;盘货信息!$B:$B&amp;盘货信息!$C:$C,盘货信息!$K:$K)&gt;0),"【全民可用，不限地址】",IF(AND(OR(_xlfn.XLOOKUP($A125&amp;$B125&amp;$C125,盘货信息!$A:$A&amp;盘货信息!$B:$B&amp;盘货信息!$C:$C,盘货信息!$L:$L)="否",_xlfn.XLOOKUP($A125&amp;$B125&amp;$C125,盘货信息!$A:$A&amp;盘货信息!$B:$B&amp;盘货信息!$C:$C,盘货信息!$L:$L)=""),_xlfn.XLOOKUP($A125&amp;$B125&amp;$C125,盘货信息!$A:$A&amp;盘货信息!$B:$B&amp;盘货信息!$C:$C,盘货信息!$M:$M)="是",_xlfn.XLOOKUP($A125&amp;$B125&amp;$C125,盘货信息!$A:$A&amp;盘货信息!$B:$B&amp;盘货信息!$C:$C,盘货信息!$K:$K)&gt;0),"【详情页领取】","")))</f>
        <v/>
      </c>
      <c r="M125" s="27" t="str" cm="1">
        <f t="array" ref="M125">IF($C125="","",IF(_xlfn.XLOOKUP($A125&amp;$B125&amp;$C125,盘货信息!$A:$A&amp;盘货信息!$B:$B&amp;盘货信息!$C:$C,盘货信息!$F:$F)&lt;1,"",_xlfn.XLOOKUP($A125&amp;$B125&amp;$C125,盘货信息!$A:$A&amp;盘货信息!$B:$B&amp;盘货信息!$C:$C,盘货信息!$F:$F)&amp;"元明卷"))</f>
        <v/>
      </c>
      <c r="N125" s="27" t="str">
        <f t="shared" si="3"/>
        <v/>
      </c>
      <c r="O125" s="27" t="str">
        <f>IF(I125="","","【消费券链接】"&amp;固定信息!$B$6)</f>
        <v/>
      </c>
    </row>
    <row r="126" customHeight="1" spans="1:15">
      <c r="A126" s="26" t="str">
        <f>IF(盘货信息!A126="","",盘货信息!A126)</f>
        <v/>
      </c>
      <c r="B126" s="26" t="str">
        <f>IF(盘货信息!B126="","",盘货信息!B126)</f>
        <v/>
      </c>
      <c r="C126" s="26" t="str">
        <f>IF(盘货信息!C126="","",盘货信息!C126)</f>
        <v/>
      </c>
      <c r="D126" s="27" t="str">
        <f t="shared" si="2"/>
        <v/>
      </c>
      <c r="E126" s="27" t="str" cm="1">
        <f t="array" ref="E126">IF($C126="","",IF(AND(OR(_xlfn.XLOOKUP($A126&amp;$B126&amp;$C126,盘货信息!$A:$A&amp;盘货信息!$B:$B&amp;盘货信息!$C:$C,盘货信息!$L:$L)="否",_xlfn.XLOOKUP($A126&amp;$B126&amp;$C126,盘货信息!$A:$A&amp;盘货信息!$B:$B&amp;盘货信息!$C:$C,盘货信息!$L:$L)=""),_xlfn.XLOOKUP($A126&amp;$B126&amp;$C126,盘货信息!$A:$A&amp;盘货信息!$B:$B&amp;盘货信息!$C:$C,盘货信息!$M:$M)="否"),"【预估到手价"&amp;_xlfn.XLOOKUP($A126&amp;$B126&amp;$C126,盘货信息!$A:$A&amp;盘货信息!$B:$B&amp;盘货信息!$C:$C,盘货信息!$D:$D)&amp;"元】",IF(AND(_xlfn.XLOOKUP($A126&amp;$B126&amp;$C126,盘货信息!$A:$A&amp;盘货信息!$B:$B&amp;盘货信息!$C:$C,盘货信息!$M:$M)="是",OR(_xlfn.XLOOKUP($A126&amp;$B126&amp;$C126,盘货信息!$A:$A&amp;盘货信息!$B:$B&amp;盘货信息!$C:$C,盘货信息!$L:$L)="否",_xlfn.XLOOKUP($A126&amp;$B126&amp;$C126,盘货信息!$A:$A&amp;盘货信息!$B:$B&amp;盘货信息!$C:$C,盘货信息!$L:$L)="")),"【预估到手价"&amp;_xlfn.XLOOKUP($A126&amp;$B126&amp;$C126,盘货信息!$A:$A&amp;盘货信息!$B:$B&amp;盘货信息!$C:$C,盘货信息!$D:$D)&amp;"元】"&amp;CHAR(10)&amp;"【焕新补贴预估价"&amp;ROUND(_xlfn.XLOOKUP($A126&amp;$B126&amp;$C126,盘货信息!$A:$A&amp;盘货信息!$B:$B&amp;盘货信息!$C:$C,盘货信息!$E:$E),0)&amp;"元】","【焕新补贴预估价"&amp;ROUND(_xlfn.XLOOKUP($A126&amp;$B126&amp;$C126,盘货信息!$A:$A&amp;盘货信息!$B:$B&amp;盘货信息!$C:$C,盘货信息!$E:$E),0)&amp;"元】")))</f>
        <v/>
      </c>
      <c r="F126" s="27" t="str" cm="1">
        <f t="array" ref="F126">IF($C126="","",_xlfn.XLOOKUP($A126&amp;$B126&amp;$C126,盘货信息!$A:$A&amp;盘货信息!$B:$B&amp;盘货信息!$C:$C,盘货信息!$D:$D)&amp;"元到手价")</f>
        <v/>
      </c>
      <c r="G126" s="27" t="str" cm="1">
        <f t="array" ref="G126">IF($C126="","",IF(_xlfn.XLOOKUP($A126&amp;$B126&amp;$C126,盘货信息!$A:$A&amp;盘货信息!$B:$B&amp;盘货信息!$C:$C,盘货信息!$G:$G)&lt;1,"",ROUND(_xlfn.XLOOKUP($A126&amp;$B126&amp;$C126,盘货信息!$A:$A&amp;盘货信息!$B:$B&amp;盘货信息!$C:$C,盘货信息!$G:$G),0)&amp;"元88VIP立减"))</f>
        <v/>
      </c>
      <c r="H126" s="27" t="str" cm="1">
        <f t="array" ref="H126">IF($C126="","",IF(_xlfn.XLOOKUP($A126&amp;$B126&amp;$C126,盘货信息!$A:$A&amp;盘货信息!$B:$B&amp;盘货信息!$C:$C,盘货信息!$I:$I)&lt;1,"",_xlfn.XLOOKUP($A126&amp;$B126&amp;$C126,盘货信息!$A:$A&amp;盘货信息!$B:$B&amp;盘货信息!$C:$C,盘货信息!$I:$I)&amp;"元惊喜立减"))</f>
        <v/>
      </c>
      <c r="I126" s="27" t="str" cm="1">
        <f t="array" ref="I126">IF($C126="","",IF(_xlfn.XLOOKUP($A126&amp;$B126&amp;$C126,盘货信息!$A:$A&amp;盘货信息!$B:$B&amp;盘货信息!$C:$C,盘货信息!$H:$H)&lt;1,"",ROUND(_xlfn.XLOOKUP($A126&amp;$B126&amp;$C126,盘货信息!$A:$A&amp;盘货信息!$B:$B&amp;盘货信息!$C:$C,盘货信息!$H:$H),0)&amp;"元消费券"))</f>
        <v/>
      </c>
      <c r="J126" s="27" t="str" cm="1">
        <f t="array" ref="J126">IF($C126="","",IF(_xlfn.XLOOKUP($A126&amp;$B126&amp;$C126,盘货信息!$A:$A&amp;盘货信息!$B:$B&amp;盘货信息!$C:$C,盘货信息!$J:$J)&lt;1,"",ROUND(_xlfn.XLOOKUP($A126&amp;$B126&amp;$C126,盘货信息!$A:$A&amp;盘货信息!$B:$B&amp;盘货信息!$C:$C,盘货信息!$J:$J),0)&amp;"元限时补贴"))</f>
        <v/>
      </c>
      <c r="K126" s="27" t="str" cm="1">
        <f t="array" ref="K126">IF($C126="","",IF(_xlfn.XLOOKUP($A126&amp;$B126&amp;$C126,盘货信息!$A:$A&amp;盘货信息!$B:$B&amp;盘货信息!$C:$C,盘货信息!$K:$K)&lt;1,"",ROUND(_xlfn.XLOOKUP($A126&amp;$B126&amp;$C126,盘货信息!$A:$A&amp;盘货信息!$B:$B&amp;盘货信息!$C:$C,盘货信息!$K:$K),0)&amp;"元预估焕新补贴"))</f>
        <v/>
      </c>
      <c r="L126" s="27" t="str" cm="1">
        <f t="array" ref="L126">IF($C126="","",IF(AND(_xlfn.XLOOKUP($A126&amp;$B126&amp;$C126,盘货信息!$A:$A&amp;盘货信息!$B:$B&amp;盘货信息!$C:$C,盘货信息!$L:$L)="是",_xlfn.XLOOKUP($A126&amp;$B126&amp;$C126,盘货信息!$A:$A&amp;盘货信息!$B:$B&amp;盘货信息!$C:$C,盘货信息!$M:$M)="是",_xlfn.XLOOKUP($A126&amp;$B126&amp;$C126,盘货信息!$A:$A&amp;盘货信息!$B:$B&amp;盘货信息!$C:$C,盘货信息!$K:$K)&gt;0),"【全民可用，不限地址】",IF(AND(OR(_xlfn.XLOOKUP($A126&amp;$B126&amp;$C126,盘货信息!$A:$A&amp;盘货信息!$B:$B&amp;盘货信息!$C:$C,盘货信息!$L:$L)="否",_xlfn.XLOOKUP($A126&amp;$B126&amp;$C126,盘货信息!$A:$A&amp;盘货信息!$B:$B&amp;盘货信息!$C:$C,盘货信息!$L:$L)=""),_xlfn.XLOOKUP($A126&amp;$B126&amp;$C126,盘货信息!$A:$A&amp;盘货信息!$B:$B&amp;盘货信息!$C:$C,盘货信息!$M:$M)="是",_xlfn.XLOOKUP($A126&amp;$B126&amp;$C126,盘货信息!$A:$A&amp;盘货信息!$B:$B&amp;盘货信息!$C:$C,盘货信息!$K:$K)&gt;0),"【详情页领取】","")))</f>
        <v/>
      </c>
      <c r="M126" s="27" t="str" cm="1">
        <f t="array" ref="M126">IF($C126="","",IF(_xlfn.XLOOKUP($A126&amp;$B126&amp;$C126,盘货信息!$A:$A&amp;盘货信息!$B:$B&amp;盘货信息!$C:$C,盘货信息!$F:$F)&lt;1,"",_xlfn.XLOOKUP($A126&amp;$B126&amp;$C126,盘货信息!$A:$A&amp;盘货信息!$B:$B&amp;盘货信息!$C:$C,盘货信息!$F:$F)&amp;"元明卷"))</f>
        <v/>
      </c>
      <c r="N126" s="27" t="str">
        <f t="shared" si="3"/>
        <v/>
      </c>
      <c r="O126" s="27" t="str">
        <f>IF(I126="","","【消费券链接】"&amp;固定信息!$B$6)</f>
        <v/>
      </c>
    </row>
    <row r="127" customHeight="1" spans="1:15">
      <c r="A127" s="26" t="str">
        <f>IF(盘货信息!A127="","",盘货信息!A127)</f>
        <v/>
      </c>
      <c r="B127" s="26" t="str">
        <f>IF(盘货信息!B127="","",盘货信息!B127)</f>
        <v/>
      </c>
      <c r="C127" s="26" t="str">
        <f>IF(盘货信息!C127="","",盘货信息!C127)</f>
        <v/>
      </c>
      <c r="D127" s="27" t="str">
        <f t="shared" si="2"/>
        <v/>
      </c>
      <c r="E127" s="27" t="str" cm="1">
        <f t="array" ref="E127">IF($C127="","",IF(AND(OR(_xlfn.XLOOKUP($A127&amp;$B127&amp;$C127,盘货信息!$A:$A&amp;盘货信息!$B:$B&amp;盘货信息!$C:$C,盘货信息!$L:$L)="否",_xlfn.XLOOKUP($A127&amp;$B127&amp;$C127,盘货信息!$A:$A&amp;盘货信息!$B:$B&amp;盘货信息!$C:$C,盘货信息!$L:$L)=""),_xlfn.XLOOKUP($A127&amp;$B127&amp;$C127,盘货信息!$A:$A&amp;盘货信息!$B:$B&amp;盘货信息!$C:$C,盘货信息!$M:$M)="否"),"【预估到手价"&amp;_xlfn.XLOOKUP($A127&amp;$B127&amp;$C127,盘货信息!$A:$A&amp;盘货信息!$B:$B&amp;盘货信息!$C:$C,盘货信息!$D:$D)&amp;"元】",IF(AND(_xlfn.XLOOKUP($A127&amp;$B127&amp;$C127,盘货信息!$A:$A&amp;盘货信息!$B:$B&amp;盘货信息!$C:$C,盘货信息!$M:$M)="是",OR(_xlfn.XLOOKUP($A127&amp;$B127&amp;$C127,盘货信息!$A:$A&amp;盘货信息!$B:$B&amp;盘货信息!$C:$C,盘货信息!$L:$L)="否",_xlfn.XLOOKUP($A127&amp;$B127&amp;$C127,盘货信息!$A:$A&amp;盘货信息!$B:$B&amp;盘货信息!$C:$C,盘货信息!$L:$L)="")),"【预估到手价"&amp;_xlfn.XLOOKUP($A127&amp;$B127&amp;$C127,盘货信息!$A:$A&amp;盘货信息!$B:$B&amp;盘货信息!$C:$C,盘货信息!$D:$D)&amp;"元】"&amp;CHAR(10)&amp;"【焕新补贴预估价"&amp;ROUND(_xlfn.XLOOKUP($A127&amp;$B127&amp;$C127,盘货信息!$A:$A&amp;盘货信息!$B:$B&amp;盘货信息!$C:$C,盘货信息!$E:$E),0)&amp;"元】","【焕新补贴预估价"&amp;ROUND(_xlfn.XLOOKUP($A127&amp;$B127&amp;$C127,盘货信息!$A:$A&amp;盘货信息!$B:$B&amp;盘货信息!$C:$C,盘货信息!$E:$E),0)&amp;"元】")))</f>
        <v/>
      </c>
      <c r="F127" s="27" t="str" cm="1">
        <f t="array" ref="F127">IF($C127="","",_xlfn.XLOOKUP($A127&amp;$B127&amp;$C127,盘货信息!$A:$A&amp;盘货信息!$B:$B&amp;盘货信息!$C:$C,盘货信息!$D:$D)&amp;"元到手价")</f>
        <v/>
      </c>
      <c r="G127" s="27" t="str" cm="1">
        <f t="array" ref="G127">IF($C127="","",IF(_xlfn.XLOOKUP($A127&amp;$B127&amp;$C127,盘货信息!$A:$A&amp;盘货信息!$B:$B&amp;盘货信息!$C:$C,盘货信息!$G:$G)&lt;1,"",ROUND(_xlfn.XLOOKUP($A127&amp;$B127&amp;$C127,盘货信息!$A:$A&amp;盘货信息!$B:$B&amp;盘货信息!$C:$C,盘货信息!$G:$G),0)&amp;"元88VIP立减"))</f>
        <v/>
      </c>
      <c r="H127" s="27" t="str" cm="1">
        <f t="array" ref="H127">IF($C127="","",IF(_xlfn.XLOOKUP($A127&amp;$B127&amp;$C127,盘货信息!$A:$A&amp;盘货信息!$B:$B&amp;盘货信息!$C:$C,盘货信息!$I:$I)&lt;1,"",_xlfn.XLOOKUP($A127&amp;$B127&amp;$C127,盘货信息!$A:$A&amp;盘货信息!$B:$B&amp;盘货信息!$C:$C,盘货信息!$I:$I)&amp;"元惊喜立减"))</f>
        <v/>
      </c>
      <c r="I127" s="27" t="str" cm="1">
        <f t="array" ref="I127">IF($C127="","",IF(_xlfn.XLOOKUP($A127&amp;$B127&amp;$C127,盘货信息!$A:$A&amp;盘货信息!$B:$B&amp;盘货信息!$C:$C,盘货信息!$H:$H)&lt;1,"",ROUND(_xlfn.XLOOKUP($A127&amp;$B127&amp;$C127,盘货信息!$A:$A&amp;盘货信息!$B:$B&amp;盘货信息!$C:$C,盘货信息!$H:$H),0)&amp;"元消费券"))</f>
        <v/>
      </c>
      <c r="J127" s="27" t="str" cm="1">
        <f t="array" ref="J127">IF($C127="","",IF(_xlfn.XLOOKUP($A127&amp;$B127&amp;$C127,盘货信息!$A:$A&amp;盘货信息!$B:$B&amp;盘货信息!$C:$C,盘货信息!$J:$J)&lt;1,"",ROUND(_xlfn.XLOOKUP($A127&amp;$B127&amp;$C127,盘货信息!$A:$A&amp;盘货信息!$B:$B&amp;盘货信息!$C:$C,盘货信息!$J:$J),0)&amp;"元限时补贴"))</f>
        <v/>
      </c>
      <c r="K127" s="27" t="str" cm="1">
        <f t="array" ref="K127">IF($C127="","",IF(_xlfn.XLOOKUP($A127&amp;$B127&amp;$C127,盘货信息!$A:$A&amp;盘货信息!$B:$B&amp;盘货信息!$C:$C,盘货信息!$K:$K)&lt;1,"",ROUND(_xlfn.XLOOKUP($A127&amp;$B127&amp;$C127,盘货信息!$A:$A&amp;盘货信息!$B:$B&amp;盘货信息!$C:$C,盘货信息!$K:$K),0)&amp;"元预估焕新补贴"))</f>
        <v/>
      </c>
      <c r="L127" s="27" t="str" cm="1">
        <f t="array" ref="L127">IF($C127="","",IF(AND(_xlfn.XLOOKUP($A127&amp;$B127&amp;$C127,盘货信息!$A:$A&amp;盘货信息!$B:$B&amp;盘货信息!$C:$C,盘货信息!$L:$L)="是",_xlfn.XLOOKUP($A127&amp;$B127&amp;$C127,盘货信息!$A:$A&amp;盘货信息!$B:$B&amp;盘货信息!$C:$C,盘货信息!$M:$M)="是",_xlfn.XLOOKUP($A127&amp;$B127&amp;$C127,盘货信息!$A:$A&amp;盘货信息!$B:$B&amp;盘货信息!$C:$C,盘货信息!$K:$K)&gt;0),"【全民可用，不限地址】",IF(AND(OR(_xlfn.XLOOKUP($A127&amp;$B127&amp;$C127,盘货信息!$A:$A&amp;盘货信息!$B:$B&amp;盘货信息!$C:$C,盘货信息!$L:$L)="否",_xlfn.XLOOKUP($A127&amp;$B127&amp;$C127,盘货信息!$A:$A&amp;盘货信息!$B:$B&amp;盘货信息!$C:$C,盘货信息!$L:$L)=""),_xlfn.XLOOKUP($A127&amp;$B127&amp;$C127,盘货信息!$A:$A&amp;盘货信息!$B:$B&amp;盘货信息!$C:$C,盘货信息!$M:$M)="是",_xlfn.XLOOKUP($A127&amp;$B127&amp;$C127,盘货信息!$A:$A&amp;盘货信息!$B:$B&amp;盘货信息!$C:$C,盘货信息!$K:$K)&gt;0),"【详情页领取】","")))</f>
        <v/>
      </c>
      <c r="M127" s="27" t="str" cm="1">
        <f t="array" ref="M127">IF($C127="","",IF(_xlfn.XLOOKUP($A127&amp;$B127&amp;$C127,盘货信息!$A:$A&amp;盘货信息!$B:$B&amp;盘货信息!$C:$C,盘货信息!$F:$F)&lt;1,"",_xlfn.XLOOKUP($A127&amp;$B127&amp;$C127,盘货信息!$A:$A&amp;盘货信息!$B:$B&amp;盘货信息!$C:$C,盘货信息!$F:$F)&amp;"元明卷"))</f>
        <v/>
      </c>
      <c r="N127" s="27" t="str">
        <f t="shared" si="3"/>
        <v/>
      </c>
      <c r="O127" s="27" t="str">
        <f>IF(I127="","","【消费券链接】"&amp;固定信息!$B$6)</f>
        <v/>
      </c>
    </row>
    <row r="128" customHeight="1" spans="1:15">
      <c r="A128" s="26" t="str">
        <f>IF(盘货信息!A128="","",盘货信息!A128)</f>
        <v/>
      </c>
      <c r="B128" s="26" t="str">
        <f>IF(盘货信息!B128="","",盘货信息!B128)</f>
        <v/>
      </c>
      <c r="C128" s="26" t="str">
        <f>IF(盘货信息!C128="","",盘货信息!C128)</f>
        <v/>
      </c>
      <c r="D128" s="27" t="str">
        <f t="shared" si="2"/>
        <v/>
      </c>
      <c r="E128" s="27" t="str" cm="1">
        <f t="array" ref="E128">IF($C128="","",IF(AND(OR(_xlfn.XLOOKUP($A128&amp;$B128&amp;$C128,盘货信息!$A:$A&amp;盘货信息!$B:$B&amp;盘货信息!$C:$C,盘货信息!$L:$L)="否",_xlfn.XLOOKUP($A128&amp;$B128&amp;$C128,盘货信息!$A:$A&amp;盘货信息!$B:$B&amp;盘货信息!$C:$C,盘货信息!$L:$L)=""),_xlfn.XLOOKUP($A128&amp;$B128&amp;$C128,盘货信息!$A:$A&amp;盘货信息!$B:$B&amp;盘货信息!$C:$C,盘货信息!$M:$M)="否"),"【预估到手价"&amp;_xlfn.XLOOKUP($A128&amp;$B128&amp;$C128,盘货信息!$A:$A&amp;盘货信息!$B:$B&amp;盘货信息!$C:$C,盘货信息!$D:$D)&amp;"元】",IF(AND(_xlfn.XLOOKUP($A128&amp;$B128&amp;$C128,盘货信息!$A:$A&amp;盘货信息!$B:$B&amp;盘货信息!$C:$C,盘货信息!$M:$M)="是",OR(_xlfn.XLOOKUP($A128&amp;$B128&amp;$C128,盘货信息!$A:$A&amp;盘货信息!$B:$B&amp;盘货信息!$C:$C,盘货信息!$L:$L)="否",_xlfn.XLOOKUP($A128&amp;$B128&amp;$C128,盘货信息!$A:$A&amp;盘货信息!$B:$B&amp;盘货信息!$C:$C,盘货信息!$L:$L)="")),"【预估到手价"&amp;_xlfn.XLOOKUP($A128&amp;$B128&amp;$C128,盘货信息!$A:$A&amp;盘货信息!$B:$B&amp;盘货信息!$C:$C,盘货信息!$D:$D)&amp;"元】"&amp;CHAR(10)&amp;"【焕新补贴预估价"&amp;ROUND(_xlfn.XLOOKUP($A128&amp;$B128&amp;$C128,盘货信息!$A:$A&amp;盘货信息!$B:$B&amp;盘货信息!$C:$C,盘货信息!$E:$E),0)&amp;"元】","【焕新补贴预估价"&amp;ROUND(_xlfn.XLOOKUP($A128&amp;$B128&amp;$C128,盘货信息!$A:$A&amp;盘货信息!$B:$B&amp;盘货信息!$C:$C,盘货信息!$E:$E),0)&amp;"元】")))</f>
        <v/>
      </c>
      <c r="F128" s="27" t="str" cm="1">
        <f t="array" ref="F128">IF($C128="","",_xlfn.XLOOKUP($A128&amp;$B128&amp;$C128,盘货信息!$A:$A&amp;盘货信息!$B:$B&amp;盘货信息!$C:$C,盘货信息!$D:$D)&amp;"元到手价")</f>
        <v/>
      </c>
      <c r="G128" s="27" t="str" cm="1">
        <f t="array" ref="G128">IF($C128="","",IF(_xlfn.XLOOKUP($A128&amp;$B128&amp;$C128,盘货信息!$A:$A&amp;盘货信息!$B:$B&amp;盘货信息!$C:$C,盘货信息!$G:$G)&lt;1,"",ROUND(_xlfn.XLOOKUP($A128&amp;$B128&amp;$C128,盘货信息!$A:$A&amp;盘货信息!$B:$B&amp;盘货信息!$C:$C,盘货信息!$G:$G),0)&amp;"元88VIP立减"))</f>
        <v/>
      </c>
      <c r="H128" s="27" t="str" cm="1">
        <f t="array" ref="H128">IF($C128="","",IF(_xlfn.XLOOKUP($A128&amp;$B128&amp;$C128,盘货信息!$A:$A&amp;盘货信息!$B:$B&amp;盘货信息!$C:$C,盘货信息!$I:$I)&lt;1,"",_xlfn.XLOOKUP($A128&amp;$B128&amp;$C128,盘货信息!$A:$A&amp;盘货信息!$B:$B&amp;盘货信息!$C:$C,盘货信息!$I:$I)&amp;"元惊喜立减"))</f>
        <v/>
      </c>
      <c r="I128" s="27" t="str" cm="1">
        <f t="array" ref="I128">IF($C128="","",IF(_xlfn.XLOOKUP($A128&amp;$B128&amp;$C128,盘货信息!$A:$A&amp;盘货信息!$B:$B&amp;盘货信息!$C:$C,盘货信息!$H:$H)&lt;1,"",ROUND(_xlfn.XLOOKUP($A128&amp;$B128&amp;$C128,盘货信息!$A:$A&amp;盘货信息!$B:$B&amp;盘货信息!$C:$C,盘货信息!$H:$H),0)&amp;"元消费券"))</f>
        <v/>
      </c>
      <c r="J128" s="27" t="str" cm="1">
        <f t="array" ref="J128">IF($C128="","",IF(_xlfn.XLOOKUP($A128&amp;$B128&amp;$C128,盘货信息!$A:$A&amp;盘货信息!$B:$B&amp;盘货信息!$C:$C,盘货信息!$J:$J)&lt;1,"",ROUND(_xlfn.XLOOKUP($A128&amp;$B128&amp;$C128,盘货信息!$A:$A&amp;盘货信息!$B:$B&amp;盘货信息!$C:$C,盘货信息!$J:$J),0)&amp;"元限时补贴"))</f>
        <v/>
      </c>
      <c r="K128" s="27" t="str" cm="1">
        <f t="array" ref="K128">IF($C128="","",IF(_xlfn.XLOOKUP($A128&amp;$B128&amp;$C128,盘货信息!$A:$A&amp;盘货信息!$B:$B&amp;盘货信息!$C:$C,盘货信息!$K:$K)&lt;1,"",ROUND(_xlfn.XLOOKUP($A128&amp;$B128&amp;$C128,盘货信息!$A:$A&amp;盘货信息!$B:$B&amp;盘货信息!$C:$C,盘货信息!$K:$K),0)&amp;"元预估焕新补贴"))</f>
        <v/>
      </c>
      <c r="L128" s="27" t="str" cm="1">
        <f t="array" ref="L128">IF($C128="","",IF(AND(_xlfn.XLOOKUP($A128&amp;$B128&amp;$C128,盘货信息!$A:$A&amp;盘货信息!$B:$B&amp;盘货信息!$C:$C,盘货信息!$L:$L)="是",_xlfn.XLOOKUP($A128&amp;$B128&amp;$C128,盘货信息!$A:$A&amp;盘货信息!$B:$B&amp;盘货信息!$C:$C,盘货信息!$M:$M)="是",_xlfn.XLOOKUP($A128&amp;$B128&amp;$C128,盘货信息!$A:$A&amp;盘货信息!$B:$B&amp;盘货信息!$C:$C,盘货信息!$K:$K)&gt;0),"【全民可用，不限地址】",IF(AND(OR(_xlfn.XLOOKUP($A128&amp;$B128&amp;$C128,盘货信息!$A:$A&amp;盘货信息!$B:$B&amp;盘货信息!$C:$C,盘货信息!$L:$L)="否",_xlfn.XLOOKUP($A128&amp;$B128&amp;$C128,盘货信息!$A:$A&amp;盘货信息!$B:$B&amp;盘货信息!$C:$C,盘货信息!$L:$L)=""),_xlfn.XLOOKUP($A128&amp;$B128&amp;$C128,盘货信息!$A:$A&amp;盘货信息!$B:$B&amp;盘货信息!$C:$C,盘货信息!$M:$M)="是",_xlfn.XLOOKUP($A128&amp;$B128&amp;$C128,盘货信息!$A:$A&amp;盘货信息!$B:$B&amp;盘货信息!$C:$C,盘货信息!$K:$K)&gt;0),"【详情页领取】","")))</f>
        <v/>
      </c>
      <c r="M128" s="27" t="str" cm="1">
        <f t="array" ref="M128">IF($C128="","",IF(_xlfn.XLOOKUP($A128&amp;$B128&amp;$C128,盘货信息!$A:$A&amp;盘货信息!$B:$B&amp;盘货信息!$C:$C,盘货信息!$F:$F)&lt;1,"",_xlfn.XLOOKUP($A128&amp;$B128&amp;$C128,盘货信息!$A:$A&amp;盘货信息!$B:$B&amp;盘货信息!$C:$C,盘货信息!$F:$F)&amp;"元明卷"))</f>
        <v/>
      </c>
      <c r="N128" s="27" t="str">
        <f t="shared" si="3"/>
        <v/>
      </c>
      <c r="O128" s="27" t="str">
        <f>IF(I128="","","【消费券链接】"&amp;固定信息!$B$6)</f>
        <v/>
      </c>
    </row>
    <row r="129" customHeight="1" spans="1:15">
      <c r="A129" s="26" t="str">
        <f>IF(盘货信息!A129="","",盘货信息!A129)</f>
        <v/>
      </c>
      <c r="B129" s="26" t="str">
        <f>IF(盘货信息!B129="","",盘货信息!B129)</f>
        <v/>
      </c>
      <c r="C129" s="26" t="str">
        <f>IF(盘货信息!C129="","",盘货信息!C129)</f>
        <v/>
      </c>
      <c r="D129" s="27" t="str">
        <f t="shared" si="2"/>
        <v/>
      </c>
      <c r="E129" s="27" t="str" cm="1">
        <f t="array" ref="E129">IF($C129="","",IF(AND(OR(_xlfn.XLOOKUP($A129&amp;$B129&amp;$C129,盘货信息!$A:$A&amp;盘货信息!$B:$B&amp;盘货信息!$C:$C,盘货信息!$L:$L)="否",_xlfn.XLOOKUP($A129&amp;$B129&amp;$C129,盘货信息!$A:$A&amp;盘货信息!$B:$B&amp;盘货信息!$C:$C,盘货信息!$L:$L)=""),_xlfn.XLOOKUP($A129&amp;$B129&amp;$C129,盘货信息!$A:$A&amp;盘货信息!$B:$B&amp;盘货信息!$C:$C,盘货信息!$M:$M)="否"),"【预估到手价"&amp;_xlfn.XLOOKUP($A129&amp;$B129&amp;$C129,盘货信息!$A:$A&amp;盘货信息!$B:$B&amp;盘货信息!$C:$C,盘货信息!$D:$D)&amp;"元】",IF(AND(_xlfn.XLOOKUP($A129&amp;$B129&amp;$C129,盘货信息!$A:$A&amp;盘货信息!$B:$B&amp;盘货信息!$C:$C,盘货信息!$M:$M)="是",OR(_xlfn.XLOOKUP($A129&amp;$B129&amp;$C129,盘货信息!$A:$A&amp;盘货信息!$B:$B&amp;盘货信息!$C:$C,盘货信息!$L:$L)="否",_xlfn.XLOOKUP($A129&amp;$B129&amp;$C129,盘货信息!$A:$A&amp;盘货信息!$B:$B&amp;盘货信息!$C:$C,盘货信息!$L:$L)="")),"【预估到手价"&amp;_xlfn.XLOOKUP($A129&amp;$B129&amp;$C129,盘货信息!$A:$A&amp;盘货信息!$B:$B&amp;盘货信息!$C:$C,盘货信息!$D:$D)&amp;"元】"&amp;CHAR(10)&amp;"【焕新补贴预估价"&amp;ROUND(_xlfn.XLOOKUP($A129&amp;$B129&amp;$C129,盘货信息!$A:$A&amp;盘货信息!$B:$B&amp;盘货信息!$C:$C,盘货信息!$E:$E),0)&amp;"元】","【焕新补贴预估价"&amp;ROUND(_xlfn.XLOOKUP($A129&amp;$B129&amp;$C129,盘货信息!$A:$A&amp;盘货信息!$B:$B&amp;盘货信息!$C:$C,盘货信息!$E:$E),0)&amp;"元】")))</f>
        <v/>
      </c>
      <c r="F129" s="27" t="str" cm="1">
        <f t="array" ref="F129">IF($C129="","",_xlfn.XLOOKUP($A129&amp;$B129&amp;$C129,盘货信息!$A:$A&amp;盘货信息!$B:$B&amp;盘货信息!$C:$C,盘货信息!$D:$D)&amp;"元到手价")</f>
        <v/>
      </c>
      <c r="G129" s="27" t="str" cm="1">
        <f t="array" ref="G129">IF($C129="","",IF(_xlfn.XLOOKUP($A129&amp;$B129&amp;$C129,盘货信息!$A:$A&amp;盘货信息!$B:$B&amp;盘货信息!$C:$C,盘货信息!$G:$G)&lt;1,"",ROUND(_xlfn.XLOOKUP($A129&amp;$B129&amp;$C129,盘货信息!$A:$A&amp;盘货信息!$B:$B&amp;盘货信息!$C:$C,盘货信息!$G:$G),0)&amp;"元88VIP立减"))</f>
        <v/>
      </c>
      <c r="H129" s="27" t="str" cm="1">
        <f t="array" ref="H129">IF($C129="","",IF(_xlfn.XLOOKUP($A129&amp;$B129&amp;$C129,盘货信息!$A:$A&amp;盘货信息!$B:$B&amp;盘货信息!$C:$C,盘货信息!$I:$I)&lt;1,"",_xlfn.XLOOKUP($A129&amp;$B129&amp;$C129,盘货信息!$A:$A&amp;盘货信息!$B:$B&amp;盘货信息!$C:$C,盘货信息!$I:$I)&amp;"元惊喜立减"))</f>
        <v/>
      </c>
      <c r="I129" s="27" t="str" cm="1">
        <f t="array" ref="I129">IF($C129="","",IF(_xlfn.XLOOKUP($A129&amp;$B129&amp;$C129,盘货信息!$A:$A&amp;盘货信息!$B:$B&amp;盘货信息!$C:$C,盘货信息!$H:$H)&lt;1,"",ROUND(_xlfn.XLOOKUP($A129&amp;$B129&amp;$C129,盘货信息!$A:$A&amp;盘货信息!$B:$B&amp;盘货信息!$C:$C,盘货信息!$H:$H),0)&amp;"元消费券"))</f>
        <v/>
      </c>
      <c r="J129" s="27" t="str" cm="1">
        <f t="array" ref="J129">IF($C129="","",IF(_xlfn.XLOOKUP($A129&amp;$B129&amp;$C129,盘货信息!$A:$A&amp;盘货信息!$B:$B&amp;盘货信息!$C:$C,盘货信息!$J:$J)&lt;1,"",ROUND(_xlfn.XLOOKUP($A129&amp;$B129&amp;$C129,盘货信息!$A:$A&amp;盘货信息!$B:$B&amp;盘货信息!$C:$C,盘货信息!$J:$J),0)&amp;"元限时补贴"))</f>
        <v/>
      </c>
      <c r="K129" s="27" t="str" cm="1">
        <f t="array" ref="K129">IF($C129="","",IF(_xlfn.XLOOKUP($A129&amp;$B129&amp;$C129,盘货信息!$A:$A&amp;盘货信息!$B:$B&amp;盘货信息!$C:$C,盘货信息!$K:$K)&lt;1,"",ROUND(_xlfn.XLOOKUP($A129&amp;$B129&amp;$C129,盘货信息!$A:$A&amp;盘货信息!$B:$B&amp;盘货信息!$C:$C,盘货信息!$K:$K),0)&amp;"元预估焕新补贴"))</f>
        <v/>
      </c>
      <c r="L129" s="27" t="str" cm="1">
        <f t="array" ref="L129">IF($C129="","",IF(AND(_xlfn.XLOOKUP($A129&amp;$B129&amp;$C129,盘货信息!$A:$A&amp;盘货信息!$B:$B&amp;盘货信息!$C:$C,盘货信息!$L:$L)="是",_xlfn.XLOOKUP($A129&amp;$B129&amp;$C129,盘货信息!$A:$A&amp;盘货信息!$B:$B&amp;盘货信息!$C:$C,盘货信息!$M:$M)="是",_xlfn.XLOOKUP($A129&amp;$B129&amp;$C129,盘货信息!$A:$A&amp;盘货信息!$B:$B&amp;盘货信息!$C:$C,盘货信息!$K:$K)&gt;0),"【全民可用，不限地址】",IF(AND(OR(_xlfn.XLOOKUP($A129&amp;$B129&amp;$C129,盘货信息!$A:$A&amp;盘货信息!$B:$B&amp;盘货信息!$C:$C,盘货信息!$L:$L)="否",_xlfn.XLOOKUP($A129&amp;$B129&amp;$C129,盘货信息!$A:$A&amp;盘货信息!$B:$B&amp;盘货信息!$C:$C,盘货信息!$L:$L)=""),_xlfn.XLOOKUP($A129&amp;$B129&amp;$C129,盘货信息!$A:$A&amp;盘货信息!$B:$B&amp;盘货信息!$C:$C,盘货信息!$M:$M)="是",_xlfn.XLOOKUP($A129&amp;$B129&amp;$C129,盘货信息!$A:$A&amp;盘货信息!$B:$B&amp;盘货信息!$C:$C,盘货信息!$K:$K)&gt;0),"【详情页领取】","")))</f>
        <v/>
      </c>
      <c r="M129" s="27" t="str" cm="1">
        <f t="array" ref="M129">IF($C129="","",IF(_xlfn.XLOOKUP($A129&amp;$B129&amp;$C129,盘货信息!$A:$A&amp;盘货信息!$B:$B&amp;盘货信息!$C:$C,盘货信息!$F:$F)&lt;1,"",_xlfn.XLOOKUP($A129&amp;$B129&amp;$C129,盘货信息!$A:$A&amp;盘货信息!$B:$B&amp;盘货信息!$C:$C,盘货信息!$F:$F)&amp;"元明卷"))</f>
        <v/>
      </c>
      <c r="N129" s="27" t="str">
        <f t="shared" si="3"/>
        <v/>
      </c>
      <c r="O129" s="27" t="str">
        <f>IF(I129="","","【消费券链接】"&amp;固定信息!$B$6)</f>
        <v/>
      </c>
    </row>
    <row r="130" customHeight="1" spans="1:15">
      <c r="A130" s="26" t="str">
        <f>IF(盘货信息!A130="","",盘货信息!A130)</f>
        <v/>
      </c>
      <c r="B130" s="26" t="str">
        <f>IF(盘货信息!B130="","",盘货信息!B130)</f>
        <v/>
      </c>
      <c r="C130" s="26" t="str">
        <f>IF(盘货信息!C130="","",盘货信息!C130)</f>
        <v/>
      </c>
      <c r="D130" s="27" t="str">
        <f t="shared" si="2"/>
        <v/>
      </c>
      <c r="E130" s="27" t="str" cm="1">
        <f t="array" ref="E130">IF($C130="","",IF(AND(OR(_xlfn.XLOOKUP($A130&amp;$B130&amp;$C130,盘货信息!$A:$A&amp;盘货信息!$B:$B&amp;盘货信息!$C:$C,盘货信息!$L:$L)="否",_xlfn.XLOOKUP($A130&amp;$B130&amp;$C130,盘货信息!$A:$A&amp;盘货信息!$B:$B&amp;盘货信息!$C:$C,盘货信息!$L:$L)=""),_xlfn.XLOOKUP($A130&amp;$B130&amp;$C130,盘货信息!$A:$A&amp;盘货信息!$B:$B&amp;盘货信息!$C:$C,盘货信息!$M:$M)="否"),"【预估到手价"&amp;_xlfn.XLOOKUP($A130&amp;$B130&amp;$C130,盘货信息!$A:$A&amp;盘货信息!$B:$B&amp;盘货信息!$C:$C,盘货信息!$D:$D)&amp;"元】",IF(AND(_xlfn.XLOOKUP($A130&amp;$B130&amp;$C130,盘货信息!$A:$A&amp;盘货信息!$B:$B&amp;盘货信息!$C:$C,盘货信息!$M:$M)="是",OR(_xlfn.XLOOKUP($A130&amp;$B130&amp;$C130,盘货信息!$A:$A&amp;盘货信息!$B:$B&amp;盘货信息!$C:$C,盘货信息!$L:$L)="否",_xlfn.XLOOKUP($A130&amp;$B130&amp;$C130,盘货信息!$A:$A&amp;盘货信息!$B:$B&amp;盘货信息!$C:$C,盘货信息!$L:$L)="")),"【预估到手价"&amp;_xlfn.XLOOKUP($A130&amp;$B130&amp;$C130,盘货信息!$A:$A&amp;盘货信息!$B:$B&amp;盘货信息!$C:$C,盘货信息!$D:$D)&amp;"元】"&amp;CHAR(10)&amp;"【焕新补贴预估价"&amp;ROUND(_xlfn.XLOOKUP($A130&amp;$B130&amp;$C130,盘货信息!$A:$A&amp;盘货信息!$B:$B&amp;盘货信息!$C:$C,盘货信息!$E:$E),0)&amp;"元】","【焕新补贴预估价"&amp;ROUND(_xlfn.XLOOKUP($A130&amp;$B130&amp;$C130,盘货信息!$A:$A&amp;盘货信息!$B:$B&amp;盘货信息!$C:$C,盘货信息!$E:$E),0)&amp;"元】")))</f>
        <v/>
      </c>
      <c r="F130" s="27" t="str" cm="1">
        <f t="array" ref="F130">IF($C130="","",_xlfn.XLOOKUP($A130&amp;$B130&amp;$C130,盘货信息!$A:$A&amp;盘货信息!$B:$B&amp;盘货信息!$C:$C,盘货信息!$D:$D)&amp;"元到手价")</f>
        <v/>
      </c>
      <c r="G130" s="27" t="str" cm="1">
        <f t="array" ref="G130">IF($C130="","",IF(_xlfn.XLOOKUP($A130&amp;$B130&amp;$C130,盘货信息!$A:$A&amp;盘货信息!$B:$B&amp;盘货信息!$C:$C,盘货信息!$G:$G)&lt;1,"",ROUND(_xlfn.XLOOKUP($A130&amp;$B130&amp;$C130,盘货信息!$A:$A&amp;盘货信息!$B:$B&amp;盘货信息!$C:$C,盘货信息!$G:$G),0)&amp;"元88VIP立减"))</f>
        <v/>
      </c>
      <c r="H130" s="27" t="str" cm="1">
        <f t="array" ref="H130">IF($C130="","",IF(_xlfn.XLOOKUP($A130&amp;$B130&amp;$C130,盘货信息!$A:$A&amp;盘货信息!$B:$B&amp;盘货信息!$C:$C,盘货信息!$I:$I)&lt;1,"",_xlfn.XLOOKUP($A130&amp;$B130&amp;$C130,盘货信息!$A:$A&amp;盘货信息!$B:$B&amp;盘货信息!$C:$C,盘货信息!$I:$I)&amp;"元惊喜立减"))</f>
        <v/>
      </c>
      <c r="I130" s="27" t="str" cm="1">
        <f t="array" ref="I130">IF($C130="","",IF(_xlfn.XLOOKUP($A130&amp;$B130&amp;$C130,盘货信息!$A:$A&amp;盘货信息!$B:$B&amp;盘货信息!$C:$C,盘货信息!$H:$H)&lt;1,"",ROUND(_xlfn.XLOOKUP($A130&amp;$B130&amp;$C130,盘货信息!$A:$A&amp;盘货信息!$B:$B&amp;盘货信息!$C:$C,盘货信息!$H:$H),0)&amp;"元消费券"))</f>
        <v/>
      </c>
      <c r="J130" s="27" t="str" cm="1">
        <f t="array" ref="J130">IF($C130="","",IF(_xlfn.XLOOKUP($A130&amp;$B130&amp;$C130,盘货信息!$A:$A&amp;盘货信息!$B:$B&amp;盘货信息!$C:$C,盘货信息!$J:$J)&lt;1,"",ROUND(_xlfn.XLOOKUP($A130&amp;$B130&amp;$C130,盘货信息!$A:$A&amp;盘货信息!$B:$B&amp;盘货信息!$C:$C,盘货信息!$J:$J),0)&amp;"元限时补贴"))</f>
        <v/>
      </c>
      <c r="K130" s="27" t="str" cm="1">
        <f t="array" ref="K130">IF($C130="","",IF(_xlfn.XLOOKUP($A130&amp;$B130&amp;$C130,盘货信息!$A:$A&amp;盘货信息!$B:$B&amp;盘货信息!$C:$C,盘货信息!$K:$K)&lt;1,"",ROUND(_xlfn.XLOOKUP($A130&amp;$B130&amp;$C130,盘货信息!$A:$A&amp;盘货信息!$B:$B&amp;盘货信息!$C:$C,盘货信息!$K:$K),0)&amp;"元预估焕新补贴"))</f>
        <v/>
      </c>
      <c r="L130" s="27" t="str" cm="1">
        <f t="array" ref="L130">IF($C130="","",IF(AND(_xlfn.XLOOKUP($A130&amp;$B130&amp;$C130,盘货信息!$A:$A&amp;盘货信息!$B:$B&amp;盘货信息!$C:$C,盘货信息!$L:$L)="是",_xlfn.XLOOKUP($A130&amp;$B130&amp;$C130,盘货信息!$A:$A&amp;盘货信息!$B:$B&amp;盘货信息!$C:$C,盘货信息!$M:$M)="是",_xlfn.XLOOKUP($A130&amp;$B130&amp;$C130,盘货信息!$A:$A&amp;盘货信息!$B:$B&amp;盘货信息!$C:$C,盘货信息!$K:$K)&gt;0),"【全民可用，不限地址】",IF(AND(OR(_xlfn.XLOOKUP($A130&amp;$B130&amp;$C130,盘货信息!$A:$A&amp;盘货信息!$B:$B&amp;盘货信息!$C:$C,盘货信息!$L:$L)="否",_xlfn.XLOOKUP($A130&amp;$B130&amp;$C130,盘货信息!$A:$A&amp;盘货信息!$B:$B&amp;盘货信息!$C:$C,盘货信息!$L:$L)=""),_xlfn.XLOOKUP($A130&amp;$B130&amp;$C130,盘货信息!$A:$A&amp;盘货信息!$B:$B&amp;盘货信息!$C:$C,盘货信息!$M:$M)="是",_xlfn.XLOOKUP($A130&amp;$B130&amp;$C130,盘货信息!$A:$A&amp;盘货信息!$B:$B&amp;盘货信息!$C:$C,盘货信息!$K:$K)&gt;0),"【详情页领取】","")))</f>
        <v/>
      </c>
      <c r="M130" s="27" t="str" cm="1">
        <f t="array" ref="M130">IF($C130="","",IF(_xlfn.XLOOKUP($A130&amp;$B130&amp;$C130,盘货信息!$A:$A&amp;盘货信息!$B:$B&amp;盘货信息!$C:$C,盘货信息!$F:$F)&lt;1,"",_xlfn.XLOOKUP($A130&amp;$B130&amp;$C130,盘货信息!$A:$A&amp;盘货信息!$B:$B&amp;盘货信息!$C:$C,盘货信息!$F:$F)&amp;"元明卷"))</f>
        <v/>
      </c>
      <c r="N130" s="27" t="str">
        <f t="shared" si="3"/>
        <v/>
      </c>
      <c r="O130" s="27" t="str">
        <f>IF(I130="","","【消费券链接】"&amp;固定信息!$B$6)</f>
        <v/>
      </c>
    </row>
    <row r="131" customHeight="1" spans="1:15">
      <c r="A131" s="26" t="str">
        <f>IF(盘货信息!A131="","",盘货信息!A131)</f>
        <v/>
      </c>
      <c r="B131" s="26" t="str">
        <f>IF(盘货信息!B131="","",盘货信息!B131)</f>
        <v/>
      </c>
      <c r="C131" s="26" t="str">
        <f>IF(盘货信息!C131="","",盘货信息!C131)</f>
        <v/>
      </c>
      <c r="D131" s="27" t="str">
        <f t="shared" ref="D131:D194" si="4">IF($C131="","",_xlfn.TEXTJOIN(CHAR(10),TRUE,N131:O131))</f>
        <v/>
      </c>
      <c r="E131" s="27" t="str" cm="1">
        <f t="array" ref="E131">IF($C131="","",IF(AND(OR(_xlfn.XLOOKUP($A131&amp;$B131&amp;$C131,盘货信息!$A:$A&amp;盘货信息!$B:$B&amp;盘货信息!$C:$C,盘货信息!$L:$L)="否",_xlfn.XLOOKUP($A131&amp;$B131&amp;$C131,盘货信息!$A:$A&amp;盘货信息!$B:$B&amp;盘货信息!$C:$C,盘货信息!$L:$L)=""),_xlfn.XLOOKUP($A131&amp;$B131&amp;$C131,盘货信息!$A:$A&amp;盘货信息!$B:$B&amp;盘货信息!$C:$C,盘货信息!$M:$M)="否"),"【预估到手价"&amp;_xlfn.XLOOKUP($A131&amp;$B131&amp;$C131,盘货信息!$A:$A&amp;盘货信息!$B:$B&amp;盘货信息!$C:$C,盘货信息!$D:$D)&amp;"元】",IF(AND(_xlfn.XLOOKUP($A131&amp;$B131&amp;$C131,盘货信息!$A:$A&amp;盘货信息!$B:$B&amp;盘货信息!$C:$C,盘货信息!$M:$M)="是",OR(_xlfn.XLOOKUP($A131&amp;$B131&amp;$C131,盘货信息!$A:$A&amp;盘货信息!$B:$B&amp;盘货信息!$C:$C,盘货信息!$L:$L)="否",_xlfn.XLOOKUP($A131&amp;$B131&amp;$C131,盘货信息!$A:$A&amp;盘货信息!$B:$B&amp;盘货信息!$C:$C,盘货信息!$L:$L)="")),"【预估到手价"&amp;_xlfn.XLOOKUP($A131&amp;$B131&amp;$C131,盘货信息!$A:$A&amp;盘货信息!$B:$B&amp;盘货信息!$C:$C,盘货信息!$D:$D)&amp;"元】"&amp;CHAR(10)&amp;"【焕新补贴预估价"&amp;ROUND(_xlfn.XLOOKUP($A131&amp;$B131&amp;$C131,盘货信息!$A:$A&amp;盘货信息!$B:$B&amp;盘货信息!$C:$C,盘货信息!$E:$E),0)&amp;"元】","【焕新补贴预估价"&amp;ROUND(_xlfn.XLOOKUP($A131&amp;$B131&amp;$C131,盘货信息!$A:$A&amp;盘货信息!$B:$B&amp;盘货信息!$C:$C,盘货信息!$E:$E),0)&amp;"元】")))</f>
        <v/>
      </c>
      <c r="F131" s="27" t="str" cm="1">
        <f t="array" ref="F131">IF($C131="","",_xlfn.XLOOKUP($A131&amp;$B131&amp;$C131,盘货信息!$A:$A&amp;盘货信息!$B:$B&amp;盘货信息!$C:$C,盘货信息!$D:$D)&amp;"元到手价")</f>
        <v/>
      </c>
      <c r="G131" s="27" t="str" cm="1">
        <f t="array" ref="G131">IF($C131="","",IF(_xlfn.XLOOKUP($A131&amp;$B131&amp;$C131,盘货信息!$A:$A&amp;盘货信息!$B:$B&amp;盘货信息!$C:$C,盘货信息!$G:$G)&lt;1,"",ROUND(_xlfn.XLOOKUP($A131&amp;$B131&amp;$C131,盘货信息!$A:$A&amp;盘货信息!$B:$B&amp;盘货信息!$C:$C,盘货信息!$G:$G),0)&amp;"元88VIP立减"))</f>
        <v/>
      </c>
      <c r="H131" s="27" t="str" cm="1">
        <f t="array" ref="H131">IF($C131="","",IF(_xlfn.XLOOKUP($A131&amp;$B131&amp;$C131,盘货信息!$A:$A&amp;盘货信息!$B:$B&amp;盘货信息!$C:$C,盘货信息!$I:$I)&lt;1,"",_xlfn.XLOOKUP($A131&amp;$B131&amp;$C131,盘货信息!$A:$A&amp;盘货信息!$B:$B&amp;盘货信息!$C:$C,盘货信息!$I:$I)&amp;"元惊喜立减"))</f>
        <v/>
      </c>
      <c r="I131" s="27" t="str" cm="1">
        <f t="array" ref="I131">IF($C131="","",IF(_xlfn.XLOOKUP($A131&amp;$B131&amp;$C131,盘货信息!$A:$A&amp;盘货信息!$B:$B&amp;盘货信息!$C:$C,盘货信息!$H:$H)&lt;1,"",ROUND(_xlfn.XLOOKUP($A131&amp;$B131&amp;$C131,盘货信息!$A:$A&amp;盘货信息!$B:$B&amp;盘货信息!$C:$C,盘货信息!$H:$H),0)&amp;"元消费券"))</f>
        <v/>
      </c>
      <c r="J131" s="27" t="str" cm="1">
        <f t="array" ref="J131">IF($C131="","",IF(_xlfn.XLOOKUP($A131&amp;$B131&amp;$C131,盘货信息!$A:$A&amp;盘货信息!$B:$B&amp;盘货信息!$C:$C,盘货信息!$J:$J)&lt;1,"",ROUND(_xlfn.XLOOKUP($A131&amp;$B131&amp;$C131,盘货信息!$A:$A&amp;盘货信息!$B:$B&amp;盘货信息!$C:$C,盘货信息!$J:$J),0)&amp;"元限时补贴"))</f>
        <v/>
      </c>
      <c r="K131" s="27" t="str" cm="1">
        <f t="array" ref="K131">IF($C131="","",IF(_xlfn.XLOOKUP($A131&amp;$B131&amp;$C131,盘货信息!$A:$A&amp;盘货信息!$B:$B&amp;盘货信息!$C:$C,盘货信息!$K:$K)&lt;1,"",ROUND(_xlfn.XLOOKUP($A131&amp;$B131&amp;$C131,盘货信息!$A:$A&amp;盘货信息!$B:$B&amp;盘货信息!$C:$C,盘货信息!$K:$K),0)&amp;"元预估焕新补贴"))</f>
        <v/>
      </c>
      <c r="L131" s="27" t="str" cm="1">
        <f t="array" ref="L131">IF($C131="","",IF(AND(_xlfn.XLOOKUP($A131&amp;$B131&amp;$C131,盘货信息!$A:$A&amp;盘货信息!$B:$B&amp;盘货信息!$C:$C,盘货信息!$L:$L)="是",_xlfn.XLOOKUP($A131&amp;$B131&amp;$C131,盘货信息!$A:$A&amp;盘货信息!$B:$B&amp;盘货信息!$C:$C,盘货信息!$M:$M)="是",_xlfn.XLOOKUP($A131&amp;$B131&amp;$C131,盘货信息!$A:$A&amp;盘货信息!$B:$B&amp;盘货信息!$C:$C,盘货信息!$K:$K)&gt;0),"【全民可用，不限地址】",IF(AND(OR(_xlfn.XLOOKUP($A131&amp;$B131&amp;$C131,盘货信息!$A:$A&amp;盘货信息!$B:$B&amp;盘货信息!$C:$C,盘货信息!$L:$L)="否",_xlfn.XLOOKUP($A131&amp;$B131&amp;$C131,盘货信息!$A:$A&amp;盘货信息!$B:$B&amp;盘货信息!$C:$C,盘货信息!$L:$L)=""),_xlfn.XLOOKUP($A131&amp;$B131&amp;$C131,盘货信息!$A:$A&amp;盘货信息!$B:$B&amp;盘货信息!$C:$C,盘货信息!$M:$M)="是",_xlfn.XLOOKUP($A131&amp;$B131&amp;$C131,盘货信息!$A:$A&amp;盘货信息!$B:$B&amp;盘货信息!$C:$C,盘货信息!$K:$K)&gt;0),"【详情页领取】","")))</f>
        <v/>
      </c>
      <c r="M131" s="27" t="str" cm="1">
        <f t="array" ref="M131">IF($C131="","",IF(_xlfn.XLOOKUP($A131&amp;$B131&amp;$C131,盘货信息!$A:$A&amp;盘货信息!$B:$B&amp;盘货信息!$C:$C,盘货信息!$F:$F)&lt;1,"",_xlfn.XLOOKUP($A131&amp;$B131&amp;$C131,盘货信息!$A:$A&amp;盘货信息!$B:$B&amp;盘货信息!$C:$C,盘货信息!$F:$F)&amp;"元明卷"))</f>
        <v/>
      </c>
      <c r="N131" s="27" t="str">
        <f t="shared" ref="N131:N194" si="5">IF(C131="","",E131&amp;"="&amp;F131&amp;IF(G131="","","-"&amp;G131)&amp;IF(H131="","","-"&amp;H131)&amp;IF(I131="","","-"&amp;I131)&amp;IF(J131="","","-"&amp;J131)&amp;IF(K131="","","-"&amp;K131&amp;L131))</f>
        <v/>
      </c>
      <c r="O131" s="27" t="str">
        <f>IF(I131="","","【消费券链接】"&amp;固定信息!$B$6)</f>
        <v/>
      </c>
    </row>
    <row r="132" customHeight="1" spans="1:15">
      <c r="A132" s="26" t="str">
        <f>IF(盘货信息!A132="","",盘货信息!A132)</f>
        <v/>
      </c>
      <c r="B132" s="26" t="str">
        <f>IF(盘货信息!B132="","",盘货信息!B132)</f>
        <v/>
      </c>
      <c r="C132" s="26" t="str">
        <f>IF(盘货信息!C132="","",盘货信息!C132)</f>
        <v/>
      </c>
      <c r="D132" s="27" t="str">
        <f t="shared" si="4"/>
        <v/>
      </c>
      <c r="E132" s="27" t="str" cm="1">
        <f t="array" ref="E132">IF($C132="","",IF(AND(OR(_xlfn.XLOOKUP($A132&amp;$B132&amp;$C132,盘货信息!$A:$A&amp;盘货信息!$B:$B&amp;盘货信息!$C:$C,盘货信息!$L:$L)="否",_xlfn.XLOOKUP($A132&amp;$B132&amp;$C132,盘货信息!$A:$A&amp;盘货信息!$B:$B&amp;盘货信息!$C:$C,盘货信息!$L:$L)=""),_xlfn.XLOOKUP($A132&amp;$B132&amp;$C132,盘货信息!$A:$A&amp;盘货信息!$B:$B&amp;盘货信息!$C:$C,盘货信息!$M:$M)="否"),"【预估到手价"&amp;_xlfn.XLOOKUP($A132&amp;$B132&amp;$C132,盘货信息!$A:$A&amp;盘货信息!$B:$B&amp;盘货信息!$C:$C,盘货信息!$D:$D)&amp;"元】",IF(AND(_xlfn.XLOOKUP($A132&amp;$B132&amp;$C132,盘货信息!$A:$A&amp;盘货信息!$B:$B&amp;盘货信息!$C:$C,盘货信息!$M:$M)="是",OR(_xlfn.XLOOKUP($A132&amp;$B132&amp;$C132,盘货信息!$A:$A&amp;盘货信息!$B:$B&amp;盘货信息!$C:$C,盘货信息!$L:$L)="否",_xlfn.XLOOKUP($A132&amp;$B132&amp;$C132,盘货信息!$A:$A&amp;盘货信息!$B:$B&amp;盘货信息!$C:$C,盘货信息!$L:$L)="")),"【预估到手价"&amp;_xlfn.XLOOKUP($A132&amp;$B132&amp;$C132,盘货信息!$A:$A&amp;盘货信息!$B:$B&amp;盘货信息!$C:$C,盘货信息!$D:$D)&amp;"元】"&amp;CHAR(10)&amp;"【焕新补贴预估价"&amp;ROUND(_xlfn.XLOOKUP($A132&amp;$B132&amp;$C132,盘货信息!$A:$A&amp;盘货信息!$B:$B&amp;盘货信息!$C:$C,盘货信息!$E:$E),0)&amp;"元】","【焕新补贴预估价"&amp;ROUND(_xlfn.XLOOKUP($A132&amp;$B132&amp;$C132,盘货信息!$A:$A&amp;盘货信息!$B:$B&amp;盘货信息!$C:$C,盘货信息!$E:$E),0)&amp;"元】")))</f>
        <v/>
      </c>
      <c r="F132" s="27" t="str" cm="1">
        <f t="array" ref="F132">IF($C132="","",_xlfn.XLOOKUP($A132&amp;$B132&amp;$C132,盘货信息!$A:$A&amp;盘货信息!$B:$B&amp;盘货信息!$C:$C,盘货信息!$D:$D)&amp;"元到手价")</f>
        <v/>
      </c>
      <c r="G132" s="27" t="str" cm="1">
        <f t="array" ref="G132">IF($C132="","",IF(_xlfn.XLOOKUP($A132&amp;$B132&amp;$C132,盘货信息!$A:$A&amp;盘货信息!$B:$B&amp;盘货信息!$C:$C,盘货信息!$G:$G)&lt;1,"",ROUND(_xlfn.XLOOKUP($A132&amp;$B132&amp;$C132,盘货信息!$A:$A&amp;盘货信息!$B:$B&amp;盘货信息!$C:$C,盘货信息!$G:$G),0)&amp;"元88VIP立减"))</f>
        <v/>
      </c>
      <c r="H132" s="27" t="str" cm="1">
        <f t="array" ref="H132">IF($C132="","",IF(_xlfn.XLOOKUP($A132&amp;$B132&amp;$C132,盘货信息!$A:$A&amp;盘货信息!$B:$B&amp;盘货信息!$C:$C,盘货信息!$I:$I)&lt;1,"",_xlfn.XLOOKUP($A132&amp;$B132&amp;$C132,盘货信息!$A:$A&amp;盘货信息!$B:$B&amp;盘货信息!$C:$C,盘货信息!$I:$I)&amp;"元惊喜立减"))</f>
        <v/>
      </c>
      <c r="I132" s="27" t="str" cm="1">
        <f t="array" ref="I132">IF($C132="","",IF(_xlfn.XLOOKUP($A132&amp;$B132&amp;$C132,盘货信息!$A:$A&amp;盘货信息!$B:$B&amp;盘货信息!$C:$C,盘货信息!$H:$H)&lt;1,"",ROUND(_xlfn.XLOOKUP($A132&amp;$B132&amp;$C132,盘货信息!$A:$A&amp;盘货信息!$B:$B&amp;盘货信息!$C:$C,盘货信息!$H:$H),0)&amp;"元消费券"))</f>
        <v/>
      </c>
      <c r="J132" s="27" t="str" cm="1">
        <f t="array" ref="J132">IF($C132="","",IF(_xlfn.XLOOKUP($A132&amp;$B132&amp;$C132,盘货信息!$A:$A&amp;盘货信息!$B:$B&amp;盘货信息!$C:$C,盘货信息!$J:$J)&lt;1,"",ROUND(_xlfn.XLOOKUP($A132&amp;$B132&amp;$C132,盘货信息!$A:$A&amp;盘货信息!$B:$B&amp;盘货信息!$C:$C,盘货信息!$J:$J),0)&amp;"元限时补贴"))</f>
        <v/>
      </c>
      <c r="K132" s="27" t="str" cm="1">
        <f t="array" ref="K132">IF($C132="","",IF(_xlfn.XLOOKUP($A132&amp;$B132&amp;$C132,盘货信息!$A:$A&amp;盘货信息!$B:$B&amp;盘货信息!$C:$C,盘货信息!$K:$K)&lt;1,"",ROUND(_xlfn.XLOOKUP($A132&amp;$B132&amp;$C132,盘货信息!$A:$A&amp;盘货信息!$B:$B&amp;盘货信息!$C:$C,盘货信息!$K:$K),0)&amp;"元预估焕新补贴"))</f>
        <v/>
      </c>
      <c r="L132" s="27" t="str" cm="1">
        <f t="array" ref="L132">IF($C132="","",IF(AND(_xlfn.XLOOKUP($A132&amp;$B132&amp;$C132,盘货信息!$A:$A&amp;盘货信息!$B:$B&amp;盘货信息!$C:$C,盘货信息!$L:$L)="是",_xlfn.XLOOKUP($A132&amp;$B132&amp;$C132,盘货信息!$A:$A&amp;盘货信息!$B:$B&amp;盘货信息!$C:$C,盘货信息!$M:$M)="是",_xlfn.XLOOKUP($A132&amp;$B132&amp;$C132,盘货信息!$A:$A&amp;盘货信息!$B:$B&amp;盘货信息!$C:$C,盘货信息!$K:$K)&gt;0),"【全民可用，不限地址】",IF(AND(OR(_xlfn.XLOOKUP($A132&amp;$B132&amp;$C132,盘货信息!$A:$A&amp;盘货信息!$B:$B&amp;盘货信息!$C:$C,盘货信息!$L:$L)="否",_xlfn.XLOOKUP($A132&amp;$B132&amp;$C132,盘货信息!$A:$A&amp;盘货信息!$B:$B&amp;盘货信息!$C:$C,盘货信息!$L:$L)=""),_xlfn.XLOOKUP($A132&amp;$B132&amp;$C132,盘货信息!$A:$A&amp;盘货信息!$B:$B&amp;盘货信息!$C:$C,盘货信息!$M:$M)="是",_xlfn.XLOOKUP($A132&amp;$B132&amp;$C132,盘货信息!$A:$A&amp;盘货信息!$B:$B&amp;盘货信息!$C:$C,盘货信息!$K:$K)&gt;0),"【详情页领取】","")))</f>
        <v/>
      </c>
      <c r="M132" s="27" t="str" cm="1">
        <f t="array" ref="M132">IF($C132="","",IF(_xlfn.XLOOKUP($A132&amp;$B132&amp;$C132,盘货信息!$A:$A&amp;盘货信息!$B:$B&amp;盘货信息!$C:$C,盘货信息!$F:$F)&lt;1,"",_xlfn.XLOOKUP($A132&amp;$B132&amp;$C132,盘货信息!$A:$A&amp;盘货信息!$B:$B&amp;盘货信息!$C:$C,盘货信息!$F:$F)&amp;"元明卷"))</f>
        <v/>
      </c>
      <c r="N132" s="27" t="str">
        <f t="shared" si="5"/>
        <v/>
      </c>
      <c r="O132" s="27" t="str">
        <f>IF(I132="","","【消费券链接】"&amp;固定信息!$B$6)</f>
        <v/>
      </c>
    </row>
    <row r="133" customHeight="1" spans="1:15">
      <c r="A133" s="26" t="str">
        <f>IF(盘货信息!A133="","",盘货信息!A133)</f>
        <v/>
      </c>
      <c r="B133" s="26" t="str">
        <f>IF(盘货信息!B133="","",盘货信息!B133)</f>
        <v/>
      </c>
      <c r="C133" s="26" t="str">
        <f>IF(盘货信息!C133="","",盘货信息!C133)</f>
        <v/>
      </c>
      <c r="D133" s="27" t="str">
        <f t="shared" si="4"/>
        <v/>
      </c>
      <c r="E133" s="27" t="str" cm="1">
        <f t="array" ref="E133">IF($C133="","",IF(AND(OR(_xlfn.XLOOKUP($A133&amp;$B133&amp;$C133,盘货信息!$A:$A&amp;盘货信息!$B:$B&amp;盘货信息!$C:$C,盘货信息!$L:$L)="否",_xlfn.XLOOKUP($A133&amp;$B133&amp;$C133,盘货信息!$A:$A&amp;盘货信息!$B:$B&amp;盘货信息!$C:$C,盘货信息!$L:$L)=""),_xlfn.XLOOKUP($A133&amp;$B133&amp;$C133,盘货信息!$A:$A&amp;盘货信息!$B:$B&amp;盘货信息!$C:$C,盘货信息!$M:$M)="否"),"【预估到手价"&amp;_xlfn.XLOOKUP($A133&amp;$B133&amp;$C133,盘货信息!$A:$A&amp;盘货信息!$B:$B&amp;盘货信息!$C:$C,盘货信息!$D:$D)&amp;"元】",IF(AND(_xlfn.XLOOKUP($A133&amp;$B133&amp;$C133,盘货信息!$A:$A&amp;盘货信息!$B:$B&amp;盘货信息!$C:$C,盘货信息!$M:$M)="是",OR(_xlfn.XLOOKUP($A133&amp;$B133&amp;$C133,盘货信息!$A:$A&amp;盘货信息!$B:$B&amp;盘货信息!$C:$C,盘货信息!$L:$L)="否",_xlfn.XLOOKUP($A133&amp;$B133&amp;$C133,盘货信息!$A:$A&amp;盘货信息!$B:$B&amp;盘货信息!$C:$C,盘货信息!$L:$L)="")),"【预估到手价"&amp;_xlfn.XLOOKUP($A133&amp;$B133&amp;$C133,盘货信息!$A:$A&amp;盘货信息!$B:$B&amp;盘货信息!$C:$C,盘货信息!$D:$D)&amp;"元】"&amp;CHAR(10)&amp;"【焕新补贴预估价"&amp;ROUND(_xlfn.XLOOKUP($A133&amp;$B133&amp;$C133,盘货信息!$A:$A&amp;盘货信息!$B:$B&amp;盘货信息!$C:$C,盘货信息!$E:$E),0)&amp;"元】","【焕新补贴预估价"&amp;ROUND(_xlfn.XLOOKUP($A133&amp;$B133&amp;$C133,盘货信息!$A:$A&amp;盘货信息!$B:$B&amp;盘货信息!$C:$C,盘货信息!$E:$E),0)&amp;"元】")))</f>
        <v/>
      </c>
      <c r="F133" s="27" t="str" cm="1">
        <f t="array" ref="F133">IF($C133="","",_xlfn.XLOOKUP($A133&amp;$B133&amp;$C133,盘货信息!$A:$A&amp;盘货信息!$B:$B&amp;盘货信息!$C:$C,盘货信息!$D:$D)&amp;"元到手价")</f>
        <v/>
      </c>
      <c r="G133" s="27" t="str" cm="1">
        <f t="array" ref="G133">IF($C133="","",IF(_xlfn.XLOOKUP($A133&amp;$B133&amp;$C133,盘货信息!$A:$A&amp;盘货信息!$B:$B&amp;盘货信息!$C:$C,盘货信息!$G:$G)&lt;1,"",ROUND(_xlfn.XLOOKUP($A133&amp;$B133&amp;$C133,盘货信息!$A:$A&amp;盘货信息!$B:$B&amp;盘货信息!$C:$C,盘货信息!$G:$G),0)&amp;"元88VIP立减"))</f>
        <v/>
      </c>
      <c r="H133" s="27" t="str" cm="1">
        <f t="array" ref="H133">IF($C133="","",IF(_xlfn.XLOOKUP($A133&amp;$B133&amp;$C133,盘货信息!$A:$A&amp;盘货信息!$B:$B&amp;盘货信息!$C:$C,盘货信息!$I:$I)&lt;1,"",_xlfn.XLOOKUP($A133&amp;$B133&amp;$C133,盘货信息!$A:$A&amp;盘货信息!$B:$B&amp;盘货信息!$C:$C,盘货信息!$I:$I)&amp;"元惊喜立减"))</f>
        <v/>
      </c>
      <c r="I133" s="27" t="str" cm="1">
        <f t="array" ref="I133">IF($C133="","",IF(_xlfn.XLOOKUP($A133&amp;$B133&amp;$C133,盘货信息!$A:$A&amp;盘货信息!$B:$B&amp;盘货信息!$C:$C,盘货信息!$H:$H)&lt;1,"",ROUND(_xlfn.XLOOKUP($A133&amp;$B133&amp;$C133,盘货信息!$A:$A&amp;盘货信息!$B:$B&amp;盘货信息!$C:$C,盘货信息!$H:$H),0)&amp;"元消费券"))</f>
        <v/>
      </c>
      <c r="J133" s="27" t="str" cm="1">
        <f t="array" ref="J133">IF($C133="","",IF(_xlfn.XLOOKUP($A133&amp;$B133&amp;$C133,盘货信息!$A:$A&amp;盘货信息!$B:$B&amp;盘货信息!$C:$C,盘货信息!$J:$J)&lt;1,"",ROUND(_xlfn.XLOOKUP($A133&amp;$B133&amp;$C133,盘货信息!$A:$A&amp;盘货信息!$B:$B&amp;盘货信息!$C:$C,盘货信息!$J:$J),0)&amp;"元限时补贴"))</f>
        <v/>
      </c>
      <c r="K133" s="27" t="str" cm="1">
        <f t="array" ref="K133">IF($C133="","",IF(_xlfn.XLOOKUP($A133&amp;$B133&amp;$C133,盘货信息!$A:$A&amp;盘货信息!$B:$B&amp;盘货信息!$C:$C,盘货信息!$K:$K)&lt;1,"",ROUND(_xlfn.XLOOKUP($A133&amp;$B133&amp;$C133,盘货信息!$A:$A&amp;盘货信息!$B:$B&amp;盘货信息!$C:$C,盘货信息!$K:$K),0)&amp;"元预估焕新补贴"))</f>
        <v/>
      </c>
      <c r="L133" s="27" t="str" cm="1">
        <f t="array" ref="L133">IF($C133="","",IF(AND(_xlfn.XLOOKUP($A133&amp;$B133&amp;$C133,盘货信息!$A:$A&amp;盘货信息!$B:$B&amp;盘货信息!$C:$C,盘货信息!$L:$L)="是",_xlfn.XLOOKUP($A133&amp;$B133&amp;$C133,盘货信息!$A:$A&amp;盘货信息!$B:$B&amp;盘货信息!$C:$C,盘货信息!$M:$M)="是",_xlfn.XLOOKUP($A133&amp;$B133&amp;$C133,盘货信息!$A:$A&amp;盘货信息!$B:$B&amp;盘货信息!$C:$C,盘货信息!$K:$K)&gt;0),"【全民可用，不限地址】",IF(AND(OR(_xlfn.XLOOKUP($A133&amp;$B133&amp;$C133,盘货信息!$A:$A&amp;盘货信息!$B:$B&amp;盘货信息!$C:$C,盘货信息!$L:$L)="否",_xlfn.XLOOKUP($A133&amp;$B133&amp;$C133,盘货信息!$A:$A&amp;盘货信息!$B:$B&amp;盘货信息!$C:$C,盘货信息!$L:$L)=""),_xlfn.XLOOKUP($A133&amp;$B133&amp;$C133,盘货信息!$A:$A&amp;盘货信息!$B:$B&amp;盘货信息!$C:$C,盘货信息!$M:$M)="是",_xlfn.XLOOKUP($A133&amp;$B133&amp;$C133,盘货信息!$A:$A&amp;盘货信息!$B:$B&amp;盘货信息!$C:$C,盘货信息!$K:$K)&gt;0),"【详情页领取】","")))</f>
        <v/>
      </c>
      <c r="M133" s="27" t="str" cm="1">
        <f t="array" ref="M133">IF($C133="","",IF(_xlfn.XLOOKUP($A133&amp;$B133&amp;$C133,盘货信息!$A:$A&amp;盘货信息!$B:$B&amp;盘货信息!$C:$C,盘货信息!$F:$F)&lt;1,"",_xlfn.XLOOKUP($A133&amp;$B133&amp;$C133,盘货信息!$A:$A&amp;盘货信息!$B:$B&amp;盘货信息!$C:$C,盘货信息!$F:$F)&amp;"元明卷"))</f>
        <v/>
      </c>
      <c r="N133" s="27" t="str">
        <f t="shared" si="5"/>
        <v/>
      </c>
      <c r="O133" s="27" t="str">
        <f>IF(I133="","","【消费券链接】"&amp;固定信息!$B$6)</f>
        <v/>
      </c>
    </row>
    <row r="134" customHeight="1" spans="1:15">
      <c r="A134" s="26" t="str">
        <f>IF(盘货信息!A134="","",盘货信息!A134)</f>
        <v/>
      </c>
      <c r="B134" s="26" t="str">
        <f>IF(盘货信息!B134="","",盘货信息!B134)</f>
        <v/>
      </c>
      <c r="C134" s="26" t="str">
        <f>IF(盘货信息!C134="","",盘货信息!C134)</f>
        <v/>
      </c>
      <c r="D134" s="27" t="str">
        <f t="shared" si="4"/>
        <v/>
      </c>
      <c r="E134" s="27" t="str" cm="1">
        <f t="array" ref="E134">IF($C134="","",IF(AND(OR(_xlfn.XLOOKUP($A134&amp;$B134&amp;$C134,盘货信息!$A:$A&amp;盘货信息!$B:$B&amp;盘货信息!$C:$C,盘货信息!$L:$L)="否",_xlfn.XLOOKUP($A134&amp;$B134&amp;$C134,盘货信息!$A:$A&amp;盘货信息!$B:$B&amp;盘货信息!$C:$C,盘货信息!$L:$L)=""),_xlfn.XLOOKUP($A134&amp;$B134&amp;$C134,盘货信息!$A:$A&amp;盘货信息!$B:$B&amp;盘货信息!$C:$C,盘货信息!$M:$M)="否"),"【预估到手价"&amp;_xlfn.XLOOKUP($A134&amp;$B134&amp;$C134,盘货信息!$A:$A&amp;盘货信息!$B:$B&amp;盘货信息!$C:$C,盘货信息!$D:$D)&amp;"元】",IF(AND(_xlfn.XLOOKUP($A134&amp;$B134&amp;$C134,盘货信息!$A:$A&amp;盘货信息!$B:$B&amp;盘货信息!$C:$C,盘货信息!$M:$M)="是",OR(_xlfn.XLOOKUP($A134&amp;$B134&amp;$C134,盘货信息!$A:$A&amp;盘货信息!$B:$B&amp;盘货信息!$C:$C,盘货信息!$L:$L)="否",_xlfn.XLOOKUP($A134&amp;$B134&amp;$C134,盘货信息!$A:$A&amp;盘货信息!$B:$B&amp;盘货信息!$C:$C,盘货信息!$L:$L)="")),"【预估到手价"&amp;_xlfn.XLOOKUP($A134&amp;$B134&amp;$C134,盘货信息!$A:$A&amp;盘货信息!$B:$B&amp;盘货信息!$C:$C,盘货信息!$D:$D)&amp;"元】"&amp;CHAR(10)&amp;"【焕新补贴预估价"&amp;ROUND(_xlfn.XLOOKUP($A134&amp;$B134&amp;$C134,盘货信息!$A:$A&amp;盘货信息!$B:$B&amp;盘货信息!$C:$C,盘货信息!$E:$E),0)&amp;"元】","【焕新补贴预估价"&amp;ROUND(_xlfn.XLOOKUP($A134&amp;$B134&amp;$C134,盘货信息!$A:$A&amp;盘货信息!$B:$B&amp;盘货信息!$C:$C,盘货信息!$E:$E),0)&amp;"元】")))</f>
        <v/>
      </c>
      <c r="F134" s="27" t="str" cm="1">
        <f t="array" ref="F134">IF($C134="","",_xlfn.XLOOKUP($A134&amp;$B134&amp;$C134,盘货信息!$A:$A&amp;盘货信息!$B:$B&amp;盘货信息!$C:$C,盘货信息!$D:$D)&amp;"元到手价")</f>
        <v/>
      </c>
      <c r="G134" s="27" t="str" cm="1">
        <f t="array" ref="G134">IF($C134="","",IF(_xlfn.XLOOKUP($A134&amp;$B134&amp;$C134,盘货信息!$A:$A&amp;盘货信息!$B:$B&amp;盘货信息!$C:$C,盘货信息!$G:$G)&lt;1,"",ROUND(_xlfn.XLOOKUP($A134&amp;$B134&amp;$C134,盘货信息!$A:$A&amp;盘货信息!$B:$B&amp;盘货信息!$C:$C,盘货信息!$G:$G),0)&amp;"元88VIP立减"))</f>
        <v/>
      </c>
      <c r="H134" s="27" t="str" cm="1">
        <f t="array" ref="H134">IF($C134="","",IF(_xlfn.XLOOKUP($A134&amp;$B134&amp;$C134,盘货信息!$A:$A&amp;盘货信息!$B:$B&amp;盘货信息!$C:$C,盘货信息!$I:$I)&lt;1,"",_xlfn.XLOOKUP($A134&amp;$B134&amp;$C134,盘货信息!$A:$A&amp;盘货信息!$B:$B&amp;盘货信息!$C:$C,盘货信息!$I:$I)&amp;"元惊喜立减"))</f>
        <v/>
      </c>
      <c r="I134" s="27" t="str" cm="1">
        <f t="array" ref="I134">IF($C134="","",IF(_xlfn.XLOOKUP($A134&amp;$B134&amp;$C134,盘货信息!$A:$A&amp;盘货信息!$B:$B&amp;盘货信息!$C:$C,盘货信息!$H:$H)&lt;1,"",ROUND(_xlfn.XLOOKUP($A134&amp;$B134&amp;$C134,盘货信息!$A:$A&amp;盘货信息!$B:$B&amp;盘货信息!$C:$C,盘货信息!$H:$H),0)&amp;"元消费券"))</f>
        <v/>
      </c>
      <c r="J134" s="27" t="str" cm="1">
        <f t="array" ref="J134">IF($C134="","",IF(_xlfn.XLOOKUP($A134&amp;$B134&amp;$C134,盘货信息!$A:$A&amp;盘货信息!$B:$B&amp;盘货信息!$C:$C,盘货信息!$J:$J)&lt;1,"",ROUND(_xlfn.XLOOKUP($A134&amp;$B134&amp;$C134,盘货信息!$A:$A&amp;盘货信息!$B:$B&amp;盘货信息!$C:$C,盘货信息!$J:$J),0)&amp;"元限时补贴"))</f>
        <v/>
      </c>
      <c r="K134" s="27" t="str" cm="1">
        <f t="array" ref="K134">IF($C134="","",IF(_xlfn.XLOOKUP($A134&amp;$B134&amp;$C134,盘货信息!$A:$A&amp;盘货信息!$B:$B&amp;盘货信息!$C:$C,盘货信息!$K:$K)&lt;1,"",ROUND(_xlfn.XLOOKUP($A134&amp;$B134&amp;$C134,盘货信息!$A:$A&amp;盘货信息!$B:$B&amp;盘货信息!$C:$C,盘货信息!$K:$K),0)&amp;"元预估焕新补贴"))</f>
        <v/>
      </c>
      <c r="L134" s="27" t="str" cm="1">
        <f t="array" ref="L134">IF($C134="","",IF(AND(_xlfn.XLOOKUP($A134&amp;$B134&amp;$C134,盘货信息!$A:$A&amp;盘货信息!$B:$B&amp;盘货信息!$C:$C,盘货信息!$L:$L)="是",_xlfn.XLOOKUP($A134&amp;$B134&amp;$C134,盘货信息!$A:$A&amp;盘货信息!$B:$B&amp;盘货信息!$C:$C,盘货信息!$M:$M)="是",_xlfn.XLOOKUP($A134&amp;$B134&amp;$C134,盘货信息!$A:$A&amp;盘货信息!$B:$B&amp;盘货信息!$C:$C,盘货信息!$K:$K)&gt;0),"【全民可用，不限地址】",IF(AND(OR(_xlfn.XLOOKUP($A134&amp;$B134&amp;$C134,盘货信息!$A:$A&amp;盘货信息!$B:$B&amp;盘货信息!$C:$C,盘货信息!$L:$L)="否",_xlfn.XLOOKUP($A134&amp;$B134&amp;$C134,盘货信息!$A:$A&amp;盘货信息!$B:$B&amp;盘货信息!$C:$C,盘货信息!$L:$L)=""),_xlfn.XLOOKUP($A134&amp;$B134&amp;$C134,盘货信息!$A:$A&amp;盘货信息!$B:$B&amp;盘货信息!$C:$C,盘货信息!$M:$M)="是",_xlfn.XLOOKUP($A134&amp;$B134&amp;$C134,盘货信息!$A:$A&amp;盘货信息!$B:$B&amp;盘货信息!$C:$C,盘货信息!$K:$K)&gt;0),"【详情页领取】","")))</f>
        <v/>
      </c>
      <c r="M134" s="27" t="str" cm="1">
        <f t="array" ref="M134">IF($C134="","",IF(_xlfn.XLOOKUP($A134&amp;$B134&amp;$C134,盘货信息!$A:$A&amp;盘货信息!$B:$B&amp;盘货信息!$C:$C,盘货信息!$F:$F)&lt;1,"",_xlfn.XLOOKUP($A134&amp;$B134&amp;$C134,盘货信息!$A:$A&amp;盘货信息!$B:$B&amp;盘货信息!$C:$C,盘货信息!$F:$F)&amp;"元明卷"))</f>
        <v/>
      </c>
      <c r="N134" s="27" t="str">
        <f t="shared" si="5"/>
        <v/>
      </c>
      <c r="O134" s="27" t="str">
        <f>IF(I134="","","【消费券链接】"&amp;固定信息!$B$6)</f>
        <v/>
      </c>
    </row>
    <row r="135" customHeight="1" spans="1:15">
      <c r="A135" s="26" t="str">
        <f>IF(盘货信息!A135="","",盘货信息!A135)</f>
        <v/>
      </c>
      <c r="B135" s="26" t="str">
        <f>IF(盘货信息!B135="","",盘货信息!B135)</f>
        <v/>
      </c>
      <c r="C135" s="26" t="str">
        <f>IF(盘货信息!C135="","",盘货信息!C135)</f>
        <v/>
      </c>
      <c r="D135" s="27" t="str">
        <f t="shared" si="4"/>
        <v/>
      </c>
      <c r="E135" s="27" t="str" cm="1">
        <f t="array" ref="E135">IF($C135="","",IF(AND(OR(_xlfn.XLOOKUP($A135&amp;$B135&amp;$C135,盘货信息!$A:$A&amp;盘货信息!$B:$B&amp;盘货信息!$C:$C,盘货信息!$L:$L)="否",_xlfn.XLOOKUP($A135&amp;$B135&amp;$C135,盘货信息!$A:$A&amp;盘货信息!$B:$B&amp;盘货信息!$C:$C,盘货信息!$L:$L)=""),_xlfn.XLOOKUP($A135&amp;$B135&amp;$C135,盘货信息!$A:$A&amp;盘货信息!$B:$B&amp;盘货信息!$C:$C,盘货信息!$M:$M)="否"),"【预估到手价"&amp;_xlfn.XLOOKUP($A135&amp;$B135&amp;$C135,盘货信息!$A:$A&amp;盘货信息!$B:$B&amp;盘货信息!$C:$C,盘货信息!$D:$D)&amp;"元】",IF(AND(_xlfn.XLOOKUP($A135&amp;$B135&amp;$C135,盘货信息!$A:$A&amp;盘货信息!$B:$B&amp;盘货信息!$C:$C,盘货信息!$M:$M)="是",OR(_xlfn.XLOOKUP($A135&amp;$B135&amp;$C135,盘货信息!$A:$A&amp;盘货信息!$B:$B&amp;盘货信息!$C:$C,盘货信息!$L:$L)="否",_xlfn.XLOOKUP($A135&amp;$B135&amp;$C135,盘货信息!$A:$A&amp;盘货信息!$B:$B&amp;盘货信息!$C:$C,盘货信息!$L:$L)="")),"【预估到手价"&amp;_xlfn.XLOOKUP($A135&amp;$B135&amp;$C135,盘货信息!$A:$A&amp;盘货信息!$B:$B&amp;盘货信息!$C:$C,盘货信息!$D:$D)&amp;"元】"&amp;CHAR(10)&amp;"【焕新补贴预估价"&amp;ROUND(_xlfn.XLOOKUP($A135&amp;$B135&amp;$C135,盘货信息!$A:$A&amp;盘货信息!$B:$B&amp;盘货信息!$C:$C,盘货信息!$E:$E),0)&amp;"元】","【焕新补贴预估价"&amp;ROUND(_xlfn.XLOOKUP($A135&amp;$B135&amp;$C135,盘货信息!$A:$A&amp;盘货信息!$B:$B&amp;盘货信息!$C:$C,盘货信息!$E:$E),0)&amp;"元】")))</f>
        <v/>
      </c>
      <c r="F135" s="27" t="str" cm="1">
        <f t="array" ref="F135">IF($C135="","",_xlfn.XLOOKUP($A135&amp;$B135&amp;$C135,盘货信息!$A:$A&amp;盘货信息!$B:$B&amp;盘货信息!$C:$C,盘货信息!$D:$D)&amp;"元到手价")</f>
        <v/>
      </c>
      <c r="G135" s="27" t="str" cm="1">
        <f t="array" ref="G135">IF($C135="","",IF(_xlfn.XLOOKUP($A135&amp;$B135&amp;$C135,盘货信息!$A:$A&amp;盘货信息!$B:$B&amp;盘货信息!$C:$C,盘货信息!$G:$G)&lt;1,"",ROUND(_xlfn.XLOOKUP($A135&amp;$B135&amp;$C135,盘货信息!$A:$A&amp;盘货信息!$B:$B&amp;盘货信息!$C:$C,盘货信息!$G:$G),0)&amp;"元88VIP立减"))</f>
        <v/>
      </c>
      <c r="H135" s="27" t="str" cm="1">
        <f t="array" ref="H135">IF($C135="","",IF(_xlfn.XLOOKUP($A135&amp;$B135&amp;$C135,盘货信息!$A:$A&amp;盘货信息!$B:$B&amp;盘货信息!$C:$C,盘货信息!$I:$I)&lt;1,"",_xlfn.XLOOKUP($A135&amp;$B135&amp;$C135,盘货信息!$A:$A&amp;盘货信息!$B:$B&amp;盘货信息!$C:$C,盘货信息!$I:$I)&amp;"元惊喜立减"))</f>
        <v/>
      </c>
      <c r="I135" s="27" t="str" cm="1">
        <f t="array" ref="I135">IF($C135="","",IF(_xlfn.XLOOKUP($A135&amp;$B135&amp;$C135,盘货信息!$A:$A&amp;盘货信息!$B:$B&amp;盘货信息!$C:$C,盘货信息!$H:$H)&lt;1,"",ROUND(_xlfn.XLOOKUP($A135&amp;$B135&amp;$C135,盘货信息!$A:$A&amp;盘货信息!$B:$B&amp;盘货信息!$C:$C,盘货信息!$H:$H),0)&amp;"元消费券"))</f>
        <v/>
      </c>
      <c r="J135" s="27" t="str" cm="1">
        <f t="array" ref="J135">IF($C135="","",IF(_xlfn.XLOOKUP($A135&amp;$B135&amp;$C135,盘货信息!$A:$A&amp;盘货信息!$B:$B&amp;盘货信息!$C:$C,盘货信息!$J:$J)&lt;1,"",ROUND(_xlfn.XLOOKUP($A135&amp;$B135&amp;$C135,盘货信息!$A:$A&amp;盘货信息!$B:$B&amp;盘货信息!$C:$C,盘货信息!$J:$J),0)&amp;"元限时补贴"))</f>
        <v/>
      </c>
      <c r="K135" s="27" t="str" cm="1">
        <f t="array" ref="K135">IF($C135="","",IF(_xlfn.XLOOKUP($A135&amp;$B135&amp;$C135,盘货信息!$A:$A&amp;盘货信息!$B:$B&amp;盘货信息!$C:$C,盘货信息!$K:$K)&lt;1,"",ROUND(_xlfn.XLOOKUP($A135&amp;$B135&amp;$C135,盘货信息!$A:$A&amp;盘货信息!$B:$B&amp;盘货信息!$C:$C,盘货信息!$K:$K),0)&amp;"元预估焕新补贴"))</f>
        <v/>
      </c>
      <c r="L135" s="27" t="str" cm="1">
        <f t="array" ref="L135">IF($C135="","",IF(AND(_xlfn.XLOOKUP($A135&amp;$B135&amp;$C135,盘货信息!$A:$A&amp;盘货信息!$B:$B&amp;盘货信息!$C:$C,盘货信息!$L:$L)="是",_xlfn.XLOOKUP($A135&amp;$B135&amp;$C135,盘货信息!$A:$A&amp;盘货信息!$B:$B&amp;盘货信息!$C:$C,盘货信息!$M:$M)="是",_xlfn.XLOOKUP($A135&amp;$B135&amp;$C135,盘货信息!$A:$A&amp;盘货信息!$B:$B&amp;盘货信息!$C:$C,盘货信息!$K:$K)&gt;0),"【全民可用，不限地址】",IF(AND(OR(_xlfn.XLOOKUP($A135&amp;$B135&amp;$C135,盘货信息!$A:$A&amp;盘货信息!$B:$B&amp;盘货信息!$C:$C,盘货信息!$L:$L)="否",_xlfn.XLOOKUP($A135&amp;$B135&amp;$C135,盘货信息!$A:$A&amp;盘货信息!$B:$B&amp;盘货信息!$C:$C,盘货信息!$L:$L)=""),_xlfn.XLOOKUP($A135&amp;$B135&amp;$C135,盘货信息!$A:$A&amp;盘货信息!$B:$B&amp;盘货信息!$C:$C,盘货信息!$M:$M)="是",_xlfn.XLOOKUP($A135&amp;$B135&amp;$C135,盘货信息!$A:$A&amp;盘货信息!$B:$B&amp;盘货信息!$C:$C,盘货信息!$K:$K)&gt;0),"【详情页领取】","")))</f>
        <v/>
      </c>
      <c r="M135" s="27" t="str" cm="1">
        <f t="array" ref="M135">IF($C135="","",IF(_xlfn.XLOOKUP($A135&amp;$B135&amp;$C135,盘货信息!$A:$A&amp;盘货信息!$B:$B&amp;盘货信息!$C:$C,盘货信息!$F:$F)&lt;1,"",_xlfn.XLOOKUP($A135&amp;$B135&amp;$C135,盘货信息!$A:$A&amp;盘货信息!$B:$B&amp;盘货信息!$C:$C,盘货信息!$F:$F)&amp;"元明卷"))</f>
        <v/>
      </c>
      <c r="N135" s="27" t="str">
        <f t="shared" si="5"/>
        <v/>
      </c>
      <c r="O135" s="27" t="str">
        <f>IF(I135="","","【消费券链接】"&amp;固定信息!$B$6)</f>
        <v/>
      </c>
    </row>
    <row r="136" customHeight="1" spans="1:15">
      <c r="A136" s="26" t="str">
        <f>IF(盘货信息!A136="","",盘货信息!A136)</f>
        <v/>
      </c>
      <c r="B136" s="26" t="str">
        <f>IF(盘货信息!B136="","",盘货信息!B136)</f>
        <v/>
      </c>
      <c r="C136" s="26" t="str">
        <f>IF(盘货信息!C136="","",盘货信息!C136)</f>
        <v/>
      </c>
      <c r="D136" s="27" t="str">
        <f t="shared" si="4"/>
        <v/>
      </c>
      <c r="E136" s="27" t="str" cm="1">
        <f t="array" ref="E136">IF($C136="","",IF(AND(OR(_xlfn.XLOOKUP($A136&amp;$B136&amp;$C136,盘货信息!$A:$A&amp;盘货信息!$B:$B&amp;盘货信息!$C:$C,盘货信息!$L:$L)="否",_xlfn.XLOOKUP($A136&amp;$B136&amp;$C136,盘货信息!$A:$A&amp;盘货信息!$B:$B&amp;盘货信息!$C:$C,盘货信息!$L:$L)=""),_xlfn.XLOOKUP($A136&amp;$B136&amp;$C136,盘货信息!$A:$A&amp;盘货信息!$B:$B&amp;盘货信息!$C:$C,盘货信息!$M:$M)="否"),"【预估到手价"&amp;_xlfn.XLOOKUP($A136&amp;$B136&amp;$C136,盘货信息!$A:$A&amp;盘货信息!$B:$B&amp;盘货信息!$C:$C,盘货信息!$D:$D)&amp;"元】",IF(AND(_xlfn.XLOOKUP($A136&amp;$B136&amp;$C136,盘货信息!$A:$A&amp;盘货信息!$B:$B&amp;盘货信息!$C:$C,盘货信息!$M:$M)="是",OR(_xlfn.XLOOKUP($A136&amp;$B136&amp;$C136,盘货信息!$A:$A&amp;盘货信息!$B:$B&amp;盘货信息!$C:$C,盘货信息!$L:$L)="否",_xlfn.XLOOKUP($A136&amp;$B136&amp;$C136,盘货信息!$A:$A&amp;盘货信息!$B:$B&amp;盘货信息!$C:$C,盘货信息!$L:$L)="")),"【预估到手价"&amp;_xlfn.XLOOKUP($A136&amp;$B136&amp;$C136,盘货信息!$A:$A&amp;盘货信息!$B:$B&amp;盘货信息!$C:$C,盘货信息!$D:$D)&amp;"元】"&amp;CHAR(10)&amp;"【焕新补贴预估价"&amp;ROUND(_xlfn.XLOOKUP($A136&amp;$B136&amp;$C136,盘货信息!$A:$A&amp;盘货信息!$B:$B&amp;盘货信息!$C:$C,盘货信息!$E:$E),0)&amp;"元】","【焕新补贴预估价"&amp;ROUND(_xlfn.XLOOKUP($A136&amp;$B136&amp;$C136,盘货信息!$A:$A&amp;盘货信息!$B:$B&amp;盘货信息!$C:$C,盘货信息!$E:$E),0)&amp;"元】")))</f>
        <v/>
      </c>
      <c r="F136" s="27" t="str" cm="1">
        <f t="array" ref="F136">IF($C136="","",_xlfn.XLOOKUP($A136&amp;$B136&amp;$C136,盘货信息!$A:$A&amp;盘货信息!$B:$B&amp;盘货信息!$C:$C,盘货信息!$D:$D)&amp;"元到手价")</f>
        <v/>
      </c>
      <c r="G136" s="27" t="str" cm="1">
        <f t="array" ref="G136">IF($C136="","",IF(_xlfn.XLOOKUP($A136&amp;$B136&amp;$C136,盘货信息!$A:$A&amp;盘货信息!$B:$B&amp;盘货信息!$C:$C,盘货信息!$G:$G)&lt;1,"",ROUND(_xlfn.XLOOKUP($A136&amp;$B136&amp;$C136,盘货信息!$A:$A&amp;盘货信息!$B:$B&amp;盘货信息!$C:$C,盘货信息!$G:$G),0)&amp;"元88VIP立减"))</f>
        <v/>
      </c>
      <c r="H136" s="27" t="str" cm="1">
        <f t="array" ref="H136">IF($C136="","",IF(_xlfn.XLOOKUP($A136&amp;$B136&amp;$C136,盘货信息!$A:$A&amp;盘货信息!$B:$B&amp;盘货信息!$C:$C,盘货信息!$I:$I)&lt;1,"",_xlfn.XLOOKUP($A136&amp;$B136&amp;$C136,盘货信息!$A:$A&amp;盘货信息!$B:$B&amp;盘货信息!$C:$C,盘货信息!$I:$I)&amp;"元惊喜立减"))</f>
        <v/>
      </c>
      <c r="I136" s="27" t="str" cm="1">
        <f t="array" ref="I136">IF($C136="","",IF(_xlfn.XLOOKUP($A136&amp;$B136&amp;$C136,盘货信息!$A:$A&amp;盘货信息!$B:$B&amp;盘货信息!$C:$C,盘货信息!$H:$H)&lt;1,"",ROUND(_xlfn.XLOOKUP($A136&amp;$B136&amp;$C136,盘货信息!$A:$A&amp;盘货信息!$B:$B&amp;盘货信息!$C:$C,盘货信息!$H:$H),0)&amp;"元消费券"))</f>
        <v/>
      </c>
      <c r="J136" s="27" t="str" cm="1">
        <f t="array" ref="J136">IF($C136="","",IF(_xlfn.XLOOKUP($A136&amp;$B136&amp;$C136,盘货信息!$A:$A&amp;盘货信息!$B:$B&amp;盘货信息!$C:$C,盘货信息!$J:$J)&lt;1,"",ROUND(_xlfn.XLOOKUP($A136&amp;$B136&amp;$C136,盘货信息!$A:$A&amp;盘货信息!$B:$B&amp;盘货信息!$C:$C,盘货信息!$J:$J),0)&amp;"元限时补贴"))</f>
        <v/>
      </c>
      <c r="K136" s="27" t="str" cm="1">
        <f t="array" ref="K136">IF($C136="","",IF(_xlfn.XLOOKUP($A136&amp;$B136&amp;$C136,盘货信息!$A:$A&amp;盘货信息!$B:$B&amp;盘货信息!$C:$C,盘货信息!$K:$K)&lt;1,"",ROUND(_xlfn.XLOOKUP($A136&amp;$B136&amp;$C136,盘货信息!$A:$A&amp;盘货信息!$B:$B&amp;盘货信息!$C:$C,盘货信息!$K:$K),0)&amp;"元预估焕新补贴"))</f>
        <v/>
      </c>
      <c r="L136" s="27" t="str" cm="1">
        <f t="array" ref="L136">IF($C136="","",IF(AND(_xlfn.XLOOKUP($A136&amp;$B136&amp;$C136,盘货信息!$A:$A&amp;盘货信息!$B:$B&amp;盘货信息!$C:$C,盘货信息!$L:$L)="是",_xlfn.XLOOKUP($A136&amp;$B136&amp;$C136,盘货信息!$A:$A&amp;盘货信息!$B:$B&amp;盘货信息!$C:$C,盘货信息!$M:$M)="是",_xlfn.XLOOKUP($A136&amp;$B136&amp;$C136,盘货信息!$A:$A&amp;盘货信息!$B:$B&amp;盘货信息!$C:$C,盘货信息!$K:$K)&gt;0),"【全民可用，不限地址】",IF(AND(OR(_xlfn.XLOOKUP($A136&amp;$B136&amp;$C136,盘货信息!$A:$A&amp;盘货信息!$B:$B&amp;盘货信息!$C:$C,盘货信息!$L:$L)="否",_xlfn.XLOOKUP($A136&amp;$B136&amp;$C136,盘货信息!$A:$A&amp;盘货信息!$B:$B&amp;盘货信息!$C:$C,盘货信息!$L:$L)=""),_xlfn.XLOOKUP($A136&amp;$B136&amp;$C136,盘货信息!$A:$A&amp;盘货信息!$B:$B&amp;盘货信息!$C:$C,盘货信息!$M:$M)="是",_xlfn.XLOOKUP($A136&amp;$B136&amp;$C136,盘货信息!$A:$A&amp;盘货信息!$B:$B&amp;盘货信息!$C:$C,盘货信息!$K:$K)&gt;0),"【详情页领取】","")))</f>
        <v/>
      </c>
      <c r="M136" s="27" t="str" cm="1">
        <f t="array" ref="M136">IF($C136="","",IF(_xlfn.XLOOKUP($A136&amp;$B136&amp;$C136,盘货信息!$A:$A&amp;盘货信息!$B:$B&amp;盘货信息!$C:$C,盘货信息!$F:$F)&lt;1,"",_xlfn.XLOOKUP($A136&amp;$B136&amp;$C136,盘货信息!$A:$A&amp;盘货信息!$B:$B&amp;盘货信息!$C:$C,盘货信息!$F:$F)&amp;"元明卷"))</f>
        <v/>
      </c>
      <c r="N136" s="27" t="str">
        <f t="shared" si="5"/>
        <v/>
      </c>
      <c r="O136" s="27" t="str">
        <f>IF(I136="","","【消费券链接】"&amp;固定信息!$B$6)</f>
        <v/>
      </c>
    </row>
    <row r="137" customHeight="1" spans="1:15">
      <c r="A137" s="26" t="str">
        <f>IF(盘货信息!A137="","",盘货信息!A137)</f>
        <v/>
      </c>
      <c r="B137" s="26" t="str">
        <f>IF(盘货信息!B137="","",盘货信息!B137)</f>
        <v/>
      </c>
      <c r="C137" s="23" t="str">
        <f>IF(盘货信息!C137="","",盘货信息!C137)</f>
        <v/>
      </c>
      <c r="D137" s="27" t="str">
        <f t="shared" si="4"/>
        <v/>
      </c>
      <c r="E137" s="27" t="str" cm="1">
        <f t="array" ref="E137">IF($C137="","",IF(AND(OR(_xlfn.XLOOKUP($A137&amp;$B137&amp;$C137,盘货信息!$A:$A&amp;盘货信息!$B:$B&amp;盘货信息!$C:$C,盘货信息!$L:$L)="否",_xlfn.XLOOKUP($A137&amp;$B137&amp;$C137,盘货信息!$A:$A&amp;盘货信息!$B:$B&amp;盘货信息!$C:$C,盘货信息!$L:$L)=""),_xlfn.XLOOKUP($A137&amp;$B137&amp;$C137,盘货信息!$A:$A&amp;盘货信息!$B:$B&amp;盘货信息!$C:$C,盘货信息!$M:$M)="否"),"【预估到手价"&amp;_xlfn.XLOOKUP($A137&amp;$B137&amp;$C137,盘货信息!$A:$A&amp;盘货信息!$B:$B&amp;盘货信息!$C:$C,盘货信息!$D:$D)&amp;"元】",IF(AND(_xlfn.XLOOKUP($A137&amp;$B137&amp;$C137,盘货信息!$A:$A&amp;盘货信息!$B:$B&amp;盘货信息!$C:$C,盘货信息!$M:$M)="是",OR(_xlfn.XLOOKUP($A137&amp;$B137&amp;$C137,盘货信息!$A:$A&amp;盘货信息!$B:$B&amp;盘货信息!$C:$C,盘货信息!$L:$L)="否",_xlfn.XLOOKUP($A137&amp;$B137&amp;$C137,盘货信息!$A:$A&amp;盘货信息!$B:$B&amp;盘货信息!$C:$C,盘货信息!$L:$L)="")),"【预估到手价"&amp;_xlfn.XLOOKUP($A137&amp;$B137&amp;$C137,盘货信息!$A:$A&amp;盘货信息!$B:$B&amp;盘货信息!$C:$C,盘货信息!$D:$D)&amp;"元】"&amp;CHAR(10)&amp;"【焕新补贴预估价"&amp;ROUND(_xlfn.XLOOKUP($A137&amp;$B137&amp;$C137,盘货信息!$A:$A&amp;盘货信息!$B:$B&amp;盘货信息!$C:$C,盘货信息!$E:$E),0)&amp;"元】","【焕新补贴预估价"&amp;ROUND(_xlfn.XLOOKUP($A137&amp;$B137&amp;$C137,盘货信息!$A:$A&amp;盘货信息!$B:$B&amp;盘货信息!$C:$C,盘货信息!$E:$E),0)&amp;"元】")))</f>
        <v/>
      </c>
      <c r="F137" s="27" t="str" cm="1">
        <f t="array" ref="F137">IF($C137="","",_xlfn.XLOOKUP($A137&amp;$B137&amp;$C137,盘货信息!$A:$A&amp;盘货信息!$B:$B&amp;盘货信息!$C:$C,盘货信息!$D:$D)&amp;"元到手价")</f>
        <v/>
      </c>
      <c r="G137" s="27" t="str" cm="1">
        <f t="array" ref="G137">IF($C137="","",IF(_xlfn.XLOOKUP($A137&amp;$B137&amp;$C137,盘货信息!$A:$A&amp;盘货信息!$B:$B&amp;盘货信息!$C:$C,盘货信息!$G:$G)&lt;1,"",ROUND(_xlfn.XLOOKUP($A137&amp;$B137&amp;$C137,盘货信息!$A:$A&amp;盘货信息!$B:$B&amp;盘货信息!$C:$C,盘货信息!$G:$G),0)&amp;"元88VIP立减"))</f>
        <v/>
      </c>
      <c r="H137" s="27" t="str" cm="1">
        <f t="array" ref="H137">IF($C137="","",IF(_xlfn.XLOOKUP($A137&amp;$B137&amp;$C137,盘货信息!$A:$A&amp;盘货信息!$B:$B&amp;盘货信息!$C:$C,盘货信息!$I:$I)&lt;1,"",_xlfn.XLOOKUP($A137&amp;$B137&amp;$C137,盘货信息!$A:$A&amp;盘货信息!$B:$B&amp;盘货信息!$C:$C,盘货信息!$I:$I)&amp;"元惊喜立减"))</f>
        <v/>
      </c>
      <c r="I137" s="27" t="str" cm="1">
        <f t="array" ref="I137">IF($C137="","",IF(_xlfn.XLOOKUP($A137&amp;$B137&amp;$C137,盘货信息!$A:$A&amp;盘货信息!$B:$B&amp;盘货信息!$C:$C,盘货信息!$H:$H)&lt;1,"",ROUND(_xlfn.XLOOKUP($A137&amp;$B137&amp;$C137,盘货信息!$A:$A&amp;盘货信息!$B:$B&amp;盘货信息!$C:$C,盘货信息!$H:$H),0)&amp;"元消费券"))</f>
        <v/>
      </c>
      <c r="J137" s="27" t="str" cm="1">
        <f t="array" ref="J137">IF($C137="","",IF(_xlfn.XLOOKUP($A137&amp;$B137&amp;$C137,盘货信息!$A:$A&amp;盘货信息!$B:$B&amp;盘货信息!$C:$C,盘货信息!$J:$J)&lt;1,"",ROUND(_xlfn.XLOOKUP($A137&amp;$B137&amp;$C137,盘货信息!$A:$A&amp;盘货信息!$B:$B&amp;盘货信息!$C:$C,盘货信息!$J:$J),0)&amp;"元限时补贴"))</f>
        <v/>
      </c>
      <c r="K137" s="27" t="str" cm="1">
        <f t="array" ref="K137">IF($C137="","",IF(_xlfn.XLOOKUP($A137&amp;$B137&amp;$C137,盘货信息!$A:$A&amp;盘货信息!$B:$B&amp;盘货信息!$C:$C,盘货信息!$K:$K)&lt;1,"",ROUND(_xlfn.XLOOKUP($A137&amp;$B137&amp;$C137,盘货信息!$A:$A&amp;盘货信息!$B:$B&amp;盘货信息!$C:$C,盘货信息!$K:$K),0)&amp;"元预估焕新补贴"))</f>
        <v/>
      </c>
      <c r="L137" s="27" t="str" cm="1">
        <f t="array" ref="L137">IF($C137="","",IF(AND(_xlfn.XLOOKUP($A137&amp;$B137&amp;$C137,盘货信息!$A:$A&amp;盘货信息!$B:$B&amp;盘货信息!$C:$C,盘货信息!$L:$L)="是",_xlfn.XLOOKUP($A137&amp;$B137&amp;$C137,盘货信息!$A:$A&amp;盘货信息!$B:$B&amp;盘货信息!$C:$C,盘货信息!$M:$M)="是",_xlfn.XLOOKUP($A137&amp;$B137&amp;$C137,盘货信息!$A:$A&amp;盘货信息!$B:$B&amp;盘货信息!$C:$C,盘货信息!$K:$K)&gt;0),"【全民可用，不限地址】",IF(AND(OR(_xlfn.XLOOKUP($A137&amp;$B137&amp;$C137,盘货信息!$A:$A&amp;盘货信息!$B:$B&amp;盘货信息!$C:$C,盘货信息!$L:$L)="否",_xlfn.XLOOKUP($A137&amp;$B137&amp;$C137,盘货信息!$A:$A&amp;盘货信息!$B:$B&amp;盘货信息!$C:$C,盘货信息!$L:$L)=""),_xlfn.XLOOKUP($A137&amp;$B137&amp;$C137,盘货信息!$A:$A&amp;盘货信息!$B:$B&amp;盘货信息!$C:$C,盘货信息!$M:$M)="是",_xlfn.XLOOKUP($A137&amp;$B137&amp;$C137,盘货信息!$A:$A&amp;盘货信息!$B:$B&amp;盘货信息!$C:$C,盘货信息!$K:$K)&gt;0),"【详情页领取】","")))</f>
        <v/>
      </c>
      <c r="M137" s="27" t="str" cm="1">
        <f t="array" ref="M137">IF($C137="","",IF(_xlfn.XLOOKUP($A137&amp;$B137&amp;$C137,盘货信息!$A:$A&amp;盘货信息!$B:$B&amp;盘货信息!$C:$C,盘货信息!$F:$F)&lt;1,"",_xlfn.XLOOKUP($A137&amp;$B137&amp;$C137,盘货信息!$A:$A&amp;盘货信息!$B:$B&amp;盘货信息!$C:$C,盘货信息!$F:$F)&amp;"元明卷"))</f>
        <v/>
      </c>
      <c r="N137" s="27" t="str">
        <f t="shared" si="5"/>
        <v/>
      </c>
      <c r="O137" s="27" t="str">
        <f>IF(I137="","","【消费券链接】"&amp;固定信息!$B$6)</f>
        <v/>
      </c>
    </row>
    <row r="138" customHeight="1" spans="1:15">
      <c r="A138" s="26" t="str">
        <f>IF(盘货信息!A138="","",盘货信息!A138)</f>
        <v/>
      </c>
      <c r="B138" s="26" t="str">
        <f>IF(盘货信息!B138="","",盘货信息!B138)</f>
        <v/>
      </c>
      <c r="C138" s="26" t="str">
        <f>IF(盘货信息!C138="","",盘货信息!C138)</f>
        <v/>
      </c>
      <c r="D138" s="27" t="str">
        <f t="shared" si="4"/>
        <v/>
      </c>
      <c r="E138" s="27" t="str" cm="1">
        <f t="array" ref="E138">IF($C138="","",IF(AND(OR(_xlfn.XLOOKUP($A138&amp;$B138&amp;$C138,盘货信息!$A:$A&amp;盘货信息!$B:$B&amp;盘货信息!$C:$C,盘货信息!$L:$L)="否",_xlfn.XLOOKUP($A138&amp;$B138&amp;$C138,盘货信息!$A:$A&amp;盘货信息!$B:$B&amp;盘货信息!$C:$C,盘货信息!$L:$L)=""),_xlfn.XLOOKUP($A138&amp;$B138&amp;$C138,盘货信息!$A:$A&amp;盘货信息!$B:$B&amp;盘货信息!$C:$C,盘货信息!$M:$M)="否"),"【预估到手价"&amp;_xlfn.XLOOKUP($A138&amp;$B138&amp;$C138,盘货信息!$A:$A&amp;盘货信息!$B:$B&amp;盘货信息!$C:$C,盘货信息!$D:$D)&amp;"元】",IF(AND(_xlfn.XLOOKUP($A138&amp;$B138&amp;$C138,盘货信息!$A:$A&amp;盘货信息!$B:$B&amp;盘货信息!$C:$C,盘货信息!$M:$M)="是",OR(_xlfn.XLOOKUP($A138&amp;$B138&amp;$C138,盘货信息!$A:$A&amp;盘货信息!$B:$B&amp;盘货信息!$C:$C,盘货信息!$L:$L)="否",_xlfn.XLOOKUP($A138&amp;$B138&amp;$C138,盘货信息!$A:$A&amp;盘货信息!$B:$B&amp;盘货信息!$C:$C,盘货信息!$L:$L)="")),"【预估到手价"&amp;_xlfn.XLOOKUP($A138&amp;$B138&amp;$C138,盘货信息!$A:$A&amp;盘货信息!$B:$B&amp;盘货信息!$C:$C,盘货信息!$D:$D)&amp;"元】"&amp;CHAR(10)&amp;"【焕新补贴预估价"&amp;ROUND(_xlfn.XLOOKUP($A138&amp;$B138&amp;$C138,盘货信息!$A:$A&amp;盘货信息!$B:$B&amp;盘货信息!$C:$C,盘货信息!$E:$E),0)&amp;"元】","【焕新补贴预估价"&amp;ROUND(_xlfn.XLOOKUP($A138&amp;$B138&amp;$C138,盘货信息!$A:$A&amp;盘货信息!$B:$B&amp;盘货信息!$C:$C,盘货信息!$E:$E),0)&amp;"元】")))</f>
        <v/>
      </c>
      <c r="F138" s="27" t="str" cm="1">
        <f t="array" ref="F138">IF($C138="","",_xlfn.XLOOKUP($A138&amp;$B138&amp;$C138,盘货信息!$A:$A&amp;盘货信息!$B:$B&amp;盘货信息!$C:$C,盘货信息!$D:$D)&amp;"元到手价")</f>
        <v/>
      </c>
      <c r="G138" s="27" t="str" cm="1">
        <f t="array" ref="G138">IF($C138="","",IF(_xlfn.XLOOKUP($A138&amp;$B138&amp;$C138,盘货信息!$A:$A&amp;盘货信息!$B:$B&amp;盘货信息!$C:$C,盘货信息!$G:$G)&lt;1,"",ROUND(_xlfn.XLOOKUP($A138&amp;$B138&amp;$C138,盘货信息!$A:$A&amp;盘货信息!$B:$B&amp;盘货信息!$C:$C,盘货信息!$G:$G),0)&amp;"元88VIP立减"))</f>
        <v/>
      </c>
      <c r="H138" s="27" t="str" cm="1">
        <f t="array" ref="H138">IF($C138="","",IF(_xlfn.XLOOKUP($A138&amp;$B138&amp;$C138,盘货信息!$A:$A&amp;盘货信息!$B:$B&amp;盘货信息!$C:$C,盘货信息!$I:$I)&lt;1,"",_xlfn.XLOOKUP($A138&amp;$B138&amp;$C138,盘货信息!$A:$A&amp;盘货信息!$B:$B&amp;盘货信息!$C:$C,盘货信息!$I:$I)&amp;"元惊喜立减"))</f>
        <v/>
      </c>
      <c r="I138" s="27" t="str" cm="1">
        <f t="array" ref="I138">IF($C138="","",IF(_xlfn.XLOOKUP($A138&amp;$B138&amp;$C138,盘货信息!$A:$A&amp;盘货信息!$B:$B&amp;盘货信息!$C:$C,盘货信息!$H:$H)&lt;1,"",ROUND(_xlfn.XLOOKUP($A138&amp;$B138&amp;$C138,盘货信息!$A:$A&amp;盘货信息!$B:$B&amp;盘货信息!$C:$C,盘货信息!$H:$H),0)&amp;"元消费券"))</f>
        <v/>
      </c>
      <c r="J138" s="27" t="str" cm="1">
        <f t="array" ref="J138">IF($C138="","",IF(_xlfn.XLOOKUP($A138&amp;$B138&amp;$C138,盘货信息!$A:$A&amp;盘货信息!$B:$B&amp;盘货信息!$C:$C,盘货信息!$J:$J)&lt;1,"",ROUND(_xlfn.XLOOKUP($A138&amp;$B138&amp;$C138,盘货信息!$A:$A&amp;盘货信息!$B:$B&amp;盘货信息!$C:$C,盘货信息!$J:$J),0)&amp;"元限时补贴"))</f>
        <v/>
      </c>
      <c r="K138" s="27" t="str" cm="1">
        <f t="array" ref="K138">IF($C138="","",IF(_xlfn.XLOOKUP($A138&amp;$B138&amp;$C138,盘货信息!$A:$A&amp;盘货信息!$B:$B&amp;盘货信息!$C:$C,盘货信息!$K:$K)&lt;1,"",ROUND(_xlfn.XLOOKUP($A138&amp;$B138&amp;$C138,盘货信息!$A:$A&amp;盘货信息!$B:$B&amp;盘货信息!$C:$C,盘货信息!$K:$K),0)&amp;"元预估焕新补贴"))</f>
        <v/>
      </c>
      <c r="L138" s="27" t="str" cm="1">
        <f t="array" ref="L138">IF($C138="","",IF(AND(_xlfn.XLOOKUP($A138&amp;$B138&amp;$C138,盘货信息!$A:$A&amp;盘货信息!$B:$B&amp;盘货信息!$C:$C,盘货信息!$L:$L)="是",_xlfn.XLOOKUP($A138&amp;$B138&amp;$C138,盘货信息!$A:$A&amp;盘货信息!$B:$B&amp;盘货信息!$C:$C,盘货信息!$M:$M)="是",_xlfn.XLOOKUP($A138&amp;$B138&amp;$C138,盘货信息!$A:$A&amp;盘货信息!$B:$B&amp;盘货信息!$C:$C,盘货信息!$K:$K)&gt;0),"【全民可用，不限地址】",IF(AND(OR(_xlfn.XLOOKUP($A138&amp;$B138&amp;$C138,盘货信息!$A:$A&amp;盘货信息!$B:$B&amp;盘货信息!$C:$C,盘货信息!$L:$L)="否",_xlfn.XLOOKUP($A138&amp;$B138&amp;$C138,盘货信息!$A:$A&amp;盘货信息!$B:$B&amp;盘货信息!$C:$C,盘货信息!$L:$L)=""),_xlfn.XLOOKUP($A138&amp;$B138&amp;$C138,盘货信息!$A:$A&amp;盘货信息!$B:$B&amp;盘货信息!$C:$C,盘货信息!$M:$M)="是",_xlfn.XLOOKUP($A138&amp;$B138&amp;$C138,盘货信息!$A:$A&amp;盘货信息!$B:$B&amp;盘货信息!$C:$C,盘货信息!$K:$K)&gt;0),"【详情页领取】","")))</f>
        <v/>
      </c>
      <c r="M138" s="27" t="str" cm="1">
        <f t="array" ref="M138">IF($C138="","",IF(_xlfn.XLOOKUP($A138&amp;$B138&amp;$C138,盘货信息!$A:$A&amp;盘货信息!$B:$B&amp;盘货信息!$C:$C,盘货信息!$F:$F)&lt;1,"",_xlfn.XLOOKUP($A138&amp;$B138&amp;$C138,盘货信息!$A:$A&amp;盘货信息!$B:$B&amp;盘货信息!$C:$C,盘货信息!$F:$F)&amp;"元明卷"))</f>
        <v/>
      </c>
      <c r="N138" s="27" t="str">
        <f t="shared" si="5"/>
        <v/>
      </c>
      <c r="O138" s="27" t="str">
        <f>IF(I138="","","【消费券链接】"&amp;固定信息!$B$6)</f>
        <v/>
      </c>
    </row>
    <row r="139" customHeight="1" spans="1:15">
      <c r="A139" s="26" t="str">
        <f>IF(盘货信息!A139="","",盘货信息!A139)</f>
        <v/>
      </c>
      <c r="B139" s="26" t="str">
        <f>IF(盘货信息!B139="","",盘货信息!B139)</f>
        <v/>
      </c>
      <c r="C139" s="23" t="str">
        <f>IF(盘货信息!C139="","",盘货信息!C139)</f>
        <v/>
      </c>
      <c r="D139" s="27" t="str">
        <f t="shared" si="4"/>
        <v/>
      </c>
      <c r="E139" s="27" t="str" cm="1">
        <f t="array" ref="E139">IF($C139="","",IF(AND(OR(_xlfn.XLOOKUP($A139&amp;$B139&amp;$C139,盘货信息!$A:$A&amp;盘货信息!$B:$B&amp;盘货信息!$C:$C,盘货信息!$L:$L)="否",_xlfn.XLOOKUP($A139&amp;$B139&amp;$C139,盘货信息!$A:$A&amp;盘货信息!$B:$B&amp;盘货信息!$C:$C,盘货信息!$L:$L)=""),_xlfn.XLOOKUP($A139&amp;$B139&amp;$C139,盘货信息!$A:$A&amp;盘货信息!$B:$B&amp;盘货信息!$C:$C,盘货信息!$M:$M)="否"),"【预估到手价"&amp;_xlfn.XLOOKUP($A139&amp;$B139&amp;$C139,盘货信息!$A:$A&amp;盘货信息!$B:$B&amp;盘货信息!$C:$C,盘货信息!$D:$D)&amp;"元】",IF(AND(_xlfn.XLOOKUP($A139&amp;$B139&amp;$C139,盘货信息!$A:$A&amp;盘货信息!$B:$B&amp;盘货信息!$C:$C,盘货信息!$M:$M)="是",OR(_xlfn.XLOOKUP($A139&amp;$B139&amp;$C139,盘货信息!$A:$A&amp;盘货信息!$B:$B&amp;盘货信息!$C:$C,盘货信息!$L:$L)="否",_xlfn.XLOOKUP($A139&amp;$B139&amp;$C139,盘货信息!$A:$A&amp;盘货信息!$B:$B&amp;盘货信息!$C:$C,盘货信息!$L:$L)="")),"【预估到手价"&amp;_xlfn.XLOOKUP($A139&amp;$B139&amp;$C139,盘货信息!$A:$A&amp;盘货信息!$B:$B&amp;盘货信息!$C:$C,盘货信息!$D:$D)&amp;"元】"&amp;CHAR(10)&amp;"【焕新补贴预估价"&amp;ROUND(_xlfn.XLOOKUP($A139&amp;$B139&amp;$C139,盘货信息!$A:$A&amp;盘货信息!$B:$B&amp;盘货信息!$C:$C,盘货信息!$E:$E),0)&amp;"元】","【焕新补贴预估价"&amp;ROUND(_xlfn.XLOOKUP($A139&amp;$B139&amp;$C139,盘货信息!$A:$A&amp;盘货信息!$B:$B&amp;盘货信息!$C:$C,盘货信息!$E:$E),0)&amp;"元】")))</f>
        <v/>
      </c>
      <c r="F139" s="27" t="str" cm="1">
        <f t="array" ref="F139">IF($C139="","",_xlfn.XLOOKUP($A139&amp;$B139&amp;$C139,盘货信息!$A:$A&amp;盘货信息!$B:$B&amp;盘货信息!$C:$C,盘货信息!$D:$D)&amp;"元到手价")</f>
        <v/>
      </c>
      <c r="G139" s="27" t="str" cm="1">
        <f t="array" ref="G139">IF($C139="","",IF(_xlfn.XLOOKUP($A139&amp;$B139&amp;$C139,盘货信息!$A:$A&amp;盘货信息!$B:$B&amp;盘货信息!$C:$C,盘货信息!$G:$G)&lt;1,"",ROUND(_xlfn.XLOOKUP($A139&amp;$B139&amp;$C139,盘货信息!$A:$A&amp;盘货信息!$B:$B&amp;盘货信息!$C:$C,盘货信息!$G:$G),0)&amp;"元88VIP立减"))</f>
        <v/>
      </c>
      <c r="H139" s="27" t="str" cm="1">
        <f t="array" ref="H139">IF($C139="","",IF(_xlfn.XLOOKUP($A139&amp;$B139&amp;$C139,盘货信息!$A:$A&amp;盘货信息!$B:$B&amp;盘货信息!$C:$C,盘货信息!$I:$I)&lt;1,"",_xlfn.XLOOKUP($A139&amp;$B139&amp;$C139,盘货信息!$A:$A&amp;盘货信息!$B:$B&amp;盘货信息!$C:$C,盘货信息!$I:$I)&amp;"元惊喜立减"))</f>
        <v/>
      </c>
      <c r="I139" s="27" t="str" cm="1">
        <f t="array" ref="I139">IF($C139="","",IF(_xlfn.XLOOKUP($A139&amp;$B139&amp;$C139,盘货信息!$A:$A&amp;盘货信息!$B:$B&amp;盘货信息!$C:$C,盘货信息!$H:$H)&lt;1,"",ROUND(_xlfn.XLOOKUP($A139&amp;$B139&amp;$C139,盘货信息!$A:$A&amp;盘货信息!$B:$B&amp;盘货信息!$C:$C,盘货信息!$H:$H),0)&amp;"元消费券"))</f>
        <v/>
      </c>
      <c r="J139" s="27" t="str" cm="1">
        <f t="array" ref="J139">IF($C139="","",IF(_xlfn.XLOOKUP($A139&amp;$B139&amp;$C139,盘货信息!$A:$A&amp;盘货信息!$B:$B&amp;盘货信息!$C:$C,盘货信息!$J:$J)&lt;1,"",ROUND(_xlfn.XLOOKUP($A139&amp;$B139&amp;$C139,盘货信息!$A:$A&amp;盘货信息!$B:$B&amp;盘货信息!$C:$C,盘货信息!$J:$J),0)&amp;"元限时补贴"))</f>
        <v/>
      </c>
      <c r="K139" s="27" t="str" cm="1">
        <f t="array" ref="K139">IF($C139="","",IF(_xlfn.XLOOKUP($A139&amp;$B139&amp;$C139,盘货信息!$A:$A&amp;盘货信息!$B:$B&amp;盘货信息!$C:$C,盘货信息!$K:$K)&lt;1,"",ROUND(_xlfn.XLOOKUP($A139&amp;$B139&amp;$C139,盘货信息!$A:$A&amp;盘货信息!$B:$B&amp;盘货信息!$C:$C,盘货信息!$K:$K),0)&amp;"元预估焕新补贴"))</f>
        <v/>
      </c>
      <c r="L139" s="27" t="str" cm="1">
        <f t="array" ref="L139">IF($C139="","",IF(AND(_xlfn.XLOOKUP($A139&amp;$B139&amp;$C139,盘货信息!$A:$A&amp;盘货信息!$B:$B&amp;盘货信息!$C:$C,盘货信息!$L:$L)="是",_xlfn.XLOOKUP($A139&amp;$B139&amp;$C139,盘货信息!$A:$A&amp;盘货信息!$B:$B&amp;盘货信息!$C:$C,盘货信息!$M:$M)="是",_xlfn.XLOOKUP($A139&amp;$B139&amp;$C139,盘货信息!$A:$A&amp;盘货信息!$B:$B&amp;盘货信息!$C:$C,盘货信息!$K:$K)&gt;0),"【全民可用，不限地址】",IF(AND(OR(_xlfn.XLOOKUP($A139&amp;$B139&amp;$C139,盘货信息!$A:$A&amp;盘货信息!$B:$B&amp;盘货信息!$C:$C,盘货信息!$L:$L)="否",_xlfn.XLOOKUP($A139&amp;$B139&amp;$C139,盘货信息!$A:$A&amp;盘货信息!$B:$B&amp;盘货信息!$C:$C,盘货信息!$L:$L)=""),_xlfn.XLOOKUP($A139&amp;$B139&amp;$C139,盘货信息!$A:$A&amp;盘货信息!$B:$B&amp;盘货信息!$C:$C,盘货信息!$M:$M)="是",_xlfn.XLOOKUP($A139&amp;$B139&amp;$C139,盘货信息!$A:$A&amp;盘货信息!$B:$B&amp;盘货信息!$C:$C,盘货信息!$K:$K)&gt;0),"【详情页领取】","")))</f>
        <v/>
      </c>
      <c r="M139" s="27" t="str" cm="1">
        <f t="array" ref="M139">IF($C139="","",IF(_xlfn.XLOOKUP($A139&amp;$B139&amp;$C139,盘货信息!$A:$A&amp;盘货信息!$B:$B&amp;盘货信息!$C:$C,盘货信息!$F:$F)&lt;1,"",_xlfn.XLOOKUP($A139&amp;$B139&amp;$C139,盘货信息!$A:$A&amp;盘货信息!$B:$B&amp;盘货信息!$C:$C,盘货信息!$F:$F)&amp;"元明卷"))</f>
        <v/>
      </c>
      <c r="N139" s="27" t="str">
        <f t="shared" si="5"/>
        <v/>
      </c>
      <c r="O139" s="27" t="str">
        <f>IF(I139="","","【消费券链接】"&amp;固定信息!$B$6)</f>
        <v/>
      </c>
    </row>
    <row r="140" customHeight="1" spans="1:15">
      <c r="A140" s="26" t="str">
        <f>IF(盘货信息!A140="","",盘货信息!A140)</f>
        <v/>
      </c>
      <c r="B140" s="26" t="str">
        <f>IF(盘货信息!B140="","",盘货信息!B140)</f>
        <v/>
      </c>
      <c r="C140" s="23" t="str">
        <f>IF(盘货信息!C140="","",盘货信息!C140)</f>
        <v/>
      </c>
      <c r="D140" s="27" t="str">
        <f t="shared" si="4"/>
        <v/>
      </c>
      <c r="E140" s="27" t="str" cm="1">
        <f t="array" ref="E140">IF($C140="","",IF(AND(OR(_xlfn.XLOOKUP($A140&amp;$B140&amp;$C140,盘货信息!$A:$A&amp;盘货信息!$B:$B&amp;盘货信息!$C:$C,盘货信息!$L:$L)="否",_xlfn.XLOOKUP($A140&amp;$B140&amp;$C140,盘货信息!$A:$A&amp;盘货信息!$B:$B&amp;盘货信息!$C:$C,盘货信息!$L:$L)=""),_xlfn.XLOOKUP($A140&amp;$B140&amp;$C140,盘货信息!$A:$A&amp;盘货信息!$B:$B&amp;盘货信息!$C:$C,盘货信息!$M:$M)="否"),"【预估到手价"&amp;_xlfn.XLOOKUP($A140&amp;$B140&amp;$C140,盘货信息!$A:$A&amp;盘货信息!$B:$B&amp;盘货信息!$C:$C,盘货信息!$D:$D)&amp;"元】",IF(AND(_xlfn.XLOOKUP($A140&amp;$B140&amp;$C140,盘货信息!$A:$A&amp;盘货信息!$B:$B&amp;盘货信息!$C:$C,盘货信息!$M:$M)="是",OR(_xlfn.XLOOKUP($A140&amp;$B140&amp;$C140,盘货信息!$A:$A&amp;盘货信息!$B:$B&amp;盘货信息!$C:$C,盘货信息!$L:$L)="否",_xlfn.XLOOKUP($A140&amp;$B140&amp;$C140,盘货信息!$A:$A&amp;盘货信息!$B:$B&amp;盘货信息!$C:$C,盘货信息!$L:$L)="")),"【预估到手价"&amp;_xlfn.XLOOKUP($A140&amp;$B140&amp;$C140,盘货信息!$A:$A&amp;盘货信息!$B:$B&amp;盘货信息!$C:$C,盘货信息!$D:$D)&amp;"元】"&amp;CHAR(10)&amp;"【焕新补贴预估价"&amp;ROUND(_xlfn.XLOOKUP($A140&amp;$B140&amp;$C140,盘货信息!$A:$A&amp;盘货信息!$B:$B&amp;盘货信息!$C:$C,盘货信息!$E:$E),0)&amp;"元】","【焕新补贴预估价"&amp;ROUND(_xlfn.XLOOKUP($A140&amp;$B140&amp;$C140,盘货信息!$A:$A&amp;盘货信息!$B:$B&amp;盘货信息!$C:$C,盘货信息!$E:$E),0)&amp;"元】")))</f>
        <v/>
      </c>
      <c r="F140" s="27" t="str" cm="1">
        <f t="array" ref="F140">IF($C140="","",_xlfn.XLOOKUP($A140&amp;$B140&amp;$C140,盘货信息!$A:$A&amp;盘货信息!$B:$B&amp;盘货信息!$C:$C,盘货信息!$D:$D)&amp;"元到手价")</f>
        <v/>
      </c>
      <c r="G140" s="27" t="str" cm="1">
        <f t="array" ref="G140">IF($C140="","",IF(_xlfn.XLOOKUP($A140&amp;$B140&amp;$C140,盘货信息!$A:$A&amp;盘货信息!$B:$B&amp;盘货信息!$C:$C,盘货信息!$G:$G)&lt;1,"",ROUND(_xlfn.XLOOKUP($A140&amp;$B140&amp;$C140,盘货信息!$A:$A&amp;盘货信息!$B:$B&amp;盘货信息!$C:$C,盘货信息!$G:$G),0)&amp;"元88VIP立减"))</f>
        <v/>
      </c>
      <c r="H140" s="27" t="str" cm="1">
        <f t="array" ref="H140">IF($C140="","",IF(_xlfn.XLOOKUP($A140&amp;$B140&amp;$C140,盘货信息!$A:$A&amp;盘货信息!$B:$B&amp;盘货信息!$C:$C,盘货信息!$I:$I)&lt;1,"",_xlfn.XLOOKUP($A140&amp;$B140&amp;$C140,盘货信息!$A:$A&amp;盘货信息!$B:$B&amp;盘货信息!$C:$C,盘货信息!$I:$I)&amp;"元惊喜立减"))</f>
        <v/>
      </c>
      <c r="I140" s="27" t="str" cm="1">
        <f t="array" ref="I140">IF($C140="","",IF(_xlfn.XLOOKUP($A140&amp;$B140&amp;$C140,盘货信息!$A:$A&amp;盘货信息!$B:$B&amp;盘货信息!$C:$C,盘货信息!$H:$H)&lt;1,"",ROUND(_xlfn.XLOOKUP($A140&amp;$B140&amp;$C140,盘货信息!$A:$A&amp;盘货信息!$B:$B&amp;盘货信息!$C:$C,盘货信息!$H:$H),0)&amp;"元消费券"))</f>
        <v/>
      </c>
      <c r="J140" s="27" t="str" cm="1">
        <f t="array" ref="J140">IF($C140="","",IF(_xlfn.XLOOKUP($A140&amp;$B140&amp;$C140,盘货信息!$A:$A&amp;盘货信息!$B:$B&amp;盘货信息!$C:$C,盘货信息!$J:$J)&lt;1,"",ROUND(_xlfn.XLOOKUP($A140&amp;$B140&amp;$C140,盘货信息!$A:$A&amp;盘货信息!$B:$B&amp;盘货信息!$C:$C,盘货信息!$J:$J),0)&amp;"元限时补贴"))</f>
        <v/>
      </c>
      <c r="K140" s="27" t="str" cm="1">
        <f t="array" ref="K140">IF($C140="","",IF(_xlfn.XLOOKUP($A140&amp;$B140&amp;$C140,盘货信息!$A:$A&amp;盘货信息!$B:$B&amp;盘货信息!$C:$C,盘货信息!$K:$K)&lt;1,"",ROUND(_xlfn.XLOOKUP($A140&amp;$B140&amp;$C140,盘货信息!$A:$A&amp;盘货信息!$B:$B&amp;盘货信息!$C:$C,盘货信息!$K:$K),0)&amp;"元预估焕新补贴"))</f>
        <v/>
      </c>
      <c r="L140" s="27" t="str" cm="1">
        <f t="array" ref="L140">IF($C140="","",IF(AND(_xlfn.XLOOKUP($A140&amp;$B140&amp;$C140,盘货信息!$A:$A&amp;盘货信息!$B:$B&amp;盘货信息!$C:$C,盘货信息!$L:$L)="是",_xlfn.XLOOKUP($A140&amp;$B140&amp;$C140,盘货信息!$A:$A&amp;盘货信息!$B:$B&amp;盘货信息!$C:$C,盘货信息!$M:$M)="是",_xlfn.XLOOKUP($A140&amp;$B140&amp;$C140,盘货信息!$A:$A&amp;盘货信息!$B:$B&amp;盘货信息!$C:$C,盘货信息!$K:$K)&gt;0),"【全民可用，不限地址】",IF(AND(OR(_xlfn.XLOOKUP($A140&amp;$B140&amp;$C140,盘货信息!$A:$A&amp;盘货信息!$B:$B&amp;盘货信息!$C:$C,盘货信息!$L:$L)="否",_xlfn.XLOOKUP($A140&amp;$B140&amp;$C140,盘货信息!$A:$A&amp;盘货信息!$B:$B&amp;盘货信息!$C:$C,盘货信息!$L:$L)=""),_xlfn.XLOOKUP($A140&amp;$B140&amp;$C140,盘货信息!$A:$A&amp;盘货信息!$B:$B&amp;盘货信息!$C:$C,盘货信息!$M:$M)="是",_xlfn.XLOOKUP($A140&amp;$B140&amp;$C140,盘货信息!$A:$A&amp;盘货信息!$B:$B&amp;盘货信息!$C:$C,盘货信息!$K:$K)&gt;0),"【详情页领取】","")))</f>
        <v/>
      </c>
      <c r="M140" s="27" t="str" cm="1">
        <f t="array" ref="M140">IF($C140="","",IF(_xlfn.XLOOKUP($A140&amp;$B140&amp;$C140,盘货信息!$A:$A&amp;盘货信息!$B:$B&amp;盘货信息!$C:$C,盘货信息!$F:$F)&lt;1,"",_xlfn.XLOOKUP($A140&amp;$B140&amp;$C140,盘货信息!$A:$A&amp;盘货信息!$B:$B&amp;盘货信息!$C:$C,盘货信息!$F:$F)&amp;"元明卷"))</f>
        <v/>
      </c>
      <c r="N140" s="27" t="str">
        <f t="shared" si="5"/>
        <v/>
      </c>
      <c r="O140" s="27" t="str">
        <f>IF(I140="","","【消费券链接】"&amp;固定信息!$B$6)</f>
        <v/>
      </c>
    </row>
    <row r="141" customHeight="1" spans="1:15">
      <c r="A141" s="26" t="str">
        <f>IF(盘货信息!A141="","",盘货信息!A141)</f>
        <v/>
      </c>
      <c r="B141" s="26" t="str">
        <f>IF(盘货信息!B141="","",盘货信息!B141)</f>
        <v/>
      </c>
      <c r="C141" s="23" t="str">
        <f>IF(盘货信息!C141="","",盘货信息!C141)</f>
        <v/>
      </c>
      <c r="D141" s="27" t="str">
        <f t="shared" si="4"/>
        <v/>
      </c>
      <c r="E141" s="27" t="str" cm="1">
        <f t="array" ref="E141">IF($C141="","",IF(AND(OR(_xlfn.XLOOKUP($A141&amp;$B141&amp;$C141,盘货信息!$A:$A&amp;盘货信息!$B:$B&amp;盘货信息!$C:$C,盘货信息!$L:$L)="否",_xlfn.XLOOKUP($A141&amp;$B141&amp;$C141,盘货信息!$A:$A&amp;盘货信息!$B:$B&amp;盘货信息!$C:$C,盘货信息!$L:$L)=""),_xlfn.XLOOKUP($A141&amp;$B141&amp;$C141,盘货信息!$A:$A&amp;盘货信息!$B:$B&amp;盘货信息!$C:$C,盘货信息!$M:$M)="否"),"【预估到手价"&amp;_xlfn.XLOOKUP($A141&amp;$B141&amp;$C141,盘货信息!$A:$A&amp;盘货信息!$B:$B&amp;盘货信息!$C:$C,盘货信息!$D:$D)&amp;"元】",IF(AND(_xlfn.XLOOKUP($A141&amp;$B141&amp;$C141,盘货信息!$A:$A&amp;盘货信息!$B:$B&amp;盘货信息!$C:$C,盘货信息!$M:$M)="是",OR(_xlfn.XLOOKUP($A141&amp;$B141&amp;$C141,盘货信息!$A:$A&amp;盘货信息!$B:$B&amp;盘货信息!$C:$C,盘货信息!$L:$L)="否",_xlfn.XLOOKUP($A141&amp;$B141&amp;$C141,盘货信息!$A:$A&amp;盘货信息!$B:$B&amp;盘货信息!$C:$C,盘货信息!$L:$L)="")),"【预估到手价"&amp;_xlfn.XLOOKUP($A141&amp;$B141&amp;$C141,盘货信息!$A:$A&amp;盘货信息!$B:$B&amp;盘货信息!$C:$C,盘货信息!$D:$D)&amp;"元】"&amp;CHAR(10)&amp;"【焕新补贴预估价"&amp;ROUND(_xlfn.XLOOKUP($A141&amp;$B141&amp;$C141,盘货信息!$A:$A&amp;盘货信息!$B:$B&amp;盘货信息!$C:$C,盘货信息!$E:$E),0)&amp;"元】","【焕新补贴预估价"&amp;ROUND(_xlfn.XLOOKUP($A141&amp;$B141&amp;$C141,盘货信息!$A:$A&amp;盘货信息!$B:$B&amp;盘货信息!$C:$C,盘货信息!$E:$E),0)&amp;"元】")))</f>
        <v/>
      </c>
      <c r="F141" s="27" t="str" cm="1">
        <f t="array" ref="F141">IF($C141="","",_xlfn.XLOOKUP($A141&amp;$B141&amp;$C141,盘货信息!$A:$A&amp;盘货信息!$B:$B&amp;盘货信息!$C:$C,盘货信息!$D:$D)&amp;"元到手价")</f>
        <v/>
      </c>
      <c r="G141" s="27" t="str" cm="1">
        <f t="array" ref="G141">IF($C141="","",IF(_xlfn.XLOOKUP($A141&amp;$B141&amp;$C141,盘货信息!$A:$A&amp;盘货信息!$B:$B&amp;盘货信息!$C:$C,盘货信息!$G:$G)&lt;1,"",ROUND(_xlfn.XLOOKUP($A141&amp;$B141&amp;$C141,盘货信息!$A:$A&amp;盘货信息!$B:$B&amp;盘货信息!$C:$C,盘货信息!$G:$G),0)&amp;"元88VIP立减"))</f>
        <v/>
      </c>
      <c r="H141" s="27" t="str" cm="1">
        <f t="array" ref="H141">IF($C141="","",IF(_xlfn.XLOOKUP($A141&amp;$B141&amp;$C141,盘货信息!$A:$A&amp;盘货信息!$B:$B&amp;盘货信息!$C:$C,盘货信息!$I:$I)&lt;1,"",_xlfn.XLOOKUP($A141&amp;$B141&amp;$C141,盘货信息!$A:$A&amp;盘货信息!$B:$B&amp;盘货信息!$C:$C,盘货信息!$I:$I)&amp;"元惊喜立减"))</f>
        <v/>
      </c>
      <c r="I141" s="27" t="str" cm="1">
        <f t="array" ref="I141">IF($C141="","",IF(_xlfn.XLOOKUP($A141&amp;$B141&amp;$C141,盘货信息!$A:$A&amp;盘货信息!$B:$B&amp;盘货信息!$C:$C,盘货信息!$H:$H)&lt;1,"",ROUND(_xlfn.XLOOKUP($A141&amp;$B141&amp;$C141,盘货信息!$A:$A&amp;盘货信息!$B:$B&amp;盘货信息!$C:$C,盘货信息!$H:$H),0)&amp;"元消费券"))</f>
        <v/>
      </c>
      <c r="J141" s="27" t="str" cm="1">
        <f t="array" ref="J141">IF($C141="","",IF(_xlfn.XLOOKUP($A141&amp;$B141&amp;$C141,盘货信息!$A:$A&amp;盘货信息!$B:$B&amp;盘货信息!$C:$C,盘货信息!$J:$J)&lt;1,"",ROUND(_xlfn.XLOOKUP($A141&amp;$B141&amp;$C141,盘货信息!$A:$A&amp;盘货信息!$B:$B&amp;盘货信息!$C:$C,盘货信息!$J:$J),0)&amp;"元限时补贴"))</f>
        <v/>
      </c>
      <c r="K141" s="27" t="str" cm="1">
        <f t="array" ref="K141">IF($C141="","",IF(_xlfn.XLOOKUP($A141&amp;$B141&amp;$C141,盘货信息!$A:$A&amp;盘货信息!$B:$B&amp;盘货信息!$C:$C,盘货信息!$K:$K)&lt;1,"",ROUND(_xlfn.XLOOKUP($A141&amp;$B141&amp;$C141,盘货信息!$A:$A&amp;盘货信息!$B:$B&amp;盘货信息!$C:$C,盘货信息!$K:$K),0)&amp;"元预估焕新补贴"))</f>
        <v/>
      </c>
      <c r="L141" s="27" t="str" cm="1">
        <f t="array" ref="L141">IF($C141="","",IF(AND(_xlfn.XLOOKUP($A141&amp;$B141&amp;$C141,盘货信息!$A:$A&amp;盘货信息!$B:$B&amp;盘货信息!$C:$C,盘货信息!$L:$L)="是",_xlfn.XLOOKUP($A141&amp;$B141&amp;$C141,盘货信息!$A:$A&amp;盘货信息!$B:$B&amp;盘货信息!$C:$C,盘货信息!$M:$M)="是",_xlfn.XLOOKUP($A141&amp;$B141&amp;$C141,盘货信息!$A:$A&amp;盘货信息!$B:$B&amp;盘货信息!$C:$C,盘货信息!$K:$K)&gt;0),"【全民可用，不限地址】",IF(AND(OR(_xlfn.XLOOKUP($A141&amp;$B141&amp;$C141,盘货信息!$A:$A&amp;盘货信息!$B:$B&amp;盘货信息!$C:$C,盘货信息!$L:$L)="否",_xlfn.XLOOKUP($A141&amp;$B141&amp;$C141,盘货信息!$A:$A&amp;盘货信息!$B:$B&amp;盘货信息!$C:$C,盘货信息!$L:$L)=""),_xlfn.XLOOKUP($A141&amp;$B141&amp;$C141,盘货信息!$A:$A&amp;盘货信息!$B:$B&amp;盘货信息!$C:$C,盘货信息!$M:$M)="是",_xlfn.XLOOKUP($A141&amp;$B141&amp;$C141,盘货信息!$A:$A&amp;盘货信息!$B:$B&amp;盘货信息!$C:$C,盘货信息!$K:$K)&gt;0),"【详情页领取】","")))</f>
        <v/>
      </c>
      <c r="M141" s="27" t="str" cm="1">
        <f t="array" ref="M141">IF($C141="","",IF(_xlfn.XLOOKUP($A141&amp;$B141&amp;$C141,盘货信息!$A:$A&amp;盘货信息!$B:$B&amp;盘货信息!$C:$C,盘货信息!$F:$F)&lt;1,"",_xlfn.XLOOKUP($A141&amp;$B141&amp;$C141,盘货信息!$A:$A&amp;盘货信息!$B:$B&amp;盘货信息!$C:$C,盘货信息!$F:$F)&amp;"元明卷"))</f>
        <v/>
      </c>
      <c r="N141" s="27" t="str">
        <f t="shared" si="5"/>
        <v/>
      </c>
      <c r="O141" s="27" t="str">
        <f>IF(I141="","","【消费券链接】"&amp;固定信息!$B$6)</f>
        <v/>
      </c>
    </row>
    <row r="142" customHeight="1" spans="1:15">
      <c r="A142" s="26" t="str">
        <f>IF(盘货信息!A142="","",盘货信息!A142)</f>
        <v/>
      </c>
      <c r="B142" s="26" t="str">
        <f>IF(盘货信息!B142="","",盘货信息!B142)</f>
        <v/>
      </c>
      <c r="C142" s="23" t="str">
        <f>IF(盘货信息!C142="","",盘货信息!C142)</f>
        <v/>
      </c>
      <c r="D142" s="27" t="str">
        <f t="shared" si="4"/>
        <v/>
      </c>
      <c r="E142" s="27" t="str" cm="1">
        <f t="array" ref="E142">IF($C142="","",IF(AND(OR(_xlfn.XLOOKUP($A142&amp;$B142&amp;$C142,盘货信息!$A:$A&amp;盘货信息!$B:$B&amp;盘货信息!$C:$C,盘货信息!$L:$L)="否",_xlfn.XLOOKUP($A142&amp;$B142&amp;$C142,盘货信息!$A:$A&amp;盘货信息!$B:$B&amp;盘货信息!$C:$C,盘货信息!$L:$L)=""),_xlfn.XLOOKUP($A142&amp;$B142&amp;$C142,盘货信息!$A:$A&amp;盘货信息!$B:$B&amp;盘货信息!$C:$C,盘货信息!$M:$M)="否"),"【预估到手价"&amp;_xlfn.XLOOKUP($A142&amp;$B142&amp;$C142,盘货信息!$A:$A&amp;盘货信息!$B:$B&amp;盘货信息!$C:$C,盘货信息!$D:$D)&amp;"元】",IF(AND(_xlfn.XLOOKUP($A142&amp;$B142&amp;$C142,盘货信息!$A:$A&amp;盘货信息!$B:$B&amp;盘货信息!$C:$C,盘货信息!$M:$M)="是",OR(_xlfn.XLOOKUP($A142&amp;$B142&amp;$C142,盘货信息!$A:$A&amp;盘货信息!$B:$B&amp;盘货信息!$C:$C,盘货信息!$L:$L)="否",_xlfn.XLOOKUP($A142&amp;$B142&amp;$C142,盘货信息!$A:$A&amp;盘货信息!$B:$B&amp;盘货信息!$C:$C,盘货信息!$L:$L)="")),"【预估到手价"&amp;_xlfn.XLOOKUP($A142&amp;$B142&amp;$C142,盘货信息!$A:$A&amp;盘货信息!$B:$B&amp;盘货信息!$C:$C,盘货信息!$D:$D)&amp;"元】"&amp;CHAR(10)&amp;"【焕新补贴预估价"&amp;ROUND(_xlfn.XLOOKUP($A142&amp;$B142&amp;$C142,盘货信息!$A:$A&amp;盘货信息!$B:$B&amp;盘货信息!$C:$C,盘货信息!$E:$E),0)&amp;"元】","【焕新补贴预估价"&amp;ROUND(_xlfn.XLOOKUP($A142&amp;$B142&amp;$C142,盘货信息!$A:$A&amp;盘货信息!$B:$B&amp;盘货信息!$C:$C,盘货信息!$E:$E),0)&amp;"元】")))</f>
        <v/>
      </c>
      <c r="F142" s="27" t="str" cm="1">
        <f t="array" ref="F142">IF($C142="","",_xlfn.XLOOKUP($A142&amp;$B142&amp;$C142,盘货信息!$A:$A&amp;盘货信息!$B:$B&amp;盘货信息!$C:$C,盘货信息!$D:$D)&amp;"元到手价")</f>
        <v/>
      </c>
      <c r="G142" s="27" t="str" cm="1">
        <f t="array" ref="G142">IF($C142="","",IF(_xlfn.XLOOKUP($A142&amp;$B142&amp;$C142,盘货信息!$A:$A&amp;盘货信息!$B:$B&amp;盘货信息!$C:$C,盘货信息!$G:$G)&lt;1,"",ROUND(_xlfn.XLOOKUP($A142&amp;$B142&amp;$C142,盘货信息!$A:$A&amp;盘货信息!$B:$B&amp;盘货信息!$C:$C,盘货信息!$G:$G),0)&amp;"元88VIP立减"))</f>
        <v/>
      </c>
      <c r="H142" s="27" t="str" cm="1">
        <f t="array" ref="H142">IF($C142="","",IF(_xlfn.XLOOKUP($A142&amp;$B142&amp;$C142,盘货信息!$A:$A&amp;盘货信息!$B:$B&amp;盘货信息!$C:$C,盘货信息!$I:$I)&lt;1,"",_xlfn.XLOOKUP($A142&amp;$B142&amp;$C142,盘货信息!$A:$A&amp;盘货信息!$B:$B&amp;盘货信息!$C:$C,盘货信息!$I:$I)&amp;"元惊喜立减"))</f>
        <v/>
      </c>
      <c r="I142" s="27" t="str" cm="1">
        <f t="array" ref="I142">IF($C142="","",IF(_xlfn.XLOOKUP($A142&amp;$B142&amp;$C142,盘货信息!$A:$A&amp;盘货信息!$B:$B&amp;盘货信息!$C:$C,盘货信息!$H:$H)&lt;1,"",ROUND(_xlfn.XLOOKUP($A142&amp;$B142&amp;$C142,盘货信息!$A:$A&amp;盘货信息!$B:$B&amp;盘货信息!$C:$C,盘货信息!$H:$H),0)&amp;"元消费券"))</f>
        <v/>
      </c>
      <c r="J142" s="27" t="str" cm="1">
        <f t="array" ref="J142">IF($C142="","",IF(_xlfn.XLOOKUP($A142&amp;$B142&amp;$C142,盘货信息!$A:$A&amp;盘货信息!$B:$B&amp;盘货信息!$C:$C,盘货信息!$J:$J)&lt;1,"",ROUND(_xlfn.XLOOKUP($A142&amp;$B142&amp;$C142,盘货信息!$A:$A&amp;盘货信息!$B:$B&amp;盘货信息!$C:$C,盘货信息!$J:$J),0)&amp;"元限时补贴"))</f>
        <v/>
      </c>
      <c r="K142" s="27" t="str" cm="1">
        <f t="array" ref="K142">IF($C142="","",IF(_xlfn.XLOOKUP($A142&amp;$B142&amp;$C142,盘货信息!$A:$A&amp;盘货信息!$B:$B&amp;盘货信息!$C:$C,盘货信息!$K:$K)&lt;1,"",ROUND(_xlfn.XLOOKUP($A142&amp;$B142&amp;$C142,盘货信息!$A:$A&amp;盘货信息!$B:$B&amp;盘货信息!$C:$C,盘货信息!$K:$K),0)&amp;"元预估焕新补贴"))</f>
        <v/>
      </c>
      <c r="L142" s="27" t="str" cm="1">
        <f t="array" ref="L142">IF($C142="","",IF(AND(_xlfn.XLOOKUP($A142&amp;$B142&amp;$C142,盘货信息!$A:$A&amp;盘货信息!$B:$B&amp;盘货信息!$C:$C,盘货信息!$L:$L)="是",_xlfn.XLOOKUP($A142&amp;$B142&amp;$C142,盘货信息!$A:$A&amp;盘货信息!$B:$B&amp;盘货信息!$C:$C,盘货信息!$M:$M)="是",_xlfn.XLOOKUP($A142&amp;$B142&amp;$C142,盘货信息!$A:$A&amp;盘货信息!$B:$B&amp;盘货信息!$C:$C,盘货信息!$K:$K)&gt;0),"【全民可用，不限地址】",IF(AND(OR(_xlfn.XLOOKUP($A142&amp;$B142&amp;$C142,盘货信息!$A:$A&amp;盘货信息!$B:$B&amp;盘货信息!$C:$C,盘货信息!$L:$L)="否",_xlfn.XLOOKUP($A142&amp;$B142&amp;$C142,盘货信息!$A:$A&amp;盘货信息!$B:$B&amp;盘货信息!$C:$C,盘货信息!$L:$L)=""),_xlfn.XLOOKUP($A142&amp;$B142&amp;$C142,盘货信息!$A:$A&amp;盘货信息!$B:$B&amp;盘货信息!$C:$C,盘货信息!$M:$M)="是",_xlfn.XLOOKUP($A142&amp;$B142&amp;$C142,盘货信息!$A:$A&amp;盘货信息!$B:$B&amp;盘货信息!$C:$C,盘货信息!$K:$K)&gt;0),"【详情页领取】","")))</f>
        <v/>
      </c>
      <c r="M142" s="27" t="str" cm="1">
        <f t="array" ref="M142">IF($C142="","",IF(_xlfn.XLOOKUP($A142&amp;$B142&amp;$C142,盘货信息!$A:$A&amp;盘货信息!$B:$B&amp;盘货信息!$C:$C,盘货信息!$F:$F)&lt;1,"",_xlfn.XLOOKUP($A142&amp;$B142&amp;$C142,盘货信息!$A:$A&amp;盘货信息!$B:$B&amp;盘货信息!$C:$C,盘货信息!$F:$F)&amp;"元明卷"))</f>
        <v/>
      </c>
      <c r="N142" s="27" t="str">
        <f t="shared" si="5"/>
        <v/>
      </c>
      <c r="O142" s="27" t="str">
        <f>IF(I142="","","【消费券链接】"&amp;固定信息!$B$6)</f>
        <v/>
      </c>
    </row>
    <row r="143" customHeight="1" spans="1:15">
      <c r="A143" s="26" t="str">
        <f>IF(盘货信息!A143="","",盘货信息!A143)</f>
        <v/>
      </c>
      <c r="B143" s="26" t="str">
        <f>IF(盘货信息!B143="","",盘货信息!B143)</f>
        <v/>
      </c>
      <c r="C143" s="20" t="str">
        <f>IF(盘货信息!C143="","",盘货信息!C143)</f>
        <v/>
      </c>
      <c r="D143" s="27" t="str">
        <f t="shared" si="4"/>
        <v/>
      </c>
      <c r="E143" s="27" t="str" cm="1">
        <f t="array" ref="E143">IF($C143="","",IF(AND(OR(_xlfn.XLOOKUP($A143&amp;$B143&amp;$C143,盘货信息!$A:$A&amp;盘货信息!$B:$B&amp;盘货信息!$C:$C,盘货信息!$L:$L)="否",_xlfn.XLOOKUP($A143&amp;$B143&amp;$C143,盘货信息!$A:$A&amp;盘货信息!$B:$B&amp;盘货信息!$C:$C,盘货信息!$L:$L)=""),_xlfn.XLOOKUP($A143&amp;$B143&amp;$C143,盘货信息!$A:$A&amp;盘货信息!$B:$B&amp;盘货信息!$C:$C,盘货信息!$M:$M)="否"),"【预估到手价"&amp;_xlfn.XLOOKUP($A143&amp;$B143&amp;$C143,盘货信息!$A:$A&amp;盘货信息!$B:$B&amp;盘货信息!$C:$C,盘货信息!$D:$D)&amp;"元】",IF(AND(_xlfn.XLOOKUP($A143&amp;$B143&amp;$C143,盘货信息!$A:$A&amp;盘货信息!$B:$B&amp;盘货信息!$C:$C,盘货信息!$M:$M)="是",OR(_xlfn.XLOOKUP($A143&amp;$B143&amp;$C143,盘货信息!$A:$A&amp;盘货信息!$B:$B&amp;盘货信息!$C:$C,盘货信息!$L:$L)="否",_xlfn.XLOOKUP($A143&amp;$B143&amp;$C143,盘货信息!$A:$A&amp;盘货信息!$B:$B&amp;盘货信息!$C:$C,盘货信息!$L:$L)="")),"【预估到手价"&amp;_xlfn.XLOOKUP($A143&amp;$B143&amp;$C143,盘货信息!$A:$A&amp;盘货信息!$B:$B&amp;盘货信息!$C:$C,盘货信息!$D:$D)&amp;"元】"&amp;CHAR(10)&amp;"【焕新补贴预估价"&amp;ROUND(_xlfn.XLOOKUP($A143&amp;$B143&amp;$C143,盘货信息!$A:$A&amp;盘货信息!$B:$B&amp;盘货信息!$C:$C,盘货信息!$E:$E),0)&amp;"元】","【焕新补贴预估价"&amp;ROUND(_xlfn.XLOOKUP($A143&amp;$B143&amp;$C143,盘货信息!$A:$A&amp;盘货信息!$B:$B&amp;盘货信息!$C:$C,盘货信息!$E:$E),0)&amp;"元】")))</f>
        <v/>
      </c>
      <c r="F143" s="27" t="str" cm="1">
        <f t="array" ref="F143">IF($C143="","",_xlfn.XLOOKUP($A143&amp;$B143&amp;$C143,盘货信息!$A:$A&amp;盘货信息!$B:$B&amp;盘货信息!$C:$C,盘货信息!$D:$D)&amp;"元到手价")</f>
        <v/>
      </c>
      <c r="G143" s="27" t="str" cm="1">
        <f t="array" ref="G143">IF($C143="","",IF(_xlfn.XLOOKUP($A143&amp;$B143&amp;$C143,盘货信息!$A:$A&amp;盘货信息!$B:$B&amp;盘货信息!$C:$C,盘货信息!$G:$G)&lt;1,"",ROUND(_xlfn.XLOOKUP($A143&amp;$B143&amp;$C143,盘货信息!$A:$A&amp;盘货信息!$B:$B&amp;盘货信息!$C:$C,盘货信息!$G:$G),0)&amp;"元88VIP立减"))</f>
        <v/>
      </c>
      <c r="H143" s="27" t="str" cm="1">
        <f t="array" ref="H143">IF($C143="","",IF(_xlfn.XLOOKUP($A143&amp;$B143&amp;$C143,盘货信息!$A:$A&amp;盘货信息!$B:$B&amp;盘货信息!$C:$C,盘货信息!$I:$I)&lt;1,"",_xlfn.XLOOKUP($A143&amp;$B143&amp;$C143,盘货信息!$A:$A&amp;盘货信息!$B:$B&amp;盘货信息!$C:$C,盘货信息!$I:$I)&amp;"元惊喜立减"))</f>
        <v/>
      </c>
      <c r="I143" s="27" t="str" cm="1">
        <f t="array" ref="I143">IF($C143="","",IF(_xlfn.XLOOKUP($A143&amp;$B143&amp;$C143,盘货信息!$A:$A&amp;盘货信息!$B:$B&amp;盘货信息!$C:$C,盘货信息!$H:$H)&lt;1,"",ROUND(_xlfn.XLOOKUP($A143&amp;$B143&amp;$C143,盘货信息!$A:$A&amp;盘货信息!$B:$B&amp;盘货信息!$C:$C,盘货信息!$H:$H),0)&amp;"元消费券"))</f>
        <v/>
      </c>
      <c r="J143" s="27" t="str" cm="1">
        <f t="array" ref="J143">IF($C143="","",IF(_xlfn.XLOOKUP($A143&amp;$B143&amp;$C143,盘货信息!$A:$A&amp;盘货信息!$B:$B&amp;盘货信息!$C:$C,盘货信息!$J:$J)&lt;1,"",ROUND(_xlfn.XLOOKUP($A143&amp;$B143&amp;$C143,盘货信息!$A:$A&amp;盘货信息!$B:$B&amp;盘货信息!$C:$C,盘货信息!$J:$J),0)&amp;"元限时补贴"))</f>
        <v/>
      </c>
      <c r="K143" s="27" t="str" cm="1">
        <f t="array" ref="K143">IF($C143="","",IF(_xlfn.XLOOKUP($A143&amp;$B143&amp;$C143,盘货信息!$A:$A&amp;盘货信息!$B:$B&amp;盘货信息!$C:$C,盘货信息!$K:$K)&lt;1,"",ROUND(_xlfn.XLOOKUP($A143&amp;$B143&amp;$C143,盘货信息!$A:$A&amp;盘货信息!$B:$B&amp;盘货信息!$C:$C,盘货信息!$K:$K),0)&amp;"元预估焕新补贴"))</f>
        <v/>
      </c>
      <c r="L143" s="27" t="str" cm="1">
        <f t="array" ref="L143">IF($C143="","",IF(AND(_xlfn.XLOOKUP($A143&amp;$B143&amp;$C143,盘货信息!$A:$A&amp;盘货信息!$B:$B&amp;盘货信息!$C:$C,盘货信息!$L:$L)="是",_xlfn.XLOOKUP($A143&amp;$B143&amp;$C143,盘货信息!$A:$A&amp;盘货信息!$B:$B&amp;盘货信息!$C:$C,盘货信息!$M:$M)="是",_xlfn.XLOOKUP($A143&amp;$B143&amp;$C143,盘货信息!$A:$A&amp;盘货信息!$B:$B&amp;盘货信息!$C:$C,盘货信息!$K:$K)&gt;0),"【全民可用，不限地址】",IF(AND(OR(_xlfn.XLOOKUP($A143&amp;$B143&amp;$C143,盘货信息!$A:$A&amp;盘货信息!$B:$B&amp;盘货信息!$C:$C,盘货信息!$L:$L)="否",_xlfn.XLOOKUP($A143&amp;$B143&amp;$C143,盘货信息!$A:$A&amp;盘货信息!$B:$B&amp;盘货信息!$C:$C,盘货信息!$L:$L)=""),_xlfn.XLOOKUP($A143&amp;$B143&amp;$C143,盘货信息!$A:$A&amp;盘货信息!$B:$B&amp;盘货信息!$C:$C,盘货信息!$M:$M)="是",_xlfn.XLOOKUP($A143&amp;$B143&amp;$C143,盘货信息!$A:$A&amp;盘货信息!$B:$B&amp;盘货信息!$C:$C,盘货信息!$K:$K)&gt;0),"【详情页领取】","")))</f>
        <v/>
      </c>
      <c r="M143" s="27" t="str" cm="1">
        <f t="array" ref="M143">IF($C143="","",IF(_xlfn.XLOOKUP($A143&amp;$B143&amp;$C143,盘货信息!$A:$A&amp;盘货信息!$B:$B&amp;盘货信息!$C:$C,盘货信息!$F:$F)&lt;1,"",_xlfn.XLOOKUP($A143&amp;$B143&amp;$C143,盘货信息!$A:$A&amp;盘货信息!$B:$B&amp;盘货信息!$C:$C,盘货信息!$F:$F)&amp;"元明卷"))</f>
        <v/>
      </c>
      <c r="N143" s="27" t="str">
        <f t="shared" si="5"/>
        <v/>
      </c>
      <c r="O143" s="27" t="str">
        <f>IF(I143="","","【消费券链接】"&amp;固定信息!$B$6)</f>
        <v/>
      </c>
    </row>
    <row r="144" customHeight="1" spans="1:15">
      <c r="A144" s="26" t="str">
        <f>IF(盘货信息!A144="","",盘货信息!A144)</f>
        <v/>
      </c>
      <c r="B144" s="26" t="str">
        <f>IF(盘货信息!B144="","",盘货信息!B144)</f>
        <v/>
      </c>
      <c r="C144" s="23" t="str">
        <f>IF(盘货信息!C144="","",盘货信息!C144)</f>
        <v/>
      </c>
      <c r="D144" s="27" t="str">
        <f t="shared" si="4"/>
        <v/>
      </c>
      <c r="E144" s="27" t="str" cm="1">
        <f t="array" ref="E144">IF($C144="","",IF(AND(OR(_xlfn.XLOOKUP($A144&amp;$B144&amp;$C144,盘货信息!$A:$A&amp;盘货信息!$B:$B&amp;盘货信息!$C:$C,盘货信息!$L:$L)="否",_xlfn.XLOOKUP($A144&amp;$B144&amp;$C144,盘货信息!$A:$A&amp;盘货信息!$B:$B&amp;盘货信息!$C:$C,盘货信息!$L:$L)=""),_xlfn.XLOOKUP($A144&amp;$B144&amp;$C144,盘货信息!$A:$A&amp;盘货信息!$B:$B&amp;盘货信息!$C:$C,盘货信息!$M:$M)="否"),"【预估到手价"&amp;_xlfn.XLOOKUP($A144&amp;$B144&amp;$C144,盘货信息!$A:$A&amp;盘货信息!$B:$B&amp;盘货信息!$C:$C,盘货信息!$D:$D)&amp;"元】",IF(AND(_xlfn.XLOOKUP($A144&amp;$B144&amp;$C144,盘货信息!$A:$A&amp;盘货信息!$B:$B&amp;盘货信息!$C:$C,盘货信息!$M:$M)="是",OR(_xlfn.XLOOKUP($A144&amp;$B144&amp;$C144,盘货信息!$A:$A&amp;盘货信息!$B:$B&amp;盘货信息!$C:$C,盘货信息!$L:$L)="否",_xlfn.XLOOKUP($A144&amp;$B144&amp;$C144,盘货信息!$A:$A&amp;盘货信息!$B:$B&amp;盘货信息!$C:$C,盘货信息!$L:$L)="")),"【预估到手价"&amp;_xlfn.XLOOKUP($A144&amp;$B144&amp;$C144,盘货信息!$A:$A&amp;盘货信息!$B:$B&amp;盘货信息!$C:$C,盘货信息!$D:$D)&amp;"元】"&amp;CHAR(10)&amp;"【焕新补贴预估价"&amp;ROUND(_xlfn.XLOOKUP($A144&amp;$B144&amp;$C144,盘货信息!$A:$A&amp;盘货信息!$B:$B&amp;盘货信息!$C:$C,盘货信息!$E:$E),0)&amp;"元】","【焕新补贴预估价"&amp;ROUND(_xlfn.XLOOKUP($A144&amp;$B144&amp;$C144,盘货信息!$A:$A&amp;盘货信息!$B:$B&amp;盘货信息!$C:$C,盘货信息!$E:$E),0)&amp;"元】")))</f>
        <v/>
      </c>
      <c r="F144" s="27" t="str" cm="1">
        <f t="array" ref="F144">IF($C144="","",_xlfn.XLOOKUP($A144&amp;$B144&amp;$C144,盘货信息!$A:$A&amp;盘货信息!$B:$B&amp;盘货信息!$C:$C,盘货信息!$D:$D)&amp;"元到手价")</f>
        <v/>
      </c>
      <c r="G144" s="27" t="str" cm="1">
        <f t="array" ref="G144">IF($C144="","",IF(_xlfn.XLOOKUP($A144&amp;$B144&amp;$C144,盘货信息!$A:$A&amp;盘货信息!$B:$B&amp;盘货信息!$C:$C,盘货信息!$G:$G)&lt;1,"",ROUND(_xlfn.XLOOKUP($A144&amp;$B144&amp;$C144,盘货信息!$A:$A&amp;盘货信息!$B:$B&amp;盘货信息!$C:$C,盘货信息!$G:$G),0)&amp;"元88VIP立减"))</f>
        <v/>
      </c>
      <c r="H144" s="27" t="str" cm="1">
        <f t="array" ref="H144">IF($C144="","",IF(_xlfn.XLOOKUP($A144&amp;$B144&amp;$C144,盘货信息!$A:$A&amp;盘货信息!$B:$B&amp;盘货信息!$C:$C,盘货信息!$I:$I)&lt;1,"",_xlfn.XLOOKUP($A144&amp;$B144&amp;$C144,盘货信息!$A:$A&amp;盘货信息!$B:$B&amp;盘货信息!$C:$C,盘货信息!$I:$I)&amp;"元惊喜立减"))</f>
        <v/>
      </c>
      <c r="I144" s="27" t="str" cm="1">
        <f t="array" ref="I144">IF($C144="","",IF(_xlfn.XLOOKUP($A144&amp;$B144&amp;$C144,盘货信息!$A:$A&amp;盘货信息!$B:$B&amp;盘货信息!$C:$C,盘货信息!$H:$H)&lt;1,"",ROUND(_xlfn.XLOOKUP($A144&amp;$B144&amp;$C144,盘货信息!$A:$A&amp;盘货信息!$B:$B&amp;盘货信息!$C:$C,盘货信息!$H:$H),0)&amp;"元消费券"))</f>
        <v/>
      </c>
      <c r="J144" s="27" t="str" cm="1">
        <f t="array" ref="J144">IF($C144="","",IF(_xlfn.XLOOKUP($A144&amp;$B144&amp;$C144,盘货信息!$A:$A&amp;盘货信息!$B:$B&amp;盘货信息!$C:$C,盘货信息!$J:$J)&lt;1,"",ROUND(_xlfn.XLOOKUP($A144&amp;$B144&amp;$C144,盘货信息!$A:$A&amp;盘货信息!$B:$B&amp;盘货信息!$C:$C,盘货信息!$J:$J),0)&amp;"元限时补贴"))</f>
        <v/>
      </c>
      <c r="K144" s="27" t="str" cm="1">
        <f t="array" ref="K144">IF($C144="","",IF(_xlfn.XLOOKUP($A144&amp;$B144&amp;$C144,盘货信息!$A:$A&amp;盘货信息!$B:$B&amp;盘货信息!$C:$C,盘货信息!$K:$K)&lt;1,"",ROUND(_xlfn.XLOOKUP($A144&amp;$B144&amp;$C144,盘货信息!$A:$A&amp;盘货信息!$B:$B&amp;盘货信息!$C:$C,盘货信息!$K:$K),0)&amp;"元预估焕新补贴"))</f>
        <v/>
      </c>
      <c r="L144" s="27" t="str" cm="1">
        <f t="array" ref="L144">IF($C144="","",IF(AND(_xlfn.XLOOKUP($A144&amp;$B144&amp;$C144,盘货信息!$A:$A&amp;盘货信息!$B:$B&amp;盘货信息!$C:$C,盘货信息!$L:$L)="是",_xlfn.XLOOKUP($A144&amp;$B144&amp;$C144,盘货信息!$A:$A&amp;盘货信息!$B:$B&amp;盘货信息!$C:$C,盘货信息!$M:$M)="是",_xlfn.XLOOKUP($A144&amp;$B144&amp;$C144,盘货信息!$A:$A&amp;盘货信息!$B:$B&amp;盘货信息!$C:$C,盘货信息!$K:$K)&gt;0),"【全民可用，不限地址】",IF(AND(OR(_xlfn.XLOOKUP($A144&amp;$B144&amp;$C144,盘货信息!$A:$A&amp;盘货信息!$B:$B&amp;盘货信息!$C:$C,盘货信息!$L:$L)="否",_xlfn.XLOOKUP($A144&amp;$B144&amp;$C144,盘货信息!$A:$A&amp;盘货信息!$B:$B&amp;盘货信息!$C:$C,盘货信息!$L:$L)=""),_xlfn.XLOOKUP($A144&amp;$B144&amp;$C144,盘货信息!$A:$A&amp;盘货信息!$B:$B&amp;盘货信息!$C:$C,盘货信息!$M:$M)="是",_xlfn.XLOOKUP($A144&amp;$B144&amp;$C144,盘货信息!$A:$A&amp;盘货信息!$B:$B&amp;盘货信息!$C:$C,盘货信息!$K:$K)&gt;0),"【详情页领取】","")))</f>
        <v/>
      </c>
      <c r="M144" s="27" t="str" cm="1">
        <f t="array" ref="M144">IF($C144="","",IF(_xlfn.XLOOKUP($A144&amp;$B144&amp;$C144,盘货信息!$A:$A&amp;盘货信息!$B:$B&amp;盘货信息!$C:$C,盘货信息!$F:$F)&lt;1,"",_xlfn.XLOOKUP($A144&amp;$B144&amp;$C144,盘货信息!$A:$A&amp;盘货信息!$B:$B&amp;盘货信息!$C:$C,盘货信息!$F:$F)&amp;"元明卷"))</f>
        <v/>
      </c>
      <c r="N144" s="27" t="str">
        <f t="shared" si="5"/>
        <v/>
      </c>
      <c r="O144" s="27" t="str">
        <f>IF(I144="","","【消费券链接】"&amp;固定信息!$B$6)</f>
        <v/>
      </c>
    </row>
    <row r="145" customHeight="1" spans="1:15">
      <c r="A145" s="26" t="str">
        <f>IF(盘货信息!A145="","",盘货信息!A145)</f>
        <v/>
      </c>
      <c r="B145" s="26" t="str">
        <f>IF(盘货信息!B145="","",盘货信息!B145)</f>
        <v/>
      </c>
      <c r="C145" s="23" t="str">
        <f>IF(盘货信息!C145="","",盘货信息!C145)</f>
        <v/>
      </c>
      <c r="D145" s="27" t="str">
        <f t="shared" si="4"/>
        <v/>
      </c>
      <c r="E145" s="27" t="str" cm="1">
        <f t="array" ref="E145">IF($C145="","",IF(AND(OR(_xlfn.XLOOKUP($A145&amp;$B145&amp;$C145,盘货信息!$A:$A&amp;盘货信息!$B:$B&amp;盘货信息!$C:$C,盘货信息!$L:$L)="否",_xlfn.XLOOKUP($A145&amp;$B145&amp;$C145,盘货信息!$A:$A&amp;盘货信息!$B:$B&amp;盘货信息!$C:$C,盘货信息!$L:$L)=""),_xlfn.XLOOKUP($A145&amp;$B145&amp;$C145,盘货信息!$A:$A&amp;盘货信息!$B:$B&amp;盘货信息!$C:$C,盘货信息!$M:$M)="否"),"【预估到手价"&amp;_xlfn.XLOOKUP($A145&amp;$B145&amp;$C145,盘货信息!$A:$A&amp;盘货信息!$B:$B&amp;盘货信息!$C:$C,盘货信息!$D:$D)&amp;"元】",IF(AND(_xlfn.XLOOKUP($A145&amp;$B145&amp;$C145,盘货信息!$A:$A&amp;盘货信息!$B:$B&amp;盘货信息!$C:$C,盘货信息!$M:$M)="是",OR(_xlfn.XLOOKUP($A145&amp;$B145&amp;$C145,盘货信息!$A:$A&amp;盘货信息!$B:$B&amp;盘货信息!$C:$C,盘货信息!$L:$L)="否",_xlfn.XLOOKUP($A145&amp;$B145&amp;$C145,盘货信息!$A:$A&amp;盘货信息!$B:$B&amp;盘货信息!$C:$C,盘货信息!$L:$L)="")),"【预估到手价"&amp;_xlfn.XLOOKUP($A145&amp;$B145&amp;$C145,盘货信息!$A:$A&amp;盘货信息!$B:$B&amp;盘货信息!$C:$C,盘货信息!$D:$D)&amp;"元】"&amp;CHAR(10)&amp;"【焕新补贴预估价"&amp;ROUND(_xlfn.XLOOKUP($A145&amp;$B145&amp;$C145,盘货信息!$A:$A&amp;盘货信息!$B:$B&amp;盘货信息!$C:$C,盘货信息!$E:$E),0)&amp;"元】","【焕新补贴预估价"&amp;ROUND(_xlfn.XLOOKUP($A145&amp;$B145&amp;$C145,盘货信息!$A:$A&amp;盘货信息!$B:$B&amp;盘货信息!$C:$C,盘货信息!$E:$E),0)&amp;"元】")))</f>
        <v/>
      </c>
      <c r="F145" s="27" t="str" cm="1">
        <f t="array" ref="F145">IF($C145="","",_xlfn.XLOOKUP($A145&amp;$B145&amp;$C145,盘货信息!$A:$A&amp;盘货信息!$B:$B&amp;盘货信息!$C:$C,盘货信息!$D:$D)&amp;"元到手价")</f>
        <v/>
      </c>
      <c r="G145" s="27" t="str" cm="1">
        <f t="array" ref="G145">IF($C145="","",IF(_xlfn.XLOOKUP($A145&amp;$B145&amp;$C145,盘货信息!$A:$A&amp;盘货信息!$B:$B&amp;盘货信息!$C:$C,盘货信息!$G:$G)&lt;1,"",ROUND(_xlfn.XLOOKUP($A145&amp;$B145&amp;$C145,盘货信息!$A:$A&amp;盘货信息!$B:$B&amp;盘货信息!$C:$C,盘货信息!$G:$G),0)&amp;"元88VIP立减"))</f>
        <v/>
      </c>
      <c r="H145" s="27" t="str" cm="1">
        <f t="array" ref="H145">IF($C145="","",IF(_xlfn.XLOOKUP($A145&amp;$B145&amp;$C145,盘货信息!$A:$A&amp;盘货信息!$B:$B&amp;盘货信息!$C:$C,盘货信息!$I:$I)&lt;1,"",_xlfn.XLOOKUP($A145&amp;$B145&amp;$C145,盘货信息!$A:$A&amp;盘货信息!$B:$B&amp;盘货信息!$C:$C,盘货信息!$I:$I)&amp;"元惊喜立减"))</f>
        <v/>
      </c>
      <c r="I145" s="27" t="str" cm="1">
        <f t="array" ref="I145">IF($C145="","",IF(_xlfn.XLOOKUP($A145&amp;$B145&amp;$C145,盘货信息!$A:$A&amp;盘货信息!$B:$B&amp;盘货信息!$C:$C,盘货信息!$H:$H)&lt;1,"",ROUND(_xlfn.XLOOKUP($A145&amp;$B145&amp;$C145,盘货信息!$A:$A&amp;盘货信息!$B:$B&amp;盘货信息!$C:$C,盘货信息!$H:$H),0)&amp;"元消费券"))</f>
        <v/>
      </c>
      <c r="J145" s="27" t="str" cm="1">
        <f t="array" ref="J145">IF($C145="","",IF(_xlfn.XLOOKUP($A145&amp;$B145&amp;$C145,盘货信息!$A:$A&amp;盘货信息!$B:$B&amp;盘货信息!$C:$C,盘货信息!$J:$J)&lt;1,"",ROUND(_xlfn.XLOOKUP($A145&amp;$B145&amp;$C145,盘货信息!$A:$A&amp;盘货信息!$B:$B&amp;盘货信息!$C:$C,盘货信息!$J:$J),0)&amp;"元限时补贴"))</f>
        <v/>
      </c>
      <c r="K145" s="27" t="str" cm="1">
        <f t="array" ref="K145">IF($C145="","",IF(_xlfn.XLOOKUP($A145&amp;$B145&amp;$C145,盘货信息!$A:$A&amp;盘货信息!$B:$B&amp;盘货信息!$C:$C,盘货信息!$K:$K)&lt;1,"",ROUND(_xlfn.XLOOKUP($A145&amp;$B145&amp;$C145,盘货信息!$A:$A&amp;盘货信息!$B:$B&amp;盘货信息!$C:$C,盘货信息!$K:$K),0)&amp;"元预估焕新补贴"))</f>
        <v/>
      </c>
      <c r="L145" s="27" t="str" cm="1">
        <f t="array" ref="L145">IF($C145="","",IF(AND(_xlfn.XLOOKUP($A145&amp;$B145&amp;$C145,盘货信息!$A:$A&amp;盘货信息!$B:$B&amp;盘货信息!$C:$C,盘货信息!$L:$L)="是",_xlfn.XLOOKUP($A145&amp;$B145&amp;$C145,盘货信息!$A:$A&amp;盘货信息!$B:$B&amp;盘货信息!$C:$C,盘货信息!$M:$M)="是",_xlfn.XLOOKUP($A145&amp;$B145&amp;$C145,盘货信息!$A:$A&amp;盘货信息!$B:$B&amp;盘货信息!$C:$C,盘货信息!$K:$K)&gt;0),"【全民可用，不限地址】",IF(AND(OR(_xlfn.XLOOKUP($A145&amp;$B145&amp;$C145,盘货信息!$A:$A&amp;盘货信息!$B:$B&amp;盘货信息!$C:$C,盘货信息!$L:$L)="否",_xlfn.XLOOKUP($A145&amp;$B145&amp;$C145,盘货信息!$A:$A&amp;盘货信息!$B:$B&amp;盘货信息!$C:$C,盘货信息!$L:$L)=""),_xlfn.XLOOKUP($A145&amp;$B145&amp;$C145,盘货信息!$A:$A&amp;盘货信息!$B:$B&amp;盘货信息!$C:$C,盘货信息!$M:$M)="是",_xlfn.XLOOKUP($A145&amp;$B145&amp;$C145,盘货信息!$A:$A&amp;盘货信息!$B:$B&amp;盘货信息!$C:$C,盘货信息!$K:$K)&gt;0),"【详情页领取】","")))</f>
        <v/>
      </c>
      <c r="M145" s="27" t="str" cm="1">
        <f t="array" ref="M145">IF($C145="","",IF(_xlfn.XLOOKUP($A145&amp;$B145&amp;$C145,盘货信息!$A:$A&amp;盘货信息!$B:$B&amp;盘货信息!$C:$C,盘货信息!$F:$F)&lt;1,"",_xlfn.XLOOKUP($A145&amp;$B145&amp;$C145,盘货信息!$A:$A&amp;盘货信息!$B:$B&amp;盘货信息!$C:$C,盘货信息!$F:$F)&amp;"元明卷"))</f>
        <v/>
      </c>
      <c r="N145" s="27" t="str">
        <f t="shared" si="5"/>
        <v/>
      </c>
      <c r="O145" s="27" t="str">
        <f>IF(I145="","","【消费券链接】"&amp;固定信息!$B$6)</f>
        <v/>
      </c>
    </row>
    <row r="146" customHeight="1" spans="1:15">
      <c r="A146" s="26" t="str">
        <f>IF(盘货信息!A146="","",盘货信息!A146)</f>
        <v/>
      </c>
      <c r="B146" s="26" t="str">
        <f>IF(盘货信息!B146="","",盘货信息!B146)</f>
        <v/>
      </c>
      <c r="C146" s="23" t="str">
        <f>IF(盘货信息!C146="","",盘货信息!C146)</f>
        <v/>
      </c>
      <c r="D146" s="27" t="str">
        <f t="shared" si="4"/>
        <v/>
      </c>
      <c r="E146" s="27" t="str" cm="1">
        <f t="array" ref="E146">IF($C146="","",IF(AND(OR(_xlfn.XLOOKUP($A146&amp;$B146&amp;$C146,盘货信息!$A:$A&amp;盘货信息!$B:$B&amp;盘货信息!$C:$C,盘货信息!$L:$L)="否",_xlfn.XLOOKUP($A146&amp;$B146&amp;$C146,盘货信息!$A:$A&amp;盘货信息!$B:$B&amp;盘货信息!$C:$C,盘货信息!$L:$L)=""),_xlfn.XLOOKUP($A146&amp;$B146&amp;$C146,盘货信息!$A:$A&amp;盘货信息!$B:$B&amp;盘货信息!$C:$C,盘货信息!$M:$M)="否"),"【预估到手价"&amp;_xlfn.XLOOKUP($A146&amp;$B146&amp;$C146,盘货信息!$A:$A&amp;盘货信息!$B:$B&amp;盘货信息!$C:$C,盘货信息!$D:$D)&amp;"元】",IF(AND(_xlfn.XLOOKUP($A146&amp;$B146&amp;$C146,盘货信息!$A:$A&amp;盘货信息!$B:$B&amp;盘货信息!$C:$C,盘货信息!$M:$M)="是",OR(_xlfn.XLOOKUP($A146&amp;$B146&amp;$C146,盘货信息!$A:$A&amp;盘货信息!$B:$B&amp;盘货信息!$C:$C,盘货信息!$L:$L)="否",_xlfn.XLOOKUP($A146&amp;$B146&amp;$C146,盘货信息!$A:$A&amp;盘货信息!$B:$B&amp;盘货信息!$C:$C,盘货信息!$L:$L)="")),"【预估到手价"&amp;_xlfn.XLOOKUP($A146&amp;$B146&amp;$C146,盘货信息!$A:$A&amp;盘货信息!$B:$B&amp;盘货信息!$C:$C,盘货信息!$D:$D)&amp;"元】"&amp;CHAR(10)&amp;"【焕新补贴预估价"&amp;ROUND(_xlfn.XLOOKUP($A146&amp;$B146&amp;$C146,盘货信息!$A:$A&amp;盘货信息!$B:$B&amp;盘货信息!$C:$C,盘货信息!$E:$E),0)&amp;"元】","【焕新补贴预估价"&amp;ROUND(_xlfn.XLOOKUP($A146&amp;$B146&amp;$C146,盘货信息!$A:$A&amp;盘货信息!$B:$B&amp;盘货信息!$C:$C,盘货信息!$E:$E),0)&amp;"元】")))</f>
        <v/>
      </c>
      <c r="F146" s="27" t="str" cm="1">
        <f t="array" ref="F146">IF($C146="","",_xlfn.XLOOKUP($A146&amp;$B146&amp;$C146,盘货信息!$A:$A&amp;盘货信息!$B:$B&amp;盘货信息!$C:$C,盘货信息!$D:$D)&amp;"元到手价")</f>
        <v/>
      </c>
      <c r="G146" s="27" t="str" cm="1">
        <f t="array" ref="G146">IF($C146="","",IF(_xlfn.XLOOKUP($A146&amp;$B146&amp;$C146,盘货信息!$A:$A&amp;盘货信息!$B:$B&amp;盘货信息!$C:$C,盘货信息!$G:$G)&lt;1,"",ROUND(_xlfn.XLOOKUP($A146&amp;$B146&amp;$C146,盘货信息!$A:$A&amp;盘货信息!$B:$B&amp;盘货信息!$C:$C,盘货信息!$G:$G),0)&amp;"元88VIP立减"))</f>
        <v/>
      </c>
      <c r="H146" s="27" t="str" cm="1">
        <f t="array" ref="H146">IF($C146="","",IF(_xlfn.XLOOKUP($A146&amp;$B146&amp;$C146,盘货信息!$A:$A&amp;盘货信息!$B:$B&amp;盘货信息!$C:$C,盘货信息!$I:$I)&lt;1,"",_xlfn.XLOOKUP($A146&amp;$B146&amp;$C146,盘货信息!$A:$A&amp;盘货信息!$B:$B&amp;盘货信息!$C:$C,盘货信息!$I:$I)&amp;"元惊喜立减"))</f>
        <v/>
      </c>
      <c r="I146" s="27" t="str" cm="1">
        <f t="array" ref="I146">IF($C146="","",IF(_xlfn.XLOOKUP($A146&amp;$B146&amp;$C146,盘货信息!$A:$A&amp;盘货信息!$B:$B&amp;盘货信息!$C:$C,盘货信息!$H:$H)&lt;1,"",ROUND(_xlfn.XLOOKUP($A146&amp;$B146&amp;$C146,盘货信息!$A:$A&amp;盘货信息!$B:$B&amp;盘货信息!$C:$C,盘货信息!$H:$H),0)&amp;"元消费券"))</f>
        <v/>
      </c>
      <c r="J146" s="27" t="str" cm="1">
        <f t="array" ref="J146">IF($C146="","",IF(_xlfn.XLOOKUP($A146&amp;$B146&amp;$C146,盘货信息!$A:$A&amp;盘货信息!$B:$B&amp;盘货信息!$C:$C,盘货信息!$J:$J)&lt;1,"",ROUND(_xlfn.XLOOKUP($A146&amp;$B146&amp;$C146,盘货信息!$A:$A&amp;盘货信息!$B:$B&amp;盘货信息!$C:$C,盘货信息!$J:$J),0)&amp;"元限时补贴"))</f>
        <v/>
      </c>
      <c r="K146" s="27" t="str" cm="1">
        <f t="array" ref="K146">IF($C146="","",IF(_xlfn.XLOOKUP($A146&amp;$B146&amp;$C146,盘货信息!$A:$A&amp;盘货信息!$B:$B&amp;盘货信息!$C:$C,盘货信息!$K:$K)&lt;1,"",ROUND(_xlfn.XLOOKUP($A146&amp;$B146&amp;$C146,盘货信息!$A:$A&amp;盘货信息!$B:$B&amp;盘货信息!$C:$C,盘货信息!$K:$K),0)&amp;"元预估焕新补贴"))</f>
        <v/>
      </c>
      <c r="L146" s="27" t="str" cm="1">
        <f t="array" ref="L146">IF($C146="","",IF(AND(_xlfn.XLOOKUP($A146&amp;$B146&amp;$C146,盘货信息!$A:$A&amp;盘货信息!$B:$B&amp;盘货信息!$C:$C,盘货信息!$L:$L)="是",_xlfn.XLOOKUP($A146&amp;$B146&amp;$C146,盘货信息!$A:$A&amp;盘货信息!$B:$B&amp;盘货信息!$C:$C,盘货信息!$M:$M)="是",_xlfn.XLOOKUP($A146&amp;$B146&amp;$C146,盘货信息!$A:$A&amp;盘货信息!$B:$B&amp;盘货信息!$C:$C,盘货信息!$K:$K)&gt;0),"【全民可用，不限地址】",IF(AND(OR(_xlfn.XLOOKUP($A146&amp;$B146&amp;$C146,盘货信息!$A:$A&amp;盘货信息!$B:$B&amp;盘货信息!$C:$C,盘货信息!$L:$L)="否",_xlfn.XLOOKUP($A146&amp;$B146&amp;$C146,盘货信息!$A:$A&amp;盘货信息!$B:$B&amp;盘货信息!$C:$C,盘货信息!$L:$L)=""),_xlfn.XLOOKUP($A146&amp;$B146&amp;$C146,盘货信息!$A:$A&amp;盘货信息!$B:$B&amp;盘货信息!$C:$C,盘货信息!$M:$M)="是",_xlfn.XLOOKUP($A146&amp;$B146&amp;$C146,盘货信息!$A:$A&amp;盘货信息!$B:$B&amp;盘货信息!$C:$C,盘货信息!$K:$K)&gt;0),"【详情页领取】","")))</f>
        <v/>
      </c>
      <c r="M146" s="27" t="str" cm="1">
        <f t="array" ref="M146">IF($C146="","",IF(_xlfn.XLOOKUP($A146&amp;$B146&amp;$C146,盘货信息!$A:$A&amp;盘货信息!$B:$B&amp;盘货信息!$C:$C,盘货信息!$F:$F)&lt;1,"",_xlfn.XLOOKUP($A146&amp;$B146&amp;$C146,盘货信息!$A:$A&amp;盘货信息!$B:$B&amp;盘货信息!$C:$C,盘货信息!$F:$F)&amp;"元明卷"))</f>
        <v/>
      </c>
      <c r="N146" s="27" t="str">
        <f t="shared" si="5"/>
        <v/>
      </c>
      <c r="O146" s="27" t="str">
        <f>IF(I146="","","【消费券链接】"&amp;固定信息!$B$6)</f>
        <v/>
      </c>
    </row>
    <row r="147" customHeight="1" spans="1:15">
      <c r="A147" s="26" t="str">
        <f>IF(盘货信息!A147="","",盘货信息!A147)</f>
        <v/>
      </c>
      <c r="B147" s="26" t="str">
        <f>IF(盘货信息!B147="","",盘货信息!B147)</f>
        <v/>
      </c>
      <c r="C147" s="23" t="str">
        <f>IF(盘货信息!C147="","",盘货信息!C147)</f>
        <v/>
      </c>
      <c r="D147" s="27" t="str">
        <f t="shared" si="4"/>
        <v/>
      </c>
      <c r="E147" s="27" t="str" cm="1">
        <f t="array" ref="E147">IF($C147="","",IF(AND(OR(_xlfn.XLOOKUP($A147&amp;$B147&amp;$C147,盘货信息!$A:$A&amp;盘货信息!$B:$B&amp;盘货信息!$C:$C,盘货信息!$L:$L)="否",_xlfn.XLOOKUP($A147&amp;$B147&amp;$C147,盘货信息!$A:$A&amp;盘货信息!$B:$B&amp;盘货信息!$C:$C,盘货信息!$L:$L)=""),_xlfn.XLOOKUP($A147&amp;$B147&amp;$C147,盘货信息!$A:$A&amp;盘货信息!$B:$B&amp;盘货信息!$C:$C,盘货信息!$M:$M)="否"),"【预估到手价"&amp;_xlfn.XLOOKUP($A147&amp;$B147&amp;$C147,盘货信息!$A:$A&amp;盘货信息!$B:$B&amp;盘货信息!$C:$C,盘货信息!$D:$D)&amp;"元】",IF(AND(_xlfn.XLOOKUP($A147&amp;$B147&amp;$C147,盘货信息!$A:$A&amp;盘货信息!$B:$B&amp;盘货信息!$C:$C,盘货信息!$M:$M)="是",OR(_xlfn.XLOOKUP($A147&amp;$B147&amp;$C147,盘货信息!$A:$A&amp;盘货信息!$B:$B&amp;盘货信息!$C:$C,盘货信息!$L:$L)="否",_xlfn.XLOOKUP($A147&amp;$B147&amp;$C147,盘货信息!$A:$A&amp;盘货信息!$B:$B&amp;盘货信息!$C:$C,盘货信息!$L:$L)="")),"【预估到手价"&amp;_xlfn.XLOOKUP($A147&amp;$B147&amp;$C147,盘货信息!$A:$A&amp;盘货信息!$B:$B&amp;盘货信息!$C:$C,盘货信息!$D:$D)&amp;"元】"&amp;CHAR(10)&amp;"【焕新补贴预估价"&amp;ROUND(_xlfn.XLOOKUP($A147&amp;$B147&amp;$C147,盘货信息!$A:$A&amp;盘货信息!$B:$B&amp;盘货信息!$C:$C,盘货信息!$E:$E),0)&amp;"元】","【焕新补贴预估价"&amp;ROUND(_xlfn.XLOOKUP($A147&amp;$B147&amp;$C147,盘货信息!$A:$A&amp;盘货信息!$B:$B&amp;盘货信息!$C:$C,盘货信息!$E:$E),0)&amp;"元】")))</f>
        <v/>
      </c>
      <c r="F147" s="27" t="str" cm="1">
        <f t="array" ref="F147">IF($C147="","",_xlfn.XLOOKUP($A147&amp;$B147&amp;$C147,盘货信息!$A:$A&amp;盘货信息!$B:$B&amp;盘货信息!$C:$C,盘货信息!$D:$D)&amp;"元到手价")</f>
        <v/>
      </c>
      <c r="G147" s="27" t="str" cm="1">
        <f t="array" ref="G147">IF($C147="","",IF(_xlfn.XLOOKUP($A147&amp;$B147&amp;$C147,盘货信息!$A:$A&amp;盘货信息!$B:$B&amp;盘货信息!$C:$C,盘货信息!$G:$G)&lt;1,"",ROUND(_xlfn.XLOOKUP($A147&amp;$B147&amp;$C147,盘货信息!$A:$A&amp;盘货信息!$B:$B&amp;盘货信息!$C:$C,盘货信息!$G:$G),0)&amp;"元88VIP立减"))</f>
        <v/>
      </c>
      <c r="H147" s="27" t="str" cm="1">
        <f t="array" ref="H147">IF($C147="","",IF(_xlfn.XLOOKUP($A147&amp;$B147&amp;$C147,盘货信息!$A:$A&amp;盘货信息!$B:$B&amp;盘货信息!$C:$C,盘货信息!$I:$I)&lt;1,"",_xlfn.XLOOKUP($A147&amp;$B147&amp;$C147,盘货信息!$A:$A&amp;盘货信息!$B:$B&amp;盘货信息!$C:$C,盘货信息!$I:$I)&amp;"元惊喜立减"))</f>
        <v/>
      </c>
      <c r="I147" s="27" t="str" cm="1">
        <f t="array" ref="I147">IF($C147="","",IF(_xlfn.XLOOKUP($A147&amp;$B147&amp;$C147,盘货信息!$A:$A&amp;盘货信息!$B:$B&amp;盘货信息!$C:$C,盘货信息!$H:$H)&lt;1,"",ROUND(_xlfn.XLOOKUP($A147&amp;$B147&amp;$C147,盘货信息!$A:$A&amp;盘货信息!$B:$B&amp;盘货信息!$C:$C,盘货信息!$H:$H),0)&amp;"元消费券"))</f>
        <v/>
      </c>
      <c r="J147" s="27" t="str" cm="1">
        <f t="array" ref="J147">IF($C147="","",IF(_xlfn.XLOOKUP($A147&amp;$B147&amp;$C147,盘货信息!$A:$A&amp;盘货信息!$B:$B&amp;盘货信息!$C:$C,盘货信息!$J:$J)&lt;1,"",ROUND(_xlfn.XLOOKUP($A147&amp;$B147&amp;$C147,盘货信息!$A:$A&amp;盘货信息!$B:$B&amp;盘货信息!$C:$C,盘货信息!$J:$J),0)&amp;"元限时补贴"))</f>
        <v/>
      </c>
      <c r="K147" s="27" t="str" cm="1">
        <f t="array" ref="K147">IF($C147="","",IF(_xlfn.XLOOKUP($A147&amp;$B147&amp;$C147,盘货信息!$A:$A&amp;盘货信息!$B:$B&amp;盘货信息!$C:$C,盘货信息!$K:$K)&lt;1,"",ROUND(_xlfn.XLOOKUP($A147&amp;$B147&amp;$C147,盘货信息!$A:$A&amp;盘货信息!$B:$B&amp;盘货信息!$C:$C,盘货信息!$K:$K),0)&amp;"元预估焕新补贴"))</f>
        <v/>
      </c>
      <c r="L147" s="27" t="str" cm="1">
        <f t="array" ref="L147">IF($C147="","",IF(AND(_xlfn.XLOOKUP($A147&amp;$B147&amp;$C147,盘货信息!$A:$A&amp;盘货信息!$B:$B&amp;盘货信息!$C:$C,盘货信息!$L:$L)="是",_xlfn.XLOOKUP($A147&amp;$B147&amp;$C147,盘货信息!$A:$A&amp;盘货信息!$B:$B&amp;盘货信息!$C:$C,盘货信息!$M:$M)="是",_xlfn.XLOOKUP($A147&amp;$B147&amp;$C147,盘货信息!$A:$A&amp;盘货信息!$B:$B&amp;盘货信息!$C:$C,盘货信息!$K:$K)&gt;0),"【全民可用，不限地址】",IF(AND(OR(_xlfn.XLOOKUP($A147&amp;$B147&amp;$C147,盘货信息!$A:$A&amp;盘货信息!$B:$B&amp;盘货信息!$C:$C,盘货信息!$L:$L)="否",_xlfn.XLOOKUP($A147&amp;$B147&amp;$C147,盘货信息!$A:$A&amp;盘货信息!$B:$B&amp;盘货信息!$C:$C,盘货信息!$L:$L)=""),_xlfn.XLOOKUP($A147&amp;$B147&amp;$C147,盘货信息!$A:$A&amp;盘货信息!$B:$B&amp;盘货信息!$C:$C,盘货信息!$M:$M)="是",_xlfn.XLOOKUP($A147&amp;$B147&amp;$C147,盘货信息!$A:$A&amp;盘货信息!$B:$B&amp;盘货信息!$C:$C,盘货信息!$K:$K)&gt;0),"【详情页领取】","")))</f>
        <v/>
      </c>
      <c r="M147" s="27" t="str" cm="1">
        <f t="array" ref="M147">IF($C147="","",IF(_xlfn.XLOOKUP($A147&amp;$B147&amp;$C147,盘货信息!$A:$A&amp;盘货信息!$B:$B&amp;盘货信息!$C:$C,盘货信息!$F:$F)&lt;1,"",_xlfn.XLOOKUP($A147&amp;$B147&amp;$C147,盘货信息!$A:$A&amp;盘货信息!$B:$B&amp;盘货信息!$C:$C,盘货信息!$F:$F)&amp;"元明卷"))</f>
        <v/>
      </c>
      <c r="N147" s="27" t="str">
        <f t="shared" si="5"/>
        <v/>
      </c>
      <c r="O147" s="27" t="str">
        <f>IF(I147="","","【消费券链接】"&amp;固定信息!$B$6)</f>
        <v/>
      </c>
    </row>
    <row r="148" customHeight="1" spans="1:15">
      <c r="A148" s="26" t="str">
        <f>IF(盘货信息!A148="","",盘货信息!A148)</f>
        <v/>
      </c>
      <c r="B148" s="26" t="str">
        <f>IF(盘货信息!B148="","",盘货信息!B148)</f>
        <v/>
      </c>
      <c r="C148" s="23" t="str">
        <f>IF(盘货信息!C148="","",盘货信息!C148)</f>
        <v/>
      </c>
      <c r="D148" s="27" t="str">
        <f t="shared" si="4"/>
        <v/>
      </c>
      <c r="E148" s="27" t="str" cm="1">
        <f t="array" ref="E148">IF($C148="","",IF(AND(OR(_xlfn.XLOOKUP($A148&amp;$B148&amp;$C148,盘货信息!$A:$A&amp;盘货信息!$B:$B&amp;盘货信息!$C:$C,盘货信息!$L:$L)="否",_xlfn.XLOOKUP($A148&amp;$B148&amp;$C148,盘货信息!$A:$A&amp;盘货信息!$B:$B&amp;盘货信息!$C:$C,盘货信息!$L:$L)=""),_xlfn.XLOOKUP($A148&amp;$B148&amp;$C148,盘货信息!$A:$A&amp;盘货信息!$B:$B&amp;盘货信息!$C:$C,盘货信息!$M:$M)="否"),"【预估到手价"&amp;_xlfn.XLOOKUP($A148&amp;$B148&amp;$C148,盘货信息!$A:$A&amp;盘货信息!$B:$B&amp;盘货信息!$C:$C,盘货信息!$D:$D)&amp;"元】",IF(AND(_xlfn.XLOOKUP($A148&amp;$B148&amp;$C148,盘货信息!$A:$A&amp;盘货信息!$B:$B&amp;盘货信息!$C:$C,盘货信息!$M:$M)="是",OR(_xlfn.XLOOKUP($A148&amp;$B148&amp;$C148,盘货信息!$A:$A&amp;盘货信息!$B:$B&amp;盘货信息!$C:$C,盘货信息!$L:$L)="否",_xlfn.XLOOKUP($A148&amp;$B148&amp;$C148,盘货信息!$A:$A&amp;盘货信息!$B:$B&amp;盘货信息!$C:$C,盘货信息!$L:$L)="")),"【预估到手价"&amp;_xlfn.XLOOKUP($A148&amp;$B148&amp;$C148,盘货信息!$A:$A&amp;盘货信息!$B:$B&amp;盘货信息!$C:$C,盘货信息!$D:$D)&amp;"元】"&amp;CHAR(10)&amp;"【焕新补贴预估价"&amp;ROUND(_xlfn.XLOOKUP($A148&amp;$B148&amp;$C148,盘货信息!$A:$A&amp;盘货信息!$B:$B&amp;盘货信息!$C:$C,盘货信息!$E:$E),0)&amp;"元】","【焕新补贴预估价"&amp;ROUND(_xlfn.XLOOKUP($A148&amp;$B148&amp;$C148,盘货信息!$A:$A&amp;盘货信息!$B:$B&amp;盘货信息!$C:$C,盘货信息!$E:$E),0)&amp;"元】")))</f>
        <v/>
      </c>
      <c r="F148" s="27" t="str" cm="1">
        <f t="array" ref="F148">IF($C148="","",_xlfn.XLOOKUP($A148&amp;$B148&amp;$C148,盘货信息!$A:$A&amp;盘货信息!$B:$B&amp;盘货信息!$C:$C,盘货信息!$D:$D)&amp;"元到手价")</f>
        <v/>
      </c>
      <c r="G148" s="27" t="str" cm="1">
        <f t="array" ref="G148">IF($C148="","",IF(_xlfn.XLOOKUP($A148&amp;$B148&amp;$C148,盘货信息!$A:$A&amp;盘货信息!$B:$B&amp;盘货信息!$C:$C,盘货信息!$G:$G)&lt;1,"",ROUND(_xlfn.XLOOKUP($A148&amp;$B148&amp;$C148,盘货信息!$A:$A&amp;盘货信息!$B:$B&amp;盘货信息!$C:$C,盘货信息!$G:$G),0)&amp;"元88VIP立减"))</f>
        <v/>
      </c>
      <c r="H148" s="27" t="str" cm="1">
        <f t="array" ref="H148">IF($C148="","",IF(_xlfn.XLOOKUP($A148&amp;$B148&amp;$C148,盘货信息!$A:$A&amp;盘货信息!$B:$B&amp;盘货信息!$C:$C,盘货信息!$I:$I)&lt;1,"",_xlfn.XLOOKUP($A148&amp;$B148&amp;$C148,盘货信息!$A:$A&amp;盘货信息!$B:$B&amp;盘货信息!$C:$C,盘货信息!$I:$I)&amp;"元惊喜立减"))</f>
        <v/>
      </c>
      <c r="I148" s="27" t="str" cm="1">
        <f t="array" ref="I148">IF($C148="","",IF(_xlfn.XLOOKUP($A148&amp;$B148&amp;$C148,盘货信息!$A:$A&amp;盘货信息!$B:$B&amp;盘货信息!$C:$C,盘货信息!$H:$H)&lt;1,"",ROUND(_xlfn.XLOOKUP($A148&amp;$B148&amp;$C148,盘货信息!$A:$A&amp;盘货信息!$B:$B&amp;盘货信息!$C:$C,盘货信息!$H:$H),0)&amp;"元消费券"))</f>
        <v/>
      </c>
      <c r="J148" s="27" t="str" cm="1">
        <f t="array" ref="J148">IF($C148="","",IF(_xlfn.XLOOKUP($A148&amp;$B148&amp;$C148,盘货信息!$A:$A&amp;盘货信息!$B:$B&amp;盘货信息!$C:$C,盘货信息!$J:$J)&lt;1,"",ROUND(_xlfn.XLOOKUP($A148&amp;$B148&amp;$C148,盘货信息!$A:$A&amp;盘货信息!$B:$B&amp;盘货信息!$C:$C,盘货信息!$J:$J),0)&amp;"元限时补贴"))</f>
        <v/>
      </c>
      <c r="K148" s="27" t="str" cm="1">
        <f t="array" ref="K148">IF($C148="","",IF(_xlfn.XLOOKUP($A148&amp;$B148&amp;$C148,盘货信息!$A:$A&amp;盘货信息!$B:$B&amp;盘货信息!$C:$C,盘货信息!$K:$K)&lt;1,"",ROUND(_xlfn.XLOOKUP($A148&amp;$B148&amp;$C148,盘货信息!$A:$A&amp;盘货信息!$B:$B&amp;盘货信息!$C:$C,盘货信息!$K:$K),0)&amp;"元预估焕新补贴"))</f>
        <v/>
      </c>
      <c r="L148" s="27" t="str" cm="1">
        <f t="array" ref="L148">IF($C148="","",IF(AND(_xlfn.XLOOKUP($A148&amp;$B148&amp;$C148,盘货信息!$A:$A&amp;盘货信息!$B:$B&amp;盘货信息!$C:$C,盘货信息!$L:$L)="是",_xlfn.XLOOKUP($A148&amp;$B148&amp;$C148,盘货信息!$A:$A&amp;盘货信息!$B:$B&amp;盘货信息!$C:$C,盘货信息!$M:$M)="是",_xlfn.XLOOKUP($A148&amp;$B148&amp;$C148,盘货信息!$A:$A&amp;盘货信息!$B:$B&amp;盘货信息!$C:$C,盘货信息!$K:$K)&gt;0),"【全民可用，不限地址】",IF(AND(OR(_xlfn.XLOOKUP($A148&amp;$B148&amp;$C148,盘货信息!$A:$A&amp;盘货信息!$B:$B&amp;盘货信息!$C:$C,盘货信息!$L:$L)="否",_xlfn.XLOOKUP($A148&amp;$B148&amp;$C148,盘货信息!$A:$A&amp;盘货信息!$B:$B&amp;盘货信息!$C:$C,盘货信息!$L:$L)=""),_xlfn.XLOOKUP($A148&amp;$B148&amp;$C148,盘货信息!$A:$A&amp;盘货信息!$B:$B&amp;盘货信息!$C:$C,盘货信息!$M:$M)="是",_xlfn.XLOOKUP($A148&amp;$B148&amp;$C148,盘货信息!$A:$A&amp;盘货信息!$B:$B&amp;盘货信息!$C:$C,盘货信息!$K:$K)&gt;0),"【详情页领取】","")))</f>
        <v/>
      </c>
      <c r="M148" s="27" t="str" cm="1">
        <f t="array" ref="M148">IF($C148="","",IF(_xlfn.XLOOKUP($A148&amp;$B148&amp;$C148,盘货信息!$A:$A&amp;盘货信息!$B:$B&amp;盘货信息!$C:$C,盘货信息!$F:$F)&lt;1,"",_xlfn.XLOOKUP($A148&amp;$B148&amp;$C148,盘货信息!$A:$A&amp;盘货信息!$B:$B&amp;盘货信息!$C:$C,盘货信息!$F:$F)&amp;"元明卷"))</f>
        <v/>
      </c>
      <c r="N148" s="27" t="str">
        <f t="shared" si="5"/>
        <v/>
      </c>
      <c r="O148" s="27" t="str">
        <f>IF(I148="","","【消费券链接】"&amp;固定信息!$B$6)</f>
        <v/>
      </c>
    </row>
    <row r="149" customHeight="1" spans="1:15">
      <c r="A149" s="26" t="str">
        <f>IF(盘货信息!A149="","",盘货信息!A149)</f>
        <v/>
      </c>
      <c r="B149" s="26" t="str">
        <f>IF(盘货信息!B149="","",盘货信息!B149)</f>
        <v/>
      </c>
      <c r="C149" s="23" t="str">
        <f>IF(盘货信息!C149="","",盘货信息!C149)</f>
        <v/>
      </c>
      <c r="D149" s="27" t="str">
        <f t="shared" si="4"/>
        <v/>
      </c>
      <c r="E149" s="27" t="str" cm="1">
        <f t="array" ref="E149">IF($C149="","",IF(AND(OR(_xlfn.XLOOKUP($A149&amp;$B149&amp;$C149,盘货信息!$A:$A&amp;盘货信息!$B:$B&amp;盘货信息!$C:$C,盘货信息!$L:$L)="否",_xlfn.XLOOKUP($A149&amp;$B149&amp;$C149,盘货信息!$A:$A&amp;盘货信息!$B:$B&amp;盘货信息!$C:$C,盘货信息!$L:$L)=""),_xlfn.XLOOKUP($A149&amp;$B149&amp;$C149,盘货信息!$A:$A&amp;盘货信息!$B:$B&amp;盘货信息!$C:$C,盘货信息!$M:$M)="否"),"【预估到手价"&amp;_xlfn.XLOOKUP($A149&amp;$B149&amp;$C149,盘货信息!$A:$A&amp;盘货信息!$B:$B&amp;盘货信息!$C:$C,盘货信息!$D:$D)&amp;"元】",IF(AND(_xlfn.XLOOKUP($A149&amp;$B149&amp;$C149,盘货信息!$A:$A&amp;盘货信息!$B:$B&amp;盘货信息!$C:$C,盘货信息!$M:$M)="是",OR(_xlfn.XLOOKUP($A149&amp;$B149&amp;$C149,盘货信息!$A:$A&amp;盘货信息!$B:$B&amp;盘货信息!$C:$C,盘货信息!$L:$L)="否",_xlfn.XLOOKUP($A149&amp;$B149&amp;$C149,盘货信息!$A:$A&amp;盘货信息!$B:$B&amp;盘货信息!$C:$C,盘货信息!$L:$L)="")),"【预估到手价"&amp;_xlfn.XLOOKUP($A149&amp;$B149&amp;$C149,盘货信息!$A:$A&amp;盘货信息!$B:$B&amp;盘货信息!$C:$C,盘货信息!$D:$D)&amp;"元】"&amp;CHAR(10)&amp;"【焕新补贴预估价"&amp;ROUND(_xlfn.XLOOKUP($A149&amp;$B149&amp;$C149,盘货信息!$A:$A&amp;盘货信息!$B:$B&amp;盘货信息!$C:$C,盘货信息!$E:$E),0)&amp;"元】","【焕新补贴预估价"&amp;ROUND(_xlfn.XLOOKUP($A149&amp;$B149&amp;$C149,盘货信息!$A:$A&amp;盘货信息!$B:$B&amp;盘货信息!$C:$C,盘货信息!$E:$E),0)&amp;"元】")))</f>
        <v/>
      </c>
      <c r="F149" s="27" t="str" cm="1">
        <f t="array" ref="F149">IF($C149="","",_xlfn.XLOOKUP($A149&amp;$B149&amp;$C149,盘货信息!$A:$A&amp;盘货信息!$B:$B&amp;盘货信息!$C:$C,盘货信息!$D:$D)&amp;"元到手价")</f>
        <v/>
      </c>
      <c r="G149" s="27" t="str" cm="1">
        <f t="array" ref="G149">IF($C149="","",IF(_xlfn.XLOOKUP($A149&amp;$B149&amp;$C149,盘货信息!$A:$A&amp;盘货信息!$B:$B&amp;盘货信息!$C:$C,盘货信息!$G:$G)&lt;1,"",ROUND(_xlfn.XLOOKUP($A149&amp;$B149&amp;$C149,盘货信息!$A:$A&amp;盘货信息!$B:$B&amp;盘货信息!$C:$C,盘货信息!$G:$G),0)&amp;"元88VIP立减"))</f>
        <v/>
      </c>
      <c r="H149" s="27" t="str" cm="1">
        <f t="array" ref="H149">IF($C149="","",IF(_xlfn.XLOOKUP($A149&amp;$B149&amp;$C149,盘货信息!$A:$A&amp;盘货信息!$B:$B&amp;盘货信息!$C:$C,盘货信息!$I:$I)&lt;1,"",_xlfn.XLOOKUP($A149&amp;$B149&amp;$C149,盘货信息!$A:$A&amp;盘货信息!$B:$B&amp;盘货信息!$C:$C,盘货信息!$I:$I)&amp;"元惊喜立减"))</f>
        <v/>
      </c>
      <c r="I149" s="27" t="str" cm="1">
        <f t="array" ref="I149">IF($C149="","",IF(_xlfn.XLOOKUP($A149&amp;$B149&amp;$C149,盘货信息!$A:$A&amp;盘货信息!$B:$B&amp;盘货信息!$C:$C,盘货信息!$H:$H)&lt;1,"",ROUND(_xlfn.XLOOKUP($A149&amp;$B149&amp;$C149,盘货信息!$A:$A&amp;盘货信息!$B:$B&amp;盘货信息!$C:$C,盘货信息!$H:$H),0)&amp;"元消费券"))</f>
        <v/>
      </c>
      <c r="J149" s="27" t="str" cm="1">
        <f t="array" ref="J149">IF($C149="","",IF(_xlfn.XLOOKUP($A149&amp;$B149&amp;$C149,盘货信息!$A:$A&amp;盘货信息!$B:$B&amp;盘货信息!$C:$C,盘货信息!$J:$J)&lt;1,"",ROUND(_xlfn.XLOOKUP($A149&amp;$B149&amp;$C149,盘货信息!$A:$A&amp;盘货信息!$B:$B&amp;盘货信息!$C:$C,盘货信息!$J:$J),0)&amp;"元限时补贴"))</f>
        <v/>
      </c>
      <c r="K149" s="27" t="str" cm="1">
        <f t="array" ref="K149">IF($C149="","",IF(_xlfn.XLOOKUP($A149&amp;$B149&amp;$C149,盘货信息!$A:$A&amp;盘货信息!$B:$B&amp;盘货信息!$C:$C,盘货信息!$K:$K)&lt;1,"",ROUND(_xlfn.XLOOKUP($A149&amp;$B149&amp;$C149,盘货信息!$A:$A&amp;盘货信息!$B:$B&amp;盘货信息!$C:$C,盘货信息!$K:$K),0)&amp;"元预估焕新补贴"))</f>
        <v/>
      </c>
      <c r="L149" s="27" t="str" cm="1">
        <f t="array" ref="L149">IF($C149="","",IF(AND(_xlfn.XLOOKUP($A149&amp;$B149&amp;$C149,盘货信息!$A:$A&amp;盘货信息!$B:$B&amp;盘货信息!$C:$C,盘货信息!$L:$L)="是",_xlfn.XLOOKUP($A149&amp;$B149&amp;$C149,盘货信息!$A:$A&amp;盘货信息!$B:$B&amp;盘货信息!$C:$C,盘货信息!$M:$M)="是",_xlfn.XLOOKUP($A149&amp;$B149&amp;$C149,盘货信息!$A:$A&amp;盘货信息!$B:$B&amp;盘货信息!$C:$C,盘货信息!$K:$K)&gt;0),"【全民可用，不限地址】",IF(AND(OR(_xlfn.XLOOKUP($A149&amp;$B149&amp;$C149,盘货信息!$A:$A&amp;盘货信息!$B:$B&amp;盘货信息!$C:$C,盘货信息!$L:$L)="否",_xlfn.XLOOKUP($A149&amp;$B149&amp;$C149,盘货信息!$A:$A&amp;盘货信息!$B:$B&amp;盘货信息!$C:$C,盘货信息!$L:$L)=""),_xlfn.XLOOKUP($A149&amp;$B149&amp;$C149,盘货信息!$A:$A&amp;盘货信息!$B:$B&amp;盘货信息!$C:$C,盘货信息!$M:$M)="是",_xlfn.XLOOKUP($A149&amp;$B149&amp;$C149,盘货信息!$A:$A&amp;盘货信息!$B:$B&amp;盘货信息!$C:$C,盘货信息!$K:$K)&gt;0),"【详情页领取】","")))</f>
        <v/>
      </c>
      <c r="M149" s="27" t="str" cm="1">
        <f t="array" ref="M149">IF($C149="","",IF(_xlfn.XLOOKUP($A149&amp;$B149&amp;$C149,盘货信息!$A:$A&amp;盘货信息!$B:$B&amp;盘货信息!$C:$C,盘货信息!$F:$F)&lt;1,"",_xlfn.XLOOKUP($A149&amp;$B149&amp;$C149,盘货信息!$A:$A&amp;盘货信息!$B:$B&amp;盘货信息!$C:$C,盘货信息!$F:$F)&amp;"元明卷"))</f>
        <v/>
      </c>
      <c r="N149" s="27" t="str">
        <f t="shared" si="5"/>
        <v/>
      </c>
      <c r="O149" s="27" t="str">
        <f>IF(I149="","","【消费券链接】"&amp;固定信息!$B$6)</f>
        <v/>
      </c>
    </row>
    <row r="150" customHeight="1" spans="1:15">
      <c r="A150" s="26" t="str">
        <f>IF(盘货信息!A150="","",盘货信息!A150)</f>
        <v/>
      </c>
      <c r="B150" s="26" t="str">
        <f>IF(盘货信息!B150="","",盘货信息!B150)</f>
        <v/>
      </c>
      <c r="C150" s="23" t="str">
        <f>IF(盘货信息!C150="","",盘货信息!C150)</f>
        <v/>
      </c>
      <c r="D150" s="27" t="str">
        <f t="shared" si="4"/>
        <v/>
      </c>
      <c r="E150" s="27" t="str" cm="1">
        <f t="array" ref="E150">IF($C150="","",IF(AND(OR(_xlfn.XLOOKUP($A150&amp;$B150&amp;$C150,盘货信息!$A:$A&amp;盘货信息!$B:$B&amp;盘货信息!$C:$C,盘货信息!$L:$L)="否",_xlfn.XLOOKUP($A150&amp;$B150&amp;$C150,盘货信息!$A:$A&amp;盘货信息!$B:$B&amp;盘货信息!$C:$C,盘货信息!$L:$L)=""),_xlfn.XLOOKUP($A150&amp;$B150&amp;$C150,盘货信息!$A:$A&amp;盘货信息!$B:$B&amp;盘货信息!$C:$C,盘货信息!$M:$M)="否"),"【预估到手价"&amp;_xlfn.XLOOKUP($A150&amp;$B150&amp;$C150,盘货信息!$A:$A&amp;盘货信息!$B:$B&amp;盘货信息!$C:$C,盘货信息!$D:$D)&amp;"元】",IF(AND(_xlfn.XLOOKUP($A150&amp;$B150&amp;$C150,盘货信息!$A:$A&amp;盘货信息!$B:$B&amp;盘货信息!$C:$C,盘货信息!$M:$M)="是",OR(_xlfn.XLOOKUP($A150&amp;$B150&amp;$C150,盘货信息!$A:$A&amp;盘货信息!$B:$B&amp;盘货信息!$C:$C,盘货信息!$L:$L)="否",_xlfn.XLOOKUP($A150&amp;$B150&amp;$C150,盘货信息!$A:$A&amp;盘货信息!$B:$B&amp;盘货信息!$C:$C,盘货信息!$L:$L)="")),"【预估到手价"&amp;_xlfn.XLOOKUP($A150&amp;$B150&amp;$C150,盘货信息!$A:$A&amp;盘货信息!$B:$B&amp;盘货信息!$C:$C,盘货信息!$D:$D)&amp;"元】"&amp;CHAR(10)&amp;"【焕新补贴预估价"&amp;ROUND(_xlfn.XLOOKUP($A150&amp;$B150&amp;$C150,盘货信息!$A:$A&amp;盘货信息!$B:$B&amp;盘货信息!$C:$C,盘货信息!$E:$E),0)&amp;"元】","【焕新补贴预估价"&amp;ROUND(_xlfn.XLOOKUP($A150&amp;$B150&amp;$C150,盘货信息!$A:$A&amp;盘货信息!$B:$B&amp;盘货信息!$C:$C,盘货信息!$E:$E),0)&amp;"元】")))</f>
        <v/>
      </c>
      <c r="F150" s="27" t="str" cm="1">
        <f t="array" ref="F150">IF($C150="","",_xlfn.XLOOKUP($A150&amp;$B150&amp;$C150,盘货信息!$A:$A&amp;盘货信息!$B:$B&amp;盘货信息!$C:$C,盘货信息!$D:$D)&amp;"元到手价")</f>
        <v/>
      </c>
      <c r="G150" s="27" t="str" cm="1">
        <f t="array" ref="G150">IF($C150="","",IF(_xlfn.XLOOKUP($A150&amp;$B150&amp;$C150,盘货信息!$A:$A&amp;盘货信息!$B:$B&amp;盘货信息!$C:$C,盘货信息!$G:$G)&lt;1,"",ROUND(_xlfn.XLOOKUP($A150&amp;$B150&amp;$C150,盘货信息!$A:$A&amp;盘货信息!$B:$B&amp;盘货信息!$C:$C,盘货信息!$G:$G),0)&amp;"元88VIP立减"))</f>
        <v/>
      </c>
      <c r="H150" s="27" t="str" cm="1">
        <f t="array" ref="H150">IF($C150="","",IF(_xlfn.XLOOKUP($A150&amp;$B150&amp;$C150,盘货信息!$A:$A&amp;盘货信息!$B:$B&amp;盘货信息!$C:$C,盘货信息!$I:$I)&lt;1,"",_xlfn.XLOOKUP($A150&amp;$B150&amp;$C150,盘货信息!$A:$A&amp;盘货信息!$B:$B&amp;盘货信息!$C:$C,盘货信息!$I:$I)&amp;"元惊喜立减"))</f>
        <v/>
      </c>
      <c r="I150" s="27" t="str" cm="1">
        <f t="array" ref="I150">IF($C150="","",IF(_xlfn.XLOOKUP($A150&amp;$B150&amp;$C150,盘货信息!$A:$A&amp;盘货信息!$B:$B&amp;盘货信息!$C:$C,盘货信息!$H:$H)&lt;1,"",ROUND(_xlfn.XLOOKUP($A150&amp;$B150&amp;$C150,盘货信息!$A:$A&amp;盘货信息!$B:$B&amp;盘货信息!$C:$C,盘货信息!$H:$H),0)&amp;"元消费券"))</f>
        <v/>
      </c>
      <c r="J150" s="27" t="str" cm="1">
        <f t="array" ref="J150">IF($C150="","",IF(_xlfn.XLOOKUP($A150&amp;$B150&amp;$C150,盘货信息!$A:$A&amp;盘货信息!$B:$B&amp;盘货信息!$C:$C,盘货信息!$J:$J)&lt;1,"",ROUND(_xlfn.XLOOKUP($A150&amp;$B150&amp;$C150,盘货信息!$A:$A&amp;盘货信息!$B:$B&amp;盘货信息!$C:$C,盘货信息!$J:$J),0)&amp;"元限时补贴"))</f>
        <v/>
      </c>
      <c r="K150" s="27" t="str" cm="1">
        <f t="array" ref="K150">IF($C150="","",IF(_xlfn.XLOOKUP($A150&amp;$B150&amp;$C150,盘货信息!$A:$A&amp;盘货信息!$B:$B&amp;盘货信息!$C:$C,盘货信息!$K:$K)&lt;1,"",ROUND(_xlfn.XLOOKUP($A150&amp;$B150&amp;$C150,盘货信息!$A:$A&amp;盘货信息!$B:$B&amp;盘货信息!$C:$C,盘货信息!$K:$K),0)&amp;"元预估焕新补贴"))</f>
        <v/>
      </c>
      <c r="L150" s="27" t="str" cm="1">
        <f t="array" ref="L150">IF($C150="","",IF(AND(_xlfn.XLOOKUP($A150&amp;$B150&amp;$C150,盘货信息!$A:$A&amp;盘货信息!$B:$B&amp;盘货信息!$C:$C,盘货信息!$L:$L)="是",_xlfn.XLOOKUP($A150&amp;$B150&amp;$C150,盘货信息!$A:$A&amp;盘货信息!$B:$B&amp;盘货信息!$C:$C,盘货信息!$M:$M)="是",_xlfn.XLOOKUP($A150&amp;$B150&amp;$C150,盘货信息!$A:$A&amp;盘货信息!$B:$B&amp;盘货信息!$C:$C,盘货信息!$K:$K)&gt;0),"【全民可用，不限地址】",IF(AND(OR(_xlfn.XLOOKUP($A150&amp;$B150&amp;$C150,盘货信息!$A:$A&amp;盘货信息!$B:$B&amp;盘货信息!$C:$C,盘货信息!$L:$L)="否",_xlfn.XLOOKUP($A150&amp;$B150&amp;$C150,盘货信息!$A:$A&amp;盘货信息!$B:$B&amp;盘货信息!$C:$C,盘货信息!$L:$L)=""),_xlfn.XLOOKUP($A150&amp;$B150&amp;$C150,盘货信息!$A:$A&amp;盘货信息!$B:$B&amp;盘货信息!$C:$C,盘货信息!$M:$M)="是",_xlfn.XLOOKUP($A150&amp;$B150&amp;$C150,盘货信息!$A:$A&amp;盘货信息!$B:$B&amp;盘货信息!$C:$C,盘货信息!$K:$K)&gt;0),"【详情页领取】","")))</f>
        <v/>
      </c>
      <c r="M150" s="27" t="str" cm="1">
        <f t="array" ref="M150">IF($C150="","",IF(_xlfn.XLOOKUP($A150&amp;$B150&amp;$C150,盘货信息!$A:$A&amp;盘货信息!$B:$B&amp;盘货信息!$C:$C,盘货信息!$F:$F)&lt;1,"",_xlfn.XLOOKUP($A150&amp;$B150&amp;$C150,盘货信息!$A:$A&amp;盘货信息!$B:$B&amp;盘货信息!$C:$C,盘货信息!$F:$F)&amp;"元明卷"))</f>
        <v/>
      </c>
      <c r="N150" s="27" t="str">
        <f t="shared" si="5"/>
        <v/>
      </c>
      <c r="O150" s="27" t="str">
        <f>IF(I150="","","【消费券链接】"&amp;固定信息!$B$6)</f>
        <v/>
      </c>
    </row>
    <row r="151" customHeight="1" spans="1:15">
      <c r="A151" s="26" t="str">
        <f>IF(盘货信息!A151="","",盘货信息!A151)</f>
        <v/>
      </c>
      <c r="B151" s="26" t="str">
        <f>IF(盘货信息!B151="","",盘货信息!B151)</f>
        <v/>
      </c>
      <c r="C151" s="23" t="str">
        <f>IF(盘货信息!C151="","",盘货信息!C151)</f>
        <v/>
      </c>
      <c r="D151" s="27" t="str">
        <f t="shared" si="4"/>
        <v/>
      </c>
      <c r="E151" s="27" t="str" cm="1">
        <f t="array" ref="E151">IF($C151="","",IF(AND(OR(_xlfn.XLOOKUP($A151&amp;$B151&amp;$C151,盘货信息!$A:$A&amp;盘货信息!$B:$B&amp;盘货信息!$C:$C,盘货信息!$L:$L)="否",_xlfn.XLOOKUP($A151&amp;$B151&amp;$C151,盘货信息!$A:$A&amp;盘货信息!$B:$B&amp;盘货信息!$C:$C,盘货信息!$L:$L)=""),_xlfn.XLOOKUP($A151&amp;$B151&amp;$C151,盘货信息!$A:$A&amp;盘货信息!$B:$B&amp;盘货信息!$C:$C,盘货信息!$M:$M)="否"),"【预估到手价"&amp;_xlfn.XLOOKUP($A151&amp;$B151&amp;$C151,盘货信息!$A:$A&amp;盘货信息!$B:$B&amp;盘货信息!$C:$C,盘货信息!$D:$D)&amp;"元】",IF(AND(_xlfn.XLOOKUP($A151&amp;$B151&amp;$C151,盘货信息!$A:$A&amp;盘货信息!$B:$B&amp;盘货信息!$C:$C,盘货信息!$M:$M)="是",OR(_xlfn.XLOOKUP($A151&amp;$B151&amp;$C151,盘货信息!$A:$A&amp;盘货信息!$B:$B&amp;盘货信息!$C:$C,盘货信息!$L:$L)="否",_xlfn.XLOOKUP($A151&amp;$B151&amp;$C151,盘货信息!$A:$A&amp;盘货信息!$B:$B&amp;盘货信息!$C:$C,盘货信息!$L:$L)="")),"【预估到手价"&amp;_xlfn.XLOOKUP($A151&amp;$B151&amp;$C151,盘货信息!$A:$A&amp;盘货信息!$B:$B&amp;盘货信息!$C:$C,盘货信息!$D:$D)&amp;"元】"&amp;CHAR(10)&amp;"【焕新补贴预估价"&amp;ROUND(_xlfn.XLOOKUP($A151&amp;$B151&amp;$C151,盘货信息!$A:$A&amp;盘货信息!$B:$B&amp;盘货信息!$C:$C,盘货信息!$E:$E),0)&amp;"元】","【焕新补贴预估价"&amp;ROUND(_xlfn.XLOOKUP($A151&amp;$B151&amp;$C151,盘货信息!$A:$A&amp;盘货信息!$B:$B&amp;盘货信息!$C:$C,盘货信息!$E:$E),0)&amp;"元】")))</f>
        <v/>
      </c>
      <c r="F151" s="27" t="str" cm="1">
        <f t="array" ref="F151">IF($C151="","",_xlfn.XLOOKUP($A151&amp;$B151&amp;$C151,盘货信息!$A:$A&amp;盘货信息!$B:$B&amp;盘货信息!$C:$C,盘货信息!$D:$D)&amp;"元到手价")</f>
        <v/>
      </c>
      <c r="G151" s="27" t="str" cm="1">
        <f t="array" ref="G151">IF($C151="","",IF(_xlfn.XLOOKUP($A151&amp;$B151&amp;$C151,盘货信息!$A:$A&amp;盘货信息!$B:$B&amp;盘货信息!$C:$C,盘货信息!$G:$G)&lt;1,"",ROUND(_xlfn.XLOOKUP($A151&amp;$B151&amp;$C151,盘货信息!$A:$A&amp;盘货信息!$B:$B&amp;盘货信息!$C:$C,盘货信息!$G:$G),0)&amp;"元88VIP立减"))</f>
        <v/>
      </c>
      <c r="H151" s="27" t="str" cm="1">
        <f t="array" ref="H151">IF($C151="","",IF(_xlfn.XLOOKUP($A151&amp;$B151&amp;$C151,盘货信息!$A:$A&amp;盘货信息!$B:$B&amp;盘货信息!$C:$C,盘货信息!$I:$I)&lt;1,"",_xlfn.XLOOKUP($A151&amp;$B151&amp;$C151,盘货信息!$A:$A&amp;盘货信息!$B:$B&amp;盘货信息!$C:$C,盘货信息!$I:$I)&amp;"元惊喜立减"))</f>
        <v/>
      </c>
      <c r="I151" s="27" t="str" cm="1">
        <f t="array" ref="I151">IF($C151="","",IF(_xlfn.XLOOKUP($A151&amp;$B151&amp;$C151,盘货信息!$A:$A&amp;盘货信息!$B:$B&amp;盘货信息!$C:$C,盘货信息!$H:$H)&lt;1,"",ROUND(_xlfn.XLOOKUP($A151&amp;$B151&amp;$C151,盘货信息!$A:$A&amp;盘货信息!$B:$B&amp;盘货信息!$C:$C,盘货信息!$H:$H),0)&amp;"元消费券"))</f>
        <v/>
      </c>
      <c r="J151" s="27" t="str" cm="1">
        <f t="array" ref="J151">IF($C151="","",IF(_xlfn.XLOOKUP($A151&amp;$B151&amp;$C151,盘货信息!$A:$A&amp;盘货信息!$B:$B&amp;盘货信息!$C:$C,盘货信息!$J:$J)&lt;1,"",ROUND(_xlfn.XLOOKUP($A151&amp;$B151&amp;$C151,盘货信息!$A:$A&amp;盘货信息!$B:$B&amp;盘货信息!$C:$C,盘货信息!$J:$J),0)&amp;"元限时补贴"))</f>
        <v/>
      </c>
      <c r="K151" s="27" t="str" cm="1">
        <f t="array" ref="K151">IF($C151="","",IF(_xlfn.XLOOKUP($A151&amp;$B151&amp;$C151,盘货信息!$A:$A&amp;盘货信息!$B:$B&amp;盘货信息!$C:$C,盘货信息!$K:$K)&lt;1,"",ROUND(_xlfn.XLOOKUP($A151&amp;$B151&amp;$C151,盘货信息!$A:$A&amp;盘货信息!$B:$B&amp;盘货信息!$C:$C,盘货信息!$K:$K),0)&amp;"元预估焕新补贴"))</f>
        <v/>
      </c>
      <c r="L151" s="27" t="str" cm="1">
        <f t="array" ref="L151">IF($C151="","",IF(AND(_xlfn.XLOOKUP($A151&amp;$B151&amp;$C151,盘货信息!$A:$A&amp;盘货信息!$B:$B&amp;盘货信息!$C:$C,盘货信息!$L:$L)="是",_xlfn.XLOOKUP($A151&amp;$B151&amp;$C151,盘货信息!$A:$A&amp;盘货信息!$B:$B&amp;盘货信息!$C:$C,盘货信息!$M:$M)="是",_xlfn.XLOOKUP($A151&amp;$B151&amp;$C151,盘货信息!$A:$A&amp;盘货信息!$B:$B&amp;盘货信息!$C:$C,盘货信息!$K:$K)&gt;0),"【全民可用，不限地址】",IF(AND(OR(_xlfn.XLOOKUP($A151&amp;$B151&amp;$C151,盘货信息!$A:$A&amp;盘货信息!$B:$B&amp;盘货信息!$C:$C,盘货信息!$L:$L)="否",_xlfn.XLOOKUP($A151&amp;$B151&amp;$C151,盘货信息!$A:$A&amp;盘货信息!$B:$B&amp;盘货信息!$C:$C,盘货信息!$L:$L)=""),_xlfn.XLOOKUP($A151&amp;$B151&amp;$C151,盘货信息!$A:$A&amp;盘货信息!$B:$B&amp;盘货信息!$C:$C,盘货信息!$M:$M)="是",_xlfn.XLOOKUP($A151&amp;$B151&amp;$C151,盘货信息!$A:$A&amp;盘货信息!$B:$B&amp;盘货信息!$C:$C,盘货信息!$K:$K)&gt;0),"【详情页领取】","")))</f>
        <v/>
      </c>
      <c r="M151" s="27" t="str" cm="1">
        <f t="array" ref="M151">IF($C151="","",IF(_xlfn.XLOOKUP($A151&amp;$B151&amp;$C151,盘货信息!$A:$A&amp;盘货信息!$B:$B&amp;盘货信息!$C:$C,盘货信息!$F:$F)&lt;1,"",_xlfn.XLOOKUP($A151&amp;$B151&amp;$C151,盘货信息!$A:$A&amp;盘货信息!$B:$B&amp;盘货信息!$C:$C,盘货信息!$F:$F)&amp;"元明卷"))</f>
        <v/>
      </c>
      <c r="N151" s="27" t="str">
        <f t="shared" si="5"/>
        <v/>
      </c>
      <c r="O151" s="27" t="str">
        <f>IF(I151="","","【消费券链接】"&amp;固定信息!$B$6)</f>
        <v/>
      </c>
    </row>
    <row r="152" customHeight="1" spans="1:15">
      <c r="A152" s="23" t="str">
        <f>IF(盘货信息!A152="","",盘货信息!A152)</f>
        <v/>
      </c>
      <c r="B152" s="26" t="str">
        <f>IF(盘货信息!B152="","",盘货信息!B152)</f>
        <v/>
      </c>
      <c r="C152" s="23" t="str">
        <f>IF(盘货信息!C152="","",盘货信息!C152)</f>
        <v/>
      </c>
      <c r="D152" s="27" t="str">
        <f t="shared" si="4"/>
        <v/>
      </c>
      <c r="E152" s="27" t="str" cm="1">
        <f t="array" ref="E152">IF($C152="","",IF(AND(OR(_xlfn.XLOOKUP($A152&amp;$B152&amp;$C152,盘货信息!$A:$A&amp;盘货信息!$B:$B&amp;盘货信息!$C:$C,盘货信息!$L:$L)="否",_xlfn.XLOOKUP($A152&amp;$B152&amp;$C152,盘货信息!$A:$A&amp;盘货信息!$B:$B&amp;盘货信息!$C:$C,盘货信息!$L:$L)=""),_xlfn.XLOOKUP($A152&amp;$B152&amp;$C152,盘货信息!$A:$A&amp;盘货信息!$B:$B&amp;盘货信息!$C:$C,盘货信息!$M:$M)="否"),"【预估到手价"&amp;_xlfn.XLOOKUP($A152&amp;$B152&amp;$C152,盘货信息!$A:$A&amp;盘货信息!$B:$B&amp;盘货信息!$C:$C,盘货信息!$D:$D)&amp;"元】",IF(AND(_xlfn.XLOOKUP($A152&amp;$B152&amp;$C152,盘货信息!$A:$A&amp;盘货信息!$B:$B&amp;盘货信息!$C:$C,盘货信息!$M:$M)="是",OR(_xlfn.XLOOKUP($A152&amp;$B152&amp;$C152,盘货信息!$A:$A&amp;盘货信息!$B:$B&amp;盘货信息!$C:$C,盘货信息!$L:$L)="否",_xlfn.XLOOKUP($A152&amp;$B152&amp;$C152,盘货信息!$A:$A&amp;盘货信息!$B:$B&amp;盘货信息!$C:$C,盘货信息!$L:$L)="")),"【预估到手价"&amp;_xlfn.XLOOKUP($A152&amp;$B152&amp;$C152,盘货信息!$A:$A&amp;盘货信息!$B:$B&amp;盘货信息!$C:$C,盘货信息!$D:$D)&amp;"元】"&amp;CHAR(10)&amp;"【焕新补贴预估价"&amp;ROUND(_xlfn.XLOOKUP($A152&amp;$B152&amp;$C152,盘货信息!$A:$A&amp;盘货信息!$B:$B&amp;盘货信息!$C:$C,盘货信息!$E:$E),0)&amp;"元】","【焕新补贴预估价"&amp;ROUND(_xlfn.XLOOKUP($A152&amp;$B152&amp;$C152,盘货信息!$A:$A&amp;盘货信息!$B:$B&amp;盘货信息!$C:$C,盘货信息!$E:$E),0)&amp;"元】")))</f>
        <v/>
      </c>
      <c r="F152" s="27" t="str" cm="1">
        <f t="array" ref="F152">IF($C152="","",_xlfn.XLOOKUP($A152&amp;$B152&amp;$C152,盘货信息!$A:$A&amp;盘货信息!$B:$B&amp;盘货信息!$C:$C,盘货信息!$D:$D)&amp;"元到手价")</f>
        <v/>
      </c>
      <c r="G152" s="27" t="str" cm="1">
        <f t="array" ref="G152">IF($C152="","",IF(_xlfn.XLOOKUP($A152&amp;$B152&amp;$C152,盘货信息!$A:$A&amp;盘货信息!$B:$B&amp;盘货信息!$C:$C,盘货信息!$G:$G)&lt;1,"",ROUND(_xlfn.XLOOKUP($A152&amp;$B152&amp;$C152,盘货信息!$A:$A&amp;盘货信息!$B:$B&amp;盘货信息!$C:$C,盘货信息!$G:$G),0)&amp;"元88VIP立减"))</f>
        <v/>
      </c>
      <c r="H152" s="27" t="str" cm="1">
        <f t="array" ref="H152">IF($C152="","",IF(_xlfn.XLOOKUP($A152&amp;$B152&amp;$C152,盘货信息!$A:$A&amp;盘货信息!$B:$B&amp;盘货信息!$C:$C,盘货信息!$I:$I)&lt;1,"",_xlfn.XLOOKUP($A152&amp;$B152&amp;$C152,盘货信息!$A:$A&amp;盘货信息!$B:$B&amp;盘货信息!$C:$C,盘货信息!$I:$I)&amp;"元惊喜立减"))</f>
        <v/>
      </c>
      <c r="I152" s="27" t="str" cm="1">
        <f t="array" ref="I152">IF($C152="","",IF(_xlfn.XLOOKUP($A152&amp;$B152&amp;$C152,盘货信息!$A:$A&amp;盘货信息!$B:$B&amp;盘货信息!$C:$C,盘货信息!$H:$H)&lt;1,"",ROUND(_xlfn.XLOOKUP($A152&amp;$B152&amp;$C152,盘货信息!$A:$A&amp;盘货信息!$B:$B&amp;盘货信息!$C:$C,盘货信息!$H:$H),0)&amp;"元消费券"))</f>
        <v/>
      </c>
      <c r="J152" s="27" t="str" cm="1">
        <f t="array" ref="J152">IF($C152="","",IF(_xlfn.XLOOKUP($A152&amp;$B152&amp;$C152,盘货信息!$A:$A&amp;盘货信息!$B:$B&amp;盘货信息!$C:$C,盘货信息!$J:$J)&lt;1,"",ROUND(_xlfn.XLOOKUP($A152&amp;$B152&amp;$C152,盘货信息!$A:$A&amp;盘货信息!$B:$B&amp;盘货信息!$C:$C,盘货信息!$J:$J),0)&amp;"元限时补贴"))</f>
        <v/>
      </c>
      <c r="K152" s="27" t="str" cm="1">
        <f t="array" ref="K152">IF($C152="","",IF(_xlfn.XLOOKUP($A152&amp;$B152&amp;$C152,盘货信息!$A:$A&amp;盘货信息!$B:$B&amp;盘货信息!$C:$C,盘货信息!$K:$K)&lt;1,"",ROUND(_xlfn.XLOOKUP($A152&amp;$B152&amp;$C152,盘货信息!$A:$A&amp;盘货信息!$B:$B&amp;盘货信息!$C:$C,盘货信息!$K:$K),0)&amp;"元预估焕新补贴"))</f>
        <v/>
      </c>
      <c r="L152" s="27" t="str" cm="1">
        <f t="array" ref="L152">IF($C152="","",IF(AND(_xlfn.XLOOKUP($A152&amp;$B152&amp;$C152,盘货信息!$A:$A&amp;盘货信息!$B:$B&amp;盘货信息!$C:$C,盘货信息!$L:$L)="是",_xlfn.XLOOKUP($A152&amp;$B152&amp;$C152,盘货信息!$A:$A&amp;盘货信息!$B:$B&amp;盘货信息!$C:$C,盘货信息!$M:$M)="是",_xlfn.XLOOKUP($A152&amp;$B152&amp;$C152,盘货信息!$A:$A&amp;盘货信息!$B:$B&amp;盘货信息!$C:$C,盘货信息!$K:$K)&gt;0),"【全民可用，不限地址】",IF(AND(OR(_xlfn.XLOOKUP($A152&amp;$B152&amp;$C152,盘货信息!$A:$A&amp;盘货信息!$B:$B&amp;盘货信息!$C:$C,盘货信息!$L:$L)="否",_xlfn.XLOOKUP($A152&amp;$B152&amp;$C152,盘货信息!$A:$A&amp;盘货信息!$B:$B&amp;盘货信息!$C:$C,盘货信息!$L:$L)=""),_xlfn.XLOOKUP($A152&amp;$B152&amp;$C152,盘货信息!$A:$A&amp;盘货信息!$B:$B&amp;盘货信息!$C:$C,盘货信息!$M:$M)="是",_xlfn.XLOOKUP($A152&amp;$B152&amp;$C152,盘货信息!$A:$A&amp;盘货信息!$B:$B&amp;盘货信息!$C:$C,盘货信息!$K:$K)&gt;0),"【详情页领取】","")))</f>
        <v/>
      </c>
      <c r="M152" s="27" t="str" cm="1">
        <f t="array" ref="M152">IF($C152="","",IF(_xlfn.XLOOKUP($A152&amp;$B152&amp;$C152,盘货信息!$A:$A&amp;盘货信息!$B:$B&amp;盘货信息!$C:$C,盘货信息!$F:$F)&lt;1,"",_xlfn.XLOOKUP($A152&amp;$B152&amp;$C152,盘货信息!$A:$A&amp;盘货信息!$B:$B&amp;盘货信息!$C:$C,盘货信息!$F:$F)&amp;"元明卷"))</f>
        <v/>
      </c>
      <c r="N152" s="27" t="str">
        <f t="shared" si="5"/>
        <v/>
      </c>
      <c r="O152" s="27" t="str">
        <f>IF(I152="","","【消费券链接】"&amp;固定信息!$B$6)</f>
        <v/>
      </c>
    </row>
    <row r="153" customHeight="1" spans="1:15">
      <c r="A153" s="23" t="str">
        <f>IF(盘货信息!A153="","",盘货信息!A153)</f>
        <v/>
      </c>
      <c r="B153" s="26" t="str">
        <f>IF(盘货信息!B153="","",盘货信息!B153)</f>
        <v/>
      </c>
      <c r="C153" s="23" t="str">
        <f>IF(盘货信息!C153="","",盘货信息!C153)</f>
        <v/>
      </c>
      <c r="D153" s="27" t="str">
        <f t="shared" si="4"/>
        <v/>
      </c>
      <c r="E153" s="27" t="str" cm="1">
        <f t="array" ref="E153">IF($C153="","",IF(AND(OR(_xlfn.XLOOKUP($A153&amp;$B153&amp;$C153,盘货信息!$A:$A&amp;盘货信息!$B:$B&amp;盘货信息!$C:$C,盘货信息!$L:$L)="否",_xlfn.XLOOKUP($A153&amp;$B153&amp;$C153,盘货信息!$A:$A&amp;盘货信息!$B:$B&amp;盘货信息!$C:$C,盘货信息!$L:$L)=""),_xlfn.XLOOKUP($A153&amp;$B153&amp;$C153,盘货信息!$A:$A&amp;盘货信息!$B:$B&amp;盘货信息!$C:$C,盘货信息!$M:$M)="否"),"【预估到手价"&amp;_xlfn.XLOOKUP($A153&amp;$B153&amp;$C153,盘货信息!$A:$A&amp;盘货信息!$B:$B&amp;盘货信息!$C:$C,盘货信息!$D:$D)&amp;"元】",IF(AND(_xlfn.XLOOKUP($A153&amp;$B153&amp;$C153,盘货信息!$A:$A&amp;盘货信息!$B:$B&amp;盘货信息!$C:$C,盘货信息!$M:$M)="是",OR(_xlfn.XLOOKUP($A153&amp;$B153&amp;$C153,盘货信息!$A:$A&amp;盘货信息!$B:$B&amp;盘货信息!$C:$C,盘货信息!$L:$L)="否",_xlfn.XLOOKUP($A153&amp;$B153&amp;$C153,盘货信息!$A:$A&amp;盘货信息!$B:$B&amp;盘货信息!$C:$C,盘货信息!$L:$L)="")),"【预估到手价"&amp;_xlfn.XLOOKUP($A153&amp;$B153&amp;$C153,盘货信息!$A:$A&amp;盘货信息!$B:$B&amp;盘货信息!$C:$C,盘货信息!$D:$D)&amp;"元】"&amp;CHAR(10)&amp;"【焕新补贴预估价"&amp;ROUND(_xlfn.XLOOKUP($A153&amp;$B153&amp;$C153,盘货信息!$A:$A&amp;盘货信息!$B:$B&amp;盘货信息!$C:$C,盘货信息!$E:$E),0)&amp;"元】","【焕新补贴预估价"&amp;ROUND(_xlfn.XLOOKUP($A153&amp;$B153&amp;$C153,盘货信息!$A:$A&amp;盘货信息!$B:$B&amp;盘货信息!$C:$C,盘货信息!$E:$E),0)&amp;"元】")))</f>
        <v/>
      </c>
      <c r="F153" s="27" t="str" cm="1">
        <f t="array" ref="F153">IF($C153="","",_xlfn.XLOOKUP($A153&amp;$B153&amp;$C153,盘货信息!$A:$A&amp;盘货信息!$B:$B&amp;盘货信息!$C:$C,盘货信息!$D:$D)&amp;"元到手价")</f>
        <v/>
      </c>
      <c r="G153" s="27" t="str" cm="1">
        <f t="array" ref="G153">IF($C153="","",IF(_xlfn.XLOOKUP($A153&amp;$B153&amp;$C153,盘货信息!$A:$A&amp;盘货信息!$B:$B&amp;盘货信息!$C:$C,盘货信息!$G:$G)&lt;1,"",ROUND(_xlfn.XLOOKUP($A153&amp;$B153&amp;$C153,盘货信息!$A:$A&amp;盘货信息!$B:$B&amp;盘货信息!$C:$C,盘货信息!$G:$G),0)&amp;"元88VIP立减"))</f>
        <v/>
      </c>
      <c r="H153" s="27" t="str" cm="1">
        <f t="array" ref="H153">IF($C153="","",IF(_xlfn.XLOOKUP($A153&amp;$B153&amp;$C153,盘货信息!$A:$A&amp;盘货信息!$B:$B&amp;盘货信息!$C:$C,盘货信息!$I:$I)&lt;1,"",_xlfn.XLOOKUP($A153&amp;$B153&amp;$C153,盘货信息!$A:$A&amp;盘货信息!$B:$B&amp;盘货信息!$C:$C,盘货信息!$I:$I)&amp;"元惊喜立减"))</f>
        <v/>
      </c>
      <c r="I153" s="27" t="str" cm="1">
        <f t="array" ref="I153">IF($C153="","",IF(_xlfn.XLOOKUP($A153&amp;$B153&amp;$C153,盘货信息!$A:$A&amp;盘货信息!$B:$B&amp;盘货信息!$C:$C,盘货信息!$H:$H)&lt;1,"",ROUND(_xlfn.XLOOKUP($A153&amp;$B153&amp;$C153,盘货信息!$A:$A&amp;盘货信息!$B:$B&amp;盘货信息!$C:$C,盘货信息!$H:$H),0)&amp;"元消费券"))</f>
        <v/>
      </c>
      <c r="J153" s="27" t="str" cm="1">
        <f t="array" ref="J153">IF($C153="","",IF(_xlfn.XLOOKUP($A153&amp;$B153&amp;$C153,盘货信息!$A:$A&amp;盘货信息!$B:$B&amp;盘货信息!$C:$C,盘货信息!$J:$J)&lt;1,"",ROUND(_xlfn.XLOOKUP($A153&amp;$B153&amp;$C153,盘货信息!$A:$A&amp;盘货信息!$B:$B&amp;盘货信息!$C:$C,盘货信息!$J:$J),0)&amp;"元限时补贴"))</f>
        <v/>
      </c>
      <c r="K153" s="27" t="str" cm="1">
        <f t="array" ref="K153">IF($C153="","",IF(_xlfn.XLOOKUP($A153&amp;$B153&amp;$C153,盘货信息!$A:$A&amp;盘货信息!$B:$B&amp;盘货信息!$C:$C,盘货信息!$K:$K)&lt;1,"",ROUND(_xlfn.XLOOKUP($A153&amp;$B153&amp;$C153,盘货信息!$A:$A&amp;盘货信息!$B:$B&amp;盘货信息!$C:$C,盘货信息!$K:$K),0)&amp;"元预估焕新补贴"))</f>
        <v/>
      </c>
      <c r="L153" s="27" t="str" cm="1">
        <f t="array" ref="L153">IF($C153="","",IF(AND(_xlfn.XLOOKUP($A153&amp;$B153&amp;$C153,盘货信息!$A:$A&amp;盘货信息!$B:$B&amp;盘货信息!$C:$C,盘货信息!$L:$L)="是",_xlfn.XLOOKUP($A153&amp;$B153&amp;$C153,盘货信息!$A:$A&amp;盘货信息!$B:$B&amp;盘货信息!$C:$C,盘货信息!$M:$M)="是",_xlfn.XLOOKUP($A153&amp;$B153&amp;$C153,盘货信息!$A:$A&amp;盘货信息!$B:$B&amp;盘货信息!$C:$C,盘货信息!$K:$K)&gt;0),"【全民可用，不限地址】",IF(AND(OR(_xlfn.XLOOKUP($A153&amp;$B153&amp;$C153,盘货信息!$A:$A&amp;盘货信息!$B:$B&amp;盘货信息!$C:$C,盘货信息!$L:$L)="否",_xlfn.XLOOKUP($A153&amp;$B153&amp;$C153,盘货信息!$A:$A&amp;盘货信息!$B:$B&amp;盘货信息!$C:$C,盘货信息!$L:$L)=""),_xlfn.XLOOKUP($A153&amp;$B153&amp;$C153,盘货信息!$A:$A&amp;盘货信息!$B:$B&amp;盘货信息!$C:$C,盘货信息!$M:$M)="是",_xlfn.XLOOKUP($A153&amp;$B153&amp;$C153,盘货信息!$A:$A&amp;盘货信息!$B:$B&amp;盘货信息!$C:$C,盘货信息!$K:$K)&gt;0),"【详情页领取】","")))</f>
        <v/>
      </c>
      <c r="M153" s="27" t="str" cm="1">
        <f t="array" ref="M153">IF($C153="","",IF(_xlfn.XLOOKUP($A153&amp;$B153&amp;$C153,盘货信息!$A:$A&amp;盘货信息!$B:$B&amp;盘货信息!$C:$C,盘货信息!$F:$F)&lt;1,"",_xlfn.XLOOKUP($A153&amp;$B153&amp;$C153,盘货信息!$A:$A&amp;盘货信息!$B:$B&amp;盘货信息!$C:$C,盘货信息!$F:$F)&amp;"元明卷"))</f>
        <v/>
      </c>
      <c r="N153" s="27" t="str">
        <f t="shared" si="5"/>
        <v/>
      </c>
      <c r="O153" s="27" t="str">
        <f>IF(I153="","","【消费券链接】"&amp;固定信息!$B$6)</f>
        <v/>
      </c>
    </row>
    <row r="154" customHeight="1" spans="1:15">
      <c r="A154" s="23" t="str">
        <f>IF(盘货信息!A154="","",盘货信息!A154)</f>
        <v/>
      </c>
      <c r="B154" s="26" t="str">
        <f>IF(盘货信息!B154="","",盘货信息!B154)</f>
        <v/>
      </c>
      <c r="C154" s="23" t="str">
        <f>IF(盘货信息!C154="","",盘货信息!C154)</f>
        <v/>
      </c>
      <c r="D154" s="27" t="str">
        <f t="shared" si="4"/>
        <v/>
      </c>
      <c r="E154" s="27" t="str" cm="1">
        <f t="array" ref="E154">IF($C154="","",IF(AND(OR(_xlfn.XLOOKUP($A154&amp;$B154&amp;$C154,盘货信息!$A:$A&amp;盘货信息!$B:$B&amp;盘货信息!$C:$C,盘货信息!$L:$L)="否",_xlfn.XLOOKUP($A154&amp;$B154&amp;$C154,盘货信息!$A:$A&amp;盘货信息!$B:$B&amp;盘货信息!$C:$C,盘货信息!$L:$L)=""),_xlfn.XLOOKUP($A154&amp;$B154&amp;$C154,盘货信息!$A:$A&amp;盘货信息!$B:$B&amp;盘货信息!$C:$C,盘货信息!$M:$M)="否"),"【预估到手价"&amp;_xlfn.XLOOKUP($A154&amp;$B154&amp;$C154,盘货信息!$A:$A&amp;盘货信息!$B:$B&amp;盘货信息!$C:$C,盘货信息!$D:$D)&amp;"元】",IF(AND(_xlfn.XLOOKUP($A154&amp;$B154&amp;$C154,盘货信息!$A:$A&amp;盘货信息!$B:$B&amp;盘货信息!$C:$C,盘货信息!$M:$M)="是",OR(_xlfn.XLOOKUP($A154&amp;$B154&amp;$C154,盘货信息!$A:$A&amp;盘货信息!$B:$B&amp;盘货信息!$C:$C,盘货信息!$L:$L)="否",_xlfn.XLOOKUP($A154&amp;$B154&amp;$C154,盘货信息!$A:$A&amp;盘货信息!$B:$B&amp;盘货信息!$C:$C,盘货信息!$L:$L)="")),"【预估到手价"&amp;_xlfn.XLOOKUP($A154&amp;$B154&amp;$C154,盘货信息!$A:$A&amp;盘货信息!$B:$B&amp;盘货信息!$C:$C,盘货信息!$D:$D)&amp;"元】"&amp;CHAR(10)&amp;"【焕新补贴预估价"&amp;ROUND(_xlfn.XLOOKUP($A154&amp;$B154&amp;$C154,盘货信息!$A:$A&amp;盘货信息!$B:$B&amp;盘货信息!$C:$C,盘货信息!$E:$E),0)&amp;"元】","【焕新补贴预估价"&amp;ROUND(_xlfn.XLOOKUP($A154&amp;$B154&amp;$C154,盘货信息!$A:$A&amp;盘货信息!$B:$B&amp;盘货信息!$C:$C,盘货信息!$E:$E),0)&amp;"元】")))</f>
        <v/>
      </c>
      <c r="F154" s="27" t="str" cm="1">
        <f t="array" ref="F154">IF($C154="","",_xlfn.XLOOKUP($A154&amp;$B154&amp;$C154,盘货信息!$A:$A&amp;盘货信息!$B:$B&amp;盘货信息!$C:$C,盘货信息!$D:$D)&amp;"元到手价")</f>
        <v/>
      </c>
      <c r="G154" s="27" t="str" cm="1">
        <f t="array" ref="G154">IF($C154="","",IF(_xlfn.XLOOKUP($A154&amp;$B154&amp;$C154,盘货信息!$A:$A&amp;盘货信息!$B:$B&amp;盘货信息!$C:$C,盘货信息!$G:$G)&lt;1,"",ROUND(_xlfn.XLOOKUP($A154&amp;$B154&amp;$C154,盘货信息!$A:$A&amp;盘货信息!$B:$B&amp;盘货信息!$C:$C,盘货信息!$G:$G),0)&amp;"元88VIP立减"))</f>
        <v/>
      </c>
      <c r="H154" s="27" t="str" cm="1">
        <f t="array" ref="H154">IF($C154="","",IF(_xlfn.XLOOKUP($A154&amp;$B154&amp;$C154,盘货信息!$A:$A&amp;盘货信息!$B:$B&amp;盘货信息!$C:$C,盘货信息!$I:$I)&lt;1,"",_xlfn.XLOOKUP($A154&amp;$B154&amp;$C154,盘货信息!$A:$A&amp;盘货信息!$B:$B&amp;盘货信息!$C:$C,盘货信息!$I:$I)&amp;"元惊喜立减"))</f>
        <v/>
      </c>
      <c r="I154" s="27" t="str" cm="1">
        <f t="array" ref="I154">IF($C154="","",IF(_xlfn.XLOOKUP($A154&amp;$B154&amp;$C154,盘货信息!$A:$A&amp;盘货信息!$B:$B&amp;盘货信息!$C:$C,盘货信息!$H:$H)&lt;1,"",ROUND(_xlfn.XLOOKUP($A154&amp;$B154&amp;$C154,盘货信息!$A:$A&amp;盘货信息!$B:$B&amp;盘货信息!$C:$C,盘货信息!$H:$H),0)&amp;"元消费券"))</f>
        <v/>
      </c>
      <c r="J154" s="27" t="str" cm="1">
        <f t="array" ref="J154">IF($C154="","",IF(_xlfn.XLOOKUP($A154&amp;$B154&amp;$C154,盘货信息!$A:$A&amp;盘货信息!$B:$B&amp;盘货信息!$C:$C,盘货信息!$J:$J)&lt;1,"",ROUND(_xlfn.XLOOKUP($A154&amp;$B154&amp;$C154,盘货信息!$A:$A&amp;盘货信息!$B:$B&amp;盘货信息!$C:$C,盘货信息!$J:$J),0)&amp;"元限时补贴"))</f>
        <v/>
      </c>
      <c r="K154" s="27" t="str" cm="1">
        <f t="array" ref="K154">IF($C154="","",IF(_xlfn.XLOOKUP($A154&amp;$B154&amp;$C154,盘货信息!$A:$A&amp;盘货信息!$B:$B&amp;盘货信息!$C:$C,盘货信息!$K:$K)&lt;1,"",ROUND(_xlfn.XLOOKUP($A154&amp;$B154&amp;$C154,盘货信息!$A:$A&amp;盘货信息!$B:$B&amp;盘货信息!$C:$C,盘货信息!$K:$K),0)&amp;"元预估焕新补贴"))</f>
        <v/>
      </c>
      <c r="L154" s="27" t="str" cm="1">
        <f t="array" ref="L154">IF($C154="","",IF(AND(_xlfn.XLOOKUP($A154&amp;$B154&amp;$C154,盘货信息!$A:$A&amp;盘货信息!$B:$B&amp;盘货信息!$C:$C,盘货信息!$L:$L)="是",_xlfn.XLOOKUP($A154&amp;$B154&amp;$C154,盘货信息!$A:$A&amp;盘货信息!$B:$B&amp;盘货信息!$C:$C,盘货信息!$M:$M)="是",_xlfn.XLOOKUP($A154&amp;$B154&amp;$C154,盘货信息!$A:$A&amp;盘货信息!$B:$B&amp;盘货信息!$C:$C,盘货信息!$K:$K)&gt;0),"【全民可用，不限地址】",IF(AND(OR(_xlfn.XLOOKUP($A154&amp;$B154&amp;$C154,盘货信息!$A:$A&amp;盘货信息!$B:$B&amp;盘货信息!$C:$C,盘货信息!$L:$L)="否",_xlfn.XLOOKUP($A154&amp;$B154&amp;$C154,盘货信息!$A:$A&amp;盘货信息!$B:$B&amp;盘货信息!$C:$C,盘货信息!$L:$L)=""),_xlfn.XLOOKUP($A154&amp;$B154&amp;$C154,盘货信息!$A:$A&amp;盘货信息!$B:$B&amp;盘货信息!$C:$C,盘货信息!$M:$M)="是",_xlfn.XLOOKUP($A154&amp;$B154&amp;$C154,盘货信息!$A:$A&amp;盘货信息!$B:$B&amp;盘货信息!$C:$C,盘货信息!$K:$K)&gt;0),"【详情页领取】","")))</f>
        <v/>
      </c>
      <c r="M154" s="27" t="str" cm="1">
        <f t="array" ref="M154">IF($C154="","",IF(_xlfn.XLOOKUP($A154&amp;$B154&amp;$C154,盘货信息!$A:$A&amp;盘货信息!$B:$B&amp;盘货信息!$C:$C,盘货信息!$F:$F)&lt;1,"",_xlfn.XLOOKUP($A154&amp;$B154&amp;$C154,盘货信息!$A:$A&amp;盘货信息!$B:$B&amp;盘货信息!$C:$C,盘货信息!$F:$F)&amp;"元明卷"))</f>
        <v/>
      </c>
      <c r="N154" s="27" t="str">
        <f t="shared" si="5"/>
        <v/>
      </c>
      <c r="O154" s="27" t="str">
        <f>IF(I154="","","【消费券链接】"&amp;固定信息!$B$6)</f>
        <v/>
      </c>
    </row>
    <row r="155" customHeight="1" spans="1:15">
      <c r="A155" s="23" t="str">
        <f>IF(盘货信息!A155="","",盘货信息!A155)</f>
        <v/>
      </c>
      <c r="B155" s="26" t="str">
        <f>IF(盘货信息!B155="","",盘货信息!B155)</f>
        <v/>
      </c>
      <c r="C155" s="23" t="str">
        <f>IF(盘货信息!C155="","",盘货信息!C155)</f>
        <v/>
      </c>
      <c r="D155" s="27" t="str">
        <f t="shared" si="4"/>
        <v/>
      </c>
      <c r="E155" s="27" t="str" cm="1">
        <f t="array" ref="E155">IF($C155="","",IF(AND(OR(_xlfn.XLOOKUP($A155&amp;$B155&amp;$C155,盘货信息!$A:$A&amp;盘货信息!$B:$B&amp;盘货信息!$C:$C,盘货信息!$L:$L)="否",_xlfn.XLOOKUP($A155&amp;$B155&amp;$C155,盘货信息!$A:$A&amp;盘货信息!$B:$B&amp;盘货信息!$C:$C,盘货信息!$L:$L)=""),_xlfn.XLOOKUP($A155&amp;$B155&amp;$C155,盘货信息!$A:$A&amp;盘货信息!$B:$B&amp;盘货信息!$C:$C,盘货信息!$M:$M)="否"),"【预估到手价"&amp;_xlfn.XLOOKUP($A155&amp;$B155&amp;$C155,盘货信息!$A:$A&amp;盘货信息!$B:$B&amp;盘货信息!$C:$C,盘货信息!$D:$D)&amp;"元】",IF(AND(_xlfn.XLOOKUP($A155&amp;$B155&amp;$C155,盘货信息!$A:$A&amp;盘货信息!$B:$B&amp;盘货信息!$C:$C,盘货信息!$M:$M)="是",OR(_xlfn.XLOOKUP($A155&amp;$B155&amp;$C155,盘货信息!$A:$A&amp;盘货信息!$B:$B&amp;盘货信息!$C:$C,盘货信息!$L:$L)="否",_xlfn.XLOOKUP($A155&amp;$B155&amp;$C155,盘货信息!$A:$A&amp;盘货信息!$B:$B&amp;盘货信息!$C:$C,盘货信息!$L:$L)="")),"【预估到手价"&amp;_xlfn.XLOOKUP($A155&amp;$B155&amp;$C155,盘货信息!$A:$A&amp;盘货信息!$B:$B&amp;盘货信息!$C:$C,盘货信息!$D:$D)&amp;"元】"&amp;CHAR(10)&amp;"【焕新补贴预估价"&amp;ROUND(_xlfn.XLOOKUP($A155&amp;$B155&amp;$C155,盘货信息!$A:$A&amp;盘货信息!$B:$B&amp;盘货信息!$C:$C,盘货信息!$E:$E),0)&amp;"元】","【焕新补贴预估价"&amp;ROUND(_xlfn.XLOOKUP($A155&amp;$B155&amp;$C155,盘货信息!$A:$A&amp;盘货信息!$B:$B&amp;盘货信息!$C:$C,盘货信息!$E:$E),0)&amp;"元】")))</f>
        <v/>
      </c>
      <c r="F155" s="27" t="str" cm="1">
        <f t="array" ref="F155">IF($C155="","",_xlfn.XLOOKUP($A155&amp;$B155&amp;$C155,盘货信息!$A:$A&amp;盘货信息!$B:$B&amp;盘货信息!$C:$C,盘货信息!$D:$D)&amp;"元到手价")</f>
        <v/>
      </c>
      <c r="G155" s="27" t="str" cm="1">
        <f t="array" ref="G155">IF($C155="","",IF(_xlfn.XLOOKUP($A155&amp;$B155&amp;$C155,盘货信息!$A:$A&amp;盘货信息!$B:$B&amp;盘货信息!$C:$C,盘货信息!$G:$G)&lt;1,"",ROUND(_xlfn.XLOOKUP($A155&amp;$B155&amp;$C155,盘货信息!$A:$A&amp;盘货信息!$B:$B&amp;盘货信息!$C:$C,盘货信息!$G:$G),0)&amp;"元88VIP立减"))</f>
        <v/>
      </c>
      <c r="H155" s="27" t="str" cm="1">
        <f t="array" ref="H155">IF($C155="","",IF(_xlfn.XLOOKUP($A155&amp;$B155&amp;$C155,盘货信息!$A:$A&amp;盘货信息!$B:$B&amp;盘货信息!$C:$C,盘货信息!$I:$I)&lt;1,"",_xlfn.XLOOKUP($A155&amp;$B155&amp;$C155,盘货信息!$A:$A&amp;盘货信息!$B:$B&amp;盘货信息!$C:$C,盘货信息!$I:$I)&amp;"元惊喜立减"))</f>
        <v/>
      </c>
      <c r="I155" s="27" t="str" cm="1">
        <f t="array" ref="I155">IF($C155="","",IF(_xlfn.XLOOKUP($A155&amp;$B155&amp;$C155,盘货信息!$A:$A&amp;盘货信息!$B:$B&amp;盘货信息!$C:$C,盘货信息!$H:$H)&lt;1,"",ROUND(_xlfn.XLOOKUP($A155&amp;$B155&amp;$C155,盘货信息!$A:$A&amp;盘货信息!$B:$B&amp;盘货信息!$C:$C,盘货信息!$H:$H),0)&amp;"元消费券"))</f>
        <v/>
      </c>
      <c r="J155" s="27" t="str" cm="1">
        <f t="array" ref="J155">IF($C155="","",IF(_xlfn.XLOOKUP($A155&amp;$B155&amp;$C155,盘货信息!$A:$A&amp;盘货信息!$B:$B&amp;盘货信息!$C:$C,盘货信息!$J:$J)&lt;1,"",ROUND(_xlfn.XLOOKUP($A155&amp;$B155&amp;$C155,盘货信息!$A:$A&amp;盘货信息!$B:$B&amp;盘货信息!$C:$C,盘货信息!$J:$J),0)&amp;"元限时补贴"))</f>
        <v/>
      </c>
      <c r="K155" s="27" t="str" cm="1">
        <f t="array" ref="K155">IF($C155="","",IF(_xlfn.XLOOKUP($A155&amp;$B155&amp;$C155,盘货信息!$A:$A&amp;盘货信息!$B:$B&amp;盘货信息!$C:$C,盘货信息!$K:$K)&lt;1,"",ROUND(_xlfn.XLOOKUP($A155&amp;$B155&amp;$C155,盘货信息!$A:$A&amp;盘货信息!$B:$B&amp;盘货信息!$C:$C,盘货信息!$K:$K),0)&amp;"元预估焕新补贴"))</f>
        <v/>
      </c>
      <c r="L155" s="27" t="str" cm="1">
        <f t="array" ref="L155">IF($C155="","",IF(AND(_xlfn.XLOOKUP($A155&amp;$B155&amp;$C155,盘货信息!$A:$A&amp;盘货信息!$B:$B&amp;盘货信息!$C:$C,盘货信息!$L:$L)="是",_xlfn.XLOOKUP($A155&amp;$B155&amp;$C155,盘货信息!$A:$A&amp;盘货信息!$B:$B&amp;盘货信息!$C:$C,盘货信息!$M:$M)="是",_xlfn.XLOOKUP($A155&amp;$B155&amp;$C155,盘货信息!$A:$A&amp;盘货信息!$B:$B&amp;盘货信息!$C:$C,盘货信息!$K:$K)&gt;0),"【全民可用，不限地址】",IF(AND(OR(_xlfn.XLOOKUP($A155&amp;$B155&amp;$C155,盘货信息!$A:$A&amp;盘货信息!$B:$B&amp;盘货信息!$C:$C,盘货信息!$L:$L)="否",_xlfn.XLOOKUP($A155&amp;$B155&amp;$C155,盘货信息!$A:$A&amp;盘货信息!$B:$B&amp;盘货信息!$C:$C,盘货信息!$L:$L)=""),_xlfn.XLOOKUP($A155&amp;$B155&amp;$C155,盘货信息!$A:$A&amp;盘货信息!$B:$B&amp;盘货信息!$C:$C,盘货信息!$M:$M)="是",_xlfn.XLOOKUP($A155&amp;$B155&amp;$C155,盘货信息!$A:$A&amp;盘货信息!$B:$B&amp;盘货信息!$C:$C,盘货信息!$K:$K)&gt;0),"【详情页领取】","")))</f>
        <v/>
      </c>
      <c r="M155" s="27" t="str" cm="1">
        <f t="array" ref="M155">IF($C155="","",IF(_xlfn.XLOOKUP($A155&amp;$B155&amp;$C155,盘货信息!$A:$A&amp;盘货信息!$B:$B&amp;盘货信息!$C:$C,盘货信息!$F:$F)&lt;1,"",_xlfn.XLOOKUP($A155&amp;$B155&amp;$C155,盘货信息!$A:$A&amp;盘货信息!$B:$B&amp;盘货信息!$C:$C,盘货信息!$F:$F)&amp;"元明卷"))</f>
        <v/>
      </c>
      <c r="N155" s="27" t="str">
        <f t="shared" si="5"/>
        <v/>
      </c>
      <c r="O155" s="27" t="str">
        <f>IF(I155="","","【消费券链接】"&amp;固定信息!$B$6)</f>
        <v/>
      </c>
    </row>
    <row r="156" customHeight="1" spans="1:15">
      <c r="A156" s="23" t="str">
        <f>IF(盘货信息!A156="","",盘货信息!A156)</f>
        <v/>
      </c>
      <c r="B156" s="26" t="str">
        <f>IF(盘货信息!B156="","",盘货信息!B156)</f>
        <v/>
      </c>
      <c r="C156" s="23" t="str">
        <f>IF(盘货信息!C156="","",盘货信息!C156)</f>
        <v/>
      </c>
      <c r="D156" s="27" t="str">
        <f t="shared" si="4"/>
        <v/>
      </c>
      <c r="E156" s="27" t="str" cm="1">
        <f t="array" ref="E156">IF($C156="","",IF(AND(OR(_xlfn.XLOOKUP($A156&amp;$B156&amp;$C156,盘货信息!$A:$A&amp;盘货信息!$B:$B&amp;盘货信息!$C:$C,盘货信息!$L:$L)="否",_xlfn.XLOOKUP($A156&amp;$B156&amp;$C156,盘货信息!$A:$A&amp;盘货信息!$B:$B&amp;盘货信息!$C:$C,盘货信息!$L:$L)=""),_xlfn.XLOOKUP($A156&amp;$B156&amp;$C156,盘货信息!$A:$A&amp;盘货信息!$B:$B&amp;盘货信息!$C:$C,盘货信息!$M:$M)="否"),"【预估到手价"&amp;_xlfn.XLOOKUP($A156&amp;$B156&amp;$C156,盘货信息!$A:$A&amp;盘货信息!$B:$B&amp;盘货信息!$C:$C,盘货信息!$D:$D)&amp;"元】",IF(AND(_xlfn.XLOOKUP($A156&amp;$B156&amp;$C156,盘货信息!$A:$A&amp;盘货信息!$B:$B&amp;盘货信息!$C:$C,盘货信息!$M:$M)="是",OR(_xlfn.XLOOKUP($A156&amp;$B156&amp;$C156,盘货信息!$A:$A&amp;盘货信息!$B:$B&amp;盘货信息!$C:$C,盘货信息!$L:$L)="否",_xlfn.XLOOKUP($A156&amp;$B156&amp;$C156,盘货信息!$A:$A&amp;盘货信息!$B:$B&amp;盘货信息!$C:$C,盘货信息!$L:$L)="")),"【预估到手价"&amp;_xlfn.XLOOKUP($A156&amp;$B156&amp;$C156,盘货信息!$A:$A&amp;盘货信息!$B:$B&amp;盘货信息!$C:$C,盘货信息!$D:$D)&amp;"元】"&amp;CHAR(10)&amp;"【焕新补贴预估价"&amp;ROUND(_xlfn.XLOOKUP($A156&amp;$B156&amp;$C156,盘货信息!$A:$A&amp;盘货信息!$B:$B&amp;盘货信息!$C:$C,盘货信息!$E:$E),0)&amp;"元】","【焕新补贴预估价"&amp;ROUND(_xlfn.XLOOKUP($A156&amp;$B156&amp;$C156,盘货信息!$A:$A&amp;盘货信息!$B:$B&amp;盘货信息!$C:$C,盘货信息!$E:$E),0)&amp;"元】")))</f>
        <v/>
      </c>
      <c r="F156" s="27" t="str" cm="1">
        <f t="array" ref="F156">IF($C156="","",_xlfn.XLOOKUP($A156&amp;$B156&amp;$C156,盘货信息!$A:$A&amp;盘货信息!$B:$B&amp;盘货信息!$C:$C,盘货信息!$D:$D)&amp;"元到手价")</f>
        <v/>
      </c>
      <c r="G156" s="27" t="str" cm="1">
        <f t="array" ref="G156">IF($C156="","",IF(_xlfn.XLOOKUP($A156&amp;$B156&amp;$C156,盘货信息!$A:$A&amp;盘货信息!$B:$B&amp;盘货信息!$C:$C,盘货信息!$G:$G)&lt;1,"",ROUND(_xlfn.XLOOKUP($A156&amp;$B156&amp;$C156,盘货信息!$A:$A&amp;盘货信息!$B:$B&amp;盘货信息!$C:$C,盘货信息!$G:$G),0)&amp;"元88VIP立减"))</f>
        <v/>
      </c>
      <c r="H156" s="27" t="str" cm="1">
        <f t="array" ref="H156">IF($C156="","",IF(_xlfn.XLOOKUP($A156&amp;$B156&amp;$C156,盘货信息!$A:$A&amp;盘货信息!$B:$B&amp;盘货信息!$C:$C,盘货信息!$I:$I)&lt;1,"",_xlfn.XLOOKUP($A156&amp;$B156&amp;$C156,盘货信息!$A:$A&amp;盘货信息!$B:$B&amp;盘货信息!$C:$C,盘货信息!$I:$I)&amp;"元惊喜立减"))</f>
        <v/>
      </c>
      <c r="I156" s="27" t="str" cm="1">
        <f t="array" ref="I156">IF($C156="","",IF(_xlfn.XLOOKUP($A156&amp;$B156&amp;$C156,盘货信息!$A:$A&amp;盘货信息!$B:$B&amp;盘货信息!$C:$C,盘货信息!$H:$H)&lt;1,"",ROUND(_xlfn.XLOOKUP($A156&amp;$B156&amp;$C156,盘货信息!$A:$A&amp;盘货信息!$B:$B&amp;盘货信息!$C:$C,盘货信息!$H:$H),0)&amp;"元消费券"))</f>
        <v/>
      </c>
      <c r="J156" s="27" t="str" cm="1">
        <f t="array" ref="J156">IF($C156="","",IF(_xlfn.XLOOKUP($A156&amp;$B156&amp;$C156,盘货信息!$A:$A&amp;盘货信息!$B:$B&amp;盘货信息!$C:$C,盘货信息!$J:$J)&lt;1,"",ROUND(_xlfn.XLOOKUP($A156&amp;$B156&amp;$C156,盘货信息!$A:$A&amp;盘货信息!$B:$B&amp;盘货信息!$C:$C,盘货信息!$J:$J),0)&amp;"元限时补贴"))</f>
        <v/>
      </c>
      <c r="K156" s="27" t="str" cm="1">
        <f t="array" ref="K156">IF($C156="","",IF(_xlfn.XLOOKUP($A156&amp;$B156&amp;$C156,盘货信息!$A:$A&amp;盘货信息!$B:$B&amp;盘货信息!$C:$C,盘货信息!$K:$K)&lt;1,"",ROUND(_xlfn.XLOOKUP($A156&amp;$B156&amp;$C156,盘货信息!$A:$A&amp;盘货信息!$B:$B&amp;盘货信息!$C:$C,盘货信息!$K:$K),0)&amp;"元预估焕新补贴"))</f>
        <v/>
      </c>
      <c r="L156" s="27" t="str" cm="1">
        <f t="array" ref="L156">IF($C156="","",IF(AND(_xlfn.XLOOKUP($A156&amp;$B156&amp;$C156,盘货信息!$A:$A&amp;盘货信息!$B:$B&amp;盘货信息!$C:$C,盘货信息!$L:$L)="是",_xlfn.XLOOKUP($A156&amp;$B156&amp;$C156,盘货信息!$A:$A&amp;盘货信息!$B:$B&amp;盘货信息!$C:$C,盘货信息!$M:$M)="是",_xlfn.XLOOKUP($A156&amp;$B156&amp;$C156,盘货信息!$A:$A&amp;盘货信息!$B:$B&amp;盘货信息!$C:$C,盘货信息!$K:$K)&gt;0),"【全民可用，不限地址】",IF(AND(OR(_xlfn.XLOOKUP($A156&amp;$B156&amp;$C156,盘货信息!$A:$A&amp;盘货信息!$B:$B&amp;盘货信息!$C:$C,盘货信息!$L:$L)="否",_xlfn.XLOOKUP($A156&amp;$B156&amp;$C156,盘货信息!$A:$A&amp;盘货信息!$B:$B&amp;盘货信息!$C:$C,盘货信息!$L:$L)=""),_xlfn.XLOOKUP($A156&amp;$B156&amp;$C156,盘货信息!$A:$A&amp;盘货信息!$B:$B&amp;盘货信息!$C:$C,盘货信息!$M:$M)="是",_xlfn.XLOOKUP($A156&amp;$B156&amp;$C156,盘货信息!$A:$A&amp;盘货信息!$B:$B&amp;盘货信息!$C:$C,盘货信息!$K:$K)&gt;0),"【详情页领取】","")))</f>
        <v/>
      </c>
      <c r="M156" s="27" t="str" cm="1">
        <f t="array" ref="M156">IF($C156="","",IF(_xlfn.XLOOKUP($A156&amp;$B156&amp;$C156,盘货信息!$A:$A&amp;盘货信息!$B:$B&amp;盘货信息!$C:$C,盘货信息!$F:$F)&lt;1,"",_xlfn.XLOOKUP($A156&amp;$B156&amp;$C156,盘货信息!$A:$A&amp;盘货信息!$B:$B&amp;盘货信息!$C:$C,盘货信息!$F:$F)&amp;"元明卷"))</f>
        <v/>
      </c>
      <c r="N156" s="27" t="str">
        <f t="shared" si="5"/>
        <v/>
      </c>
      <c r="O156" s="27" t="str">
        <f>IF(I156="","","【消费券链接】"&amp;固定信息!$B$6)</f>
        <v/>
      </c>
    </row>
    <row r="157" customHeight="1" spans="1:15">
      <c r="A157" s="23" t="str">
        <f>IF(盘货信息!A157="","",盘货信息!A157)</f>
        <v/>
      </c>
      <c r="B157" s="26" t="str">
        <f>IF(盘货信息!B157="","",盘货信息!B157)</f>
        <v/>
      </c>
      <c r="C157" s="23" t="str">
        <f>IF(盘货信息!C157="","",盘货信息!C157)</f>
        <v/>
      </c>
      <c r="D157" s="27" t="str">
        <f t="shared" si="4"/>
        <v/>
      </c>
      <c r="E157" s="27" t="str" cm="1">
        <f t="array" ref="E157">IF($C157="","",IF(AND(OR(_xlfn.XLOOKUP($A157&amp;$B157&amp;$C157,盘货信息!$A:$A&amp;盘货信息!$B:$B&amp;盘货信息!$C:$C,盘货信息!$L:$L)="否",_xlfn.XLOOKUP($A157&amp;$B157&amp;$C157,盘货信息!$A:$A&amp;盘货信息!$B:$B&amp;盘货信息!$C:$C,盘货信息!$L:$L)=""),_xlfn.XLOOKUP($A157&amp;$B157&amp;$C157,盘货信息!$A:$A&amp;盘货信息!$B:$B&amp;盘货信息!$C:$C,盘货信息!$M:$M)="否"),"【预估到手价"&amp;_xlfn.XLOOKUP($A157&amp;$B157&amp;$C157,盘货信息!$A:$A&amp;盘货信息!$B:$B&amp;盘货信息!$C:$C,盘货信息!$D:$D)&amp;"元】",IF(AND(_xlfn.XLOOKUP($A157&amp;$B157&amp;$C157,盘货信息!$A:$A&amp;盘货信息!$B:$B&amp;盘货信息!$C:$C,盘货信息!$M:$M)="是",OR(_xlfn.XLOOKUP($A157&amp;$B157&amp;$C157,盘货信息!$A:$A&amp;盘货信息!$B:$B&amp;盘货信息!$C:$C,盘货信息!$L:$L)="否",_xlfn.XLOOKUP($A157&amp;$B157&amp;$C157,盘货信息!$A:$A&amp;盘货信息!$B:$B&amp;盘货信息!$C:$C,盘货信息!$L:$L)="")),"【预估到手价"&amp;_xlfn.XLOOKUP($A157&amp;$B157&amp;$C157,盘货信息!$A:$A&amp;盘货信息!$B:$B&amp;盘货信息!$C:$C,盘货信息!$D:$D)&amp;"元】"&amp;CHAR(10)&amp;"【焕新补贴预估价"&amp;ROUND(_xlfn.XLOOKUP($A157&amp;$B157&amp;$C157,盘货信息!$A:$A&amp;盘货信息!$B:$B&amp;盘货信息!$C:$C,盘货信息!$E:$E),0)&amp;"元】","【焕新补贴预估价"&amp;ROUND(_xlfn.XLOOKUP($A157&amp;$B157&amp;$C157,盘货信息!$A:$A&amp;盘货信息!$B:$B&amp;盘货信息!$C:$C,盘货信息!$E:$E),0)&amp;"元】")))</f>
        <v/>
      </c>
      <c r="F157" s="27" t="str" cm="1">
        <f t="array" ref="F157">IF($C157="","",_xlfn.XLOOKUP($A157&amp;$B157&amp;$C157,盘货信息!$A:$A&amp;盘货信息!$B:$B&amp;盘货信息!$C:$C,盘货信息!$D:$D)&amp;"元到手价")</f>
        <v/>
      </c>
      <c r="G157" s="27" t="str" cm="1">
        <f t="array" ref="G157">IF($C157="","",IF(_xlfn.XLOOKUP($A157&amp;$B157&amp;$C157,盘货信息!$A:$A&amp;盘货信息!$B:$B&amp;盘货信息!$C:$C,盘货信息!$G:$G)&lt;1,"",ROUND(_xlfn.XLOOKUP($A157&amp;$B157&amp;$C157,盘货信息!$A:$A&amp;盘货信息!$B:$B&amp;盘货信息!$C:$C,盘货信息!$G:$G),0)&amp;"元88VIP立减"))</f>
        <v/>
      </c>
      <c r="H157" s="27" t="str" cm="1">
        <f t="array" ref="H157">IF($C157="","",IF(_xlfn.XLOOKUP($A157&amp;$B157&amp;$C157,盘货信息!$A:$A&amp;盘货信息!$B:$B&amp;盘货信息!$C:$C,盘货信息!$I:$I)&lt;1,"",_xlfn.XLOOKUP($A157&amp;$B157&amp;$C157,盘货信息!$A:$A&amp;盘货信息!$B:$B&amp;盘货信息!$C:$C,盘货信息!$I:$I)&amp;"元惊喜立减"))</f>
        <v/>
      </c>
      <c r="I157" s="27" t="str" cm="1">
        <f t="array" ref="I157">IF($C157="","",IF(_xlfn.XLOOKUP($A157&amp;$B157&amp;$C157,盘货信息!$A:$A&amp;盘货信息!$B:$B&amp;盘货信息!$C:$C,盘货信息!$H:$H)&lt;1,"",ROUND(_xlfn.XLOOKUP($A157&amp;$B157&amp;$C157,盘货信息!$A:$A&amp;盘货信息!$B:$B&amp;盘货信息!$C:$C,盘货信息!$H:$H),0)&amp;"元消费券"))</f>
        <v/>
      </c>
      <c r="J157" s="27" t="str" cm="1">
        <f t="array" ref="J157">IF($C157="","",IF(_xlfn.XLOOKUP($A157&amp;$B157&amp;$C157,盘货信息!$A:$A&amp;盘货信息!$B:$B&amp;盘货信息!$C:$C,盘货信息!$J:$J)&lt;1,"",ROUND(_xlfn.XLOOKUP($A157&amp;$B157&amp;$C157,盘货信息!$A:$A&amp;盘货信息!$B:$B&amp;盘货信息!$C:$C,盘货信息!$J:$J),0)&amp;"元限时补贴"))</f>
        <v/>
      </c>
      <c r="K157" s="27" t="str" cm="1">
        <f t="array" ref="K157">IF($C157="","",IF(_xlfn.XLOOKUP($A157&amp;$B157&amp;$C157,盘货信息!$A:$A&amp;盘货信息!$B:$B&amp;盘货信息!$C:$C,盘货信息!$K:$K)&lt;1,"",ROUND(_xlfn.XLOOKUP($A157&amp;$B157&amp;$C157,盘货信息!$A:$A&amp;盘货信息!$B:$B&amp;盘货信息!$C:$C,盘货信息!$K:$K),0)&amp;"元预估焕新补贴"))</f>
        <v/>
      </c>
      <c r="L157" s="27" t="str" cm="1">
        <f t="array" ref="L157">IF($C157="","",IF(AND(_xlfn.XLOOKUP($A157&amp;$B157&amp;$C157,盘货信息!$A:$A&amp;盘货信息!$B:$B&amp;盘货信息!$C:$C,盘货信息!$L:$L)="是",_xlfn.XLOOKUP($A157&amp;$B157&amp;$C157,盘货信息!$A:$A&amp;盘货信息!$B:$B&amp;盘货信息!$C:$C,盘货信息!$M:$M)="是",_xlfn.XLOOKUP($A157&amp;$B157&amp;$C157,盘货信息!$A:$A&amp;盘货信息!$B:$B&amp;盘货信息!$C:$C,盘货信息!$K:$K)&gt;0),"【全民可用，不限地址】",IF(AND(OR(_xlfn.XLOOKUP($A157&amp;$B157&amp;$C157,盘货信息!$A:$A&amp;盘货信息!$B:$B&amp;盘货信息!$C:$C,盘货信息!$L:$L)="否",_xlfn.XLOOKUP($A157&amp;$B157&amp;$C157,盘货信息!$A:$A&amp;盘货信息!$B:$B&amp;盘货信息!$C:$C,盘货信息!$L:$L)=""),_xlfn.XLOOKUP($A157&amp;$B157&amp;$C157,盘货信息!$A:$A&amp;盘货信息!$B:$B&amp;盘货信息!$C:$C,盘货信息!$M:$M)="是",_xlfn.XLOOKUP($A157&amp;$B157&amp;$C157,盘货信息!$A:$A&amp;盘货信息!$B:$B&amp;盘货信息!$C:$C,盘货信息!$K:$K)&gt;0),"【详情页领取】","")))</f>
        <v/>
      </c>
      <c r="M157" s="27" t="str" cm="1">
        <f t="array" ref="M157">IF($C157="","",IF(_xlfn.XLOOKUP($A157&amp;$B157&amp;$C157,盘货信息!$A:$A&amp;盘货信息!$B:$B&amp;盘货信息!$C:$C,盘货信息!$F:$F)&lt;1,"",_xlfn.XLOOKUP($A157&amp;$B157&amp;$C157,盘货信息!$A:$A&amp;盘货信息!$B:$B&amp;盘货信息!$C:$C,盘货信息!$F:$F)&amp;"元明卷"))</f>
        <v/>
      </c>
      <c r="N157" s="27" t="str">
        <f t="shared" si="5"/>
        <v/>
      </c>
      <c r="O157" s="27" t="str">
        <f>IF(I157="","","【消费券链接】"&amp;固定信息!$B$6)</f>
        <v/>
      </c>
    </row>
    <row r="158" customHeight="1" spans="1:15">
      <c r="A158" s="23" t="str">
        <f>IF(盘货信息!A158="","",盘货信息!A158)</f>
        <v/>
      </c>
      <c r="B158" s="26" t="str">
        <f>IF(盘货信息!B158="","",盘货信息!B158)</f>
        <v/>
      </c>
      <c r="C158" s="23" t="str">
        <f>IF(盘货信息!C158="","",盘货信息!C158)</f>
        <v/>
      </c>
      <c r="D158" s="27" t="str">
        <f t="shared" si="4"/>
        <v/>
      </c>
      <c r="E158" s="27" t="str" cm="1">
        <f t="array" ref="E158">IF($C158="","",IF(AND(OR(_xlfn.XLOOKUP($A158&amp;$B158&amp;$C158,盘货信息!$A:$A&amp;盘货信息!$B:$B&amp;盘货信息!$C:$C,盘货信息!$L:$L)="否",_xlfn.XLOOKUP($A158&amp;$B158&amp;$C158,盘货信息!$A:$A&amp;盘货信息!$B:$B&amp;盘货信息!$C:$C,盘货信息!$L:$L)=""),_xlfn.XLOOKUP($A158&amp;$B158&amp;$C158,盘货信息!$A:$A&amp;盘货信息!$B:$B&amp;盘货信息!$C:$C,盘货信息!$M:$M)="否"),"【预估到手价"&amp;_xlfn.XLOOKUP($A158&amp;$B158&amp;$C158,盘货信息!$A:$A&amp;盘货信息!$B:$B&amp;盘货信息!$C:$C,盘货信息!$D:$D)&amp;"元】",IF(AND(_xlfn.XLOOKUP($A158&amp;$B158&amp;$C158,盘货信息!$A:$A&amp;盘货信息!$B:$B&amp;盘货信息!$C:$C,盘货信息!$M:$M)="是",OR(_xlfn.XLOOKUP($A158&amp;$B158&amp;$C158,盘货信息!$A:$A&amp;盘货信息!$B:$B&amp;盘货信息!$C:$C,盘货信息!$L:$L)="否",_xlfn.XLOOKUP($A158&amp;$B158&amp;$C158,盘货信息!$A:$A&amp;盘货信息!$B:$B&amp;盘货信息!$C:$C,盘货信息!$L:$L)="")),"【预估到手价"&amp;_xlfn.XLOOKUP($A158&amp;$B158&amp;$C158,盘货信息!$A:$A&amp;盘货信息!$B:$B&amp;盘货信息!$C:$C,盘货信息!$D:$D)&amp;"元】"&amp;CHAR(10)&amp;"【焕新补贴预估价"&amp;ROUND(_xlfn.XLOOKUP($A158&amp;$B158&amp;$C158,盘货信息!$A:$A&amp;盘货信息!$B:$B&amp;盘货信息!$C:$C,盘货信息!$E:$E),0)&amp;"元】","【焕新补贴预估价"&amp;ROUND(_xlfn.XLOOKUP($A158&amp;$B158&amp;$C158,盘货信息!$A:$A&amp;盘货信息!$B:$B&amp;盘货信息!$C:$C,盘货信息!$E:$E),0)&amp;"元】")))</f>
        <v/>
      </c>
      <c r="F158" s="27" t="str" cm="1">
        <f t="array" ref="F158">IF($C158="","",_xlfn.XLOOKUP($A158&amp;$B158&amp;$C158,盘货信息!$A:$A&amp;盘货信息!$B:$B&amp;盘货信息!$C:$C,盘货信息!$D:$D)&amp;"元到手价")</f>
        <v/>
      </c>
      <c r="G158" s="27" t="str" cm="1">
        <f t="array" ref="G158">IF($C158="","",IF(_xlfn.XLOOKUP($A158&amp;$B158&amp;$C158,盘货信息!$A:$A&amp;盘货信息!$B:$B&amp;盘货信息!$C:$C,盘货信息!$G:$G)&lt;1,"",ROUND(_xlfn.XLOOKUP($A158&amp;$B158&amp;$C158,盘货信息!$A:$A&amp;盘货信息!$B:$B&amp;盘货信息!$C:$C,盘货信息!$G:$G),0)&amp;"元88VIP立减"))</f>
        <v/>
      </c>
      <c r="H158" s="27" t="str" cm="1">
        <f t="array" ref="H158">IF($C158="","",IF(_xlfn.XLOOKUP($A158&amp;$B158&amp;$C158,盘货信息!$A:$A&amp;盘货信息!$B:$B&amp;盘货信息!$C:$C,盘货信息!$I:$I)&lt;1,"",_xlfn.XLOOKUP($A158&amp;$B158&amp;$C158,盘货信息!$A:$A&amp;盘货信息!$B:$B&amp;盘货信息!$C:$C,盘货信息!$I:$I)&amp;"元惊喜立减"))</f>
        <v/>
      </c>
      <c r="I158" s="27" t="str" cm="1">
        <f t="array" ref="I158">IF($C158="","",IF(_xlfn.XLOOKUP($A158&amp;$B158&amp;$C158,盘货信息!$A:$A&amp;盘货信息!$B:$B&amp;盘货信息!$C:$C,盘货信息!$H:$H)&lt;1,"",ROUND(_xlfn.XLOOKUP($A158&amp;$B158&amp;$C158,盘货信息!$A:$A&amp;盘货信息!$B:$B&amp;盘货信息!$C:$C,盘货信息!$H:$H),0)&amp;"元消费券"))</f>
        <v/>
      </c>
      <c r="J158" s="27" t="str" cm="1">
        <f t="array" ref="J158">IF($C158="","",IF(_xlfn.XLOOKUP($A158&amp;$B158&amp;$C158,盘货信息!$A:$A&amp;盘货信息!$B:$B&amp;盘货信息!$C:$C,盘货信息!$J:$J)&lt;1,"",ROUND(_xlfn.XLOOKUP($A158&amp;$B158&amp;$C158,盘货信息!$A:$A&amp;盘货信息!$B:$B&amp;盘货信息!$C:$C,盘货信息!$J:$J),0)&amp;"元限时补贴"))</f>
        <v/>
      </c>
      <c r="K158" s="27" t="str" cm="1">
        <f t="array" ref="K158">IF($C158="","",IF(_xlfn.XLOOKUP($A158&amp;$B158&amp;$C158,盘货信息!$A:$A&amp;盘货信息!$B:$B&amp;盘货信息!$C:$C,盘货信息!$K:$K)&lt;1,"",ROUND(_xlfn.XLOOKUP($A158&amp;$B158&amp;$C158,盘货信息!$A:$A&amp;盘货信息!$B:$B&amp;盘货信息!$C:$C,盘货信息!$K:$K),0)&amp;"元预估焕新补贴"))</f>
        <v/>
      </c>
      <c r="L158" s="27" t="str" cm="1">
        <f t="array" ref="L158">IF($C158="","",IF(AND(_xlfn.XLOOKUP($A158&amp;$B158&amp;$C158,盘货信息!$A:$A&amp;盘货信息!$B:$B&amp;盘货信息!$C:$C,盘货信息!$L:$L)="是",_xlfn.XLOOKUP($A158&amp;$B158&amp;$C158,盘货信息!$A:$A&amp;盘货信息!$B:$B&amp;盘货信息!$C:$C,盘货信息!$M:$M)="是",_xlfn.XLOOKUP($A158&amp;$B158&amp;$C158,盘货信息!$A:$A&amp;盘货信息!$B:$B&amp;盘货信息!$C:$C,盘货信息!$K:$K)&gt;0),"【全民可用，不限地址】",IF(AND(OR(_xlfn.XLOOKUP($A158&amp;$B158&amp;$C158,盘货信息!$A:$A&amp;盘货信息!$B:$B&amp;盘货信息!$C:$C,盘货信息!$L:$L)="否",_xlfn.XLOOKUP($A158&amp;$B158&amp;$C158,盘货信息!$A:$A&amp;盘货信息!$B:$B&amp;盘货信息!$C:$C,盘货信息!$L:$L)=""),_xlfn.XLOOKUP($A158&amp;$B158&amp;$C158,盘货信息!$A:$A&amp;盘货信息!$B:$B&amp;盘货信息!$C:$C,盘货信息!$M:$M)="是",_xlfn.XLOOKUP($A158&amp;$B158&amp;$C158,盘货信息!$A:$A&amp;盘货信息!$B:$B&amp;盘货信息!$C:$C,盘货信息!$K:$K)&gt;0),"【详情页领取】","")))</f>
        <v/>
      </c>
      <c r="M158" s="27" t="str" cm="1">
        <f t="array" ref="M158">IF($C158="","",IF(_xlfn.XLOOKUP($A158&amp;$B158&amp;$C158,盘货信息!$A:$A&amp;盘货信息!$B:$B&amp;盘货信息!$C:$C,盘货信息!$F:$F)&lt;1,"",_xlfn.XLOOKUP($A158&amp;$B158&amp;$C158,盘货信息!$A:$A&amp;盘货信息!$B:$B&amp;盘货信息!$C:$C,盘货信息!$F:$F)&amp;"元明卷"))</f>
        <v/>
      </c>
      <c r="N158" s="27" t="str">
        <f t="shared" si="5"/>
        <v/>
      </c>
      <c r="O158" s="27" t="str">
        <f>IF(I158="","","【消费券链接】"&amp;固定信息!$B$6)</f>
        <v/>
      </c>
    </row>
    <row r="159" customHeight="1" spans="1:15">
      <c r="A159" s="23" t="str">
        <f>IF(盘货信息!A159="","",盘货信息!A159)</f>
        <v/>
      </c>
      <c r="B159" s="26" t="str">
        <f>IF(盘货信息!B159="","",盘货信息!B159)</f>
        <v/>
      </c>
      <c r="C159" s="23" t="str">
        <f>IF(盘货信息!C159="","",盘货信息!C159)</f>
        <v/>
      </c>
      <c r="D159" s="27" t="str">
        <f t="shared" si="4"/>
        <v/>
      </c>
      <c r="E159" s="27" t="str" cm="1">
        <f t="array" ref="E159">IF($C159="","",IF(AND(OR(_xlfn.XLOOKUP($A159&amp;$B159&amp;$C159,盘货信息!$A:$A&amp;盘货信息!$B:$B&amp;盘货信息!$C:$C,盘货信息!$L:$L)="否",_xlfn.XLOOKUP($A159&amp;$B159&amp;$C159,盘货信息!$A:$A&amp;盘货信息!$B:$B&amp;盘货信息!$C:$C,盘货信息!$L:$L)=""),_xlfn.XLOOKUP($A159&amp;$B159&amp;$C159,盘货信息!$A:$A&amp;盘货信息!$B:$B&amp;盘货信息!$C:$C,盘货信息!$M:$M)="否"),"【预估到手价"&amp;_xlfn.XLOOKUP($A159&amp;$B159&amp;$C159,盘货信息!$A:$A&amp;盘货信息!$B:$B&amp;盘货信息!$C:$C,盘货信息!$D:$D)&amp;"元】",IF(AND(_xlfn.XLOOKUP($A159&amp;$B159&amp;$C159,盘货信息!$A:$A&amp;盘货信息!$B:$B&amp;盘货信息!$C:$C,盘货信息!$M:$M)="是",OR(_xlfn.XLOOKUP($A159&amp;$B159&amp;$C159,盘货信息!$A:$A&amp;盘货信息!$B:$B&amp;盘货信息!$C:$C,盘货信息!$L:$L)="否",_xlfn.XLOOKUP($A159&amp;$B159&amp;$C159,盘货信息!$A:$A&amp;盘货信息!$B:$B&amp;盘货信息!$C:$C,盘货信息!$L:$L)="")),"【预估到手价"&amp;_xlfn.XLOOKUP($A159&amp;$B159&amp;$C159,盘货信息!$A:$A&amp;盘货信息!$B:$B&amp;盘货信息!$C:$C,盘货信息!$D:$D)&amp;"元】"&amp;CHAR(10)&amp;"【焕新补贴预估价"&amp;ROUND(_xlfn.XLOOKUP($A159&amp;$B159&amp;$C159,盘货信息!$A:$A&amp;盘货信息!$B:$B&amp;盘货信息!$C:$C,盘货信息!$E:$E),0)&amp;"元】","【焕新补贴预估价"&amp;ROUND(_xlfn.XLOOKUP($A159&amp;$B159&amp;$C159,盘货信息!$A:$A&amp;盘货信息!$B:$B&amp;盘货信息!$C:$C,盘货信息!$E:$E),0)&amp;"元】")))</f>
        <v/>
      </c>
      <c r="F159" s="27" t="str" cm="1">
        <f t="array" ref="F159">IF($C159="","",_xlfn.XLOOKUP($A159&amp;$B159&amp;$C159,盘货信息!$A:$A&amp;盘货信息!$B:$B&amp;盘货信息!$C:$C,盘货信息!$D:$D)&amp;"元到手价")</f>
        <v/>
      </c>
      <c r="G159" s="27" t="str" cm="1">
        <f t="array" ref="G159">IF($C159="","",IF(_xlfn.XLOOKUP($A159&amp;$B159&amp;$C159,盘货信息!$A:$A&amp;盘货信息!$B:$B&amp;盘货信息!$C:$C,盘货信息!$G:$G)&lt;1,"",ROUND(_xlfn.XLOOKUP($A159&amp;$B159&amp;$C159,盘货信息!$A:$A&amp;盘货信息!$B:$B&amp;盘货信息!$C:$C,盘货信息!$G:$G),0)&amp;"元88VIP立减"))</f>
        <v/>
      </c>
      <c r="H159" s="27" t="str" cm="1">
        <f t="array" ref="H159">IF($C159="","",IF(_xlfn.XLOOKUP($A159&amp;$B159&amp;$C159,盘货信息!$A:$A&amp;盘货信息!$B:$B&amp;盘货信息!$C:$C,盘货信息!$I:$I)&lt;1,"",_xlfn.XLOOKUP($A159&amp;$B159&amp;$C159,盘货信息!$A:$A&amp;盘货信息!$B:$B&amp;盘货信息!$C:$C,盘货信息!$I:$I)&amp;"元惊喜立减"))</f>
        <v/>
      </c>
      <c r="I159" s="27" t="str" cm="1">
        <f t="array" ref="I159">IF($C159="","",IF(_xlfn.XLOOKUP($A159&amp;$B159&amp;$C159,盘货信息!$A:$A&amp;盘货信息!$B:$B&amp;盘货信息!$C:$C,盘货信息!$H:$H)&lt;1,"",ROUND(_xlfn.XLOOKUP($A159&amp;$B159&amp;$C159,盘货信息!$A:$A&amp;盘货信息!$B:$B&amp;盘货信息!$C:$C,盘货信息!$H:$H),0)&amp;"元消费券"))</f>
        <v/>
      </c>
      <c r="J159" s="27" t="str" cm="1">
        <f t="array" ref="J159">IF($C159="","",IF(_xlfn.XLOOKUP($A159&amp;$B159&amp;$C159,盘货信息!$A:$A&amp;盘货信息!$B:$B&amp;盘货信息!$C:$C,盘货信息!$J:$J)&lt;1,"",ROUND(_xlfn.XLOOKUP($A159&amp;$B159&amp;$C159,盘货信息!$A:$A&amp;盘货信息!$B:$B&amp;盘货信息!$C:$C,盘货信息!$J:$J),0)&amp;"元限时补贴"))</f>
        <v/>
      </c>
      <c r="K159" s="27" t="str" cm="1">
        <f t="array" ref="K159">IF($C159="","",IF(_xlfn.XLOOKUP($A159&amp;$B159&amp;$C159,盘货信息!$A:$A&amp;盘货信息!$B:$B&amp;盘货信息!$C:$C,盘货信息!$K:$K)&lt;1,"",ROUND(_xlfn.XLOOKUP($A159&amp;$B159&amp;$C159,盘货信息!$A:$A&amp;盘货信息!$B:$B&amp;盘货信息!$C:$C,盘货信息!$K:$K),0)&amp;"元预估焕新补贴"))</f>
        <v/>
      </c>
      <c r="L159" s="27" t="str" cm="1">
        <f t="array" ref="L159">IF($C159="","",IF(AND(_xlfn.XLOOKUP($A159&amp;$B159&amp;$C159,盘货信息!$A:$A&amp;盘货信息!$B:$B&amp;盘货信息!$C:$C,盘货信息!$L:$L)="是",_xlfn.XLOOKUP($A159&amp;$B159&amp;$C159,盘货信息!$A:$A&amp;盘货信息!$B:$B&amp;盘货信息!$C:$C,盘货信息!$M:$M)="是",_xlfn.XLOOKUP($A159&amp;$B159&amp;$C159,盘货信息!$A:$A&amp;盘货信息!$B:$B&amp;盘货信息!$C:$C,盘货信息!$K:$K)&gt;0),"【全民可用，不限地址】",IF(AND(OR(_xlfn.XLOOKUP($A159&amp;$B159&amp;$C159,盘货信息!$A:$A&amp;盘货信息!$B:$B&amp;盘货信息!$C:$C,盘货信息!$L:$L)="否",_xlfn.XLOOKUP($A159&amp;$B159&amp;$C159,盘货信息!$A:$A&amp;盘货信息!$B:$B&amp;盘货信息!$C:$C,盘货信息!$L:$L)=""),_xlfn.XLOOKUP($A159&amp;$B159&amp;$C159,盘货信息!$A:$A&amp;盘货信息!$B:$B&amp;盘货信息!$C:$C,盘货信息!$M:$M)="是",_xlfn.XLOOKUP($A159&amp;$B159&amp;$C159,盘货信息!$A:$A&amp;盘货信息!$B:$B&amp;盘货信息!$C:$C,盘货信息!$K:$K)&gt;0),"【详情页领取】","")))</f>
        <v/>
      </c>
      <c r="M159" s="27" t="str" cm="1">
        <f t="array" ref="M159">IF($C159="","",IF(_xlfn.XLOOKUP($A159&amp;$B159&amp;$C159,盘货信息!$A:$A&amp;盘货信息!$B:$B&amp;盘货信息!$C:$C,盘货信息!$F:$F)&lt;1,"",_xlfn.XLOOKUP($A159&amp;$B159&amp;$C159,盘货信息!$A:$A&amp;盘货信息!$B:$B&amp;盘货信息!$C:$C,盘货信息!$F:$F)&amp;"元明卷"))</f>
        <v/>
      </c>
      <c r="N159" s="27" t="str">
        <f t="shared" si="5"/>
        <v/>
      </c>
      <c r="O159" s="27" t="str">
        <f>IF(I159="","","【消费券链接】"&amp;固定信息!$B$6)</f>
        <v/>
      </c>
    </row>
    <row r="160" customHeight="1" spans="1:15">
      <c r="A160" s="23" t="str">
        <f>IF(盘货信息!A160="","",盘货信息!A160)</f>
        <v/>
      </c>
      <c r="B160" s="26" t="str">
        <f>IF(盘货信息!B160="","",盘货信息!B160)</f>
        <v/>
      </c>
      <c r="C160" s="23" t="str">
        <f>IF(盘货信息!C160="","",盘货信息!C160)</f>
        <v/>
      </c>
      <c r="D160" s="27" t="str">
        <f t="shared" si="4"/>
        <v/>
      </c>
      <c r="E160" s="27" t="str" cm="1">
        <f t="array" ref="E160">IF($C160="","",IF(AND(OR(_xlfn.XLOOKUP($A160&amp;$B160&amp;$C160,盘货信息!$A:$A&amp;盘货信息!$B:$B&amp;盘货信息!$C:$C,盘货信息!$L:$L)="否",_xlfn.XLOOKUP($A160&amp;$B160&amp;$C160,盘货信息!$A:$A&amp;盘货信息!$B:$B&amp;盘货信息!$C:$C,盘货信息!$L:$L)=""),_xlfn.XLOOKUP($A160&amp;$B160&amp;$C160,盘货信息!$A:$A&amp;盘货信息!$B:$B&amp;盘货信息!$C:$C,盘货信息!$M:$M)="否"),"【预估到手价"&amp;_xlfn.XLOOKUP($A160&amp;$B160&amp;$C160,盘货信息!$A:$A&amp;盘货信息!$B:$B&amp;盘货信息!$C:$C,盘货信息!$D:$D)&amp;"元】",IF(AND(_xlfn.XLOOKUP($A160&amp;$B160&amp;$C160,盘货信息!$A:$A&amp;盘货信息!$B:$B&amp;盘货信息!$C:$C,盘货信息!$M:$M)="是",OR(_xlfn.XLOOKUP($A160&amp;$B160&amp;$C160,盘货信息!$A:$A&amp;盘货信息!$B:$B&amp;盘货信息!$C:$C,盘货信息!$L:$L)="否",_xlfn.XLOOKUP($A160&amp;$B160&amp;$C160,盘货信息!$A:$A&amp;盘货信息!$B:$B&amp;盘货信息!$C:$C,盘货信息!$L:$L)="")),"【预估到手价"&amp;_xlfn.XLOOKUP($A160&amp;$B160&amp;$C160,盘货信息!$A:$A&amp;盘货信息!$B:$B&amp;盘货信息!$C:$C,盘货信息!$D:$D)&amp;"元】"&amp;CHAR(10)&amp;"【焕新补贴预估价"&amp;ROUND(_xlfn.XLOOKUP($A160&amp;$B160&amp;$C160,盘货信息!$A:$A&amp;盘货信息!$B:$B&amp;盘货信息!$C:$C,盘货信息!$E:$E),0)&amp;"元】","【焕新补贴预估价"&amp;ROUND(_xlfn.XLOOKUP($A160&amp;$B160&amp;$C160,盘货信息!$A:$A&amp;盘货信息!$B:$B&amp;盘货信息!$C:$C,盘货信息!$E:$E),0)&amp;"元】")))</f>
        <v/>
      </c>
      <c r="F160" s="27" t="str" cm="1">
        <f t="array" ref="F160">IF($C160="","",_xlfn.XLOOKUP($A160&amp;$B160&amp;$C160,盘货信息!$A:$A&amp;盘货信息!$B:$B&amp;盘货信息!$C:$C,盘货信息!$D:$D)&amp;"元到手价")</f>
        <v/>
      </c>
      <c r="G160" s="27" t="str" cm="1">
        <f t="array" ref="G160">IF($C160="","",IF(_xlfn.XLOOKUP($A160&amp;$B160&amp;$C160,盘货信息!$A:$A&amp;盘货信息!$B:$B&amp;盘货信息!$C:$C,盘货信息!$G:$G)&lt;1,"",ROUND(_xlfn.XLOOKUP($A160&amp;$B160&amp;$C160,盘货信息!$A:$A&amp;盘货信息!$B:$B&amp;盘货信息!$C:$C,盘货信息!$G:$G),0)&amp;"元88VIP立减"))</f>
        <v/>
      </c>
      <c r="H160" s="27" t="str" cm="1">
        <f t="array" ref="H160">IF($C160="","",IF(_xlfn.XLOOKUP($A160&amp;$B160&amp;$C160,盘货信息!$A:$A&amp;盘货信息!$B:$B&amp;盘货信息!$C:$C,盘货信息!$I:$I)&lt;1,"",_xlfn.XLOOKUP($A160&amp;$B160&amp;$C160,盘货信息!$A:$A&amp;盘货信息!$B:$B&amp;盘货信息!$C:$C,盘货信息!$I:$I)&amp;"元惊喜立减"))</f>
        <v/>
      </c>
      <c r="I160" s="27" t="str" cm="1">
        <f t="array" ref="I160">IF($C160="","",IF(_xlfn.XLOOKUP($A160&amp;$B160&amp;$C160,盘货信息!$A:$A&amp;盘货信息!$B:$B&amp;盘货信息!$C:$C,盘货信息!$H:$H)&lt;1,"",ROUND(_xlfn.XLOOKUP($A160&amp;$B160&amp;$C160,盘货信息!$A:$A&amp;盘货信息!$B:$B&amp;盘货信息!$C:$C,盘货信息!$H:$H),0)&amp;"元消费券"))</f>
        <v/>
      </c>
      <c r="J160" s="27" t="str" cm="1">
        <f t="array" ref="J160">IF($C160="","",IF(_xlfn.XLOOKUP($A160&amp;$B160&amp;$C160,盘货信息!$A:$A&amp;盘货信息!$B:$B&amp;盘货信息!$C:$C,盘货信息!$J:$J)&lt;1,"",ROUND(_xlfn.XLOOKUP($A160&amp;$B160&amp;$C160,盘货信息!$A:$A&amp;盘货信息!$B:$B&amp;盘货信息!$C:$C,盘货信息!$J:$J),0)&amp;"元限时补贴"))</f>
        <v/>
      </c>
      <c r="K160" s="27" t="str" cm="1">
        <f t="array" ref="K160">IF($C160="","",IF(_xlfn.XLOOKUP($A160&amp;$B160&amp;$C160,盘货信息!$A:$A&amp;盘货信息!$B:$B&amp;盘货信息!$C:$C,盘货信息!$K:$K)&lt;1,"",ROUND(_xlfn.XLOOKUP($A160&amp;$B160&amp;$C160,盘货信息!$A:$A&amp;盘货信息!$B:$B&amp;盘货信息!$C:$C,盘货信息!$K:$K),0)&amp;"元预估焕新补贴"))</f>
        <v/>
      </c>
      <c r="L160" s="27" t="str" cm="1">
        <f t="array" ref="L160">IF($C160="","",IF(AND(_xlfn.XLOOKUP($A160&amp;$B160&amp;$C160,盘货信息!$A:$A&amp;盘货信息!$B:$B&amp;盘货信息!$C:$C,盘货信息!$L:$L)="是",_xlfn.XLOOKUP($A160&amp;$B160&amp;$C160,盘货信息!$A:$A&amp;盘货信息!$B:$B&amp;盘货信息!$C:$C,盘货信息!$M:$M)="是",_xlfn.XLOOKUP($A160&amp;$B160&amp;$C160,盘货信息!$A:$A&amp;盘货信息!$B:$B&amp;盘货信息!$C:$C,盘货信息!$K:$K)&gt;0),"【全民可用，不限地址】",IF(AND(OR(_xlfn.XLOOKUP($A160&amp;$B160&amp;$C160,盘货信息!$A:$A&amp;盘货信息!$B:$B&amp;盘货信息!$C:$C,盘货信息!$L:$L)="否",_xlfn.XLOOKUP($A160&amp;$B160&amp;$C160,盘货信息!$A:$A&amp;盘货信息!$B:$B&amp;盘货信息!$C:$C,盘货信息!$L:$L)=""),_xlfn.XLOOKUP($A160&amp;$B160&amp;$C160,盘货信息!$A:$A&amp;盘货信息!$B:$B&amp;盘货信息!$C:$C,盘货信息!$M:$M)="是",_xlfn.XLOOKUP($A160&amp;$B160&amp;$C160,盘货信息!$A:$A&amp;盘货信息!$B:$B&amp;盘货信息!$C:$C,盘货信息!$K:$K)&gt;0),"【详情页领取】","")))</f>
        <v/>
      </c>
      <c r="M160" s="27" t="str" cm="1">
        <f t="array" ref="M160">IF($C160="","",IF(_xlfn.XLOOKUP($A160&amp;$B160&amp;$C160,盘货信息!$A:$A&amp;盘货信息!$B:$B&amp;盘货信息!$C:$C,盘货信息!$F:$F)&lt;1,"",_xlfn.XLOOKUP($A160&amp;$B160&amp;$C160,盘货信息!$A:$A&amp;盘货信息!$B:$B&amp;盘货信息!$C:$C,盘货信息!$F:$F)&amp;"元明卷"))</f>
        <v/>
      </c>
      <c r="N160" s="27" t="str">
        <f t="shared" si="5"/>
        <v/>
      </c>
      <c r="O160" s="27" t="str">
        <f>IF(I160="","","【消费券链接】"&amp;固定信息!$B$6)</f>
        <v/>
      </c>
    </row>
    <row r="161" customHeight="1" spans="1:15">
      <c r="A161" s="23" t="str">
        <f>IF(盘货信息!A161="","",盘货信息!A161)</f>
        <v/>
      </c>
      <c r="B161" s="26" t="str">
        <f>IF(盘货信息!B161="","",盘货信息!B161)</f>
        <v/>
      </c>
      <c r="C161" s="23" t="str">
        <f>IF(盘货信息!C161="","",盘货信息!C161)</f>
        <v/>
      </c>
      <c r="D161" s="27" t="str">
        <f t="shared" si="4"/>
        <v/>
      </c>
      <c r="E161" s="27" t="str" cm="1">
        <f t="array" ref="E161">IF($C161="","",IF(AND(OR(_xlfn.XLOOKUP($A161&amp;$B161&amp;$C161,盘货信息!$A:$A&amp;盘货信息!$B:$B&amp;盘货信息!$C:$C,盘货信息!$L:$L)="否",_xlfn.XLOOKUP($A161&amp;$B161&amp;$C161,盘货信息!$A:$A&amp;盘货信息!$B:$B&amp;盘货信息!$C:$C,盘货信息!$L:$L)=""),_xlfn.XLOOKUP($A161&amp;$B161&amp;$C161,盘货信息!$A:$A&amp;盘货信息!$B:$B&amp;盘货信息!$C:$C,盘货信息!$M:$M)="否"),"【预估到手价"&amp;_xlfn.XLOOKUP($A161&amp;$B161&amp;$C161,盘货信息!$A:$A&amp;盘货信息!$B:$B&amp;盘货信息!$C:$C,盘货信息!$D:$D)&amp;"元】",IF(AND(_xlfn.XLOOKUP($A161&amp;$B161&amp;$C161,盘货信息!$A:$A&amp;盘货信息!$B:$B&amp;盘货信息!$C:$C,盘货信息!$M:$M)="是",OR(_xlfn.XLOOKUP($A161&amp;$B161&amp;$C161,盘货信息!$A:$A&amp;盘货信息!$B:$B&amp;盘货信息!$C:$C,盘货信息!$L:$L)="否",_xlfn.XLOOKUP($A161&amp;$B161&amp;$C161,盘货信息!$A:$A&amp;盘货信息!$B:$B&amp;盘货信息!$C:$C,盘货信息!$L:$L)="")),"【预估到手价"&amp;_xlfn.XLOOKUP($A161&amp;$B161&amp;$C161,盘货信息!$A:$A&amp;盘货信息!$B:$B&amp;盘货信息!$C:$C,盘货信息!$D:$D)&amp;"元】"&amp;CHAR(10)&amp;"【焕新补贴预估价"&amp;ROUND(_xlfn.XLOOKUP($A161&amp;$B161&amp;$C161,盘货信息!$A:$A&amp;盘货信息!$B:$B&amp;盘货信息!$C:$C,盘货信息!$E:$E),0)&amp;"元】","【焕新补贴预估价"&amp;ROUND(_xlfn.XLOOKUP($A161&amp;$B161&amp;$C161,盘货信息!$A:$A&amp;盘货信息!$B:$B&amp;盘货信息!$C:$C,盘货信息!$E:$E),0)&amp;"元】")))</f>
        <v/>
      </c>
      <c r="F161" s="27" t="str" cm="1">
        <f t="array" ref="F161">IF($C161="","",_xlfn.XLOOKUP($A161&amp;$B161&amp;$C161,盘货信息!$A:$A&amp;盘货信息!$B:$B&amp;盘货信息!$C:$C,盘货信息!$D:$D)&amp;"元到手价")</f>
        <v/>
      </c>
      <c r="G161" s="27" t="str" cm="1">
        <f t="array" ref="G161">IF($C161="","",IF(_xlfn.XLOOKUP($A161&amp;$B161&amp;$C161,盘货信息!$A:$A&amp;盘货信息!$B:$B&amp;盘货信息!$C:$C,盘货信息!$G:$G)&lt;1,"",ROUND(_xlfn.XLOOKUP($A161&amp;$B161&amp;$C161,盘货信息!$A:$A&amp;盘货信息!$B:$B&amp;盘货信息!$C:$C,盘货信息!$G:$G),0)&amp;"元88VIP立减"))</f>
        <v/>
      </c>
      <c r="H161" s="27" t="str" cm="1">
        <f t="array" ref="H161">IF($C161="","",IF(_xlfn.XLOOKUP($A161&amp;$B161&amp;$C161,盘货信息!$A:$A&amp;盘货信息!$B:$B&amp;盘货信息!$C:$C,盘货信息!$I:$I)&lt;1,"",_xlfn.XLOOKUP($A161&amp;$B161&amp;$C161,盘货信息!$A:$A&amp;盘货信息!$B:$B&amp;盘货信息!$C:$C,盘货信息!$I:$I)&amp;"元惊喜立减"))</f>
        <v/>
      </c>
      <c r="I161" s="27" t="str" cm="1">
        <f t="array" ref="I161">IF($C161="","",IF(_xlfn.XLOOKUP($A161&amp;$B161&amp;$C161,盘货信息!$A:$A&amp;盘货信息!$B:$B&amp;盘货信息!$C:$C,盘货信息!$H:$H)&lt;1,"",ROUND(_xlfn.XLOOKUP($A161&amp;$B161&amp;$C161,盘货信息!$A:$A&amp;盘货信息!$B:$B&amp;盘货信息!$C:$C,盘货信息!$H:$H),0)&amp;"元消费券"))</f>
        <v/>
      </c>
      <c r="J161" s="27" t="str" cm="1">
        <f t="array" ref="J161">IF($C161="","",IF(_xlfn.XLOOKUP($A161&amp;$B161&amp;$C161,盘货信息!$A:$A&amp;盘货信息!$B:$B&amp;盘货信息!$C:$C,盘货信息!$J:$J)&lt;1,"",ROUND(_xlfn.XLOOKUP($A161&amp;$B161&amp;$C161,盘货信息!$A:$A&amp;盘货信息!$B:$B&amp;盘货信息!$C:$C,盘货信息!$J:$J),0)&amp;"元限时补贴"))</f>
        <v/>
      </c>
      <c r="K161" s="27" t="str" cm="1">
        <f t="array" ref="K161">IF($C161="","",IF(_xlfn.XLOOKUP($A161&amp;$B161&amp;$C161,盘货信息!$A:$A&amp;盘货信息!$B:$B&amp;盘货信息!$C:$C,盘货信息!$K:$K)&lt;1,"",ROUND(_xlfn.XLOOKUP($A161&amp;$B161&amp;$C161,盘货信息!$A:$A&amp;盘货信息!$B:$B&amp;盘货信息!$C:$C,盘货信息!$K:$K),0)&amp;"元预估焕新补贴"))</f>
        <v/>
      </c>
      <c r="L161" s="27" t="str" cm="1">
        <f t="array" ref="L161">IF($C161="","",IF(AND(_xlfn.XLOOKUP($A161&amp;$B161&amp;$C161,盘货信息!$A:$A&amp;盘货信息!$B:$B&amp;盘货信息!$C:$C,盘货信息!$L:$L)="是",_xlfn.XLOOKUP($A161&amp;$B161&amp;$C161,盘货信息!$A:$A&amp;盘货信息!$B:$B&amp;盘货信息!$C:$C,盘货信息!$M:$M)="是",_xlfn.XLOOKUP($A161&amp;$B161&amp;$C161,盘货信息!$A:$A&amp;盘货信息!$B:$B&amp;盘货信息!$C:$C,盘货信息!$K:$K)&gt;0),"【全民可用，不限地址】",IF(AND(OR(_xlfn.XLOOKUP($A161&amp;$B161&amp;$C161,盘货信息!$A:$A&amp;盘货信息!$B:$B&amp;盘货信息!$C:$C,盘货信息!$L:$L)="否",_xlfn.XLOOKUP($A161&amp;$B161&amp;$C161,盘货信息!$A:$A&amp;盘货信息!$B:$B&amp;盘货信息!$C:$C,盘货信息!$L:$L)=""),_xlfn.XLOOKUP($A161&amp;$B161&amp;$C161,盘货信息!$A:$A&amp;盘货信息!$B:$B&amp;盘货信息!$C:$C,盘货信息!$M:$M)="是",_xlfn.XLOOKUP($A161&amp;$B161&amp;$C161,盘货信息!$A:$A&amp;盘货信息!$B:$B&amp;盘货信息!$C:$C,盘货信息!$K:$K)&gt;0),"【详情页领取】","")))</f>
        <v/>
      </c>
      <c r="M161" s="27" t="str" cm="1">
        <f t="array" ref="M161">IF($C161="","",IF(_xlfn.XLOOKUP($A161&amp;$B161&amp;$C161,盘货信息!$A:$A&amp;盘货信息!$B:$B&amp;盘货信息!$C:$C,盘货信息!$F:$F)&lt;1,"",_xlfn.XLOOKUP($A161&amp;$B161&amp;$C161,盘货信息!$A:$A&amp;盘货信息!$B:$B&amp;盘货信息!$C:$C,盘货信息!$F:$F)&amp;"元明卷"))</f>
        <v/>
      </c>
      <c r="N161" s="27" t="str">
        <f t="shared" si="5"/>
        <v/>
      </c>
      <c r="O161" s="27" t="str">
        <f>IF(I161="","","【消费券链接】"&amp;固定信息!$B$6)</f>
        <v/>
      </c>
    </row>
    <row r="162" customHeight="1" spans="1:15">
      <c r="A162" s="23" t="str">
        <f>IF(盘货信息!A162="","",盘货信息!A162)</f>
        <v/>
      </c>
      <c r="B162" s="26" t="str">
        <f>IF(盘货信息!B162="","",盘货信息!B162)</f>
        <v/>
      </c>
      <c r="C162" s="23" t="str">
        <f>IF(盘货信息!C162="","",盘货信息!C162)</f>
        <v/>
      </c>
      <c r="D162" s="27" t="str">
        <f t="shared" si="4"/>
        <v/>
      </c>
      <c r="E162" s="27" t="str" cm="1">
        <f t="array" ref="E162">IF($C162="","",IF(AND(OR(_xlfn.XLOOKUP($A162&amp;$B162&amp;$C162,盘货信息!$A:$A&amp;盘货信息!$B:$B&amp;盘货信息!$C:$C,盘货信息!$L:$L)="否",_xlfn.XLOOKUP($A162&amp;$B162&amp;$C162,盘货信息!$A:$A&amp;盘货信息!$B:$B&amp;盘货信息!$C:$C,盘货信息!$L:$L)=""),_xlfn.XLOOKUP($A162&amp;$B162&amp;$C162,盘货信息!$A:$A&amp;盘货信息!$B:$B&amp;盘货信息!$C:$C,盘货信息!$M:$M)="否"),"【预估到手价"&amp;_xlfn.XLOOKUP($A162&amp;$B162&amp;$C162,盘货信息!$A:$A&amp;盘货信息!$B:$B&amp;盘货信息!$C:$C,盘货信息!$D:$D)&amp;"元】",IF(AND(_xlfn.XLOOKUP($A162&amp;$B162&amp;$C162,盘货信息!$A:$A&amp;盘货信息!$B:$B&amp;盘货信息!$C:$C,盘货信息!$M:$M)="是",OR(_xlfn.XLOOKUP($A162&amp;$B162&amp;$C162,盘货信息!$A:$A&amp;盘货信息!$B:$B&amp;盘货信息!$C:$C,盘货信息!$L:$L)="否",_xlfn.XLOOKUP($A162&amp;$B162&amp;$C162,盘货信息!$A:$A&amp;盘货信息!$B:$B&amp;盘货信息!$C:$C,盘货信息!$L:$L)="")),"【预估到手价"&amp;_xlfn.XLOOKUP($A162&amp;$B162&amp;$C162,盘货信息!$A:$A&amp;盘货信息!$B:$B&amp;盘货信息!$C:$C,盘货信息!$D:$D)&amp;"元】"&amp;CHAR(10)&amp;"【焕新补贴预估价"&amp;ROUND(_xlfn.XLOOKUP($A162&amp;$B162&amp;$C162,盘货信息!$A:$A&amp;盘货信息!$B:$B&amp;盘货信息!$C:$C,盘货信息!$E:$E),0)&amp;"元】","【焕新补贴预估价"&amp;ROUND(_xlfn.XLOOKUP($A162&amp;$B162&amp;$C162,盘货信息!$A:$A&amp;盘货信息!$B:$B&amp;盘货信息!$C:$C,盘货信息!$E:$E),0)&amp;"元】")))</f>
        <v/>
      </c>
      <c r="F162" s="27" t="str" cm="1">
        <f t="array" ref="F162">IF($C162="","",_xlfn.XLOOKUP($A162&amp;$B162&amp;$C162,盘货信息!$A:$A&amp;盘货信息!$B:$B&amp;盘货信息!$C:$C,盘货信息!$D:$D)&amp;"元到手价")</f>
        <v/>
      </c>
      <c r="G162" s="27" t="str" cm="1">
        <f t="array" ref="G162">IF($C162="","",IF(_xlfn.XLOOKUP($A162&amp;$B162&amp;$C162,盘货信息!$A:$A&amp;盘货信息!$B:$B&amp;盘货信息!$C:$C,盘货信息!$G:$G)&lt;1,"",ROUND(_xlfn.XLOOKUP($A162&amp;$B162&amp;$C162,盘货信息!$A:$A&amp;盘货信息!$B:$B&amp;盘货信息!$C:$C,盘货信息!$G:$G),0)&amp;"元88VIP立减"))</f>
        <v/>
      </c>
      <c r="H162" s="27" t="str" cm="1">
        <f t="array" ref="H162">IF($C162="","",IF(_xlfn.XLOOKUP($A162&amp;$B162&amp;$C162,盘货信息!$A:$A&amp;盘货信息!$B:$B&amp;盘货信息!$C:$C,盘货信息!$I:$I)&lt;1,"",_xlfn.XLOOKUP($A162&amp;$B162&amp;$C162,盘货信息!$A:$A&amp;盘货信息!$B:$B&amp;盘货信息!$C:$C,盘货信息!$I:$I)&amp;"元惊喜立减"))</f>
        <v/>
      </c>
      <c r="I162" s="27" t="str" cm="1">
        <f t="array" ref="I162">IF($C162="","",IF(_xlfn.XLOOKUP($A162&amp;$B162&amp;$C162,盘货信息!$A:$A&amp;盘货信息!$B:$B&amp;盘货信息!$C:$C,盘货信息!$H:$H)&lt;1,"",ROUND(_xlfn.XLOOKUP($A162&amp;$B162&amp;$C162,盘货信息!$A:$A&amp;盘货信息!$B:$B&amp;盘货信息!$C:$C,盘货信息!$H:$H),0)&amp;"元消费券"))</f>
        <v/>
      </c>
      <c r="J162" s="27" t="str" cm="1">
        <f t="array" ref="J162">IF($C162="","",IF(_xlfn.XLOOKUP($A162&amp;$B162&amp;$C162,盘货信息!$A:$A&amp;盘货信息!$B:$B&amp;盘货信息!$C:$C,盘货信息!$J:$J)&lt;1,"",ROUND(_xlfn.XLOOKUP($A162&amp;$B162&amp;$C162,盘货信息!$A:$A&amp;盘货信息!$B:$B&amp;盘货信息!$C:$C,盘货信息!$J:$J),0)&amp;"元限时补贴"))</f>
        <v/>
      </c>
      <c r="K162" s="27" t="str" cm="1">
        <f t="array" ref="K162">IF($C162="","",IF(_xlfn.XLOOKUP($A162&amp;$B162&amp;$C162,盘货信息!$A:$A&amp;盘货信息!$B:$B&amp;盘货信息!$C:$C,盘货信息!$K:$K)&lt;1,"",ROUND(_xlfn.XLOOKUP($A162&amp;$B162&amp;$C162,盘货信息!$A:$A&amp;盘货信息!$B:$B&amp;盘货信息!$C:$C,盘货信息!$K:$K),0)&amp;"元预估焕新补贴"))</f>
        <v/>
      </c>
      <c r="L162" s="27" t="str" cm="1">
        <f t="array" ref="L162">IF($C162="","",IF(AND(_xlfn.XLOOKUP($A162&amp;$B162&amp;$C162,盘货信息!$A:$A&amp;盘货信息!$B:$B&amp;盘货信息!$C:$C,盘货信息!$L:$L)="是",_xlfn.XLOOKUP($A162&amp;$B162&amp;$C162,盘货信息!$A:$A&amp;盘货信息!$B:$B&amp;盘货信息!$C:$C,盘货信息!$M:$M)="是",_xlfn.XLOOKUP($A162&amp;$B162&amp;$C162,盘货信息!$A:$A&amp;盘货信息!$B:$B&amp;盘货信息!$C:$C,盘货信息!$K:$K)&gt;0),"【全民可用，不限地址】",IF(AND(OR(_xlfn.XLOOKUP($A162&amp;$B162&amp;$C162,盘货信息!$A:$A&amp;盘货信息!$B:$B&amp;盘货信息!$C:$C,盘货信息!$L:$L)="否",_xlfn.XLOOKUP($A162&amp;$B162&amp;$C162,盘货信息!$A:$A&amp;盘货信息!$B:$B&amp;盘货信息!$C:$C,盘货信息!$L:$L)=""),_xlfn.XLOOKUP($A162&amp;$B162&amp;$C162,盘货信息!$A:$A&amp;盘货信息!$B:$B&amp;盘货信息!$C:$C,盘货信息!$M:$M)="是",_xlfn.XLOOKUP($A162&amp;$B162&amp;$C162,盘货信息!$A:$A&amp;盘货信息!$B:$B&amp;盘货信息!$C:$C,盘货信息!$K:$K)&gt;0),"【详情页领取】","")))</f>
        <v/>
      </c>
      <c r="M162" s="27" t="str" cm="1">
        <f t="array" ref="M162">IF($C162="","",IF(_xlfn.XLOOKUP($A162&amp;$B162&amp;$C162,盘货信息!$A:$A&amp;盘货信息!$B:$B&amp;盘货信息!$C:$C,盘货信息!$F:$F)&lt;1,"",_xlfn.XLOOKUP($A162&amp;$B162&amp;$C162,盘货信息!$A:$A&amp;盘货信息!$B:$B&amp;盘货信息!$C:$C,盘货信息!$F:$F)&amp;"元明卷"))</f>
        <v/>
      </c>
      <c r="N162" s="27" t="str">
        <f t="shared" si="5"/>
        <v/>
      </c>
      <c r="O162" s="27" t="str">
        <f>IF(I162="","","【消费券链接】"&amp;固定信息!$B$6)</f>
        <v/>
      </c>
    </row>
    <row r="163" customHeight="1" spans="1:15">
      <c r="A163" s="23" t="str">
        <f>IF(盘货信息!A163="","",盘货信息!A163)</f>
        <v/>
      </c>
      <c r="B163" s="26" t="str">
        <f>IF(盘货信息!B163="","",盘货信息!B163)</f>
        <v/>
      </c>
      <c r="C163" s="23" t="str">
        <f>IF(盘货信息!C163="","",盘货信息!C163)</f>
        <v/>
      </c>
      <c r="D163" s="27" t="str">
        <f t="shared" si="4"/>
        <v/>
      </c>
      <c r="E163" s="27" t="str" cm="1">
        <f t="array" ref="E163">IF($C163="","",IF(AND(OR(_xlfn.XLOOKUP($A163&amp;$B163&amp;$C163,盘货信息!$A:$A&amp;盘货信息!$B:$B&amp;盘货信息!$C:$C,盘货信息!$L:$L)="否",_xlfn.XLOOKUP($A163&amp;$B163&amp;$C163,盘货信息!$A:$A&amp;盘货信息!$B:$B&amp;盘货信息!$C:$C,盘货信息!$L:$L)=""),_xlfn.XLOOKUP($A163&amp;$B163&amp;$C163,盘货信息!$A:$A&amp;盘货信息!$B:$B&amp;盘货信息!$C:$C,盘货信息!$M:$M)="否"),"【预估到手价"&amp;_xlfn.XLOOKUP($A163&amp;$B163&amp;$C163,盘货信息!$A:$A&amp;盘货信息!$B:$B&amp;盘货信息!$C:$C,盘货信息!$D:$D)&amp;"元】",IF(AND(_xlfn.XLOOKUP($A163&amp;$B163&amp;$C163,盘货信息!$A:$A&amp;盘货信息!$B:$B&amp;盘货信息!$C:$C,盘货信息!$M:$M)="是",OR(_xlfn.XLOOKUP($A163&amp;$B163&amp;$C163,盘货信息!$A:$A&amp;盘货信息!$B:$B&amp;盘货信息!$C:$C,盘货信息!$L:$L)="否",_xlfn.XLOOKUP($A163&amp;$B163&amp;$C163,盘货信息!$A:$A&amp;盘货信息!$B:$B&amp;盘货信息!$C:$C,盘货信息!$L:$L)="")),"【预估到手价"&amp;_xlfn.XLOOKUP($A163&amp;$B163&amp;$C163,盘货信息!$A:$A&amp;盘货信息!$B:$B&amp;盘货信息!$C:$C,盘货信息!$D:$D)&amp;"元】"&amp;CHAR(10)&amp;"【焕新补贴预估价"&amp;ROUND(_xlfn.XLOOKUP($A163&amp;$B163&amp;$C163,盘货信息!$A:$A&amp;盘货信息!$B:$B&amp;盘货信息!$C:$C,盘货信息!$E:$E),0)&amp;"元】","【焕新补贴预估价"&amp;ROUND(_xlfn.XLOOKUP($A163&amp;$B163&amp;$C163,盘货信息!$A:$A&amp;盘货信息!$B:$B&amp;盘货信息!$C:$C,盘货信息!$E:$E),0)&amp;"元】")))</f>
        <v/>
      </c>
      <c r="F163" s="27" t="str" cm="1">
        <f t="array" ref="F163">IF($C163="","",_xlfn.XLOOKUP($A163&amp;$B163&amp;$C163,盘货信息!$A:$A&amp;盘货信息!$B:$B&amp;盘货信息!$C:$C,盘货信息!$D:$D)&amp;"元到手价")</f>
        <v/>
      </c>
      <c r="G163" s="27" t="str" cm="1">
        <f t="array" ref="G163">IF($C163="","",IF(_xlfn.XLOOKUP($A163&amp;$B163&amp;$C163,盘货信息!$A:$A&amp;盘货信息!$B:$B&amp;盘货信息!$C:$C,盘货信息!$G:$G)&lt;1,"",ROUND(_xlfn.XLOOKUP($A163&amp;$B163&amp;$C163,盘货信息!$A:$A&amp;盘货信息!$B:$B&amp;盘货信息!$C:$C,盘货信息!$G:$G),0)&amp;"元88VIP立减"))</f>
        <v/>
      </c>
      <c r="H163" s="27" t="str" cm="1">
        <f t="array" ref="H163">IF($C163="","",IF(_xlfn.XLOOKUP($A163&amp;$B163&amp;$C163,盘货信息!$A:$A&amp;盘货信息!$B:$B&amp;盘货信息!$C:$C,盘货信息!$I:$I)&lt;1,"",_xlfn.XLOOKUP($A163&amp;$B163&amp;$C163,盘货信息!$A:$A&amp;盘货信息!$B:$B&amp;盘货信息!$C:$C,盘货信息!$I:$I)&amp;"元惊喜立减"))</f>
        <v/>
      </c>
      <c r="I163" s="27" t="str" cm="1">
        <f t="array" ref="I163">IF($C163="","",IF(_xlfn.XLOOKUP($A163&amp;$B163&amp;$C163,盘货信息!$A:$A&amp;盘货信息!$B:$B&amp;盘货信息!$C:$C,盘货信息!$H:$H)&lt;1,"",ROUND(_xlfn.XLOOKUP($A163&amp;$B163&amp;$C163,盘货信息!$A:$A&amp;盘货信息!$B:$B&amp;盘货信息!$C:$C,盘货信息!$H:$H),0)&amp;"元消费券"))</f>
        <v/>
      </c>
      <c r="J163" s="27" t="str" cm="1">
        <f t="array" ref="J163">IF($C163="","",IF(_xlfn.XLOOKUP($A163&amp;$B163&amp;$C163,盘货信息!$A:$A&amp;盘货信息!$B:$B&amp;盘货信息!$C:$C,盘货信息!$J:$J)&lt;1,"",ROUND(_xlfn.XLOOKUP($A163&amp;$B163&amp;$C163,盘货信息!$A:$A&amp;盘货信息!$B:$B&amp;盘货信息!$C:$C,盘货信息!$J:$J),0)&amp;"元限时补贴"))</f>
        <v/>
      </c>
      <c r="K163" s="27" t="str" cm="1">
        <f t="array" ref="K163">IF($C163="","",IF(_xlfn.XLOOKUP($A163&amp;$B163&amp;$C163,盘货信息!$A:$A&amp;盘货信息!$B:$B&amp;盘货信息!$C:$C,盘货信息!$K:$K)&lt;1,"",ROUND(_xlfn.XLOOKUP($A163&amp;$B163&amp;$C163,盘货信息!$A:$A&amp;盘货信息!$B:$B&amp;盘货信息!$C:$C,盘货信息!$K:$K),0)&amp;"元预估焕新补贴"))</f>
        <v/>
      </c>
      <c r="L163" s="27" t="str" cm="1">
        <f t="array" ref="L163">IF($C163="","",IF(AND(_xlfn.XLOOKUP($A163&amp;$B163&amp;$C163,盘货信息!$A:$A&amp;盘货信息!$B:$B&amp;盘货信息!$C:$C,盘货信息!$L:$L)="是",_xlfn.XLOOKUP($A163&amp;$B163&amp;$C163,盘货信息!$A:$A&amp;盘货信息!$B:$B&amp;盘货信息!$C:$C,盘货信息!$M:$M)="是",_xlfn.XLOOKUP($A163&amp;$B163&amp;$C163,盘货信息!$A:$A&amp;盘货信息!$B:$B&amp;盘货信息!$C:$C,盘货信息!$K:$K)&gt;0),"【全民可用，不限地址】",IF(AND(OR(_xlfn.XLOOKUP($A163&amp;$B163&amp;$C163,盘货信息!$A:$A&amp;盘货信息!$B:$B&amp;盘货信息!$C:$C,盘货信息!$L:$L)="否",_xlfn.XLOOKUP($A163&amp;$B163&amp;$C163,盘货信息!$A:$A&amp;盘货信息!$B:$B&amp;盘货信息!$C:$C,盘货信息!$L:$L)=""),_xlfn.XLOOKUP($A163&amp;$B163&amp;$C163,盘货信息!$A:$A&amp;盘货信息!$B:$B&amp;盘货信息!$C:$C,盘货信息!$M:$M)="是",_xlfn.XLOOKUP($A163&amp;$B163&amp;$C163,盘货信息!$A:$A&amp;盘货信息!$B:$B&amp;盘货信息!$C:$C,盘货信息!$K:$K)&gt;0),"【详情页领取】","")))</f>
        <v/>
      </c>
      <c r="M163" s="27" t="str" cm="1">
        <f t="array" ref="M163">IF($C163="","",IF(_xlfn.XLOOKUP($A163&amp;$B163&amp;$C163,盘货信息!$A:$A&amp;盘货信息!$B:$B&amp;盘货信息!$C:$C,盘货信息!$F:$F)&lt;1,"",_xlfn.XLOOKUP($A163&amp;$B163&amp;$C163,盘货信息!$A:$A&amp;盘货信息!$B:$B&amp;盘货信息!$C:$C,盘货信息!$F:$F)&amp;"元明卷"))</f>
        <v/>
      </c>
      <c r="N163" s="27" t="str">
        <f t="shared" si="5"/>
        <v/>
      </c>
      <c r="O163" s="27" t="str">
        <f>IF(I163="","","【消费券链接】"&amp;固定信息!$B$6)</f>
        <v/>
      </c>
    </row>
    <row r="164" customHeight="1" spans="1:15">
      <c r="A164" s="23" t="str">
        <f>IF(盘货信息!A164="","",盘货信息!A164)</f>
        <v/>
      </c>
      <c r="B164" s="26" t="str">
        <f>IF(盘货信息!B164="","",盘货信息!B164)</f>
        <v/>
      </c>
      <c r="C164" s="23" t="str">
        <f>IF(盘货信息!C164="","",盘货信息!C164)</f>
        <v/>
      </c>
      <c r="D164" s="27" t="str">
        <f t="shared" si="4"/>
        <v/>
      </c>
      <c r="E164" s="27" t="str" cm="1">
        <f t="array" ref="E164">IF($C164="","",IF(AND(OR(_xlfn.XLOOKUP($A164&amp;$B164&amp;$C164,盘货信息!$A:$A&amp;盘货信息!$B:$B&amp;盘货信息!$C:$C,盘货信息!$L:$L)="否",_xlfn.XLOOKUP($A164&amp;$B164&amp;$C164,盘货信息!$A:$A&amp;盘货信息!$B:$B&amp;盘货信息!$C:$C,盘货信息!$L:$L)=""),_xlfn.XLOOKUP($A164&amp;$B164&amp;$C164,盘货信息!$A:$A&amp;盘货信息!$B:$B&amp;盘货信息!$C:$C,盘货信息!$M:$M)="否"),"【预估到手价"&amp;_xlfn.XLOOKUP($A164&amp;$B164&amp;$C164,盘货信息!$A:$A&amp;盘货信息!$B:$B&amp;盘货信息!$C:$C,盘货信息!$D:$D)&amp;"元】",IF(AND(_xlfn.XLOOKUP($A164&amp;$B164&amp;$C164,盘货信息!$A:$A&amp;盘货信息!$B:$B&amp;盘货信息!$C:$C,盘货信息!$M:$M)="是",OR(_xlfn.XLOOKUP($A164&amp;$B164&amp;$C164,盘货信息!$A:$A&amp;盘货信息!$B:$B&amp;盘货信息!$C:$C,盘货信息!$L:$L)="否",_xlfn.XLOOKUP($A164&amp;$B164&amp;$C164,盘货信息!$A:$A&amp;盘货信息!$B:$B&amp;盘货信息!$C:$C,盘货信息!$L:$L)="")),"【预估到手价"&amp;_xlfn.XLOOKUP($A164&amp;$B164&amp;$C164,盘货信息!$A:$A&amp;盘货信息!$B:$B&amp;盘货信息!$C:$C,盘货信息!$D:$D)&amp;"元】"&amp;CHAR(10)&amp;"【焕新补贴预估价"&amp;ROUND(_xlfn.XLOOKUP($A164&amp;$B164&amp;$C164,盘货信息!$A:$A&amp;盘货信息!$B:$B&amp;盘货信息!$C:$C,盘货信息!$E:$E),0)&amp;"元】","【焕新补贴预估价"&amp;ROUND(_xlfn.XLOOKUP($A164&amp;$B164&amp;$C164,盘货信息!$A:$A&amp;盘货信息!$B:$B&amp;盘货信息!$C:$C,盘货信息!$E:$E),0)&amp;"元】")))</f>
        <v/>
      </c>
      <c r="F164" s="27" t="str" cm="1">
        <f t="array" ref="F164">IF($C164="","",_xlfn.XLOOKUP($A164&amp;$B164&amp;$C164,盘货信息!$A:$A&amp;盘货信息!$B:$B&amp;盘货信息!$C:$C,盘货信息!$D:$D)&amp;"元到手价")</f>
        <v/>
      </c>
      <c r="G164" s="27" t="str" cm="1">
        <f t="array" ref="G164">IF($C164="","",IF(_xlfn.XLOOKUP($A164&amp;$B164&amp;$C164,盘货信息!$A:$A&amp;盘货信息!$B:$B&amp;盘货信息!$C:$C,盘货信息!$G:$G)&lt;1,"",ROUND(_xlfn.XLOOKUP($A164&amp;$B164&amp;$C164,盘货信息!$A:$A&amp;盘货信息!$B:$B&amp;盘货信息!$C:$C,盘货信息!$G:$G),0)&amp;"元88VIP立减"))</f>
        <v/>
      </c>
      <c r="H164" s="27" t="str" cm="1">
        <f t="array" ref="H164">IF($C164="","",IF(_xlfn.XLOOKUP($A164&amp;$B164&amp;$C164,盘货信息!$A:$A&amp;盘货信息!$B:$B&amp;盘货信息!$C:$C,盘货信息!$I:$I)&lt;1,"",_xlfn.XLOOKUP($A164&amp;$B164&amp;$C164,盘货信息!$A:$A&amp;盘货信息!$B:$B&amp;盘货信息!$C:$C,盘货信息!$I:$I)&amp;"元惊喜立减"))</f>
        <v/>
      </c>
      <c r="I164" s="27" t="str" cm="1">
        <f t="array" ref="I164">IF($C164="","",IF(_xlfn.XLOOKUP($A164&amp;$B164&amp;$C164,盘货信息!$A:$A&amp;盘货信息!$B:$B&amp;盘货信息!$C:$C,盘货信息!$H:$H)&lt;1,"",ROUND(_xlfn.XLOOKUP($A164&amp;$B164&amp;$C164,盘货信息!$A:$A&amp;盘货信息!$B:$B&amp;盘货信息!$C:$C,盘货信息!$H:$H),0)&amp;"元消费券"))</f>
        <v/>
      </c>
      <c r="J164" s="27" t="str" cm="1">
        <f t="array" ref="J164">IF($C164="","",IF(_xlfn.XLOOKUP($A164&amp;$B164&amp;$C164,盘货信息!$A:$A&amp;盘货信息!$B:$B&amp;盘货信息!$C:$C,盘货信息!$J:$J)&lt;1,"",ROUND(_xlfn.XLOOKUP($A164&amp;$B164&amp;$C164,盘货信息!$A:$A&amp;盘货信息!$B:$B&amp;盘货信息!$C:$C,盘货信息!$J:$J),0)&amp;"元限时补贴"))</f>
        <v/>
      </c>
      <c r="K164" s="27" t="str" cm="1">
        <f t="array" ref="K164">IF($C164="","",IF(_xlfn.XLOOKUP($A164&amp;$B164&amp;$C164,盘货信息!$A:$A&amp;盘货信息!$B:$B&amp;盘货信息!$C:$C,盘货信息!$K:$K)&lt;1,"",ROUND(_xlfn.XLOOKUP($A164&amp;$B164&amp;$C164,盘货信息!$A:$A&amp;盘货信息!$B:$B&amp;盘货信息!$C:$C,盘货信息!$K:$K),0)&amp;"元预估焕新补贴"))</f>
        <v/>
      </c>
      <c r="L164" s="27" t="str" cm="1">
        <f t="array" ref="L164">IF($C164="","",IF(AND(_xlfn.XLOOKUP($A164&amp;$B164&amp;$C164,盘货信息!$A:$A&amp;盘货信息!$B:$B&amp;盘货信息!$C:$C,盘货信息!$L:$L)="是",_xlfn.XLOOKUP($A164&amp;$B164&amp;$C164,盘货信息!$A:$A&amp;盘货信息!$B:$B&amp;盘货信息!$C:$C,盘货信息!$M:$M)="是",_xlfn.XLOOKUP($A164&amp;$B164&amp;$C164,盘货信息!$A:$A&amp;盘货信息!$B:$B&amp;盘货信息!$C:$C,盘货信息!$K:$K)&gt;0),"【全民可用，不限地址】",IF(AND(OR(_xlfn.XLOOKUP($A164&amp;$B164&amp;$C164,盘货信息!$A:$A&amp;盘货信息!$B:$B&amp;盘货信息!$C:$C,盘货信息!$L:$L)="否",_xlfn.XLOOKUP($A164&amp;$B164&amp;$C164,盘货信息!$A:$A&amp;盘货信息!$B:$B&amp;盘货信息!$C:$C,盘货信息!$L:$L)=""),_xlfn.XLOOKUP($A164&amp;$B164&amp;$C164,盘货信息!$A:$A&amp;盘货信息!$B:$B&amp;盘货信息!$C:$C,盘货信息!$M:$M)="是",_xlfn.XLOOKUP($A164&amp;$B164&amp;$C164,盘货信息!$A:$A&amp;盘货信息!$B:$B&amp;盘货信息!$C:$C,盘货信息!$K:$K)&gt;0),"【详情页领取】","")))</f>
        <v/>
      </c>
      <c r="M164" s="27" t="str" cm="1">
        <f t="array" ref="M164">IF($C164="","",IF(_xlfn.XLOOKUP($A164&amp;$B164&amp;$C164,盘货信息!$A:$A&amp;盘货信息!$B:$B&amp;盘货信息!$C:$C,盘货信息!$F:$F)&lt;1,"",_xlfn.XLOOKUP($A164&amp;$B164&amp;$C164,盘货信息!$A:$A&amp;盘货信息!$B:$B&amp;盘货信息!$C:$C,盘货信息!$F:$F)&amp;"元明卷"))</f>
        <v/>
      </c>
      <c r="N164" s="27" t="str">
        <f t="shared" si="5"/>
        <v/>
      </c>
      <c r="O164" s="27" t="str">
        <f>IF(I164="","","【消费券链接】"&amp;固定信息!$B$6)</f>
        <v/>
      </c>
    </row>
    <row r="165" customHeight="1" spans="1:15">
      <c r="A165" s="23" t="str">
        <f>IF(盘货信息!A165="","",盘货信息!A165)</f>
        <v/>
      </c>
      <c r="B165" s="26" t="str">
        <f>IF(盘货信息!B165="","",盘货信息!B165)</f>
        <v/>
      </c>
      <c r="C165" s="23" t="str">
        <f>IF(盘货信息!C165="","",盘货信息!C165)</f>
        <v/>
      </c>
      <c r="D165" s="27" t="str">
        <f t="shared" si="4"/>
        <v/>
      </c>
      <c r="E165" s="27" t="str" cm="1">
        <f t="array" ref="E165">IF($C165="","",IF(AND(OR(_xlfn.XLOOKUP($A165&amp;$B165&amp;$C165,盘货信息!$A:$A&amp;盘货信息!$B:$B&amp;盘货信息!$C:$C,盘货信息!$L:$L)="否",_xlfn.XLOOKUP($A165&amp;$B165&amp;$C165,盘货信息!$A:$A&amp;盘货信息!$B:$B&amp;盘货信息!$C:$C,盘货信息!$L:$L)=""),_xlfn.XLOOKUP($A165&amp;$B165&amp;$C165,盘货信息!$A:$A&amp;盘货信息!$B:$B&amp;盘货信息!$C:$C,盘货信息!$M:$M)="否"),"【预估到手价"&amp;_xlfn.XLOOKUP($A165&amp;$B165&amp;$C165,盘货信息!$A:$A&amp;盘货信息!$B:$B&amp;盘货信息!$C:$C,盘货信息!$D:$D)&amp;"元】",IF(AND(_xlfn.XLOOKUP($A165&amp;$B165&amp;$C165,盘货信息!$A:$A&amp;盘货信息!$B:$B&amp;盘货信息!$C:$C,盘货信息!$M:$M)="是",OR(_xlfn.XLOOKUP($A165&amp;$B165&amp;$C165,盘货信息!$A:$A&amp;盘货信息!$B:$B&amp;盘货信息!$C:$C,盘货信息!$L:$L)="否",_xlfn.XLOOKUP($A165&amp;$B165&amp;$C165,盘货信息!$A:$A&amp;盘货信息!$B:$B&amp;盘货信息!$C:$C,盘货信息!$L:$L)="")),"【预估到手价"&amp;_xlfn.XLOOKUP($A165&amp;$B165&amp;$C165,盘货信息!$A:$A&amp;盘货信息!$B:$B&amp;盘货信息!$C:$C,盘货信息!$D:$D)&amp;"元】"&amp;CHAR(10)&amp;"【焕新补贴预估价"&amp;ROUND(_xlfn.XLOOKUP($A165&amp;$B165&amp;$C165,盘货信息!$A:$A&amp;盘货信息!$B:$B&amp;盘货信息!$C:$C,盘货信息!$E:$E),0)&amp;"元】","【焕新补贴预估价"&amp;ROUND(_xlfn.XLOOKUP($A165&amp;$B165&amp;$C165,盘货信息!$A:$A&amp;盘货信息!$B:$B&amp;盘货信息!$C:$C,盘货信息!$E:$E),0)&amp;"元】")))</f>
        <v/>
      </c>
      <c r="F165" s="27" t="str" cm="1">
        <f t="array" ref="F165">IF($C165="","",_xlfn.XLOOKUP($A165&amp;$B165&amp;$C165,盘货信息!$A:$A&amp;盘货信息!$B:$B&amp;盘货信息!$C:$C,盘货信息!$D:$D)&amp;"元到手价")</f>
        <v/>
      </c>
      <c r="G165" s="27" t="str" cm="1">
        <f t="array" ref="G165">IF($C165="","",IF(_xlfn.XLOOKUP($A165&amp;$B165&amp;$C165,盘货信息!$A:$A&amp;盘货信息!$B:$B&amp;盘货信息!$C:$C,盘货信息!$G:$G)&lt;1,"",ROUND(_xlfn.XLOOKUP($A165&amp;$B165&amp;$C165,盘货信息!$A:$A&amp;盘货信息!$B:$B&amp;盘货信息!$C:$C,盘货信息!$G:$G),0)&amp;"元88VIP立减"))</f>
        <v/>
      </c>
      <c r="H165" s="27" t="str" cm="1">
        <f t="array" ref="H165">IF($C165="","",IF(_xlfn.XLOOKUP($A165&amp;$B165&amp;$C165,盘货信息!$A:$A&amp;盘货信息!$B:$B&amp;盘货信息!$C:$C,盘货信息!$I:$I)&lt;1,"",_xlfn.XLOOKUP($A165&amp;$B165&amp;$C165,盘货信息!$A:$A&amp;盘货信息!$B:$B&amp;盘货信息!$C:$C,盘货信息!$I:$I)&amp;"元惊喜立减"))</f>
        <v/>
      </c>
      <c r="I165" s="27" t="str" cm="1">
        <f t="array" ref="I165">IF($C165="","",IF(_xlfn.XLOOKUP($A165&amp;$B165&amp;$C165,盘货信息!$A:$A&amp;盘货信息!$B:$B&amp;盘货信息!$C:$C,盘货信息!$H:$H)&lt;1,"",ROUND(_xlfn.XLOOKUP($A165&amp;$B165&amp;$C165,盘货信息!$A:$A&amp;盘货信息!$B:$B&amp;盘货信息!$C:$C,盘货信息!$H:$H),0)&amp;"元消费券"))</f>
        <v/>
      </c>
      <c r="J165" s="27" t="str" cm="1">
        <f t="array" ref="J165">IF($C165="","",IF(_xlfn.XLOOKUP($A165&amp;$B165&amp;$C165,盘货信息!$A:$A&amp;盘货信息!$B:$B&amp;盘货信息!$C:$C,盘货信息!$J:$J)&lt;1,"",ROUND(_xlfn.XLOOKUP($A165&amp;$B165&amp;$C165,盘货信息!$A:$A&amp;盘货信息!$B:$B&amp;盘货信息!$C:$C,盘货信息!$J:$J),0)&amp;"元限时补贴"))</f>
        <v/>
      </c>
      <c r="K165" s="27" t="str" cm="1">
        <f t="array" ref="K165">IF($C165="","",IF(_xlfn.XLOOKUP($A165&amp;$B165&amp;$C165,盘货信息!$A:$A&amp;盘货信息!$B:$B&amp;盘货信息!$C:$C,盘货信息!$K:$K)&lt;1,"",ROUND(_xlfn.XLOOKUP($A165&amp;$B165&amp;$C165,盘货信息!$A:$A&amp;盘货信息!$B:$B&amp;盘货信息!$C:$C,盘货信息!$K:$K),0)&amp;"元预估焕新补贴"))</f>
        <v/>
      </c>
      <c r="L165" s="27" t="str" cm="1">
        <f t="array" ref="L165">IF($C165="","",IF(AND(_xlfn.XLOOKUP($A165&amp;$B165&amp;$C165,盘货信息!$A:$A&amp;盘货信息!$B:$B&amp;盘货信息!$C:$C,盘货信息!$L:$L)="是",_xlfn.XLOOKUP($A165&amp;$B165&amp;$C165,盘货信息!$A:$A&amp;盘货信息!$B:$B&amp;盘货信息!$C:$C,盘货信息!$M:$M)="是",_xlfn.XLOOKUP($A165&amp;$B165&amp;$C165,盘货信息!$A:$A&amp;盘货信息!$B:$B&amp;盘货信息!$C:$C,盘货信息!$K:$K)&gt;0),"【全民可用，不限地址】",IF(AND(OR(_xlfn.XLOOKUP($A165&amp;$B165&amp;$C165,盘货信息!$A:$A&amp;盘货信息!$B:$B&amp;盘货信息!$C:$C,盘货信息!$L:$L)="否",_xlfn.XLOOKUP($A165&amp;$B165&amp;$C165,盘货信息!$A:$A&amp;盘货信息!$B:$B&amp;盘货信息!$C:$C,盘货信息!$L:$L)=""),_xlfn.XLOOKUP($A165&amp;$B165&amp;$C165,盘货信息!$A:$A&amp;盘货信息!$B:$B&amp;盘货信息!$C:$C,盘货信息!$M:$M)="是",_xlfn.XLOOKUP($A165&amp;$B165&amp;$C165,盘货信息!$A:$A&amp;盘货信息!$B:$B&amp;盘货信息!$C:$C,盘货信息!$K:$K)&gt;0),"【详情页领取】","")))</f>
        <v/>
      </c>
      <c r="M165" s="27" t="str" cm="1">
        <f t="array" ref="M165">IF($C165="","",IF(_xlfn.XLOOKUP($A165&amp;$B165&amp;$C165,盘货信息!$A:$A&amp;盘货信息!$B:$B&amp;盘货信息!$C:$C,盘货信息!$F:$F)&lt;1,"",_xlfn.XLOOKUP($A165&amp;$B165&amp;$C165,盘货信息!$A:$A&amp;盘货信息!$B:$B&amp;盘货信息!$C:$C,盘货信息!$F:$F)&amp;"元明卷"))</f>
        <v/>
      </c>
      <c r="N165" s="27" t="str">
        <f t="shared" si="5"/>
        <v/>
      </c>
      <c r="O165" s="27" t="str">
        <f>IF(I165="","","【消费券链接】"&amp;固定信息!$B$6)</f>
        <v/>
      </c>
    </row>
    <row r="166" customHeight="1" spans="1:15">
      <c r="A166" s="23" t="str">
        <f>IF(盘货信息!A166="","",盘货信息!A166)</f>
        <v/>
      </c>
      <c r="B166" s="26" t="str">
        <f>IF(盘货信息!B166="","",盘货信息!B166)</f>
        <v/>
      </c>
      <c r="C166" s="23" t="str">
        <f>IF(盘货信息!C166="","",盘货信息!C166)</f>
        <v/>
      </c>
      <c r="D166" s="27" t="str">
        <f t="shared" si="4"/>
        <v/>
      </c>
      <c r="E166" s="27" t="str" cm="1">
        <f t="array" ref="E166">IF($C166="","",IF(AND(OR(_xlfn.XLOOKUP($A166&amp;$B166&amp;$C166,盘货信息!$A:$A&amp;盘货信息!$B:$B&amp;盘货信息!$C:$C,盘货信息!$L:$L)="否",_xlfn.XLOOKUP($A166&amp;$B166&amp;$C166,盘货信息!$A:$A&amp;盘货信息!$B:$B&amp;盘货信息!$C:$C,盘货信息!$L:$L)=""),_xlfn.XLOOKUP($A166&amp;$B166&amp;$C166,盘货信息!$A:$A&amp;盘货信息!$B:$B&amp;盘货信息!$C:$C,盘货信息!$M:$M)="否"),"【预估到手价"&amp;_xlfn.XLOOKUP($A166&amp;$B166&amp;$C166,盘货信息!$A:$A&amp;盘货信息!$B:$B&amp;盘货信息!$C:$C,盘货信息!$D:$D)&amp;"元】",IF(AND(_xlfn.XLOOKUP($A166&amp;$B166&amp;$C166,盘货信息!$A:$A&amp;盘货信息!$B:$B&amp;盘货信息!$C:$C,盘货信息!$M:$M)="是",OR(_xlfn.XLOOKUP($A166&amp;$B166&amp;$C166,盘货信息!$A:$A&amp;盘货信息!$B:$B&amp;盘货信息!$C:$C,盘货信息!$L:$L)="否",_xlfn.XLOOKUP($A166&amp;$B166&amp;$C166,盘货信息!$A:$A&amp;盘货信息!$B:$B&amp;盘货信息!$C:$C,盘货信息!$L:$L)="")),"【预估到手价"&amp;_xlfn.XLOOKUP($A166&amp;$B166&amp;$C166,盘货信息!$A:$A&amp;盘货信息!$B:$B&amp;盘货信息!$C:$C,盘货信息!$D:$D)&amp;"元】"&amp;CHAR(10)&amp;"【焕新补贴预估价"&amp;ROUND(_xlfn.XLOOKUP($A166&amp;$B166&amp;$C166,盘货信息!$A:$A&amp;盘货信息!$B:$B&amp;盘货信息!$C:$C,盘货信息!$E:$E),0)&amp;"元】","【焕新补贴预估价"&amp;ROUND(_xlfn.XLOOKUP($A166&amp;$B166&amp;$C166,盘货信息!$A:$A&amp;盘货信息!$B:$B&amp;盘货信息!$C:$C,盘货信息!$E:$E),0)&amp;"元】")))</f>
        <v/>
      </c>
      <c r="F166" s="27" t="str" cm="1">
        <f t="array" ref="F166">IF($C166="","",_xlfn.XLOOKUP($A166&amp;$B166&amp;$C166,盘货信息!$A:$A&amp;盘货信息!$B:$B&amp;盘货信息!$C:$C,盘货信息!$D:$D)&amp;"元到手价")</f>
        <v/>
      </c>
      <c r="G166" s="27" t="str" cm="1">
        <f t="array" ref="G166">IF($C166="","",IF(_xlfn.XLOOKUP($A166&amp;$B166&amp;$C166,盘货信息!$A:$A&amp;盘货信息!$B:$B&amp;盘货信息!$C:$C,盘货信息!$G:$G)&lt;1,"",ROUND(_xlfn.XLOOKUP($A166&amp;$B166&amp;$C166,盘货信息!$A:$A&amp;盘货信息!$B:$B&amp;盘货信息!$C:$C,盘货信息!$G:$G),0)&amp;"元88VIP立减"))</f>
        <v/>
      </c>
      <c r="H166" s="27" t="str" cm="1">
        <f t="array" ref="H166">IF($C166="","",IF(_xlfn.XLOOKUP($A166&amp;$B166&amp;$C166,盘货信息!$A:$A&amp;盘货信息!$B:$B&amp;盘货信息!$C:$C,盘货信息!$I:$I)&lt;1,"",_xlfn.XLOOKUP($A166&amp;$B166&amp;$C166,盘货信息!$A:$A&amp;盘货信息!$B:$B&amp;盘货信息!$C:$C,盘货信息!$I:$I)&amp;"元惊喜立减"))</f>
        <v/>
      </c>
      <c r="I166" s="27" t="str" cm="1">
        <f t="array" ref="I166">IF($C166="","",IF(_xlfn.XLOOKUP($A166&amp;$B166&amp;$C166,盘货信息!$A:$A&amp;盘货信息!$B:$B&amp;盘货信息!$C:$C,盘货信息!$H:$H)&lt;1,"",ROUND(_xlfn.XLOOKUP($A166&amp;$B166&amp;$C166,盘货信息!$A:$A&amp;盘货信息!$B:$B&amp;盘货信息!$C:$C,盘货信息!$H:$H),0)&amp;"元消费券"))</f>
        <v/>
      </c>
      <c r="J166" s="27" t="str" cm="1">
        <f t="array" ref="J166">IF($C166="","",IF(_xlfn.XLOOKUP($A166&amp;$B166&amp;$C166,盘货信息!$A:$A&amp;盘货信息!$B:$B&amp;盘货信息!$C:$C,盘货信息!$J:$J)&lt;1,"",ROUND(_xlfn.XLOOKUP($A166&amp;$B166&amp;$C166,盘货信息!$A:$A&amp;盘货信息!$B:$B&amp;盘货信息!$C:$C,盘货信息!$J:$J),0)&amp;"元限时补贴"))</f>
        <v/>
      </c>
      <c r="K166" s="27" t="str" cm="1">
        <f t="array" ref="K166">IF($C166="","",IF(_xlfn.XLOOKUP($A166&amp;$B166&amp;$C166,盘货信息!$A:$A&amp;盘货信息!$B:$B&amp;盘货信息!$C:$C,盘货信息!$K:$K)&lt;1,"",ROUND(_xlfn.XLOOKUP($A166&amp;$B166&amp;$C166,盘货信息!$A:$A&amp;盘货信息!$B:$B&amp;盘货信息!$C:$C,盘货信息!$K:$K),0)&amp;"元预估焕新补贴"))</f>
        <v/>
      </c>
      <c r="L166" s="27" t="str" cm="1">
        <f t="array" ref="L166">IF($C166="","",IF(AND(_xlfn.XLOOKUP($A166&amp;$B166&amp;$C166,盘货信息!$A:$A&amp;盘货信息!$B:$B&amp;盘货信息!$C:$C,盘货信息!$L:$L)="是",_xlfn.XLOOKUP($A166&amp;$B166&amp;$C166,盘货信息!$A:$A&amp;盘货信息!$B:$B&amp;盘货信息!$C:$C,盘货信息!$M:$M)="是",_xlfn.XLOOKUP($A166&amp;$B166&amp;$C166,盘货信息!$A:$A&amp;盘货信息!$B:$B&amp;盘货信息!$C:$C,盘货信息!$K:$K)&gt;0),"【全民可用，不限地址】",IF(AND(OR(_xlfn.XLOOKUP($A166&amp;$B166&amp;$C166,盘货信息!$A:$A&amp;盘货信息!$B:$B&amp;盘货信息!$C:$C,盘货信息!$L:$L)="否",_xlfn.XLOOKUP($A166&amp;$B166&amp;$C166,盘货信息!$A:$A&amp;盘货信息!$B:$B&amp;盘货信息!$C:$C,盘货信息!$L:$L)=""),_xlfn.XLOOKUP($A166&amp;$B166&amp;$C166,盘货信息!$A:$A&amp;盘货信息!$B:$B&amp;盘货信息!$C:$C,盘货信息!$M:$M)="是",_xlfn.XLOOKUP($A166&amp;$B166&amp;$C166,盘货信息!$A:$A&amp;盘货信息!$B:$B&amp;盘货信息!$C:$C,盘货信息!$K:$K)&gt;0),"【详情页领取】","")))</f>
        <v/>
      </c>
      <c r="M166" s="27" t="str" cm="1">
        <f t="array" ref="M166">IF($C166="","",IF(_xlfn.XLOOKUP($A166&amp;$B166&amp;$C166,盘货信息!$A:$A&amp;盘货信息!$B:$B&amp;盘货信息!$C:$C,盘货信息!$F:$F)&lt;1,"",_xlfn.XLOOKUP($A166&amp;$B166&amp;$C166,盘货信息!$A:$A&amp;盘货信息!$B:$B&amp;盘货信息!$C:$C,盘货信息!$F:$F)&amp;"元明卷"))</f>
        <v/>
      </c>
      <c r="N166" s="27" t="str">
        <f t="shared" si="5"/>
        <v/>
      </c>
      <c r="O166" s="27" t="str">
        <f>IF(I166="","","【消费券链接】"&amp;固定信息!$B$6)</f>
        <v/>
      </c>
    </row>
    <row r="167" customHeight="1" spans="1:15">
      <c r="A167" s="23" t="str">
        <f>IF(盘货信息!A167="","",盘货信息!A167)</f>
        <v/>
      </c>
      <c r="B167" s="26" t="str">
        <f>IF(盘货信息!B167="","",盘货信息!B167)</f>
        <v/>
      </c>
      <c r="C167" s="23" t="str">
        <f>IF(盘货信息!C167="","",盘货信息!C167)</f>
        <v/>
      </c>
      <c r="D167" s="27" t="str">
        <f t="shared" si="4"/>
        <v/>
      </c>
      <c r="E167" s="27" t="str" cm="1">
        <f t="array" ref="E167">IF($C167="","",IF(AND(OR(_xlfn.XLOOKUP($A167&amp;$B167&amp;$C167,盘货信息!$A:$A&amp;盘货信息!$B:$B&amp;盘货信息!$C:$C,盘货信息!$L:$L)="否",_xlfn.XLOOKUP($A167&amp;$B167&amp;$C167,盘货信息!$A:$A&amp;盘货信息!$B:$B&amp;盘货信息!$C:$C,盘货信息!$L:$L)=""),_xlfn.XLOOKUP($A167&amp;$B167&amp;$C167,盘货信息!$A:$A&amp;盘货信息!$B:$B&amp;盘货信息!$C:$C,盘货信息!$M:$M)="否"),"【预估到手价"&amp;_xlfn.XLOOKUP($A167&amp;$B167&amp;$C167,盘货信息!$A:$A&amp;盘货信息!$B:$B&amp;盘货信息!$C:$C,盘货信息!$D:$D)&amp;"元】",IF(AND(_xlfn.XLOOKUP($A167&amp;$B167&amp;$C167,盘货信息!$A:$A&amp;盘货信息!$B:$B&amp;盘货信息!$C:$C,盘货信息!$M:$M)="是",OR(_xlfn.XLOOKUP($A167&amp;$B167&amp;$C167,盘货信息!$A:$A&amp;盘货信息!$B:$B&amp;盘货信息!$C:$C,盘货信息!$L:$L)="否",_xlfn.XLOOKUP($A167&amp;$B167&amp;$C167,盘货信息!$A:$A&amp;盘货信息!$B:$B&amp;盘货信息!$C:$C,盘货信息!$L:$L)="")),"【预估到手价"&amp;_xlfn.XLOOKUP($A167&amp;$B167&amp;$C167,盘货信息!$A:$A&amp;盘货信息!$B:$B&amp;盘货信息!$C:$C,盘货信息!$D:$D)&amp;"元】"&amp;CHAR(10)&amp;"【焕新补贴预估价"&amp;ROUND(_xlfn.XLOOKUP($A167&amp;$B167&amp;$C167,盘货信息!$A:$A&amp;盘货信息!$B:$B&amp;盘货信息!$C:$C,盘货信息!$E:$E),0)&amp;"元】","【焕新补贴预估价"&amp;ROUND(_xlfn.XLOOKUP($A167&amp;$B167&amp;$C167,盘货信息!$A:$A&amp;盘货信息!$B:$B&amp;盘货信息!$C:$C,盘货信息!$E:$E),0)&amp;"元】")))</f>
        <v/>
      </c>
      <c r="F167" s="27" t="str" cm="1">
        <f t="array" ref="F167">IF($C167="","",_xlfn.XLOOKUP($A167&amp;$B167&amp;$C167,盘货信息!$A:$A&amp;盘货信息!$B:$B&amp;盘货信息!$C:$C,盘货信息!$D:$D)&amp;"元到手价")</f>
        <v/>
      </c>
      <c r="G167" s="27" t="str" cm="1">
        <f t="array" ref="G167">IF($C167="","",IF(_xlfn.XLOOKUP($A167&amp;$B167&amp;$C167,盘货信息!$A:$A&amp;盘货信息!$B:$B&amp;盘货信息!$C:$C,盘货信息!$G:$G)&lt;1,"",ROUND(_xlfn.XLOOKUP($A167&amp;$B167&amp;$C167,盘货信息!$A:$A&amp;盘货信息!$B:$B&amp;盘货信息!$C:$C,盘货信息!$G:$G),0)&amp;"元88VIP立减"))</f>
        <v/>
      </c>
      <c r="H167" s="27" t="str" cm="1">
        <f t="array" ref="H167">IF($C167="","",IF(_xlfn.XLOOKUP($A167&amp;$B167&amp;$C167,盘货信息!$A:$A&amp;盘货信息!$B:$B&amp;盘货信息!$C:$C,盘货信息!$I:$I)&lt;1,"",_xlfn.XLOOKUP($A167&amp;$B167&amp;$C167,盘货信息!$A:$A&amp;盘货信息!$B:$B&amp;盘货信息!$C:$C,盘货信息!$I:$I)&amp;"元惊喜立减"))</f>
        <v/>
      </c>
      <c r="I167" s="27" t="str" cm="1">
        <f t="array" ref="I167">IF($C167="","",IF(_xlfn.XLOOKUP($A167&amp;$B167&amp;$C167,盘货信息!$A:$A&amp;盘货信息!$B:$B&amp;盘货信息!$C:$C,盘货信息!$H:$H)&lt;1,"",ROUND(_xlfn.XLOOKUP($A167&amp;$B167&amp;$C167,盘货信息!$A:$A&amp;盘货信息!$B:$B&amp;盘货信息!$C:$C,盘货信息!$H:$H),0)&amp;"元消费券"))</f>
        <v/>
      </c>
      <c r="J167" s="27" t="str" cm="1">
        <f t="array" ref="J167">IF($C167="","",IF(_xlfn.XLOOKUP($A167&amp;$B167&amp;$C167,盘货信息!$A:$A&amp;盘货信息!$B:$B&amp;盘货信息!$C:$C,盘货信息!$J:$J)&lt;1,"",ROUND(_xlfn.XLOOKUP($A167&amp;$B167&amp;$C167,盘货信息!$A:$A&amp;盘货信息!$B:$B&amp;盘货信息!$C:$C,盘货信息!$J:$J),0)&amp;"元限时补贴"))</f>
        <v/>
      </c>
      <c r="K167" s="27" t="str" cm="1">
        <f t="array" ref="K167">IF($C167="","",IF(_xlfn.XLOOKUP($A167&amp;$B167&amp;$C167,盘货信息!$A:$A&amp;盘货信息!$B:$B&amp;盘货信息!$C:$C,盘货信息!$K:$K)&lt;1,"",ROUND(_xlfn.XLOOKUP($A167&amp;$B167&amp;$C167,盘货信息!$A:$A&amp;盘货信息!$B:$B&amp;盘货信息!$C:$C,盘货信息!$K:$K),0)&amp;"元预估焕新补贴"))</f>
        <v/>
      </c>
      <c r="L167" s="27" t="str" cm="1">
        <f t="array" ref="L167">IF($C167="","",IF(AND(_xlfn.XLOOKUP($A167&amp;$B167&amp;$C167,盘货信息!$A:$A&amp;盘货信息!$B:$B&amp;盘货信息!$C:$C,盘货信息!$L:$L)="是",_xlfn.XLOOKUP($A167&amp;$B167&amp;$C167,盘货信息!$A:$A&amp;盘货信息!$B:$B&amp;盘货信息!$C:$C,盘货信息!$M:$M)="是",_xlfn.XLOOKUP($A167&amp;$B167&amp;$C167,盘货信息!$A:$A&amp;盘货信息!$B:$B&amp;盘货信息!$C:$C,盘货信息!$K:$K)&gt;0),"【全民可用，不限地址】",IF(AND(OR(_xlfn.XLOOKUP($A167&amp;$B167&amp;$C167,盘货信息!$A:$A&amp;盘货信息!$B:$B&amp;盘货信息!$C:$C,盘货信息!$L:$L)="否",_xlfn.XLOOKUP($A167&amp;$B167&amp;$C167,盘货信息!$A:$A&amp;盘货信息!$B:$B&amp;盘货信息!$C:$C,盘货信息!$L:$L)=""),_xlfn.XLOOKUP($A167&amp;$B167&amp;$C167,盘货信息!$A:$A&amp;盘货信息!$B:$B&amp;盘货信息!$C:$C,盘货信息!$M:$M)="是",_xlfn.XLOOKUP($A167&amp;$B167&amp;$C167,盘货信息!$A:$A&amp;盘货信息!$B:$B&amp;盘货信息!$C:$C,盘货信息!$K:$K)&gt;0),"【详情页领取】","")))</f>
        <v/>
      </c>
      <c r="M167" s="27" t="str" cm="1">
        <f t="array" ref="M167">IF($C167="","",IF(_xlfn.XLOOKUP($A167&amp;$B167&amp;$C167,盘货信息!$A:$A&amp;盘货信息!$B:$B&amp;盘货信息!$C:$C,盘货信息!$F:$F)&lt;1,"",_xlfn.XLOOKUP($A167&amp;$B167&amp;$C167,盘货信息!$A:$A&amp;盘货信息!$B:$B&amp;盘货信息!$C:$C,盘货信息!$F:$F)&amp;"元明卷"))</f>
        <v/>
      </c>
      <c r="N167" s="27" t="str">
        <f t="shared" si="5"/>
        <v/>
      </c>
      <c r="O167" s="27" t="str">
        <f>IF(I167="","","【消费券链接】"&amp;固定信息!$B$6)</f>
        <v/>
      </c>
    </row>
    <row r="168" customHeight="1" spans="1:15">
      <c r="A168" s="23" t="str">
        <f>IF(盘货信息!A168="","",盘货信息!A168)</f>
        <v/>
      </c>
      <c r="B168" s="26" t="str">
        <f>IF(盘货信息!B168="","",盘货信息!B168)</f>
        <v/>
      </c>
      <c r="C168" s="23" t="str">
        <f>IF(盘货信息!C168="","",盘货信息!C168)</f>
        <v/>
      </c>
      <c r="D168" s="27" t="str">
        <f t="shared" si="4"/>
        <v/>
      </c>
      <c r="E168" s="27" t="str" cm="1">
        <f t="array" ref="E168">IF($C168="","",IF(AND(OR(_xlfn.XLOOKUP($A168&amp;$B168&amp;$C168,盘货信息!$A:$A&amp;盘货信息!$B:$B&amp;盘货信息!$C:$C,盘货信息!$L:$L)="否",_xlfn.XLOOKUP($A168&amp;$B168&amp;$C168,盘货信息!$A:$A&amp;盘货信息!$B:$B&amp;盘货信息!$C:$C,盘货信息!$L:$L)=""),_xlfn.XLOOKUP($A168&amp;$B168&amp;$C168,盘货信息!$A:$A&amp;盘货信息!$B:$B&amp;盘货信息!$C:$C,盘货信息!$M:$M)="否"),"【预估到手价"&amp;_xlfn.XLOOKUP($A168&amp;$B168&amp;$C168,盘货信息!$A:$A&amp;盘货信息!$B:$B&amp;盘货信息!$C:$C,盘货信息!$D:$D)&amp;"元】",IF(AND(_xlfn.XLOOKUP($A168&amp;$B168&amp;$C168,盘货信息!$A:$A&amp;盘货信息!$B:$B&amp;盘货信息!$C:$C,盘货信息!$M:$M)="是",OR(_xlfn.XLOOKUP($A168&amp;$B168&amp;$C168,盘货信息!$A:$A&amp;盘货信息!$B:$B&amp;盘货信息!$C:$C,盘货信息!$L:$L)="否",_xlfn.XLOOKUP($A168&amp;$B168&amp;$C168,盘货信息!$A:$A&amp;盘货信息!$B:$B&amp;盘货信息!$C:$C,盘货信息!$L:$L)="")),"【预估到手价"&amp;_xlfn.XLOOKUP($A168&amp;$B168&amp;$C168,盘货信息!$A:$A&amp;盘货信息!$B:$B&amp;盘货信息!$C:$C,盘货信息!$D:$D)&amp;"元】"&amp;CHAR(10)&amp;"【焕新补贴预估价"&amp;ROUND(_xlfn.XLOOKUP($A168&amp;$B168&amp;$C168,盘货信息!$A:$A&amp;盘货信息!$B:$B&amp;盘货信息!$C:$C,盘货信息!$E:$E),0)&amp;"元】","【焕新补贴预估价"&amp;ROUND(_xlfn.XLOOKUP($A168&amp;$B168&amp;$C168,盘货信息!$A:$A&amp;盘货信息!$B:$B&amp;盘货信息!$C:$C,盘货信息!$E:$E),0)&amp;"元】")))</f>
        <v/>
      </c>
      <c r="F168" s="27" t="str" cm="1">
        <f t="array" ref="F168">IF($C168="","",_xlfn.XLOOKUP($A168&amp;$B168&amp;$C168,盘货信息!$A:$A&amp;盘货信息!$B:$B&amp;盘货信息!$C:$C,盘货信息!$D:$D)&amp;"元到手价")</f>
        <v/>
      </c>
      <c r="G168" s="27" t="str" cm="1">
        <f t="array" ref="G168">IF($C168="","",IF(_xlfn.XLOOKUP($A168&amp;$B168&amp;$C168,盘货信息!$A:$A&amp;盘货信息!$B:$B&amp;盘货信息!$C:$C,盘货信息!$G:$G)&lt;1,"",ROUND(_xlfn.XLOOKUP($A168&amp;$B168&amp;$C168,盘货信息!$A:$A&amp;盘货信息!$B:$B&amp;盘货信息!$C:$C,盘货信息!$G:$G),0)&amp;"元88VIP立减"))</f>
        <v/>
      </c>
      <c r="H168" s="27" t="str" cm="1">
        <f t="array" ref="H168">IF($C168="","",IF(_xlfn.XLOOKUP($A168&amp;$B168&amp;$C168,盘货信息!$A:$A&amp;盘货信息!$B:$B&amp;盘货信息!$C:$C,盘货信息!$I:$I)&lt;1,"",_xlfn.XLOOKUP($A168&amp;$B168&amp;$C168,盘货信息!$A:$A&amp;盘货信息!$B:$B&amp;盘货信息!$C:$C,盘货信息!$I:$I)&amp;"元惊喜立减"))</f>
        <v/>
      </c>
      <c r="I168" s="27" t="str" cm="1">
        <f t="array" ref="I168">IF($C168="","",IF(_xlfn.XLOOKUP($A168&amp;$B168&amp;$C168,盘货信息!$A:$A&amp;盘货信息!$B:$B&amp;盘货信息!$C:$C,盘货信息!$H:$H)&lt;1,"",ROUND(_xlfn.XLOOKUP($A168&amp;$B168&amp;$C168,盘货信息!$A:$A&amp;盘货信息!$B:$B&amp;盘货信息!$C:$C,盘货信息!$H:$H),0)&amp;"元消费券"))</f>
        <v/>
      </c>
      <c r="J168" s="27" t="str" cm="1">
        <f t="array" ref="J168">IF($C168="","",IF(_xlfn.XLOOKUP($A168&amp;$B168&amp;$C168,盘货信息!$A:$A&amp;盘货信息!$B:$B&amp;盘货信息!$C:$C,盘货信息!$J:$J)&lt;1,"",ROUND(_xlfn.XLOOKUP($A168&amp;$B168&amp;$C168,盘货信息!$A:$A&amp;盘货信息!$B:$B&amp;盘货信息!$C:$C,盘货信息!$J:$J),0)&amp;"元限时补贴"))</f>
        <v/>
      </c>
      <c r="K168" s="27" t="str" cm="1">
        <f t="array" ref="K168">IF($C168="","",IF(_xlfn.XLOOKUP($A168&amp;$B168&amp;$C168,盘货信息!$A:$A&amp;盘货信息!$B:$B&amp;盘货信息!$C:$C,盘货信息!$K:$K)&lt;1,"",ROUND(_xlfn.XLOOKUP($A168&amp;$B168&amp;$C168,盘货信息!$A:$A&amp;盘货信息!$B:$B&amp;盘货信息!$C:$C,盘货信息!$K:$K),0)&amp;"元预估焕新补贴"))</f>
        <v/>
      </c>
      <c r="L168" s="27" t="str" cm="1">
        <f t="array" ref="L168">IF($C168="","",IF(AND(_xlfn.XLOOKUP($A168&amp;$B168&amp;$C168,盘货信息!$A:$A&amp;盘货信息!$B:$B&amp;盘货信息!$C:$C,盘货信息!$L:$L)="是",_xlfn.XLOOKUP($A168&amp;$B168&amp;$C168,盘货信息!$A:$A&amp;盘货信息!$B:$B&amp;盘货信息!$C:$C,盘货信息!$M:$M)="是",_xlfn.XLOOKUP($A168&amp;$B168&amp;$C168,盘货信息!$A:$A&amp;盘货信息!$B:$B&amp;盘货信息!$C:$C,盘货信息!$K:$K)&gt;0),"【全民可用，不限地址】",IF(AND(OR(_xlfn.XLOOKUP($A168&amp;$B168&amp;$C168,盘货信息!$A:$A&amp;盘货信息!$B:$B&amp;盘货信息!$C:$C,盘货信息!$L:$L)="否",_xlfn.XLOOKUP($A168&amp;$B168&amp;$C168,盘货信息!$A:$A&amp;盘货信息!$B:$B&amp;盘货信息!$C:$C,盘货信息!$L:$L)=""),_xlfn.XLOOKUP($A168&amp;$B168&amp;$C168,盘货信息!$A:$A&amp;盘货信息!$B:$B&amp;盘货信息!$C:$C,盘货信息!$M:$M)="是",_xlfn.XLOOKUP($A168&amp;$B168&amp;$C168,盘货信息!$A:$A&amp;盘货信息!$B:$B&amp;盘货信息!$C:$C,盘货信息!$K:$K)&gt;0),"【详情页领取】","")))</f>
        <v/>
      </c>
      <c r="M168" s="27" t="str" cm="1">
        <f t="array" ref="M168">IF($C168="","",IF(_xlfn.XLOOKUP($A168&amp;$B168&amp;$C168,盘货信息!$A:$A&amp;盘货信息!$B:$B&amp;盘货信息!$C:$C,盘货信息!$F:$F)&lt;1,"",_xlfn.XLOOKUP($A168&amp;$B168&amp;$C168,盘货信息!$A:$A&amp;盘货信息!$B:$B&amp;盘货信息!$C:$C,盘货信息!$F:$F)&amp;"元明卷"))</f>
        <v/>
      </c>
      <c r="N168" s="27" t="str">
        <f t="shared" si="5"/>
        <v/>
      </c>
      <c r="O168" s="27" t="str">
        <f>IF(I168="","","【消费券链接】"&amp;固定信息!$B$6)</f>
        <v/>
      </c>
    </row>
    <row r="169" customHeight="1" spans="1:15">
      <c r="A169" s="23" t="str">
        <f>IF(盘货信息!A169="","",盘货信息!A169)</f>
        <v/>
      </c>
      <c r="B169" s="26" t="str">
        <f>IF(盘货信息!B169="","",盘货信息!B169)</f>
        <v/>
      </c>
      <c r="C169" s="23" t="str">
        <f>IF(盘货信息!C169="","",盘货信息!C169)</f>
        <v/>
      </c>
      <c r="D169" s="27" t="str">
        <f t="shared" si="4"/>
        <v/>
      </c>
      <c r="E169" s="27" t="str" cm="1">
        <f t="array" ref="E169">IF($C169="","",IF(AND(OR(_xlfn.XLOOKUP($A169&amp;$B169&amp;$C169,盘货信息!$A:$A&amp;盘货信息!$B:$B&amp;盘货信息!$C:$C,盘货信息!$L:$L)="否",_xlfn.XLOOKUP($A169&amp;$B169&amp;$C169,盘货信息!$A:$A&amp;盘货信息!$B:$B&amp;盘货信息!$C:$C,盘货信息!$L:$L)=""),_xlfn.XLOOKUP($A169&amp;$B169&amp;$C169,盘货信息!$A:$A&amp;盘货信息!$B:$B&amp;盘货信息!$C:$C,盘货信息!$M:$M)="否"),"【预估到手价"&amp;_xlfn.XLOOKUP($A169&amp;$B169&amp;$C169,盘货信息!$A:$A&amp;盘货信息!$B:$B&amp;盘货信息!$C:$C,盘货信息!$D:$D)&amp;"元】",IF(AND(_xlfn.XLOOKUP($A169&amp;$B169&amp;$C169,盘货信息!$A:$A&amp;盘货信息!$B:$B&amp;盘货信息!$C:$C,盘货信息!$M:$M)="是",OR(_xlfn.XLOOKUP($A169&amp;$B169&amp;$C169,盘货信息!$A:$A&amp;盘货信息!$B:$B&amp;盘货信息!$C:$C,盘货信息!$L:$L)="否",_xlfn.XLOOKUP($A169&amp;$B169&amp;$C169,盘货信息!$A:$A&amp;盘货信息!$B:$B&amp;盘货信息!$C:$C,盘货信息!$L:$L)="")),"【预估到手价"&amp;_xlfn.XLOOKUP($A169&amp;$B169&amp;$C169,盘货信息!$A:$A&amp;盘货信息!$B:$B&amp;盘货信息!$C:$C,盘货信息!$D:$D)&amp;"元】"&amp;CHAR(10)&amp;"【焕新补贴预估价"&amp;ROUND(_xlfn.XLOOKUP($A169&amp;$B169&amp;$C169,盘货信息!$A:$A&amp;盘货信息!$B:$B&amp;盘货信息!$C:$C,盘货信息!$E:$E),0)&amp;"元】","【焕新补贴预估价"&amp;ROUND(_xlfn.XLOOKUP($A169&amp;$B169&amp;$C169,盘货信息!$A:$A&amp;盘货信息!$B:$B&amp;盘货信息!$C:$C,盘货信息!$E:$E),0)&amp;"元】")))</f>
        <v/>
      </c>
      <c r="F169" s="27" t="str" cm="1">
        <f t="array" ref="F169">IF($C169="","",_xlfn.XLOOKUP($A169&amp;$B169&amp;$C169,盘货信息!$A:$A&amp;盘货信息!$B:$B&amp;盘货信息!$C:$C,盘货信息!$D:$D)&amp;"元到手价")</f>
        <v/>
      </c>
      <c r="G169" s="27" t="str" cm="1">
        <f t="array" ref="G169">IF($C169="","",IF(_xlfn.XLOOKUP($A169&amp;$B169&amp;$C169,盘货信息!$A:$A&amp;盘货信息!$B:$B&amp;盘货信息!$C:$C,盘货信息!$G:$G)&lt;1,"",ROUND(_xlfn.XLOOKUP($A169&amp;$B169&amp;$C169,盘货信息!$A:$A&amp;盘货信息!$B:$B&amp;盘货信息!$C:$C,盘货信息!$G:$G),0)&amp;"元88VIP立减"))</f>
        <v/>
      </c>
      <c r="H169" s="27" t="str" cm="1">
        <f t="array" ref="H169">IF($C169="","",IF(_xlfn.XLOOKUP($A169&amp;$B169&amp;$C169,盘货信息!$A:$A&amp;盘货信息!$B:$B&amp;盘货信息!$C:$C,盘货信息!$I:$I)&lt;1,"",_xlfn.XLOOKUP($A169&amp;$B169&amp;$C169,盘货信息!$A:$A&amp;盘货信息!$B:$B&amp;盘货信息!$C:$C,盘货信息!$I:$I)&amp;"元惊喜立减"))</f>
        <v/>
      </c>
      <c r="I169" s="27" t="str" cm="1">
        <f t="array" ref="I169">IF($C169="","",IF(_xlfn.XLOOKUP($A169&amp;$B169&amp;$C169,盘货信息!$A:$A&amp;盘货信息!$B:$B&amp;盘货信息!$C:$C,盘货信息!$H:$H)&lt;1,"",ROUND(_xlfn.XLOOKUP($A169&amp;$B169&amp;$C169,盘货信息!$A:$A&amp;盘货信息!$B:$B&amp;盘货信息!$C:$C,盘货信息!$H:$H),0)&amp;"元消费券"))</f>
        <v/>
      </c>
      <c r="J169" s="27" t="str" cm="1">
        <f t="array" ref="J169">IF($C169="","",IF(_xlfn.XLOOKUP($A169&amp;$B169&amp;$C169,盘货信息!$A:$A&amp;盘货信息!$B:$B&amp;盘货信息!$C:$C,盘货信息!$J:$J)&lt;1,"",ROUND(_xlfn.XLOOKUP($A169&amp;$B169&amp;$C169,盘货信息!$A:$A&amp;盘货信息!$B:$B&amp;盘货信息!$C:$C,盘货信息!$J:$J),0)&amp;"元限时补贴"))</f>
        <v/>
      </c>
      <c r="K169" s="27" t="str" cm="1">
        <f t="array" ref="K169">IF($C169="","",IF(_xlfn.XLOOKUP($A169&amp;$B169&amp;$C169,盘货信息!$A:$A&amp;盘货信息!$B:$B&amp;盘货信息!$C:$C,盘货信息!$K:$K)&lt;1,"",ROUND(_xlfn.XLOOKUP($A169&amp;$B169&amp;$C169,盘货信息!$A:$A&amp;盘货信息!$B:$B&amp;盘货信息!$C:$C,盘货信息!$K:$K),0)&amp;"元预估焕新补贴"))</f>
        <v/>
      </c>
      <c r="L169" s="27" t="str" cm="1">
        <f t="array" ref="L169">IF($C169="","",IF(AND(_xlfn.XLOOKUP($A169&amp;$B169&amp;$C169,盘货信息!$A:$A&amp;盘货信息!$B:$B&amp;盘货信息!$C:$C,盘货信息!$L:$L)="是",_xlfn.XLOOKUP($A169&amp;$B169&amp;$C169,盘货信息!$A:$A&amp;盘货信息!$B:$B&amp;盘货信息!$C:$C,盘货信息!$M:$M)="是",_xlfn.XLOOKUP($A169&amp;$B169&amp;$C169,盘货信息!$A:$A&amp;盘货信息!$B:$B&amp;盘货信息!$C:$C,盘货信息!$K:$K)&gt;0),"【全民可用，不限地址】",IF(AND(OR(_xlfn.XLOOKUP($A169&amp;$B169&amp;$C169,盘货信息!$A:$A&amp;盘货信息!$B:$B&amp;盘货信息!$C:$C,盘货信息!$L:$L)="否",_xlfn.XLOOKUP($A169&amp;$B169&amp;$C169,盘货信息!$A:$A&amp;盘货信息!$B:$B&amp;盘货信息!$C:$C,盘货信息!$L:$L)=""),_xlfn.XLOOKUP($A169&amp;$B169&amp;$C169,盘货信息!$A:$A&amp;盘货信息!$B:$B&amp;盘货信息!$C:$C,盘货信息!$M:$M)="是",_xlfn.XLOOKUP($A169&amp;$B169&amp;$C169,盘货信息!$A:$A&amp;盘货信息!$B:$B&amp;盘货信息!$C:$C,盘货信息!$K:$K)&gt;0),"【详情页领取】","")))</f>
        <v/>
      </c>
      <c r="M169" s="27" t="str" cm="1">
        <f t="array" ref="M169">IF($C169="","",IF(_xlfn.XLOOKUP($A169&amp;$B169&amp;$C169,盘货信息!$A:$A&amp;盘货信息!$B:$B&amp;盘货信息!$C:$C,盘货信息!$F:$F)&lt;1,"",_xlfn.XLOOKUP($A169&amp;$B169&amp;$C169,盘货信息!$A:$A&amp;盘货信息!$B:$B&amp;盘货信息!$C:$C,盘货信息!$F:$F)&amp;"元明卷"))</f>
        <v/>
      </c>
      <c r="N169" s="27" t="str">
        <f t="shared" si="5"/>
        <v/>
      </c>
      <c r="O169" s="27" t="str">
        <f>IF(I169="","","【消费券链接】"&amp;固定信息!$B$6)</f>
        <v/>
      </c>
    </row>
    <row r="170" customHeight="1" spans="1:15">
      <c r="A170" s="23" t="str">
        <f>IF(盘货信息!A170="","",盘货信息!A170)</f>
        <v/>
      </c>
      <c r="B170" s="26" t="str">
        <f>IF(盘货信息!B170="","",盘货信息!B170)</f>
        <v/>
      </c>
      <c r="C170" s="23" t="str">
        <f>IF(盘货信息!C170="","",盘货信息!C170)</f>
        <v/>
      </c>
      <c r="D170" s="27" t="str">
        <f t="shared" si="4"/>
        <v/>
      </c>
      <c r="E170" s="27" t="str" cm="1">
        <f t="array" ref="E170">IF($C170="","",IF(AND(OR(_xlfn.XLOOKUP($A170&amp;$B170&amp;$C170,盘货信息!$A:$A&amp;盘货信息!$B:$B&amp;盘货信息!$C:$C,盘货信息!$L:$L)="否",_xlfn.XLOOKUP($A170&amp;$B170&amp;$C170,盘货信息!$A:$A&amp;盘货信息!$B:$B&amp;盘货信息!$C:$C,盘货信息!$L:$L)=""),_xlfn.XLOOKUP($A170&amp;$B170&amp;$C170,盘货信息!$A:$A&amp;盘货信息!$B:$B&amp;盘货信息!$C:$C,盘货信息!$M:$M)="否"),"【预估到手价"&amp;_xlfn.XLOOKUP($A170&amp;$B170&amp;$C170,盘货信息!$A:$A&amp;盘货信息!$B:$B&amp;盘货信息!$C:$C,盘货信息!$D:$D)&amp;"元】",IF(AND(_xlfn.XLOOKUP($A170&amp;$B170&amp;$C170,盘货信息!$A:$A&amp;盘货信息!$B:$B&amp;盘货信息!$C:$C,盘货信息!$M:$M)="是",OR(_xlfn.XLOOKUP($A170&amp;$B170&amp;$C170,盘货信息!$A:$A&amp;盘货信息!$B:$B&amp;盘货信息!$C:$C,盘货信息!$L:$L)="否",_xlfn.XLOOKUP($A170&amp;$B170&amp;$C170,盘货信息!$A:$A&amp;盘货信息!$B:$B&amp;盘货信息!$C:$C,盘货信息!$L:$L)="")),"【预估到手价"&amp;_xlfn.XLOOKUP($A170&amp;$B170&amp;$C170,盘货信息!$A:$A&amp;盘货信息!$B:$B&amp;盘货信息!$C:$C,盘货信息!$D:$D)&amp;"元】"&amp;CHAR(10)&amp;"【焕新补贴预估价"&amp;ROUND(_xlfn.XLOOKUP($A170&amp;$B170&amp;$C170,盘货信息!$A:$A&amp;盘货信息!$B:$B&amp;盘货信息!$C:$C,盘货信息!$E:$E),0)&amp;"元】","【焕新补贴预估价"&amp;ROUND(_xlfn.XLOOKUP($A170&amp;$B170&amp;$C170,盘货信息!$A:$A&amp;盘货信息!$B:$B&amp;盘货信息!$C:$C,盘货信息!$E:$E),0)&amp;"元】")))</f>
        <v/>
      </c>
      <c r="F170" s="27" t="str" cm="1">
        <f t="array" ref="F170">IF($C170="","",_xlfn.XLOOKUP($A170&amp;$B170&amp;$C170,盘货信息!$A:$A&amp;盘货信息!$B:$B&amp;盘货信息!$C:$C,盘货信息!$D:$D)&amp;"元到手价")</f>
        <v/>
      </c>
      <c r="G170" s="27" t="str" cm="1">
        <f t="array" ref="G170">IF($C170="","",IF(_xlfn.XLOOKUP($A170&amp;$B170&amp;$C170,盘货信息!$A:$A&amp;盘货信息!$B:$B&amp;盘货信息!$C:$C,盘货信息!$G:$G)&lt;1,"",ROUND(_xlfn.XLOOKUP($A170&amp;$B170&amp;$C170,盘货信息!$A:$A&amp;盘货信息!$B:$B&amp;盘货信息!$C:$C,盘货信息!$G:$G),0)&amp;"元88VIP立减"))</f>
        <v/>
      </c>
      <c r="H170" s="27" t="str" cm="1">
        <f t="array" ref="H170">IF($C170="","",IF(_xlfn.XLOOKUP($A170&amp;$B170&amp;$C170,盘货信息!$A:$A&amp;盘货信息!$B:$B&amp;盘货信息!$C:$C,盘货信息!$I:$I)&lt;1,"",_xlfn.XLOOKUP($A170&amp;$B170&amp;$C170,盘货信息!$A:$A&amp;盘货信息!$B:$B&amp;盘货信息!$C:$C,盘货信息!$I:$I)&amp;"元惊喜立减"))</f>
        <v/>
      </c>
      <c r="I170" s="27" t="str" cm="1">
        <f t="array" ref="I170">IF($C170="","",IF(_xlfn.XLOOKUP($A170&amp;$B170&amp;$C170,盘货信息!$A:$A&amp;盘货信息!$B:$B&amp;盘货信息!$C:$C,盘货信息!$H:$H)&lt;1,"",ROUND(_xlfn.XLOOKUP($A170&amp;$B170&amp;$C170,盘货信息!$A:$A&amp;盘货信息!$B:$B&amp;盘货信息!$C:$C,盘货信息!$H:$H),0)&amp;"元消费券"))</f>
        <v/>
      </c>
      <c r="J170" s="27" t="str" cm="1">
        <f t="array" ref="J170">IF($C170="","",IF(_xlfn.XLOOKUP($A170&amp;$B170&amp;$C170,盘货信息!$A:$A&amp;盘货信息!$B:$B&amp;盘货信息!$C:$C,盘货信息!$J:$J)&lt;1,"",ROUND(_xlfn.XLOOKUP($A170&amp;$B170&amp;$C170,盘货信息!$A:$A&amp;盘货信息!$B:$B&amp;盘货信息!$C:$C,盘货信息!$J:$J),0)&amp;"元限时补贴"))</f>
        <v/>
      </c>
      <c r="K170" s="27" t="str" cm="1">
        <f t="array" ref="K170">IF($C170="","",IF(_xlfn.XLOOKUP($A170&amp;$B170&amp;$C170,盘货信息!$A:$A&amp;盘货信息!$B:$B&amp;盘货信息!$C:$C,盘货信息!$K:$K)&lt;1,"",ROUND(_xlfn.XLOOKUP($A170&amp;$B170&amp;$C170,盘货信息!$A:$A&amp;盘货信息!$B:$B&amp;盘货信息!$C:$C,盘货信息!$K:$K),0)&amp;"元预估焕新补贴"))</f>
        <v/>
      </c>
      <c r="L170" s="27" t="str" cm="1">
        <f t="array" ref="L170">IF($C170="","",IF(AND(_xlfn.XLOOKUP($A170&amp;$B170&amp;$C170,盘货信息!$A:$A&amp;盘货信息!$B:$B&amp;盘货信息!$C:$C,盘货信息!$L:$L)="是",_xlfn.XLOOKUP($A170&amp;$B170&amp;$C170,盘货信息!$A:$A&amp;盘货信息!$B:$B&amp;盘货信息!$C:$C,盘货信息!$M:$M)="是",_xlfn.XLOOKUP($A170&amp;$B170&amp;$C170,盘货信息!$A:$A&amp;盘货信息!$B:$B&amp;盘货信息!$C:$C,盘货信息!$K:$K)&gt;0),"【全民可用，不限地址】",IF(AND(OR(_xlfn.XLOOKUP($A170&amp;$B170&amp;$C170,盘货信息!$A:$A&amp;盘货信息!$B:$B&amp;盘货信息!$C:$C,盘货信息!$L:$L)="否",_xlfn.XLOOKUP($A170&amp;$B170&amp;$C170,盘货信息!$A:$A&amp;盘货信息!$B:$B&amp;盘货信息!$C:$C,盘货信息!$L:$L)=""),_xlfn.XLOOKUP($A170&amp;$B170&amp;$C170,盘货信息!$A:$A&amp;盘货信息!$B:$B&amp;盘货信息!$C:$C,盘货信息!$M:$M)="是",_xlfn.XLOOKUP($A170&amp;$B170&amp;$C170,盘货信息!$A:$A&amp;盘货信息!$B:$B&amp;盘货信息!$C:$C,盘货信息!$K:$K)&gt;0),"【详情页领取】","")))</f>
        <v/>
      </c>
      <c r="M170" s="27" t="str" cm="1">
        <f t="array" ref="M170">IF($C170="","",IF(_xlfn.XLOOKUP($A170&amp;$B170&amp;$C170,盘货信息!$A:$A&amp;盘货信息!$B:$B&amp;盘货信息!$C:$C,盘货信息!$F:$F)&lt;1,"",_xlfn.XLOOKUP($A170&amp;$B170&amp;$C170,盘货信息!$A:$A&amp;盘货信息!$B:$B&amp;盘货信息!$C:$C,盘货信息!$F:$F)&amp;"元明卷"))</f>
        <v/>
      </c>
      <c r="N170" s="27" t="str">
        <f t="shared" si="5"/>
        <v/>
      </c>
      <c r="O170" s="27" t="str">
        <f>IF(I170="","","【消费券链接】"&amp;固定信息!$B$6)</f>
        <v/>
      </c>
    </row>
    <row r="171" customHeight="1" spans="1:15">
      <c r="A171" s="23" t="str">
        <f>IF(盘货信息!A171="","",盘货信息!A171)</f>
        <v/>
      </c>
      <c r="B171" s="26" t="str">
        <f>IF(盘货信息!B171="","",盘货信息!B171)</f>
        <v/>
      </c>
      <c r="C171" s="23" t="str">
        <f>IF(盘货信息!C171="","",盘货信息!C171)</f>
        <v/>
      </c>
      <c r="D171" s="27" t="str">
        <f t="shared" si="4"/>
        <v/>
      </c>
      <c r="E171" s="27" t="str" cm="1">
        <f t="array" ref="E171">IF($C171="","",IF(AND(OR(_xlfn.XLOOKUP($A171&amp;$B171&amp;$C171,盘货信息!$A:$A&amp;盘货信息!$B:$B&amp;盘货信息!$C:$C,盘货信息!$L:$L)="否",_xlfn.XLOOKUP($A171&amp;$B171&amp;$C171,盘货信息!$A:$A&amp;盘货信息!$B:$B&amp;盘货信息!$C:$C,盘货信息!$L:$L)=""),_xlfn.XLOOKUP($A171&amp;$B171&amp;$C171,盘货信息!$A:$A&amp;盘货信息!$B:$B&amp;盘货信息!$C:$C,盘货信息!$M:$M)="否"),"【预估到手价"&amp;_xlfn.XLOOKUP($A171&amp;$B171&amp;$C171,盘货信息!$A:$A&amp;盘货信息!$B:$B&amp;盘货信息!$C:$C,盘货信息!$D:$D)&amp;"元】",IF(AND(_xlfn.XLOOKUP($A171&amp;$B171&amp;$C171,盘货信息!$A:$A&amp;盘货信息!$B:$B&amp;盘货信息!$C:$C,盘货信息!$M:$M)="是",OR(_xlfn.XLOOKUP($A171&amp;$B171&amp;$C171,盘货信息!$A:$A&amp;盘货信息!$B:$B&amp;盘货信息!$C:$C,盘货信息!$L:$L)="否",_xlfn.XLOOKUP($A171&amp;$B171&amp;$C171,盘货信息!$A:$A&amp;盘货信息!$B:$B&amp;盘货信息!$C:$C,盘货信息!$L:$L)="")),"【预估到手价"&amp;_xlfn.XLOOKUP($A171&amp;$B171&amp;$C171,盘货信息!$A:$A&amp;盘货信息!$B:$B&amp;盘货信息!$C:$C,盘货信息!$D:$D)&amp;"元】"&amp;CHAR(10)&amp;"【焕新补贴预估价"&amp;ROUND(_xlfn.XLOOKUP($A171&amp;$B171&amp;$C171,盘货信息!$A:$A&amp;盘货信息!$B:$B&amp;盘货信息!$C:$C,盘货信息!$E:$E),0)&amp;"元】","【焕新补贴预估价"&amp;ROUND(_xlfn.XLOOKUP($A171&amp;$B171&amp;$C171,盘货信息!$A:$A&amp;盘货信息!$B:$B&amp;盘货信息!$C:$C,盘货信息!$E:$E),0)&amp;"元】")))</f>
        <v/>
      </c>
      <c r="F171" s="27" t="str" cm="1">
        <f t="array" ref="F171">IF($C171="","",_xlfn.XLOOKUP($A171&amp;$B171&amp;$C171,盘货信息!$A:$A&amp;盘货信息!$B:$B&amp;盘货信息!$C:$C,盘货信息!$D:$D)&amp;"元到手价")</f>
        <v/>
      </c>
      <c r="G171" s="27" t="str" cm="1">
        <f t="array" ref="G171">IF($C171="","",IF(_xlfn.XLOOKUP($A171&amp;$B171&amp;$C171,盘货信息!$A:$A&amp;盘货信息!$B:$B&amp;盘货信息!$C:$C,盘货信息!$G:$G)&lt;1,"",ROUND(_xlfn.XLOOKUP($A171&amp;$B171&amp;$C171,盘货信息!$A:$A&amp;盘货信息!$B:$B&amp;盘货信息!$C:$C,盘货信息!$G:$G),0)&amp;"元88VIP立减"))</f>
        <v/>
      </c>
      <c r="H171" s="27" t="str" cm="1">
        <f t="array" ref="H171">IF($C171="","",IF(_xlfn.XLOOKUP($A171&amp;$B171&amp;$C171,盘货信息!$A:$A&amp;盘货信息!$B:$B&amp;盘货信息!$C:$C,盘货信息!$I:$I)&lt;1,"",_xlfn.XLOOKUP($A171&amp;$B171&amp;$C171,盘货信息!$A:$A&amp;盘货信息!$B:$B&amp;盘货信息!$C:$C,盘货信息!$I:$I)&amp;"元惊喜立减"))</f>
        <v/>
      </c>
      <c r="I171" s="27" t="str" cm="1">
        <f t="array" ref="I171">IF($C171="","",IF(_xlfn.XLOOKUP($A171&amp;$B171&amp;$C171,盘货信息!$A:$A&amp;盘货信息!$B:$B&amp;盘货信息!$C:$C,盘货信息!$H:$H)&lt;1,"",ROUND(_xlfn.XLOOKUP($A171&amp;$B171&amp;$C171,盘货信息!$A:$A&amp;盘货信息!$B:$B&amp;盘货信息!$C:$C,盘货信息!$H:$H),0)&amp;"元消费券"))</f>
        <v/>
      </c>
      <c r="J171" s="27" t="str" cm="1">
        <f t="array" ref="J171">IF($C171="","",IF(_xlfn.XLOOKUP($A171&amp;$B171&amp;$C171,盘货信息!$A:$A&amp;盘货信息!$B:$B&amp;盘货信息!$C:$C,盘货信息!$J:$J)&lt;1,"",ROUND(_xlfn.XLOOKUP($A171&amp;$B171&amp;$C171,盘货信息!$A:$A&amp;盘货信息!$B:$B&amp;盘货信息!$C:$C,盘货信息!$J:$J),0)&amp;"元限时补贴"))</f>
        <v/>
      </c>
      <c r="K171" s="27" t="str" cm="1">
        <f t="array" ref="K171">IF($C171="","",IF(_xlfn.XLOOKUP($A171&amp;$B171&amp;$C171,盘货信息!$A:$A&amp;盘货信息!$B:$B&amp;盘货信息!$C:$C,盘货信息!$K:$K)&lt;1,"",ROUND(_xlfn.XLOOKUP($A171&amp;$B171&amp;$C171,盘货信息!$A:$A&amp;盘货信息!$B:$B&amp;盘货信息!$C:$C,盘货信息!$K:$K),0)&amp;"元预估焕新补贴"))</f>
        <v/>
      </c>
      <c r="L171" s="27" t="str" cm="1">
        <f t="array" ref="L171">IF($C171="","",IF(AND(_xlfn.XLOOKUP($A171&amp;$B171&amp;$C171,盘货信息!$A:$A&amp;盘货信息!$B:$B&amp;盘货信息!$C:$C,盘货信息!$L:$L)="是",_xlfn.XLOOKUP($A171&amp;$B171&amp;$C171,盘货信息!$A:$A&amp;盘货信息!$B:$B&amp;盘货信息!$C:$C,盘货信息!$M:$M)="是",_xlfn.XLOOKUP($A171&amp;$B171&amp;$C171,盘货信息!$A:$A&amp;盘货信息!$B:$B&amp;盘货信息!$C:$C,盘货信息!$K:$K)&gt;0),"【全民可用，不限地址】",IF(AND(OR(_xlfn.XLOOKUP($A171&amp;$B171&amp;$C171,盘货信息!$A:$A&amp;盘货信息!$B:$B&amp;盘货信息!$C:$C,盘货信息!$L:$L)="否",_xlfn.XLOOKUP($A171&amp;$B171&amp;$C171,盘货信息!$A:$A&amp;盘货信息!$B:$B&amp;盘货信息!$C:$C,盘货信息!$L:$L)=""),_xlfn.XLOOKUP($A171&amp;$B171&amp;$C171,盘货信息!$A:$A&amp;盘货信息!$B:$B&amp;盘货信息!$C:$C,盘货信息!$M:$M)="是",_xlfn.XLOOKUP($A171&amp;$B171&amp;$C171,盘货信息!$A:$A&amp;盘货信息!$B:$B&amp;盘货信息!$C:$C,盘货信息!$K:$K)&gt;0),"【详情页领取】","")))</f>
        <v/>
      </c>
      <c r="M171" s="27" t="str" cm="1">
        <f t="array" ref="M171">IF($C171="","",IF(_xlfn.XLOOKUP($A171&amp;$B171&amp;$C171,盘货信息!$A:$A&amp;盘货信息!$B:$B&amp;盘货信息!$C:$C,盘货信息!$F:$F)&lt;1,"",_xlfn.XLOOKUP($A171&amp;$B171&amp;$C171,盘货信息!$A:$A&amp;盘货信息!$B:$B&amp;盘货信息!$C:$C,盘货信息!$F:$F)&amp;"元明卷"))</f>
        <v/>
      </c>
      <c r="N171" s="27" t="str">
        <f t="shared" si="5"/>
        <v/>
      </c>
      <c r="O171" s="27" t="str">
        <f>IF(I171="","","【消费券链接】"&amp;固定信息!$B$6)</f>
        <v/>
      </c>
    </row>
    <row r="172" customHeight="1" spans="1:15">
      <c r="A172" s="23" t="str">
        <f>IF(盘货信息!A172="","",盘货信息!A172)</f>
        <v/>
      </c>
      <c r="B172" s="26" t="str">
        <f>IF(盘货信息!B172="","",盘货信息!B172)</f>
        <v/>
      </c>
      <c r="C172" s="23" t="str">
        <f>IF(盘货信息!C172="","",盘货信息!C172)</f>
        <v/>
      </c>
      <c r="D172" s="27" t="str">
        <f t="shared" si="4"/>
        <v/>
      </c>
      <c r="E172" s="27" t="str" cm="1">
        <f t="array" ref="E172">IF($C172="","",IF(AND(OR(_xlfn.XLOOKUP($A172&amp;$B172&amp;$C172,盘货信息!$A:$A&amp;盘货信息!$B:$B&amp;盘货信息!$C:$C,盘货信息!$L:$L)="否",_xlfn.XLOOKUP($A172&amp;$B172&amp;$C172,盘货信息!$A:$A&amp;盘货信息!$B:$B&amp;盘货信息!$C:$C,盘货信息!$L:$L)=""),_xlfn.XLOOKUP($A172&amp;$B172&amp;$C172,盘货信息!$A:$A&amp;盘货信息!$B:$B&amp;盘货信息!$C:$C,盘货信息!$M:$M)="否"),"【预估到手价"&amp;_xlfn.XLOOKUP($A172&amp;$B172&amp;$C172,盘货信息!$A:$A&amp;盘货信息!$B:$B&amp;盘货信息!$C:$C,盘货信息!$D:$D)&amp;"元】",IF(AND(_xlfn.XLOOKUP($A172&amp;$B172&amp;$C172,盘货信息!$A:$A&amp;盘货信息!$B:$B&amp;盘货信息!$C:$C,盘货信息!$M:$M)="是",OR(_xlfn.XLOOKUP($A172&amp;$B172&amp;$C172,盘货信息!$A:$A&amp;盘货信息!$B:$B&amp;盘货信息!$C:$C,盘货信息!$L:$L)="否",_xlfn.XLOOKUP($A172&amp;$B172&amp;$C172,盘货信息!$A:$A&amp;盘货信息!$B:$B&amp;盘货信息!$C:$C,盘货信息!$L:$L)="")),"【预估到手价"&amp;_xlfn.XLOOKUP($A172&amp;$B172&amp;$C172,盘货信息!$A:$A&amp;盘货信息!$B:$B&amp;盘货信息!$C:$C,盘货信息!$D:$D)&amp;"元】"&amp;CHAR(10)&amp;"【焕新补贴预估价"&amp;ROUND(_xlfn.XLOOKUP($A172&amp;$B172&amp;$C172,盘货信息!$A:$A&amp;盘货信息!$B:$B&amp;盘货信息!$C:$C,盘货信息!$E:$E),0)&amp;"元】","【焕新补贴预估价"&amp;ROUND(_xlfn.XLOOKUP($A172&amp;$B172&amp;$C172,盘货信息!$A:$A&amp;盘货信息!$B:$B&amp;盘货信息!$C:$C,盘货信息!$E:$E),0)&amp;"元】")))</f>
        <v/>
      </c>
      <c r="F172" s="27" t="str" cm="1">
        <f t="array" ref="F172">IF($C172="","",_xlfn.XLOOKUP($A172&amp;$B172&amp;$C172,盘货信息!$A:$A&amp;盘货信息!$B:$B&amp;盘货信息!$C:$C,盘货信息!$D:$D)&amp;"元到手价")</f>
        <v/>
      </c>
      <c r="G172" s="27" t="str" cm="1">
        <f t="array" ref="G172">IF($C172="","",IF(_xlfn.XLOOKUP($A172&amp;$B172&amp;$C172,盘货信息!$A:$A&amp;盘货信息!$B:$B&amp;盘货信息!$C:$C,盘货信息!$G:$G)&lt;1,"",ROUND(_xlfn.XLOOKUP($A172&amp;$B172&amp;$C172,盘货信息!$A:$A&amp;盘货信息!$B:$B&amp;盘货信息!$C:$C,盘货信息!$G:$G),0)&amp;"元88VIP立减"))</f>
        <v/>
      </c>
      <c r="H172" s="27" t="str" cm="1">
        <f t="array" ref="H172">IF($C172="","",IF(_xlfn.XLOOKUP($A172&amp;$B172&amp;$C172,盘货信息!$A:$A&amp;盘货信息!$B:$B&amp;盘货信息!$C:$C,盘货信息!$I:$I)&lt;1,"",_xlfn.XLOOKUP($A172&amp;$B172&amp;$C172,盘货信息!$A:$A&amp;盘货信息!$B:$B&amp;盘货信息!$C:$C,盘货信息!$I:$I)&amp;"元惊喜立减"))</f>
        <v/>
      </c>
      <c r="I172" s="27" t="str" cm="1">
        <f t="array" ref="I172">IF($C172="","",IF(_xlfn.XLOOKUP($A172&amp;$B172&amp;$C172,盘货信息!$A:$A&amp;盘货信息!$B:$B&amp;盘货信息!$C:$C,盘货信息!$H:$H)&lt;1,"",ROUND(_xlfn.XLOOKUP($A172&amp;$B172&amp;$C172,盘货信息!$A:$A&amp;盘货信息!$B:$B&amp;盘货信息!$C:$C,盘货信息!$H:$H),0)&amp;"元消费券"))</f>
        <v/>
      </c>
      <c r="J172" s="27" t="str" cm="1">
        <f t="array" ref="J172">IF($C172="","",IF(_xlfn.XLOOKUP($A172&amp;$B172&amp;$C172,盘货信息!$A:$A&amp;盘货信息!$B:$B&amp;盘货信息!$C:$C,盘货信息!$J:$J)&lt;1,"",ROUND(_xlfn.XLOOKUP($A172&amp;$B172&amp;$C172,盘货信息!$A:$A&amp;盘货信息!$B:$B&amp;盘货信息!$C:$C,盘货信息!$J:$J),0)&amp;"元限时补贴"))</f>
        <v/>
      </c>
      <c r="K172" s="27" t="str" cm="1">
        <f t="array" ref="K172">IF($C172="","",IF(_xlfn.XLOOKUP($A172&amp;$B172&amp;$C172,盘货信息!$A:$A&amp;盘货信息!$B:$B&amp;盘货信息!$C:$C,盘货信息!$K:$K)&lt;1,"",ROUND(_xlfn.XLOOKUP($A172&amp;$B172&amp;$C172,盘货信息!$A:$A&amp;盘货信息!$B:$B&amp;盘货信息!$C:$C,盘货信息!$K:$K),0)&amp;"元预估焕新补贴"))</f>
        <v/>
      </c>
      <c r="L172" s="27" t="str" cm="1">
        <f t="array" ref="L172">IF($C172="","",IF(AND(_xlfn.XLOOKUP($A172&amp;$B172&amp;$C172,盘货信息!$A:$A&amp;盘货信息!$B:$B&amp;盘货信息!$C:$C,盘货信息!$L:$L)="是",_xlfn.XLOOKUP($A172&amp;$B172&amp;$C172,盘货信息!$A:$A&amp;盘货信息!$B:$B&amp;盘货信息!$C:$C,盘货信息!$M:$M)="是",_xlfn.XLOOKUP($A172&amp;$B172&amp;$C172,盘货信息!$A:$A&amp;盘货信息!$B:$B&amp;盘货信息!$C:$C,盘货信息!$K:$K)&gt;0),"【全民可用，不限地址】",IF(AND(OR(_xlfn.XLOOKUP($A172&amp;$B172&amp;$C172,盘货信息!$A:$A&amp;盘货信息!$B:$B&amp;盘货信息!$C:$C,盘货信息!$L:$L)="否",_xlfn.XLOOKUP($A172&amp;$B172&amp;$C172,盘货信息!$A:$A&amp;盘货信息!$B:$B&amp;盘货信息!$C:$C,盘货信息!$L:$L)=""),_xlfn.XLOOKUP($A172&amp;$B172&amp;$C172,盘货信息!$A:$A&amp;盘货信息!$B:$B&amp;盘货信息!$C:$C,盘货信息!$M:$M)="是",_xlfn.XLOOKUP($A172&amp;$B172&amp;$C172,盘货信息!$A:$A&amp;盘货信息!$B:$B&amp;盘货信息!$C:$C,盘货信息!$K:$K)&gt;0),"【详情页领取】","")))</f>
        <v/>
      </c>
      <c r="M172" s="27" t="str" cm="1">
        <f t="array" ref="M172">IF($C172="","",IF(_xlfn.XLOOKUP($A172&amp;$B172&amp;$C172,盘货信息!$A:$A&amp;盘货信息!$B:$B&amp;盘货信息!$C:$C,盘货信息!$F:$F)&lt;1,"",_xlfn.XLOOKUP($A172&amp;$B172&amp;$C172,盘货信息!$A:$A&amp;盘货信息!$B:$B&amp;盘货信息!$C:$C,盘货信息!$F:$F)&amp;"元明卷"))</f>
        <v/>
      </c>
      <c r="N172" s="27" t="str">
        <f t="shared" si="5"/>
        <v/>
      </c>
      <c r="O172" s="27" t="str">
        <f>IF(I172="","","【消费券链接】"&amp;固定信息!$B$6)</f>
        <v/>
      </c>
    </row>
    <row r="173" customHeight="1" spans="1:15">
      <c r="A173" s="23" t="str">
        <f>IF(盘货信息!A173="","",盘货信息!A173)</f>
        <v/>
      </c>
      <c r="B173" s="26" t="str">
        <f>IF(盘货信息!B173="","",盘货信息!B173)</f>
        <v/>
      </c>
      <c r="C173" s="23" t="str">
        <f>IF(盘货信息!C173="","",盘货信息!C173)</f>
        <v/>
      </c>
      <c r="D173" s="27" t="str">
        <f t="shared" si="4"/>
        <v/>
      </c>
      <c r="E173" s="27" t="str" cm="1">
        <f t="array" ref="E173">IF($C173="","",IF(AND(OR(_xlfn.XLOOKUP($A173&amp;$B173&amp;$C173,盘货信息!$A:$A&amp;盘货信息!$B:$B&amp;盘货信息!$C:$C,盘货信息!$L:$L)="否",_xlfn.XLOOKUP($A173&amp;$B173&amp;$C173,盘货信息!$A:$A&amp;盘货信息!$B:$B&amp;盘货信息!$C:$C,盘货信息!$L:$L)=""),_xlfn.XLOOKUP($A173&amp;$B173&amp;$C173,盘货信息!$A:$A&amp;盘货信息!$B:$B&amp;盘货信息!$C:$C,盘货信息!$M:$M)="否"),"【预估到手价"&amp;_xlfn.XLOOKUP($A173&amp;$B173&amp;$C173,盘货信息!$A:$A&amp;盘货信息!$B:$B&amp;盘货信息!$C:$C,盘货信息!$D:$D)&amp;"元】",IF(AND(_xlfn.XLOOKUP($A173&amp;$B173&amp;$C173,盘货信息!$A:$A&amp;盘货信息!$B:$B&amp;盘货信息!$C:$C,盘货信息!$M:$M)="是",OR(_xlfn.XLOOKUP($A173&amp;$B173&amp;$C173,盘货信息!$A:$A&amp;盘货信息!$B:$B&amp;盘货信息!$C:$C,盘货信息!$L:$L)="否",_xlfn.XLOOKUP($A173&amp;$B173&amp;$C173,盘货信息!$A:$A&amp;盘货信息!$B:$B&amp;盘货信息!$C:$C,盘货信息!$L:$L)="")),"【预估到手价"&amp;_xlfn.XLOOKUP($A173&amp;$B173&amp;$C173,盘货信息!$A:$A&amp;盘货信息!$B:$B&amp;盘货信息!$C:$C,盘货信息!$D:$D)&amp;"元】"&amp;CHAR(10)&amp;"【焕新补贴预估价"&amp;ROUND(_xlfn.XLOOKUP($A173&amp;$B173&amp;$C173,盘货信息!$A:$A&amp;盘货信息!$B:$B&amp;盘货信息!$C:$C,盘货信息!$E:$E),0)&amp;"元】","【焕新补贴预估价"&amp;ROUND(_xlfn.XLOOKUP($A173&amp;$B173&amp;$C173,盘货信息!$A:$A&amp;盘货信息!$B:$B&amp;盘货信息!$C:$C,盘货信息!$E:$E),0)&amp;"元】")))</f>
        <v/>
      </c>
      <c r="F173" s="27" t="str" cm="1">
        <f t="array" ref="F173">IF($C173="","",_xlfn.XLOOKUP($A173&amp;$B173&amp;$C173,盘货信息!$A:$A&amp;盘货信息!$B:$B&amp;盘货信息!$C:$C,盘货信息!$D:$D)&amp;"元到手价")</f>
        <v/>
      </c>
      <c r="G173" s="27" t="str" cm="1">
        <f t="array" ref="G173">IF($C173="","",IF(_xlfn.XLOOKUP($A173&amp;$B173&amp;$C173,盘货信息!$A:$A&amp;盘货信息!$B:$B&amp;盘货信息!$C:$C,盘货信息!$G:$G)&lt;1,"",ROUND(_xlfn.XLOOKUP($A173&amp;$B173&amp;$C173,盘货信息!$A:$A&amp;盘货信息!$B:$B&amp;盘货信息!$C:$C,盘货信息!$G:$G),0)&amp;"元88VIP立减"))</f>
        <v/>
      </c>
      <c r="H173" s="27" t="str" cm="1">
        <f t="array" ref="H173">IF($C173="","",IF(_xlfn.XLOOKUP($A173&amp;$B173&amp;$C173,盘货信息!$A:$A&amp;盘货信息!$B:$B&amp;盘货信息!$C:$C,盘货信息!$I:$I)&lt;1,"",_xlfn.XLOOKUP($A173&amp;$B173&amp;$C173,盘货信息!$A:$A&amp;盘货信息!$B:$B&amp;盘货信息!$C:$C,盘货信息!$I:$I)&amp;"元惊喜立减"))</f>
        <v/>
      </c>
      <c r="I173" s="27" t="str" cm="1">
        <f t="array" ref="I173">IF($C173="","",IF(_xlfn.XLOOKUP($A173&amp;$B173&amp;$C173,盘货信息!$A:$A&amp;盘货信息!$B:$B&amp;盘货信息!$C:$C,盘货信息!$H:$H)&lt;1,"",ROUND(_xlfn.XLOOKUP($A173&amp;$B173&amp;$C173,盘货信息!$A:$A&amp;盘货信息!$B:$B&amp;盘货信息!$C:$C,盘货信息!$H:$H),0)&amp;"元消费券"))</f>
        <v/>
      </c>
      <c r="J173" s="27" t="str" cm="1">
        <f t="array" ref="J173">IF($C173="","",IF(_xlfn.XLOOKUP($A173&amp;$B173&amp;$C173,盘货信息!$A:$A&amp;盘货信息!$B:$B&amp;盘货信息!$C:$C,盘货信息!$J:$J)&lt;1,"",ROUND(_xlfn.XLOOKUP($A173&amp;$B173&amp;$C173,盘货信息!$A:$A&amp;盘货信息!$B:$B&amp;盘货信息!$C:$C,盘货信息!$J:$J),0)&amp;"元限时补贴"))</f>
        <v/>
      </c>
      <c r="K173" s="27" t="str" cm="1">
        <f t="array" ref="K173">IF($C173="","",IF(_xlfn.XLOOKUP($A173&amp;$B173&amp;$C173,盘货信息!$A:$A&amp;盘货信息!$B:$B&amp;盘货信息!$C:$C,盘货信息!$K:$K)&lt;1,"",ROUND(_xlfn.XLOOKUP($A173&amp;$B173&amp;$C173,盘货信息!$A:$A&amp;盘货信息!$B:$B&amp;盘货信息!$C:$C,盘货信息!$K:$K),0)&amp;"元预估焕新补贴"))</f>
        <v/>
      </c>
      <c r="L173" s="27" t="str" cm="1">
        <f t="array" ref="L173">IF($C173="","",IF(AND(_xlfn.XLOOKUP($A173&amp;$B173&amp;$C173,盘货信息!$A:$A&amp;盘货信息!$B:$B&amp;盘货信息!$C:$C,盘货信息!$L:$L)="是",_xlfn.XLOOKUP($A173&amp;$B173&amp;$C173,盘货信息!$A:$A&amp;盘货信息!$B:$B&amp;盘货信息!$C:$C,盘货信息!$M:$M)="是",_xlfn.XLOOKUP($A173&amp;$B173&amp;$C173,盘货信息!$A:$A&amp;盘货信息!$B:$B&amp;盘货信息!$C:$C,盘货信息!$K:$K)&gt;0),"【全民可用，不限地址】",IF(AND(OR(_xlfn.XLOOKUP($A173&amp;$B173&amp;$C173,盘货信息!$A:$A&amp;盘货信息!$B:$B&amp;盘货信息!$C:$C,盘货信息!$L:$L)="否",_xlfn.XLOOKUP($A173&amp;$B173&amp;$C173,盘货信息!$A:$A&amp;盘货信息!$B:$B&amp;盘货信息!$C:$C,盘货信息!$L:$L)=""),_xlfn.XLOOKUP($A173&amp;$B173&amp;$C173,盘货信息!$A:$A&amp;盘货信息!$B:$B&amp;盘货信息!$C:$C,盘货信息!$M:$M)="是",_xlfn.XLOOKUP($A173&amp;$B173&amp;$C173,盘货信息!$A:$A&amp;盘货信息!$B:$B&amp;盘货信息!$C:$C,盘货信息!$K:$K)&gt;0),"【详情页领取】","")))</f>
        <v/>
      </c>
      <c r="M173" s="27" t="str" cm="1">
        <f t="array" ref="M173">IF($C173="","",IF(_xlfn.XLOOKUP($A173&amp;$B173&amp;$C173,盘货信息!$A:$A&amp;盘货信息!$B:$B&amp;盘货信息!$C:$C,盘货信息!$F:$F)&lt;1,"",_xlfn.XLOOKUP($A173&amp;$B173&amp;$C173,盘货信息!$A:$A&amp;盘货信息!$B:$B&amp;盘货信息!$C:$C,盘货信息!$F:$F)&amp;"元明卷"))</f>
        <v/>
      </c>
      <c r="N173" s="27" t="str">
        <f t="shared" si="5"/>
        <v/>
      </c>
      <c r="O173" s="27" t="str">
        <f>IF(I173="","","【消费券链接】"&amp;固定信息!$B$6)</f>
        <v/>
      </c>
    </row>
    <row r="174" customHeight="1" spans="1:15">
      <c r="A174" s="23" t="str">
        <f>IF(盘货信息!A174="","",盘货信息!A174)</f>
        <v/>
      </c>
      <c r="B174" s="26" t="str">
        <f>IF(盘货信息!B174="","",盘货信息!B174)</f>
        <v/>
      </c>
      <c r="C174" s="23" t="str">
        <f>IF(盘货信息!C174="","",盘货信息!C174)</f>
        <v/>
      </c>
      <c r="D174" s="27" t="str">
        <f t="shared" si="4"/>
        <v/>
      </c>
      <c r="E174" s="27" t="str" cm="1">
        <f t="array" ref="E174">IF($C174="","",IF(AND(OR(_xlfn.XLOOKUP($A174&amp;$B174&amp;$C174,盘货信息!$A:$A&amp;盘货信息!$B:$B&amp;盘货信息!$C:$C,盘货信息!$L:$L)="否",_xlfn.XLOOKUP($A174&amp;$B174&amp;$C174,盘货信息!$A:$A&amp;盘货信息!$B:$B&amp;盘货信息!$C:$C,盘货信息!$L:$L)=""),_xlfn.XLOOKUP($A174&amp;$B174&amp;$C174,盘货信息!$A:$A&amp;盘货信息!$B:$B&amp;盘货信息!$C:$C,盘货信息!$M:$M)="否"),"【预估到手价"&amp;_xlfn.XLOOKUP($A174&amp;$B174&amp;$C174,盘货信息!$A:$A&amp;盘货信息!$B:$B&amp;盘货信息!$C:$C,盘货信息!$D:$D)&amp;"元】",IF(AND(_xlfn.XLOOKUP($A174&amp;$B174&amp;$C174,盘货信息!$A:$A&amp;盘货信息!$B:$B&amp;盘货信息!$C:$C,盘货信息!$M:$M)="是",OR(_xlfn.XLOOKUP($A174&amp;$B174&amp;$C174,盘货信息!$A:$A&amp;盘货信息!$B:$B&amp;盘货信息!$C:$C,盘货信息!$L:$L)="否",_xlfn.XLOOKUP($A174&amp;$B174&amp;$C174,盘货信息!$A:$A&amp;盘货信息!$B:$B&amp;盘货信息!$C:$C,盘货信息!$L:$L)="")),"【预估到手价"&amp;_xlfn.XLOOKUP($A174&amp;$B174&amp;$C174,盘货信息!$A:$A&amp;盘货信息!$B:$B&amp;盘货信息!$C:$C,盘货信息!$D:$D)&amp;"元】"&amp;CHAR(10)&amp;"【焕新补贴预估价"&amp;ROUND(_xlfn.XLOOKUP($A174&amp;$B174&amp;$C174,盘货信息!$A:$A&amp;盘货信息!$B:$B&amp;盘货信息!$C:$C,盘货信息!$E:$E),0)&amp;"元】","【焕新补贴预估价"&amp;ROUND(_xlfn.XLOOKUP($A174&amp;$B174&amp;$C174,盘货信息!$A:$A&amp;盘货信息!$B:$B&amp;盘货信息!$C:$C,盘货信息!$E:$E),0)&amp;"元】")))</f>
        <v/>
      </c>
      <c r="F174" s="27" t="str" cm="1">
        <f t="array" ref="F174">IF($C174="","",_xlfn.XLOOKUP($A174&amp;$B174&amp;$C174,盘货信息!$A:$A&amp;盘货信息!$B:$B&amp;盘货信息!$C:$C,盘货信息!$D:$D)&amp;"元到手价")</f>
        <v/>
      </c>
      <c r="G174" s="27" t="str" cm="1">
        <f t="array" ref="G174">IF($C174="","",IF(_xlfn.XLOOKUP($A174&amp;$B174&amp;$C174,盘货信息!$A:$A&amp;盘货信息!$B:$B&amp;盘货信息!$C:$C,盘货信息!$G:$G)&lt;1,"",ROUND(_xlfn.XLOOKUP($A174&amp;$B174&amp;$C174,盘货信息!$A:$A&amp;盘货信息!$B:$B&amp;盘货信息!$C:$C,盘货信息!$G:$G),0)&amp;"元88VIP立减"))</f>
        <v/>
      </c>
      <c r="H174" s="27" t="str" cm="1">
        <f t="array" ref="H174">IF($C174="","",IF(_xlfn.XLOOKUP($A174&amp;$B174&amp;$C174,盘货信息!$A:$A&amp;盘货信息!$B:$B&amp;盘货信息!$C:$C,盘货信息!$I:$I)&lt;1,"",_xlfn.XLOOKUP($A174&amp;$B174&amp;$C174,盘货信息!$A:$A&amp;盘货信息!$B:$B&amp;盘货信息!$C:$C,盘货信息!$I:$I)&amp;"元惊喜立减"))</f>
        <v/>
      </c>
      <c r="I174" s="27" t="str" cm="1">
        <f t="array" ref="I174">IF($C174="","",IF(_xlfn.XLOOKUP($A174&amp;$B174&amp;$C174,盘货信息!$A:$A&amp;盘货信息!$B:$B&amp;盘货信息!$C:$C,盘货信息!$H:$H)&lt;1,"",ROUND(_xlfn.XLOOKUP($A174&amp;$B174&amp;$C174,盘货信息!$A:$A&amp;盘货信息!$B:$B&amp;盘货信息!$C:$C,盘货信息!$H:$H),0)&amp;"元消费券"))</f>
        <v/>
      </c>
      <c r="J174" s="27" t="str" cm="1">
        <f t="array" ref="J174">IF($C174="","",IF(_xlfn.XLOOKUP($A174&amp;$B174&amp;$C174,盘货信息!$A:$A&amp;盘货信息!$B:$B&amp;盘货信息!$C:$C,盘货信息!$J:$J)&lt;1,"",ROUND(_xlfn.XLOOKUP($A174&amp;$B174&amp;$C174,盘货信息!$A:$A&amp;盘货信息!$B:$B&amp;盘货信息!$C:$C,盘货信息!$J:$J),0)&amp;"元限时补贴"))</f>
        <v/>
      </c>
      <c r="K174" s="27" t="str" cm="1">
        <f t="array" ref="K174">IF($C174="","",IF(_xlfn.XLOOKUP($A174&amp;$B174&amp;$C174,盘货信息!$A:$A&amp;盘货信息!$B:$B&amp;盘货信息!$C:$C,盘货信息!$K:$K)&lt;1,"",ROUND(_xlfn.XLOOKUP($A174&amp;$B174&amp;$C174,盘货信息!$A:$A&amp;盘货信息!$B:$B&amp;盘货信息!$C:$C,盘货信息!$K:$K),0)&amp;"元预估焕新补贴"))</f>
        <v/>
      </c>
      <c r="L174" s="27" t="str" cm="1">
        <f t="array" ref="L174">IF($C174="","",IF(AND(_xlfn.XLOOKUP($A174&amp;$B174&amp;$C174,盘货信息!$A:$A&amp;盘货信息!$B:$B&amp;盘货信息!$C:$C,盘货信息!$L:$L)="是",_xlfn.XLOOKUP($A174&amp;$B174&amp;$C174,盘货信息!$A:$A&amp;盘货信息!$B:$B&amp;盘货信息!$C:$C,盘货信息!$M:$M)="是",_xlfn.XLOOKUP($A174&amp;$B174&amp;$C174,盘货信息!$A:$A&amp;盘货信息!$B:$B&amp;盘货信息!$C:$C,盘货信息!$K:$K)&gt;0),"【全民可用，不限地址】",IF(AND(OR(_xlfn.XLOOKUP($A174&amp;$B174&amp;$C174,盘货信息!$A:$A&amp;盘货信息!$B:$B&amp;盘货信息!$C:$C,盘货信息!$L:$L)="否",_xlfn.XLOOKUP($A174&amp;$B174&amp;$C174,盘货信息!$A:$A&amp;盘货信息!$B:$B&amp;盘货信息!$C:$C,盘货信息!$L:$L)=""),_xlfn.XLOOKUP($A174&amp;$B174&amp;$C174,盘货信息!$A:$A&amp;盘货信息!$B:$B&amp;盘货信息!$C:$C,盘货信息!$M:$M)="是",_xlfn.XLOOKUP($A174&amp;$B174&amp;$C174,盘货信息!$A:$A&amp;盘货信息!$B:$B&amp;盘货信息!$C:$C,盘货信息!$K:$K)&gt;0),"【详情页领取】","")))</f>
        <v/>
      </c>
      <c r="M174" s="27" t="str" cm="1">
        <f t="array" ref="M174">IF($C174="","",IF(_xlfn.XLOOKUP($A174&amp;$B174&amp;$C174,盘货信息!$A:$A&amp;盘货信息!$B:$B&amp;盘货信息!$C:$C,盘货信息!$F:$F)&lt;1,"",_xlfn.XLOOKUP($A174&amp;$B174&amp;$C174,盘货信息!$A:$A&amp;盘货信息!$B:$B&amp;盘货信息!$C:$C,盘货信息!$F:$F)&amp;"元明卷"))</f>
        <v/>
      </c>
      <c r="N174" s="27" t="str">
        <f t="shared" si="5"/>
        <v/>
      </c>
      <c r="O174" s="27" t="str">
        <f>IF(I174="","","【消费券链接】"&amp;固定信息!$B$6)</f>
        <v/>
      </c>
    </row>
    <row r="175" customHeight="1" spans="1:15">
      <c r="A175" s="23" t="str">
        <f>IF(盘货信息!A175="","",盘货信息!A175)</f>
        <v/>
      </c>
      <c r="B175" s="26" t="str">
        <f>IF(盘货信息!B175="","",盘货信息!B175)</f>
        <v/>
      </c>
      <c r="C175" s="23" t="str">
        <f>IF(盘货信息!C175="","",盘货信息!C175)</f>
        <v/>
      </c>
      <c r="D175" s="27" t="str">
        <f t="shared" si="4"/>
        <v/>
      </c>
      <c r="E175" s="27" t="str" cm="1">
        <f t="array" ref="E175">IF($C175="","",IF(AND(OR(_xlfn.XLOOKUP($A175&amp;$B175&amp;$C175,盘货信息!$A:$A&amp;盘货信息!$B:$B&amp;盘货信息!$C:$C,盘货信息!$L:$L)="否",_xlfn.XLOOKUP($A175&amp;$B175&amp;$C175,盘货信息!$A:$A&amp;盘货信息!$B:$B&amp;盘货信息!$C:$C,盘货信息!$L:$L)=""),_xlfn.XLOOKUP($A175&amp;$B175&amp;$C175,盘货信息!$A:$A&amp;盘货信息!$B:$B&amp;盘货信息!$C:$C,盘货信息!$M:$M)="否"),"【预估到手价"&amp;_xlfn.XLOOKUP($A175&amp;$B175&amp;$C175,盘货信息!$A:$A&amp;盘货信息!$B:$B&amp;盘货信息!$C:$C,盘货信息!$D:$D)&amp;"元】",IF(AND(_xlfn.XLOOKUP($A175&amp;$B175&amp;$C175,盘货信息!$A:$A&amp;盘货信息!$B:$B&amp;盘货信息!$C:$C,盘货信息!$M:$M)="是",OR(_xlfn.XLOOKUP($A175&amp;$B175&amp;$C175,盘货信息!$A:$A&amp;盘货信息!$B:$B&amp;盘货信息!$C:$C,盘货信息!$L:$L)="否",_xlfn.XLOOKUP($A175&amp;$B175&amp;$C175,盘货信息!$A:$A&amp;盘货信息!$B:$B&amp;盘货信息!$C:$C,盘货信息!$L:$L)="")),"【预估到手价"&amp;_xlfn.XLOOKUP($A175&amp;$B175&amp;$C175,盘货信息!$A:$A&amp;盘货信息!$B:$B&amp;盘货信息!$C:$C,盘货信息!$D:$D)&amp;"元】"&amp;CHAR(10)&amp;"【焕新补贴预估价"&amp;ROUND(_xlfn.XLOOKUP($A175&amp;$B175&amp;$C175,盘货信息!$A:$A&amp;盘货信息!$B:$B&amp;盘货信息!$C:$C,盘货信息!$E:$E),0)&amp;"元】","【焕新补贴预估价"&amp;ROUND(_xlfn.XLOOKUP($A175&amp;$B175&amp;$C175,盘货信息!$A:$A&amp;盘货信息!$B:$B&amp;盘货信息!$C:$C,盘货信息!$E:$E),0)&amp;"元】")))</f>
        <v/>
      </c>
      <c r="F175" s="27" t="str" cm="1">
        <f t="array" ref="F175">IF($C175="","",_xlfn.XLOOKUP($A175&amp;$B175&amp;$C175,盘货信息!$A:$A&amp;盘货信息!$B:$B&amp;盘货信息!$C:$C,盘货信息!$D:$D)&amp;"元到手价")</f>
        <v/>
      </c>
      <c r="G175" s="27" t="str" cm="1">
        <f t="array" ref="G175">IF($C175="","",IF(_xlfn.XLOOKUP($A175&amp;$B175&amp;$C175,盘货信息!$A:$A&amp;盘货信息!$B:$B&amp;盘货信息!$C:$C,盘货信息!$G:$G)&lt;1,"",ROUND(_xlfn.XLOOKUP($A175&amp;$B175&amp;$C175,盘货信息!$A:$A&amp;盘货信息!$B:$B&amp;盘货信息!$C:$C,盘货信息!$G:$G),0)&amp;"元88VIP立减"))</f>
        <v/>
      </c>
      <c r="H175" s="27" t="str" cm="1">
        <f t="array" ref="H175">IF($C175="","",IF(_xlfn.XLOOKUP($A175&amp;$B175&amp;$C175,盘货信息!$A:$A&amp;盘货信息!$B:$B&amp;盘货信息!$C:$C,盘货信息!$I:$I)&lt;1,"",_xlfn.XLOOKUP($A175&amp;$B175&amp;$C175,盘货信息!$A:$A&amp;盘货信息!$B:$B&amp;盘货信息!$C:$C,盘货信息!$I:$I)&amp;"元惊喜立减"))</f>
        <v/>
      </c>
      <c r="I175" s="27" t="str" cm="1">
        <f t="array" ref="I175">IF($C175="","",IF(_xlfn.XLOOKUP($A175&amp;$B175&amp;$C175,盘货信息!$A:$A&amp;盘货信息!$B:$B&amp;盘货信息!$C:$C,盘货信息!$H:$H)&lt;1,"",ROUND(_xlfn.XLOOKUP($A175&amp;$B175&amp;$C175,盘货信息!$A:$A&amp;盘货信息!$B:$B&amp;盘货信息!$C:$C,盘货信息!$H:$H),0)&amp;"元消费券"))</f>
        <v/>
      </c>
      <c r="J175" s="27" t="str" cm="1">
        <f t="array" ref="J175">IF($C175="","",IF(_xlfn.XLOOKUP($A175&amp;$B175&amp;$C175,盘货信息!$A:$A&amp;盘货信息!$B:$B&amp;盘货信息!$C:$C,盘货信息!$J:$J)&lt;1,"",ROUND(_xlfn.XLOOKUP($A175&amp;$B175&amp;$C175,盘货信息!$A:$A&amp;盘货信息!$B:$B&amp;盘货信息!$C:$C,盘货信息!$J:$J),0)&amp;"元限时补贴"))</f>
        <v/>
      </c>
      <c r="K175" s="27" t="str" cm="1">
        <f t="array" ref="K175">IF($C175="","",IF(_xlfn.XLOOKUP($A175&amp;$B175&amp;$C175,盘货信息!$A:$A&amp;盘货信息!$B:$B&amp;盘货信息!$C:$C,盘货信息!$K:$K)&lt;1,"",ROUND(_xlfn.XLOOKUP($A175&amp;$B175&amp;$C175,盘货信息!$A:$A&amp;盘货信息!$B:$B&amp;盘货信息!$C:$C,盘货信息!$K:$K),0)&amp;"元预估焕新补贴"))</f>
        <v/>
      </c>
      <c r="L175" s="27" t="str" cm="1">
        <f t="array" ref="L175">IF($C175="","",IF(AND(_xlfn.XLOOKUP($A175&amp;$B175&amp;$C175,盘货信息!$A:$A&amp;盘货信息!$B:$B&amp;盘货信息!$C:$C,盘货信息!$L:$L)="是",_xlfn.XLOOKUP($A175&amp;$B175&amp;$C175,盘货信息!$A:$A&amp;盘货信息!$B:$B&amp;盘货信息!$C:$C,盘货信息!$M:$M)="是",_xlfn.XLOOKUP($A175&amp;$B175&amp;$C175,盘货信息!$A:$A&amp;盘货信息!$B:$B&amp;盘货信息!$C:$C,盘货信息!$K:$K)&gt;0),"【全民可用，不限地址】",IF(AND(OR(_xlfn.XLOOKUP($A175&amp;$B175&amp;$C175,盘货信息!$A:$A&amp;盘货信息!$B:$B&amp;盘货信息!$C:$C,盘货信息!$L:$L)="否",_xlfn.XLOOKUP($A175&amp;$B175&amp;$C175,盘货信息!$A:$A&amp;盘货信息!$B:$B&amp;盘货信息!$C:$C,盘货信息!$L:$L)=""),_xlfn.XLOOKUP($A175&amp;$B175&amp;$C175,盘货信息!$A:$A&amp;盘货信息!$B:$B&amp;盘货信息!$C:$C,盘货信息!$M:$M)="是",_xlfn.XLOOKUP($A175&amp;$B175&amp;$C175,盘货信息!$A:$A&amp;盘货信息!$B:$B&amp;盘货信息!$C:$C,盘货信息!$K:$K)&gt;0),"【详情页领取】","")))</f>
        <v/>
      </c>
      <c r="M175" s="27" t="str" cm="1">
        <f t="array" ref="M175">IF($C175="","",IF(_xlfn.XLOOKUP($A175&amp;$B175&amp;$C175,盘货信息!$A:$A&amp;盘货信息!$B:$B&amp;盘货信息!$C:$C,盘货信息!$F:$F)&lt;1,"",_xlfn.XLOOKUP($A175&amp;$B175&amp;$C175,盘货信息!$A:$A&amp;盘货信息!$B:$B&amp;盘货信息!$C:$C,盘货信息!$F:$F)&amp;"元明卷"))</f>
        <v/>
      </c>
      <c r="N175" s="27" t="str">
        <f t="shared" si="5"/>
        <v/>
      </c>
      <c r="O175" s="27" t="str">
        <f>IF(I175="","","【消费券链接】"&amp;固定信息!$B$6)</f>
        <v/>
      </c>
    </row>
    <row r="176" customHeight="1" spans="1:15">
      <c r="A176" s="23" t="str">
        <f>IF(盘货信息!A176="","",盘货信息!A176)</f>
        <v/>
      </c>
      <c r="B176" s="26" t="str">
        <f>IF(盘货信息!B176="","",盘货信息!B176)</f>
        <v/>
      </c>
      <c r="C176" s="23" t="str">
        <f>IF(盘货信息!C176="","",盘货信息!C176)</f>
        <v/>
      </c>
      <c r="D176" s="27" t="str">
        <f t="shared" si="4"/>
        <v/>
      </c>
      <c r="E176" s="27" t="str" cm="1">
        <f t="array" ref="E176">IF($C176="","",IF(AND(OR(_xlfn.XLOOKUP($A176&amp;$B176&amp;$C176,盘货信息!$A:$A&amp;盘货信息!$B:$B&amp;盘货信息!$C:$C,盘货信息!$L:$L)="否",_xlfn.XLOOKUP($A176&amp;$B176&amp;$C176,盘货信息!$A:$A&amp;盘货信息!$B:$B&amp;盘货信息!$C:$C,盘货信息!$L:$L)=""),_xlfn.XLOOKUP($A176&amp;$B176&amp;$C176,盘货信息!$A:$A&amp;盘货信息!$B:$B&amp;盘货信息!$C:$C,盘货信息!$M:$M)="否"),"【预估到手价"&amp;_xlfn.XLOOKUP($A176&amp;$B176&amp;$C176,盘货信息!$A:$A&amp;盘货信息!$B:$B&amp;盘货信息!$C:$C,盘货信息!$D:$D)&amp;"元】",IF(AND(_xlfn.XLOOKUP($A176&amp;$B176&amp;$C176,盘货信息!$A:$A&amp;盘货信息!$B:$B&amp;盘货信息!$C:$C,盘货信息!$M:$M)="是",OR(_xlfn.XLOOKUP($A176&amp;$B176&amp;$C176,盘货信息!$A:$A&amp;盘货信息!$B:$B&amp;盘货信息!$C:$C,盘货信息!$L:$L)="否",_xlfn.XLOOKUP($A176&amp;$B176&amp;$C176,盘货信息!$A:$A&amp;盘货信息!$B:$B&amp;盘货信息!$C:$C,盘货信息!$L:$L)="")),"【预估到手价"&amp;_xlfn.XLOOKUP($A176&amp;$B176&amp;$C176,盘货信息!$A:$A&amp;盘货信息!$B:$B&amp;盘货信息!$C:$C,盘货信息!$D:$D)&amp;"元】"&amp;CHAR(10)&amp;"【焕新补贴预估价"&amp;ROUND(_xlfn.XLOOKUP($A176&amp;$B176&amp;$C176,盘货信息!$A:$A&amp;盘货信息!$B:$B&amp;盘货信息!$C:$C,盘货信息!$E:$E),0)&amp;"元】","【焕新补贴预估价"&amp;ROUND(_xlfn.XLOOKUP($A176&amp;$B176&amp;$C176,盘货信息!$A:$A&amp;盘货信息!$B:$B&amp;盘货信息!$C:$C,盘货信息!$E:$E),0)&amp;"元】")))</f>
        <v/>
      </c>
      <c r="F176" s="27" t="str" cm="1">
        <f t="array" ref="F176">IF($C176="","",_xlfn.XLOOKUP($A176&amp;$B176&amp;$C176,盘货信息!$A:$A&amp;盘货信息!$B:$B&amp;盘货信息!$C:$C,盘货信息!$D:$D)&amp;"元到手价")</f>
        <v/>
      </c>
      <c r="G176" s="27" t="str" cm="1">
        <f t="array" ref="G176">IF($C176="","",IF(_xlfn.XLOOKUP($A176&amp;$B176&amp;$C176,盘货信息!$A:$A&amp;盘货信息!$B:$B&amp;盘货信息!$C:$C,盘货信息!$G:$G)&lt;1,"",ROUND(_xlfn.XLOOKUP($A176&amp;$B176&amp;$C176,盘货信息!$A:$A&amp;盘货信息!$B:$B&amp;盘货信息!$C:$C,盘货信息!$G:$G),0)&amp;"元88VIP立减"))</f>
        <v/>
      </c>
      <c r="H176" s="27" t="str" cm="1">
        <f t="array" ref="H176">IF($C176="","",IF(_xlfn.XLOOKUP($A176&amp;$B176&amp;$C176,盘货信息!$A:$A&amp;盘货信息!$B:$B&amp;盘货信息!$C:$C,盘货信息!$I:$I)&lt;1,"",_xlfn.XLOOKUP($A176&amp;$B176&amp;$C176,盘货信息!$A:$A&amp;盘货信息!$B:$B&amp;盘货信息!$C:$C,盘货信息!$I:$I)&amp;"元惊喜立减"))</f>
        <v/>
      </c>
      <c r="I176" s="27" t="str" cm="1">
        <f t="array" ref="I176">IF($C176="","",IF(_xlfn.XLOOKUP($A176&amp;$B176&amp;$C176,盘货信息!$A:$A&amp;盘货信息!$B:$B&amp;盘货信息!$C:$C,盘货信息!$H:$H)&lt;1,"",ROUND(_xlfn.XLOOKUP($A176&amp;$B176&amp;$C176,盘货信息!$A:$A&amp;盘货信息!$B:$B&amp;盘货信息!$C:$C,盘货信息!$H:$H),0)&amp;"元消费券"))</f>
        <v/>
      </c>
      <c r="J176" s="27" t="str" cm="1">
        <f t="array" ref="J176">IF($C176="","",IF(_xlfn.XLOOKUP($A176&amp;$B176&amp;$C176,盘货信息!$A:$A&amp;盘货信息!$B:$B&amp;盘货信息!$C:$C,盘货信息!$J:$J)&lt;1,"",ROUND(_xlfn.XLOOKUP($A176&amp;$B176&amp;$C176,盘货信息!$A:$A&amp;盘货信息!$B:$B&amp;盘货信息!$C:$C,盘货信息!$J:$J),0)&amp;"元限时补贴"))</f>
        <v/>
      </c>
      <c r="K176" s="27" t="str" cm="1">
        <f t="array" ref="K176">IF($C176="","",IF(_xlfn.XLOOKUP($A176&amp;$B176&amp;$C176,盘货信息!$A:$A&amp;盘货信息!$B:$B&amp;盘货信息!$C:$C,盘货信息!$K:$K)&lt;1,"",ROUND(_xlfn.XLOOKUP($A176&amp;$B176&amp;$C176,盘货信息!$A:$A&amp;盘货信息!$B:$B&amp;盘货信息!$C:$C,盘货信息!$K:$K),0)&amp;"元预估焕新补贴"))</f>
        <v/>
      </c>
      <c r="L176" s="27" t="str" cm="1">
        <f t="array" ref="L176">IF($C176="","",IF(AND(_xlfn.XLOOKUP($A176&amp;$B176&amp;$C176,盘货信息!$A:$A&amp;盘货信息!$B:$B&amp;盘货信息!$C:$C,盘货信息!$L:$L)="是",_xlfn.XLOOKUP($A176&amp;$B176&amp;$C176,盘货信息!$A:$A&amp;盘货信息!$B:$B&amp;盘货信息!$C:$C,盘货信息!$M:$M)="是",_xlfn.XLOOKUP($A176&amp;$B176&amp;$C176,盘货信息!$A:$A&amp;盘货信息!$B:$B&amp;盘货信息!$C:$C,盘货信息!$K:$K)&gt;0),"【全民可用，不限地址】",IF(AND(OR(_xlfn.XLOOKUP($A176&amp;$B176&amp;$C176,盘货信息!$A:$A&amp;盘货信息!$B:$B&amp;盘货信息!$C:$C,盘货信息!$L:$L)="否",_xlfn.XLOOKUP($A176&amp;$B176&amp;$C176,盘货信息!$A:$A&amp;盘货信息!$B:$B&amp;盘货信息!$C:$C,盘货信息!$L:$L)=""),_xlfn.XLOOKUP($A176&amp;$B176&amp;$C176,盘货信息!$A:$A&amp;盘货信息!$B:$B&amp;盘货信息!$C:$C,盘货信息!$M:$M)="是",_xlfn.XLOOKUP($A176&amp;$B176&amp;$C176,盘货信息!$A:$A&amp;盘货信息!$B:$B&amp;盘货信息!$C:$C,盘货信息!$K:$K)&gt;0),"【详情页领取】","")))</f>
        <v/>
      </c>
      <c r="M176" s="27" t="str" cm="1">
        <f t="array" ref="M176">IF($C176="","",IF(_xlfn.XLOOKUP($A176&amp;$B176&amp;$C176,盘货信息!$A:$A&amp;盘货信息!$B:$B&amp;盘货信息!$C:$C,盘货信息!$F:$F)&lt;1,"",_xlfn.XLOOKUP($A176&amp;$B176&amp;$C176,盘货信息!$A:$A&amp;盘货信息!$B:$B&amp;盘货信息!$C:$C,盘货信息!$F:$F)&amp;"元明卷"))</f>
        <v/>
      </c>
      <c r="N176" s="27" t="str">
        <f t="shared" si="5"/>
        <v/>
      </c>
      <c r="O176" s="27" t="str">
        <f>IF(I176="","","【消费券链接】"&amp;固定信息!$B$6)</f>
        <v/>
      </c>
    </row>
    <row r="177" customHeight="1" spans="1:15">
      <c r="A177" s="23" t="str">
        <f>IF(盘货信息!A177="","",盘货信息!A177)</f>
        <v/>
      </c>
      <c r="B177" s="26" t="str">
        <f>IF(盘货信息!B177="","",盘货信息!B177)</f>
        <v/>
      </c>
      <c r="C177" s="23" t="str">
        <f>IF(盘货信息!C177="","",盘货信息!C177)</f>
        <v/>
      </c>
      <c r="D177" s="27" t="str">
        <f t="shared" si="4"/>
        <v/>
      </c>
      <c r="E177" s="27" t="str" cm="1">
        <f t="array" ref="E177">IF($C177="","",IF(AND(OR(_xlfn.XLOOKUP($A177&amp;$B177&amp;$C177,盘货信息!$A:$A&amp;盘货信息!$B:$B&amp;盘货信息!$C:$C,盘货信息!$L:$L)="否",_xlfn.XLOOKUP($A177&amp;$B177&amp;$C177,盘货信息!$A:$A&amp;盘货信息!$B:$B&amp;盘货信息!$C:$C,盘货信息!$L:$L)=""),_xlfn.XLOOKUP($A177&amp;$B177&amp;$C177,盘货信息!$A:$A&amp;盘货信息!$B:$B&amp;盘货信息!$C:$C,盘货信息!$M:$M)="否"),"【预估到手价"&amp;_xlfn.XLOOKUP($A177&amp;$B177&amp;$C177,盘货信息!$A:$A&amp;盘货信息!$B:$B&amp;盘货信息!$C:$C,盘货信息!$D:$D)&amp;"元】",IF(AND(_xlfn.XLOOKUP($A177&amp;$B177&amp;$C177,盘货信息!$A:$A&amp;盘货信息!$B:$B&amp;盘货信息!$C:$C,盘货信息!$M:$M)="是",OR(_xlfn.XLOOKUP($A177&amp;$B177&amp;$C177,盘货信息!$A:$A&amp;盘货信息!$B:$B&amp;盘货信息!$C:$C,盘货信息!$L:$L)="否",_xlfn.XLOOKUP($A177&amp;$B177&amp;$C177,盘货信息!$A:$A&amp;盘货信息!$B:$B&amp;盘货信息!$C:$C,盘货信息!$L:$L)="")),"【预估到手价"&amp;_xlfn.XLOOKUP($A177&amp;$B177&amp;$C177,盘货信息!$A:$A&amp;盘货信息!$B:$B&amp;盘货信息!$C:$C,盘货信息!$D:$D)&amp;"元】"&amp;CHAR(10)&amp;"【焕新补贴预估价"&amp;ROUND(_xlfn.XLOOKUP($A177&amp;$B177&amp;$C177,盘货信息!$A:$A&amp;盘货信息!$B:$B&amp;盘货信息!$C:$C,盘货信息!$E:$E),0)&amp;"元】","【焕新补贴预估价"&amp;ROUND(_xlfn.XLOOKUP($A177&amp;$B177&amp;$C177,盘货信息!$A:$A&amp;盘货信息!$B:$B&amp;盘货信息!$C:$C,盘货信息!$E:$E),0)&amp;"元】")))</f>
        <v/>
      </c>
      <c r="F177" s="27" t="str" cm="1">
        <f t="array" ref="F177">IF($C177="","",_xlfn.XLOOKUP($A177&amp;$B177&amp;$C177,盘货信息!$A:$A&amp;盘货信息!$B:$B&amp;盘货信息!$C:$C,盘货信息!$D:$D)&amp;"元到手价")</f>
        <v/>
      </c>
      <c r="G177" s="27" t="str" cm="1">
        <f t="array" ref="G177">IF($C177="","",IF(_xlfn.XLOOKUP($A177&amp;$B177&amp;$C177,盘货信息!$A:$A&amp;盘货信息!$B:$B&amp;盘货信息!$C:$C,盘货信息!$G:$G)&lt;1,"",ROUND(_xlfn.XLOOKUP($A177&amp;$B177&amp;$C177,盘货信息!$A:$A&amp;盘货信息!$B:$B&amp;盘货信息!$C:$C,盘货信息!$G:$G),0)&amp;"元88VIP立减"))</f>
        <v/>
      </c>
      <c r="H177" s="27" t="str" cm="1">
        <f t="array" ref="H177">IF($C177="","",IF(_xlfn.XLOOKUP($A177&amp;$B177&amp;$C177,盘货信息!$A:$A&amp;盘货信息!$B:$B&amp;盘货信息!$C:$C,盘货信息!$I:$I)&lt;1,"",_xlfn.XLOOKUP($A177&amp;$B177&amp;$C177,盘货信息!$A:$A&amp;盘货信息!$B:$B&amp;盘货信息!$C:$C,盘货信息!$I:$I)&amp;"元惊喜立减"))</f>
        <v/>
      </c>
      <c r="I177" s="27" t="str" cm="1">
        <f t="array" ref="I177">IF($C177="","",IF(_xlfn.XLOOKUP($A177&amp;$B177&amp;$C177,盘货信息!$A:$A&amp;盘货信息!$B:$B&amp;盘货信息!$C:$C,盘货信息!$H:$H)&lt;1,"",ROUND(_xlfn.XLOOKUP($A177&amp;$B177&amp;$C177,盘货信息!$A:$A&amp;盘货信息!$B:$B&amp;盘货信息!$C:$C,盘货信息!$H:$H),0)&amp;"元消费券"))</f>
        <v/>
      </c>
      <c r="J177" s="27" t="str" cm="1">
        <f t="array" ref="J177">IF($C177="","",IF(_xlfn.XLOOKUP($A177&amp;$B177&amp;$C177,盘货信息!$A:$A&amp;盘货信息!$B:$B&amp;盘货信息!$C:$C,盘货信息!$J:$J)&lt;1,"",ROUND(_xlfn.XLOOKUP($A177&amp;$B177&amp;$C177,盘货信息!$A:$A&amp;盘货信息!$B:$B&amp;盘货信息!$C:$C,盘货信息!$J:$J),0)&amp;"元限时补贴"))</f>
        <v/>
      </c>
      <c r="K177" s="27" t="str" cm="1">
        <f t="array" ref="K177">IF($C177="","",IF(_xlfn.XLOOKUP($A177&amp;$B177&amp;$C177,盘货信息!$A:$A&amp;盘货信息!$B:$B&amp;盘货信息!$C:$C,盘货信息!$K:$K)&lt;1,"",ROUND(_xlfn.XLOOKUP($A177&amp;$B177&amp;$C177,盘货信息!$A:$A&amp;盘货信息!$B:$B&amp;盘货信息!$C:$C,盘货信息!$K:$K),0)&amp;"元预估焕新补贴"))</f>
        <v/>
      </c>
      <c r="L177" s="27" t="str" cm="1">
        <f t="array" ref="L177">IF($C177="","",IF(AND(_xlfn.XLOOKUP($A177&amp;$B177&amp;$C177,盘货信息!$A:$A&amp;盘货信息!$B:$B&amp;盘货信息!$C:$C,盘货信息!$L:$L)="是",_xlfn.XLOOKUP($A177&amp;$B177&amp;$C177,盘货信息!$A:$A&amp;盘货信息!$B:$B&amp;盘货信息!$C:$C,盘货信息!$M:$M)="是",_xlfn.XLOOKUP($A177&amp;$B177&amp;$C177,盘货信息!$A:$A&amp;盘货信息!$B:$B&amp;盘货信息!$C:$C,盘货信息!$K:$K)&gt;0),"【全民可用，不限地址】",IF(AND(OR(_xlfn.XLOOKUP($A177&amp;$B177&amp;$C177,盘货信息!$A:$A&amp;盘货信息!$B:$B&amp;盘货信息!$C:$C,盘货信息!$L:$L)="否",_xlfn.XLOOKUP($A177&amp;$B177&amp;$C177,盘货信息!$A:$A&amp;盘货信息!$B:$B&amp;盘货信息!$C:$C,盘货信息!$L:$L)=""),_xlfn.XLOOKUP($A177&amp;$B177&amp;$C177,盘货信息!$A:$A&amp;盘货信息!$B:$B&amp;盘货信息!$C:$C,盘货信息!$M:$M)="是",_xlfn.XLOOKUP($A177&amp;$B177&amp;$C177,盘货信息!$A:$A&amp;盘货信息!$B:$B&amp;盘货信息!$C:$C,盘货信息!$K:$K)&gt;0),"【详情页领取】","")))</f>
        <v/>
      </c>
      <c r="M177" s="27" t="str" cm="1">
        <f t="array" ref="M177">IF($C177="","",IF(_xlfn.XLOOKUP($A177&amp;$B177&amp;$C177,盘货信息!$A:$A&amp;盘货信息!$B:$B&amp;盘货信息!$C:$C,盘货信息!$F:$F)&lt;1,"",_xlfn.XLOOKUP($A177&amp;$B177&amp;$C177,盘货信息!$A:$A&amp;盘货信息!$B:$B&amp;盘货信息!$C:$C,盘货信息!$F:$F)&amp;"元明卷"))</f>
        <v/>
      </c>
      <c r="N177" s="27" t="str">
        <f t="shared" si="5"/>
        <v/>
      </c>
      <c r="O177" s="27" t="str">
        <f>IF(I177="","","【消费券链接】"&amp;固定信息!$B$6)</f>
        <v/>
      </c>
    </row>
    <row r="178" customHeight="1" spans="1:15">
      <c r="A178" s="23" t="str">
        <f>IF(盘货信息!A178="","",盘货信息!A178)</f>
        <v/>
      </c>
      <c r="B178" s="26" t="str">
        <f>IF(盘货信息!B178="","",盘货信息!B178)</f>
        <v/>
      </c>
      <c r="C178" s="23" t="str">
        <f>IF(盘货信息!C178="","",盘货信息!C178)</f>
        <v/>
      </c>
      <c r="D178" s="27" t="str">
        <f t="shared" si="4"/>
        <v/>
      </c>
      <c r="E178" s="27" t="str" cm="1">
        <f t="array" ref="E178">IF($C178="","",IF(AND(OR(_xlfn.XLOOKUP($A178&amp;$B178&amp;$C178,盘货信息!$A:$A&amp;盘货信息!$B:$B&amp;盘货信息!$C:$C,盘货信息!$L:$L)="否",_xlfn.XLOOKUP($A178&amp;$B178&amp;$C178,盘货信息!$A:$A&amp;盘货信息!$B:$B&amp;盘货信息!$C:$C,盘货信息!$L:$L)=""),_xlfn.XLOOKUP($A178&amp;$B178&amp;$C178,盘货信息!$A:$A&amp;盘货信息!$B:$B&amp;盘货信息!$C:$C,盘货信息!$M:$M)="否"),"【预估到手价"&amp;_xlfn.XLOOKUP($A178&amp;$B178&amp;$C178,盘货信息!$A:$A&amp;盘货信息!$B:$B&amp;盘货信息!$C:$C,盘货信息!$D:$D)&amp;"元】",IF(AND(_xlfn.XLOOKUP($A178&amp;$B178&amp;$C178,盘货信息!$A:$A&amp;盘货信息!$B:$B&amp;盘货信息!$C:$C,盘货信息!$M:$M)="是",OR(_xlfn.XLOOKUP($A178&amp;$B178&amp;$C178,盘货信息!$A:$A&amp;盘货信息!$B:$B&amp;盘货信息!$C:$C,盘货信息!$L:$L)="否",_xlfn.XLOOKUP($A178&amp;$B178&amp;$C178,盘货信息!$A:$A&amp;盘货信息!$B:$B&amp;盘货信息!$C:$C,盘货信息!$L:$L)="")),"【预估到手价"&amp;_xlfn.XLOOKUP($A178&amp;$B178&amp;$C178,盘货信息!$A:$A&amp;盘货信息!$B:$B&amp;盘货信息!$C:$C,盘货信息!$D:$D)&amp;"元】"&amp;CHAR(10)&amp;"【焕新补贴预估价"&amp;ROUND(_xlfn.XLOOKUP($A178&amp;$B178&amp;$C178,盘货信息!$A:$A&amp;盘货信息!$B:$B&amp;盘货信息!$C:$C,盘货信息!$E:$E),0)&amp;"元】","【焕新补贴预估价"&amp;ROUND(_xlfn.XLOOKUP($A178&amp;$B178&amp;$C178,盘货信息!$A:$A&amp;盘货信息!$B:$B&amp;盘货信息!$C:$C,盘货信息!$E:$E),0)&amp;"元】")))</f>
        <v/>
      </c>
      <c r="F178" s="27" t="str" cm="1">
        <f t="array" ref="F178">IF($C178="","",_xlfn.XLOOKUP($A178&amp;$B178&amp;$C178,盘货信息!$A:$A&amp;盘货信息!$B:$B&amp;盘货信息!$C:$C,盘货信息!$D:$D)&amp;"元到手价")</f>
        <v/>
      </c>
      <c r="G178" s="27" t="str" cm="1">
        <f t="array" ref="G178">IF($C178="","",IF(_xlfn.XLOOKUP($A178&amp;$B178&amp;$C178,盘货信息!$A:$A&amp;盘货信息!$B:$B&amp;盘货信息!$C:$C,盘货信息!$G:$G)&lt;1,"",ROUND(_xlfn.XLOOKUP($A178&amp;$B178&amp;$C178,盘货信息!$A:$A&amp;盘货信息!$B:$B&amp;盘货信息!$C:$C,盘货信息!$G:$G),0)&amp;"元88VIP立减"))</f>
        <v/>
      </c>
      <c r="H178" s="27" t="str" cm="1">
        <f t="array" ref="H178">IF($C178="","",IF(_xlfn.XLOOKUP($A178&amp;$B178&amp;$C178,盘货信息!$A:$A&amp;盘货信息!$B:$B&amp;盘货信息!$C:$C,盘货信息!$I:$I)&lt;1,"",_xlfn.XLOOKUP($A178&amp;$B178&amp;$C178,盘货信息!$A:$A&amp;盘货信息!$B:$B&amp;盘货信息!$C:$C,盘货信息!$I:$I)&amp;"元惊喜立减"))</f>
        <v/>
      </c>
      <c r="I178" s="27" t="str" cm="1">
        <f t="array" ref="I178">IF($C178="","",IF(_xlfn.XLOOKUP($A178&amp;$B178&amp;$C178,盘货信息!$A:$A&amp;盘货信息!$B:$B&amp;盘货信息!$C:$C,盘货信息!$H:$H)&lt;1,"",ROUND(_xlfn.XLOOKUP($A178&amp;$B178&amp;$C178,盘货信息!$A:$A&amp;盘货信息!$B:$B&amp;盘货信息!$C:$C,盘货信息!$H:$H),0)&amp;"元消费券"))</f>
        <v/>
      </c>
      <c r="J178" s="27" t="str" cm="1">
        <f t="array" ref="J178">IF($C178="","",IF(_xlfn.XLOOKUP($A178&amp;$B178&amp;$C178,盘货信息!$A:$A&amp;盘货信息!$B:$B&amp;盘货信息!$C:$C,盘货信息!$J:$J)&lt;1,"",ROUND(_xlfn.XLOOKUP($A178&amp;$B178&amp;$C178,盘货信息!$A:$A&amp;盘货信息!$B:$B&amp;盘货信息!$C:$C,盘货信息!$J:$J),0)&amp;"元限时补贴"))</f>
        <v/>
      </c>
      <c r="K178" s="27" t="str" cm="1">
        <f t="array" ref="K178">IF($C178="","",IF(_xlfn.XLOOKUP($A178&amp;$B178&amp;$C178,盘货信息!$A:$A&amp;盘货信息!$B:$B&amp;盘货信息!$C:$C,盘货信息!$K:$K)&lt;1,"",ROUND(_xlfn.XLOOKUP($A178&amp;$B178&amp;$C178,盘货信息!$A:$A&amp;盘货信息!$B:$B&amp;盘货信息!$C:$C,盘货信息!$K:$K),0)&amp;"元预估焕新补贴"))</f>
        <v/>
      </c>
      <c r="L178" s="27" t="str" cm="1">
        <f t="array" ref="L178">IF($C178="","",IF(AND(_xlfn.XLOOKUP($A178&amp;$B178&amp;$C178,盘货信息!$A:$A&amp;盘货信息!$B:$B&amp;盘货信息!$C:$C,盘货信息!$L:$L)="是",_xlfn.XLOOKUP($A178&amp;$B178&amp;$C178,盘货信息!$A:$A&amp;盘货信息!$B:$B&amp;盘货信息!$C:$C,盘货信息!$M:$M)="是",_xlfn.XLOOKUP($A178&amp;$B178&amp;$C178,盘货信息!$A:$A&amp;盘货信息!$B:$B&amp;盘货信息!$C:$C,盘货信息!$K:$K)&gt;0),"【全民可用，不限地址】",IF(AND(OR(_xlfn.XLOOKUP($A178&amp;$B178&amp;$C178,盘货信息!$A:$A&amp;盘货信息!$B:$B&amp;盘货信息!$C:$C,盘货信息!$L:$L)="否",_xlfn.XLOOKUP($A178&amp;$B178&amp;$C178,盘货信息!$A:$A&amp;盘货信息!$B:$B&amp;盘货信息!$C:$C,盘货信息!$L:$L)=""),_xlfn.XLOOKUP($A178&amp;$B178&amp;$C178,盘货信息!$A:$A&amp;盘货信息!$B:$B&amp;盘货信息!$C:$C,盘货信息!$M:$M)="是",_xlfn.XLOOKUP($A178&amp;$B178&amp;$C178,盘货信息!$A:$A&amp;盘货信息!$B:$B&amp;盘货信息!$C:$C,盘货信息!$K:$K)&gt;0),"【详情页领取】","")))</f>
        <v/>
      </c>
      <c r="M178" s="27" t="str" cm="1">
        <f t="array" ref="M178">IF($C178="","",IF(_xlfn.XLOOKUP($A178&amp;$B178&amp;$C178,盘货信息!$A:$A&amp;盘货信息!$B:$B&amp;盘货信息!$C:$C,盘货信息!$F:$F)&lt;1,"",_xlfn.XLOOKUP($A178&amp;$B178&amp;$C178,盘货信息!$A:$A&amp;盘货信息!$B:$B&amp;盘货信息!$C:$C,盘货信息!$F:$F)&amp;"元明卷"))</f>
        <v/>
      </c>
      <c r="N178" s="27" t="str">
        <f t="shared" si="5"/>
        <v/>
      </c>
      <c r="O178" s="27" t="str">
        <f>IF(I178="","","【消费券链接】"&amp;固定信息!$B$6)</f>
        <v/>
      </c>
    </row>
    <row r="179" customHeight="1" spans="1:15">
      <c r="A179" s="23" t="str">
        <f>IF(盘货信息!A179="","",盘货信息!A179)</f>
        <v/>
      </c>
      <c r="B179" s="26" t="str">
        <f>IF(盘货信息!B179="","",盘货信息!B179)</f>
        <v/>
      </c>
      <c r="C179" s="23" t="str">
        <f>IF(盘货信息!C179="","",盘货信息!C179)</f>
        <v/>
      </c>
      <c r="D179" s="27" t="str">
        <f t="shared" si="4"/>
        <v/>
      </c>
      <c r="E179" s="27" t="str" cm="1">
        <f t="array" ref="E179">IF($C179="","",IF(AND(OR(_xlfn.XLOOKUP($A179&amp;$B179&amp;$C179,盘货信息!$A:$A&amp;盘货信息!$B:$B&amp;盘货信息!$C:$C,盘货信息!$L:$L)="否",_xlfn.XLOOKUP($A179&amp;$B179&amp;$C179,盘货信息!$A:$A&amp;盘货信息!$B:$B&amp;盘货信息!$C:$C,盘货信息!$L:$L)=""),_xlfn.XLOOKUP($A179&amp;$B179&amp;$C179,盘货信息!$A:$A&amp;盘货信息!$B:$B&amp;盘货信息!$C:$C,盘货信息!$M:$M)="否"),"【预估到手价"&amp;_xlfn.XLOOKUP($A179&amp;$B179&amp;$C179,盘货信息!$A:$A&amp;盘货信息!$B:$B&amp;盘货信息!$C:$C,盘货信息!$D:$D)&amp;"元】",IF(AND(_xlfn.XLOOKUP($A179&amp;$B179&amp;$C179,盘货信息!$A:$A&amp;盘货信息!$B:$B&amp;盘货信息!$C:$C,盘货信息!$M:$M)="是",OR(_xlfn.XLOOKUP($A179&amp;$B179&amp;$C179,盘货信息!$A:$A&amp;盘货信息!$B:$B&amp;盘货信息!$C:$C,盘货信息!$L:$L)="否",_xlfn.XLOOKUP($A179&amp;$B179&amp;$C179,盘货信息!$A:$A&amp;盘货信息!$B:$B&amp;盘货信息!$C:$C,盘货信息!$L:$L)="")),"【预估到手价"&amp;_xlfn.XLOOKUP($A179&amp;$B179&amp;$C179,盘货信息!$A:$A&amp;盘货信息!$B:$B&amp;盘货信息!$C:$C,盘货信息!$D:$D)&amp;"元】"&amp;CHAR(10)&amp;"【焕新补贴预估价"&amp;ROUND(_xlfn.XLOOKUP($A179&amp;$B179&amp;$C179,盘货信息!$A:$A&amp;盘货信息!$B:$B&amp;盘货信息!$C:$C,盘货信息!$E:$E),0)&amp;"元】","【焕新补贴预估价"&amp;ROUND(_xlfn.XLOOKUP($A179&amp;$B179&amp;$C179,盘货信息!$A:$A&amp;盘货信息!$B:$B&amp;盘货信息!$C:$C,盘货信息!$E:$E),0)&amp;"元】")))</f>
        <v/>
      </c>
      <c r="F179" s="27" t="str" cm="1">
        <f t="array" ref="F179">IF($C179="","",_xlfn.XLOOKUP($A179&amp;$B179&amp;$C179,盘货信息!$A:$A&amp;盘货信息!$B:$B&amp;盘货信息!$C:$C,盘货信息!$D:$D)&amp;"元到手价")</f>
        <v/>
      </c>
      <c r="G179" s="27" t="str" cm="1">
        <f t="array" ref="G179">IF($C179="","",IF(_xlfn.XLOOKUP($A179&amp;$B179&amp;$C179,盘货信息!$A:$A&amp;盘货信息!$B:$B&amp;盘货信息!$C:$C,盘货信息!$G:$G)&lt;1,"",ROUND(_xlfn.XLOOKUP($A179&amp;$B179&amp;$C179,盘货信息!$A:$A&amp;盘货信息!$B:$B&amp;盘货信息!$C:$C,盘货信息!$G:$G),0)&amp;"元88VIP立减"))</f>
        <v/>
      </c>
      <c r="H179" s="27" t="str" cm="1">
        <f t="array" ref="H179">IF($C179="","",IF(_xlfn.XLOOKUP($A179&amp;$B179&amp;$C179,盘货信息!$A:$A&amp;盘货信息!$B:$B&amp;盘货信息!$C:$C,盘货信息!$I:$I)&lt;1,"",_xlfn.XLOOKUP($A179&amp;$B179&amp;$C179,盘货信息!$A:$A&amp;盘货信息!$B:$B&amp;盘货信息!$C:$C,盘货信息!$I:$I)&amp;"元惊喜立减"))</f>
        <v/>
      </c>
      <c r="I179" s="27" t="str" cm="1">
        <f t="array" ref="I179">IF($C179="","",IF(_xlfn.XLOOKUP($A179&amp;$B179&amp;$C179,盘货信息!$A:$A&amp;盘货信息!$B:$B&amp;盘货信息!$C:$C,盘货信息!$H:$H)&lt;1,"",ROUND(_xlfn.XLOOKUP($A179&amp;$B179&amp;$C179,盘货信息!$A:$A&amp;盘货信息!$B:$B&amp;盘货信息!$C:$C,盘货信息!$H:$H),0)&amp;"元消费券"))</f>
        <v/>
      </c>
      <c r="J179" s="27" t="str" cm="1">
        <f t="array" ref="J179">IF($C179="","",IF(_xlfn.XLOOKUP($A179&amp;$B179&amp;$C179,盘货信息!$A:$A&amp;盘货信息!$B:$B&amp;盘货信息!$C:$C,盘货信息!$J:$J)&lt;1,"",ROUND(_xlfn.XLOOKUP($A179&amp;$B179&amp;$C179,盘货信息!$A:$A&amp;盘货信息!$B:$B&amp;盘货信息!$C:$C,盘货信息!$J:$J),0)&amp;"元限时补贴"))</f>
        <v/>
      </c>
      <c r="K179" s="27" t="str" cm="1">
        <f t="array" ref="K179">IF($C179="","",IF(_xlfn.XLOOKUP($A179&amp;$B179&amp;$C179,盘货信息!$A:$A&amp;盘货信息!$B:$B&amp;盘货信息!$C:$C,盘货信息!$K:$K)&lt;1,"",ROUND(_xlfn.XLOOKUP($A179&amp;$B179&amp;$C179,盘货信息!$A:$A&amp;盘货信息!$B:$B&amp;盘货信息!$C:$C,盘货信息!$K:$K),0)&amp;"元预估焕新补贴"))</f>
        <v/>
      </c>
      <c r="L179" s="27" t="str" cm="1">
        <f t="array" ref="L179">IF($C179="","",IF(AND(_xlfn.XLOOKUP($A179&amp;$B179&amp;$C179,盘货信息!$A:$A&amp;盘货信息!$B:$B&amp;盘货信息!$C:$C,盘货信息!$L:$L)="是",_xlfn.XLOOKUP($A179&amp;$B179&amp;$C179,盘货信息!$A:$A&amp;盘货信息!$B:$B&amp;盘货信息!$C:$C,盘货信息!$M:$M)="是",_xlfn.XLOOKUP($A179&amp;$B179&amp;$C179,盘货信息!$A:$A&amp;盘货信息!$B:$B&amp;盘货信息!$C:$C,盘货信息!$K:$K)&gt;0),"【全民可用，不限地址】",IF(AND(OR(_xlfn.XLOOKUP($A179&amp;$B179&amp;$C179,盘货信息!$A:$A&amp;盘货信息!$B:$B&amp;盘货信息!$C:$C,盘货信息!$L:$L)="否",_xlfn.XLOOKUP($A179&amp;$B179&amp;$C179,盘货信息!$A:$A&amp;盘货信息!$B:$B&amp;盘货信息!$C:$C,盘货信息!$L:$L)=""),_xlfn.XLOOKUP($A179&amp;$B179&amp;$C179,盘货信息!$A:$A&amp;盘货信息!$B:$B&amp;盘货信息!$C:$C,盘货信息!$M:$M)="是",_xlfn.XLOOKUP($A179&amp;$B179&amp;$C179,盘货信息!$A:$A&amp;盘货信息!$B:$B&amp;盘货信息!$C:$C,盘货信息!$K:$K)&gt;0),"【详情页领取】","")))</f>
        <v/>
      </c>
      <c r="M179" s="27" t="str" cm="1">
        <f t="array" ref="M179">IF($C179="","",IF(_xlfn.XLOOKUP($A179&amp;$B179&amp;$C179,盘货信息!$A:$A&amp;盘货信息!$B:$B&amp;盘货信息!$C:$C,盘货信息!$F:$F)&lt;1,"",_xlfn.XLOOKUP($A179&amp;$B179&amp;$C179,盘货信息!$A:$A&amp;盘货信息!$B:$B&amp;盘货信息!$C:$C,盘货信息!$F:$F)&amp;"元明卷"))</f>
        <v/>
      </c>
      <c r="N179" s="27" t="str">
        <f t="shared" si="5"/>
        <v/>
      </c>
      <c r="O179" s="27" t="str">
        <f>IF(I179="","","【消费券链接】"&amp;固定信息!$B$6)</f>
        <v/>
      </c>
    </row>
    <row r="180" customHeight="1" spans="1:15">
      <c r="A180" s="23" t="str">
        <f>IF(盘货信息!A180="","",盘货信息!A180)</f>
        <v/>
      </c>
      <c r="B180" s="26" t="str">
        <f>IF(盘货信息!B180="","",盘货信息!B180)</f>
        <v/>
      </c>
      <c r="C180" s="23" t="str">
        <f>IF(盘货信息!C180="","",盘货信息!C180)</f>
        <v/>
      </c>
      <c r="D180" s="27" t="str">
        <f t="shared" si="4"/>
        <v/>
      </c>
      <c r="E180" s="27" t="str" cm="1">
        <f t="array" ref="E180">IF($C180="","",IF(AND(OR(_xlfn.XLOOKUP($A180&amp;$B180&amp;$C180,盘货信息!$A:$A&amp;盘货信息!$B:$B&amp;盘货信息!$C:$C,盘货信息!$L:$L)="否",_xlfn.XLOOKUP($A180&amp;$B180&amp;$C180,盘货信息!$A:$A&amp;盘货信息!$B:$B&amp;盘货信息!$C:$C,盘货信息!$L:$L)=""),_xlfn.XLOOKUP($A180&amp;$B180&amp;$C180,盘货信息!$A:$A&amp;盘货信息!$B:$B&amp;盘货信息!$C:$C,盘货信息!$M:$M)="否"),"【预估到手价"&amp;_xlfn.XLOOKUP($A180&amp;$B180&amp;$C180,盘货信息!$A:$A&amp;盘货信息!$B:$B&amp;盘货信息!$C:$C,盘货信息!$D:$D)&amp;"元】",IF(AND(_xlfn.XLOOKUP($A180&amp;$B180&amp;$C180,盘货信息!$A:$A&amp;盘货信息!$B:$B&amp;盘货信息!$C:$C,盘货信息!$M:$M)="是",OR(_xlfn.XLOOKUP($A180&amp;$B180&amp;$C180,盘货信息!$A:$A&amp;盘货信息!$B:$B&amp;盘货信息!$C:$C,盘货信息!$L:$L)="否",_xlfn.XLOOKUP($A180&amp;$B180&amp;$C180,盘货信息!$A:$A&amp;盘货信息!$B:$B&amp;盘货信息!$C:$C,盘货信息!$L:$L)="")),"【预估到手价"&amp;_xlfn.XLOOKUP($A180&amp;$B180&amp;$C180,盘货信息!$A:$A&amp;盘货信息!$B:$B&amp;盘货信息!$C:$C,盘货信息!$D:$D)&amp;"元】"&amp;CHAR(10)&amp;"【焕新补贴预估价"&amp;ROUND(_xlfn.XLOOKUP($A180&amp;$B180&amp;$C180,盘货信息!$A:$A&amp;盘货信息!$B:$B&amp;盘货信息!$C:$C,盘货信息!$E:$E),0)&amp;"元】","【焕新补贴预估价"&amp;ROUND(_xlfn.XLOOKUP($A180&amp;$B180&amp;$C180,盘货信息!$A:$A&amp;盘货信息!$B:$B&amp;盘货信息!$C:$C,盘货信息!$E:$E),0)&amp;"元】")))</f>
        <v/>
      </c>
      <c r="F180" s="27" t="str" cm="1">
        <f t="array" ref="F180">IF($C180="","",_xlfn.XLOOKUP($A180&amp;$B180&amp;$C180,盘货信息!$A:$A&amp;盘货信息!$B:$B&amp;盘货信息!$C:$C,盘货信息!$D:$D)&amp;"元到手价")</f>
        <v/>
      </c>
      <c r="G180" s="27" t="str" cm="1">
        <f t="array" ref="G180">IF($C180="","",IF(_xlfn.XLOOKUP($A180&amp;$B180&amp;$C180,盘货信息!$A:$A&amp;盘货信息!$B:$B&amp;盘货信息!$C:$C,盘货信息!$G:$G)&lt;1,"",ROUND(_xlfn.XLOOKUP($A180&amp;$B180&amp;$C180,盘货信息!$A:$A&amp;盘货信息!$B:$B&amp;盘货信息!$C:$C,盘货信息!$G:$G),0)&amp;"元88VIP立减"))</f>
        <v/>
      </c>
      <c r="H180" s="27" t="str" cm="1">
        <f t="array" ref="H180">IF($C180="","",IF(_xlfn.XLOOKUP($A180&amp;$B180&amp;$C180,盘货信息!$A:$A&amp;盘货信息!$B:$B&amp;盘货信息!$C:$C,盘货信息!$I:$I)&lt;1,"",_xlfn.XLOOKUP($A180&amp;$B180&amp;$C180,盘货信息!$A:$A&amp;盘货信息!$B:$B&amp;盘货信息!$C:$C,盘货信息!$I:$I)&amp;"元惊喜立减"))</f>
        <v/>
      </c>
      <c r="I180" s="27" t="str" cm="1">
        <f t="array" ref="I180">IF($C180="","",IF(_xlfn.XLOOKUP($A180&amp;$B180&amp;$C180,盘货信息!$A:$A&amp;盘货信息!$B:$B&amp;盘货信息!$C:$C,盘货信息!$H:$H)&lt;1,"",ROUND(_xlfn.XLOOKUP($A180&amp;$B180&amp;$C180,盘货信息!$A:$A&amp;盘货信息!$B:$B&amp;盘货信息!$C:$C,盘货信息!$H:$H),0)&amp;"元消费券"))</f>
        <v/>
      </c>
      <c r="J180" s="27" t="str" cm="1">
        <f t="array" ref="J180">IF($C180="","",IF(_xlfn.XLOOKUP($A180&amp;$B180&amp;$C180,盘货信息!$A:$A&amp;盘货信息!$B:$B&amp;盘货信息!$C:$C,盘货信息!$J:$J)&lt;1,"",ROUND(_xlfn.XLOOKUP($A180&amp;$B180&amp;$C180,盘货信息!$A:$A&amp;盘货信息!$B:$B&amp;盘货信息!$C:$C,盘货信息!$J:$J),0)&amp;"元限时补贴"))</f>
        <v/>
      </c>
      <c r="K180" s="27" t="str" cm="1">
        <f t="array" ref="K180">IF($C180="","",IF(_xlfn.XLOOKUP($A180&amp;$B180&amp;$C180,盘货信息!$A:$A&amp;盘货信息!$B:$B&amp;盘货信息!$C:$C,盘货信息!$K:$K)&lt;1,"",ROUND(_xlfn.XLOOKUP($A180&amp;$B180&amp;$C180,盘货信息!$A:$A&amp;盘货信息!$B:$B&amp;盘货信息!$C:$C,盘货信息!$K:$K),0)&amp;"元预估焕新补贴"))</f>
        <v/>
      </c>
      <c r="L180" s="27" t="str" cm="1">
        <f t="array" ref="L180">IF($C180="","",IF(AND(_xlfn.XLOOKUP($A180&amp;$B180&amp;$C180,盘货信息!$A:$A&amp;盘货信息!$B:$B&amp;盘货信息!$C:$C,盘货信息!$L:$L)="是",_xlfn.XLOOKUP($A180&amp;$B180&amp;$C180,盘货信息!$A:$A&amp;盘货信息!$B:$B&amp;盘货信息!$C:$C,盘货信息!$M:$M)="是",_xlfn.XLOOKUP($A180&amp;$B180&amp;$C180,盘货信息!$A:$A&amp;盘货信息!$B:$B&amp;盘货信息!$C:$C,盘货信息!$K:$K)&gt;0),"【全民可用，不限地址】",IF(AND(OR(_xlfn.XLOOKUP($A180&amp;$B180&amp;$C180,盘货信息!$A:$A&amp;盘货信息!$B:$B&amp;盘货信息!$C:$C,盘货信息!$L:$L)="否",_xlfn.XLOOKUP($A180&amp;$B180&amp;$C180,盘货信息!$A:$A&amp;盘货信息!$B:$B&amp;盘货信息!$C:$C,盘货信息!$L:$L)=""),_xlfn.XLOOKUP($A180&amp;$B180&amp;$C180,盘货信息!$A:$A&amp;盘货信息!$B:$B&amp;盘货信息!$C:$C,盘货信息!$M:$M)="是",_xlfn.XLOOKUP($A180&amp;$B180&amp;$C180,盘货信息!$A:$A&amp;盘货信息!$B:$B&amp;盘货信息!$C:$C,盘货信息!$K:$K)&gt;0),"【详情页领取】","")))</f>
        <v/>
      </c>
      <c r="M180" s="27" t="str" cm="1">
        <f t="array" ref="M180">IF($C180="","",IF(_xlfn.XLOOKUP($A180&amp;$B180&amp;$C180,盘货信息!$A:$A&amp;盘货信息!$B:$B&amp;盘货信息!$C:$C,盘货信息!$F:$F)&lt;1,"",_xlfn.XLOOKUP($A180&amp;$B180&amp;$C180,盘货信息!$A:$A&amp;盘货信息!$B:$B&amp;盘货信息!$C:$C,盘货信息!$F:$F)&amp;"元明卷"))</f>
        <v/>
      </c>
      <c r="N180" s="27" t="str">
        <f t="shared" si="5"/>
        <v/>
      </c>
      <c r="O180" s="27" t="str">
        <f>IF(I180="","","【消费券链接】"&amp;固定信息!$B$6)</f>
        <v/>
      </c>
    </row>
    <row r="181" customHeight="1" spans="1:15">
      <c r="A181" s="23" t="str">
        <f>IF(盘货信息!A181="","",盘货信息!A181)</f>
        <v/>
      </c>
      <c r="B181" s="26" t="str">
        <f>IF(盘货信息!B181="","",盘货信息!B181)</f>
        <v/>
      </c>
      <c r="C181" s="23" t="str">
        <f>IF(盘货信息!C181="","",盘货信息!C181)</f>
        <v/>
      </c>
      <c r="D181" s="27" t="str">
        <f t="shared" si="4"/>
        <v/>
      </c>
      <c r="E181" s="27" t="str" cm="1">
        <f t="array" ref="E181">IF($C181="","",IF(AND(OR(_xlfn.XLOOKUP($A181&amp;$B181&amp;$C181,盘货信息!$A:$A&amp;盘货信息!$B:$B&amp;盘货信息!$C:$C,盘货信息!$L:$L)="否",_xlfn.XLOOKUP($A181&amp;$B181&amp;$C181,盘货信息!$A:$A&amp;盘货信息!$B:$B&amp;盘货信息!$C:$C,盘货信息!$L:$L)=""),_xlfn.XLOOKUP($A181&amp;$B181&amp;$C181,盘货信息!$A:$A&amp;盘货信息!$B:$B&amp;盘货信息!$C:$C,盘货信息!$M:$M)="否"),"【预估到手价"&amp;_xlfn.XLOOKUP($A181&amp;$B181&amp;$C181,盘货信息!$A:$A&amp;盘货信息!$B:$B&amp;盘货信息!$C:$C,盘货信息!$D:$D)&amp;"元】",IF(AND(_xlfn.XLOOKUP($A181&amp;$B181&amp;$C181,盘货信息!$A:$A&amp;盘货信息!$B:$B&amp;盘货信息!$C:$C,盘货信息!$M:$M)="是",OR(_xlfn.XLOOKUP($A181&amp;$B181&amp;$C181,盘货信息!$A:$A&amp;盘货信息!$B:$B&amp;盘货信息!$C:$C,盘货信息!$L:$L)="否",_xlfn.XLOOKUP($A181&amp;$B181&amp;$C181,盘货信息!$A:$A&amp;盘货信息!$B:$B&amp;盘货信息!$C:$C,盘货信息!$L:$L)="")),"【预估到手价"&amp;_xlfn.XLOOKUP($A181&amp;$B181&amp;$C181,盘货信息!$A:$A&amp;盘货信息!$B:$B&amp;盘货信息!$C:$C,盘货信息!$D:$D)&amp;"元】"&amp;CHAR(10)&amp;"【焕新补贴预估价"&amp;ROUND(_xlfn.XLOOKUP($A181&amp;$B181&amp;$C181,盘货信息!$A:$A&amp;盘货信息!$B:$B&amp;盘货信息!$C:$C,盘货信息!$E:$E),0)&amp;"元】","【焕新补贴预估价"&amp;ROUND(_xlfn.XLOOKUP($A181&amp;$B181&amp;$C181,盘货信息!$A:$A&amp;盘货信息!$B:$B&amp;盘货信息!$C:$C,盘货信息!$E:$E),0)&amp;"元】")))</f>
        <v/>
      </c>
      <c r="F181" s="27" t="str" cm="1">
        <f t="array" ref="F181">IF($C181="","",_xlfn.XLOOKUP($A181&amp;$B181&amp;$C181,盘货信息!$A:$A&amp;盘货信息!$B:$B&amp;盘货信息!$C:$C,盘货信息!$D:$D)&amp;"元到手价")</f>
        <v/>
      </c>
      <c r="G181" s="27" t="str" cm="1">
        <f t="array" ref="G181">IF($C181="","",IF(_xlfn.XLOOKUP($A181&amp;$B181&amp;$C181,盘货信息!$A:$A&amp;盘货信息!$B:$B&amp;盘货信息!$C:$C,盘货信息!$G:$G)&lt;1,"",ROUND(_xlfn.XLOOKUP($A181&amp;$B181&amp;$C181,盘货信息!$A:$A&amp;盘货信息!$B:$B&amp;盘货信息!$C:$C,盘货信息!$G:$G),0)&amp;"元88VIP立减"))</f>
        <v/>
      </c>
      <c r="H181" s="27" t="str" cm="1">
        <f t="array" ref="H181">IF($C181="","",IF(_xlfn.XLOOKUP($A181&amp;$B181&amp;$C181,盘货信息!$A:$A&amp;盘货信息!$B:$B&amp;盘货信息!$C:$C,盘货信息!$I:$I)&lt;1,"",_xlfn.XLOOKUP($A181&amp;$B181&amp;$C181,盘货信息!$A:$A&amp;盘货信息!$B:$B&amp;盘货信息!$C:$C,盘货信息!$I:$I)&amp;"元惊喜立减"))</f>
        <v/>
      </c>
      <c r="I181" s="27" t="str" cm="1">
        <f t="array" ref="I181">IF($C181="","",IF(_xlfn.XLOOKUP($A181&amp;$B181&amp;$C181,盘货信息!$A:$A&amp;盘货信息!$B:$B&amp;盘货信息!$C:$C,盘货信息!$H:$H)&lt;1,"",ROUND(_xlfn.XLOOKUP($A181&amp;$B181&amp;$C181,盘货信息!$A:$A&amp;盘货信息!$B:$B&amp;盘货信息!$C:$C,盘货信息!$H:$H),0)&amp;"元消费券"))</f>
        <v/>
      </c>
      <c r="J181" s="27" t="str" cm="1">
        <f t="array" ref="J181">IF($C181="","",IF(_xlfn.XLOOKUP($A181&amp;$B181&amp;$C181,盘货信息!$A:$A&amp;盘货信息!$B:$B&amp;盘货信息!$C:$C,盘货信息!$J:$J)&lt;1,"",ROUND(_xlfn.XLOOKUP($A181&amp;$B181&amp;$C181,盘货信息!$A:$A&amp;盘货信息!$B:$B&amp;盘货信息!$C:$C,盘货信息!$J:$J),0)&amp;"元限时补贴"))</f>
        <v/>
      </c>
      <c r="K181" s="27" t="str" cm="1">
        <f t="array" ref="K181">IF($C181="","",IF(_xlfn.XLOOKUP($A181&amp;$B181&amp;$C181,盘货信息!$A:$A&amp;盘货信息!$B:$B&amp;盘货信息!$C:$C,盘货信息!$K:$K)&lt;1,"",ROUND(_xlfn.XLOOKUP($A181&amp;$B181&amp;$C181,盘货信息!$A:$A&amp;盘货信息!$B:$B&amp;盘货信息!$C:$C,盘货信息!$K:$K),0)&amp;"元预估焕新补贴"))</f>
        <v/>
      </c>
      <c r="L181" s="27" t="str" cm="1">
        <f t="array" ref="L181">IF($C181="","",IF(AND(_xlfn.XLOOKUP($A181&amp;$B181&amp;$C181,盘货信息!$A:$A&amp;盘货信息!$B:$B&amp;盘货信息!$C:$C,盘货信息!$L:$L)="是",_xlfn.XLOOKUP($A181&amp;$B181&amp;$C181,盘货信息!$A:$A&amp;盘货信息!$B:$B&amp;盘货信息!$C:$C,盘货信息!$M:$M)="是",_xlfn.XLOOKUP($A181&amp;$B181&amp;$C181,盘货信息!$A:$A&amp;盘货信息!$B:$B&amp;盘货信息!$C:$C,盘货信息!$K:$K)&gt;0),"【全民可用，不限地址】",IF(AND(OR(_xlfn.XLOOKUP($A181&amp;$B181&amp;$C181,盘货信息!$A:$A&amp;盘货信息!$B:$B&amp;盘货信息!$C:$C,盘货信息!$L:$L)="否",_xlfn.XLOOKUP($A181&amp;$B181&amp;$C181,盘货信息!$A:$A&amp;盘货信息!$B:$B&amp;盘货信息!$C:$C,盘货信息!$L:$L)=""),_xlfn.XLOOKUP($A181&amp;$B181&amp;$C181,盘货信息!$A:$A&amp;盘货信息!$B:$B&amp;盘货信息!$C:$C,盘货信息!$M:$M)="是",_xlfn.XLOOKUP($A181&amp;$B181&amp;$C181,盘货信息!$A:$A&amp;盘货信息!$B:$B&amp;盘货信息!$C:$C,盘货信息!$K:$K)&gt;0),"【详情页领取】","")))</f>
        <v/>
      </c>
      <c r="M181" s="27" t="str" cm="1">
        <f t="array" ref="M181">IF($C181="","",IF(_xlfn.XLOOKUP($A181&amp;$B181&amp;$C181,盘货信息!$A:$A&amp;盘货信息!$B:$B&amp;盘货信息!$C:$C,盘货信息!$F:$F)&lt;1,"",_xlfn.XLOOKUP($A181&amp;$B181&amp;$C181,盘货信息!$A:$A&amp;盘货信息!$B:$B&amp;盘货信息!$C:$C,盘货信息!$F:$F)&amp;"元明卷"))</f>
        <v/>
      </c>
      <c r="N181" s="27" t="str">
        <f t="shared" si="5"/>
        <v/>
      </c>
      <c r="O181" s="27" t="str">
        <f>IF(I181="","","【消费券链接】"&amp;固定信息!$B$6)</f>
        <v/>
      </c>
    </row>
    <row r="182" customHeight="1" spans="1:15">
      <c r="A182" s="23" t="str">
        <f>IF(盘货信息!A182="","",盘货信息!A182)</f>
        <v/>
      </c>
      <c r="B182" s="26" t="str">
        <f>IF(盘货信息!B182="","",盘货信息!B182)</f>
        <v/>
      </c>
      <c r="C182" s="23" t="str">
        <f>IF(盘货信息!C182="","",盘货信息!C182)</f>
        <v/>
      </c>
      <c r="D182" s="27" t="str">
        <f t="shared" si="4"/>
        <v/>
      </c>
      <c r="E182" s="27" t="str" cm="1">
        <f t="array" ref="E182">IF($C182="","",IF(AND(OR(_xlfn.XLOOKUP($A182&amp;$B182&amp;$C182,盘货信息!$A:$A&amp;盘货信息!$B:$B&amp;盘货信息!$C:$C,盘货信息!$L:$L)="否",_xlfn.XLOOKUP($A182&amp;$B182&amp;$C182,盘货信息!$A:$A&amp;盘货信息!$B:$B&amp;盘货信息!$C:$C,盘货信息!$L:$L)=""),_xlfn.XLOOKUP($A182&amp;$B182&amp;$C182,盘货信息!$A:$A&amp;盘货信息!$B:$B&amp;盘货信息!$C:$C,盘货信息!$M:$M)="否"),"【预估到手价"&amp;_xlfn.XLOOKUP($A182&amp;$B182&amp;$C182,盘货信息!$A:$A&amp;盘货信息!$B:$B&amp;盘货信息!$C:$C,盘货信息!$D:$D)&amp;"元】",IF(AND(_xlfn.XLOOKUP($A182&amp;$B182&amp;$C182,盘货信息!$A:$A&amp;盘货信息!$B:$B&amp;盘货信息!$C:$C,盘货信息!$M:$M)="是",OR(_xlfn.XLOOKUP($A182&amp;$B182&amp;$C182,盘货信息!$A:$A&amp;盘货信息!$B:$B&amp;盘货信息!$C:$C,盘货信息!$L:$L)="否",_xlfn.XLOOKUP($A182&amp;$B182&amp;$C182,盘货信息!$A:$A&amp;盘货信息!$B:$B&amp;盘货信息!$C:$C,盘货信息!$L:$L)="")),"【预估到手价"&amp;_xlfn.XLOOKUP($A182&amp;$B182&amp;$C182,盘货信息!$A:$A&amp;盘货信息!$B:$B&amp;盘货信息!$C:$C,盘货信息!$D:$D)&amp;"元】"&amp;CHAR(10)&amp;"【焕新补贴预估价"&amp;ROUND(_xlfn.XLOOKUP($A182&amp;$B182&amp;$C182,盘货信息!$A:$A&amp;盘货信息!$B:$B&amp;盘货信息!$C:$C,盘货信息!$E:$E),0)&amp;"元】","【焕新补贴预估价"&amp;ROUND(_xlfn.XLOOKUP($A182&amp;$B182&amp;$C182,盘货信息!$A:$A&amp;盘货信息!$B:$B&amp;盘货信息!$C:$C,盘货信息!$E:$E),0)&amp;"元】")))</f>
        <v/>
      </c>
      <c r="F182" s="27" t="str" cm="1">
        <f t="array" ref="F182">IF($C182="","",_xlfn.XLOOKUP($A182&amp;$B182&amp;$C182,盘货信息!$A:$A&amp;盘货信息!$B:$B&amp;盘货信息!$C:$C,盘货信息!$D:$D)&amp;"元到手价")</f>
        <v/>
      </c>
      <c r="G182" s="27" t="str" cm="1">
        <f t="array" ref="G182">IF($C182="","",IF(_xlfn.XLOOKUP($A182&amp;$B182&amp;$C182,盘货信息!$A:$A&amp;盘货信息!$B:$B&amp;盘货信息!$C:$C,盘货信息!$G:$G)&lt;1,"",ROUND(_xlfn.XLOOKUP($A182&amp;$B182&amp;$C182,盘货信息!$A:$A&amp;盘货信息!$B:$B&amp;盘货信息!$C:$C,盘货信息!$G:$G),0)&amp;"元88VIP立减"))</f>
        <v/>
      </c>
      <c r="H182" s="27" t="str" cm="1">
        <f t="array" ref="H182">IF($C182="","",IF(_xlfn.XLOOKUP($A182&amp;$B182&amp;$C182,盘货信息!$A:$A&amp;盘货信息!$B:$B&amp;盘货信息!$C:$C,盘货信息!$I:$I)&lt;1,"",_xlfn.XLOOKUP($A182&amp;$B182&amp;$C182,盘货信息!$A:$A&amp;盘货信息!$B:$B&amp;盘货信息!$C:$C,盘货信息!$I:$I)&amp;"元惊喜立减"))</f>
        <v/>
      </c>
      <c r="I182" s="27" t="str" cm="1">
        <f t="array" ref="I182">IF($C182="","",IF(_xlfn.XLOOKUP($A182&amp;$B182&amp;$C182,盘货信息!$A:$A&amp;盘货信息!$B:$B&amp;盘货信息!$C:$C,盘货信息!$H:$H)&lt;1,"",ROUND(_xlfn.XLOOKUP($A182&amp;$B182&amp;$C182,盘货信息!$A:$A&amp;盘货信息!$B:$B&amp;盘货信息!$C:$C,盘货信息!$H:$H),0)&amp;"元消费券"))</f>
        <v/>
      </c>
      <c r="J182" s="27" t="str" cm="1">
        <f t="array" ref="J182">IF($C182="","",IF(_xlfn.XLOOKUP($A182&amp;$B182&amp;$C182,盘货信息!$A:$A&amp;盘货信息!$B:$B&amp;盘货信息!$C:$C,盘货信息!$J:$J)&lt;1,"",ROUND(_xlfn.XLOOKUP($A182&amp;$B182&amp;$C182,盘货信息!$A:$A&amp;盘货信息!$B:$B&amp;盘货信息!$C:$C,盘货信息!$J:$J),0)&amp;"元限时补贴"))</f>
        <v/>
      </c>
      <c r="K182" s="27" t="str" cm="1">
        <f t="array" ref="K182">IF($C182="","",IF(_xlfn.XLOOKUP($A182&amp;$B182&amp;$C182,盘货信息!$A:$A&amp;盘货信息!$B:$B&amp;盘货信息!$C:$C,盘货信息!$K:$K)&lt;1,"",ROUND(_xlfn.XLOOKUP($A182&amp;$B182&amp;$C182,盘货信息!$A:$A&amp;盘货信息!$B:$B&amp;盘货信息!$C:$C,盘货信息!$K:$K),0)&amp;"元预估焕新补贴"))</f>
        <v/>
      </c>
      <c r="L182" s="27" t="str" cm="1">
        <f t="array" ref="L182">IF($C182="","",IF(AND(_xlfn.XLOOKUP($A182&amp;$B182&amp;$C182,盘货信息!$A:$A&amp;盘货信息!$B:$B&amp;盘货信息!$C:$C,盘货信息!$L:$L)="是",_xlfn.XLOOKUP($A182&amp;$B182&amp;$C182,盘货信息!$A:$A&amp;盘货信息!$B:$B&amp;盘货信息!$C:$C,盘货信息!$M:$M)="是",_xlfn.XLOOKUP($A182&amp;$B182&amp;$C182,盘货信息!$A:$A&amp;盘货信息!$B:$B&amp;盘货信息!$C:$C,盘货信息!$K:$K)&gt;0),"【全民可用，不限地址】",IF(AND(OR(_xlfn.XLOOKUP($A182&amp;$B182&amp;$C182,盘货信息!$A:$A&amp;盘货信息!$B:$B&amp;盘货信息!$C:$C,盘货信息!$L:$L)="否",_xlfn.XLOOKUP($A182&amp;$B182&amp;$C182,盘货信息!$A:$A&amp;盘货信息!$B:$B&amp;盘货信息!$C:$C,盘货信息!$L:$L)=""),_xlfn.XLOOKUP($A182&amp;$B182&amp;$C182,盘货信息!$A:$A&amp;盘货信息!$B:$B&amp;盘货信息!$C:$C,盘货信息!$M:$M)="是",_xlfn.XLOOKUP($A182&amp;$B182&amp;$C182,盘货信息!$A:$A&amp;盘货信息!$B:$B&amp;盘货信息!$C:$C,盘货信息!$K:$K)&gt;0),"【详情页领取】","")))</f>
        <v/>
      </c>
      <c r="M182" s="27" t="str" cm="1">
        <f t="array" ref="M182">IF($C182="","",IF(_xlfn.XLOOKUP($A182&amp;$B182&amp;$C182,盘货信息!$A:$A&amp;盘货信息!$B:$B&amp;盘货信息!$C:$C,盘货信息!$F:$F)&lt;1,"",_xlfn.XLOOKUP($A182&amp;$B182&amp;$C182,盘货信息!$A:$A&amp;盘货信息!$B:$B&amp;盘货信息!$C:$C,盘货信息!$F:$F)&amp;"元明卷"))</f>
        <v/>
      </c>
      <c r="N182" s="27" t="str">
        <f t="shared" si="5"/>
        <v/>
      </c>
      <c r="O182" s="27" t="str">
        <f>IF(I182="","","【消费券链接】"&amp;固定信息!$B$6)</f>
        <v/>
      </c>
    </row>
    <row r="183" customHeight="1" spans="1:15">
      <c r="A183" s="23" t="str">
        <f>IF(盘货信息!A183="","",盘货信息!A183)</f>
        <v/>
      </c>
      <c r="B183" s="26" t="str">
        <f>IF(盘货信息!B183="","",盘货信息!B183)</f>
        <v/>
      </c>
      <c r="C183" s="23" t="str">
        <f>IF(盘货信息!C183="","",盘货信息!C183)</f>
        <v/>
      </c>
      <c r="D183" s="27" t="str">
        <f t="shared" si="4"/>
        <v/>
      </c>
      <c r="E183" s="27" t="str" cm="1">
        <f t="array" ref="E183">IF($C183="","",IF(AND(OR(_xlfn.XLOOKUP($A183&amp;$B183&amp;$C183,盘货信息!$A:$A&amp;盘货信息!$B:$B&amp;盘货信息!$C:$C,盘货信息!$L:$L)="否",_xlfn.XLOOKUP($A183&amp;$B183&amp;$C183,盘货信息!$A:$A&amp;盘货信息!$B:$B&amp;盘货信息!$C:$C,盘货信息!$L:$L)=""),_xlfn.XLOOKUP($A183&amp;$B183&amp;$C183,盘货信息!$A:$A&amp;盘货信息!$B:$B&amp;盘货信息!$C:$C,盘货信息!$M:$M)="否"),"【预估到手价"&amp;_xlfn.XLOOKUP($A183&amp;$B183&amp;$C183,盘货信息!$A:$A&amp;盘货信息!$B:$B&amp;盘货信息!$C:$C,盘货信息!$D:$D)&amp;"元】",IF(AND(_xlfn.XLOOKUP($A183&amp;$B183&amp;$C183,盘货信息!$A:$A&amp;盘货信息!$B:$B&amp;盘货信息!$C:$C,盘货信息!$M:$M)="是",OR(_xlfn.XLOOKUP($A183&amp;$B183&amp;$C183,盘货信息!$A:$A&amp;盘货信息!$B:$B&amp;盘货信息!$C:$C,盘货信息!$L:$L)="否",_xlfn.XLOOKUP($A183&amp;$B183&amp;$C183,盘货信息!$A:$A&amp;盘货信息!$B:$B&amp;盘货信息!$C:$C,盘货信息!$L:$L)="")),"【预估到手价"&amp;_xlfn.XLOOKUP($A183&amp;$B183&amp;$C183,盘货信息!$A:$A&amp;盘货信息!$B:$B&amp;盘货信息!$C:$C,盘货信息!$D:$D)&amp;"元】"&amp;CHAR(10)&amp;"【焕新补贴预估价"&amp;ROUND(_xlfn.XLOOKUP($A183&amp;$B183&amp;$C183,盘货信息!$A:$A&amp;盘货信息!$B:$B&amp;盘货信息!$C:$C,盘货信息!$E:$E),0)&amp;"元】","【焕新补贴预估价"&amp;ROUND(_xlfn.XLOOKUP($A183&amp;$B183&amp;$C183,盘货信息!$A:$A&amp;盘货信息!$B:$B&amp;盘货信息!$C:$C,盘货信息!$E:$E),0)&amp;"元】")))</f>
        <v/>
      </c>
      <c r="F183" s="27" t="str" cm="1">
        <f t="array" ref="F183">IF($C183="","",_xlfn.XLOOKUP($A183&amp;$B183&amp;$C183,盘货信息!$A:$A&amp;盘货信息!$B:$B&amp;盘货信息!$C:$C,盘货信息!$D:$D)&amp;"元到手价")</f>
        <v/>
      </c>
      <c r="G183" s="27" t="str" cm="1">
        <f t="array" ref="G183">IF($C183="","",IF(_xlfn.XLOOKUP($A183&amp;$B183&amp;$C183,盘货信息!$A:$A&amp;盘货信息!$B:$B&amp;盘货信息!$C:$C,盘货信息!$G:$G)&lt;1,"",ROUND(_xlfn.XLOOKUP($A183&amp;$B183&amp;$C183,盘货信息!$A:$A&amp;盘货信息!$B:$B&amp;盘货信息!$C:$C,盘货信息!$G:$G),0)&amp;"元88VIP立减"))</f>
        <v/>
      </c>
      <c r="H183" s="27" t="str" cm="1">
        <f t="array" ref="H183">IF($C183="","",IF(_xlfn.XLOOKUP($A183&amp;$B183&amp;$C183,盘货信息!$A:$A&amp;盘货信息!$B:$B&amp;盘货信息!$C:$C,盘货信息!$I:$I)&lt;1,"",_xlfn.XLOOKUP($A183&amp;$B183&amp;$C183,盘货信息!$A:$A&amp;盘货信息!$B:$B&amp;盘货信息!$C:$C,盘货信息!$I:$I)&amp;"元惊喜立减"))</f>
        <v/>
      </c>
      <c r="I183" s="27" t="str" cm="1">
        <f t="array" ref="I183">IF($C183="","",IF(_xlfn.XLOOKUP($A183&amp;$B183&amp;$C183,盘货信息!$A:$A&amp;盘货信息!$B:$B&amp;盘货信息!$C:$C,盘货信息!$H:$H)&lt;1,"",ROUND(_xlfn.XLOOKUP($A183&amp;$B183&amp;$C183,盘货信息!$A:$A&amp;盘货信息!$B:$B&amp;盘货信息!$C:$C,盘货信息!$H:$H),0)&amp;"元消费券"))</f>
        <v/>
      </c>
      <c r="J183" s="27" t="str" cm="1">
        <f t="array" ref="J183">IF($C183="","",IF(_xlfn.XLOOKUP($A183&amp;$B183&amp;$C183,盘货信息!$A:$A&amp;盘货信息!$B:$B&amp;盘货信息!$C:$C,盘货信息!$J:$J)&lt;1,"",ROUND(_xlfn.XLOOKUP($A183&amp;$B183&amp;$C183,盘货信息!$A:$A&amp;盘货信息!$B:$B&amp;盘货信息!$C:$C,盘货信息!$J:$J),0)&amp;"元限时补贴"))</f>
        <v/>
      </c>
      <c r="K183" s="27" t="str" cm="1">
        <f t="array" ref="K183">IF($C183="","",IF(_xlfn.XLOOKUP($A183&amp;$B183&amp;$C183,盘货信息!$A:$A&amp;盘货信息!$B:$B&amp;盘货信息!$C:$C,盘货信息!$K:$K)&lt;1,"",ROUND(_xlfn.XLOOKUP($A183&amp;$B183&amp;$C183,盘货信息!$A:$A&amp;盘货信息!$B:$B&amp;盘货信息!$C:$C,盘货信息!$K:$K),0)&amp;"元预估焕新补贴"))</f>
        <v/>
      </c>
      <c r="L183" s="27" t="str" cm="1">
        <f t="array" ref="L183">IF($C183="","",IF(AND(_xlfn.XLOOKUP($A183&amp;$B183&amp;$C183,盘货信息!$A:$A&amp;盘货信息!$B:$B&amp;盘货信息!$C:$C,盘货信息!$L:$L)="是",_xlfn.XLOOKUP($A183&amp;$B183&amp;$C183,盘货信息!$A:$A&amp;盘货信息!$B:$B&amp;盘货信息!$C:$C,盘货信息!$M:$M)="是",_xlfn.XLOOKUP($A183&amp;$B183&amp;$C183,盘货信息!$A:$A&amp;盘货信息!$B:$B&amp;盘货信息!$C:$C,盘货信息!$K:$K)&gt;0),"【全民可用，不限地址】",IF(AND(OR(_xlfn.XLOOKUP($A183&amp;$B183&amp;$C183,盘货信息!$A:$A&amp;盘货信息!$B:$B&amp;盘货信息!$C:$C,盘货信息!$L:$L)="否",_xlfn.XLOOKUP($A183&amp;$B183&amp;$C183,盘货信息!$A:$A&amp;盘货信息!$B:$B&amp;盘货信息!$C:$C,盘货信息!$L:$L)=""),_xlfn.XLOOKUP($A183&amp;$B183&amp;$C183,盘货信息!$A:$A&amp;盘货信息!$B:$B&amp;盘货信息!$C:$C,盘货信息!$M:$M)="是",_xlfn.XLOOKUP($A183&amp;$B183&amp;$C183,盘货信息!$A:$A&amp;盘货信息!$B:$B&amp;盘货信息!$C:$C,盘货信息!$K:$K)&gt;0),"【详情页领取】","")))</f>
        <v/>
      </c>
      <c r="M183" s="27" t="str" cm="1">
        <f t="array" ref="M183">IF($C183="","",IF(_xlfn.XLOOKUP($A183&amp;$B183&amp;$C183,盘货信息!$A:$A&amp;盘货信息!$B:$B&amp;盘货信息!$C:$C,盘货信息!$F:$F)&lt;1,"",_xlfn.XLOOKUP($A183&amp;$B183&amp;$C183,盘货信息!$A:$A&amp;盘货信息!$B:$B&amp;盘货信息!$C:$C,盘货信息!$F:$F)&amp;"元明卷"))</f>
        <v/>
      </c>
      <c r="N183" s="27" t="str">
        <f t="shared" si="5"/>
        <v/>
      </c>
      <c r="O183" s="27" t="str">
        <f>IF(I183="","","【消费券链接】"&amp;固定信息!$B$6)</f>
        <v/>
      </c>
    </row>
    <row r="184" customHeight="1" spans="1:15">
      <c r="A184" s="23" t="str">
        <f>IF(盘货信息!A184="","",盘货信息!A184)</f>
        <v/>
      </c>
      <c r="B184" s="26" t="str">
        <f>IF(盘货信息!B184="","",盘货信息!B184)</f>
        <v/>
      </c>
      <c r="C184" s="23" t="str">
        <f>IF(盘货信息!C184="","",盘货信息!C184)</f>
        <v/>
      </c>
      <c r="D184" s="27" t="str">
        <f t="shared" si="4"/>
        <v/>
      </c>
      <c r="E184" s="27" t="str" cm="1">
        <f t="array" ref="E184">IF($C184="","",IF(AND(OR(_xlfn.XLOOKUP($A184&amp;$B184&amp;$C184,盘货信息!$A:$A&amp;盘货信息!$B:$B&amp;盘货信息!$C:$C,盘货信息!$L:$L)="否",_xlfn.XLOOKUP($A184&amp;$B184&amp;$C184,盘货信息!$A:$A&amp;盘货信息!$B:$B&amp;盘货信息!$C:$C,盘货信息!$L:$L)=""),_xlfn.XLOOKUP($A184&amp;$B184&amp;$C184,盘货信息!$A:$A&amp;盘货信息!$B:$B&amp;盘货信息!$C:$C,盘货信息!$M:$M)="否"),"【预估到手价"&amp;_xlfn.XLOOKUP($A184&amp;$B184&amp;$C184,盘货信息!$A:$A&amp;盘货信息!$B:$B&amp;盘货信息!$C:$C,盘货信息!$D:$D)&amp;"元】",IF(AND(_xlfn.XLOOKUP($A184&amp;$B184&amp;$C184,盘货信息!$A:$A&amp;盘货信息!$B:$B&amp;盘货信息!$C:$C,盘货信息!$M:$M)="是",OR(_xlfn.XLOOKUP($A184&amp;$B184&amp;$C184,盘货信息!$A:$A&amp;盘货信息!$B:$B&amp;盘货信息!$C:$C,盘货信息!$L:$L)="否",_xlfn.XLOOKUP($A184&amp;$B184&amp;$C184,盘货信息!$A:$A&amp;盘货信息!$B:$B&amp;盘货信息!$C:$C,盘货信息!$L:$L)="")),"【预估到手价"&amp;_xlfn.XLOOKUP($A184&amp;$B184&amp;$C184,盘货信息!$A:$A&amp;盘货信息!$B:$B&amp;盘货信息!$C:$C,盘货信息!$D:$D)&amp;"元】"&amp;CHAR(10)&amp;"【焕新补贴预估价"&amp;ROUND(_xlfn.XLOOKUP($A184&amp;$B184&amp;$C184,盘货信息!$A:$A&amp;盘货信息!$B:$B&amp;盘货信息!$C:$C,盘货信息!$E:$E),0)&amp;"元】","【焕新补贴预估价"&amp;ROUND(_xlfn.XLOOKUP($A184&amp;$B184&amp;$C184,盘货信息!$A:$A&amp;盘货信息!$B:$B&amp;盘货信息!$C:$C,盘货信息!$E:$E),0)&amp;"元】")))</f>
        <v/>
      </c>
      <c r="F184" s="27" t="str" cm="1">
        <f t="array" ref="F184">IF($C184="","",_xlfn.XLOOKUP($A184&amp;$B184&amp;$C184,盘货信息!$A:$A&amp;盘货信息!$B:$B&amp;盘货信息!$C:$C,盘货信息!$D:$D)&amp;"元到手价")</f>
        <v/>
      </c>
      <c r="G184" s="27" t="str" cm="1">
        <f t="array" ref="G184">IF($C184="","",IF(_xlfn.XLOOKUP($A184&amp;$B184&amp;$C184,盘货信息!$A:$A&amp;盘货信息!$B:$B&amp;盘货信息!$C:$C,盘货信息!$G:$G)&lt;1,"",ROUND(_xlfn.XLOOKUP($A184&amp;$B184&amp;$C184,盘货信息!$A:$A&amp;盘货信息!$B:$B&amp;盘货信息!$C:$C,盘货信息!$G:$G),0)&amp;"元88VIP立减"))</f>
        <v/>
      </c>
      <c r="H184" s="27" t="str" cm="1">
        <f t="array" ref="H184">IF($C184="","",IF(_xlfn.XLOOKUP($A184&amp;$B184&amp;$C184,盘货信息!$A:$A&amp;盘货信息!$B:$B&amp;盘货信息!$C:$C,盘货信息!$I:$I)&lt;1,"",_xlfn.XLOOKUP($A184&amp;$B184&amp;$C184,盘货信息!$A:$A&amp;盘货信息!$B:$B&amp;盘货信息!$C:$C,盘货信息!$I:$I)&amp;"元惊喜立减"))</f>
        <v/>
      </c>
      <c r="I184" s="27" t="str" cm="1">
        <f t="array" ref="I184">IF($C184="","",IF(_xlfn.XLOOKUP($A184&amp;$B184&amp;$C184,盘货信息!$A:$A&amp;盘货信息!$B:$B&amp;盘货信息!$C:$C,盘货信息!$H:$H)&lt;1,"",ROUND(_xlfn.XLOOKUP($A184&amp;$B184&amp;$C184,盘货信息!$A:$A&amp;盘货信息!$B:$B&amp;盘货信息!$C:$C,盘货信息!$H:$H),0)&amp;"元消费券"))</f>
        <v/>
      </c>
      <c r="J184" s="27" t="str" cm="1">
        <f t="array" ref="J184">IF($C184="","",IF(_xlfn.XLOOKUP($A184&amp;$B184&amp;$C184,盘货信息!$A:$A&amp;盘货信息!$B:$B&amp;盘货信息!$C:$C,盘货信息!$J:$J)&lt;1,"",ROUND(_xlfn.XLOOKUP($A184&amp;$B184&amp;$C184,盘货信息!$A:$A&amp;盘货信息!$B:$B&amp;盘货信息!$C:$C,盘货信息!$J:$J),0)&amp;"元限时补贴"))</f>
        <v/>
      </c>
      <c r="K184" s="27" t="str" cm="1">
        <f t="array" ref="K184">IF($C184="","",IF(_xlfn.XLOOKUP($A184&amp;$B184&amp;$C184,盘货信息!$A:$A&amp;盘货信息!$B:$B&amp;盘货信息!$C:$C,盘货信息!$K:$K)&lt;1,"",ROUND(_xlfn.XLOOKUP($A184&amp;$B184&amp;$C184,盘货信息!$A:$A&amp;盘货信息!$B:$B&amp;盘货信息!$C:$C,盘货信息!$K:$K),0)&amp;"元预估焕新补贴"))</f>
        <v/>
      </c>
      <c r="L184" s="27" t="str" cm="1">
        <f t="array" ref="L184">IF($C184="","",IF(AND(_xlfn.XLOOKUP($A184&amp;$B184&amp;$C184,盘货信息!$A:$A&amp;盘货信息!$B:$B&amp;盘货信息!$C:$C,盘货信息!$L:$L)="是",_xlfn.XLOOKUP($A184&amp;$B184&amp;$C184,盘货信息!$A:$A&amp;盘货信息!$B:$B&amp;盘货信息!$C:$C,盘货信息!$M:$M)="是",_xlfn.XLOOKUP($A184&amp;$B184&amp;$C184,盘货信息!$A:$A&amp;盘货信息!$B:$B&amp;盘货信息!$C:$C,盘货信息!$K:$K)&gt;0),"【全民可用，不限地址】",IF(AND(OR(_xlfn.XLOOKUP($A184&amp;$B184&amp;$C184,盘货信息!$A:$A&amp;盘货信息!$B:$B&amp;盘货信息!$C:$C,盘货信息!$L:$L)="否",_xlfn.XLOOKUP($A184&amp;$B184&amp;$C184,盘货信息!$A:$A&amp;盘货信息!$B:$B&amp;盘货信息!$C:$C,盘货信息!$L:$L)=""),_xlfn.XLOOKUP($A184&amp;$B184&amp;$C184,盘货信息!$A:$A&amp;盘货信息!$B:$B&amp;盘货信息!$C:$C,盘货信息!$M:$M)="是",_xlfn.XLOOKUP($A184&amp;$B184&amp;$C184,盘货信息!$A:$A&amp;盘货信息!$B:$B&amp;盘货信息!$C:$C,盘货信息!$K:$K)&gt;0),"【详情页领取】","")))</f>
        <v/>
      </c>
      <c r="M184" s="27" t="str" cm="1">
        <f t="array" ref="M184">IF($C184="","",IF(_xlfn.XLOOKUP($A184&amp;$B184&amp;$C184,盘货信息!$A:$A&amp;盘货信息!$B:$B&amp;盘货信息!$C:$C,盘货信息!$F:$F)&lt;1,"",_xlfn.XLOOKUP($A184&amp;$B184&amp;$C184,盘货信息!$A:$A&amp;盘货信息!$B:$B&amp;盘货信息!$C:$C,盘货信息!$F:$F)&amp;"元明卷"))</f>
        <v/>
      </c>
      <c r="N184" s="27" t="str">
        <f t="shared" si="5"/>
        <v/>
      </c>
      <c r="O184" s="27" t="str">
        <f>IF(I184="","","【消费券链接】"&amp;固定信息!$B$6)</f>
        <v/>
      </c>
    </row>
    <row r="185" customHeight="1" spans="1:15">
      <c r="A185" s="23" t="str">
        <f>IF(盘货信息!A185="","",盘货信息!A185)</f>
        <v/>
      </c>
      <c r="B185" s="26" t="str">
        <f>IF(盘货信息!B185="","",盘货信息!B185)</f>
        <v/>
      </c>
      <c r="C185" s="23" t="str">
        <f>IF(盘货信息!C185="","",盘货信息!C185)</f>
        <v/>
      </c>
      <c r="D185" s="27" t="str">
        <f t="shared" si="4"/>
        <v/>
      </c>
      <c r="E185" s="27" t="str" cm="1">
        <f t="array" ref="E185">IF($C185="","",IF(AND(OR(_xlfn.XLOOKUP($A185&amp;$B185&amp;$C185,盘货信息!$A:$A&amp;盘货信息!$B:$B&amp;盘货信息!$C:$C,盘货信息!$L:$L)="否",_xlfn.XLOOKUP($A185&amp;$B185&amp;$C185,盘货信息!$A:$A&amp;盘货信息!$B:$B&amp;盘货信息!$C:$C,盘货信息!$L:$L)=""),_xlfn.XLOOKUP($A185&amp;$B185&amp;$C185,盘货信息!$A:$A&amp;盘货信息!$B:$B&amp;盘货信息!$C:$C,盘货信息!$M:$M)="否"),"【预估到手价"&amp;_xlfn.XLOOKUP($A185&amp;$B185&amp;$C185,盘货信息!$A:$A&amp;盘货信息!$B:$B&amp;盘货信息!$C:$C,盘货信息!$D:$D)&amp;"元】",IF(AND(_xlfn.XLOOKUP($A185&amp;$B185&amp;$C185,盘货信息!$A:$A&amp;盘货信息!$B:$B&amp;盘货信息!$C:$C,盘货信息!$M:$M)="是",OR(_xlfn.XLOOKUP($A185&amp;$B185&amp;$C185,盘货信息!$A:$A&amp;盘货信息!$B:$B&amp;盘货信息!$C:$C,盘货信息!$L:$L)="否",_xlfn.XLOOKUP($A185&amp;$B185&amp;$C185,盘货信息!$A:$A&amp;盘货信息!$B:$B&amp;盘货信息!$C:$C,盘货信息!$L:$L)="")),"【预估到手价"&amp;_xlfn.XLOOKUP($A185&amp;$B185&amp;$C185,盘货信息!$A:$A&amp;盘货信息!$B:$B&amp;盘货信息!$C:$C,盘货信息!$D:$D)&amp;"元】"&amp;CHAR(10)&amp;"【焕新补贴预估价"&amp;ROUND(_xlfn.XLOOKUP($A185&amp;$B185&amp;$C185,盘货信息!$A:$A&amp;盘货信息!$B:$B&amp;盘货信息!$C:$C,盘货信息!$E:$E),0)&amp;"元】","【焕新补贴预估价"&amp;ROUND(_xlfn.XLOOKUP($A185&amp;$B185&amp;$C185,盘货信息!$A:$A&amp;盘货信息!$B:$B&amp;盘货信息!$C:$C,盘货信息!$E:$E),0)&amp;"元】")))</f>
        <v/>
      </c>
      <c r="F185" s="27" t="str" cm="1">
        <f t="array" ref="F185">IF($C185="","",_xlfn.XLOOKUP($A185&amp;$B185&amp;$C185,盘货信息!$A:$A&amp;盘货信息!$B:$B&amp;盘货信息!$C:$C,盘货信息!$D:$D)&amp;"元到手价")</f>
        <v/>
      </c>
      <c r="G185" s="27" t="str" cm="1">
        <f t="array" ref="G185">IF($C185="","",IF(_xlfn.XLOOKUP($A185&amp;$B185&amp;$C185,盘货信息!$A:$A&amp;盘货信息!$B:$B&amp;盘货信息!$C:$C,盘货信息!$G:$G)&lt;1,"",ROUND(_xlfn.XLOOKUP($A185&amp;$B185&amp;$C185,盘货信息!$A:$A&amp;盘货信息!$B:$B&amp;盘货信息!$C:$C,盘货信息!$G:$G),0)&amp;"元88VIP立减"))</f>
        <v/>
      </c>
      <c r="H185" s="27" t="str" cm="1">
        <f t="array" ref="H185">IF($C185="","",IF(_xlfn.XLOOKUP($A185&amp;$B185&amp;$C185,盘货信息!$A:$A&amp;盘货信息!$B:$B&amp;盘货信息!$C:$C,盘货信息!$I:$I)&lt;1,"",_xlfn.XLOOKUP($A185&amp;$B185&amp;$C185,盘货信息!$A:$A&amp;盘货信息!$B:$B&amp;盘货信息!$C:$C,盘货信息!$I:$I)&amp;"元惊喜立减"))</f>
        <v/>
      </c>
      <c r="I185" s="27" t="str" cm="1">
        <f t="array" ref="I185">IF($C185="","",IF(_xlfn.XLOOKUP($A185&amp;$B185&amp;$C185,盘货信息!$A:$A&amp;盘货信息!$B:$B&amp;盘货信息!$C:$C,盘货信息!$H:$H)&lt;1,"",ROUND(_xlfn.XLOOKUP($A185&amp;$B185&amp;$C185,盘货信息!$A:$A&amp;盘货信息!$B:$B&amp;盘货信息!$C:$C,盘货信息!$H:$H),0)&amp;"元消费券"))</f>
        <v/>
      </c>
      <c r="J185" s="27" t="str" cm="1">
        <f t="array" ref="J185">IF($C185="","",IF(_xlfn.XLOOKUP($A185&amp;$B185&amp;$C185,盘货信息!$A:$A&amp;盘货信息!$B:$B&amp;盘货信息!$C:$C,盘货信息!$J:$J)&lt;1,"",ROUND(_xlfn.XLOOKUP($A185&amp;$B185&amp;$C185,盘货信息!$A:$A&amp;盘货信息!$B:$B&amp;盘货信息!$C:$C,盘货信息!$J:$J),0)&amp;"元限时补贴"))</f>
        <v/>
      </c>
      <c r="K185" s="27" t="str" cm="1">
        <f t="array" ref="K185">IF($C185="","",IF(_xlfn.XLOOKUP($A185&amp;$B185&amp;$C185,盘货信息!$A:$A&amp;盘货信息!$B:$B&amp;盘货信息!$C:$C,盘货信息!$K:$K)&lt;1,"",ROUND(_xlfn.XLOOKUP($A185&amp;$B185&amp;$C185,盘货信息!$A:$A&amp;盘货信息!$B:$B&amp;盘货信息!$C:$C,盘货信息!$K:$K),0)&amp;"元预估焕新补贴"))</f>
        <v/>
      </c>
      <c r="L185" s="27" t="str" cm="1">
        <f t="array" ref="L185">IF($C185="","",IF(AND(_xlfn.XLOOKUP($A185&amp;$B185&amp;$C185,盘货信息!$A:$A&amp;盘货信息!$B:$B&amp;盘货信息!$C:$C,盘货信息!$L:$L)="是",_xlfn.XLOOKUP($A185&amp;$B185&amp;$C185,盘货信息!$A:$A&amp;盘货信息!$B:$B&amp;盘货信息!$C:$C,盘货信息!$M:$M)="是",_xlfn.XLOOKUP($A185&amp;$B185&amp;$C185,盘货信息!$A:$A&amp;盘货信息!$B:$B&amp;盘货信息!$C:$C,盘货信息!$K:$K)&gt;0),"【全民可用，不限地址】",IF(AND(OR(_xlfn.XLOOKUP($A185&amp;$B185&amp;$C185,盘货信息!$A:$A&amp;盘货信息!$B:$B&amp;盘货信息!$C:$C,盘货信息!$L:$L)="否",_xlfn.XLOOKUP($A185&amp;$B185&amp;$C185,盘货信息!$A:$A&amp;盘货信息!$B:$B&amp;盘货信息!$C:$C,盘货信息!$L:$L)=""),_xlfn.XLOOKUP($A185&amp;$B185&amp;$C185,盘货信息!$A:$A&amp;盘货信息!$B:$B&amp;盘货信息!$C:$C,盘货信息!$M:$M)="是",_xlfn.XLOOKUP($A185&amp;$B185&amp;$C185,盘货信息!$A:$A&amp;盘货信息!$B:$B&amp;盘货信息!$C:$C,盘货信息!$K:$K)&gt;0),"【详情页领取】","")))</f>
        <v/>
      </c>
      <c r="M185" s="27" t="str" cm="1">
        <f t="array" ref="M185">IF($C185="","",IF(_xlfn.XLOOKUP($A185&amp;$B185&amp;$C185,盘货信息!$A:$A&amp;盘货信息!$B:$B&amp;盘货信息!$C:$C,盘货信息!$F:$F)&lt;1,"",_xlfn.XLOOKUP($A185&amp;$B185&amp;$C185,盘货信息!$A:$A&amp;盘货信息!$B:$B&amp;盘货信息!$C:$C,盘货信息!$F:$F)&amp;"元明卷"))</f>
        <v/>
      </c>
      <c r="N185" s="27" t="str">
        <f t="shared" si="5"/>
        <v/>
      </c>
      <c r="O185" s="27" t="str">
        <f>IF(I185="","","【消费券链接】"&amp;固定信息!$B$6)</f>
        <v/>
      </c>
    </row>
    <row r="186" customHeight="1" spans="1:15">
      <c r="A186" s="23" t="str">
        <f>IF(盘货信息!A186="","",盘货信息!A186)</f>
        <v/>
      </c>
      <c r="B186" s="26" t="str">
        <f>IF(盘货信息!B186="","",盘货信息!B186)</f>
        <v/>
      </c>
      <c r="C186" s="23" t="str">
        <f>IF(盘货信息!C186="","",盘货信息!C186)</f>
        <v/>
      </c>
      <c r="D186" s="27" t="str">
        <f t="shared" si="4"/>
        <v/>
      </c>
      <c r="E186" s="27" t="str" cm="1">
        <f t="array" ref="E186">IF($C186="","",IF(AND(OR(_xlfn.XLOOKUP($A186&amp;$B186&amp;$C186,盘货信息!$A:$A&amp;盘货信息!$B:$B&amp;盘货信息!$C:$C,盘货信息!$L:$L)="否",_xlfn.XLOOKUP($A186&amp;$B186&amp;$C186,盘货信息!$A:$A&amp;盘货信息!$B:$B&amp;盘货信息!$C:$C,盘货信息!$L:$L)=""),_xlfn.XLOOKUP($A186&amp;$B186&amp;$C186,盘货信息!$A:$A&amp;盘货信息!$B:$B&amp;盘货信息!$C:$C,盘货信息!$M:$M)="否"),"【预估到手价"&amp;_xlfn.XLOOKUP($A186&amp;$B186&amp;$C186,盘货信息!$A:$A&amp;盘货信息!$B:$B&amp;盘货信息!$C:$C,盘货信息!$D:$D)&amp;"元】",IF(AND(_xlfn.XLOOKUP($A186&amp;$B186&amp;$C186,盘货信息!$A:$A&amp;盘货信息!$B:$B&amp;盘货信息!$C:$C,盘货信息!$M:$M)="是",OR(_xlfn.XLOOKUP($A186&amp;$B186&amp;$C186,盘货信息!$A:$A&amp;盘货信息!$B:$B&amp;盘货信息!$C:$C,盘货信息!$L:$L)="否",_xlfn.XLOOKUP($A186&amp;$B186&amp;$C186,盘货信息!$A:$A&amp;盘货信息!$B:$B&amp;盘货信息!$C:$C,盘货信息!$L:$L)="")),"【预估到手价"&amp;_xlfn.XLOOKUP($A186&amp;$B186&amp;$C186,盘货信息!$A:$A&amp;盘货信息!$B:$B&amp;盘货信息!$C:$C,盘货信息!$D:$D)&amp;"元】"&amp;CHAR(10)&amp;"【焕新补贴预估价"&amp;ROUND(_xlfn.XLOOKUP($A186&amp;$B186&amp;$C186,盘货信息!$A:$A&amp;盘货信息!$B:$B&amp;盘货信息!$C:$C,盘货信息!$E:$E),0)&amp;"元】","【焕新补贴预估价"&amp;ROUND(_xlfn.XLOOKUP($A186&amp;$B186&amp;$C186,盘货信息!$A:$A&amp;盘货信息!$B:$B&amp;盘货信息!$C:$C,盘货信息!$E:$E),0)&amp;"元】")))</f>
        <v/>
      </c>
      <c r="F186" s="27" t="str" cm="1">
        <f t="array" ref="F186">IF($C186="","",_xlfn.XLOOKUP($A186&amp;$B186&amp;$C186,盘货信息!$A:$A&amp;盘货信息!$B:$B&amp;盘货信息!$C:$C,盘货信息!$D:$D)&amp;"元到手价")</f>
        <v/>
      </c>
      <c r="G186" s="27" t="str" cm="1">
        <f t="array" ref="G186">IF($C186="","",IF(_xlfn.XLOOKUP($A186&amp;$B186&amp;$C186,盘货信息!$A:$A&amp;盘货信息!$B:$B&amp;盘货信息!$C:$C,盘货信息!$G:$G)&lt;1,"",ROUND(_xlfn.XLOOKUP($A186&amp;$B186&amp;$C186,盘货信息!$A:$A&amp;盘货信息!$B:$B&amp;盘货信息!$C:$C,盘货信息!$G:$G),0)&amp;"元88VIP立减"))</f>
        <v/>
      </c>
      <c r="H186" s="27" t="str" cm="1">
        <f t="array" ref="H186">IF($C186="","",IF(_xlfn.XLOOKUP($A186&amp;$B186&amp;$C186,盘货信息!$A:$A&amp;盘货信息!$B:$B&amp;盘货信息!$C:$C,盘货信息!$I:$I)&lt;1,"",_xlfn.XLOOKUP($A186&amp;$B186&amp;$C186,盘货信息!$A:$A&amp;盘货信息!$B:$B&amp;盘货信息!$C:$C,盘货信息!$I:$I)&amp;"元惊喜立减"))</f>
        <v/>
      </c>
      <c r="I186" s="27" t="str" cm="1">
        <f t="array" ref="I186">IF($C186="","",IF(_xlfn.XLOOKUP($A186&amp;$B186&amp;$C186,盘货信息!$A:$A&amp;盘货信息!$B:$B&amp;盘货信息!$C:$C,盘货信息!$H:$H)&lt;1,"",ROUND(_xlfn.XLOOKUP($A186&amp;$B186&amp;$C186,盘货信息!$A:$A&amp;盘货信息!$B:$B&amp;盘货信息!$C:$C,盘货信息!$H:$H),0)&amp;"元消费券"))</f>
        <v/>
      </c>
      <c r="J186" s="27" t="str" cm="1">
        <f t="array" ref="J186">IF($C186="","",IF(_xlfn.XLOOKUP($A186&amp;$B186&amp;$C186,盘货信息!$A:$A&amp;盘货信息!$B:$B&amp;盘货信息!$C:$C,盘货信息!$J:$J)&lt;1,"",ROUND(_xlfn.XLOOKUP($A186&amp;$B186&amp;$C186,盘货信息!$A:$A&amp;盘货信息!$B:$B&amp;盘货信息!$C:$C,盘货信息!$J:$J),0)&amp;"元限时补贴"))</f>
        <v/>
      </c>
      <c r="K186" s="27" t="str" cm="1">
        <f t="array" ref="K186">IF($C186="","",IF(_xlfn.XLOOKUP($A186&amp;$B186&amp;$C186,盘货信息!$A:$A&amp;盘货信息!$B:$B&amp;盘货信息!$C:$C,盘货信息!$K:$K)&lt;1,"",ROUND(_xlfn.XLOOKUP($A186&amp;$B186&amp;$C186,盘货信息!$A:$A&amp;盘货信息!$B:$B&amp;盘货信息!$C:$C,盘货信息!$K:$K),0)&amp;"元预估焕新补贴"))</f>
        <v/>
      </c>
      <c r="L186" s="27" t="str" cm="1">
        <f t="array" ref="L186">IF($C186="","",IF(AND(_xlfn.XLOOKUP($A186&amp;$B186&amp;$C186,盘货信息!$A:$A&amp;盘货信息!$B:$B&amp;盘货信息!$C:$C,盘货信息!$L:$L)="是",_xlfn.XLOOKUP($A186&amp;$B186&amp;$C186,盘货信息!$A:$A&amp;盘货信息!$B:$B&amp;盘货信息!$C:$C,盘货信息!$M:$M)="是",_xlfn.XLOOKUP($A186&amp;$B186&amp;$C186,盘货信息!$A:$A&amp;盘货信息!$B:$B&amp;盘货信息!$C:$C,盘货信息!$K:$K)&gt;0),"【全民可用，不限地址】",IF(AND(OR(_xlfn.XLOOKUP($A186&amp;$B186&amp;$C186,盘货信息!$A:$A&amp;盘货信息!$B:$B&amp;盘货信息!$C:$C,盘货信息!$L:$L)="否",_xlfn.XLOOKUP($A186&amp;$B186&amp;$C186,盘货信息!$A:$A&amp;盘货信息!$B:$B&amp;盘货信息!$C:$C,盘货信息!$L:$L)=""),_xlfn.XLOOKUP($A186&amp;$B186&amp;$C186,盘货信息!$A:$A&amp;盘货信息!$B:$B&amp;盘货信息!$C:$C,盘货信息!$M:$M)="是",_xlfn.XLOOKUP($A186&amp;$B186&amp;$C186,盘货信息!$A:$A&amp;盘货信息!$B:$B&amp;盘货信息!$C:$C,盘货信息!$K:$K)&gt;0),"【详情页领取】","")))</f>
        <v/>
      </c>
      <c r="M186" s="27" t="str" cm="1">
        <f t="array" ref="M186">IF($C186="","",IF(_xlfn.XLOOKUP($A186&amp;$B186&amp;$C186,盘货信息!$A:$A&amp;盘货信息!$B:$B&amp;盘货信息!$C:$C,盘货信息!$F:$F)&lt;1,"",_xlfn.XLOOKUP($A186&amp;$B186&amp;$C186,盘货信息!$A:$A&amp;盘货信息!$B:$B&amp;盘货信息!$C:$C,盘货信息!$F:$F)&amp;"元明卷"))</f>
        <v/>
      </c>
      <c r="N186" s="27" t="str">
        <f t="shared" si="5"/>
        <v/>
      </c>
      <c r="O186" s="27" t="str">
        <f>IF(I186="","","【消费券链接】"&amp;固定信息!$B$6)</f>
        <v/>
      </c>
    </row>
    <row r="187" customHeight="1" spans="1:15">
      <c r="A187" s="23" t="str">
        <f>IF(盘货信息!A187="","",盘货信息!A187)</f>
        <v/>
      </c>
      <c r="B187" s="26" t="str">
        <f>IF(盘货信息!B187="","",盘货信息!B187)</f>
        <v/>
      </c>
      <c r="C187" s="23" t="str">
        <f>IF(盘货信息!C187="","",盘货信息!C187)</f>
        <v/>
      </c>
      <c r="D187" s="27" t="str">
        <f t="shared" si="4"/>
        <v/>
      </c>
      <c r="E187" s="27" t="str" cm="1">
        <f t="array" ref="E187">IF($C187="","",IF(AND(OR(_xlfn.XLOOKUP($A187&amp;$B187&amp;$C187,盘货信息!$A:$A&amp;盘货信息!$B:$B&amp;盘货信息!$C:$C,盘货信息!$L:$L)="否",_xlfn.XLOOKUP($A187&amp;$B187&amp;$C187,盘货信息!$A:$A&amp;盘货信息!$B:$B&amp;盘货信息!$C:$C,盘货信息!$L:$L)=""),_xlfn.XLOOKUP($A187&amp;$B187&amp;$C187,盘货信息!$A:$A&amp;盘货信息!$B:$B&amp;盘货信息!$C:$C,盘货信息!$M:$M)="否"),"【预估到手价"&amp;_xlfn.XLOOKUP($A187&amp;$B187&amp;$C187,盘货信息!$A:$A&amp;盘货信息!$B:$B&amp;盘货信息!$C:$C,盘货信息!$D:$D)&amp;"元】",IF(AND(_xlfn.XLOOKUP($A187&amp;$B187&amp;$C187,盘货信息!$A:$A&amp;盘货信息!$B:$B&amp;盘货信息!$C:$C,盘货信息!$M:$M)="是",OR(_xlfn.XLOOKUP($A187&amp;$B187&amp;$C187,盘货信息!$A:$A&amp;盘货信息!$B:$B&amp;盘货信息!$C:$C,盘货信息!$L:$L)="否",_xlfn.XLOOKUP($A187&amp;$B187&amp;$C187,盘货信息!$A:$A&amp;盘货信息!$B:$B&amp;盘货信息!$C:$C,盘货信息!$L:$L)="")),"【预估到手价"&amp;_xlfn.XLOOKUP($A187&amp;$B187&amp;$C187,盘货信息!$A:$A&amp;盘货信息!$B:$B&amp;盘货信息!$C:$C,盘货信息!$D:$D)&amp;"元】"&amp;CHAR(10)&amp;"【焕新补贴预估价"&amp;ROUND(_xlfn.XLOOKUP($A187&amp;$B187&amp;$C187,盘货信息!$A:$A&amp;盘货信息!$B:$B&amp;盘货信息!$C:$C,盘货信息!$E:$E),0)&amp;"元】","【焕新补贴预估价"&amp;ROUND(_xlfn.XLOOKUP($A187&amp;$B187&amp;$C187,盘货信息!$A:$A&amp;盘货信息!$B:$B&amp;盘货信息!$C:$C,盘货信息!$E:$E),0)&amp;"元】")))</f>
        <v/>
      </c>
      <c r="F187" s="27" t="str" cm="1">
        <f t="array" ref="F187">IF($C187="","",_xlfn.XLOOKUP($A187&amp;$B187&amp;$C187,盘货信息!$A:$A&amp;盘货信息!$B:$B&amp;盘货信息!$C:$C,盘货信息!$D:$D)&amp;"元到手价")</f>
        <v/>
      </c>
      <c r="G187" s="27" t="str" cm="1">
        <f t="array" ref="G187">IF($C187="","",IF(_xlfn.XLOOKUP($A187&amp;$B187&amp;$C187,盘货信息!$A:$A&amp;盘货信息!$B:$B&amp;盘货信息!$C:$C,盘货信息!$G:$G)&lt;1,"",ROUND(_xlfn.XLOOKUP($A187&amp;$B187&amp;$C187,盘货信息!$A:$A&amp;盘货信息!$B:$B&amp;盘货信息!$C:$C,盘货信息!$G:$G),0)&amp;"元88VIP立减"))</f>
        <v/>
      </c>
      <c r="H187" s="27" t="str" cm="1">
        <f t="array" ref="H187">IF($C187="","",IF(_xlfn.XLOOKUP($A187&amp;$B187&amp;$C187,盘货信息!$A:$A&amp;盘货信息!$B:$B&amp;盘货信息!$C:$C,盘货信息!$I:$I)&lt;1,"",_xlfn.XLOOKUP($A187&amp;$B187&amp;$C187,盘货信息!$A:$A&amp;盘货信息!$B:$B&amp;盘货信息!$C:$C,盘货信息!$I:$I)&amp;"元惊喜立减"))</f>
        <v/>
      </c>
      <c r="I187" s="27" t="str" cm="1">
        <f t="array" ref="I187">IF($C187="","",IF(_xlfn.XLOOKUP($A187&amp;$B187&amp;$C187,盘货信息!$A:$A&amp;盘货信息!$B:$B&amp;盘货信息!$C:$C,盘货信息!$H:$H)&lt;1,"",ROUND(_xlfn.XLOOKUP($A187&amp;$B187&amp;$C187,盘货信息!$A:$A&amp;盘货信息!$B:$B&amp;盘货信息!$C:$C,盘货信息!$H:$H),0)&amp;"元消费券"))</f>
        <v/>
      </c>
      <c r="J187" s="27" t="str" cm="1">
        <f t="array" ref="J187">IF($C187="","",IF(_xlfn.XLOOKUP($A187&amp;$B187&amp;$C187,盘货信息!$A:$A&amp;盘货信息!$B:$B&amp;盘货信息!$C:$C,盘货信息!$J:$J)&lt;1,"",ROUND(_xlfn.XLOOKUP($A187&amp;$B187&amp;$C187,盘货信息!$A:$A&amp;盘货信息!$B:$B&amp;盘货信息!$C:$C,盘货信息!$J:$J),0)&amp;"元限时补贴"))</f>
        <v/>
      </c>
      <c r="K187" s="27" t="str" cm="1">
        <f t="array" ref="K187">IF($C187="","",IF(_xlfn.XLOOKUP($A187&amp;$B187&amp;$C187,盘货信息!$A:$A&amp;盘货信息!$B:$B&amp;盘货信息!$C:$C,盘货信息!$K:$K)&lt;1,"",ROUND(_xlfn.XLOOKUP($A187&amp;$B187&amp;$C187,盘货信息!$A:$A&amp;盘货信息!$B:$B&amp;盘货信息!$C:$C,盘货信息!$K:$K),0)&amp;"元预估焕新补贴"))</f>
        <v/>
      </c>
      <c r="L187" s="27" t="str" cm="1">
        <f t="array" ref="L187">IF($C187="","",IF(AND(_xlfn.XLOOKUP($A187&amp;$B187&amp;$C187,盘货信息!$A:$A&amp;盘货信息!$B:$B&amp;盘货信息!$C:$C,盘货信息!$L:$L)="是",_xlfn.XLOOKUP($A187&amp;$B187&amp;$C187,盘货信息!$A:$A&amp;盘货信息!$B:$B&amp;盘货信息!$C:$C,盘货信息!$M:$M)="是",_xlfn.XLOOKUP($A187&amp;$B187&amp;$C187,盘货信息!$A:$A&amp;盘货信息!$B:$B&amp;盘货信息!$C:$C,盘货信息!$K:$K)&gt;0),"【全民可用，不限地址】",IF(AND(OR(_xlfn.XLOOKUP($A187&amp;$B187&amp;$C187,盘货信息!$A:$A&amp;盘货信息!$B:$B&amp;盘货信息!$C:$C,盘货信息!$L:$L)="否",_xlfn.XLOOKUP($A187&amp;$B187&amp;$C187,盘货信息!$A:$A&amp;盘货信息!$B:$B&amp;盘货信息!$C:$C,盘货信息!$L:$L)=""),_xlfn.XLOOKUP($A187&amp;$B187&amp;$C187,盘货信息!$A:$A&amp;盘货信息!$B:$B&amp;盘货信息!$C:$C,盘货信息!$M:$M)="是",_xlfn.XLOOKUP($A187&amp;$B187&amp;$C187,盘货信息!$A:$A&amp;盘货信息!$B:$B&amp;盘货信息!$C:$C,盘货信息!$K:$K)&gt;0),"【详情页领取】","")))</f>
        <v/>
      </c>
      <c r="M187" s="27" t="str" cm="1">
        <f t="array" ref="M187">IF($C187="","",IF(_xlfn.XLOOKUP($A187&amp;$B187&amp;$C187,盘货信息!$A:$A&amp;盘货信息!$B:$B&amp;盘货信息!$C:$C,盘货信息!$F:$F)&lt;1,"",_xlfn.XLOOKUP($A187&amp;$B187&amp;$C187,盘货信息!$A:$A&amp;盘货信息!$B:$B&amp;盘货信息!$C:$C,盘货信息!$F:$F)&amp;"元明卷"))</f>
        <v/>
      </c>
      <c r="N187" s="27" t="str">
        <f t="shared" si="5"/>
        <v/>
      </c>
      <c r="O187" s="27" t="str">
        <f>IF(I187="","","【消费券链接】"&amp;固定信息!$B$6)</f>
        <v/>
      </c>
    </row>
    <row r="188" customHeight="1" spans="1:15">
      <c r="A188" s="23" t="str">
        <f>IF(盘货信息!A188="","",盘货信息!A188)</f>
        <v/>
      </c>
      <c r="B188" s="26" t="str">
        <f>IF(盘货信息!B188="","",盘货信息!B188)</f>
        <v/>
      </c>
      <c r="C188" s="23" t="str">
        <f>IF(盘货信息!C188="","",盘货信息!C188)</f>
        <v/>
      </c>
      <c r="D188" s="27" t="str">
        <f t="shared" si="4"/>
        <v/>
      </c>
      <c r="E188" s="27" t="str" cm="1">
        <f t="array" ref="E188">IF($C188="","",IF(AND(OR(_xlfn.XLOOKUP($A188&amp;$B188&amp;$C188,盘货信息!$A:$A&amp;盘货信息!$B:$B&amp;盘货信息!$C:$C,盘货信息!$L:$L)="否",_xlfn.XLOOKUP($A188&amp;$B188&amp;$C188,盘货信息!$A:$A&amp;盘货信息!$B:$B&amp;盘货信息!$C:$C,盘货信息!$L:$L)=""),_xlfn.XLOOKUP($A188&amp;$B188&amp;$C188,盘货信息!$A:$A&amp;盘货信息!$B:$B&amp;盘货信息!$C:$C,盘货信息!$M:$M)="否"),"【预估到手价"&amp;_xlfn.XLOOKUP($A188&amp;$B188&amp;$C188,盘货信息!$A:$A&amp;盘货信息!$B:$B&amp;盘货信息!$C:$C,盘货信息!$D:$D)&amp;"元】",IF(AND(_xlfn.XLOOKUP($A188&amp;$B188&amp;$C188,盘货信息!$A:$A&amp;盘货信息!$B:$B&amp;盘货信息!$C:$C,盘货信息!$M:$M)="是",OR(_xlfn.XLOOKUP($A188&amp;$B188&amp;$C188,盘货信息!$A:$A&amp;盘货信息!$B:$B&amp;盘货信息!$C:$C,盘货信息!$L:$L)="否",_xlfn.XLOOKUP($A188&amp;$B188&amp;$C188,盘货信息!$A:$A&amp;盘货信息!$B:$B&amp;盘货信息!$C:$C,盘货信息!$L:$L)="")),"【预估到手价"&amp;_xlfn.XLOOKUP($A188&amp;$B188&amp;$C188,盘货信息!$A:$A&amp;盘货信息!$B:$B&amp;盘货信息!$C:$C,盘货信息!$D:$D)&amp;"元】"&amp;CHAR(10)&amp;"【焕新补贴预估价"&amp;ROUND(_xlfn.XLOOKUP($A188&amp;$B188&amp;$C188,盘货信息!$A:$A&amp;盘货信息!$B:$B&amp;盘货信息!$C:$C,盘货信息!$E:$E),0)&amp;"元】","【焕新补贴预估价"&amp;ROUND(_xlfn.XLOOKUP($A188&amp;$B188&amp;$C188,盘货信息!$A:$A&amp;盘货信息!$B:$B&amp;盘货信息!$C:$C,盘货信息!$E:$E),0)&amp;"元】")))</f>
        <v/>
      </c>
      <c r="F188" s="27" t="str" cm="1">
        <f t="array" ref="F188">IF($C188="","",_xlfn.XLOOKUP($A188&amp;$B188&amp;$C188,盘货信息!$A:$A&amp;盘货信息!$B:$B&amp;盘货信息!$C:$C,盘货信息!$D:$D)&amp;"元到手价")</f>
        <v/>
      </c>
      <c r="G188" s="27" t="str" cm="1">
        <f t="array" ref="G188">IF($C188="","",IF(_xlfn.XLOOKUP($A188&amp;$B188&amp;$C188,盘货信息!$A:$A&amp;盘货信息!$B:$B&amp;盘货信息!$C:$C,盘货信息!$G:$G)&lt;1,"",ROUND(_xlfn.XLOOKUP($A188&amp;$B188&amp;$C188,盘货信息!$A:$A&amp;盘货信息!$B:$B&amp;盘货信息!$C:$C,盘货信息!$G:$G),0)&amp;"元88VIP立减"))</f>
        <v/>
      </c>
      <c r="H188" s="27" t="str" cm="1">
        <f t="array" ref="H188">IF($C188="","",IF(_xlfn.XLOOKUP($A188&amp;$B188&amp;$C188,盘货信息!$A:$A&amp;盘货信息!$B:$B&amp;盘货信息!$C:$C,盘货信息!$I:$I)&lt;1,"",_xlfn.XLOOKUP($A188&amp;$B188&amp;$C188,盘货信息!$A:$A&amp;盘货信息!$B:$B&amp;盘货信息!$C:$C,盘货信息!$I:$I)&amp;"元惊喜立减"))</f>
        <v/>
      </c>
      <c r="I188" s="27" t="str" cm="1">
        <f t="array" ref="I188">IF($C188="","",IF(_xlfn.XLOOKUP($A188&amp;$B188&amp;$C188,盘货信息!$A:$A&amp;盘货信息!$B:$B&amp;盘货信息!$C:$C,盘货信息!$H:$H)&lt;1,"",ROUND(_xlfn.XLOOKUP($A188&amp;$B188&amp;$C188,盘货信息!$A:$A&amp;盘货信息!$B:$B&amp;盘货信息!$C:$C,盘货信息!$H:$H),0)&amp;"元消费券"))</f>
        <v/>
      </c>
      <c r="J188" s="27" t="str" cm="1">
        <f t="array" ref="J188">IF($C188="","",IF(_xlfn.XLOOKUP($A188&amp;$B188&amp;$C188,盘货信息!$A:$A&amp;盘货信息!$B:$B&amp;盘货信息!$C:$C,盘货信息!$J:$J)&lt;1,"",ROUND(_xlfn.XLOOKUP($A188&amp;$B188&amp;$C188,盘货信息!$A:$A&amp;盘货信息!$B:$B&amp;盘货信息!$C:$C,盘货信息!$J:$J),0)&amp;"元限时补贴"))</f>
        <v/>
      </c>
      <c r="K188" s="27" t="str" cm="1">
        <f t="array" ref="K188">IF($C188="","",IF(_xlfn.XLOOKUP($A188&amp;$B188&amp;$C188,盘货信息!$A:$A&amp;盘货信息!$B:$B&amp;盘货信息!$C:$C,盘货信息!$K:$K)&lt;1,"",ROUND(_xlfn.XLOOKUP($A188&amp;$B188&amp;$C188,盘货信息!$A:$A&amp;盘货信息!$B:$B&amp;盘货信息!$C:$C,盘货信息!$K:$K),0)&amp;"元预估焕新补贴"))</f>
        <v/>
      </c>
      <c r="L188" s="27" t="str" cm="1">
        <f t="array" ref="L188">IF($C188="","",IF(AND(_xlfn.XLOOKUP($A188&amp;$B188&amp;$C188,盘货信息!$A:$A&amp;盘货信息!$B:$B&amp;盘货信息!$C:$C,盘货信息!$L:$L)="是",_xlfn.XLOOKUP($A188&amp;$B188&amp;$C188,盘货信息!$A:$A&amp;盘货信息!$B:$B&amp;盘货信息!$C:$C,盘货信息!$M:$M)="是",_xlfn.XLOOKUP($A188&amp;$B188&amp;$C188,盘货信息!$A:$A&amp;盘货信息!$B:$B&amp;盘货信息!$C:$C,盘货信息!$K:$K)&gt;0),"【全民可用，不限地址】",IF(AND(OR(_xlfn.XLOOKUP($A188&amp;$B188&amp;$C188,盘货信息!$A:$A&amp;盘货信息!$B:$B&amp;盘货信息!$C:$C,盘货信息!$L:$L)="否",_xlfn.XLOOKUP($A188&amp;$B188&amp;$C188,盘货信息!$A:$A&amp;盘货信息!$B:$B&amp;盘货信息!$C:$C,盘货信息!$L:$L)=""),_xlfn.XLOOKUP($A188&amp;$B188&amp;$C188,盘货信息!$A:$A&amp;盘货信息!$B:$B&amp;盘货信息!$C:$C,盘货信息!$M:$M)="是",_xlfn.XLOOKUP($A188&amp;$B188&amp;$C188,盘货信息!$A:$A&amp;盘货信息!$B:$B&amp;盘货信息!$C:$C,盘货信息!$K:$K)&gt;0),"【详情页领取】","")))</f>
        <v/>
      </c>
      <c r="M188" s="27" t="str" cm="1">
        <f t="array" ref="M188">IF($C188="","",IF(_xlfn.XLOOKUP($A188&amp;$B188&amp;$C188,盘货信息!$A:$A&amp;盘货信息!$B:$B&amp;盘货信息!$C:$C,盘货信息!$F:$F)&lt;1,"",_xlfn.XLOOKUP($A188&amp;$B188&amp;$C188,盘货信息!$A:$A&amp;盘货信息!$B:$B&amp;盘货信息!$C:$C,盘货信息!$F:$F)&amp;"元明卷"))</f>
        <v/>
      </c>
      <c r="N188" s="27" t="str">
        <f t="shared" si="5"/>
        <v/>
      </c>
      <c r="O188" s="27" t="str">
        <f>IF(I188="","","【消费券链接】"&amp;固定信息!$B$6)</f>
        <v/>
      </c>
    </row>
    <row r="189" customHeight="1" spans="1:15">
      <c r="A189" s="23" t="str">
        <f>IF(盘货信息!A189="","",盘货信息!A189)</f>
        <v/>
      </c>
      <c r="B189" s="26" t="str">
        <f>IF(盘货信息!B189="","",盘货信息!B189)</f>
        <v/>
      </c>
      <c r="C189" s="23" t="str">
        <f>IF(盘货信息!C189="","",盘货信息!C189)</f>
        <v/>
      </c>
      <c r="D189" s="27" t="str">
        <f t="shared" si="4"/>
        <v/>
      </c>
      <c r="E189" s="27" t="str" cm="1">
        <f t="array" ref="E189">IF($C189="","",IF(AND(OR(_xlfn.XLOOKUP($A189&amp;$B189&amp;$C189,盘货信息!$A:$A&amp;盘货信息!$B:$B&amp;盘货信息!$C:$C,盘货信息!$L:$L)="否",_xlfn.XLOOKUP($A189&amp;$B189&amp;$C189,盘货信息!$A:$A&amp;盘货信息!$B:$B&amp;盘货信息!$C:$C,盘货信息!$L:$L)=""),_xlfn.XLOOKUP($A189&amp;$B189&amp;$C189,盘货信息!$A:$A&amp;盘货信息!$B:$B&amp;盘货信息!$C:$C,盘货信息!$M:$M)="否"),"【预估到手价"&amp;_xlfn.XLOOKUP($A189&amp;$B189&amp;$C189,盘货信息!$A:$A&amp;盘货信息!$B:$B&amp;盘货信息!$C:$C,盘货信息!$D:$D)&amp;"元】",IF(AND(_xlfn.XLOOKUP($A189&amp;$B189&amp;$C189,盘货信息!$A:$A&amp;盘货信息!$B:$B&amp;盘货信息!$C:$C,盘货信息!$M:$M)="是",OR(_xlfn.XLOOKUP($A189&amp;$B189&amp;$C189,盘货信息!$A:$A&amp;盘货信息!$B:$B&amp;盘货信息!$C:$C,盘货信息!$L:$L)="否",_xlfn.XLOOKUP($A189&amp;$B189&amp;$C189,盘货信息!$A:$A&amp;盘货信息!$B:$B&amp;盘货信息!$C:$C,盘货信息!$L:$L)="")),"【预估到手价"&amp;_xlfn.XLOOKUP($A189&amp;$B189&amp;$C189,盘货信息!$A:$A&amp;盘货信息!$B:$B&amp;盘货信息!$C:$C,盘货信息!$D:$D)&amp;"元】"&amp;CHAR(10)&amp;"【焕新补贴预估价"&amp;ROUND(_xlfn.XLOOKUP($A189&amp;$B189&amp;$C189,盘货信息!$A:$A&amp;盘货信息!$B:$B&amp;盘货信息!$C:$C,盘货信息!$E:$E),0)&amp;"元】","【焕新补贴预估价"&amp;ROUND(_xlfn.XLOOKUP($A189&amp;$B189&amp;$C189,盘货信息!$A:$A&amp;盘货信息!$B:$B&amp;盘货信息!$C:$C,盘货信息!$E:$E),0)&amp;"元】")))</f>
        <v/>
      </c>
      <c r="F189" s="27" t="str" cm="1">
        <f t="array" ref="F189">IF($C189="","",_xlfn.XLOOKUP($A189&amp;$B189&amp;$C189,盘货信息!$A:$A&amp;盘货信息!$B:$B&amp;盘货信息!$C:$C,盘货信息!$D:$D)&amp;"元到手价")</f>
        <v/>
      </c>
      <c r="G189" s="27" t="str" cm="1">
        <f t="array" ref="G189">IF($C189="","",IF(_xlfn.XLOOKUP($A189&amp;$B189&amp;$C189,盘货信息!$A:$A&amp;盘货信息!$B:$B&amp;盘货信息!$C:$C,盘货信息!$G:$G)&lt;1,"",ROUND(_xlfn.XLOOKUP($A189&amp;$B189&amp;$C189,盘货信息!$A:$A&amp;盘货信息!$B:$B&amp;盘货信息!$C:$C,盘货信息!$G:$G),0)&amp;"元88VIP立减"))</f>
        <v/>
      </c>
      <c r="H189" s="27" t="str" cm="1">
        <f t="array" ref="H189">IF($C189="","",IF(_xlfn.XLOOKUP($A189&amp;$B189&amp;$C189,盘货信息!$A:$A&amp;盘货信息!$B:$B&amp;盘货信息!$C:$C,盘货信息!$I:$I)&lt;1,"",_xlfn.XLOOKUP($A189&amp;$B189&amp;$C189,盘货信息!$A:$A&amp;盘货信息!$B:$B&amp;盘货信息!$C:$C,盘货信息!$I:$I)&amp;"元惊喜立减"))</f>
        <v/>
      </c>
      <c r="I189" s="27" t="str" cm="1">
        <f t="array" ref="I189">IF($C189="","",IF(_xlfn.XLOOKUP($A189&amp;$B189&amp;$C189,盘货信息!$A:$A&amp;盘货信息!$B:$B&amp;盘货信息!$C:$C,盘货信息!$H:$H)&lt;1,"",ROUND(_xlfn.XLOOKUP($A189&amp;$B189&amp;$C189,盘货信息!$A:$A&amp;盘货信息!$B:$B&amp;盘货信息!$C:$C,盘货信息!$H:$H),0)&amp;"元消费券"))</f>
        <v/>
      </c>
      <c r="J189" s="27" t="str" cm="1">
        <f t="array" ref="J189">IF($C189="","",IF(_xlfn.XLOOKUP($A189&amp;$B189&amp;$C189,盘货信息!$A:$A&amp;盘货信息!$B:$B&amp;盘货信息!$C:$C,盘货信息!$J:$J)&lt;1,"",ROUND(_xlfn.XLOOKUP($A189&amp;$B189&amp;$C189,盘货信息!$A:$A&amp;盘货信息!$B:$B&amp;盘货信息!$C:$C,盘货信息!$J:$J),0)&amp;"元限时补贴"))</f>
        <v/>
      </c>
      <c r="K189" s="27" t="str" cm="1">
        <f t="array" ref="K189">IF($C189="","",IF(_xlfn.XLOOKUP($A189&amp;$B189&amp;$C189,盘货信息!$A:$A&amp;盘货信息!$B:$B&amp;盘货信息!$C:$C,盘货信息!$K:$K)&lt;1,"",ROUND(_xlfn.XLOOKUP($A189&amp;$B189&amp;$C189,盘货信息!$A:$A&amp;盘货信息!$B:$B&amp;盘货信息!$C:$C,盘货信息!$K:$K),0)&amp;"元预估焕新补贴"))</f>
        <v/>
      </c>
      <c r="L189" s="27" t="str" cm="1">
        <f t="array" ref="L189">IF($C189="","",IF(AND(_xlfn.XLOOKUP($A189&amp;$B189&amp;$C189,盘货信息!$A:$A&amp;盘货信息!$B:$B&amp;盘货信息!$C:$C,盘货信息!$L:$L)="是",_xlfn.XLOOKUP($A189&amp;$B189&amp;$C189,盘货信息!$A:$A&amp;盘货信息!$B:$B&amp;盘货信息!$C:$C,盘货信息!$M:$M)="是",_xlfn.XLOOKUP($A189&amp;$B189&amp;$C189,盘货信息!$A:$A&amp;盘货信息!$B:$B&amp;盘货信息!$C:$C,盘货信息!$K:$K)&gt;0),"【全民可用，不限地址】",IF(AND(OR(_xlfn.XLOOKUP($A189&amp;$B189&amp;$C189,盘货信息!$A:$A&amp;盘货信息!$B:$B&amp;盘货信息!$C:$C,盘货信息!$L:$L)="否",_xlfn.XLOOKUP($A189&amp;$B189&amp;$C189,盘货信息!$A:$A&amp;盘货信息!$B:$B&amp;盘货信息!$C:$C,盘货信息!$L:$L)=""),_xlfn.XLOOKUP($A189&amp;$B189&amp;$C189,盘货信息!$A:$A&amp;盘货信息!$B:$B&amp;盘货信息!$C:$C,盘货信息!$M:$M)="是",_xlfn.XLOOKUP($A189&amp;$B189&amp;$C189,盘货信息!$A:$A&amp;盘货信息!$B:$B&amp;盘货信息!$C:$C,盘货信息!$K:$K)&gt;0),"【详情页领取】","")))</f>
        <v/>
      </c>
      <c r="M189" s="27" t="str" cm="1">
        <f t="array" ref="M189">IF($C189="","",IF(_xlfn.XLOOKUP($A189&amp;$B189&amp;$C189,盘货信息!$A:$A&amp;盘货信息!$B:$B&amp;盘货信息!$C:$C,盘货信息!$F:$F)&lt;1,"",_xlfn.XLOOKUP($A189&amp;$B189&amp;$C189,盘货信息!$A:$A&amp;盘货信息!$B:$B&amp;盘货信息!$C:$C,盘货信息!$F:$F)&amp;"元明卷"))</f>
        <v/>
      </c>
      <c r="N189" s="27" t="str">
        <f t="shared" si="5"/>
        <v/>
      </c>
      <c r="O189" s="27" t="str">
        <f>IF(I189="","","【消费券链接】"&amp;固定信息!$B$6)</f>
        <v/>
      </c>
    </row>
    <row r="190" customHeight="1" spans="1:15">
      <c r="A190" s="23" t="str">
        <f>IF(盘货信息!A190="","",盘货信息!A190)</f>
        <v/>
      </c>
      <c r="B190" s="26" t="str">
        <f>IF(盘货信息!B190="","",盘货信息!B190)</f>
        <v/>
      </c>
      <c r="C190" s="23" t="str">
        <f>IF(盘货信息!C190="","",盘货信息!C190)</f>
        <v/>
      </c>
      <c r="D190" s="27" t="str">
        <f t="shared" si="4"/>
        <v/>
      </c>
      <c r="E190" s="27" t="str" cm="1">
        <f t="array" ref="E190">IF($C190="","",IF(AND(OR(_xlfn.XLOOKUP($A190&amp;$B190&amp;$C190,盘货信息!$A:$A&amp;盘货信息!$B:$B&amp;盘货信息!$C:$C,盘货信息!$L:$L)="否",_xlfn.XLOOKUP($A190&amp;$B190&amp;$C190,盘货信息!$A:$A&amp;盘货信息!$B:$B&amp;盘货信息!$C:$C,盘货信息!$L:$L)=""),_xlfn.XLOOKUP($A190&amp;$B190&amp;$C190,盘货信息!$A:$A&amp;盘货信息!$B:$B&amp;盘货信息!$C:$C,盘货信息!$M:$M)="否"),"【预估到手价"&amp;_xlfn.XLOOKUP($A190&amp;$B190&amp;$C190,盘货信息!$A:$A&amp;盘货信息!$B:$B&amp;盘货信息!$C:$C,盘货信息!$D:$D)&amp;"元】",IF(AND(_xlfn.XLOOKUP($A190&amp;$B190&amp;$C190,盘货信息!$A:$A&amp;盘货信息!$B:$B&amp;盘货信息!$C:$C,盘货信息!$M:$M)="是",OR(_xlfn.XLOOKUP($A190&amp;$B190&amp;$C190,盘货信息!$A:$A&amp;盘货信息!$B:$B&amp;盘货信息!$C:$C,盘货信息!$L:$L)="否",_xlfn.XLOOKUP($A190&amp;$B190&amp;$C190,盘货信息!$A:$A&amp;盘货信息!$B:$B&amp;盘货信息!$C:$C,盘货信息!$L:$L)="")),"【预估到手价"&amp;_xlfn.XLOOKUP($A190&amp;$B190&amp;$C190,盘货信息!$A:$A&amp;盘货信息!$B:$B&amp;盘货信息!$C:$C,盘货信息!$D:$D)&amp;"元】"&amp;CHAR(10)&amp;"【焕新补贴预估价"&amp;ROUND(_xlfn.XLOOKUP($A190&amp;$B190&amp;$C190,盘货信息!$A:$A&amp;盘货信息!$B:$B&amp;盘货信息!$C:$C,盘货信息!$E:$E),0)&amp;"元】","【焕新补贴预估价"&amp;ROUND(_xlfn.XLOOKUP($A190&amp;$B190&amp;$C190,盘货信息!$A:$A&amp;盘货信息!$B:$B&amp;盘货信息!$C:$C,盘货信息!$E:$E),0)&amp;"元】")))</f>
        <v/>
      </c>
      <c r="F190" s="27" t="str" cm="1">
        <f t="array" ref="F190">IF($C190="","",_xlfn.XLOOKUP($A190&amp;$B190&amp;$C190,盘货信息!$A:$A&amp;盘货信息!$B:$B&amp;盘货信息!$C:$C,盘货信息!$D:$D)&amp;"元到手价")</f>
        <v/>
      </c>
      <c r="G190" s="27" t="str" cm="1">
        <f t="array" ref="G190">IF($C190="","",IF(_xlfn.XLOOKUP($A190&amp;$B190&amp;$C190,盘货信息!$A:$A&amp;盘货信息!$B:$B&amp;盘货信息!$C:$C,盘货信息!$G:$G)&lt;1,"",ROUND(_xlfn.XLOOKUP($A190&amp;$B190&amp;$C190,盘货信息!$A:$A&amp;盘货信息!$B:$B&amp;盘货信息!$C:$C,盘货信息!$G:$G),0)&amp;"元88VIP立减"))</f>
        <v/>
      </c>
      <c r="H190" s="27" t="str" cm="1">
        <f t="array" ref="H190">IF($C190="","",IF(_xlfn.XLOOKUP($A190&amp;$B190&amp;$C190,盘货信息!$A:$A&amp;盘货信息!$B:$B&amp;盘货信息!$C:$C,盘货信息!$I:$I)&lt;1,"",_xlfn.XLOOKUP($A190&amp;$B190&amp;$C190,盘货信息!$A:$A&amp;盘货信息!$B:$B&amp;盘货信息!$C:$C,盘货信息!$I:$I)&amp;"元惊喜立减"))</f>
        <v/>
      </c>
      <c r="I190" s="27" t="str" cm="1">
        <f t="array" ref="I190">IF($C190="","",IF(_xlfn.XLOOKUP($A190&amp;$B190&amp;$C190,盘货信息!$A:$A&amp;盘货信息!$B:$B&amp;盘货信息!$C:$C,盘货信息!$H:$H)&lt;1,"",ROUND(_xlfn.XLOOKUP($A190&amp;$B190&amp;$C190,盘货信息!$A:$A&amp;盘货信息!$B:$B&amp;盘货信息!$C:$C,盘货信息!$H:$H),0)&amp;"元消费券"))</f>
        <v/>
      </c>
      <c r="J190" s="27" t="str" cm="1">
        <f t="array" ref="J190">IF($C190="","",IF(_xlfn.XLOOKUP($A190&amp;$B190&amp;$C190,盘货信息!$A:$A&amp;盘货信息!$B:$B&amp;盘货信息!$C:$C,盘货信息!$J:$J)&lt;1,"",ROUND(_xlfn.XLOOKUP($A190&amp;$B190&amp;$C190,盘货信息!$A:$A&amp;盘货信息!$B:$B&amp;盘货信息!$C:$C,盘货信息!$J:$J),0)&amp;"元限时补贴"))</f>
        <v/>
      </c>
      <c r="K190" s="27" t="str" cm="1">
        <f t="array" ref="K190">IF($C190="","",IF(_xlfn.XLOOKUP($A190&amp;$B190&amp;$C190,盘货信息!$A:$A&amp;盘货信息!$B:$B&amp;盘货信息!$C:$C,盘货信息!$K:$K)&lt;1,"",ROUND(_xlfn.XLOOKUP($A190&amp;$B190&amp;$C190,盘货信息!$A:$A&amp;盘货信息!$B:$B&amp;盘货信息!$C:$C,盘货信息!$K:$K),0)&amp;"元预估焕新补贴"))</f>
        <v/>
      </c>
      <c r="L190" s="27" t="str" cm="1">
        <f t="array" ref="L190">IF($C190="","",IF(AND(_xlfn.XLOOKUP($A190&amp;$B190&amp;$C190,盘货信息!$A:$A&amp;盘货信息!$B:$B&amp;盘货信息!$C:$C,盘货信息!$L:$L)="是",_xlfn.XLOOKUP($A190&amp;$B190&amp;$C190,盘货信息!$A:$A&amp;盘货信息!$B:$B&amp;盘货信息!$C:$C,盘货信息!$M:$M)="是",_xlfn.XLOOKUP($A190&amp;$B190&amp;$C190,盘货信息!$A:$A&amp;盘货信息!$B:$B&amp;盘货信息!$C:$C,盘货信息!$K:$K)&gt;0),"【全民可用，不限地址】",IF(AND(OR(_xlfn.XLOOKUP($A190&amp;$B190&amp;$C190,盘货信息!$A:$A&amp;盘货信息!$B:$B&amp;盘货信息!$C:$C,盘货信息!$L:$L)="否",_xlfn.XLOOKUP($A190&amp;$B190&amp;$C190,盘货信息!$A:$A&amp;盘货信息!$B:$B&amp;盘货信息!$C:$C,盘货信息!$L:$L)=""),_xlfn.XLOOKUP($A190&amp;$B190&amp;$C190,盘货信息!$A:$A&amp;盘货信息!$B:$B&amp;盘货信息!$C:$C,盘货信息!$M:$M)="是",_xlfn.XLOOKUP($A190&amp;$B190&amp;$C190,盘货信息!$A:$A&amp;盘货信息!$B:$B&amp;盘货信息!$C:$C,盘货信息!$K:$K)&gt;0),"【详情页领取】","")))</f>
        <v/>
      </c>
      <c r="M190" s="27" t="str" cm="1">
        <f t="array" ref="M190">IF($C190="","",IF(_xlfn.XLOOKUP($A190&amp;$B190&amp;$C190,盘货信息!$A:$A&amp;盘货信息!$B:$B&amp;盘货信息!$C:$C,盘货信息!$F:$F)&lt;1,"",_xlfn.XLOOKUP($A190&amp;$B190&amp;$C190,盘货信息!$A:$A&amp;盘货信息!$B:$B&amp;盘货信息!$C:$C,盘货信息!$F:$F)&amp;"元明卷"))</f>
        <v/>
      </c>
      <c r="N190" s="27" t="str">
        <f t="shared" si="5"/>
        <v/>
      </c>
      <c r="O190" s="27" t="str">
        <f>IF(I190="","","【消费券链接】"&amp;固定信息!$B$6)</f>
        <v/>
      </c>
    </row>
    <row r="191" customHeight="1" spans="1:15">
      <c r="A191" s="23" t="str">
        <f>IF(盘货信息!A191="","",盘货信息!A191)</f>
        <v/>
      </c>
      <c r="B191" s="26" t="str">
        <f>IF(盘货信息!B191="","",盘货信息!B191)</f>
        <v/>
      </c>
      <c r="C191" s="23" t="str">
        <f>IF(盘货信息!C191="","",盘货信息!C191)</f>
        <v/>
      </c>
      <c r="D191" s="27" t="str">
        <f t="shared" si="4"/>
        <v/>
      </c>
      <c r="E191" s="27" t="str" cm="1">
        <f t="array" ref="E191">IF($C191="","",IF(AND(OR(_xlfn.XLOOKUP($A191&amp;$B191&amp;$C191,盘货信息!$A:$A&amp;盘货信息!$B:$B&amp;盘货信息!$C:$C,盘货信息!$L:$L)="否",_xlfn.XLOOKUP($A191&amp;$B191&amp;$C191,盘货信息!$A:$A&amp;盘货信息!$B:$B&amp;盘货信息!$C:$C,盘货信息!$L:$L)=""),_xlfn.XLOOKUP($A191&amp;$B191&amp;$C191,盘货信息!$A:$A&amp;盘货信息!$B:$B&amp;盘货信息!$C:$C,盘货信息!$M:$M)="否"),"【预估到手价"&amp;_xlfn.XLOOKUP($A191&amp;$B191&amp;$C191,盘货信息!$A:$A&amp;盘货信息!$B:$B&amp;盘货信息!$C:$C,盘货信息!$D:$D)&amp;"元】",IF(AND(_xlfn.XLOOKUP($A191&amp;$B191&amp;$C191,盘货信息!$A:$A&amp;盘货信息!$B:$B&amp;盘货信息!$C:$C,盘货信息!$M:$M)="是",OR(_xlfn.XLOOKUP($A191&amp;$B191&amp;$C191,盘货信息!$A:$A&amp;盘货信息!$B:$B&amp;盘货信息!$C:$C,盘货信息!$L:$L)="否",_xlfn.XLOOKUP($A191&amp;$B191&amp;$C191,盘货信息!$A:$A&amp;盘货信息!$B:$B&amp;盘货信息!$C:$C,盘货信息!$L:$L)="")),"【预估到手价"&amp;_xlfn.XLOOKUP($A191&amp;$B191&amp;$C191,盘货信息!$A:$A&amp;盘货信息!$B:$B&amp;盘货信息!$C:$C,盘货信息!$D:$D)&amp;"元】"&amp;CHAR(10)&amp;"【焕新补贴预估价"&amp;ROUND(_xlfn.XLOOKUP($A191&amp;$B191&amp;$C191,盘货信息!$A:$A&amp;盘货信息!$B:$B&amp;盘货信息!$C:$C,盘货信息!$E:$E),0)&amp;"元】","【焕新补贴预估价"&amp;ROUND(_xlfn.XLOOKUP($A191&amp;$B191&amp;$C191,盘货信息!$A:$A&amp;盘货信息!$B:$B&amp;盘货信息!$C:$C,盘货信息!$E:$E),0)&amp;"元】")))</f>
        <v/>
      </c>
      <c r="F191" s="27" t="str" cm="1">
        <f t="array" ref="F191">IF($C191="","",_xlfn.XLOOKUP($A191&amp;$B191&amp;$C191,盘货信息!$A:$A&amp;盘货信息!$B:$B&amp;盘货信息!$C:$C,盘货信息!$D:$D)&amp;"元到手价")</f>
        <v/>
      </c>
      <c r="G191" s="27" t="str" cm="1">
        <f t="array" ref="G191">IF($C191="","",IF(_xlfn.XLOOKUP($A191&amp;$B191&amp;$C191,盘货信息!$A:$A&amp;盘货信息!$B:$B&amp;盘货信息!$C:$C,盘货信息!$G:$G)&lt;1,"",ROUND(_xlfn.XLOOKUP($A191&amp;$B191&amp;$C191,盘货信息!$A:$A&amp;盘货信息!$B:$B&amp;盘货信息!$C:$C,盘货信息!$G:$G),0)&amp;"元88VIP立减"))</f>
        <v/>
      </c>
      <c r="H191" s="27" t="str" cm="1">
        <f t="array" ref="H191">IF($C191="","",IF(_xlfn.XLOOKUP($A191&amp;$B191&amp;$C191,盘货信息!$A:$A&amp;盘货信息!$B:$B&amp;盘货信息!$C:$C,盘货信息!$I:$I)&lt;1,"",_xlfn.XLOOKUP($A191&amp;$B191&amp;$C191,盘货信息!$A:$A&amp;盘货信息!$B:$B&amp;盘货信息!$C:$C,盘货信息!$I:$I)&amp;"元惊喜立减"))</f>
        <v/>
      </c>
      <c r="I191" s="27" t="str" cm="1">
        <f t="array" ref="I191">IF($C191="","",IF(_xlfn.XLOOKUP($A191&amp;$B191&amp;$C191,盘货信息!$A:$A&amp;盘货信息!$B:$B&amp;盘货信息!$C:$C,盘货信息!$H:$H)&lt;1,"",ROUND(_xlfn.XLOOKUP($A191&amp;$B191&amp;$C191,盘货信息!$A:$A&amp;盘货信息!$B:$B&amp;盘货信息!$C:$C,盘货信息!$H:$H),0)&amp;"元消费券"))</f>
        <v/>
      </c>
      <c r="J191" s="27" t="str" cm="1">
        <f t="array" ref="J191">IF($C191="","",IF(_xlfn.XLOOKUP($A191&amp;$B191&amp;$C191,盘货信息!$A:$A&amp;盘货信息!$B:$B&amp;盘货信息!$C:$C,盘货信息!$J:$J)&lt;1,"",ROUND(_xlfn.XLOOKUP($A191&amp;$B191&amp;$C191,盘货信息!$A:$A&amp;盘货信息!$B:$B&amp;盘货信息!$C:$C,盘货信息!$J:$J),0)&amp;"元限时补贴"))</f>
        <v/>
      </c>
      <c r="K191" s="27" t="str" cm="1">
        <f t="array" ref="K191">IF($C191="","",IF(_xlfn.XLOOKUP($A191&amp;$B191&amp;$C191,盘货信息!$A:$A&amp;盘货信息!$B:$B&amp;盘货信息!$C:$C,盘货信息!$K:$K)&lt;1,"",ROUND(_xlfn.XLOOKUP($A191&amp;$B191&amp;$C191,盘货信息!$A:$A&amp;盘货信息!$B:$B&amp;盘货信息!$C:$C,盘货信息!$K:$K),0)&amp;"元预估焕新补贴"))</f>
        <v/>
      </c>
      <c r="L191" s="27" t="str" cm="1">
        <f t="array" ref="L191">IF($C191="","",IF(AND(_xlfn.XLOOKUP($A191&amp;$B191&amp;$C191,盘货信息!$A:$A&amp;盘货信息!$B:$B&amp;盘货信息!$C:$C,盘货信息!$L:$L)="是",_xlfn.XLOOKUP($A191&amp;$B191&amp;$C191,盘货信息!$A:$A&amp;盘货信息!$B:$B&amp;盘货信息!$C:$C,盘货信息!$M:$M)="是",_xlfn.XLOOKUP($A191&amp;$B191&amp;$C191,盘货信息!$A:$A&amp;盘货信息!$B:$B&amp;盘货信息!$C:$C,盘货信息!$K:$K)&gt;0),"【全民可用，不限地址】",IF(AND(OR(_xlfn.XLOOKUP($A191&amp;$B191&amp;$C191,盘货信息!$A:$A&amp;盘货信息!$B:$B&amp;盘货信息!$C:$C,盘货信息!$L:$L)="否",_xlfn.XLOOKUP($A191&amp;$B191&amp;$C191,盘货信息!$A:$A&amp;盘货信息!$B:$B&amp;盘货信息!$C:$C,盘货信息!$L:$L)=""),_xlfn.XLOOKUP($A191&amp;$B191&amp;$C191,盘货信息!$A:$A&amp;盘货信息!$B:$B&amp;盘货信息!$C:$C,盘货信息!$M:$M)="是",_xlfn.XLOOKUP($A191&amp;$B191&amp;$C191,盘货信息!$A:$A&amp;盘货信息!$B:$B&amp;盘货信息!$C:$C,盘货信息!$K:$K)&gt;0),"【详情页领取】","")))</f>
        <v/>
      </c>
      <c r="M191" s="27" t="str" cm="1">
        <f t="array" ref="M191">IF($C191="","",IF(_xlfn.XLOOKUP($A191&amp;$B191&amp;$C191,盘货信息!$A:$A&amp;盘货信息!$B:$B&amp;盘货信息!$C:$C,盘货信息!$F:$F)&lt;1,"",_xlfn.XLOOKUP($A191&amp;$B191&amp;$C191,盘货信息!$A:$A&amp;盘货信息!$B:$B&amp;盘货信息!$C:$C,盘货信息!$F:$F)&amp;"元明卷"))</f>
        <v/>
      </c>
      <c r="N191" s="27" t="str">
        <f t="shared" si="5"/>
        <v/>
      </c>
      <c r="O191" s="27" t="str">
        <f>IF(I191="","","【消费券链接】"&amp;固定信息!$B$6)</f>
        <v/>
      </c>
    </row>
    <row r="192" customHeight="1" spans="1:15">
      <c r="A192" s="23" t="str">
        <f>IF(盘货信息!A192="","",盘货信息!A192)</f>
        <v/>
      </c>
      <c r="B192" s="26" t="str">
        <f>IF(盘货信息!B192="","",盘货信息!B192)</f>
        <v/>
      </c>
      <c r="C192" s="23" t="str">
        <f>IF(盘货信息!C192="","",盘货信息!C192)</f>
        <v/>
      </c>
      <c r="D192" s="27" t="str">
        <f t="shared" si="4"/>
        <v/>
      </c>
      <c r="E192" s="27" t="str" cm="1">
        <f t="array" ref="E192">IF($C192="","",IF(AND(OR(_xlfn.XLOOKUP($A192&amp;$B192&amp;$C192,盘货信息!$A:$A&amp;盘货信息!$B:$B&amp;盘货信息!$C:$C,盘货信息!$L:$L)="否",_xlfn.XLOOKUP($A192&amp;$B192&amp;$C192,盘货信息!$A:$A&amp;盘货信息!$B:$B&amp;盘货信息!$C:$C,盘货信息!$L:$L)=""),_xlfn.XLOOKUP($A192&amp;$B192&amp;$C192,盘货信息!$A:$A&amp;盘货信息!$B:$B&amp;盘货信息!$C:$C,盘货信息!$M:$M)="否"),"【预估到手价"&amp;_xlfn.XLOOKUP($A192&amp;$B192&amp;$C192,盘货信息!$A:$A&amp;盘货信息!$B:$B&amp;盘货信息!$C:$C,盘货信息!$D:$D)&amp;"元】",IF(AND(_xlfn.XLOOKUP($A192&amp;$B192&amp;$C192,盘货信息!$A:$A&amp;盘货信息!$B:$B&amp;盘货信息!$C:$C,盘货信息!$M:$M)="是",OR(_xlfn.XLOOKUP($A192&amp;$B192&amp;$C192,盘货信息!$A:$A&amp;盘货信息!$B:$B&amp;盘货信息!$C:$C,盘货信息!$L:$L)="否",_xlfn.XLOOKUP($A192&amp;$B192&amp;$C192,盘货信息!$A:$A&amp;盘货信息!$B:$B&amp;盘货信息!$C:$C,盘货信息!$L:$L)="")),"【预估到手价"&amp;_xlfn.XLOOKUP($A192&amp;$B192&amp;$C192,盘货信息!$A:$A&amp;盘货信息!$B:$B&amp;盘货信息!$C:$C,盘货信息!$D:$D)&amp;"元】"&amp;CHAR(10)&amp;"【焕新补贴预估价"&amp;ROUND(_xlfn.XLOOKUP($A192&amp;$B192&amp;$C192,盘货信息!$A:$A&amp;盘货信息!$B:$B&amp;盘货信息!$C:$C,盘货信息!$E:$E),0)&amp;"元】","【焕新补贴预估价"&amp;ROUND(_xlfn.XLOOKUP($A192&amp;$B192&amp;$C192,盘货信息!$A:$A&amp;盘货信息!$B:$B&amp;盘货信息!$C:$C,盘货信息!$E:$E),0)&amp;"元】")))</f>
        <v/>
      </c>
      <c r="F192" s="27" t="str" cm="1">
        <f t="array" ref="F192">IF($C192="","",_xlfn.XLOOKUP($A192&amp;$B192&amp;$C192,盘货信息!$A:$A&amp;盘货信息!$B:$B&amp;盘货信息!$C:$C,盘货信息!$D:$D)&amp;"元到手价")</f>
        <v/>
      </c>
      <c r="G192" s="27" t="str" cm="1">
        <f t="array" ref="G192">IF($C192="","",IF(_xlfn.XLOOKUP($A192&amp;$B192&amp;$C192,盘货信息!$A:$A&amp;盘货信息!$B:$B&amp;盘货信息!$C:$C,盘货信息!$G:$G)&lt;1,"",ROUND(_xlfn.XLOOKUP($A192&amp;$B192&amp;$C192,盘货信息!$A:$A&amp;盘货信息!$B:$B&amp;盘货信息!$C:$C,盘货信息!$G:$G),0)&amp;"元88VIP立减"))</f>
        <v/>
      </c>
      <c r="H192" s="27" t="str" cm="1">
        <f t="array" ref="H192">IF($C192="","",IF(_xlfn.XLOOKUP($A192&amp;$B192&amp;$C192,盘货信息!$A:$A&amp;盘货信息!$B:$B&amp;盘货信息!$C:$C,盘货信息!$I:$I)&lt;1,"",_xlfn.XLOOKUP($A192&amp;$B192&amp;$C192,盘货信息!$A:$A&amp;盘货信息!$B:$B&amp;盘货信息!$C:$C,盘货信息!$I:$I)&amp;"元惊喜立减"))</f>
        <v/>
      </c>
      <c r="I192" s="27" t="str" cm="1">
        <f t="array" ref="I192">IF($C192="","",IF(_xlfn.XLOOKUP($A192&amp;$B192&amp;$C192,盘货信息!$A:$A&amp;盘货信息!$B:$B&amp;盘货信息!$C:$C,盘货信息!$H:$H)&lt;1,"",ROUND(_xlfn.XLOOKUP($A192&amp;$B192&amp;$C192,盘货信息!$A:$A&amp;盘货信息!$B:$B&amp;盘货信息!$C:$C,盘货信息!$H:$H),0)&amp;"元消费券"))</f>
        <v/>
      </c>
      <c r="J192" s="27" t="str" cm="1">
        <f t="array" ref="J192">IF($C192="","",IF(_xlfn.XLOOKUP($A192&amp;$B192&amp;$C192,盘货信息!$A:$A&amp;盘货信息!$B:$B&amp;盘货信息!$C:$C,盘货信息!$J:$J)&lt;1,"",ROUND(_xlfn.XLOOKUP($A192&amp;$B192&amp;$C192,盘货信息!$A:$A&amp;盘货信息!$B:$B&amp;盘货信息!$C:$C,盘货信息!$J:$J),0)&amp;"元限时补贴"))</f>
        <v/>
      </c>
      <c r="K192" s="27" t="str" cm="1">
        <f t="array" ref="K192">IF($C192="","",IF(_xlfn.XLOOKUP($A192&amp;$B192&amp;$C192,盘货信息!$A:$A&amp;盘货信息!$B:$B&amp;盘货信息!$C:$C,盘货信息!$K:$K)&lt;1,"",ROUND(_xlfn.XLOOKUP($A192&amp;$B192&amp;$C192,盘货信息!$A:$A&amp;盘货信息!$B:$B&amp;盘货信息!$C:$C,盘货信息!$K:$K),0)&amp;"元预估焕新补贴"))</f>
        <v/>
      </c>
      <c r="L192" s="27" t="str" cm="1">
        <f t="array" ref="L192">IF($C192="","",IF(AND(_xlfn.XLOOKUP($A192&amp;$B192&amp;$C192,盘货信息!$A:$A&amp;盘货信息!$B:$B&amp;盘货信息!$C:$C,盘货信息!$L:$L)="是",_xlfn.XLOOKUP($A192&amp;$B192&amp;$C192,盘货信息!$A:$A&amp;盘货信息!$B:$B&amp;盘货信息!$C:$C,盘货信息!$M:$M)="是",_xlfn.XLOOKUP($A192&amp;$B192&amp;$C192,盘货信息!$A:$A&amp;盘货信息!$B:$B&amp;盘货信息!$C:$C,盘货信息!$K:$K)&gt;0),"【全民可用，不限地址】",IF(AND(OR(_xlfn.XLOOKUP($A192&amp;$B192&amp;$C192,盘货信息!$A:$A&amp;盘货信息!$B:$B&amp;盘货信息!$C:$C,盘货信息!$L:$L)="否",_xlfn.XLOOKUP($A192&amp;$B192&amp;$C192,盘货信息!$A:$A&amp;盘货信息!$B:$B&amp;盘货信息!$C:$C,盘货信息!$L:$L)=""),_xlfn.XLOOKUP($A192&amp;$B192&amp;$C192,盘货信息!$A:$A&amp;盘货信息!$B:$B&amp;盘货信息!$C:$C,盘货信息!$M:$M)="是",_xlfn.XLOOKUP($A192&amp;$B192&amp;$C192,盘货信息!$A:$A&amp;盘货信息!$B:$B&amp;盘货信息!$C:$C,盘货信息!$K:$K)&gt;0),"【详情页领取】","")))</f>
        <v/>
      </c>
      <c r="M192" s="27" t="str" cm="1">
        <f t="array" ref="M192">IF($C192="","",IF(_xlfn.XLOOKUP($A192&amp;$B192&amp;$C192,盘货信息!$A:$A&amp;盘货信息!$B:$B&amp;盘货信息!$C:$C,盘货信息!$F:$F)&lt;1,"",_xlfn.XLOOKUP($A192&amp;$B192&amp;$C192,盘货信息!$A:$A&amp;盘货信息!$B:$B&amp;盘货信息!$C:$C,盘货信息!$F:$F)&amp;"元明卷"))</f>
        <v/>
      </c>
      <c r="N192" s="27" t="str">
        <f t="shared" si="5"/>
        <v/>
      </c>
      <c r="O192" s="27" t="str">
        <f>IF(I192="","","【消费券链接】"&amp;固定信息!$B$6)</f>
        <v/>
      </c>
    </row>
    <row r="193" customHeight="1" spans="1:15">
      <c r="A193" s="23" t="str">
        <f>IF(盘货信息!A193="","",盘货信息!A193)</f>
        <v/>
      </c>
      <c r="B193" s="26" t="str">
        <f>IF(盘货信息!B193="","",盘货信息!B193)</f>
        <v/>
      </c>
      <c r="C193" s="23" t="str">
        <f>IF(盘货信息!C193="","",盘货信息!C193)</f>
        <v/>
      </c>
      <c r="D193" s="27" t="str">
        <f t="shared" si="4"/>
        <v/>
      </c>
      <c r="E193" s="27" t="str" cm="1">
        <f t="array" ref="E193">IF($C193="","",IF(AND(OR(_xlfn.XLOOKUP($A193&amp;$B193&amp;$C193,盘货信息!$A:$A&amp;盘货信息!$B:$B&amp;盘货信息!$C:$C,盘货信息!$L:$L)="否",_xlfn.XLOOKUP($A193&amp;$B193&amp;$C193,盘货信息!$A:$A&amp;盘货信息!$B:$B&amp;盘货信息!$C:$C,盘货信息!$L:$L)=""),_xlfn.XLOOKUP($A193&amp;$B193&amp;$C193,盘货信息!$A:$A&amp;盘货信息!$B:$B&amp;盘货信息!$C:$C,盘货信息!$M:$M)="否"),"【预估到手价"&amp;_xlfn.XLOOKUP($A193&amp;$B193&amp;$C193,盘货信息!$A:$A&amp;盘货信息!$B:$B&amp;盘货信息!$C:$C,盘货信息!$D:$D)&amp;"元】",IF(AND(_xlfn.XLOOKUP($A193&amp;$B193&amp;$C193,盘货信息!$A:$A&amp;盘货信息!$B:$B&amp;盘货信息!$C:$C,盘货信息!$M:$M)="是",OR(_xlfn.XLOOKUP($A193&amp;$B193&amp;$C193,盘货信息!$A:$A&amp;盘货信息!$B:$B&amp;盘货信息!$C:$C,盘货信息!$L:$L)="否",_xlfn.XLOOKUP($A193&amp;$B193&amp;$C193,盘货信息!$A:$A&amp;盘货信息!$B:$B&amp;盘货信息!$C:$C,盘货信息!$L:$L)="")),"【预估到手价"&amp;_xlfn.XLOOKUP($A193&amp;$B193&amp;$C193,盘货信息!$A:$A&amp;盘货信息!$B:$B&amp;盘货信息!$C:$C,盘货信息!$D:$D)&amp;"元】"&amp;CHAR(10)&amp;"【焕新补贴预估价"&amp;ROUND(_xlfn.XLOOKUP($A193&amp;$B193&amp;$C193,盘货信息!$A:$A&amp;盘货信息!$B:$B&amp;盘货信息!$C:$C,盘货信息!$E:$E),0)&amp;"元】","【焕新补贴预估价"&amp;ROUND(_xlfn.XLOOKUP($A193&amp;$B193&amp;$C193,盘货信息!$A:$A&amp;盘货信息!$B:$B&amp;盘货信息!$C:$C,盘货信息!$E:$E),0)&amp;"元】")))</f>
        <v/>
      </c>
      <c r="F193" s="27" t="str" cm="1">
        <f t="array" ref="F193">IF($C193="","",_xlfn.XLOOKUP($A193&amp;$B193&amp;$C193,盘货信息!$A:$A&amp;盘货信息!$B:$B&amp;盘货信息!$C:$C,盘货信息!$D:$D)&amp;"元到手价")</f>
        <v/>
      </c>
      <c r="G193" s="27" t="str" cm="1">
        <f t="array" ref="G193">IF($C193="","",IF(_xlfn.XLOOKUP($A193&amp;$B193&amp;$C193,盘货信息!$A:$A&amp;盘货信息!$B:$B&amp;盘货信息!$C:$C,盘货信息!$G:$G)&lt;1,"",ROUND(_xlfn.XLOOKUP($A193&amp;$B193&amp;$C193,盘货信息!$A:$A&amp;盘货信息!$B:$B&amp;盘货信息!$C:$C,盘货信息!$G:$G),0)&amp;"元88VIP立减"))</f>
        <v/>
      </c>
      <c r="H193" s="27" t="str" cm="1">
        <f t="array" ref="H193">IF($C193="","",IF(_xlfn.XLOOKUP($A193&amp;$B193&amp;$C193,盘货信息!$A:$A&amp;盘货信息!$B:$B&amp;盘货信息!$C:$C,盘货信息!$I:$I)&lt;1,"",_xlfn.XLOOKUP($A193&amp;$B193&amp;$C193,盘货信息!$A:$A&amp;盘货信息!$B:$B&amp;盘货信息!$C:$C,盘货信息!$I:$I)&amp;"元惊喜立减"))</f>
        <v/>
      </c>
      <c r="I193" s="27" t="str" cm="1">
        <f t="array" ref="I193">IF($C193="","",IF(_xlfn.XLOOKUP($A193&amp;$B193&amp;$C193,盘货信息!$A:$A&amp;盘货信息!$B:$B&amp;盘货信息!$C:$C,盘货信息!$H:$H)&lt;1,"",ROUND(_xlfn.XLOOKUP($A193&amp;$B193&amp;$C193,盘货信息!$A:$A&amp;盘货信息!$B:$B&amp;盘货信息!$C:$C,盘货信息!$H:$H),0)&amp;"元消费券"))</f>
        <v/>
      </c>
      <c r="J193" s="27" t="str" cm="1">
        <f t="array" ref="J193">IF($C193="","",IF(_xlfn.XLOOKUP($A193&amp;$B193&amp;$C193,盘货信息!$A:$A&amp;盘货信息!$B:$B&amp;盘货信息!$C:$C,盘货信息!$J:$J)&lt;1,"",ROUND(_xlfn.XLOOKUP($A193&amp;$B193&amp;$C193,盘货信息!$A:$A&amp;盘货信息!$B:$B&amp;盘货信息!$C:$C,盘货信息!$J:$J),0)&amp;"元限时补贴"))</f>
        <v/>
      </c>
      <c r="K193" s="27" t="str" cm="1">
        <f t="array" ref="K193">IF($C193="","",IF(_xlfn.XLOOKUP($A193&amp;$B193&amp;$C193,盘货信息!$A:$A&amp;盘货信息!$B:$B&amp;盘货信息!$C:$C,盘货信息!$K:$K)&lt;1,"",ROUND(_xlfn.XLOOKUP($A193&amp;$B193&amp;$C193,盘货信息!$A:$A&amp;盘货信息!$B:$B&amp;盘货信息!$C:$C,盘货信息!$K:$K),0)&amp;"元预估焕新补贴"))</f>
        <v/>
      </c>
      <c r="L193" s="27" t="str" cm="1">
        <f t="array" ref="L193">IF($C193="","",IF(AND(_xlfn.XLOOKUP($A193&amp;$B193&amp;$C193,盘货信息!$A:$A&amp;盘货信息!$B:$B&amp;盘货信息!$C:$C,盘货信息!$L:$L)="是",_xlfn.XLOOKUP($A193&amp;$B193&amp;$C193,盘货信息!$A:$A&amp;盘货信息!$B:$B&amp;盘货信息!$C:$C,盘货信息!$M:$M)="是",_xlfn.XLOOKUP($A193&amp;$B193&amp;$C193,盘货信息!$A:$A&amp;盘货信息!$B:$B&amp;盘货信息!$C:$C,盘货信息!$K:$K)&gt;0),"【全民可用，不限地址】",IF(AND(OR(_xlfn.XLOOKUP($A193&amp;$B193&amp;$C193,盘货信息!$A:$A&amp;盘货信息!$B:$B&amp;盘货信息!$C:$C,盘货信息!$L:$L)="否",_xlfn.XLOOKUP($A193&amp;$B193&amp;$C193,盘货信息!$A:$A&amp;盘货信息!$B:$B&amp;盘货信息!$C:$C,盘货信息!$L:$L)=""),_xlfn.XLOOKUP($A193&amp;$B193&amp;$C193,盘货信息!$A:$A&amp;盘货信息!$B:$B&amp;盘货信息!$C:$C,盘货信息!$M:$M)="是",_xlfn.XLOOKUP($A193&amp;$B193&amp;$C193,盘货信息!$A:$A&amp;盘货信息!$B:$B&amp;盘货信息!$C:$C,盘货信息!$K:$K)&gt;0),"【详情页领取】","")))</f>
        <v/>
      </c>
      <c r="M193" s="27" t="str" cm="1">
        <f t="array" ref="M193">IF($C193="","",IF(_xlfn.XLOOKUP($A193&amp;$B193&amp;$C193,盘货信息!$A:$A&amp;盘货信息!$B:$B&amp;盘货信息!$C:$C,盘货信息!$F:$F)&lt;1,"",_xlfn.XLOOKUP($A193&amp;$B193&amp;$C193,盘货信息!$A:$A&amp;盘货信息!$B:$B&amp;盘货信息!$C:$C,盘货信息!$F:$F)&amp;"元明卷"))</f>
        <v/>
      </c>
      <c r="N193" s="27" t="str">
        <f t="shared" si="5"/>
        <v/>
      </c>
      <c r="O193" s="27" t="str">
        <f>IF(I193="","","【消费券链接】"&amp;固定信息!$B$6)</f>
        <v/>
      </c>
    </row>
    <row r="194" customHeight="1" spans="1:15">
      <c r="A194" s="23" t="str">
        <f>IF(盘货信息!A194="","",盘货信息!A194)</f>
        <v/>
      </c>
      <c r="B194" s="26" t="str">
        <f>IF(盘货信息!B194="","",盘货信息!B194)</f>
        <v/>
      </c>
      <c r="C194" s="23" t="str">
        <f>IF(盘货信息!C194="","",盘货信息!C194)</f>
        <v/>
      </c>
      <c r="D194" s="27" t="str">
        <f t="shared" si="4"/>
        <v/>
      </c>
      <c r="E194" s="27" t="str" cm="1">
        <f t="array" ref="E194">IF($C194="","",IF(AND(OR(_xlfn.XLOOKUP($A194&amp;$B194&amp;$C194,盘货信息!$A:$A&amp;盘货信息!$B:$B&amp;盘货信息!$C:$C,盘货信息!$L:$L)="否",_xlfn.XLOOKUP($A194&amp;$B194&amp;$C194,盘货信息!$A:$A&amp;盘货信息!$B:$B&amp;盘货信息!$C:$C,盘货信息!$L:$L)=""),_xlfn.XLOOKUP($A194&amp;$B194&amp;$C194,盘货信息!$A:$A&amp;盘货信息!$B:$B&amp;盘货信息!$C:$C,盘货信息!$M:$M)="否"),"【预估到手价"&amp;_xlfn.XLOOKUP($A194&amp;$B194&amp;$C194,盘货信息!$A:$A&amp;盘货信息!$B:$B&amp;盘货信息!$C:$C,盘货信息!$D:$D)&amp;"元】",IF(AND(_xlfn.XLOOKUP($A194&amp;$B194&amp;$C194,盘货信息!$A:$A&amp;盘货信息!$B:$B&amp;盘货信息!$C:$C,盘货信息!$M:$M)="是",OR(_xlfn.XLOOKUP($A194&amp;$B194&amp;$C194,盘货信息!$A:$A&amp;盘货信息!$B:$B&amp;盘货信息!$C:$C,盘货信息!$L:$L)="否",_xlfn.XLOOKUP($A194&amp;$B194&amp;$C194,盘货信息!$A:$A&amp;盘货信息!$B:$B&amp;盘货信息!$C:$C,盘货信息!$L:$L)="")),"【预估到手价"&amp;_xlfn.XLOOKUP($A194&amp;$B194&amp;$C194,盘货信息!$A:$A&amp;盘货信息!$B:$B&amp;盘货信息!$C:$C,盘货信息!$D:$D)&amp;"元】"&amp;CHAR(10)&amp;"【焕新补贴预估价"&amp;ROUND(_xlfn.XLOOKUP($A194&amp;$B194&amp;$C194,盘货信息!$A:$A&amp;盘货信息!$B:$B&amp;盘货信息!$C:$C,盘货信息!$E:$E),0)&amp;"元】","【焕新补贴预估价"&amp;ROUND(_xlfn.XLOOKUP($A194&amp;$B194&amp;$C194,盘货信息!$A:$A&amp;盘货信息!$B:$B&amp;盘货信息!$C:$C,盘货信息!$E:$E),0)&amp;"元】")))</f>
        <v/>
      </c>
      <c r="F194" s="27" t="str" cm="1">
        <f t="array" ref="F194">IF($C194="","",_xlfn.XLOOKUP($A194&amp;$B194&amp;$C194,盘货信息!$A:$A&amp;盘货信息!$B:$B&amp;盘货信息!$C:$C,盘货信息!$D:$D)&amp;"元到手价")</f>
        <v/>
      </c>
      <c r="G194" s="27" t="str" cm="1">
        <f t="array" ref="G194">IF($C194="","",IF(_xlfn.XLOOKUP($A194&amp;$B194&amp;$C194,盘货信息!$A:$A&amp;盘货信息!$B:$B&amp;盘货信息!$C:$C,盘货信息!$G:$G)&lt;1,"",ROUND(_xlfn.XLOOKUP($A194&amp;$B194&amp;$C194,盘货信息!$A:$A&amp;盘货信息!$B:$B&amp;盘货信息!$C:$C,盘货信息!$G:$G),0)&amp;"元88VIP立减"))</f>
        <v/>
      </c>
      <c r="H194" s="27" t="str" cm="1">
        <f t="array" ref="H194">IF($C194="","",IF(_xlfn.XLOOKUP($A194&amp;$B194&amp;$C194,盘货信息!$A:$A&amp;盘货信息!$B:$B&amp;盘货信息!$C:$C,盘货信息!$I:$I)&lt;1,"",_xlfn.XLOOKUP($A194&amp;$B194&amp;$C194,盘货信息!$A:$A&amp;盘货信息!$B:$B&amp;盘货信息!$C:$C,盘货信息!$I:$I)&amp;"元惊喜立减"))</f>
        <v/>
      </c>
      <c r="I194" s="27" t="str" cm="1">
        <f t="array" ref="I194">IF($C194="","",IF(_xlfn.XLOOKUP($A194&amp;$B194&amp;$C194,盘货信息!$A:$A&amp;盘货信息!$B:$B&amp;盘货信息!$C:$C,盘货信息!$H:$H)&lt;1,"",ROUND(_xlfn.XLOOKUP($A194&amp;$B194&amp;$C194,盘货信息!$A:$A&amp;盘货信息!$B:$B&amp;盘货信息!$C:$C,盘货信息!$H:$H),0)&amp;"元消费券"))</f>
        <v/>
      </c>
      <c r="J194" s="27" t="str" cm="1">
        <f t="array" ref="J194">IF($C194="","",IF(_xlfn.XLOOKUP($A194&amp;$B194&amp;$C194,盘货信息!$A:$A&amp;盘货信息!$B:$B&amp;盘货信息!$C:$C,盘货信息!$J:$J)&lt;1,"",ROUND(_xlfn.XLOOKUP($A194&amp;$B194&amp;$C194,盘货信息!$A:$A&amp;盘货信息!$B:$B&amp;盘货信息!$C:$C,盘货信息!$J:$J),0)&amp;"元限时补贴"))</f>
        <v/>
      </c>
      <c r="K194" s="27" t="str" cm="1">
        <f t="array" ref="K194">IF($C194="","",IF(_xlfn.XLOOKUP($A194&amp;$B194&amp;$C194,盘货信息!$A:$A&amp;盘货信息!$B:$B&amp;盘货信息!$C:$C,盘货信息!$K:$K)&lt;1,"",ROUND(_xlfn.XLOOKUP($A194&amp;$B194&amp;$C194,盘货信息!$A:$A&amp;盘货信息!$B:$B&amp;盘货信息!$C:$C,盘货信息!$K:$K),0)&amp;"元预估焕新补贴"))</f>
        <v/>
      </c>
      <c r="L194" s="27" t="str" cm="1">
        <f t="array" ref="L194">IF($C194="","",IF(AND(_xlfn.XLOOKUP($A194&amp;$B194&amp;$C194,盘货信息!$A:$A&amp;盘货信息!$B:$B&amp;盘货信息!$C:$C,盘货信息!$L:$L)="是",_xlfn.XLOOKUP($A194&amp;$B194&amp;$C194,盘货信息!$A:$A&amp;盘货信息!$B:$B&amp;盘货信息!$C:$C,盘货信息!$M:$M)="是",_xlfn.XLOOKUP($A194&amp;$B194&amp;$C194,盘货信息!$A:$A&amp;盘货信息!$B:$B&amp;盘货信息!$C:$C,盘货信息!$K:$K)&gt;0),"【全民可用，不限地址】",IF(AND(OR(_xlfn.XLOOKUP($A194&amp;$B194&amp;$C194,盘货信息!$A:$A&amp;盘货信息!$B:$B&amp;盘货信息!$C:$C,盘货信息!$L:$L)="否",_xlfn.XLOOKUP($A194&amp;$B194&amp;$C194,盘货信息!$A:$A&amp;盘货信息!$B:$B&amp;盘货信息!$C:$C,盘货信息!$L:$L)=""),_xlfn.XLOOKUP($A194&amp;$B194&amp;$C194,盘货信息!$A:$A&amp;盘货信息!$B:$B&amp;盘货信息!$C:$C,盘货信息!$M:$M)="是",_xlfn.XLOOKUP($A194&amp;$B194&amp;$C194,盘货信息!$A:$A&amp;盘货信息!$B:$B&amp;盘货信息!$C:$C,盘货信息!$K:$K)&gt;0),"【详情页领取】","")))</f>
        <v/>
      </c>
      <c r="M194" s="27" t="str" cm="1">
        <f t="array" ref="M194">IF($C194="","",IF(_xlfn.XLOOKUP($A194&amp;$B194&amp;$C194,盘货信息!$A:$A&amp;盘货信息!$B:$B&amp;盘货信息!$C:$C,盘货信息!$F:$F)&lt;1,"",_xlfn.XLOOKUP($A194&amp;$B194&amp;$C194,盘货信息!$A:$A&amp;盘货信息!$B:$B&amp;盘货信息!$C:$C,盘货信息!$F:$F)&amp;"元明卷"))</f>
        <v/>
      </c>
      <c r="N194" s="27" t="str">
        <f t="shared" si="5"/>
        <v/>
      </c>
      <c r="O194" s="27" t="str">
        <f>IF(I194="","","【消费券链接】"&amp;固定信息!$B$6)</f>
        <v/>
      </c>
    </row>
    <row r="195" customHeight="1" spans="1:15">
      <c r="A195" s="23" t="str">
        <f>IF(盘货信息!A195="","",盘货信息!A195)</f>
        <v/>
      </c>
      <c r="B195" s="26" t="str">
        <f>IF(盘货信息!B195="","",盘货信息!B195)</f>
        <v/>
      </c>
      <c r="C195" s="23" t="str">
        <f>IF(盘货信息!C195="","",盘货信息!C195)</f>
        <v/>
      </c>
      <c r="D195" s="27" t="str">
        <f t="shared" ref="D195:D258" si="6">IF($C195="","",_xlfn.TEXTJOIN(CHAR(10),TRUE,N195:O195))</f>
        <v/>
      </c>
      <c r="E195" s="27" t="str" cm="1">
        <f t="array" ref="E195">IF($C195="","",IF(AND(OR(_xlfn.XLOOKUP($A195&amp;$B195&amp;$C195,盘货信息!$A:$A&amp;盘货信息!$B:$B&amp;盘货信息!$C:$C,盘货信息!$L:$L)="否",_xlfn.XLOOKUP($A195&amp;$B195&amp;$C195,盘货信息!$A:$A&amp;盘货信息!$B:$B&amp;盘货信息!$C:$C,盘货信息!$L:$L)=""),_xlfn.XLOOKUP($A195&amp;$B195&amp;$C195,盘货信息!$A:$A&amp;盘货信息!$B:$B&amp;盘货信息!$C:$C,盘货信息!$M:$M)="否"),"【预估到手价"&amp;_xlfn.XLOOKUP($A195&amp;$B195&amp;$C195,盘货信息!$A:$A&amp;盘货信息!$B:$B&amp;盘货信息!$C:$C,盘货信息!$D:$D)&amp;"元】",IF(AND(_xlfn.XLOOKUP($A195&amp;$B195&amp;$C195,盘货信息!$A:$A&amp;盘货信息!$B:$B&amp;盘货信息!$C:$C,盘货信息!$M:$M)="是",OR(_xlfn.XLOOKUP($A195&amp;$B195&amp;$C195,盘货信息!$A:$A&amp;盘货信息!$B:$B&amp;盘货信息!$C:$C,盘货信息!$L:$L)="否",_xlfn.XLOOKUP($A195&amp;$B195&amp;$C195,盘货信息!$A:$A&amp;盘货信息!$B:$B&amp;盘货信息!$C:$C,盘货信息!$L:$L)="")),"【预估到手价"&amp;_xlfn.XLOOKUP($A195&amp;$B195&amp;$C195,盘货信息!$A:$A&amp;盘货信息!$B:$B&amp;盘货信息!$C:$C,盘货信息!$D:$D)&amp;"元】"&amp;CHAR(10)&amp;"【焕新补贴预估价"&amp;ROUND(_xlfn.XLOOKUP($A195&amp;$B195&amp;$C195,盘货信息!$A:$A&amp;盘货信息!$B:$B&amp;盘货信息!$C:$C,盘货信息!$E:$E),0)&amp;"元】","【焕新补贴预估价"&amp;ROUND(_xlfn.XLOOKUP($A195&amp;$B195&amp;$C195,盘货信息!$A:$A&amp;盘货信息!$B:$B&amp;盘货信息!$C:$C,盘货信息!$E:$E),0)&amp;"元】")))</f>
        <v/>
      </c>
      <c r="F195" s="27" t="str" cm="1">
        <f t="array" ref="F195">IF($C195="","",_xlfn.XLOOKUP($A195&amp;$B195&amp;$C195,盘货信息!$A:$A&amp;盘货信息!$B:$B&amp;盘货信息!$C:$C,盘货信息!$D:$D)&amp;"元到手价")</f>
        <v/>
      </c>
      <c r="G195" s="27" t="str" cm="1">
        <f t="array" ref="G195">IF($C195="","",IF(_xlfn.XLOOKUP($A195&amp;$B195&amp;$C195,盘货信息!$A:$A&amp;盘货信息!$B:$B&amp;盘货信息!$C:$C,盘货信息!$G:$G)&lt;1,"",ROUND(_xlfn.XLOOKUP($A195&amp;$B195&amp;$C195,盘货信息!$A:$A&amp;盘货信息!$B:$B&amp;盘货信息!$C:$C,盘货信息!$G:$G),0)&amp;"元88VIP立减"))</f>
        <v/>
      </c>
      <c r="H195" s="27" t="str" cm="1">
        <f t="array" ref="H195">IF($C195="","",IF(_xlfn.XLOOKUP($A195&amp;$B195&amp;$C195,盘货信息!$A:$A&amp;盘货信息!$B:$B&amp;盘货信息!$C:$C,盘货信息!$I:$I)&lt;1,"",_xlfn.XLOOKUP($A195&amp;$B195&amp;$C195,盘货信息!$A:$A&amp;盘货信息!$B:$B&amp;盘货信息!$C:$C,盘货信息!$I:$I)&amp;"元惊喜立减"))</f>
        <v/>
      </c>
      <c r="I195" s="27" t="str" cm="1">
        <f t="array" ref="I195">IF($C195="","",IF(_xlfn.XLOOKUP($A195&amp;$B195&amp;$C195,盘货信息!$A:$A&amp;盘货信息!$B:$B&amp;盘货信息!$C:$C,盘货信息!$H:$H)&lt;1,"",ROUND(_xlfn.XLOOKUP($A195&amp;$B195&amp;$C195,盘货信息!$A:$A&amp;盘货信息!$B:$B&amp;盘货信息!$C:$C,盘货信息!$H:$H),0)&amp;"元消费券"))</f>
        <v/>
      </c>
      <c r="J195" s="27" t="str" cm="1">
        <f t="array" ref="J195">IF($C195="","",IF(_xlfn.XLOOKUP($A195&amp;$B195&amp;$C195,盘货信息!$A:$A&amp;盘货信息!$B:$B&amp;盘货信息!$C:$C,盘货信息!$J:$J)&lt;1,"",ROUND(_xlfn.XLOOKUP($A195&amp;$B195&amp;$C195,盘货信息!$A:$A&amp;盘货信息!$B:$B&amp;盘货信息!$C:$C,盘货信息!$J:$J),0)&amp;"元限时补贴"))</f>
        <v/>
      </c>
      <c r="K195" s="27" t="str" cm="1">
        <f t="array" ref="K195">IF($C195="","",IF(_xlfn.XLOOKUP($A195&amp;$B195&amp;$C195,盘货信息!$A:$A&amp;盘货信息!$B:$B&amp;盘货信息!$C:$C,盘货信息!$K:$K)&lt;1,"",ROUND(_xlfn.XLOOKUP($A195&amp;$B195&amp;$C195,盘货信息!$A:$A&amp;盘货信息!$B:$B&amp;盘货信息!$C:$C,盘货信息!$K:$K),0)&amp;"元预估焕新补贴"))</f>
        <v/>
      </c>
      <c r="L195" s="27" t="str" cm="1">
        <f t="array" ref="L195">IF($C195="","",IF(AND(_xlfn.XLOOKUP($A195&amp;$B195&amp;$C195,盘货信息!$A:$A&amp;盘货信息!$B:$B&amp;盘货信息!$C:$C,盘货信息!$L:$L)="是",_xlfn.XLOOKUP($A195&amp;$B195&amp;$C195,盘货信息!$A:$A&amp;盘货信息!$B:$B&amp;盘货信息!$C:$C,盘货信息!$M:$M)="是",_xlfn.XLOOKUP($A195&amp;$B195&amp;$C195,盘货信息!$A:$A&amp;盘货信息!$B:$B&amp;盘货信息!$C:$C,盘货信息!$K:$K)&gt;0),"【全民可用，不限地址】",IF(AND(OR(_xlfn.XLOOKUP($A195&amp;$B195&amp;$C195,盘货信息!$A:$A&amp;盘货信息!$B:$B&amp;盘货信息!$C:$C,盘货信息!$L:$L)="否",_xlfn.XLOOKUP($A195&amp;$B195&amp;$C195,盘货信息!$A:$A&amp;盘货信息!$B:$B&amp;盘货信息!$C:$C,盘货信息!$L:$L)=""),_xlfn.XLOOKUP($A195&amp;$B195&amp;$C195,盘货信息!$A:$A&amp;盘货信息!$B:$B&amp;盘货信息!$C:$C,盘货信息!$M:$M)="是",_xlfn.XLOOKUP($A195&amp;$B195&amp;$C195,盘货信息!$A:$A&amp;盘货信息!$B:$B&amp;盘货信息!$C:$C,盘货信息!$K:$K)&gt;0),"【详情页领取】","")))</f>
        <v/>
      </c>
      <c r="M195" s="27" t="str" cm="1">
        <f t="array" ref="M195">IF($C195="","",IF(_xlfn.XLOOKUP($A195&amp;$B195&amp;$C195,盘货信息!$A:$A&amp;盘货信息!$B:$B&amp;盘货信息!$C:$C,盘货信息!$F:$F)&lt;1,"",_xlfn.XLOOKUP($A195&amp;$B195&amp;$C195,盘货信息!$A:$A&amp;盘货信息!$B:$B&amp;盘货信息!$C:$C,盘货信息!$F:$F)&amp;"元明卷"))</f>
        <v/>
      </c>
      <c r="N195" s="27" t="str">
        <f t="shared" ref="N195:N258" si="7">IF(C195="","",E195&amp;"="&amp;F195&amp;IF(G195="","","-"&amp;G195)&amp;IF(H195="","","-"&amp;H195)&amp;IF(I195="","","-"&amp;I195)&amp;IF(J195="","","-"&amp;J195)&amp;IF(K195="","","-"&amp;K195&amp;L195))</f>
        <v/>
      </c>
      <c r="O195" s="27" t="str">
        <f>IF(I195="","","【消费券链接】"&amp;固定信息!$B$6)</f>
        <v/>
      </c>
    </row>
    <row r="196" customHeight="1" spans="1:15">
      <c r="A196" s="23" t="str">
        <f>IF(盘货信息!A196="","",盘货信息!A196)</f>
        <v/>
      </c>
      <c r="B196" s="26" t="str">
        <f>IF(盘货信息!B196="","",盘货信息!B196)</f>
        <v/>
      </c>
      <c r="C196" s="23" t="str">
        <f>IF(盘货信息!C196="","",盘货信息!C196)</f>
        <v/>
      </c>
      <c r="D196" s="27" t="str">
        <f t="shared" si="6"/>
        <v/>
      </c>
      <c r="E196" s="27" t="str" cm="1">
        <f t="array" ref="E196">IF($C196="","",IF(AND(OR(_xlfn.XLOOKUP($A196&amp;$B196&amp;$C196,盘货信息!$A:$A&amp;盘货信息!$B:$B&amp;盘货信息!$C:$C,盘货信息!$L:$L)="否",_xlfn.XLOOKUP($A196&amp;$B196&amp;$C196,盘货信息!$A:$A&amp;盘货信息!$B:$B&amp;盘货信息!$C:$C,盘货信息!$L:$L)=""),_xlfn.XLOOKUP($A196&amp;$B196&amp;$C196,盘货信息!$A:$A&amp;盘货信息!$B:$B&amp;盘货信息!$C:$C,盘货信息!$M:$M)="否"),"【预估到手价"&amp;_xlfn.XLOOKUP($A196&amp;$B196&amp;$C196,盘货信息!$A:$A&amp;盘货信息!$B:$B&amp;盘货信息!$C:$C,盘货信息!$D:$D)&amp;"元】",IF(AND(_xlfn.XLOOKUP($A196&amp;$B196&amp;$C196,盘货信息!$A:$A&amp;盘货信息!$B:$B&amp;盘货信息!$C:$C,盘货信息!$M:$M)="是",OR(_xlfn.XLOOKUP($A196&amp;$B196&amp;$C196,盘货信息!$A:$A&amp;盘货信息!$B:$B&amp;盘货信息!$C:$C,盘货信息!$L:$L)="否",_xlfn.XLOOKUP($A196&amp;$B196&amp;$C196,盘货信息!$A:$A&amp;盘货信息!$B:$B&amp;盘货信息!$C:$C,盘货信息!$L:$L)="")),"【预估到手价"&amp;_xlfn.XLOOKUP($A196&amp;$B196&amp;$C196,盘货信息!$A:$A&amp;盘货信息!$B:$B&amp;盘货信息!$C:$C,盘货信息!$D:$D)&amp;"元】"&amp;CHAR(10)&amp;"【焕新补贴预估价"&amp;ROUND(_xlfn.XLOOKUP($A196&amp;$B196&amp;$C196,盘货信息!$A:$A&amp;盘货信息!$B:$B&amp;盘货信息!$C:$C,盘货信息!$E:$E),0)&amp;"元】","【焕新补贴预估价"&amp;ROUND(_xlfn.XLOOKUP($A196&amp;$B196&amp;$C196,盘货信息!$A:$A&amp;盘货信息!$B:$B&amp;盘货信息!$C:$C,盘货信息!$E:$E),0)&amp;"元】")))</f>
        <v/>
      </c>
      <c r="F196" s="27" t="str" cm="1">
        <f t="array" ref="F196">IF($C196="","",_xlfn.XLOOKUP($A196&amp;$B196&amp;$C196,盘货信息!$A:$A&amp;盘货信息!$B:$B&amp;盘货信息!$C:$C,盘货信息!$D:$D)&amp;"元到手价")</f>
        <v/>
      </c>
      <c r="G196" s="27" t="str" cm="1">
        <f t="array" ref="G196">IF($C196="","",IF(_xlfn.XLOOKUP($A196&amp;$B196&amp;$C196,盘货信息!$A:$A&amp;盘货信息!$B:$B&amp;盘货信息!$C:$C,盘货信息!$G:$G)&lt;1,"",ROUND(_xlfn.XLOOKUP($A196&amp;$B196&amp;$C196,盘货信息!$A:$A&amp;盘货信息!$B:$B&amp;盘货信息!$C:$C,盘货信息!$G:$G),0)&amp;"元88VIP立减"))</f>
        <v/>
      </c>
      <c r="H196" s="27" t="str" cm="1">
        <f t="array" ref="H196">IF($C196="","",IF(_xlfn.XLOOKUP($A196&amp;$B196&amp;$C196,盘货信息!$A:$A&amp;盘货信息!$B:$B&amp;盘货信息!$C:$C,盘货信息!$I:$I)&lt;1,"",_xlfn.XLOOKUP($A196&amp;$B196&amp;$C196,盘货信息!$A:$A&amp;盘货信息!$B:$B&amp;盘货信息!$C:$C,盘货信息!$I:$I)&amp;"元惊喜立减"))</f>
        <v/>
      </c>
      <c r="I196" s="27" t="str" cm="1">
        <f t="array" ref="I196">IF($C196="","",IF(_xlfn.XLOOKUP($A196&amp;$B196&amp;$C196,盘货信息!$A:$A&amp;盘货信息!$B:$B&amp;盘货信息!$C:$C,盘货信息!$H:$H)&lt;1,"",ROUND(_xlfn.XLOOKUP($A196&amp;$B196&amp;$C196,盘货信息!$A:$A&amp;盘货信息!$B:$B&amp;盘货信息!$C:$C,盘货信息!$H:$H),0)&amp;"元消费券"))</f>
        <v/>
      </c>
      <c r="J196" s="27" t="str" cm="1">
        <f t="array" ref="J196">IF($C196="","",IF(_xlfn.XLOOKUP($A196&amp;$B196&amp;$C196,盘货信息!$A:$A&amp;盘货信息!$B:$B&amp;盘货信息!$C:$C,盘货信息!$J:$J)&lt;1,"",ROUND(_xlfn.XLOOKUP($A196&amp;$B196&amp;$C196,盘货信息!$A:$A&amp;盘货信息!$B:$B&amp;盘货信息!$C:$C,盘货信息!$J:$J),0)&amp;"元限时补贴"))</f>
        <v/>
      </c>
      <c r="K196" s="27" t="str" cm="1">
        <f t="array" ref="K196">IF($C196="","",IF(_xlfn.XLOOKUP($A196&amp;$B196&amp;$C196,盘货信息!$A:$A&amp;盘货信息!$B:$B&amp;盘货信息!$C:$C,盘货信息!$K:$K)&lt;1,"",ROUND(_xlfn.XLOOKUP($A196&amp;$B196&amp;$C196,盘货信息!$A:$A&amp;盘货信息!$B:$B&amp;盘货信息!$C:$C,盘货信息!$K:$K),0)&amp;"元预估焕新补贴"))</f>
        <v/>
      </c>
      <c r="L196" s="27" t="str" cm="1">
        <f t="array" ref="L196">IF($C196="","",IF(AND(_xlfn.XLOOKUP($A196&amp;$B196&amp;$C196,盘货信息!$A:$A&amp;盘货信息!$B:$B&amp;盘货信息!$C:$C,盘货信息!$L:$L)="是",_xlfn.XLOOKUP($A196&amp;$B196&amp;$C196,盘货信息!$A:$A&amp;盘货信息!$B:$B&amp;盘货信息!$C:$C,盘货信息!$M:$M)="是",_xlfn.XLOOKUP($A196&amp;$B196&amp;$C196,盘货信息!$A:$A&amp;盘货信息!$B:$B&amp;盘货信息!$C:$C,盘货信息!$K:$K)&gt;0),"【全民可用，不限地址】",IF(AND(OR(_xlfn.XLOOKUP($A196&amp;$B196&amp;$C196,盘货信息!$A:$A&amp;盘货信息!$B:$B&amp;盘货信息!$C:$C,盘货信息!$L:$L)="否",_xlfn.XLOOKUP($A196&amp;$B196&amp;$C196,盘货信息!$A:$A&amp;盘货信息!$B:$B&amp;盘货信息!$C:$C,盘货信息!$L:$L)=""),_xlfn.XLOOKUP($A196&amp;$B196&amp;$C196,盘货信息!$A:$A&amp;盘货信息!$B:$B&amp;盘货信息!$C:$C,盘货信息!$M:$M)="是",_xlfn.XLOOKUP($A196&amp;$B196&amp;$C196,盘货信息!$A:$A&amp;盘货信息!$B:$B&amp;盘货信息!$C:$C,盘货信息!$K:$K)&gt;0),"【详情页领取】","")))</f>
        <v/>
      </c>
      <c r="M196" s="27" t="str" cm="1">
        <f t="array" ref="M196">IF($C196="","",IF(_xlfn.XLOOKUP($A196&amp;$B196&amp;$C196,盘货信息!$A:$A&amp;盘货信息!$B:$B&amp;盘货信息!$C:$C,盘货信息!$F:$F)&lt;1,"",_xlfn.XLOOKUP($A196&amp;$B196&amp;$C196,盘货信息!$A:$A&amp;盘货信息!$B:$B&amp;盘货信息!$C:$C,盘货信息!$F:$F)&amp;"元明卷"))</f>
        <v/>
      </c>
      <c r="N196" s="27" t="str">
        <f t="shared" si="7"/>
        <v/>
      </c>
      <c r="O196" s="27" t="str">
        <f>IF(I196="","","【消费券链接】"&amp;固定信息!$B$6)</f>
        <v/>
      </c>
    </row>
    <row r="197" customHeight="1" spans="1:15">
      <c r="A197" s="23" t="str">
        <f>IF(盘货信息!A197="","",盘货信息!A197)</f>
        <v/>
      </c>
      <c r="B197" s="26" t="str">
        <f>IF(盘货信息!B197="","",盘货信息!B197)</f>
        <v/>
      </c>
      <c r="C197" s="23" t="str">
        <f>IF(盘货信息!C197="","",盘货信息!C197)</f>
        <v/>
      </c>
      <c r="D197" s="27" t="str">
        <f t="shared" si="6"/>
        <v/>
      </c>
      <c r="E197" s="27" t="str" cm="1">
        <f t="array" ref="E197">IF($C197="","",IF(AND(OR(_xlfn.XLOOKUP($A197&amp;$B197&amp;$C197,盘货信息!$A:$A&amp;盘货信息!$B:$B&amp;盘货信息!$C:$C,盘货信息!$L:$L)="否",_xlfn.XLOOKUP($A197&amp;$B197&amp;$C197,盘货信息!$A:$A&amp;盘货信息!$B:$B&amp;盘货信息!$C:$C,盘货信息!$L:$L)=""),_xlfn.XLOOKUP($A197&amp;$B197&amp;$C197,盘货信息!$A:$A&amp;盘货信息!$B:$B&amp;盘货信息!$C:$C,盘货信息!$M:$M)="否"),"【预估到手价"&amp;_xlfn.XLOOKUP($A197&amp;$B197&amp;$C197,盘货信息!$A:$A&amp;盘货信息!$B:$B&amp;盘货信息!$C:$C,盘货信息!$D:$D)&amp;"元】",IF(AND(_xlfn.XLOOKUP($A197&amp;$B197&amp;$C197,盘货信息!$A:$A&amp;盘货信息!$B:$B&amp;盘货信息!$C:$C,盘货信息!$M:$M)="是",OR(_xlfn.XLOOKUP($A197&amp;$B197&amp;$C197,盘货信息!$A:$A&amp;盘货信息!$B:$B&amp;盘货信息!$C:$C,盘货信息!$L:$L)="否",_xlfn.XLOOKUP($A197&amp;$B197&amp;$C197,盘货信息!$A:$A&amp;盘货信息!$B:$B&amp;盘货信息!$C:$C,盘货信息!$L:$L)="")),"【预估到手价"&amp;_xlfn.XLOOKUP($A197&amp;$B197&amp;$C197,盘货信息!$A:$A&amp;盘货信息!$B:$B&amp;盘货信息!$C:$C,盘货信息!$D:$D)&amp;"元】"&amp;CHAR(10)&amp;"【焕新补贴预估价"&amp;ROUND(_xlfn.XLOOKUP($A197&amp;$B197&amp;$C197,盘货信息!$A:$A&amp;盘货信息!$B:$B&amp;盘货信息!$C:$C,盘货信息!$E:$E),0)&amp;"元】","【焕新补贴预估价"&amp;ROUND(_xlfn.XLOOKUP($A197&amp;$B197&amp;$C197,盘货信息!$A:$A&amp;盘货信息!$B:$B&amp;盘货信息!$C:$C,盘货信息!$E:$E),0)&amp;"元】")))</f>
        <v/>
      </c>
      <c r="F197" s="27" t="str" cm="1">
        <f t="array" ref="F197">IF($C197="","",_xlfn.XLOOKUP($A197&amp;$B197&amp;$C197,盘货信息!$A:$A&amp;盘货信息!$B:$B&amp;盘货信息!$C:$C,盘货信息!$D:$D)&amp;"元到手价")</f>
        <v/>
      </c>
      <c r="G197" s="27" t="str" cm="1">
        <f t="array" ref="G197">IF($C197="","",IF(_xlfn.XLOOKUP($A197&amp;$B197&amp;$C197,盘货信息!$A:$A&amp;盘货信息!$B:$B&amp;盘货信息!$C:$C,盘货信息!$G:$G)&lt;1,"",ROUND(_xlfn.XLOOKUP($A197&amp;$B197&amp;$C197,盘货信息!$A:$A&amp;盘货信息!$B:$B&amp;盘货信息!$C:$C,盘货信息!$G:$G),0)&amp;"元88VIP立减"))</f>
        <v/>
      </c>
      <c r="H197" s="27" t="str" cm="1">
        <f t="array" ref="H197">IF($C197="","",IF(_xlfn.XLOOKUP($A197&amp;$B197&amp;$C197,盘货信息!$A:$A&amp;盘货信息!$B:$B&amp;盘货信息!$C:$C,盘货信息!$I:$I)&lt;1,"",_xlfn.XLOOKUP($A197&amp;$B197&amp;$C197,盘货信息!$A:$A&amp;盘货信息!$B:$B&amp;盘货信息!$C:$C,盘货信息!$I:$I)&amp;"元惊喜立减"))</f>
        <v/>
      </c>
      <c r="I197" s="27" t="str" cm="1">
        <f t="array" ref="I197">IF($C197="","",IF(_xlfn.XLOOKUP($A197&amp;$B197&amp;$C197,盘货信息!$A:$A&amp;盘货信息!$B:$B&amp;盘货信息!$C:$C,盘货信息!$H:$H)&lt;1,"",ROUND(_xlfn.XLOOKUP($A197&amp;$B197&amp;$C197,盘货信息!$A:$A&amp;盘货信息!$B:$B&amp;盘货信息!$C:$C,盘货信息!$H:$H),0)&amp;"元消费券"))</f>
        <v/>
      </c>
      <c r="J197" s="27" t="str" cm="1">
        <f t="array" ref="J197">IF($C197="","",IF(_xlfn.XLOOKUP($A197&amp;$B197&amp;$C197,盘货信息!$A:$A&amp;盘货信息!$B:$B&amp;盘货信息!$C:$C,盘货信息!$J:$J)&lt;1,"",ROUND(_xlfn.XLOOKUP($A197&amp;$B197&amp;$C197,盘货信息!$A:$A&amp;盘货信息!$B:$B&amp;盘货信息!$C:$C,盘货信息!$J:$J),0)&amp;"元限时补贴"))</f>
        <v/>
      </c>
      <c r="K197" s="27" t="str" cm="1">
        <f t="array" ref="K197">IF($C197="","",IF(_xlfn.XLOOKUP($A197&amp;$B197&amp;$C197,盘货信息!$A:$A&amp;盘货信息!$B:$B&amp;盘货信息!$C:$C,盘货信息!$K:$K)&lt;1,"",ROUND(_xlfn.XLOOKUP($A197&amp;$B197&amp;$C197,盘货信息!$A:$A&amp;盘货信息!$B:$B&amp;盘货信息!$C:$C,盘货信息!$K:$K),0)&amp;"元预估焕新补贴"))</f>
        <v/>
      </c>
      <c r="L197" s="27" t="str" cm="1">
        <f t="array" ref="L197">IF($C197="","",IF(AND(_xlfn.XLOOKUP($A197&amp;$B197&amp;$C197,盘货信息!$A:$A&amp;盘货信息!$B:$B&amp;盘货信息!$C:$C,盘货信息!$L:$L)="是",_xlfn.XLOOKUP($A197&amp;$B197&amp;$C197,盘货信息!$A:$A&amp;盘货信息!$B:$B&amp;盘货信息!$C:$C,盘货信息!$M:$M)="是",_xlfn.XLOOKUP($A197&amp;$B197&amp;$C197,盘货信息!$A:$A&amp;盘货信息!$B:$B&amp;盘货信息!$C:$C,盘货信息!$K:$K)&gt;0),"【全民可用，不限地址】",IF(AND(OR(_xlfn.XLOOKUP($A197&amp;$B197&amp;$C197,盘货信息!$A:$A&amp;盘货信息!$B:$B&amp;盘货信息!$C:$C,盘货信息!$L:$L)="否",_xlfn.XLOOKUP($A197&amp;$B197&amp;$C197,盘货信息!$A:$A&amp;盘货信息!$B:$B&amp;盘货信息!$C:$C,盘货信息!$L:$L)=""),_xlfn.XLOOKUP($A197&amp;$B197&amp;$C197,盘货信息!$A:$A&amp;盘货信息!$B:$B&amp;盘货信息!$C:$C,盘货信息!$M:$M)="是",_xlfn.XLOOKUP($A197&amp;$B197&amp;$C197,盘货信息!$A:$A&amp;盘货信息!$B:$B&amp;盘货信息!$C:$C,盘货信息!$K:$K)&gt;0),"【详情页领取】","")))</f>
        <v/>
      </c>
      <c r="M197" s="27" t="str" cm="1">
        <f t="array" ref="M197">IF($C197="","",IF(_xlfn.XLOOKUP($A197&amp;$B197&amp;$C197,盘货信息!$A:$A&amp;盘货信息!$B:$B&amp;盘货信息!$C:$C,盘货信息!$F:$F)&lt;1,"",_xlfn.XLOOKUP($A197&amp;$B197&amp;$C197,盘货信息!$A:$A&amp;盘货信息!$B:$B&amp;盘货信息!$C:$C,盘货信息!$F:$F)&amp;"元明卷"))</f>
        <v/>
      </c>
      <c r="N197" s="27" t="str">
        <f t="shared" si="7"/>
        <v/>
      </c>
      <c r="O197" s="27" t="str">
        <f>IF(I197="","","【消费券链接】"&amp;固定信息!$B$6)</f>
        <v/>
      </c>
    </row>
    <row r="198" customHeight="1" spans="1:15">
      <c r="A198" s="23" t="str">
        <f>IF(盘货信息!A198="","",盘货信息!A198)</f>
        <v/>
      </c>
      <c r="B198" s="26" t="str">
        <f>IF(盘货信息!B198="","",盘货信息!B198)</f>
        <v/>
      </c>
      <c r="C198" s="23" t="str">
        <f>IF(盘货信息!C198="","",盘货信息!C198)</f>
        <v/>
      </c>
      <c r="D198" s="27" t="str">
        <f t="shared" si="6"/>
        <v/>
      </c>
      <c r="E198" s="27" t="str" cm="1">
        <f t="array" ref="E198">IF($C198="","",IF(AND(OR(_xlfn.XLOOKUP($A198&amp;$B198&amp;$C198,盘货信息!$A:$A&amp;盘货信息!$B:$B&amp;盘货信息!$C:$C,盘货信息!$L:$L)="否",_xlfn.XLOOKUP($A198&amp;$B198&amp;$C198,盘货信息!$A:$A&amp;盘货信息!$B:$B&amp;盘货信息!$C:$C,盘货信息!$L:$L)=""),_xlfn.XLOOKUP($A198&amp;$B198&amp;$C198,盘货信息!$A:$A&amp;盘货信息!$B:$B&amp;盘货信息!$C:$C,盘货信息!$M:$M)="否"),"【预估到手价"&amp;_xlfn.XLOOKUP($A198&amp;$B198&amp;$C198,盘货信息!$A:$A&amp;盘货信息!$B:$B&amp;盘货信息!$C:$C,盘货信息!$D:$D)&amp;"元】",IF(AND(_xlfn.XLOOKUP($A198&amp;$B198&amp;$C198,盘货信息!$A:$A&amp;盘货信息!$B:$B&amp;盘货信息!$C:$C,盘货信息!$M:$M)="是",OR(_xlfn.XLOOKUP($A198&amp;$B198&amp;$C198,盘货信息!$A:$A&amp;盘货信息!$B:$B&amp;盘货信息!$C:$C,盘货信息!$L:$L)="否",_xlfn.XLOOKUP($A198&amp;$B198&amp;$C198,盘货信息!$A:$A&amp;盘货信息!$B:$B&amp;盘货信息!$C:$C,盘货信息!$L:$L)="")),"【预估到手价"&amp;_xlfn.XLOOKUP($A198&amp;$B198&amp;$C198,盘货信息!$A:$A&amp;盘货信息!$B:$B&amp;盘货信息!$C:$C,盘货信息!$D:$D)&amp;"元】"&amp;CHAR(10)&amp;"【焕新补贴预估价"&amp;ROUND(_xlfn.XLOOKUP($A198&amp;$B198&amp;$C198,盘货信息!$A:$A&amp;盘货信息!$B:$B&amp;盘货信息!$C:$C,盘货信息!$E:$E),0)&amp;"元】","【焕新补贴预估价"&amp;ROUND(_xlfn.XLOOKUP($A198&amp;$B198&amp;$C198,盘货信息!$A:$A&amp;盘货信息!$B:$B&amp;盘货信息!$C:$C,盘货信息!$E:$E),0)&amp;"元】")))</f>
        <v/>
      </c>
      <c r="F198" s="27" t="str" cm="1">
        <f t="array" ref="F198">IF($C198="","",_xlfn.XLOOKUP($A198&amp;$B198&amp;$C198,盘货信息!$A:$A&amp;盘货信息!$B:$B&amp;盘货信息!$C:$C,盘货信息!$D:$D)&amp;"元到手价")</f>
        <v/>
      </c>
      <c r="G198" s="27" t="str" cm="1">
        <f t="array" ref="G198">IF($C198="","",IF(_xlfn.XLOOKUP($A198&amp;$B198&amp;$C198,盘货信息!$A:$A&amp;盘货信息!$B:$B&amp;盘货信息!$C:$C,盘货信息!$G:$G)&lt;1,"",ROUND(_xlfn.XLOOKUP($A198&amp;$B198&amp;$C198,盘货信息!$A:$A&amp;盘货信息!$B:$B&amp;盘货信息!$C:$C,盘货信息!$G:$G),0)&amp;"元88VIP立减"))</f>
        <v/>
      </c>
      <c r="H198" s="27" t="str" cm="1">
        <f t="array" ref="H198">IF($C198="","",IF(_xlfn.XLOOKUP($A198&amp;$B198&amp;$C198,盘货信息!$A:$A&amp;盘货信息!$B:$B&amp;盘货信息!$C:$C,盘货信息!$I:$I)&lt;1,"",_xlfn.XLOOKUP($A198&amp;$B198&amp;$C198,盘货信息!$A:$A&amp;盘货信息!$B:$B&amp;盘货信息!$C:$C,盘货信息!$I:$I)&amp;"元惊喜立减"))</f>
        <v/>
      </c>
      <c r="I198" s="27" t="str" cm="1">
        <f t="array" ref="I198">IF($C198="","",IF(_xlfn.XLOOKUP($A198&amp;$B198&amp;$C198,盘货信息!$A:$A&amp;盘货信息!$B:$B&amp;盘货信息!$C:$C,盘货信息!$H:$H)&lt;1,"",ROUND(_xlfn.XLOOKUP($A198&amp;$B198&amp;$C198,盘货信息!$A:$A&amp;盘货信息!$B:$B&amp;盘货信息!$C:$C,盘货信息!$H:$H),0)&amp;"元消费券"))</f>
        <v/>
      </c>
      <c r="J198" s="27" t="str" cm="1">
        <f t="array" ref="J198">IF($C198="","",IF(_xlfn.XLOOKUP($A198&amp;$B198&amp;$C198,盘货信息!$A:$A&amp;盘货信息!$B:$B&amp;盘货信息!$C:$C,盘货信息!$J:$J)&lt;1,"",ROUND(_xlfn.XLOOKUP($A198&amp;$B198&amp;$C198,盘货信息!$A:$A&amp;盘货信息!$B:$B&amp;盘货信息!$C:$C,盘货信息!$J:$J),0)&amp;"元限时补贴"))</f>
        <v/>
      </c>
      <c r="K198" s="27" t="str" cm="1">
        <f t="array" ref="K198">IF($C198="","",IF(_xlfn.XLOOKUP($A198&amp;$B198&amp;$C198,盘货信息!$A:$A&amp;盘货信息!$B:$B&amp;盘货信息!$C:$C,盘货信息!$K:$K)&lt;1,"",ROUND(_xlfn.XLOOKUP($A198&amp;$B198&amp;$C198,盘货信息!$A:$A&amp;盘货信息!$B:$B&amp;盘货信息!$C:$C,盘货信息!$K:$K),0)&amp;"元预估焕新补贴"))</f>
        <v/>
      </c>
      <c r="L198" s="27" t="str" cm="1">
        <f t="array" ref="L198">IF($C198="","",IF(AND(_xlfn.XLOOKUP($A198&amp;$B198&amp;$C198,盘货信息!$A:$A&amp;盘货信息!$B:$B&amp;盘货信息!$C:$C,盘货信息!$L:$L)="是",_xlfn.XLOOKUP($A198&amp;$B198&amp;$C198,盘货信息!$A:$A&amp;盘货信息!$B:$B&amp;盘货信息!$C:$C,盘货信息!$M:$M)="是",_xlfn.XLOOKUP($A198&amp;$B198&amp;$C198,盘货信息!$A:$A&amp;盘货信息!$B:$B&amp;盘货信息!$C:$C,盘货信息!$K:$K)&gt;0),"【全民可用，不限地址】",IF(AND(OR(_xlfn.XLOOKUP($A198&amp;$B198&amp;$C198,盘货信息!$A:$A&amp;盘货信息!$B:$B&amp;盘货信息!$C:$C,盘货信息!$L:$L)="否",_xlfn.XLOOKUP($A198&amp;$B198&amp;$C198,盘货信息!$A:$A&amp;盘货信息!$B:$B&amp;盘货信息!$C:$C,盘货信息!$L:$L)=""),_xlfn.XLOOKUP($A198&amp;$B198&amp;$C198,盘货信息!$A:$A&amp;盘货信息!$B:$B&amp;盘货信息!$C:$C,盘货信息!$M:$M)="是",_xlfn.XLOOKUP($A198&amp;$B198&amp;$C198,盘货信息!$A:$A&amp;盘货信息!$B:$B&amp;盘货信息!$C:$C,盘货信息!$K:$K)&gt;0),"【详情页领取】","")))</f>
        <v/>
      </c>
      <c r="M198" s="27" t="str" cm="1">
        <f t="array" ref="M198">IF($C198="","",IF(_xlfn.XLOOKUP($A198&amp;$B198&amp;$C198,盘货信息!$A:$A&amp;盘货信息!$B:$B&amp;盘货信息!$C:$C,盘货信息!$F:$F)&lt;1,"",_xlfn.XLOOKUP($A198&amp;$B198&amp;$C198,盘货信息!$A:$A&amp;盘货信息!$B:$B&amp;盘货信息!$C:$C,盘货信息!$F:$F)&amp;"元明卷"))</f>
        <v/>
      </c>
      <c r="N198" s="27" t="str">
        <f t="shared" si="7"/>
        <v/>
      </c>
      <c r="O198" s="27" t="str">
        <f>IF(I198="","","【消费券链接】"&amp;固定信息!$B$6)</f>
        <v/>
      </c>
    </row>
    <row r="199" customHeight="1" spans="1:15">
      <c r="A199" s="23" t="str">
        <f>IF(盘货信息!A199="","",盘货信息!A199)</f>
        <v/>
      </c>
      <c r="B199" s="26" t="str">
        <f>IF(盘货信息!B199="","",盘货信息!B199)</f>
        <v/>
      </c>
      <c r="C199" s="23" t="str">
        <f>IF(盘货信息!C199="","",盘货信息!C199)</f>
        <v/>
      </c>
      <c r="D199" s="27" t="str">
        <f t="shared" si="6"/>
        <v/>
      </c>
      <c r="E199" s="27" t="str" cm="1">
        <f t="array" ref="E199">IF($C199="","",IF(AND(OR(_xlfn.XLOOKUP($A199&amp;$B199&amp;$C199,盘货信息!$A:$A&amp;盘货信息!$B:$B&amp;盘货信息!$C:$C,盘货信息!$L:$L)="否",_xlfn.XLOOKUP($A199&amp;$B199&amp;$C199,盘货信息!$A:$A&amp;盘货信息!$B:$B&amp;盘货信息!$C:$C,盘货信息!$L:$L)=""),_xlfn.XLOOKUP($A199&amp;$B199&amp;$C199,盘货信息!$A:$A&amp;盘货信息!$B:$B&amp;盘货信息!$C:$C,盘货信息!$M:$M)="否"),"【预估到手价"&amp;_xlfn.XLOOKUP($A199&amp;$B199&amp;$C199,盘货信息!$A:$A&amp;盘货信息!$B:$B&amp;盘货信息!$C:$C,盘货信息!$D:$D)&amp;"元】",IF(AND(_xlfn.XLOOKUP($A199&amp;$B199&amp;$C199,盘货信息!$A:$A&amp;盘货信息!$B:$B&amp;盘货信息!$C:$C,盘货信息!$M:$M)="是",OR(_xlfn.XLOOKUP($A199&amp;$B199&amp;$C199,盘货信息!$A:$A&amp;盘货信息!$B:$B&amp;盘货信息!$C:$C,盘货信息!$L:$L)="否",_xlfn.XLOOKUP($A199&amp;$B199&amp;$C199,盘货信息!$A:$A&amp;盘货信息!$B:$B&amp;盘货信息!$C:$C,盘货信息!$L:$L)="")),"【预估到手价"&amp;_xlfn.XLOOKUP($A199&amp;$B199&amp;$C199,盘货信息!$A:$A&amp;盘货信息!$B:$B&amp;盘货信息!$C:$C,盘货信息!$D:$D)&amp;"元】"&amp;CHAR(10)&amp;"【焕新补贴预估价"&amp;ROUND(_xlfn.XLOOKUP($A199&amp;$B199&amp;$C199,盘货信息!$A:$A&amp;盘货信息!$B:$B&amp;盘货信息!$C:$C,盘货信息!$E:$E),0)&amp;"元】","【焕新补贴预估价"&amp;ROUND(_xlfn.XLOOKUP($A199&amp;$B199&amp;$C199,盘货信息!$A:$A&amp;盘货信息!$B:$B&amp;盘货信息!$C:$C,盘货信息!$E:$E),0)&amp;"元】")))</f>
        <v/>
      </c>
      <c r="F199" s="27" t="str" cm="1">
        <f t="array" ref="F199">IF($C199="","",_xlfn.XLOOKUP($A199&amp;$B199&amp;$C199,盘货信息!$A:$A&amp;盘货信息!$B:$B&amp;盘货信息!$C:$C,盘货信息!$D:$D)&amp;"元到手价")</f>
        <v/>
      </c>
      <c r="G199" s="27" t="str" cm="1">
        <f t="array" ref="G199">IF($C199="","",IF(_xlfn.XLOOKUP($A199&amp;$B199&amp;$C199,盘货信息!$A:$A&amp;盘货信息!$B:$B&amp;盘货信息!$C:$C,盘货信息!$G:$G)&lt;1,"",ROUND(_xlfn.XLOOKUP($A199&amp;$B199&amp;$C199,盘货信息!$A:$A&amp;盘货信息!$B:$B&amp;盘货信息!$C:$C,盘货信息!$G:$G),0)&amp;"元88VIP立减"))</f>
        <v/>
      </c>
      <c r="H199" s="27" t="str" cm="1">
        <f t="array" ref="H199">IF($C199="","",IF(_xlfn.XLOOKUP($A199&amp;$B199&amp;$C199,盘货信息!$A:$A&amp;盘货信息!$B:$B&amp;盘货信息!$C:$C,盘货信息!$I:$I)&lt;1,"",_xlfn.XLOOKUP($A199&amp;$B199&amp;$C199,盘货信息!$A:$A&amp;盘货信息!$B:$B&amp;盘货信息!$C:$C,盘货信息!$I:$I)&amp;"元惊喜立减"))</f>
        <v/>
      </c>
      <c r="I199" s="27" t="str" cm="1">
        <f t="array" ref="I199">IF($C199="","",IF(_xlfn.XLOOKUP($A199&amp;$B199&amp;$C199,盘货信息!$A:$A&amp;盘货信息!$B:$B&amp;盘货信息!$C:$C,盘货信息!$H:$H)&lt;1,"",ROUND(_xlfn.XLOOKUP($A199&amp;$B199&amp;$C199,盘货信息!$A:$A&amp;盘货信息!$B:$B&amp;盘货信息!$C:$C,盘货信息!$H:$H),0)&amp;"元消费券"))</f>
        <v/>
      </c>
      <c r="J199" s="27" t="str" cm="1">
        <f t="array" ref="J199">IF($C199="","",IF(_xlfn.XLOOKUP($A199&amp;$B199&amp;$C199,盘货信息!$A:$A&amp;盘货信息!$B:$B&amp;盘货信息!$C:$C,盘货信息!$J:$J)&lt;1,"",ROUND(_xlfn.XLOOKUP($A199&amp;$B199&amp;$C199,盘货信息!$A:$A&amp;盘货信息!$B:$B&amp;盘货信息!$C:$C,盘货信息!$J:$J),0)&amp;"元限时补贴"))</f>
        <v/>
      </c>
      <c r="K199" s="27" t="str" cm="1">
        <f t="array" ref="K199">IF($C199="","",IF(_xlfn.XLOOKUP($A199&amp;$B199&amp;$C199,盘货信息!$A:$A&amp;盘货信息!$B:$B&amp;盘货信息!$C:$C,盘货信息!$K:$K)&lt;1,"",ROUND(_xlfn.XLOOKUP($A199&amp;$B199&amp;$C199,盘货信息!$A:$A&amp;盘货信息!$B:$B&amp;盘货信息!$C:$C,盘货信息!$K:$K),0)&amp;"元预估焕新补贴"))</f>
        <v/>
      </c>
      <c r="L199" s="27" t="str" cm="1">
        <f t="array" ref="L199">IF($C199="","",IF(AND(_xlfn.XLOOKUP($A199&amp;$B199&amp;$C199,盘货信息!$A:$A&amp;盘货信息!$B:$B&amp;盘货信息!$C:$C,盘货信息!$L:$L)="是",_xlfn.XLOOKUP($A199&amp;$B199&amp;$C199,盘货信息!$A:$A&amp;盘货信息!$B:$B&amp;盘货信息!$C:$C,盘货信息!$M:$M)="是",_xlfn.XLOOKUP($A199&amp;$B199&amp;$C199,盘货信息!$A:$A&amp;盘货信息!$B:$B&amp;盘货信息!$C:$C,盘货信息!$K:$K)&gt;0),"【全民可用，不限地址】",IF(AND(OR(_xlfn.XLOOKUP($A199&amp;$B199&amp;$C199,盘货信息!$A:$A&amp;盘货信息!$B:$B&amp;盘货信息!$C:$C,盘货信息!$L:$L)="否",_xlfn.XLOOKUP($A199&amp;$B199&amp;$C199,盘货信息!$A:$A&amp;盘货信息!$B:$B&amp;盘货信息!$C:$C,盘货信息!$L:$L)=""),_xlfn.XLOOKUP($A199&amp;$B199&amp;$C199,盘货信息!$A:$A&amp;盘货信息!$B:$B&amp;盘货信息!$C:$C,盘货信息!$M:$M)="是",_xlfn.XLOOKUP($A199&amp;$B199&amp;$C199,盘货信息!$A:$A&amp;盘货信息!$B:$B&amp;盘货信息!$C:$C,盘货信息!$K:$K)&gt;0),"【详情页领取】","")))</f>
        <v/>
      </c>
      <c r="M199" s="27" t="str" cm="1">
        <f t="array" ref="M199">IF($C199="","",IF(_xlfn.XLOOKUP($A199&amp;$B199&amp;$C199,盘货信息!$A:$A&amp;盘货信息!$B:$B&amp;盘货信息!$C:$C,盘货信息!$F:$F)&lt;1,"",_xlfn.XLOOKUP($A199&amp;$B199&amp;$C199,盘货信息!$A:$A&amp;盘货信息!$B:$B&amp;盘货信息!$C:$C,盘货信息!$F:$F)&amp;"元明卷"))</f>
        <v/>
      </c>
      <c r="N199" s="27" t="str">
        <f t="shared" si="7"/>
        <v/>
      </c>
      <c r="O199" s="27" t="str">
        <f>IF(I199="","","【消费券链接】"&amp;固定信息!$B$6)</f>
        <v/>
      </c>
    </row>
    <row r="200" customHeight="1" spans="1:15">
      <c r="A200" s="23" t="str">
        <f>IF(盘货信息!A200="","",盘货信息!A200)</f>
        <v/>
      </c>
      <c r="B200" s="26" t="str">
        <f>IF(盘货信息!B200="","",盘货信息!B200)</f>
        <v/>
      </c>
      <c r="C200" s="23" t="str">
        <f>IF(盘货信息!C200="","",盘货信息!C200)</f>
        <v/>
      </c>
      <c r="D200" s="27" t="str">
        <f t="shared" si="6"/>
        <v/>
      </c>
      <c r="E200" s="27" t="str" cm="1">
        <f t="array" ref="E200">IF($C200="","",IF(AND(OR(_xlfn.XLOOKUP($A200&amp;$B200&amp;$C200,盘货信息!$A:$A&amp;盘货信息!$B:$B&amp;盘货信息!$C:$C,盘货信息!$L:$L)="否",_xlfn.XLOOKUP($A200&amp;$B200&amp;$C200,盘货信息!$A:$A&amp;盘货信息!$B:$B&amp;盘货信息!$C:$C,盘货信息!$L:$L)=""),_xlfn.XLOOKUP($A200&amp;$B200&amp;$C200,盘货信息!$A:$A&amp;盘货信息!$B:$B&amp;盘货信息!$C:$C,盘货信息!$M:$M)="否"),"【预估到手价"&amp;_xlfn.XLOOKUP($A200&amp;$B200&amp;$C200,盘货信息!$A:$A&amp;盘货信息!$B:$B&amp;盘货信息!$C:$C,盘货信息!$D:$D)&amp;"元】",IF(AND(_xlfn.XLOOKUP($A200&amp;$B200&amp;$C200,盘货信息!$A:$A&amp;盘货信息!$B:$B&amp;盘货信息!$C:$C,盘货信息!$M:$M)="是",OR(_xlfn.XLOOKUP($A200&amp;$B200&amp;$C200,盘货信息!$A:$A&amp;盘货信息!$B:$B&amp;盘货信息!$C:$C,盘货信息!$L:$L)="否",_xlfn.XLOOKUP($A200&amp;$B200&amp;$C200,盘货信息!$A:$A&amp;盘货信息!$B:$B&amp;盘货信息!$C:$C,盘货信息!$L:$L)="")),"【预估到手价"&amp;_xlfn.XLOOKUP($A200&amp;$B200&amp;$C200,盘货信息!$A:$A&amp;盘货信息!$B:$B&amp;盘货信息!$C:$C,盘货信息!$D:$D)&amp;"元】"&amp;CHAR(10)&amp;"【焕新补贴预估价"&amp;ROUND(_xlfn.XLOOKUP($A200&amp;$B200&amp;$C200,盘货信息!$A:$A&amp;盘货信息!$B:$B&amp;盘货信息!$C:$C,盘货信息!$E:$E),0)&amp;"元】","【焕新补贴预估价"&amp;ROUND(_xlfn.XLOOKUP($A200&amp;$B200&amp;$C200,盘货信息!$A:$A&amp;盘货信息!$B:$B&amp;盘货信息!$C:$C,盘货信息!$E:$E),0)&amp;"元】")))</f>
        <v/>
      </c>
      <c r="F200" s="27" t="str" cm="1">
        <f t="array" ref="F200">IF($C200="","",_xlfn.XLOOKUP($A200&amp;$B200&amp;$C200,盘货信息!$A:$A&amp;盘货信息!$B:$B&amp;盘货信息!$C:$C,盘货信息!$D:$D)&amp;"元到手价")</f>
        <v/>
      </c>
      <c r="G200" s="27" t="str" cm="1">
        <f t="array" ref="G200">IF($C200="","",IF(_xlfn.XLOOKUP($A200&amp;$B200&amp;$C200,盘货信息!$A:$A&amp;盘货信息!$B:$B&amp;盘货信息!$C:$C,盘货信息!$G:$G)&lt;1,"",ROUND(_xlfn.XLOOKUP($A200&amp;$B200&amp;$C200,盘货信息!$A:$A&amp;盘货信息!$B:$B&amp;盘货信息!$C:$C,盘货信息!$G:$G),0)&amp;"元88VIP立减"))</f>
        <v/>
      </c>
      <c r="H200" s="27" t="str" cm="1">
        <f t="array" ref="H200">IF($C200="","",IF(_xlfn.XLOOKUP($A200&amp;$B200&amp;$C200,盘货信息!$A:$A&amp;盘货信息!$B:$B&amp;盘货信息!$C:$C,盘货信息!$I:$I)&lt;1,"",_xlfn.XLOOKUP($A200&amp;$B200&amp;$C200,盘货信息!$A:$A&amp;盘货信息!$B:$B&amp;盘货信息!$C:$C,盘货信息!$I:$I)&amp;"元惊喜立减"))</f>
        <v/>
      </c>
      <c r="I200" s="27" t="str" cm="1">
        <f t="array" ref="I200">IF($C200="","",IF(_xlfn.XLOOKUP($A200&amp;$B200&amp;$C200,盘货信息!$A:$A&amp;盘货信息!$B:$B&amp;盘货信息!$C:$C,盘货信息!$H:$H)&lt;1,"",ROUND(_xlfn.XLOOKUP($A200&amp;$B200&amp;$C200,盘货信息!$A:$A&amp;盘货信息!$B:$B&amp;盘货信息!$C:$C,盘货信息!$H:$H),0)&amp;"元消费券"))</f>
        <v/>
      </c>
      <c r="J200" s="27" t="str" cm="1">
        <f t="array" ref="J200">IF($C200="","",IF(_xlfn.XLOOKUP($A200&amp;$B200&amp;$C200,盘货信息!$A:$A&amp;盘货信息!$B:$B&amp;盘货信息!$C:$C,盘货信息!$J:$J)&lt;1,"",ROUND(_xlfn.XLOOKUP($A200&amp;$B200&amp;$C200,盘货信息!$A:$A&amp;盘货信息!$B:$B&amp;盘货信息!$C:$C,盘货信息!$J:$J),0)&amp;"元限时补贴"))</f>
        <v/>
      </c>
      <c r="K200" s="27" t="str" cm="1">
        <f t="array" ref="K200">IF($C200="","",IF(_xlfn.XLOOKUP($A200&amp;$B200&amp;$C200,盘货信息!$A:$A&amp;盘货信息!$B:$B&amp;盘货信息!$C:$C,盘货信息!$K:$K)&lt;1,"",ROUND(_xlfn.XLOOKUP($A200&amp;$B200&amp;$C200,盘货信息!$A:$A&amp;盘货信息!$B:$B&amp;盘货信息!$C:$C,盘货信息!$K:$K),0)&amp;"元预估焕新补贴"))</f>
        <v/>
      </c>
      <c r="L200" s="27" t="str" cm="1">
        <f t="array" ref="L200">IF($C200="","",IF(AND(_xlfn.XLOOKUP($A200&amp;$B200&amp;$C200,盘货信息!$A:$A&amp;盘货信息!$B:$B&amp;盘货信息!$C:$C,盘货信息!$L:$L)="是",_xlfn.XLOOKUP($A200&amp;$B200&amp;$C200,盘货信息!$A:$A&amp;盘货信息!$B:$B&amp;盘货信息!$C:$C,盘货信息!$M:$M)="是",_xlfn.XLOOKUP($A200&amp;$B200&amp;$C200,盘货信息!$A:$A&amp;盘货信息!$B:$B&amp;盘货信息!$C:$C,盘货信息!$K:$K)&gt;0),"【全民可用，不限地址】",IF(AND(OR(_xlfn.XLOOKUP($A200&amp;$B200&amp;$C200,盘货信息!$A:$A&amp;盘货信息!$B:$B&amp;盘货信息!$C:$C,盘货信息!$L:$L)="否",_xlfn.XLOOKUP($A200&amp;$B200&amp;$C200,盘货信息!$A:$A&amp;盘货信息!$B:$B&amp;盘货信息!$C:$C,盘货信息!$L:$L)=""),_xlfn.XLOOKUP($A200&amp;$B200&amp;$C200,盘货信息!$A:$A&amp;盘货信息!$B:$B&amp;盘货信息!$C:$C,盘货信息!$M:$M)="是",_xlfn.XLOOKUP($A200&amp;$B200&amp;$C200,盘货信息!$A:$A&amp;盘货信息!$B:$B&amp;盘货信息!$C:$C,盘货信息!$K:$K)&gt;0),"【详情页领取】","")))</f>
        <v/>
      </c>
      <c r="M200" s="27" t="str" cm="1">
        <f t="array" ref="M200">IF($C200="","",IF(_xlfn.XLOOKUP($A200&amp;$B200&amp;$C200,盘货信息!$A:$A&amp;盘货信息!$B:$B&amp;盘货信息!$C:$C,盘货信息!$F:$F)&lt;1,"",_xlfn.XLOOKUP($A200&amp;$B200&amp;$C200,盘货信息!$A:$A&amp;盘货信息!$B:$B&amp;盘货信息!$C:$C,盘货信息!$F:$F)&amp;"元明卷"))</f>
        <v/>
      </c>
      <c r="N200" s="27" t="str">
        <f t="shared" si="7"/>
        <v/>
      </c>
      <c r="O200" s="27" t="str">
        <f>IF(I200="","","【消费券链接】"&amp;固定信息!$B$6)</f>
        <v/>
      </c>
    </row>
    <row r="201" customHeight="1" spans="1:15">
      <c r="A201" s="23" t="str">
        <f>IF(盘货信息!A201="","",盘货信息!A201)</f>
        <v/>
      </c>
      <c r="B201" s="26" t="str">
        <f>IF(盘货信息!B201="","",盘货信息!B201)</f>
        <v/>
      </c>
      <c r="C201" s="23" t="str">
        <f>IF(盘货信息!C201="","",盘货信息!C201)</f>
        <v/>
      </c>
      <c r="D201" s="27" t="str">
        <f t="shared" si="6"/>
        <v/>
      </c>
      <c r="E201" s="27" t="str" cm="1">
        <f t="array" ref="E201">IF($C201="","",IF(AND(OR(_xlfn.XLOOKUP($A201&amp;$B201&amp;$C201,盘货信息!$A:$A&amp;盘货信息!$B:$B&amp;盘货信息!$C:$C,盘货信息!$L:$L)="否",_xlfn.XLOOKUP($A201&amp;$B201&amp;$C201,盘货信息!$A:$A&amp;盘货信息!$B:$B&amp;盘货信息!$C:$C,盘货信息!$L:$L)=""),_xlfn.XLOOKUP($A201&amp;$B201&amp;$C201,盘货信息!$A:$A&amp;盘货信息!$B:$B&amp;盘货信息!$C:$C,盘货信息!$M:$M)="否"),"【预估到手价"&amp;_xlfn.XLOOKUP($A201&amp;$B201&amp;$C201,盘货信息!$A:$A&amp;盘货信息!$B:$B&amp;盘货信息!$C:$C,盘货信息!$D:$D)&amp;"元】",IF(AND(_xlfn.XLOOKUP($A201&amp;$B201&amp;$C201,盘货信息!$A:$A&amp;盘货信息!$B:$B&amp;盘货信息!$C:$C,盘货信息!$M:$M)="是",OR(_xlfn.XLOOKUP($A201&amp;$B201&amp;$C201,盘货信息!$A:$A&amp;盘货信息!$B:$B&amp;盘货信息!$C:$C,盘货信息!$L:$L)="否",_xlfn.XLOOKUP($A201&amp;$B201&amp;$C201,盘货信息!$A:$A&amp;盘货信息!$B:$B&amp;盘货信息!$C:$C,盘货信息!$L:$L)="")),"【预估到手价"&amp;_xlfn.XLOOKUP($A201&amp;$B201&amp;$C201,盘货信息!$A:$A&amp;盘货信息!$B:$B&amp;盘货信息!$C:$C,盘货信息!$D:$D)&amp;"元】"&amp;CHAR(10)&amp;"【焕新补贴预估价"&amp;ROUND(_xlfn.XLOOKUP($A201&amp;$B201&amp;$C201,盘货信息!$A:$A&amp;盘货信息!$B:$B&amp;盘货信息!$C:$C,盘货信息!$E:$E),0)&amp;"元】","【焕新补贴预估价"&amp;ROUND(_xlfn.XLOOKUP($A201&amp;$B201&amp;$C201,盘货信息!$A:$A&amp;盘货信息!$B:$B&amp;盘货信息!$C:$C,盘货信息!$E:$E),0)&amp;"元】")))</f>
        <v/>
      </c>
      <c r="F201" s="27" t="str" cm="1">
        <f t="array" ref="F201">IF($C201="","",_xlfn.XLOOKUP($A201&amp;$B201&amp;$C201,盘货信息!$A:$A&amp;盘货信息!$B:$B&amp;盘货信息!$C:$C,盘货信息!$D:$D)&amp;"元到手价")</f>
        <v/>
      </c>
      <c r="G201" s="27" t="str" cm="1">
        <f t="array" ref="G201">IF($C201="","",IF(_xlfn.XLOOKUP($A201&amp;$B201&amp;$C201,盘货信息!$A:$A&amp;盘货信息!$B:$B&amp;盘货信息!$C:$C,盘货信息!$G:$G)&lt;1,"",ROUND(_xlfn.XLOOKUP($A201&amp;$B201&amp;$C201,盘货信息!$A:$A&amp;盘货信息!$B:$B&amp;盘货信息!$C:$C,盘货信息!$G:$G),0)&amp;"元88VIP立减"))</f>
        <v/>
      </c>
      <c r="H201" s="27" t="str" cm="1">
        <f t="array" ref="H201">IF($C201="","",IF(_xlfn.XLOOKUP($A201&amp;$B201&amp;$C201,盘货信息!$A:$A&amp;盘货信息!$B:$B&amp;盘货信息!$C:$C,盘货信息!$I:$I)&lt;1,"",_xlfn.XLOOKUP($A201&amp;$B201&amp;$C201,盘货信息!$A:$A&amp;盘货信息!$B:$B&amp;盘货信息!$C:$C,盘货信息!$I:$I)&amp;"元惊喜立减"))</f>
        <v/>
      </c>
      <c r="I201" s="27" t="str" cm="1">
        <f t="array" ref="I201">IF($C201="","",IF(_xlfn.XLOOKUP($A201&amp;$B201&amp;$C201,盘货信息!$A:$A&amp;盘货信息!$B:$B&amp;盘货信息!$C:$C,盘货信息!$H:$H)&lt;1,"",ROUND(_xlfn.XLOOKUP($A201&amp;$B201&amp;$C201,盘货信息!$A:$A&amp;盘货信息!$B:$B&amp;盘货信息!$C:$C,盘货信息!$H:$H),0)&amp;"元消费券"))</f>
        <v/>
      </c>
      <c r="J201" s="27" t="str" cm="1">
        <f t="array" ref="J201">IF($C201="","",IF(_xlfn.XLOOKUP($A201&amp;$B201&amp;$C201,盘货信息!$A:$A&amp;盘货信息!$B:$B&amp;盘货信息!$C:$C,盘货信息!$J:$J)&lt;1,"",ROUND(_xlfn.XLOOKUP($A201&amp;$B201&amp;$C201,盘货信息!$A:$A&amp;盘货信息!$B:$B&amp;盘货信息!$C:$C,盘货信息!$J:$J),0)&amp;"元限时补贴"))</f>
        <v/>
      </c>
      <c r="K201" s="27" t="str" cm="1">
        <f t="array" ref="K201">IF($C201="","",IF(_xlfn.XLOOKUP($A201&amp;$B201&amp;$C201,盘货信息!$A:$A&amp;盘货信息!$B:$B&amp;盘货信息!$C:$C,盘货信息!$K:$K)&lt;1,"",ROUND(_xlfn.XLOOKUP($A201&amp;$B201&amp;$C201,盘货信息!$A:$A&amp;盘货信息!$B:$B&amp;盘货信息!$C:$C,盘货信息!$K:$K),0)&amp;"元预估焕新补贴"))</f>
        <v/>
      </c>
      <c r="L201" s="27" t="str" cm="1">
        <f t="array" ref="L201">IF($C201="","",IF(AND(_xlfn.XLOOKUP($A201&amp;$B201&amp;$C201,盘货信息!$A:$A&amp;盘货信息!$B:$B&amp;盘货信息!$C:$C,盘货信息!$L:$L)="是",_xlfn.XLOOKUP($A201&amp;$B201&amp;$C201,盘货信息!$A:$A&amp;盘货信息!$B:$B&amp;盘货信息!$C:$C,盘货信息!$M:$M)="是",_xlfn.XLOOKUP($A201&amp;$B201&amp;$C201,盘货信息!$A:$A&amp;盘货信息!$B:$B&amp;盘货信息!$C:$C,盘货信息!$K:$K)&gt;0),"【全民可用，不限地址】",IF(AND(OR(_xlfn.XLOOKUP($A201&amp;$B201&amp;$C201,盘货信息!$A:$A&amp;盘货信息!$B:$B&amp;盘货信息!$C:$C,盘货信息!$L:$L)="否",_xlfn.XLOOKUP($A201&amp;$B201&amp;$C201,盘货信息!$A:$A&amp;盘货信息!$B:$B&amp;盘货信息!$C:$C,盘货信息!$L:$L)=""),_xlfn.XLOOKUP($A201&amp;$B201&amp;$C201,盘货信息!$A:$A&amp;盘货信息!$B:$B&amp;盘货信息!$C:$C,盘货信息!$M:$M)="是",_xlfn.XLOOKUP($A201&amp;$B201&amp;$C201,盘货信息!$A:$A&amp;盘货信息!$B:$B&amp;盘货信息!$C:$C,盘货信息!$K:$K)&gt;0),"【详情页领取】","")))</f>
        <v/>
      </c>
      <c r="M201" s="27" t="str" cm="1">
        <f t="array" ref="M201">IF($C201="","",IF(_xlfn.XLOOKUP($A201&amp;$B201&amp;$C201,盘货信息!$A:$A&amp;盘货信息!$B:$B&amp;盘货信息!$C:$C,盘货信息!$F:$F)&lt;1,"",_xlfn.XLOOKUP($A201&amp;$B201&amp;$C201,盘货信息!$A:$A&amp;盘货信息!$B:$B&amp;盘货信息!$C:$C,盘货信息!$F:$F)&amp;"元明卷"))</f>
        <v/>
      </c>
      <c r="N201" s="27" t="str">
        <f t="shared" si="7"/>
        <v/>
      </c>
      <c r="O201" s="27" t="str">
        <f>IF(I201="","","【消费券链接】"&amp;固定信息!$B$6)</f>
        <v/>
      </c>
    </row>
    <row r="202" customHeight="1" spans="1:15">
      <c r="A202" s="23" t="str">
        <f>IF(盘货信息!A202="","",盘货信息!A202)</f>
        <v/>
      </c>
      <c r="B202" s="26" t="str">
        <f>IF(盘货信息!B202="","",盘货信息!B202)</f>
        <v/>
      </c>
      <c r="C202" s="23" t="str">
        <f>IF(盘货信息!C202="","",盘货信息!C202)</f>
        <v/>
      </c>
      <c r="D202" s="27" t="str">
        <f t="shared" si="6"/>
        <v/>
      </c>
      <c r="E202" s="27" t="str" cm="1">
        <f t="array" ref="E202">IF($C202="","",IF(AND(OR(_xlfn.XLOOKUP($A202&amp;$B202&amp;$C202,盘货信息!$A:$A&amp;盘货信息!$B:$B&amp;盘货信息!$C:$C,盘货信息!$L:$L)="否",_xlfn.XLOOKUP($A202&amp;$B202&amp;$C202,盘货信息!$A:$A&amp;盘货信息!$B:$B&amp;盘货信息!$C:$C,盘货信息!$L:$L)=""),_xlfn.XLOOKUP($A202&amp;$B202&amp;$C202,盘货信息!$A:$A&amp;盘货信息!$B:$B&amp;盘货信息!$C:$C,盘货信息!$M:$M)="否"),"【预估到手价"&amp;_xlfn.XLOOKUP($A202&amp;$B202&amp;$C202,盘货信息!$A:$A&amp;盘货信息!$B:$B&amp;盘货信息!$C:$C,盘货信息!$D:$D)&amp;"元】",IF(AND(_xlfn.XLOOKUP($A202&amp;$B202&amp;$C202,盘货信息!$A:$A&amp;盘货信息!$B:$B&amp;盘货信息!$C:$C,盘货信息!$M:$M)="是",OR(_xlfn.XLOOKUP($A202&amp;$B202&amp;$C202,盘货信息!$A:$A&amp;盘货信息!$B:$B&amp;盘货信息!$C:$C,盘货信息!$L:$L)="否",_xlfn.XLOOKUP($A202&amp;$B202&amp;$C202,盘货信息!$A:$A&amp;盘货信息!$B:$B&amp;盘货信息!$C:$C,盘货信息!$L:$L)="")),"【预估到手价"&amp;_xlfn.XLOOKUP($A202&amp;$B202&amp;$C202,盘货信息!$A:$A&amp;盘货信息!$B:$B&amp;盘货信息!$C:$C,盘货信息!$D:$D)&amp;"元】"&amp;CHAR(10)&amp;"【焕新补贴预估价"&amp;ROUND(_xlfn.XLOOKUP($A202&amp;$B202&amp;$C202,盘货信息!$A:$A&amp;盘货信息!$B:$B&amp;盘货信息!$C:$C,盘货信息!$E:$E),0)&amp;"元】","【焕新补贴预估价"&amp;ROUND(_xlfn.XLOOKUP($A202&amp;$B202&amp;$C202,盘货信息!$A:$A&amp;盘货信息!$B:$B&amp;盘货信息!$C:$C,盘货信息!$E:$E),0)&amp;"元】")))</f>
        <v/>
      </c>
      <c r="F202" s="27" t="str" cm="1">
        <f t="array" ref="F202">IF($C202="","",_xlfn.XLOOKUP($A202&amp;$B202&amp;$C202,盘货信息!$A:$A&amp;盘货信息!$B:$B&amp;盘货信息!$C:$C,盘货信息!$D:$D)&amp;"元到手价")</f>
        <v/>
      </c>
      <c r="G202" s="27" t="str" cm="1">
        <f t="array" ref="G202">IF($C202="","",IF(_xlfn.XLOOKUP($A202&amp;$B202&amp;$C202,盘货信息!$A:$A&amp;盘货信息!$B:$B&amp;盘货信息!$C:$C,盘货信息!$G:$G)&lt;1,"",ROUND(_xlfn.XLOOKUP($A202&amp;$B202&amp;$C202,盘货信息!$A:$A&amp;盘货信息!$B:$B&amp;盘货信息!$C:$C,盘货信息!$G:$G),0)&amp;"元88VIP立减"))</f>
        <v/>
      </c>
      <c r="H202" s="27" t="str" cm="1">
        <f t="array" ref="H202">IF($C202="","",IF(_xlfn.XLOOKUP($A202&amp;$B202&amp;$C202,盘货信息!$A:$A&amp;盘货信息!$B:$B&amp;盘货信息!$C:$C,盘货信息!$I:$I)&lt;1,"",_xlfn.XLOOKUP($A202&amp;$B202&amp;$C202,盘货信息!$A:$A&amp;盘货信息!$B:$B&amp;盘货信息!$C:$C,盘货信息!$I:$I)&amp;"元惊喜立减"))</f>
        <v/>
      </c>
      <c r="I202" s="27" t="str" cm="1">
        <f t="array" ref="I202">IF($C202="","",IF(_xlfn.XLOOKUP($A202&amp;$B202&amp;$C202,盘货信息!$A:$A&amp;盘货信息!$B:$B&amp;盘货信息!$C:$C,盘货信息!$H:$H)&lt;1,"",ROUND(_xlfn.XLOOKUP($A202&amp;$B202&amp;$C202,盘货信息!$A:$A&amp;盘货信息!$B:$B&amp;盘货信息!$C:$C,盘货信息!$H:$H),0)&amp;"元消费券"))</f>
        <v/>
      </c>
      <c r="J202" s="27" t="str" cm="1">
        <f t="array" ref="J202">IF($C202="","",IF(_xlfn.XLOOKUP($A202&amp;$B202&amp;$C202,盘货信息!$A:$A&amp;盘货信息!$B:$B&amp;盘货信息!$C:$C,盘货信息!$J:$J)&lt;1,"",ROUND(_xlfn.XLOOKUP($A202&amp;$B202&amp;$C202,盘货信息!$A:$A&amp;盘货信息!$B:$B&amp;盘货信息!$C:$C,盘货信息!$J:$J),0)&amp;"元限时补贴"))</f>
        <v/>
      </c>
      <c r="K202" s="27" t="str" cm="1">
        <f t="array" ref="K202">IF($C202="","",IF(_xlfn.XLOOKUP($A202&amp;$B202&amp;$C202,盘货信息!$A:$A&amp;盘货信息!$B:$B&amp;盘货信息!$C:$C,盘货信息!$K:$K)&lt;1,"",ROUND(_xlfn.XLOOKUP($A202&amp;$B202&amp;$C202,盘货信息!$A:$A&amp;盘货信息!$B:$B&amp;盘货信息!$C:$C,盘货信息!$K:$K),0)&amp;"元预估焕新补贴"))</f>
        <v/>
      </c>
      <c r="L202" s="27" t="str" cm="1">
        <f t="array" ref="L202">IF($C202="","",IF(AND(_xlfn.XLOOKUP($A202&amp;$B202&amp;$C202,盘货信息!$A:$A&amp;盘货信息!$B:$B&amp;盘货信息!$C:$C,盘货信息!$L:$L)="是",_xlfn.XLOOKUP($A202&amp;$B202&amp;$C202,盘货信息!$A:$A&amp;盘货信息!$B:$B&amp;盘货信息!$C:$C,盘货信息!$M:$M)="是",_xlfn.XLOOKUP($A202&amp;$B202&amp;$C202,盘货信息!$A:$A&amp;盘货信息!$B:$B&amp;盘货信息!$C:$C,盘货信息!$K:$K)&gt;0),"【全民可用，不限地址】",IF(AND(OR(_xlfn.XLOOKUP($A202&amp;$B202&amp;$C202,盘货信息!$A:$A&amp;盘货信息!$B:$B&amp;盘货信息!$C:$C,盘货信息!$L:$L)="否",_xlfn.XLOOKUP($A202&amp;$B202&amp;$C202,盘货信息!$A:$A&amp;盘货信息!$B:$B&amp;盘货信息!$C:$C,盘货信息!$L:$L)=""),_xlfn.XLOOKUP($A202&amp;$B202&amp;$C202,盘货信息!$A:$A&amp;盘货信息!$B:$B&amp;盘货信息!$C:$C,盘货信息!$M:$M)="是",_xlfn.XLOOKUP($A202&amp;$B202&amp;$C202,盘货信息!$A:$A&amp;盘货信息!$B:$B&amp;盘货信息!$C:$C,盘货信息!$K:$K)&gt;0),"【详情页领取】","")))</f>
        <v/>
      </c>
      <c r="M202" s="27" t="str" cm="1">
        <f t="array" ref="M202">IF($C202="","",IF(_xlfn.XLOOKUP($A202&amp;$B202&amp;$C202,盘货信息!$A:$A&amp;盘货信息!$B:$B&amp;盘货信息!$C:$C,盘货信息!$F:$F)&lt;1,"",_xlfn.XLOOKUP($A202&amp;$B202&amp;$C202,盘货信息!$A:$A&amp;盘货信息!$B:$B&amp;盘货信息!$C:$C,盘货信息!$F:$F)&amp;"元明卷"))</f>
        <v/>
      </c>
      <c r="N202" s="27" t="str">
        <f t="shared" si="7"/>
        <v/>
      </c>
      <c r="O202" s="27" t="str">
        <f>IF(I202="","","【消费券链接】"&amp;固定信息!$B$6)</f>
        <v/>
      </c>
    </row>
    <row r="203" customHeight="1" spans="1:15">
      <c r="A203" s="23" t="str">
        <f>IF(盘货信息!A203="","",盘货信息!A203)</f>
        <v/>
      </c>
      <c r="B203" s="26" t="str">
        <f>IF(盘货信息!B203="","",盘货信息!B203)</f>
        <v/>
      </c>
      <c r="C203" s="23" t="str">
        <f>IF(盘货信息!C203="","",盘货信息!C203)</f>
        <v/>
      </c>
      <c r="D203" s="27" t="str">
        <f t="shared" si="6"/>
        <v/>
      </c>
      <c r="E203" s="27" t="str" cm="1">
        <f t="array" ref="E203">IF($C203="","",IF(AND(OR(_xlfn.XLOOKUP($A203&amp;$B203&amp;$C203,盘货信息!$A:$A&amp;盘货信息!$B:$B&amp;盘货信息!$C:$C,盘货信息!$L:$L)="否",_xlfn.XLOOKUP($A203&amp;$B203&amp;$C203,盘货信息!$A:$A&amp;盘货信息!$B:$B&amp;盘货信息!$C:$C,盘货信息!$L:$L)=""),_xlfn.XLOOKUP($A203&amp;$B203&amp;$C203,盘货信息!$A:$A&amp;盘货信息!$B:$B&amp;盘货信息!$C:$C,盘货信息!$M:$M)="否"),"【预估到手价"&amp;_xlfn.XLOOKUP($A203&amp;$B203&amp;$C203,盘货信息!$A:$A&amp;盘货信息!$B:$B&amp;盘货信息!$C:$C,盘货信息!$D:$D)&amp;"元】",IF(AND(_xlfn.XLOOKUP($A203&amp;$B203&amp;$C203,盘货信息!$A:$A&amp;盘货信息!$B:$B&amp;盘货信息!$C:$C,盘货信息!$M:$M)="是",OR(_xlfn.XLOOKUP($A203&amp;$B203&amp;$C203,盘货信息!$A:$A&amp;盘货信息!$B:$B&amp;盘货信息!$C:$C,盘货信息!$L:$L)="否",_xlfn.XLOOKUP($A203&amp;$B203&amp;$C203,盘货信息!$A:$A&amp;盘货信息!$B:$B&amp;盘货信息!$C:$C,盘货信息!$L:$L)="")),"【预估到手价"&amp;_xlfn.XLOOKUP($A203&amp;$B203&amp;$C203,盘货信息!$A:$A&amp;盘货信息!$B:$B&amp;盘货信息!$C:$C,盘货信息!$D:$D)&amp;"元】"&amp;CHAR(10)&amp;"【焕新补贴预估价"&amp;ROUND(_xlfn.XLOOKUP($A203&amp;$B203&amp;$C203,盘货信息!$A:$A&amp;盘货信息!$B:$B&amp;盘货信息!$C:$C,盘货信息!$E:$E),0)&amp;"元】","【焕新补贴预估价"&amp;ROUND(_xlfn.XLOOKUP($A203&amp;$B203&amp;$C203,盘货信息!$A:$A&amp;盘货信息!$B:$B&amp;盘货信息!$C:$C,盘货信息!$E:$E),0)&amp;"元】")))</f>
        <v/>
      </c>
      <c r="F203" s="27" t="str" cm="1">
        <f t="array" ref="F203">IF($C203="","",_xlfn.XLOOKUP($A203&amp;$B203&amp;$C203,盘货信息!$A:$A&amp;盘货信息!$B:$B&amp;盘货信息!$C:$C,盘货信息!$D:$D)&amp;"元到手价")</f>
        <v/>
      </c>
      <c r="G203" s="27" t="str" cm="1">
        <f t="array" ref="G203">IF($C203="","",IF(_xlfn.XLOOKUP($A203&amp;$B203&amp;$C203,盘货信息!$A:$A&amp;盘货信息!$B:$B&amp;盘货信息!$C:$C,盘货信息!$G:$G)&lt;1,"",ROUND(_xlfn.XLOOKUP($A203&amp;$B203&amp;$C203,盘货信息!$A:$A&amp;盘货信息!$B:$B&amp;盘货信息!$C:$C,盘货信息!$G:$G),0)&amp;"元88VIP立减"))</f>
        <v/>
      </c>
      <c r="H203" s="27" t="str" cm="1">
        <f t="array" ref="H203">IF($C203="","",IF(_xlfn.XLOOKUP($A203&amp;$B203&amp;$C203,盘货信息!$A:$A&amp;盘货信息!$B:$B&amp;盘货信息!$C:$C,盘货信息!$I:$I)&lt;1,"",_xlfn.XLOOKUP($A203&amp;$B203&amp;$C203,盘货信息!$A:$A&amp;盘货信息!$B:$B&amp;盘货信息!$C:$C,盘货信息!$I:$I)&amp;"元惊喜立减"))</f>
        <v/>
      </c>
      <c r="I203" s="27" t="str" cm="1">
        <f t="array" ref="I203">IF($C203="","",IF(_xlfn.XLOOKUP($A203&amp;$B203&amp;$C203,盘货信息!$A:$A&amp;盘货信息!$B:$B&amp;盘货信息!$C:$C,盘货信息!$H:$H)&lt;1,"",ROUND(_xlfn.XLOOKUP($A203&amp;$B203&amp;$C203,盘货信息!$A:$A&amp;盘货信息!$B:$B&amp;盘货信息!$C:$C,盘货信息!$H:$H),0)&amp;"元消费券"))</f>
        <v/>
      </c>
      <c r="J203" s="27" t="str" cm="1">
        <f t="array" ref="J203">IF($C203="","",IF(_xlfn.XLOOKUP($A203&amp;$B203&amp;$C203,盘货信息!$A:$A&amp;盘货信息!$B:$B&amp;盘货信息!$C:$C,盘货信息!$J:$J)&lt;1,"",ROUND(_xlfn.XLOOKUP($A203&amp;$B203&amp;$C203,盘货信息!$A:$A&amp;盘货信息!$B:$B&amp;盘货信息!$C:$C,盘货信息!$J:$J),0)&amp;"元限时补贴"))</f>
        <v/>
      </c>
      <c r="K203" s="27" t="str" cm="1">
        <f t="array" ref="K203">IF($C203="","",IF(_xlfn.XLOOKUP($A203&amp;$B203&amp;$C203,盘货信息!$A:$A&amp;盘货信息!$B:$B&amp;盘货信息!$C:$C,盘货信息!$K:$K)&lt;1,"",ROUND(_xlfn.XLOOKUP($A203&amp;$B203&amp;$C203,盘货信息!$A:$A&amp;盘货信息!$B:$B&amp;盘货信息!$C:$C,盘货信息!$K:$K),0)&amp;"元预估焕新补贴"))</f>
        <v/>
      </c>
      <c r="L203" s="27" t="str" cm="1">
        <f t="array" ref="L203">IF($C203="","",IF(AND(_xlfn.XLOOKUP($A203&amp;$B203&amp;$C203,盘货信息!$A:$A&amp;盘货信息!$B:$B&amp;盘货信息!$C:$C,盘货信息!$L:$L)="是",_xlfn.XLOOKUP($A203&amp;$B203&amp;$C203,盘货信息!$A:$A&amp;盘货信息!$B:$B&amp;盘货信息!$C:$C,盘货信息!$M:$M)="是",_xlfn.XLOOKUP($A203&amp;$B203&amp;$C203,盘货信息!$A:$A&amp;盘货信息!$B:$B&amp;盘货信息!$C:$C,盘货信息!$K:$K)&gt;0),"【全民可用，不限地址】",IF(AND(OR(_xlfn.XLOOKUP($A203&amp;$B203&amp;$C203,盘货信息!$A:$A&amp;盘货信息!$B:$B&amp;盘货信息!$C:$C,盘货信息!$L:$L)="否",_xlfn.XLOOKUP($A203&amp;$B203&amp;$C203,盘货信息!$A:$A&amp;盘货信息!$B:$B&amp;盘货信息!$C:$C,盘货信息!$L:$L)=""),_xlfn.XLOOKUP($A203&amp;$B203&amp;$C203,盘货信息!$A:$A&amp;盘货信息!$B:$B&amp;盘货信息!$C:$C,盘货信息!$M:$M)="是",_xlfn.XLOOKUP($A203&amp;$B203&amp;$C203,盘货信息!$A:$A&amp;盘货信息!$B:$B&amp;盘货信息!$C:$C,盘货信息!$K:$K)&gt;0),"【详情页领取】","")))</f>
        <v/>
      </c>
      <c r="M203" s="27" t="str" cm="1">
        <f t="array" ref="M203">IF($C203="","",IF(_xlfn.XLOOKUP($A203&amp;$B203&amp;$C203,盘货信息!$A:$A&amp;盘货信息!$B:$B&amp;盘货信息!$C:$C,盘货信息!$F:$F)&lt;1,"",_xlfn.XLOOKUP($A203&amp;$B203&amp;$C203,盘货信息!$A:$A&amp;盘货信息!$B:$B&amp;盘货信息!$C:$C,盘货信息!$F:$F)&amp;"元明卷"))</f>
        <v/>
      </c>
      <c r="N203" s="27" t="str">
        <f t="shared" si="7"/>
        <v/>
      </c>
      <c r="O203" s="27" t="str">
        <f>IF(I203="","","【消费券链接】"&amp;固定信息!$B$6)</f>
        <v/>
      </c>
    </row>
    <row r="204" customHeight="1" spans="1:15">
      <c r="A204" s="23" t="str">
        <f>IF(盘货信息!A204="","",盘货信息!A204)</f>
        <v/>
      </c>
      <c r="B204" s="26" t="str">
        <f>IF(盘货信息!B204="","",盘货信息!B204)</f>
        <v/>
      </c>
      <c r="C204" s="23" t="str">
        <f>IF(盘货信息!C204="","",盘货信息!C204)</f>
        <v/>
      </c>
      <c r="D204" s="27" t="str">
        <f t="shared" si="6"/>
        <v/>
      </c>
      <c r="E204" s="27" t="str" cm="1">
        <f t="array" ref="E204">IF($C204="","",IF(AND(OR(_xlfn.XLOOKUP($A204&amp;$B204&amp;$C204,盘货信息!$A:$A&amp;盘货信息!$B:$B&amp;盘货信息!$C:$C,盘货信息!$L:$L)="否",_xlfn.XLOOKUP($A204&amp;$B204&amp;$C204,盘货信息!$A:$A&amp;盘货信息!$B:$B&amp;盘货信息!$C:$C,盘货信息!$L:$L)=""),_xlfn.XLOOKUP($A204&amp;$B204&amp;$C204,盘货信息!$A:$A&amp;盘货信息!$B:$B&amp;盘货信息!$C:$C,盘货信息!$M:$M)="否"),"【预估到手价"&amp;_xlfn.XLOOKUP($A204&amp;$B204&amp;$C204,盘货信息!$A:$A&amp;盘货信息!$B:$B&amp;盘货信息!$C:$C,盘货信息!$D:$D)&amp;"元】",IF(AND(_xlfn.XLOOKUP($A204&amp;$B204&amp;$C204,盘货信息!$A:$A&amp;盘货信息!$B:$B&amp;盘货信息!$C:$C,盘货信息!$M:$M)="是",OR(_xlfn.XLOOKUP($A204&amp;$B204&amp;$C204,盘货信息!$A:$A&amp;盘货信息!$B:$B&amp;盘货信息!$C:$C,盘货信息!$L:$L)="否",_xlfn.XLOOKUP($A204&amp;$B204&amp;$C204,盘货信息!$A:$A&amp;盘货信息!$B:$B&amp;盘货信息!$C:$C,盘货信息!$L:$L)="")),"【预估到手价"&amp;_xlfn.XLOOKUP($A204&amp;$B204&amp;$C204,盘货信息!$A:$A&amp;盘货信息!$B:$B&amp;盘货信息!$C:$C,盘货信息!$D:$D)&amp;"元】"&amp;CHAR(10)&amp;"【焕新补贴预估价"&amp;ROUND(_xlfn.XLOOKUP($A204&amp;$B204&amp;$C204,盘货信息!$A:$A&amp;盘货信息!$B:$B&amp;盘货信息!$C:$C,盘货信息!$E:$E),0)&amp;"元】","【焕新补贴预估价"&amp;ROUND(_xlfn.XLOOKUP($A204&amp;$B204&amp;$C204,盘货信息!$A:$A&amp;盘货信息!$B:$B&amp;盘货信息!$C:$C,盘货信息!$E:$E),0)&amp;"元】")))</f>
        <v/>
      </c>
      <c r="F204" s="27" t="str" cm="1">
        <f t="array" ref="F204">IF($C204="","",_xlfn.XLOOKUP($A204&amp;$B204&amp;$C204,盘货信息!$A:$A&amp;盘货信息!$B:$B&amp;盘货信息!$C:$C,盘货信息!$D:$D)&amp;"元到手价")</f>
        <v/>
      </c>
      <c r="G204" s="27" t="str" cm="1">
        <f t="array" ref="G204">IF($C204="","",IF(_xlfn.XLOOKUP($A204&amp;$B204&amp;$C204,盘货信息!$A:$A&amp;盘货信息!$B:$B&amp;盘货信息!$C:$C,盘货信息!$G:$G)&lt;1,"",ROUND(_xlfn.XLOOKUP($A204&amp;$B204&amp;$C204,盘货信息!$A:$A&amp;盘货信息!$B:$B&amp;盘货信息!$C:$C,盘货信息!$G:$G),0)&amp;"元88VIP立减"))</f>
        <v/>
      </c>
      <c r="H204" s="27" t="str" cm="1">
        <f t="array" ref="H204">IF($C204="","",IF(_xlfn.XLOOKUP($A204&amp;$B204&amp;$C204,盘货信息!$A:$A&amp;盘货信息!$B:$B&amp;盘货信息!$C:$C,盘货信息!$I:$I)&lt;1,"",_xlfn.XLOOKUP($A204&amp;$B204&amp;$C204,盘货信息!$A:$A&amp;盘货信息!$B:$B&amp;盘货信息!$C:$C,盘货信息!$I:$I)&amp;"元惊喜立减"))</f>
        <v/>
      </c>
      <c r="I204" s="27" t="str" cm="1">
        <f t="array" ref="I204">IF($C204="","",IF(_xlfn.XLOOKUP($A204&amp;$B204&amp;$C204,盘货信息!$A:$A&amp;盘货信息!$B:$B&amp;盘货信息!$C:$C,盘货信息!$H:$H)&lt;1,"",ROUND(_xlfn.XLOOKUP($A204&amp;$B204&amp;$C204,盘货信息!$A:$A&amp;盘货信息!$B:$B&amp;盘货信息!$C:$C,盘货信息!$H:$H),0)&amp;"元消费券"))</f>
        <v/>
      </c>
      <c r="J204" s="27" t="str" cm="1">
        <f t="array" ref="J204">IF($C204="","",IF(_xlfn.XLOOKUP($A204&amp;$B204&amp;$C204,盘货信息!$A:$A&amp;盘货信息!$B:$B&amp;盘货信息!$C:$C,盘货信息!$J:$J)&lt;1,"",ROUND(_xlfn.XLOOKUP($A204&amp;$B204&amp;$C204,盘货信息!$A:$A&amp;盘货信息!$B:$B&amp;盘货信息!$C:$C,盘货信息!$J:$J),0)&amp;"元限时补贴"))</f>
        <v/>
      </c>
      <c r="K204" s="27" t="str" cm="1">
        <f t="array" ref="K204">IF($C204="","",IF(_xlfn.XLOOKUP($A204&amp;$B204&amp;$C204,盘货信息!$A:$A&amp;盘货信息!$B:$B&amp;盘货信息!$C:$C,盘货信息!$K:$K)&lt;1,"",ROUND(_xlfn.XLOOKUP($A204&amp;$B204&amp;$C204,盘货信息!$A:$A&amp;盘货信息!$B:$B&amp;盘货信息!$C:$C,盘货信息!$K:$K),0)&amp;"元预估焕新补贴"))</f>
        <v/>
      </c>
      <c r="L204" s="27" t="str" cm="1">
        <f t="array" ref="L204">IF($C204="","",IF(AND(_xlfn.XLOOKUP($A204&amp;$B204&amp;$C204,盘货信息!$A:$A&amp;盘货信息!$B:$B&amp;盘货信息!$C:$C,盘货信息!$L:$L)="是",_xlfn.XLOOKUP($A204&amp;$B204&amp;$C204,盘货信息!$A:$A&amp;盘货信息!$B:$B&amp;盘货信息!$C:$C,盘货信息!$M:$M)="是",_xlfn.XLOOKUP($A204&amp;$B204&amp;$C204,盘货信息!$A:$A&amp;盘货信息!$B:$B&amp;盘货信息!$C:$C,盘货信息!$K:$K)&gt;0),"【全民可用，不限地址】",IF(AND(OR(_xlfn.XLOOKUP($A204&amp;$B204&amp;$C204,盘货信息!$A:$A&amp;盘货信息!$B:$B&amp;盘货信息!$C:$C,盘货信息!$L:$L)="否",_xlfn.XLOOKUP($A204&amp;$B204&amp;$C204,盘货信息!$A:$A&amp;盘货信息!$B:$B&amp;盘货信息!$C:$C,盘货信息!$L:$L)=""),_xlfn.XLOOKUP($A204&amp;$B204&amp;$C204,盘货信息!$A:$A&amp;盘货信息!$B:$B&amp;盘货信息!$C:$C,盘货信息!$M:$M)="是",_xlfn.XLOOKUP($A204&amp;$B204&amp;$C204,盘货信息!$A:$A&amp;盘货信息!$B:$B&amp;盘货信息!$C:$C,盘货信息!$K:$K)&gt;0),"【详情页领取】","")))</f>
        <v/>
      </c>
      <c r="M204" s="27" t="str" cm="1">
        <f t="array" ref="M204">IF($C204="","",IF(_xlfn.XLOOKUP($A204&amp;$B204&amp;$C204,盘货信息!$A:$A&amp;盘货信息!$B:$B&amp;盘货信息!$C:$C,盘货信息!$F:$F)&lt;1,"",_xlfn.XLOOKUP($A204&amp;$B204&amp;$C204,盘货信息!$A:$A&amp;盘货信息!$B:$B&amp;盘货信息!$C:$C,盘货信息!$F:$F)&amp;"元明卷"))</f>
        <v/>
      </c>
      <c r="N204" s="27" t="str">
        <f t="shared" si="7"/>
        <v/>
      </c>
      <c r="O204" s="27" t="str">
        <f>IF(I204="","","【消费券链接】"&amp;固定信息!$B$6)</f>
        <v/>
      </c>
    </row>
    <row r="205" customHeight="1" spans="1:15">
      <c r="A205" s="23" t="str">
        <f>IF(盘货信息!A205="","",盘货信息!A205)</f>
        <v/>
      </c>
      <c r="B205" s="26" t="str">
        <f>IF(盘货信息!B205="","",盘货信息!B205)</f>
        <v/>
      </c>
      <c r="C205" s="23" t="str">
        <f>IF(盘货信息!C205="","",盘货信息!C205)</f>
        <v/>
      </c>
      <c r="D205" s="27" t="str">
        <f t="shared" si="6"/>
        <v/>
      </c>
      <c r="E205" s="27" t="str" cm="1">
        <f t="array" ref="E205">IF($C205="","",IF(AND(OR(_xlfn.XLOOKUP($A205&amp;$B205&amp;$C205,盘货信息!$A:$A&amp;盘货信息!$B:$B&amp;盘货信息!$C:$C,盘货信息!$L:$L)="否",_xlfn.XLOOKUP($A205&amp;$B205&amp;$C205,盘货信息!$A:$A&amp;盘货信息!$B:$B&amp;盘货信息!$C:$C,盘货信息!$L:$L)=""),_xlfn.XLOOKUP($A205&amp;$B205&amp;$C205,盘货信息!$A:$A&amp;盘货信息!$B:$B&amp;盘货信息!$C:$C,盘货信息!$M:$M)="否"),"【预估到手价"&amp;_xlfn.XLOOKUP($A205&amp;$B205&amp;$C205,盘货信息!$A:$A&amp;盘货信息!$B:$B&amp;盘货信息!$C:$C,盘货信息!$D:$D)&amp;"元】",IF(AND(_xlfn.XLOOKUP($A205&amp;$B205&amp;$C205,盘货信息!$A:$A&amp;盘货信息!$B:$B&amp;盘货信息!$C:$C,盘货信息!$M:$M)="是",OR(_xlfn.XLOOKUP($A205&amp;$B205&amp;$C205,盘货信息!$A:$A&amp;盘货信息!$B:$B&amp;盘货信息!$C:$C,盘货信息!$L:$L)="否",_xlfn.XLOOKUP($A205&amp;$B205&amp;$C205,盘货信息!$A:$A&amp;盘货信息!$B:$B&amp;盘货信息!$C:$C,盘货信息!$L:$L)="")),"【预估到手价"&amp;_xlfn.XLOOKUP($A205&amp;$B205&amp;$C205,盘货信息!$A:$A&amp;盘货信息!$B:$B&amp;盘货信息!$C:$C,盘货信息!$D:$D)&amp;"元】"&amp;CHAR(10)&amp;"【焕新补贴预估价"&amp;ROUND(_xlfn.XLOOKUP($A205&amp;$B205&amp;$C205,盘货信息!$A:$A&amp;盘货信息!$B:$B&amp;盘货信息!$C:$C,盘货信息!$E:$E),0)&amp;"元】","【焕新补贴预估价"&amp;ROUND(_xlfn.XLOOKUP($A205&amp;$B205&amp;$C205,盘货信息!$A:$A&amp;盘货信息!$B:$B&amp;盘货信息!$C:$C,盘货信息!$E:$E),0)&amp;"元】")))</f>
        <v/>
      </c>
      <c r="F205" s="27" t="str" cm="1">
        <f t="array" ref="F205">IF($C205="","",_xlfn.XLOOKUP($A205&amp;$B205&amp;$C205,盘货信息!$A:$A&amp;盘货信息!$B:$B&amp;盘货信息!$C:$C,盘货信息!$D:$D)&amp;"元到手价")</f>
        <v/>
      </c>
      <c r="G205" s="27" t="str" cm="1">
        <f t="array" ref="G205">IF($C205="","",IF(_xlfn.XLOOKUP($A205&amp;$B205&amp;$C205,盘货信息!$A:$A&amp;盘货信息!$B:$B&amp;盘货信息!$C:$C,盘货信息!$G:$G)&lt;1,"",ROUND(_xlfn.XLOOKUP($A205&amp;$B205&amp;$C205,盘货信息!$A:$A&amp;盘货信息!$B:$B&amp;盘货信息!$C:$C,盘货信息!$G:$G),0)&amp;"元88VIP立减"))</f>
        <v/>
      </c>
      <c r="H205" s="27" t="str" cm="1">
        <f t="array" ref="H205">IF($C205="","",IF(_xlfn.XLOOKUP($A205&amp;$B205&amp;$C205,盘货信息!$A:$A&amp;盘货信息!$B:$B&amp;盘货信息!$C:$C,盘货信息!$I:$I)&lt;1,"",_xlfn.XLOOKUP($A205&amp;$B205&amp;$C205,盘货信息!$A:$A&amp;盘货信息!$B:$B&amp;盘货信息!$C:$C,盘货信息!$I:$I)&amp;"元惊喜立减"))</f>
        <v/>
      </c>
      <c r="I205" s="27" t="str" cm="1">
        <f t="array" ref="I205">IF($C205="","",IF(_xlfn.XLOOKUP($A205&amp;$B205&amp;$C205,盘货信息!$A:$A&amp;盘货信息!$B:$B&amp;盘货信息!$C:$C,盘货信息!$H:$H)&lt;1,"",ROUND(_xlfn.XLOOKUP($A205&amp;$B205&amp;$C205,盘货信息!$A:$A&amp;盘货信息!$B:$B&amp;盘货信息!$C:$C,盘货信息!$H:$H),0)&amp;"元消费券"))</f>
        <v/>
      </c>
      <c r="J205" s="27" t="str" cm="1">
        <f t="array" ref="J205">IF($C205="","",IF(_xlfn.XLOOKUP($A205&amp;$B205&amp;$C205,盘货信息!$A:$A&amp;盘货信息!$B:$B&amp;盘货信息!$C:$C,盘货信息!$J:$J)&lt;1,"",ROUND(_xlfn.XLOOKUP($A205&amp;$B205&amp;$C205,盘货信息!$A:$A&amp;盘货信息!$B:$B&amp;盘货信息!$C:$C,盘货信息!$J:$J),0)&amp;"元限时补贴"))</f>
        <v/>
      </c>
      <c r="K205" s="27" t="str" cm="1">
        <f t="array" ref="K205">IF($C205="","",IF(_xlfn.XLOOKUP($A205&amp;$B205&amp;$C205,盘货信息!$A:$A&amp;盘货信息!$B:$B&amp;盘货信息!$C:$C,盘货信息!$K:$K)&lt;1,"",ROUND(_xlfn.XLOOKUP($A205&amp;$B205&amp;$C205,盘货信息!$A:$A&amp;盘货信息!$B:$B&amp;盘货信息!$C:$C,盘货信息!$K:$K),0)&amp;"元预估焕新补贴"))</f>
        <v/>
      </c>
      <c r="L205" s="27" t="str" cm="1">
        <f t="array" ref="L205">IF($C205="","",IF(AND(_xlfn.XLOOKUP($A205&amp;$B205&amp;$C205,盘货信息!$A:$A&amp;盘货信息!$B:$B&amp;盘货信息!$C:$C,盘货信息!$L:$L)="是",_xlfn.XLOOKUP($A205&amp;$B205&amp;$C205,盘货信息!$A:$A&amp;盘货信息!$B:$B&amp;盘货信息!$C:$C,盘货信息!$M:$M)="是",_xlfn.XLOOKUP($A205&amp;$B205&amp;$C205,盘货信息!$A:$A&amp;盘货信息!$B:$B&amp;盘货信息!$C:$C,盘货信息!$K:$K)&gt;0),"【全民可用，不限地址】",IF(AND(OR(_xlfn.XLOOKUP($A205&amp;$B205&amp;$C205,盘货信息!$A:$A&amp;盘货信息!$B:$B&amp;盘货信息!$C:$C,盘货信息!$L:$L)="否",_xlfn.XLOOKUP($A205&amp;$B205&amp;$C205,盘货信息!$A:$A&amp;盘货信息!$B:$B&amp;盘货信息!$C:$C,盘货信息!$L:$L)=""),_xlfn.XLOOKUP($A205&amp;$B205&amp;$C205,盘货信息!$A:$A&amp;盘货信息!$B:$B&amp;盘货信息!$C:$C,盘货信息!$M:$M)="是",_xlfn.XLOOKUP($A205&amp;$B205&amp;$C205,盘货信息!$A:$A&amp;盘货信息!$B:$B&amp;盘货信息!$C:$C,盘货信息!$K:$K)&gt;0),"【详情页领取】","")))</f>
        <v/>
      </c>
      <c r="M205" s="27" t="str" cm="1">
        <f t="array" ref="M205">IF($C205="","",IF(_xlfn.XLOOKUP($A205&amp;$B205&amp;$C205,盘货信息!$A:$A&amp;盘货信息!$B:$B&amp;盘货信息!$C:$C,盘货信息!$F:$F)&lt;1,"",_xlfn.XLOOKUP($A205&amp;$B205&amp;$C205,盘货信息!$A:$A&amp;盘货信息!$B:$B&amp;盘货信息!$C:$C,盘货信息!$F:$F)&amp;"元明卷"))</f>
        <v/>
      </c>
      <c r="N205" s="27" t="str">
        <f t="shared" si="7"/>
        <v/>
      </c>
      <c r="O205" s="27" t="str">
        <f>IF(I205="","","【消费券链接】"&amp;固定信息!$B$6)</f>
        <v/>
      </c>
    </row>
    <row r="206" customHeight="1" spans="1:15">
      <c r="A206" s="23" t="str">
        <f>IF(盘货信息!A206="","",盘货信息!A206)</f>
        <v/>
      </c>
      <c r="B206" s="26" t="str">
        <f>IF(盘货信息!B206="","",盘货信息!B206)</f>
        <v/>
      </c>
      <c r="C206" s="23" t="str">
        <f>IF(盘货信息!C206="","",盘货信息!C206)</f>
        <v/>
      </c>
      <c r="D206" s="27" t="str">
        <f t="shared" si="6"/>
        <v/>
      </c>
      <c r="E206" s="27" t="str" cm="1">
        <f t="array" ref="E206">IF($C206="","",IF(AND(OR(_xlfn.XLOOKUP($A206&amp;$B206&amp;$C206,盘货信息!$A:$A&amp;盘货信息!$B:$B&amp;盘货信息!$C:$C,盘货信息!$L:$L)="否",_xlfn.XLOOKUP($A206&amp;$B206&amp;$C206,盘货信息!$A:$A&amp;盘货信息!$B:$B&amp;盘货信息!$C:$C,盘货信息!$L:$L)=""),_xlfn.XLOOKUP($A206&amp;$B206&amp;$C206,盘货信息!$A:$A&amp;盘货信息!$B:$B&amp;盘货信息!$C:$C,盘货信息!$M:$M)="否"),"【预估到手价"&amp;_xlfn.XLOOKUP($A206&amp;$B206&amp;$C206,盘货信息!$A:$A&amp;盘货信息!$B:$B&amp;盘货信息!$C:$C,盘货信息!$D:$D)&amp;"元】",IF(AND(_xlfn.XLOOKUP($A206&amp;$B206&amp;$C206,盘货信息!$A:$A&amp;盘货信息!$B:$B&amp;盘货信息!$C:$C,盘货信息!$M:$M)="是",OR(_xlfn.XLOOKUP($A206&amp;$B206&amp;$C206,盘货信息!$A:$A&amp;盘货信息!$B:$B&amp;盘货信息!$C:$C,盘货信息!$L:$L)="否",_xlfn.XLOOKUP($A206&amp;$B206&amp;$C206,盘货信息!$A:$A&amp;盘货信息!$B:$B&amp;盘货信息!$C:$C,盘货信息!$L:$L)="")),"【预估到手价"&amp;_xlfn.XLOOKUP($A206&amp;$B206&amp;$C206,盘货信息!$A:$A&amp;盘货信息!$B:$B&amp;盘货信息!$C:$C,盘货信息!$D:$D)&amp;"元】"&amp;CHAR(10)&amp;"【焕新补贴预估价"&amp;ROUND(_xlfn.XLOOKUP($A206&amp;$B206&amp;$C206,盘货信息!$A:$A&amp;盘货信息!$B:$B&amp;盘货信息!$C:$C,盘货信息!$E:$E),0)&amp;"元】","【焕新补贴预估价"&amp;ROUND(_xlfn.XLOOKUP($A206&amp;$B206&amp;$C206,盘货信息!$A:$A&amp;盘货信息!$B:$B&amp;盘货信息!$C:$C,盘货信息!$E:$E),0)&amp;"元】")))</f>
        <v/>
      </c>
      <c r="F206" s="27" t="str" cm="1">
        <f t="array" ref="F206">IF($C206="","",_xlfn.XLOOKUP($A206&amp;$B206&amp;$C206,盘货信息!$A:$A&amp;盘货信息!$B:$B&amp;盘货信息!$C:$C,盘货信息!$D:$D)&amp;"元到手价")</f>
        <v/>
      </c>
      <c r="G206" s="27" t="str" cm="1">
        <f t="array" ref="G206">IF($C206="","",IF(_xlfn.XLOOKUP($A206&amp;$B206&amp;$C206,盘货信息!$A:$A&amp;盘货信息!$B:$B&amp;盘货信息!$C:$C,盘货信息!$G:$G)&lt;1,"",ROUND(_xlfn.XLOOKUP($A206&amp;$B206&amp;$C206,盘货信息!$A:$A&amp;盘货信息!$B:$B&amp;盘货信息!$C:$C,盘货信息!$G:$G),0)&amp;"元88VIP立减"))</f>
        <v/>
      </c>
      <c r="H206" s="27" t="str" cm="1">
        <f t="array" ref="H206">IF($C206="","",IF(_xlfn.XLOOKUP($A206&amp;$B206&amp;$C206,盘货信息!$A:$A&amp;盘货信息!$B:$B&amp;盘货信息!$C:$C,盘货信息!$I:$I)&lt;1,"",_xlfn.XLOOKUP($A206&amp;$B206&amp;$C206,盘货信息!$A:$A&amp;盘货信息!$B:$B&amp;盘货信息!$C:$C,盘货信息!$I:$I)&amp;"元惊喜立减"))</f>
        <v/>
      </c>
      <c r="I206" s="27" t="str" cm="1">
        <f t="array" ref="I206">IF($C206="","",IF(_xlfn.XLOOKUP($A206&amp;$B206&amp;$C206,盘货信息!$A:$A&amp;盘货信息!$B:$B&amp;盘货信息!$C:$C,盘货信息!$H:$H)&lt;1,"",ROUND(_xlfn.XLOOKUP($A206&amp;$B206&amp;$C206,盘货信息!$A:$A&amp;盘货信息!$B:$B&amp;盘货信息!$C:$C,盘货信息!$H:$H),0)&amp;"元消费券"))</f>
        <v/>
      </c>
      <c r="J206" s="27" t="str" cm="1">
        <f t="array" ref="J206">IF($C206="","",IF(_xlfn.XLOOKUP($A206&amp;$B206&amp;$C206,盘货信息!$A:$A&amp;盘货信息!$B:$B&amp;盘货信息!$C:$C,盘货信息!$J:$J)&lt;1,"",ROUND(_xlfn.XLOOKUP($A206&amp;$B206&amp;$C206,盘货信息!$A:$A&amp;盘货信息!$B:$B&amp;盘货信息!$C:$C,盘货信息!$J:$J),0)&amp;"元限时补贴"))</f>
        <v/>
      </c>
      <c r="K206" s="27" t="str" cm="1">
        <f t="array" ref="K206">IF($C206="","",IF(_xlfn.XLOOKUP($A206&amp;$B206&amp;$C206,盘货信息!$A:$A&amp;盘货信息!$B:$B&amp;盘货信息!$C:$C,盘货信息!$K:$K)&lt;1,"",ROUND(_xlfn.XLOOKUP($A206&amp;$B206&amp;$C206,盘货信息!$A:$A&amp;盘货信息!$B:$B&amp;盘货信息!$C:$C,盘货信息!$K:$K),0)&amp;"元预估焕新补贴"))</f>
        <v/>
      </c>
      <c r="L206" s="27" t="str" cm="1">
        <f t="array" ref="L206">IF($C206="","",IF(AND(_xlfn.XLOOKUP($A206&amp;$B206&amp;$C206,盘货信息!$A:$A&amp;盘货信息!$B:$B&amp;盘货信息!$C:$C,盘货信息!$L:$L)="是",_xlfn.XLOOKUP($A206&amp;$B206&amp;$C206,盘货信息!$A:$A&amp;盘货信息!$B:$B&amp;盘货信息!$C:$C,盘货信息!$M:$M)="是",_xlfn.XLOOKUP($A206&amp;$B206&amp;$C206,盘货信息!$A:$A&amp;盘货信息!$B:$B&amp;盘货信息!$C:$C,盘货信息!$K:$K)&gt;0),"【全民可用，不限地址】",IF(AND(OR(_xlfn.XLOOKUP($A206&amp;$B206&amp;$C206,盘货信息!$A:$A&amp;盘货信息!$B:$B&amp;盘货信息!$C:$C,盘货信息!$L:$L)="否",_xlfn.XLOOKUP($A206&amp;$B206&amp;$C206,盘货信息!$A:$A&amp;盘货信息!$B:$B&amp;盘货信息!$C:$C,盘货信息!$L:$L)=""),_xlfn.XLOOKUP($A206&amp;$B206&amp;$C206,盘货信息!$A:$A&amp;盘货信息!$B:$B&amp;盘货信息!$C:$C,盘货信息!$M:$M)="是",_xlfn.XLOOKUP($A206&amp;$B206&amp;$C206,盘货信息!$A:$A&amp;盘货信息!$B:$B&amp;盘货信息!$C:$C,盘货信息!$K:$K)&gt;0),"【详情页领取】","")))</f>
        <v/>
      </c>
      <c r="M206" s="27" t="str" cm="1">
        <f t="array" ref="M206">IF($C206="","",IF(_xlfn.XLOOKUP($A206&amp;$B206&amp;$C206,盘货信息!$A:$A&amp;盘货信息!$B:$B&amp;盘货信息!$C:$C,盘货信息!$F:$F)&lt;1,"",_xlfn.XLOOKUP($A206&amp;$B206&amp;$C206,盘货信息!$A:$A&amp;盘货信息!$B:$B&amp;盘货信息!$C:$C,盘货信息!$F:$F)&amp;"元明卷"))</f>
        <v/>
      </c>
      <c r="N206" s="27" t="str">
        <f t="shared" si="7"/>
        <v/>
      </c>
      <c r="O206" s="27" t="str">
        <f>IF(I206="","","【消费券链接】"&amp;固定信息!$B$6)</f>
        <v/>
      </c>
    </row>
    <row r="207" customHeight="1" spans="1:15">
      <c r="A207" s="23" t="str">
        <f>IF(盘货信息!A207="","",盘货信息!A207)</f>
        <v/>
      </c>
      <c r="B207" s="26" t="str">
        <f>IF(盘货信息!B207="","",盘货信息!B207)</f>
        <v/>
      </c>
      <c r="C207" s="23" t="str">
        <f>IF(盘货信息!C207="","",盘货信息!C207)</f>
        <v/>
      </c>
      <c r="D207" s="27" t="str">
        <f t="shared" si="6"/>
        <v/>
      </c>
      <c r="E207" s="27" t="str" cm="1">
        <f t="array" ref="E207">IF($C207="","",IF(AND(OR(_xlfn.XLOOKUP($A207&amp;$B207&amp;$C207,盘货信息!$A:$A&amp;盘货信息!$B:$B&amp;盘货信息!$C:$C,盘货信息!$L:$L)="否",_xlfn.XLOOKUP($A207&amp;$B207&amp;$C207,盘货信息!$A:$A&amp;盘货信息!$B:$B&amp;盘货信息!$C:$C,盘货信息!$L:$L)=""),_xlfn.XLOOKUP($A207&amp;$B207&amp;$C207,盘货信息!$A:$A&amp;盘货信息!$B:$B&amp;盘货信息!$C:$C,盘货信息!$M:$M)="否"),"【预估到手价"&amp;_xlfn.XLOOKUP($A207&amp;$B207&amp;$C207,盘货信息!$A:$A&amp;盘货信息!$B:$B&amp;盘货信息!$C:$C,盘货信息!$D:$D)&amp;"元】",IF(AND(_xlfn.XLOOKUP($A207&amp;$B207&amp;$C207,盘货信息!$A:$A&amp;盘货信息!$B:$B&amp;盘货信息!$C:$C,盘货信息!$M:$M)="是",OR(_xlfn.XLOOKUP($A207&amp;$B207&amp;$C207,盘货信息!$A:$A&amp;盘货信息!$B:$B&amp;盘货信息!$C:$C,盘货信息!$L:$L)="否",_xlfn.XLOOKUP($A207&amp;$B207&amp;$C207,盘货信息!$A:$A&amp;盘货信息!$B:$B&amp;盘货信息!$C:$C,盘货信息!$L:$L)="")),"【预估到手价"&amp;_xlfn.XLOOKUP($A207&amp;$B207&amp;$C207,盘货信息!$A:$A&amp;盘货信息!$B:$B&amp;盘货信息!$C:$C,盘货信息!$D:$D)&amp;"元】"&amp;CHAR(10)&amp;"【焕新补贴预估价"&amp;ROUND(_xlfn.XLOOKUP($A207&amp;$B207&amp;$C207,盘货信息!$A:$A&amp;盘货信息!$B:$B&amp;盘货信息!$C:$C,盘货信息!$E:$E),0)&amp;"元】","【焕新补贴预估价"&amp;ROUND(_xlfn.XLOOKUP($A207&amp;$B207&amp;$C207,盘货信息!$A:$A&amp;盘货信息!$B:$B&amp;盘货信息!$C:$C,盘货信息!$E:$E),0)&amp;"元】")))</f>
        <v/>
      </c>
      <c r="F207" s="27" t="str" cm="1">
        <f t="array" ref="F207">IF($C207="","",_xlfn.XLOOKUP($A207&amp;$B207&amp;$C207,盘货信息!$A:$A&amp;盘货信息!$B:$B&amp;盘货信息!$C:$C,盘货信息!$D:$D)&amp;"元到手价")</f>
        <v/>
      </c>
      <c r="G207" s="27" t="str" cm="1">
        <f t="array" ref="G207">IF($C207="","",IF(_xlfn.XLOOKUP($A207&amp;$B207&amp;$C207,盘货信息!$A:$A&amp;盘货信息!$B:$B&amp;盘货信息!$C:$C,盘货信息!$G:$G)&lt;1,"",ROUND(_xlfn.XLOOKUP($A207&amp;$B207&amp;$C207,盘货信息!$A:$A&amp;盘货信息!$B:$B&amp;盘货信息!$C:$C,盘货信息!$G:$G),0)&amp;"元88VIP立减"))</f>
        <v/>
      </c>
      <c r="H207" s="27" t="str" cm="1">
        <f t="array" ref="H207">IF($C207="","",IF(_xlfn.XLOOKUP($A207&amp;$B207&amp;$C207,盘货信息!$A:$A&amp;盘货信息!$B:$B&amp;盘货信息!$C:$C,盘货信息!$I:$I)&lt;1,"",_xlfn.XLOOKUP($A207&amp;$B207&amp;$C207,盘货信息!$A:$A&amp;盘货信息!$B:$B&amp;盘货信息!$C:$C,盘货信息!$I:$I)&amp;"元惊喜立减"))</f>
        <v/>
      </c>
      <c r="I207" s="27" t="str" cm="1">
        <f t="array" ref="I207">IF($C207="","",IF(_xlfn.XLOOKUP($A207&amp;$B207&amp;$C207,盘货信息!$A:$A&amp;盘货信息!$B:$B&amp;盘货信息!$C:$C,盘货信息!$H:$H)&lt;1,"",ROUND(_xlfn.XLOOKUP($A207&amp;$B207&amp;$C207,盘货信息!$A:$A&amp;盘货信息!$B:$B&amp;盘货信息!$C:$C,盘货信息!$H:$H),0)&amp;"元消费券"))</f>
        <v/>
      </c>
      <c r="J207" s="27" t="str" cm="1">
        <f t="array" ref="J207">IF($C207="","",IF(_xlfn.XLOOKUP($A207&amp;$B207&amp;$C207,盘货信息!$A:$A&amp;盘货信息!$B:$B&amp;盘货信息!$C:$C,盘货信息!$J:$J)&lt;1,"",ROUND(_xlfn.XLOOKUP($A207&amp;$B207&amp;$C207,盘货信息!$A:$A&amp;盘货信息!$B:$B&amp;盘货信息!$C:$C,盘货信息!$J:$J),0)&amp;"元限时补贴"))</f>
        <v/>
      </c>
      <c r="K207" s="27" t="str" cm="1">
        <f t="array" ref="K207">IF($C207="","",IF(_xlfn.XLOOKUP($A207&amp;$B207&amp;$C207,盘货信息!$A:$A&amp;盘货信息!$B:$B&amp;盘货信息!$C:$C,盘货信息!$K:$K)&lt;1,"",ROUND(_xlfn.XLOOKUP($A207&amp;$B207&amp;$C207,盘货信息!$A:$A&amp;盘货信息!$B:$B&amp;盘货信息!$C:$C,盘货信息!$K:$K),0)&amp;"元预估焕新补贴"))</f>
        <v/>
      </c>
      <c r="L207" s="27" t="str" cm="1">
        <f t="array" ref="L207">IF($C207="","",IF(AND(_xlfn.XLOOKUP($A207&amp;$B207&amp;$C207,盘货信息!$A:$A&amp;盘货信息!$B:$B&amp;盘货信息!$C:$C,盘货信息!$L:$L)="是",_xlfn.XLOOKUP($A207&amp;$B207&amp;$C207,盘货信息!$A:$A&amp;盘货信息!$B:$B&amp;盘货信息!$C:$C,盘货信息!$M:$M)="是",_xlfn.XLOOKUP($A207&amp;$B207&amp;$C207,盘货信息!$A:$A&amp;盘货信息!$B:$B&amp;盘货信息!$C:$C,盘货信息!$K:$K)&gt;0),"【全民可用，不限地址】",IF(AND(OR(_xlfn.XLOOKUP($A207&amp;$B207&amp;$C207,盘货信息!$A:$A&amp;盘货信息!$B:$B&amp;盘货信息!$C:$C,盘货信息!$L:$L)="否",_xlfn.XLOOKUP($A207&amp;$B207&amp;$C207,盘货信息!$A:$A&amp;盘货信息!$B:$B&amp;盘货信息!$C:$C,盘货信息!$L:$L)=""),_xlfn.XLOOKUP($A207&amp;$B207&amp;$C207,盘货信息!$A:$A&amp;盘货信息!$B:$B&amp;盘货信息!$C:$C,盘货信息!$M:$M)="是",_xlfn.XLOOKUP($A207&amp;$B207&amp;$C207,盘货信息!$A:$A&amp;盘货信息!$B:$B&amp;盘货信息!$C:$C,盘货信息!$K:$K)&gt;0),"【详情页领取】","")))</f>
        <v/>
      </c>
      <c r="M207" s="27" t="str" cm="1">
        <f t="array" ref="M207">IF($C207="","",IF(_xlfn.XLOOKUP($A207&amp;$B207&amp;$C207,盘货信息!$A:$A&amp;盘货信息!$B:$B&amp;盘货信息!$C:$C,盘货信息!$F:$F)&lt;1,"",_xlfn.XLOOKUP($A207&amp;$B207&amp;$C207,盘货信息!$A:$A&amp;盘货信息!$B:$B&amp;盘货信息!$C:$C,盘货信息!$F:$F)&amp;"元明卷"))</f>
        <v/>
      </c>
      <c r="N207" s="27" t="str">
        <f t="shared" si="7"/>
        <v/>
      </c>
      <c r="O207" s="27" t="str">
        <f>IF(I207="","","【消费券链接】"&amp;固定信息!$B$6)</f>
        <v/>
      </c>
    </row>
    <row r="208" customHeight="1" spans="1:15">
      <c r="A208" s="23" t="str">
        <f>IF(盘货信息!A208="","",盘货信息!A208)</f>
        <v/>
      </c>
      <c r="B208" s="26" t="str">
        <f>IF(盘货信息!B208="","",盘货信息!B208)</f>
        <v/>
      </c>
      <c r="C208" s="23" t="str">
        <f>IF(盘货信息!C208="","",盘货信息!C208)</f>
        <v/>
      </c>
      <c r="D208" s="27" t="str">
        <f t="shared" si="6"/>
        <v/>
      </c>
      <c r="E208" s="27" t="str" cm="1">
        <f t="array" ref="E208">IF($C208="","",IF(AND(OR(_xlfn.XLOOKUP($A208&amp;$B208&amp;$C208,盘货信息!$A:$A&amp;盘货信息!$B:$B&amp;盘货信息!$C:$C,盘货信息!$L:$L)="否",_xlfn.XLOOKUP($A208&amp;$B208&amp;$C208,盘货信息!$A:$A&amp;盘货信息!$B:$B&amp;盘货信息!$C:$C,盘货信息!$L:$L)=""),_xlfn.XLOOKUP($A208&amp;$B208&amp;$C208,盘货信息!$A:$A&amp;盘货信息!$B:$B&amp;盘货信息!$C:$C,盘货信息!$M:$M)="否"),"【预估到手价"&amp;_xlfn.XLOOKUP($A208&amp;$B208&amp;$C208,盘货信息!$A:$A&amp;盘货信息!$B:$B&amp;盘货信息!$C:$C,盘货信息!$D:$D)&amp;"元】",IF(AND(_xlfn.XLOOKUP($A208&amp;$B208&amp;$C208,盘货信息!$A:$A&amp;盘货信息!$B:$B&amp;盘货信息!$C:$C,盘货信息!$M:$M)="是",OR(_xlfn.XLOOKUP($A208&amp;$B208&amp;$C208,盘货信息!$A:$A&amp;盘货信息!$B:$B&amp;盘货信息!$C:$C,盘货信息!$L:$L)="否",_xlfn.XLOOKUP($A208&amp;$B208&amp;$C208,盘货信息!$A:$A&amp;盘货信息!$B:$B&amp;盘货信息!$C:$C,盘货信息!$L:$L)="")),"【预估到手价"&amp;_xlfn.XLOOKUP($A208&amp;$B208&amp;$C208,盘货信息!$A:$A&amp;盘货信息!$B:$B&amp;盘货信息!$C:$C,盘货信息!$D:$D)&amp;"元】"&amp;CHAR(10)&amp;"【焕新补贴预估价"&amp;ROUND(_xlfn.XLOOKUP($A208&amp;$B208&amp;$C208,盘货信息!$A:$A&amp;盘货信息!$B:$B&amp;盘货信息!$C:$C,盘货信息!$E:$E),0)&amp;"元】","【焕新补贴预估价"&amp;ROUND(_xlfn.XLOOKUP($A208&amp;$B208&amp;$C208,盘货信息!$A:$A&amp;盘货信息!$B:$B&amp;盘货信息!$C:$C,盘货信息!$E:$E),0)&amp;"元】")))</f>
        <v/>
      </c>
      <c r="F208" s="27" t="str" cm="1">
        <f t="array" ref="F208">IF($C208="","",_xlfn.XLOOKUP($A208&amp;$B208&amp;$C208,盘货信息!$A:$A&amp;盘货信息!$B:$B&amp;盘货信息!$C:$C,盘货信息!$D:$D)&amp;"元到手价")</f>
        <v/>
      </c>
      <c r="G208" s="27" t="str" cm="1">
        <f t="array" ref="G208">IF($C208="","",IF(_xlfn.XLOOKUP($A208&amp;$B208&amp;$C208,盘货信息!$A:$A&amp;盘货信息!$B:$B&amp;盘货信息!$C:$C,盘货信息!$G:$G)&lt;1,"",ROUND(_xlfn.XLOOKUP($A208&amp;$B208&amp;$C208,盘货信息!$A:$A&amp;盘货信息!$B:$B&amp;盘货信息!$C:$C,盘货信息!$G:$G),0)&amp;"元88VIP立减"))</f>
        <v/>
      </c>
      <c r="H208" s="27" t="str" cm="1">
        <f t="array" ref="H208">IF($C208="","",IF(_xlfn.XLOOKUP($A208&amp;$B208&amp;$C208,盘货信息!$A:$A&amp;盘货信息!$B:$B&amp;盘货信息!$C:$C,盘货信息!$I:$I)&lt;1,"",_xlfn.XLOOKUP($A208&amp;$B208&amp;$C208,盘货信息!$A:$A&amp;盘货信息!$B:$B&amp;盘货信息!$C:$C,盘货信息!$I:$I)&amp;"元惊喜立减"))</f>
        <v/>
      </c>
      <c r="I208" s="27" t="str" cm="1">
        <f t="array" ref="I208">IF($C208="","",IF(_xlfn.XLOOKUP($A208&amp;$B208&amp;$C208,盘货信息!$A:$A&amp;盘货信息!$B:$B&amp;盘货信息!$C:$C,盘货信息!$H:$H)&lt;1,"",ROUND(_xlfn.XLOOKUP($A208&amp;$B208&amp;$C208,盘货信息!$A:$A&amp;盘货信息!$B:$B&amp;盘货信息!$C:$C,盘货信息!$H:$H),0)&amp;"元消费券"))</f>
        <v/>
      </c>
      <c r="J208" s="27" t="str" cm="1">
        <f t="array" ref="J208">IF($C208="","",IF(_xlfn.XLOOKUP($A208&amp;$B208&amp;$C208,盘货信息!$A:$A&amp;盘货信息!$B:$B&amp;盘货信息!$C:$C,盘货信息!$J:$J)&lt;1,"",ROUND(_xlfn.XLOOKUP($A208&amp;$B208&amp;$C208,盘货信息!$A:$A&amp;盘货信息!$B:$B&amp;盘货信息!$C:$C,盘货信息!$J:$J),0)&amp;"元限时补贴"))</f>
        <v/>
      </c>
      <c r="K208" s="27" t="str" cm="1">
        <f t="array" ref="K208">IF($C208="","",IF(_xlfn.XLOOKUP($A208&amp;$B208&amp;$C208,盘货信息!$A:$A&amp;盘货信息!$B:$B&amp;盘货信息!$C:$C,盘货信息!$K:$K)&lt;1,"",ROUND(_xlfn.XLOOKUP($A208&amp;$B208&amp;$C208,盘货信息!$A:$A&amp;盘货信息!$B:$B&amp;盘货信息!$C:$C,盘货信息!$K:$K),0)&amp;"元预估焕新补贴"))</f>
        <v/>
      </c>
      <c r="L208" s="27" t="str" cm="1">
        <f t="array" ref="L208">IF($C208="","",IF(AND(_xlfn.XLOOKUP($A208&amp;$B208&amp;$C208,盘货信息!$A:$A&amp;盘货信息!$B:$B&amp;盘货信息!$C:$C,盘货信息!$L:$L)="是",_xlfn.XLOOKUP($A208&amp;$B208&amp;$C208,盘货信息!$A:$A&amp;盘货信息!$B:$B&amp;盘货信息!$C:$C,盘货信息!$M:$M)="是",_xlfn.XLOOKUP($A208&amp;$B208&amp;$C208,盘货信息!$A:$A&amp;盘货信息!$B:$B&amp;盘货信息!$C:$C,盘货信息!$K:$K)&gt;0),"【全民可用，不限地址】",IF(AND(OR(_xlfn.XLOOKUP($A208&amp;$B208&amp;$C208,盘货信息!$A:$A&amp;盘货信息!$B:$B&amp;盘货信息!$C:$C,盘货信息!$L:$L)="否",_xlfn.XLOOKUP($A208&amp;$B208&amp;$C208,盘货信息!$A:$A&amp;盘货信息!$B:$B&amp;盘货信息!$C:$C,盘货信息!$L:$L)=""),_xlfn.XLOOKUP($A208&amp;$B208&amp;$C208,盘货信息!$A:$A&amp;盘货信息!$B:$B&amp;盘货信息!$C:$C,盘货信息!$M:$M)="是",_xlfn.XLOOKUP($A208&amp;$B208&amp;$C208,盘货信息!$A:$A&amp;盘货信息!$B:$B&amp;盘货信息!$C:$C,盘货信息!$K:$K)&gt;0),"【详情页领取】","")))</f>
        <v/>
      </c>
      <c r="M208" s="27" t="str" cm="1">
        <f t="array" ref="M208">IF($C208="","",IF(_xlfn.XLOOKUP($A208&amp;$B208&amp;$C208,盘货信息!$A:$A&amp;盘货信息!$B:$B&amp;盘货信息!$C:$C,盘货信息!$F:$F)&lt;1,"",_xlfn.XLOOKUP($A208&amp;$B208&amp;$C208,盘货信息!$A:$A&amp;盘货信息!$B:$B&amp;盘货信息!$C:$C,盘货信息!$F:$F)&amp;"元明卷"))</f>
        <v/>
      </c>
      <c r="N208" s="27" t="str">
        <f t="shared" si="7"/>
        <v/>
      </c>
      <c r="O208" s="27" t="str">
        <f>IF(I208="","","【消费券链接】"&amp;固定信息!$B$6)</f>
        <v/>
      </c>
    </row>
    <row r="209" customHeight="1" spans="1:15">
      <c r="A209" s="23" t="str">
        <f>IF(盘货信息!A209="","",盘货信息!A209)</f>
        <v/>
      </c>
      <c r="B209" s="26" t="str">
        <f>IF(盘货信息!B209="","",盘货信息!B209)</f>
        <v/>
      </c>
      <c r="C209" s="23" t="str">
        <f>IF(盘货信息!C209="","",盘货信息!C209)</f>
        <v/>
      </c>
      <c r="D209" s="27" t="str">
        <f t="shared" si="6"/>
        <v/>
      </c>
      <c r="E209" s="27" t="str" cm="1">
        <f t="array" ref="E209">IF($C209="","",IF(AND(OR(_xlfn.XLOOKUP($A209&amp;$B209&amp;$C209,盘货信息!$A:$A&amp;盘货信息!$B:$B&amp;盘货信息!$C:$C,盘货信息!$L:$L)="否",_xlfn.XLOOKUP($A209&amp;$B209&amp;$C209,盘货信息!$A:$A&amp;盘货信息!$B:$B&amp;盘货信息!$C:$C,盘货信息!$L:$L)=""),_xlfn.XLOOKUP($A209&amp;$B209&amp;$C209,盘货信息!$A:$A&amp;盘货信息!$B:$B&amp;盘货信息!$C:$C,盘货信息!$M:$M)="否"),"【预估到手价"&amp;_xlfn.XLOOKUP($A209&amp;$B209&amp;$C209,盘货信息!$A:$A&amp;盘货信息!$B:$B&amp;盘货信息!$C:$C,盘货信息!$D:$D)&amp;"元】",IF(AND(_xlfn.XLOOKUP($A209&amp;$B209&amp;$C209,盘货信息!$A:$A&amp;盘货信息!$B:$B&amp;盘货信息!$C:$C,盘货信息!$M:$M)="是",OR(_xlfn.XLOOKUP($A209&amp;$B209&amp;$C209,盘货信息!$A:$A&amp;盘货信息!$B:$B&amp;盘货信息!$C:$C,盘货信息!$L:$L)="否",_xlfn.XLOOKUP($A209&amp;$B209&amp;$C209,盘货信息!$A:$A&amp;盘货信息!$B:$B&amp;盘货信息!$C:$C,盘货信息!$L:$L)="")),"【预估到手价"&amp;_xlfn.XLOOKUP($A209&amp;$B209&amp;$C209,盘货信息!$A:$A&amp;盘货信息!$B:$B&amp;盘货信息!$C:$C,盘货信息!$D:$D)&amp;"元】"&amp;CHAR(10)&amp;"【焕新补贴预估价"&amp;ROUND(_xlfn.XLOOKUP($A209&amp;$B209&amp;$C209,盘货信息!$A:$A&amp;盘货信息!$B:$B&amp;盘货信息!$C:$C,盘货信息!$E:$E),0)&amp;"元】","【焕新补贴预估价"&amp;ROUND(_xlfn.XLOOKUP($A209&amp;$B209&amp;$C209,盘货信息!$A:$A&amp;盘货信息!$B:$B&amp;盘货信息!$C:$C,盘货信息!$E:$E),0)&amp;"元】")))</f>
        <v/>
      </c>
      <c r="F209" s="27" t="str" cm="1">
        <f t="array" ref="F209">IF($C209="","",_xlfn.XLOOKUP($A209&amp;$B209&amp;$C209,盘货信息!$A:$A&amp;盘货信息!$B:$B&amp;盘货信息!$C:$C,盘货信息!$D:$D)&amp;"元到手价")</f>
        <v/>
      </c>
      <c r="G209" s="27" t="str" cm="1">
        <f t="array" ref="G209">IF($C209="","",IF(_xlfn.XLOOKUP($A209&amp;$B209&amp;$C209,盘货信息!$A:$A&amp;盘货信息!$B:$B&amp;盘货信息!$C:$C,盘货信息!$G:$G)&lt;1,"",ROUND(_xlfn.XLOOKUP($A209&amp;$B209&amp;$C209,盘货信息!$A:$A&amp;盘货信息!$B:$B&amp;盘货信息!$C:$C,盘货信息!$G:$G),0)&amp;"元88VIP立减"))</f>
        <v/>
      </c>
      <c r="H209" s="27" t="str" cm="1">
        <f t="array" ref="H209">IF($C209="","",IF(_xlfn.XLOOKUP($A209&amp;$B209&amp;$C209,盘货信息!$A:$A&amp;盘货信息!$B:$B&amp;盘货信息!$C:$C,盘货信息!$I:$I)&lt;1,"",_xlfn.XLOOKUP($A209&amp;$B209&amp;$C209,盘货信息!$A:$A&amp;盘货信息!$B:$B&amp;盘货信息!$C:$C,盘货信息!$I:$I)&amp;"元惊喜立减"))</f>
        <v/>
      </c>
      <c r="I209" s="27" t="str" cm="1">
        <f t="array" ref="I209">IF($C209="","",IF(_xlfn.XLOOKUP($A209&amp;$B209&amp;$C209,盘货信息!$A:$A&amp;盘货信息!$B:$B&amp;盘货信息!$C:$C,盘货信息!$H:$H)&lt;1,"",ROUND(_xlfn.XLOOKUP($A209&amp;$B209&amp;$C209,盘货信息!$A:$A&amp;盘货信息!$B:$B&amp;盘货信息!$C:$C,盘货信息!$H:$H),0)&amp;"元消费券"))</f>
        <v/>
      </c>
      <c r="J209" s="27" t="str" cm="1">
        <f t="array" ref="J209">IF($C209="","",IF(_xlfn.XLOOKUP($A209&amp;$B209&amp;$C209,盘货信息!$A:$A&amp;盘货信息!$B:$B&amp;盘货信息!$C:$C,盘货信息!$J:$J)&lt;1,"",ROUND(_xlfn.XLOOKUP($A209&amp;$B209&amp;$C209,盘货信息!$A:$A&amp;盘货信息!$B:$B&amp;盘货信息!$C:$C,盘货信息!$J:$J),0)&amp;"元限时补贴"))</f>
        <v/>
      </c>
      <c r="K209" s="27" t="str" cm="1">
        <f t="array" ref="K209">IF($C209="","",IF(_xlfn.XLOOKUP($A209&amp;$B209&amp;$C209,盘货信息!$A:$A&amp;盘货信息!$B:$B&amp;盘货信息!$C:$C,盘货信息!$K:$K)&lt;1,"",ROUND(_xlfn.XLOOKUP($A209&amp;$B209&amp;$C209,盘货信息!$A:$A&amp;盘货信息!$B:$B&amp;盘货信息!$C:$C,盘货信息!$K:$K),0)&amp;"元预估焕新补贴"))</f>
        <v/>
      </c>
      <c r="L209" s="27" t="str" cm="1">
        <f t="array" ref="L209">IF($C209="","",IF(AND(_xlfn.XLOOKUP($A209&amp;$B209&amp;$C209,盘货信息!$A:$A&amp;盘货信息!$B:$B&amp;盘货信息!$C:$C,盘货信息!$L:$L)="是",_xlfn.XLOOKUP($A209&amp;$B209&amp;$C209,盘货信息!$A:$A&amp;盘货信息!$B:$B&amp;盘货信息!$C:$C,盘货信息!$M:$M)="是",_xlfn.XLOOKUP($A209&amp;$B209&amp;$C209,盘货信息!$A:$A&amp;盘货信息!$B:$B&amp;盘货信息!$C:$C,盘货信息!$K:$K)&gt;0),"【全民可用，不限地址】",IF(AND(OR(_xlfn.XLOOKUP($A209&amp;$B209&amp;$C209,盘货信息!$A:$A&amp;盘货信息!$B:$B&amp;盘货信息!$C:$C,盘货信息!$L:$L)="否",_xlfn.XLOOKUP($A209&amp;$B209&amp;$C209,盘货信息!$A:$A&amp;盘货信息!$B:$B&amp;盘货信息!$C:$C,盘货信息!$L:$L)=""),_xlfn.XLOOKUP($A209&amp;$B209&amp;$C209,盘货信息!$A:$A&amp;盘货信息!$B:$B&amp;盘货信息!$C:$C,盘货信息!$M:$M)="是",_xlfn.XLOOKUP($A209&amp;$B209&amp;$C209,盘货信息!$A:$A&amp;盘货信息!$B:$B&amp;盘货信息!$C:$C,盘货信息!$K:$K)&gt;0),"【详情页领取】","")))</f>
        <v/>
      </c>
      <c r="M209" s="27" t="str" cm="1">
        <f t="array" ref="M209">IF($C209="","",IF(_xlfn.XLOOKUP($A209&amp;$B209&amp;$C209,盘货信息!$A:$A&amp;盘货信息!$B:$B&amp;盘货信息!$C:$C,盘货信息!$F:$F)&lt;1,"",_xlfn.XLOOKUP($A209&amp;$B209&amp;$C209,盘货信息!$A:$A&amp;盘货信息!$B:$B&amp;盘货信息!$C:$C,盘货信息!$F:$F)&amp;"元明卷"))</f>
        <v/>
      </c>
      <c r="N209" s="27" t="str">
        <f t="shared" si="7"/>
        <v/>
      </c>
      <c r="O209" s="27" t="str">
        <f>IF(I209="","","【消费券链接】"&amp;固定信息!$B$6)</f>
        <v/>
      </c>
    </row>
    <row r="210" customHeight="1" spans="1:15">
      <c r="A210" s="23" t="str">
        <f>IF(盘货信息!A210="","",盘货信息!A210)</f>
        <v/>
      </c>
      <c r="B210" s="26" t="str">
        <f>IF(盘货信息!B210="","",盘货信息!B210)</f>
        <v/>
      </c>
      <c r="C210" s="23" t="str">
        <f>IF(盘货信息!C210="","",盘货信息!C210)</f>
        <v/>
      </c>
      <c r="D210" s="27" t="str">
        <f t="shared" si="6"/>
        <v/>
      </c>
      <c r="E210" s="27" t="str" cm="1">
        <f t="array" ref="E210">IF($C210="","",IF(AND(OR(_xlfn.XLOOKUP($A210&amp;$B210&amp;$C210,盘货信息!$A:$A&amp;盘货信息!$B:$B&amp;盘货信息!$C:$C,盘货信息!$L:$L)="否",_xlfn.XLOOKUP($A210&amp;$B210&amp;$C210,盘货信息!$A:$A&amp;盘货信息!$B:$B&amp;盘货信息!$C:$C,盘货信息!$L:$L)=""),_xlfn.XLOOKUP($A210&amp;$B210&amp;$C210,盘货信息!$A:$A&amp;盘货信息!$B:$B&amp;盘货信息!$C:$C,盘货信息!$M:$M)="否"),"【预估到手价"&amp;_xlfn.XLOOKUP($A210&amp;$B210&amp;$C210,盘货信息!$A:$A&amp;盘货信息!$B:$B&amp;盘货信息!$C:$C,盘货信息!$D:$D)&amp;"元】",IF(AND(_xlfn.XLOOKUP($A210&amp;$B210&amp;$C210,盘货信息!$A:$A&amp;盘货信息!$B:$B&amp;盘货信息!$C:$C,盘货信息!$M:$M)="是",OR(_xlfn.XLOOKUP($A210&amp;$B210&amp;$C210,盘货信息!$A:$A&amp;盘货信息!$B:$B&amp;盘货信息!$C:$C,盘货信息!$L:$L)="否",_xlfn.XLOOKUP($A210&amp;$B210&amp;$C210,盘货信息!$A:$A&amp;盘货信息!$B:$B&amp;盘货信息!$C:$C,盘货信息!$L:$L)="")),"【预估到手价"&amp;_xlfn.XLOOKUP($A210&amp;$B210&amp;$C210,盘货信息!$A:$A&amp;盘货信息!$B:$B&amp;盘货信息!$C:$C,盘货信息!$D:$D)&amp;"元】"&amp;CHAR(10)&amp;"【焕新补贴预估价"&amp;ROUND(_xlfn.XLOOKUP($A210&amp;$B210&amp;$C210,盘货信息!$A:$A&amp;盘货信息!$B:$B&amp;盘货信息!$C:$C,盘货信息!$E:$E),0)&amp;"元】","【焕新补贴预估价"&amp;ROUND(_xlfn.XLOOKUP($A210&amp;$B210&amp;$C210,盘货信息!$A:$A&amp;盘货信息!$B:$B&amp;盘货信息!$C:$C,盘货信息!$E:$E),0)&amp;"元】")))</f>
        <v/>
      </c>
      <c r="F210" s="27" t="str" cm="1">
        <f t="array" ref="F210">IF($C210="","",_xlfn.XLOOKUP($A210&amp;$B210&amp;$C210,盘货信息!$A:$A&amp;盘货信息!$B:$B&amp;盘货信息!$C:$C,盘货信息!$D:$D)&amp;"元到手价")</f>
        <v/>
      </c>
      <c r="G210" s="27" t="str" cm="1">
        <f t="array" ref="G210">IF($C210="","",IF(_xlfn.XLOOKUP($A210&amp;$B210&amp;$C210,盘货信息!$A:$A&amp;盘货信息!$B:$B&amp;盘货信息!$C:$C,盘货信息!$G:$G)&lt;1,"",ROUND(_xlfn.XLOOKUP($A210&amp;$B210&amp;$C210,盘货信息!$A:$A&amp;盘货信息!$B:$B&amp;盘货信息!$C:$C,盘货信息!$G:$G),0)&amp;"元88VIP立减"))</f>
        <v/>
      </c>
      <c r="H210" s="27" t="str" cm="1">
        <f t="array" ref="H210">IF($C210="","",IF(_xlfn.XLOOKUP($A210&amp;$B210&amp;$C210,盘货信息!$A:$A&amp;盘货信息!$B:$B&amp;盘货信息!$C:$C,盘货信息!$I:$I)&lt;1,"",_xlfn.XLOOKUP($A210&amp;$B210&amp;$C210,盘货信息!$A:$A&amp;盘货信息!$B:$B&amp;盘货信息!$C:$C,盘货信息!$I:$I)&amp;"元惊喜立减"))</f>
        <v/>
      </c>
      <c r="I210" s="27" t="str" cm="1">
        <f t="array" ref="I210">IF($C210="","",IF(_xlfn.XLOOKUP($A210&amp;$B210&amp;$C210,盘货信息!$A:$A&amp;盘货信息!$B:$B&amp;盘货信息!$C:$C,盘货信息!$H:$H)&lt;1,"",ROUND(_xlfn.XLOOKUP($A210&amp;$B210&amp;$C210,盘货信息!$A:$A&amp;盘货信息!$B:$B&amp;盘货信息!$C:$C,盘货信息!$H:$H),0)&amp;"元消费券"))</f>
        <v/>
      </c>
      <c r="J210" s="27" t="str" cm="1">
        <f t="array" ref="J210">IF($C210="","",IF(_xlfn.XLOOKUP($A210&amp;$B210&amp;$C210,盘货信息!$A:$A&amp;盘货信息!$B:$B&amp;盘货信息!$C:$C,盘货信息!$J:$J)&lt;1,"",ROUND(_xlfn.XLOOKUP($A210&amp;$B210&amp;$C210,盘货信息!$A:$A&amp;盘货信息!$B:$B&amp;盘货信息!$C:$C,盘货信息!$J:$J),0)&amp;"元限时补贴"))</f>
        <v/>
      </c>
      <c r="K210" s="27" t="str" cm="1">
        <f t="array" ref="K210">IF($C210="","",IF(_xlfn.XLOOKUP($A210&amp;$B210&amp;$C210,盘货信息!$A:$A&amp;盘货信息!$B:$B&amp;盘货信息!$C:$C,盘货信息!$K:$K)&lt;1,"",ROUND(_xlfn.XLOOKUP($A210&amp;$B210&amp;$C210,盘货信息!$A:$A&amp;盘货信息!$B:$B&amp;盘货信息!$C:$C,盘货信息!$K:$K),0)&amp;"元预估焕新补贴"))</f>
        <v/>
      </c>
      <c r="L210" s="27" t="str" cm="1">
        <f t="array" ref="L210">IF($C210="","",IF(AND(_xlfn.XLOOKUP($A210&amp;$B210&amp;$C210,盘货信息!$A:$A&amp;盘货信息!$B:$B&amp;盘货信息!$C:$C,盘货信息!$L:$L)="是",_xlfn.XLOOKUP($A210&amp;$B210&amp;$C210,盘货信息!$A:$A&amp;盘货信息!$B:$B&amp;盘货信息!$C:$C,盘货信息!$M:$M)="是",_xlfn.XLOOKUP($A210&amp;$B210&amp;$C210,盘货信息!$A:$A&amp;盘货信息!$B:$B&amp;盘货信息!$C:$C,盘货信息!$K:$K)&gt;0),"【全民可用，不限地址】",IF(AND(OR(_xlfn.XLOOKUP($A210&amp;$B210&amp;$C210,盘货信息!$A:$A&amp;盘货信息!$B:$B&amp;盘货信息!$C:$C,盘货信息!$L:$L)="否",_xlfn.XLOOKUP($A210&amp;$B210&amp;$C210,盘货信息!$A:$A&amp;盘货信息!$B:$B&amp;盘货信息!$C:$C,盘货信息!$L:$L)=""),_xlfn.XLOOKUP($A210&amp;$B210&amp;$C210,盘货信息!$A:$A&amp;盘货信息!$B:$B&amp;盘货信息!$C:$C,盘货信息!$M:$M)="是",_xlfn.XLOOKUP($A210&amp;$B210&amp;$C210,盘货信息!$A:$A&amp;盘货信息!$B:$B&amp;盘货信息!$C:$C,盘货信息!$K:$K)&gt;0),"【详情页领取】","")))</f>
        <v/>
      </c>
      <c r="M210" s="27" t="str" cm="1">
        <f t="array" ref="M210">IF($C210="","",IF(_xlfn.XLOOKUP($A210&amp;$B210&amp;$C210,盘货信息!$A:$A&amp;盘货信息!$B:$B&amp;盘货信息!$C:$C,盘货信息!$F:$F)&lt;1,"",_xlfn.XLOOKUP($A210&amp;$B210&amp;$C210,盘货信息!$A:$A&amp;盘货信息!$B:$B&amp;盘货信息!$C:$C,盘货信息!$F:$F)&amp;"元明卷"))</f>
        <v/>
      </c>
      <c r="N210" s="27" t="str">
        <f t="shared" si="7"/>
        <v/>
      </c>
      <c r="O210" s="27" t="str">
        <f>IF(I210="","","【消费券链接】"&amp;固定信息!$B$6)</f>
        <v/>
      </c>
    </row>
    <row r="211" customHeight="1" spans="1:15">
      <c r="A211" s="23" t="str">
        <f>IF(盘货信息!A211="","",盘货信息!A211)</f>
        <v/>
      </c>
      <c r="B211" s="26" t="str">
        <f>IF(盘货信息!B211="","",盘货信息!B211)</f>
        <v/>
      </c>
      <c r="C211" s="23" t="str">
        <f>IF(盘货信息!C211="","",盘货信息!C211)</f>
        <v/>
      </c>
      <c r="D211" s="27" t="str">
        <f t="shared" si="6"/>
        <v/>
      </c>
      <c r="E211" s="27" t="str" cm="1">
        <f t="array" ref="E211">IF($C211="","",IF(AND(OR(_xlfn.XLOOKUP($A211&amp;$B211&amp;$C211,盘货信息!$A:$A&amp;盘货信息!$B:$B&amp;盘货信息!$C:$C,盘货信息!$L:$L)="否",_xlfn.XLOOKUP($A211&amp;$B211&amp;$C211,盘货信息!$A:$A&amp;盘货信息!$B:$B&amp;盘货信息!$C:$C,盘货信息!$L:$L)=""),_xlfn.XLOOKUP($A211&amp;$B211&amp;$C211,盘货信息!$A:$A&amp;盘货信息!$B:$B&amp;盘货信息!$C:$C,盘货信息!$M:$M)="否"),"【预估到手价"&amp;_xlfn.XLOOKUP($A211&amp;$B211&amp;$C211,盘货信息!$A:$A&amp;盘货信息!$B:$B&amp;盘货信息!$C:$C,盘货信息!$D:$D)&amp;"元】",IF(AND(_xlfn.XLOOKUP($A211&amp;$B211&amp;$C211,盘货信息!$A:$A&amp;盘货信息!$B:$B&amp;盘货信息!$C:$C,盘货信息!$M:$M)="是",OR(_xlfn.XLOOKUP($A211&amp;$B211&amp;$C211,盘货信息!$A:$A&amp;盘货信息!$B:$B&amp;盘货信息!$C:$C,盘货信息!$L:$L)="否",_xlfn.XLOOKUP($A211&amp;$B211&amp;$C211,盘货信息!$A:$A&amp;盘货信息!$B:$B&amp;盘货信息!$C:$C,盘货信息!$L:$L)="")),"【预估到手价"&amp;_xlfn.XLOOKUP($A211&amp;$B211&amp;$C211,盘货信息!$A:$A&amp;盘货信息!$B:$B&amp;盘货信息!$C:$C,盘货信息!$D:$D)&amp;"元】"&amp;CHAR(10)&amp;"【焕新补贴预估价"&amp;ROUND(_xlfn.XLOOKUP($A211&amp;$B211&amp;$C211,盘货信息!$A:$A&amp;盘货信息!$B:$B&amp;盘货信息!$C:$C,盘货信息!$E:$E),0)&amp;"元】","【焕新补贴预估价"&amp;ROUND(_xlfn.XLOOKUP($A211&amp;$B211&amp;$C211,盘货信息!$A:$A&amp;盘货信息!$B:$B&amp;盘货信息!$C:$C,盘货信息!$E:$E),0)&amp;"元】")))</f>
        <v/>
      </c>
      <c r="F211" s="27" t="str" cm="1">
        <f t="array" ref="F211">IF($C211="","",_xlfn.XLOOKUP($A211&amp;$B211&amp;$C211,盘货信息!$A:$A&amp;盘货信息!$B:$B&amp;盘货信息!$C:$C,盘货信息!$D:$D)&amp;"元到手价")</f>
        <v/>
      </c>
      <c r="G211" s="27" t="str" cm="1">
        <f t="array" ref="G211">IF($C211="","",IF(_xlfn.XLOOKUP($A211&amp;$B211&amp;$C211,盘货信息!$A:$A&amp;盘货信息!$B:$B&amp;盘货信息!$C:$C,盘货信息!$G:$G)&lt;1,"",ROUND(_xlfn.XLOOKUP($A211&amp;$B211&amp;$C211,盘货信息!$A:$A&amp;盘货信息!$B:$B&amp;盘货信息!$C:$C,盘货信息!$G:$G),0)&amp;"元88VIP立减"))</f>
        <v/>
      </c>
      <c r="H211" s="27" t="str" cm="1">
        <f t="array" ref="H211">IF($C211="","",IF(_xlfn.XLOOKUP($A211&amp;$B211&amp;$C211,盘货信息!$A:$A&amp;盘货信息!$B:$B&amp;盘货信息!$C:$C,盘货信息!$I:$I)&lt;1,"",_xlfn.XLOOKUP($A211&amp;$B211&amp;$C211,盘货信息!$A:$A&amp;盘货信息!$B:$B&amp;盘货信息!$C:$C,盘货信息!$I:$I)&amp;"元惊喜立减"))</f>
        <v/>
      </c>
      <c r="I211" s="27" t="str" cm="1">
        <f t="array" ref="I211">IF($C211="","",IF(_xlfn.XLOOKUP($A211&amp;$B211&amp;$C211,盘货信息!$A:$A&amp;盘货信息!$B:$B&amp;盘货信息!$C:$C,盘货信息!$H:$H)&lt;1,"",ROUND(_xlfn.XLOOKUP($A211&amp;$B211&amp;$C211,盘货信息!$A:$A&amp;盘货信息!$B:$B&amp;盘货信息!$C:$C,盘货信息!$H:$H),0)&amp;"元消费券"))</f>
        <v/>
      </c>
      <c r="J211" s="27" t="str" cm="1">
        <f t="array" ref="J211">IF($C211="","",IF(_xlfn.XLOOKUP($A211&amp;$B211&amp;$C211,盘货信息!$A:$A&amp;盘货信息!$B:$B&amp;盘货信息!$C:$C,盘货信息!$J:$J)&lt;1,"",ROUND(_xlfn.XLOOKUP($A211&amp;$B211&amp;$C211,盘货信息!$A:$A&amp;盘货信息!$B:$B&amp;盘货信息!$C:$C,盘货信息!$J:$J),0)&amp;"元限时补贴"))</f>
        <v/>
      </c>
      <c r="K211" s="27" t="str" cm="1">
        <f t="array" ref="K211">IF($C211="","",IF(_xlfn.XLOOKUP($A211&amp;$B211&amp;$C211,盘货信息!$A:$A&amp;盘货信息!$B:$B&amp;盘货信息!$C:$C,盘货信息!$K:$K)&lt;1,"",ROUND(_xlfn.XLOOKUP($A211&amp;$B211&amp;$C211,盘货信息!$A:$A&amp;盘货信息!$B:$B&amp;盘货信息!$C:$C,盘货信息!$K:$K),0)&amp;"元预估焕新补贴"))</f>
        <v/>
      </c>
      <c r="L211" s="27" t="str" cm="1">
        <f t="array" ref="L211">IF($C211="","",IF(AND(_xlfn.XLOOKUP($A211&amp;$B211&amp;$C211,盘货信息!$A:$A&amp;盘货信息!$B:$B&amp;盘货信息!$C:$C,盘货信息!$L:$L)="是",_xlfn.XLOOKUP($A211&amp;$B211&amp;$C211,盘货信息!$A:$A&amp;盘货信息!$B:$B&amp;盘货信息!$C:$C,盘货信息!$M:$M)="是",_xlfn.XLOOKUP($A211&amp;$B211&amp;$C211,盘货信息!$A:$A&amp;盘货信息!$B:$B&amp;盘货信息!$C:$C,盘货信息!$K:$K)&gt;0),"【全民可用，不限地址】",IF(AND(OR(_xlfn.XLOOKUP($A211&amp;$B211&amp;$C211,盘货信息!$A:$A&amp;盘货信息!$B:$B&amp;盘货信息!$C:$C,盘货信息!$L:$L)="否",_xlfn.XLOOKUP($A211&amp;$B211&amp;$C211,盘货信息!$A:$A&amp;盘货信息!$B:$B&amp;盘货信息!$C:$C,盘货信息!$L:$L)=""),_xlfn.XLOOKUP($A211&amp;$B211&amp;$C211,盘货信息!$A:$A&amp;盘货信息!$B:$B&amp;盘货信息!$C:$C,盘货信息!$M:$M)="是",_xlfn.XLOOKUP($A211&amp;$B211&amp;$C211,盘货信息!$A:$A&amp;盘货信息!$B:$B&amp;盘货信息!$C:$C,盘货信息!$K:$K)&gt;0),"【详情页领取】","")))</f>
        <v/>
      </c>
      <c r="M211" s="27" t="str" cm="1">
        <f t="array" ref="M211">IF($C211="","",IF(_xlfn.XLOOKUP($A211&amp;$B211&amp;$C211,盘货信息!$A:$A&amp;盘货信息!$B:$B&amp;盘货信息!$C:$C,盘货信息!$F:$F)&lt;1,"",_xlfn.XLOOKUP($A211&amp;$B211&amp;$C211,盘货信息!$A:$A&amp;盘货信息!$B:$B&amp;盘货信息!$C:$C,盘货信息!$F:$F)&amp;"元明卷"))</f>
        <v/>
      </c>
      <c r="N211" s="27" t="str">
        <f t="shared" si="7"/>
        <v/>
      </c>
      <c r="O211" s="27" t="str">
        <f>IF(I211="","","【消费券链接】"&amp;固定信息!$B$6)</f>
        <v/>
      </c>
    </row>
    <row r="212" customHeight="1" spans="1:15">
      <c r="A212" s="23" t="str">
        <f>IF(盘货信息!A212="","",盘货信息!A212)</f>
        <v/>
      </c>
      <c r="B212" s="26" t="str">
        <f>IF(盘货信息!B212="","",盘货信息!B212)</f>
        <v/>
      </c>
      <c r="C212" s="23" t="str">
        <f>IF(盘货信息!C212="","",盘货信息!C212)</f>
        <v/>
      </c>
      <c r="D212" s="27" t="str">
        <f t="shared" si="6"/>
        <v/>
      </c>
      <c r="E212" s="27" t="str" cm="1">
        <f t="array" ref="E212">IF($C212="","",IF(AND(OR(_xlfn.XLOOKUP($A212&amp;$B212&amp;$C212,盘货信息!$A:$A&amp;盘货信息!$B:$B&amp;盘货信息!$C:$C,盘货信息!$L:$L)="否",_xlfn.XLOOKUP($A212&amp;$B212&amp;$C212,盘货信息!$A:$A&amp;盘货信息!$B:$B&amp;盘货信息!$C:$C,盘货信息!$L:$L)=""),_xlfn.XLOOKUP($A212&amp;$B212&amp;$C212,盘货信息!$A:$A&amp;盘货信息!$B:$B&amp;盘货信息!$C:$C,盘货信息!$M:$M)="否"),"【预估到手价"&amp;_xlfn.XLOOKUP($A212&amp;$B212&amp;$C212,盘货信息!$A:$A&amp;盘货信息!$B:$B&amp;盘货信息!$C:$C,盘货信息!$D:$D)&amp;"元】",IF(AND(_xlfn.XLOOKUP($A212&amp;$B212&amp;$C212,盘货信息!$A:$A&amp;盘货信息!$B:$B&amp;盘货信息!$C:$C,盘货信息!$M:$M)="是",OR(_xlfn.XLOOKUP($A212&amp;$B212&amp;$C212,盘货信息!$A:$A&amp;盘货信息!$B:$B&amp;盘货信息!$C:$C,盘货信息!$L:$L)="否",_xlfn.XLOOKUP($A212&amp;$B212&amp;$C212,盘货信息!$A:$A&amp;盘货信息!$B:$B&amp;盘货信息!$C:$C,盘货信息!$L:$L)="")),"【预估到手价"&amp;_xlfn.XLOOKUP($A212&amp;$B212&amp;$C212,盘货信息!$A:$A&amp;盘货信息!$B:$B&amp;盘货信息!$C:$C,盘货信息!$D:$D)&amp;"元】"&amp;CHAR(10)&amp;"【焕新补贴预估价"&amp;ROUND(_xlfn.XLOOKUP($A212&amp;$B212&amp;$C212,盘货信息!$A:$A&amp;盘货信息!$B:$B&amp;盘货信息!$C:$C,盘货信息!$E:$E),0)&amp;"元】","【焕新补贴预估价"&amp;ROUND(_xlfn.XLOOKUP($A212&amp;$B212&amp;$C212,盘货信息!$A:$A&amp;盘货信息!$B:$B&amp;盘货信息!$C:$C,盘货信息!$E:$E),0)&amp;"元】")))</f>
        <v/>
      </c>
      <c r="F212" s="27" t="str" cm="1">
        <f t="array" ref="F212">IF($C212="","",_xlfn.XLOOKUP($A212&amp;$B212&amp;$C212,盘货信息!$A:$A&amp;盘货信息!$B:$B&amp;盘货信息!$C:$C,盘货信息!$D:$D)&amp;"元到手价")</f>
        <v/>
      </c>
      <c r="G212" s="27" t="str" cm="1">
        <f t="array" ref="G212">IF($C212="","",IF(_xlfn.XLOOKUP($A212&amp;$B212&amp;$C212,盘货信息!$A:$A&amp;盘货信息!$B:$B&amp;盘货信息!$C:$C,盘货信息!$G:$G)&lt;1,"",ROUND(_xlfn.XLOOKUP($A212&amp;$B212&amp;$C212,盘货信息!$A:$A&amp;盘货信息!$B:$B&amp;盘货信息!$C:$C,盘货信息!$G:$G),0)&amp;"元88VIP立减"))</f>
        <v/>
      </c>
      <c r="H212" s="27" t="str" cm="1">
        <f t="array" ref="H212">IF($C212="","",IF(_xlfn.XLOOKUP($A212&amp;$B212&amp;$C212,盘货信息!$A:$A&amp;盘货信息!$B:$B&amp;盘货信息!$C:$C,盘货信息!$I:$I)&lt;1,"",_xlfn.XLOOKUP($A212&amp;$B212&amp;$C212,盘货信息!$A:$A&amp;盘货信息!$B:$B&amp;盘货信息!$C:$C,盘货信息!$I:$I)&amp;"元惊喜立减"))</f>
        <v/>
      </c>
      <c r="I212" s="27" t="str" cm="1">
        <f t="array" ref="I212">IF($C212="","",IF(_xlfn.XLOOKUP($A212&amp;$B212&amp;$C212,盘货信息!$A:$A&amp;盘货信息!$B:$B&amp;盘货信息!$C:$C,盘货信息!$H:$H)&lt;1,"",ROUND(_xlfn.XLOOKUP($A212&amp;$B212&amp;$C212,盘货信息!$A:$A&amp;盘货信息!$B:$B&amp;盘货信息!$C:$C,盘货信息!$H:$H),0)&amp;"元消费券"))</f>
        <v/>
      </c>
      <c r="J212" s="27" t="str" cm="1">
        <f t="array" ref="J212">IF($C212="","",IF(_xlfn.XLOOKUP($A212&amp;$B212&amp;$C212,盘货信息!$A:$A&amp;盘货信息!$B:$B&amp;盘货信息!$C:$C,盘货信息!$J:$J)&lt;1,"",ROUND(_xlfn.XLOOKUP($A212&amp;$B212&amp;$C212,盘货信息!$A:$A&amp;盘货信息!$B:$B&amp;盘货信息!$C:$C,盘货信息!$J:$J),0)&amp;"元限时补贴"))</f>
        <v/>
      </c>
      <c r="K212" s="27" t="str" cm="1">
        <f t="array" ref="K212">IF($C212="","",IF(_xlfn.XLOOKUP($A212&amp;$B212&amp;$C212,盘货信息!$A:$A&amp;盘货信息!$B:$B&amp;盘货信息!$C:$C,盘货信息!$K:$K)&lt;1,"",ROUND(_xlfn.XLOOKUP($A212&amp;$B212&amp;$C212,盘货信息!$A:$A&amp;盘货信息!$B:$B&amp;盘货信息!$C:$C,盘货信息!$K:$K),0)&amp;"元预估焕新补贴"))</f>
        <v/>
      </c>
      <c r="L212" s="27" t="str" cm="1">
        <f t="array" ref="L212">IF($C212="","",IF(AND(_xlfn.XLOOKUP($A212&amp;$B212&amp;$C212,盘货信息!$A:$A&amp;盘货信息!$B:$B&amp;盘货信息!$C:$C,盘货信息!$L:$L)="是",_xlfn.XLOOKUP($A212&amp;$B212&amp;$C212,盘货信息!$A:$A&amp;盘货信息!$B:$B&amp;盘货信息!$C:$C,盘货信息!$M:$M)="是",_xlfn.XLOOKUP($A212&amp;$B212&amp;$C212,盘货信息!$A:$A&amp;盘货信息!$B:$B&amp;盘货信息!$C:$C,盘货信息!$K:$K)&gt;0),"【全民可用，不限地址】",IF(AND(OR(_xlfn.XLOOKUP($A212&amp;$B212&amp;$C212,盘货信息!$A:$A&amp;盘货信息!$B:$B&amp;盘货信息!$C:$C,盘货信息!$L:$L)="否",_xlfn.XLOOKUP($A212&amp;$B212&amp;$C212,盘货信息!$A:$A&amp;盘货信息!$B:$B&amp;盘货信息!$C:$C,盘货信息!$L:$L)=""),_xlfn.XLOOKUP($A212&amp;$B212&amp;$C212,盘货信息!$A:$A&amp;盘货信息!$B:$B&amp;盘货信息!$C:$C,盘货信息!$M:$M)="是",_xlfn.XLOOKUP($A212&amp;$B212&amp;$C212,盘货信息!$A:$A&amp;盘货信息!$B:$B&amp;盘货信息!$C:$C,盘货信息!$K:$K)&gt;0),"【详情页领取】","")))</f>
        <v/>
      </c>
      <c r="M212" s="27" t="str" cm="1">
        <f t="array" ref="M212">IF($C212="","",IF(_xlfn.XLOOKUP($A212&amp;$B212&amp;$C212,盘货信息!$A:$A&amp;盘货信息!$B:$B&amp;盘货信息!$C:$C,盘货信息!$F:$F)&lt;1,"",_xlfn.XLOOKUP($A212&amp;$B212&amp;$C212,盘货信息!$A:$A&amp;盘货信息!$B:$B&amp;盘货信息!$C:$C,盘货信息!$F:$F)&amp;"元明卷"))</f>
        <v/>
      </c>
      <c r="N212" s="27" t="str">
        <f t="shared" si="7"/>
        <v/>
      </c>
      <c r="O212" s="27" t="str">
        <f>IF(I212="","","【消费券链接】"&amp;固定信息!$B$6)</f>
        <v/>
      </c>
    </row>
    <row r="213" customHeight="1" spans="1:15">
      <c r="A213" s="23" t="str">
        <f>IF(盘货信息!A213="","",盘货信息!A213)</f>
        <v/>
      </c>
      <c r="B213" s="26" t="str">
        <f>IF(盘货信息!B213="","",盘货信息!B213)</f>
        <v/>
      </c>
      <c r="C213" s="23" t="str">
        <f>IF(盘货信息!C213="","",盘货信息!C213)</f>
        <v/>
      </c>
      <c r="D213" s="27" t="str">
        <f t="shared" si="6"/>
        <v/>
      </c>
      <c r="E213" s="27" t="str" cm="1">
        <f t="array" ref="E213">IF($C213="","",IF(AND(OR(_xlfn.XLOOKUP($A213&amp;$B213&amp;$C213,盘货信息!$A:$A&amp;盘货信息!$B:$B&amp;盘货信息!$C:$C,盘货信息!$L:$L)="否",_xlfn.XLOOKUP($A213&amp;$B213&amp;$C213,盘货信息!$A:$A&amp;盘货信息!$B:$B&amp;盘货信息!$C:$C,盘货信息!$L:$L)=""),_xlfn.XLOOKUP($A213&amp;$B213&amp;$C213,盘货信息!$A:$A&amp;盘货信息!$B:$B&amp;盘货信息!$C:$C,盘货信息!$M:$M)="否"),"【预估到手价"&amp;_xlfn.XLOOKUP($A213&amp;$B213&amp;$C213,盘货信息!$A:$A&amp;盘货信息!$B:$B&amp;盘货信息!$C:$C,盘货信息!$D:$D)&amp;"元】",IF(AND(_xlfn.XLOOKUP($A213&amp;$B213&amp;$C213,盘货信息!$A:$A&amp;盘货信息!$B:$B&amp;盘货信息!$C:$C,盘货信息!$M:$M)="是",OR(_xlfn.XLOOKUP($A213&amp;$B213&amp;$C213,盘货信息!$A:$A&amp;盘货信息!$B:$B&amp;盘货信息!$C:$C,盘货信息!$L:$L)="否",_xlfn.XLOOKUP($A213&amp;$B213&amp;$C213,盘货信息!$A:$A&amp;盘货信息!$B:$B&amp;盘货信息!$C:$C,盘货信息!$L:$L)="")),"【预估到手价"&amp;_xlfn.XLOOKUP($A213&amp;$B213&amp;$C213,盘货信息!$A:$A&amp;盘货信息!$B:$B&amp;盘货信息!$C:$C,盘货信息!$D:$D)&amp;"元】"&amp;CHAR(10)&amp;"【焕新补贴预估价"&amp;ROUND(_xlfn.XLOOKUP($A213&amp;$B213&amp;$C213,盘货信息!$A:$A&amp;盘货信息!$B:$B&amp;盘货信息!$C:$C,盘货信息!$E:$E),0)&amp;"元】","【焕新补贴预估价"&amp;ROUND(_xlfn.XLOOKUP($A213&amp;$B213&amp;$C213,盘货信息!$A:$A&amp;盘货信息!$B:$B&amp;盘货信息!$C:$C,盘货信息!$E:$E),0)&amp;"元】")))</f>
        <v/>
      </c>
      <c r="F213" s="27" t="str" cm="1">
        <f t="array" ref="F213">IF($C213="","",_xlfn.XLOOKUP($A213&amp;$B213&amp;$C213,盘货信息!$A:$A&amp;盘货信息!$B:$B&amp;盘货信息!$C:$C,盘货信息!$D:$D)&amp;"元到手价")</f>
        <v/>
      </c>
      <c r="G213" s="27" t="str" cm="1">
        <f t="array" ref="G213">IF($C213="","",IF(_xlfn.XLOOKUP($A213&amp;$B213&amp;$C213,盘货信息!$A:$A&amp;盘货信息!$B:$B&amp;盘货信息!$C:$C,盘货信息!$G:$G)&lt;1,"",ROUND(_xlfn.XLOOKUP($A213&amp;$B213&amp;$C213,盘货信息!$A:$A&amp;盘货信息!$B:$B&amp;盘货信息!$C:$C,盘货信息!$G:$G),0)&amp;"元88VIP立减"))</f>
        <v/>
      </c>
      <c r="H213" s="27" t="str" cm="1">
        <f t="array" ref="H213">IF($C213="","",IF(_xlfn.XLOOKUP($A213&amp;$B213&amp;$C213,盘货信息!$A:$A&amp;盘货信息!$B:$B&amp;盘货信息!$C:$C,盘货信息!$I:$I)&lt;1,"",_xlfn.XLOOKUP($A213&amp;$B213&amp;$C213,盘货信息!$A:$A&amp;盘货信息!$B:$B&amp;盘货信息!$C:$C,盘货信息!$I:$I)&amp;"元惊喜立减"))</f>
        <v/>
      </c>
      <c r="I213" s="27" t="str" cm="1">
        <f t="array" ref="I213">IF($C213="","",IF(_xlfn.XLOOKUP($A213&amp;$B213&amp;$C213,盘货信息!$A:$A&amp;盘货信息!$B:$B&amp;盘货信息!$C:$C,盘货信息!$H:$H)&lt;1,"",ROUND(_xlfn.XLOOKUP($A213&amp;$B213&amp;$C213,盘货信息!$A:$A&amp;盘货信息!$B:$B&amp;盘货信息!$C:$C,盘货信息!$H:$H),0)&amp;"元消费券"))</f>
        <v/>
      </c>
      <c r="J213" s="27" t="str" cm="1">
        <f t="array" ref="J213">IF($C213="","",IF(_xlfn.XLOOKUP($A213&amp;$B213&amp;$C213,盘货信息!$A:$A&amp;盘货信息!$B:$B&amp;盘货信息!$C:$C,盘货信息!$J:$J)&lt;1,"",ROUND(_xlfn.XLOOKUP($A213&amp;$B213&amp;$C213,盘货信息!$A:$A&amp;盘货信息!$B:$B&amp;盘货信息!$C:$C,盘货信息!$J:$J),0)&amp;"元限时补贴"))</f>
        <v/>
      </c>
      <c r="K213" s="27" t="str" cm="1">
        <f t="array" ref="K213">IF($C213="","",IF(_xlfn.XLOOKUP($A213&amp;$B213&amp;$C213,盘货信息!$A:$A&amp;盘货信息!$B:$B&amp;盘货信息!$C:$C,盘货信息!$K:$K)&lt;1,"",ROUND(_xlfn.XLOOKUP($A213&amp;$B213&amp;$C213,盘货信息!$A:$A&amp;盘货信息!$B:$B&amp;盘货信息!$C:$C,盘货信息!$K:$K),0)&amp;"元预估焕新补贴"))</f>
        <v/>
      </c>
      <c r="L213" s="27" t="str" cm="1">
        <f t="array" ref="L213">IF($C213="","",IF(AND(_xlfn.XLOOKUP($A213&amp;$B213&amp;$C213,盘货信息!$A:$A&amp;盘货信息!$B:$B&amp;盘货信息!$C:$C,盘货信息!$L:$L)="是",_xlfn.XLOOKUP($A213&amp;$B213&amp;$C213,盘货信息!$A:$A&amp;盘货信息!$B:$B&amp;盘货信息!$C:$C,盘货信息!$M:$M)="是",_xlfn.XLOOKUP($A213&amp;$B213&amp;$C213,盘货信息!$A:$A&amp;盘货信息!$B:$B&amp;盘货信息!$C:$C,盘货信息!$K:$K)&gt;0),"【全民可用，不限地址】",IF(AND(OR(_xlfn.XLOOKUP($A213&amp;$B213&amp;$C213,盘货信息!$A:$A&amp;盘货信息!$B:$B&amp;盘货信息!$C:$C,盘货信息!$L:$L)="否",_xlfn.XLOOKUP($A213&amp;$B213&amp;$C213,盘货信息!$A:$A&amp;盘货信息!$B:$B&amp;盘货信息!$C:$C,盘货信息!$L:$L)=""),_xlfn.XLOOKUP($A213&amp;$B213&amp;$C213,盘货信息!$A:$A&amp;盘货信息!$B:$B&amp;盘货信息!$C:$C,盘货信息!$M:$M)="是",_xlfn.XLOOKUP($A213&amp;$B213&amp;$C213,盘货信息!$A:$A&amp;盘货信息!$B:$B&amp;盘货信息!$C:$C,盘货信息!$K:$K)&gt;0),"【详情页领取】","")))</f>
        <v/>
      </c>
      <c r="M213" s="27" t="str" cm="1">
        <f t="array" ref="M213">IF($C213="","",IF(_xlfn.XLOOKUP($A213&amp;$B213&amp;$C213,盘货信息!$A:$A&amp;盘货信息!$B:$B&amp;盘货信息!$C:$C,盘货信息!$F:$F)&lt;1,"",_xlfn.XLOOKUP($A213&amp;$B213&amp;$C213,盘货信息!$A:$A&amp;盘货信息!$B:$B&amp;盘货信息!$C:$C,盘货信息!$F:$F)&amp;"元明卷"))</f>
        <v/>
      </c>
      <c r="N213" s="27" t="str">
        <f t="shared" si="7"/>
        <v/>
      </c>
      <c r="O213" s="27" t="str">
        <f>IF(I213="","","【消费券链接】"&amp;固定信息!$B$6)</f>
        <v/>
      </c>
    </row>
    <row r="214" customHeight="1" spans="1:15">
      <c r="A214" s="23" t="str">
        <f>IF(盘货信息!A214="","",盘货信息!A214)</f>
        <v/>
      </c>
      <c r="B214" s="26" t="str">
        <f>IF(盘货信息!B214="","",盘货信息!B214)</f>
        <v/>
      </c>
      <c r="C214" s="23" t="str">
        <f>IF(盘货信息!C214="","",盘货信息!C214)</f>
        <v/>
      </c>
      <c r="D214" s="27" t="str">
        <f t="shared" si="6"/>
        <v/>
      </c>
      <c r="E214" s="27" t="str" cm="1">
        <f t="array" ref="E214">IF($C214="","",IF(AND(OR(_xlfn.XLOOKUP($A214&amp;$B214&amp;$C214,盘货信息!$A:$A&amp;盘货信息!$B:$B&amp;盘货信息!$C:$C,盘货信息!$L:$L)="否",_xlfn.XLOOKUP($A214&amp;$B214&amp;$C214,盘货信息!$A:$A&amp;盘货信息!$B:$B&amp;盘货信息!$C:$C,盘货信息!$L:$L)=""),_xlfn.XLOOKUP($A214&amp;$B214&amp;$C214,盘货信息!$A:$A&amp;盘货信息!$B:$B&amp;盘货信息!$C:$C,盘货信息!$M:$M)="否"),"【预估到手价"&amp;_xlfn.XLOOKUP($A214&amp;$B214&amp;$C214,盘货信息!$A:$A&amp;盘货信息!$B:$B&amp;盘货信息!$C:$C,盘货信息!$D:$D)&amp;"元】",IF(AND(_xlfn.XLOOKUP($A214&amp;$B214&amp;$C214,盘货信息!$A:$A&amp;盘货信息!$B:$B&amp;盘货信息!$C:$C,盘货信息!$M:$M)="是",OR(_xlfn.XLOOKUP($A214&amp;$B214&amp;$C214,盘货信息!$A:$A&amp;盘货信息!$B:$B&amp;盘货信息!$C:$C,盘货信息!$L:$L)="否",_xlfn.XLOOKUP($A214&amp;$B214&amp;$C214,盘货信息!$A:$A&amp;盘货信息!$B:$B&amp;盘货信息!$C:$C,盘货信息!$L:$L)="")),"【预估到手价"&amp;_xlfn.XLOOKUP($A214&amp;$B214&amp;$C214,盘货信息!$A:$A&amp;盘货信息!$B:$B&amp;盘货信息!$C:$C,盘货信息!$D:$D)&amp;"元】"&amp;CHAR(10)&amp;"【焕新补贴预估价"&amp;ROUND(_xlfn.XLOOKUP($A214&amp;$B214&amp;$C214,盘货信息!$A:$A&amp;盘货信息!$B:$B&amp;盘货信息!$C:$C,盘货信息!$E:$E),0)&amp;"元】","【焕新补贴预估价"&amp;ROUND(_xlfn.XLOOKUP($A214&amp;$B214&amp;$C214,盘货信息!$A:$A&amp;盘货信息!$B:$B&amp;盘货信息!$C:$C,盘货信息!$E:$E),0)&amp;"元】")))</f>
        <v/>
      </c>
      <c r="F214" s="27" t="str" cm="1">
        <f t="array" ref="F214">IF($C214="","",_xlfn.XLOOKUP($A214&amp;$B214&amp;$C214,盘货信息!$A:$A&amp;盘货信息!$B:$B&amp;盘货信息!$C:$C,盘货信息!$D:$D)&amp;"元到手价")</f>
        <v/>
      </c>
      <c r="G214" s="27" t="str" cm="1">
        <f t="array" ref="G214">IF($C214="","",IF(_xlfn.XLOOKUP($A214&amp;$B214&amp;$C214,盘货信息!$A:$A&amp;盘货信息!$B:$B&amp;盘货信息!$C:$C,盘货信息!$G:$G)&lt;1,"",ROUND(_xlfn.XLOOKUP($A214&amp;$B214&amp;$C214,盘货信息!$A:$A&amp;盘货信息!$B:$B&amp;盘货信息!$C:$C,盘货信息!$G:$G),0)&amp;"元88VIP立减"))</f>
        <v/>
      </c>
      <c r="H214" s="27" t="str" cm="1">
        <f t="array" ref="H214">IF($C214="","",IF(_xlfn.XLOOKUP($A214&amp;$B214&amp;$C214,盘货信息!$A:$A&amp;盘货信息!$B:$B&amp;盘货信息!$C:$C,盘货信息!$I:$I)&lt;1,"",_xlfn.XLOOKUP($A214&amp;$B214&amp;$C214,盘货信息!$A:$A&amp;盘货信息!$B:$B&amp;盘货信息!$C:$C,盘货信息!$I:$I)&amp;"元惊喜立减"))</f>
        <v/>
      </c>
      <c r="I214" s="27" t="str" cm="1">
        <f t="array" ref="I214">IF($C214="","",IF(_xlfn.XLOOKUP($A214&amp;$B214&amp;$C214,盘货信息!$A:$A&amp;盘货信息!$B:$B&amp;盘货信息!$C:$C,盘货信息!$H:$H)&lt;1,"",ROUND(_xlfn.XLOOKUP($A214&amp;$B214&amp;$C214,盘货信息!$A:$A&amp;盘货信息!$B:$B&amp;盘货信息!$C:$C,盘货信息!$H:$H),0)&amp;"元消费券"))</f>
        <v/>
      </c>
      <c r="J214" s="27" t="str" cm="1">
        <f t="array" ref="J214">IF($C214="","",IF(_xlfn.XLOOKUP($A214&amp;$B214&amp;$C214,盘货信息!$A:$A&amp;盘货信息!$B:$B&amp;盘货信息!$C:$C,盘货信息!$J:$J)&lt;1,"",ROUND(_xlfn.XLOOKUP($A214&amp;$B214&amp;$C214,盘货信息!$A:$A&amp;盘货信息!$B:$B&amp;盘货信息!$C:$C,盘货信息!$J:$J),0)&amp;"元限时补贴"))</f>
        <v/>
      </c>
      <c r="K214" s="27" t="str" cm="1">
        <f t="array" ref="K214">IF($C214="","",IF(_xlfn.XLOOKUP($A214&amp;$B214&amp;$C214,盘货信息!$A:$A&amp;盘货信息!$B:$B&amp;盘货信息!$C:$C,盘货信息!$K:$K)&lt;1,"",ROUND(_xlfn.XLOOKUP($A214&amp;$B214&amp;$C214,盘货信息!$A:$A&amp;盘货信息!$B:$B&amp;盘货信息!$C:$C,盘货信息!$K:$K),0)&amp;"元预估焕新补贴"))</f>
        <v/>
      </c>
      <c r="L214" s="27" t="str" cm="1">
        <f t="array" ref="L214">IF($C214="","",IF(AND(_xlfn.XLOOKUP($A214&amp;$B214&amp;$C214,盘货信息!$A:$A&amp;盘货信息!$B:$B&amp;盘货信息!$C:$C,盘货信息!$L:$L)="是",_xlfn.XLOOKUP($A214&amp;$B214&amp;$C214,盘货信息!$A:$A&amp;盘货信息!$B:$B&amp;盘货信息!$C:$C,盘货信息!$M:$M)="是",_xlfn.XLOOKUP($A214&amp;$B214&amp;$C214,盘货信息!$A:$A&amp;盘货信息!$B:$B&amp;盘货信息!$C:$C,盘货信息!$K:$K)&gt;0),"【全民可用，不限地址】",IF(AND(OR(_xlfn.XLOOKUP($A214&amp;$B214&amp;$C214,盘货信息!$A:$A&amp;盘货信息!$B:$B&amp;盘货信息!$C:$C,盘货信息!$L:$L)="否",_xlfn.XLOOKUP($A214&amp;$B214&amp;$C214,盘货信息!$A:$A&amp;盘货信息!$B:$B&amp;盘货信息!$C:$C,盘货信息!$L:$L)=""),_xlfn.XLOOKUP($A214&amp;$B214&amp;$C214,盘货信息!$A:$A&amp;盘货信息!$B:$B&amp;盘货信息!$C:$C,盘货信息!$M:$M)="是",_xlfn.XLOOKUP($A214&amp;$B214&amp;$C214,盘货信息!$A:$A&amp;盘货信息!$B:$B&amp;盘货信息!$C:$C,盘货信息!$K:$K)&gt;0),"【详情页领取】","")))</f>
        <v/>
      </c>
      <c r="M214" s="27" t="str" cm="1">
        <f t="array" ref="M214">IF($C214="","",IF(_xlfn.XLOOKUP($A214&amp;$B214&amp;$C214,盘货信息!$A:$A&amp;盘货信息!$B:$B&amp;盘货信息!$C:$C,盘货信息!$F:$F)&lt;1,"",_xlfn.XLOOKUP($A214&amp;$B214&amp;$C214,盘货信息!$A:$A&amp;盘货信息!$B:$B&amp;盘货信息!$C:$C,盘货信息!$F:$F)&amp;"元明卷"))</f>
        <v/>
      </c>
      <c r="N214" s="27" t="str">
        <f t="shared" si="7"/>
        <v/>
      </c>
      <c r="O214" s="27" t="str">
        <f>IF(I214="","","【消费券链接】"&amp;固定信息!$B$6)</f>
        <v/>
      </c>
    </row>
    <row r="215" customHeight="1" spans="1:15">
      <c r="A215" s="23" t="str">
        <f>IF(盘货信息!A215="","",盘货信息!A215)</f>
        <v/>
      </c>
      <c r="B215" s="26" t="str">
        <f>IF(盘货信息!B215="","",盘货信息!B215)</f>
        <v/>
      </c>
      <c r="C215" s="23" t="str">
        <f>IF(盘货信息!C215="","",盘货信息!C215)</f>
        <v/>
      </c>
      <c r="D215" s="27" t="str">
        <f t="shared" si="6"/>
        <v/>
      </c>
      <c r="E215" s="27" t="str" cm="1">
        <f t="array" ref="E215">IF($C215="","",IF(AND(OR(_xlfn.XLOOKUP($A215&amp;$B215&amp;$C215,盘货信息!$A:$A&amp;盘货信息!$B:$B&amp;盘货信息!$C:$C,盘货信息!$L:$L)="否",_xlfn.XLOOKUP($A215&amp;$B215&amp;$C215,盘货信息!$A:$A&amp;盘货信息!$B:$B&amp;盘货信息!$C:$C,盘货信息!$L:$L)=""),_xlfn.XLOOKUP($A215&amp;$B215&amp;$C215,盘货信息!$A:$A&amp;盘货信息!$B:$B&amp;盘货信息!$C:$C,盘货信息!$M:$M)="否"),"【预估到手价"&amp;_xlfn.XLOOKUP($A215&amp;$B215&amp;$C215,盘货信息!$A:$A&amp;盘货信息!$B:$B&amp;盘货信息!$C:$C,盘货信息!$D:$D)&amp;"元】",IF(AND(_xlfn.XLOOKUP($A215&amp;$B215&amp;$C215,盘货信息!$A:$A&amp;盘货信息!$B:$B&amp;盘货信息!$C:$C,盘货信息!$M:$M)="是",OR(_xlfn.XLOOKUP($A215&amp;$B215&amp;$C215,盘货信息!$A:$A&amp;盘货信息!$B:$B&amp;盘货信息!$C:$C,盘货信息!$L:$L)="否",_xlfn.XLOOKUP($A215&amp;$B215&amp;$C215,盘货信息!$A:$A&amp;盘货信息!$B:$B&amp;盘货信息!$C:$C,盘货信息!$L:$L)="")),"【预估到手价"&amp;_xlfn.XLOOKUP($A215&amp;$B215&amp;$C215,盘货信息!$A:$A&amp;盘货信息!$B:$B&amp;盘货信息!$C:$C,盘货信息!$D:$D)&amp;"元】"&amp;CHAR(10)&amp;"【焕新补贴预估价"&amp;ROUND(_xlfn.XLOOKUP($A215&amp;$B215&amp;$C215,盘货信息!$A:$A&amp;盘货信息!$B:$B&amp;盘货信息!$C:$C,盘货信息!$E:$E),0)&amp;"元】","【焕新补贴预估价"&amp;ROUND(_xlfn.XLOOKUP($A215&amp;$B215&amp;$C215,盘货信息!$A:$A&amp;盘货信息!$B:$B&amp;盘货信息!$C:$C,盘货信息!$E:$E),0)&amp;"元】")))</f>
        <v/>
      </c>
      <c r="F215" s="27" t="str" cm="1">
        <f t="array" ref="F215">IF($C215="","",_xlfn.XLOOKUP($A215&amp;$B215&amp;$C215,盘货信息!$A:$A&amp;盘货信息!$B:$B&amp;盘货信息!$C:$C,盘货信息!$D:$D)&amp;"元到手价")</f>
        <v/>
      </c>
      <c r="G215" s="27" t="str" cm="1">
        <f t="array" ref="G215">IF($C215="","",IF(_xlfn.XLOOKUP($A215&amp;$B215&amp;$C215,盘货信息!$A:$A&amp;盘货信息!$B:$B&amp;盘货信息!$C:$C,盘货信息!$G:$G)&lt;1,"",ROUND(_xlfn.XLOOKUP($A215&amp;$B215&amp;$C215,盘货信息!$A:$A&amp;盘货信息!$B:$B&amp;盘货信息!$C:$C,盘货信息!$G:$G),0)&amp;"元88VIP立减"))</f>
        <v/>
      </c>
      <c r="H215" s="27" t="str" cm="1">
        <f t="array" ref="H215">IF($C215="","",IF(_xlfn.XLOOKUP($A215&amp;$B215&amp;$C215,盘货信息!$A:$A&amp;盘货信息!$B:$B&amp;盘货信息!$C:$C,盘货信息!$I:$I)&lt;1,"",_xlfn.XLOOKUP($A215&amp;$B215&amp;$C215,盘货信息!$A:$A&amp;盘货信息!$B:$B&amp;盘货信息!$C:$C,盘货信息!$I:$I)&amp;"元惊喜立减"))</f>
        <v/>
      </c>
      <c r="I215" s="27" t="str" cm="1">
        <f t="array" ref="I215">IF($C215="","",IF(_xlfn.XLOOKUP($A215&amp;$B215&amp;$C215,盘货信息!$A:$A&amp;盘货信息!$B:$B&amp;盘货信息!$C:$C,盘货信息!$H:$H)&lt;1,"",ROUND(_xlfn.XLOOKUP($A215&amp;$B215&amp;$C215,盘货信息!$A:$A&amp;盘货信息!$B:$B&amp;盘货信息!$C:$C,盘货信息!$H:$H),0)&amp;"元消费券"))</f>
        <v/>
      </c>
      <c r="J215" s="27" t="str" cm="1">
        <f t="array" ref="J215">IF($C215="","",IF(_xlfn.XLOOKUP($A215&amp;$B215&amp;$C215,盘货信息!$A:$A&amp;盘货信息!$B:$B&amp;盘货信息!$C:$C,盘货信息!$J:$J)&lt;1,"",ROUND(_xlfn.XLOOKUP($A215&amp;$B215&amp;$C215,盘货信息!$A:$A&amp;盘货信息!$B:$B&amp;盘货信息!$C:$C,盘货信息!$J:$J),0)&amp;"元限时补贴"))</f>
        <v/>
      </c>
      <c r="K215" s="27" t="str" cm="1">
        <f t="array" ref="K215">IF($C215="","",IF(_xlfn.XLOOKUP($A215&amp;$B215&amp;$C215,盘货信息!$A:$A&amp;盘货信息!$B:$B&amp;盘货信息!$C:$C,盘货信息!$K:$K)&lt;1,"",ROUND(_xlfn.XLOOKUP($A215&amp;$B215&amp;$C215,盘货信息!$A:$A&amp;盘货信息!$B:$B&amp;盘货信息!$C:$C,盘货信息!$K:$K),0)&amp;"元预估焕新补贴"))</f>
        <v/>
      </c>
      <c r="L215" s="27" t="str" cm="1">
        <f t="array" ref="L215">IF($C215="","",IF(AND(_xlfn.XLOOKUP($A215&amp;$B215&amp;$C215,盘货信息!$A:$A&amp;盘货信息!$B:$B&amp;盘货信息!$C:$C,盘货信息!$L:$L)="是",_xlfn.XLOOKUP($A215&amp;$B215&amp;$C215,盘货信息!$A:$A&amp;盘货信息!$B:$B&amp;盘货信息!$C:$C,盘货信息!$M:$M)="是",_xlfn.XLOOKUP($A215&amp;$B215&amp;$C215,盘货信息!$A:$A&amp;盘货信息!$B:$B&amp;盘货信息!$C:$C,盘货信息!$K:$K)&gt;0),"【全民可用，不限地址】",IF(AND(OR(_xlfn.XLOOKUP($A215&amp;$B215&amp;$C215,盘货信息!$A:$A&amp;盘货信息!$B:$B&amp;盘货信息!$C:$C,盘货信息!$L:$L)="否",_xlfn.XLOOKUP($A215&amp;$B215&amp;$C215,盘货信息!$A:$A&amp;盘货信息!$B:$B&amp;盘货信息!$C:$C,盘货信息!$L:$L)=""),_xlfn.XLOOKUP($A215&amp;$B215&amp;$C215,盘货信息!$A:$A&amp;盘货信息!$B:$B&amp;盘货信息!$C:$C,盘货信息!$M:$M)="是",_xlfn.XLOOKUP($A215&amp;$B215&amp;$C215,盘货信息!$A:$A&amp;盘货信息!$B:$B&amp;盘货信息!$C:$C,盘货信息!$K:$K)&gt;0),"【详情页领取】","")))</f>
        <v/>
      </c>
      <c r="M215" s="27" t="str" cm="1">
        <f t="array" ref="M215">IF($C215="","",IF(_xlfn.XLOOKUP($A215&amp;$B215&amp;$C215,盘货信息!$A:$A&amp;盘货信息!$B:$B&amp;盘货信息!$C:$C,盘货信息!$F:$F)&lt;1,"",_xlfn.XLOOKUP($A215&amp;$B215&amp;$C215,盘货信息!$A:$A&amp;盘货信息!$B:$B&amp;盘货信息!$C:$C,盘货信息!$F:$F)&amp;"元明卷"))</f>
        <v/>
      </c>
      <c r="N215" s="27" t="str">
        <f t="shared" si="7"/>
        <v/>
      </c>
      <c r="O215" s="27" t="str">
        <f>IF(I215="","","【消费券链接】"&amp;固定信息!$B$6)</f>
        <v/>
      </c>
    </row>
    <row r="216" customHeight="1" spans="1:15">
      <c r="A216" s="23" t="str">
        <f>IF(盘货信息!A216="","",盘货信息!A216)</f>
        <v/>
      </c>
      <c r="B216" s="26" t="str">
        <f>IF(盘货信息!B216="","",盘货信息!B216)</f>
        <v/>
      </c>
      <c r="C216" s="23" t="str">
        <f>IF(盘货信息!C216="","",盘货信息!C216)</f>
        <v/>
      </c>
      <c r="D216" s="27" t="str">
        <f t="shared" si="6"/>
        <v/>
      </c>
      <c r="E216" s="27" t="str" cm="1">
        <f t="array" ref="E216">IF($C216="","",IF(AND(OR(_xlfn.XLOOKUP($A216&amp;$B216&amp;$C216,盘货信息!$A:$A&amp;盘货信息!$B:$B&amp;盘货信息!$C:$C,盘货信息!$L:$L)="否",_xlfn.XLOOKUP($A216&amp;$B216&amp;$C216,盘货信息!$A:$A&amp;盘货信息!$B:$B&amp;盘货信息!$C:$C,盘货信息!$L:$L)=""),_xlfn.XLOOKUP($A216&amp;$B216&amp;$C216,盘货信息!$A:$A&amp;盘货信息!$B:$B&amp;盘货信息!$C:$C,盘货信息!$M:$M)="否"),"【预估到手价"&amp;_xlfn.XLOOKUP($A216&amp;$B216&amp;$C216,盘货信息!$A:$A&amp;盘货信息!$B:$B&amp;盘货信息!$C:$C,盘货信息!$D:$D)&amp;"元】",IF(AND(_xlfn.XLOOKUP($A216&amp;$B216&amp;$C216,盘货信息!$A:$A&amp;盘货信息!$B:$B&amp;盘货信息!$C:$C,盘货信息!$M:$M)="是",OR(_xlfn.XLOOKUP($A216&amp;$B216&amp;$C216,盘货信息!$A:$A&amp;盘货信息!$B:$B&amp;盘货信息!$C:$C,盘货信息!$L:$L)="否",_xlfn.XLOOKUP($A216&amp;$B216&amp;$C216,盘货信息!$A:$A&amp;盘货信息!$B:$B&amp;盘货信息!$C:$C,盘货信息!$L:$L)="")),"【预估到手价"&amp;_xlfn.XLOOKUP($A216&amp;$B216&amp;$C216,盘货信息!$A:$A&amp;盘货信息!$B:$B&amp;盘货信息!$C:$C,盘货信息!$D:$D)&amp;"元】"&amp;CHAR(10)&amp;"【焕新补贴预估价"&amp;ROUND(_xlfn.XLOOKUP($A216&amp;$B216&amp;$C216,盘货信息!$A:$A&amp;盘货信息!$B:$B&amp;盘货信息!$C:$C,盘货信息!$E:$E),0)&amp;"元】","【焕新补贴预估价"&amp;ROUND(_xlfn.XLOOKUP($A216&amp;$B216&amp;$C216,盘货信息!$A:$A&amp;盘货信息!$B:$B&amp;盘货信息!$C:$C,盘货信息!$E:$E),0)&amp;"元】")))</f>
        <v/>
      </c>
      <c r="F216" s="27" t="str" cm="1">
        <f t="array" ref="F216">IF($C216="","",_xlfn.XLOOKUP($A216&amp;$B216&amp;$C216,盘货信息!$A:$A&amp;盘货信息!$B:$B&amp;盘货信息!$C:$C,盘货信息!$D:$D)&amp;"元到手价")</f>
        <v/>
      </c>
      <c r="G216" s="27" t="str" cm="1">
        <f t="array" ref="G216">IF($C216="","",IF(_xlfn.XLOOKUP($A216&amp;$B216&amp;$C216,盘货信息!$A:$A&amp;盘货信息!$B:$B&amp;盘货信息!$C:$C,盘货信息!$G:$G)&lt;1,"",ROUND(_xlfn.XLOOKUP($A216&amp;$B216&amp;$C216,盘货信息!$A:$A&amp;盘货信息!$B:$B&amp;盘货信息!$C:$C,盘货信息!$G:$G),0)&amp;"元88VIP立减"))</f>
        <v/>
      </c>
      <c r="H216" s="27" t="str" cm="1">
        <f t="array" ref="H216">IF($C216="","",IF(_xlfn.XLOOKUP($A216&amp;$B216&amp;$C216,盘货信息!$A:$A&amp;盘货信息!$B:$B&amp;盘货信息!$C:$C,盘货信息!$I:$I)&lt;1,"",_xlfn.XLOOKUP($A216&amp;$B216&amp;$C216,盘货信息!$A:$A&amp;盘货信息!$B:$B&amp;盘货信息!$C:$C,盘货信息!$I:$I)&amp;"元惊喜立减"))</f>
        <v/>
      </c>
      <c r="I216" s="27" t="str" cm="1">
        <f t="array" ref="I216">IF($C216="","",IF(_xlfn.XLOOKUP($A216&amp;$B216&amp;$C216,盘货信息!$A:$A&amp;盘货信息!$B:$B&amp;盘货信息!$C:$C,盘货信息!$H:$H)&lt;1,"",ROUND(_xlfn.XLOOKUP($A216&amp;$B216&amp;$C216,盘货信息!$A:$A&amp;盘货信息!$B:$B&amp;盘货信息!$C:$C,盘货信息!$H:$H),0)&amp;"元消费券"))</f>
        <v/>
      </c>
      <c r="J216" s="27" t="str" cm="1">
        <f t="array" ref="J216">IF($C216="","",IF(_xlfn.XLOOKUP($A216&amp;$B216&amp;$C216,盘货信息!$A:$A&amp;盘货信息!$B:$B&amp;盘货信息!$C:$C,盘货信息!$J:$J)&lt;1,"",ROUND(_xlfn.XLOOKUP($A216&amp;$B216&amp;$C216,盘货信息!$A:$A&amp;盘货信息!$B:$B&amp;盘货信息!$C:$C,盘货信息!$J:$J),0)&amp;"元限时补贴"))</f>
        <v/>
      </c>
      <c r="K216" s="27" t="str" cm="1">
        <f t="array" ref="K216">IF($C216="","",IF(_xlfn.XLOOKUP($A216&amp;$B216&amp;$C216,盘货信息!$A:$A&amp;盘货信息!$B:$B&amp;盘货信息!$C:$C,盘货信息!$K:$K)&lt;1,"",ROUND(_xlfn.XLOOKUP($A216&amp;$B216&amp;$C216,盘货信息!$A:$A&amp;盘货信息!$B:$B&amp;盘货信息!$C:$C,盘货信息!$K:$K),0)&amp;"元预估焕新补贴"))</f>
        <v/>
      </c>
      <c r="L216" s="27" t="str" cm="1">
        <f t="array" ref="L216">IF($C216="","",IF(AND(_xlfn.XLOOKUP($A216&amp;$B216&amp;$C216,盘货信息!$A:$A&amp;盘货信息!$B:$B&amp;盘货信息!$C:$C,盘货信息!$L:$L)="是",_xlfn.XLOOKUP($A216&amp;$B216&amp;$C216,盘货信息!$A:$A&amp;盘货信息!$B:$B&amp;盘货信息!$C:$C,盘货信息!$M:$M)="是",_xlfn.XLOOKUP($A216&amp;$B216&amp;$C216,盘货信息!$A:$A&amp;盘货信息!$B:$B&amp;盘货信息!$C:$C,盘货信息!$K:$K)&gt;0),"【全民可用，不限地址】",IF(AND(OR(_xlfn.XLOOKUP($A216&amp;$B216&amp;$C216,盘货信息!$A:$A&amp;盘货信息!$B:$B&amp;盘货信息!$C:$C,盘货信息!$L:$L)="否",_xlfn.XLOOKUP($A216&amp;$B216&amp;$C216,盘货信息!$A:$A&amp;盘货信息!$B:$B&amp;盘货信息!$C:$C,盘货信息!$L:$L)=""),_xlfn.XLOOKUP($A216&amp;$B216&amp;$C216,盘货信息!$A:$A&amp;盘货信息!$B:$B&amp;盘货信息!$C:$C,盘货信息!$M:$M)="是",_xlfn.XLOOKUP($A216&amp;$B216&amp;$C216,盘货信息!$A:$A&amp;盘货信息!$B:$B&amp;盘货信息!$C:$C,盘货信息!$K:$K)&gt;0),"【详情页领取】","")))</f>
        <v/>
      </c>
      <c r="M216" s="27" t="str" cm="1">
        <f t="array" ref="M216">IF($C216="","",IF(_xlfn.XLOOKUP($A216&amp;$B216&amp;$C216,盘货信息!$A:$A&amp;盘货信息!$B:$B&amp;盘货信息!$C:$C,盘货信息!$F:$F)&lt;1,"",_xlfn.XLOOKUP($A216&amp;$B216&amp;$C216,盘货信息!$A:$A&amp;盘货信息!$B:$B&amp;盘货信息!$C:$C,盘货信息!$F:$F)&amp;"元明卷"))</f>
        <v/>
      </c>
      <c r="N216" s="27" t="str">
        <f t="shared" si="7"/>
        <v/>
      </c>
      <c r="O216" s="27" t="str">
        <f>IF(I216="","","【消费券链接】"&amp;固定信息!$B$6)</f>
        <v/>
      </c>
    </row>
    <row r="217" customHeight="1" spans="1:15">
      <c r="A217" s="23" t="str">
        <f>IF(盘货信息!A217="","",盘货信息!A217)</f>
        <v/>
      </c>
      <c r="B217" s="26" t="str">
        <f>IF(盘货信息!B217="","",盘货信息!B217)</f>
        <v/>
      </c>
      <c r="C217" s="23" t="str">
        <f>IF(盘货信息!C217="","",盘货信息!C217)</f>
        <v/>
      </c>
      <c r="D217" s="27" t="str">
        <f t="shared" si="6"/>
        <v/>
      </c>
      <c r="E217" s="27" t="str" cm="1">
        <f t="array" ref="E217">IF($C217="","",IF(AND(OR(_xlfn.XLOOKUP($A217&amp;$B217&amp;$C217,盘货信息!$A:$A&amp;盘货信息!$B:$B&amp;盘货信息!$C:$C,盘货信息!$L:$L)="否",_xlfn.XLOOKUP($A217&amp;$B217&amp;$C217,盘货信息!$A:$A&amp;盘货信息!$B:$B&amp;盘货信息!$C:$C,盘货信息!$L:$L)=""),_xlfn.XLOOKUP($A217&amp;$B217&amp;$C217,盘货信息!$A:$A&amp;盘货信息!$B:$B&amp;盘货信息!$C:$C,盘货信息!$M:$M)="否"),"【预估到手价"&amp;_xlfn.XLOOKUP($A217&amp;$B217&amp;$C217,盘货信息!$A:$A&amp;盘货信息!$B:$B&amp;盘货信息!$C:$C,盘货信息!$D:$D)&amp;"元】",IF(AND(_xlfn.XLOOKUP($A217&amp;$B217&amp;$C217,盘货信息!$A:$A&amp;盘货信息!$B:$B&amp;盘货信息!$C:$C,盘货信息!$M:$M)="是",OR(_xlfn.XLOOKUP($A217&amp;$B217&amp;$C217,盘货信息!$A:$A&amp;盘货信息!$B:$B&amp;盘货信息!$C:$C,盘货信息!$L:$L)="否",_xlfn.XLOOKUP($A217&amp;$B217&amp;$C217,盘货信息!$A:$A&amp;盘货信息!$B:$B&amp;盘货信息!$C:$C,盘货信息!$L:$L)="")),"【预估到手价"&amp;_xlfn.XLOOKUP($A217&amp;$B217&amp;$C217,盘货信息!$A:$A&amp;盘货信息!$B:$B&amp;盘货信息!$C:$C,盘货信息!$D:$D)&amp;"元】"&amp;CHAR(10)&amp;"【焕新补贴预估价"&amp;ROUND(_xlfn.XLOOKUP($A217&amp;$B217&amp;$C217,盘货信息!$A:$A&amp;盘货信息!$B:$B&amp;盘货信息!$C:$C,盘货信息!$E:$E),0)&amp;"元】","【焕新补贴预估价"&amp;ROUND(_xlfn.XLOOKUP($A217&amp;$B217&amp;$C217,盘货信息!$A:$A&amp;盘货信息!$B:$B&amp;盘货信息!$C:$C,盘货信息!$E:$E),0)&amp;"元】")))</f>
        <v/>
      </c>
      <c r="F217" s="27" t="str" cm="1">
        <f t="array" ref="F217">IF($C217="","",_xlfn.XLOOKUP($A217&amp;$B217&amp;$C217,盘货信息!$A:$A&amp;盘货信息!$B:$B&amp;盘货信息!$C:$C,盘货信息!$D:$D)&amp;"元到手价")</f>
        <v/>
      </c>
      <c r="G217" s="27" t="str" cm="1">
        <f t="array" ref="G217">IF($C217="","",IF(_xlfn.XLOOKUP($A217&amp;$B217&amp;$C217,盘货信息!$A:$A&amp;盘货信息!$B:$B&amp;盘货信息!$C:$C,盘货信息!$G:$G)&lt;1,"",ROUND(_xlfn.XLOOKUP($A217&amp;$B217&amp;$C217,盘货信息!$A:$A&amp;盘货信息!$B:$B&amp;盘货信息!$C:$C,盘货信息!$G:$G),0)&amp;"元88VIP立减"))</f>
        <v/>
      </c>
      <c r="H217" s="27" t="str" cm="1">
        <f t="array" ref="H217">IF($C217="","",IF(_xlfn.XLOOKUP($A217&amp;$B217&amp;$C217,盘货信息!$A:$A&amp;盘货信息!$B:$B&amp;盘货信息!$C:$C,盘货信息!$I:$I)&lt;1,"",_xlfn.XLOOKUP($A217&amp;$B217&amp;$C217,盘货信息!$A:$A&amp;盘货信息!$B:$B&amp;盘货信息!$C:$C,盘货信息!$I:$I)&amp;"元惊喜立减"))</f>
        <v/>
      </c>
      <c r="I217" s="27" t="str" cm="1">
        <f t="array" ref="I217">IF($C217="","",IF(_xlfn.XLOOKUP($A217&amp;$B217&amp;$C217,盘货信息!$A:$A&amp;盘货信息!$B:$B&amp;盘货信息!$C:$C,盘货信息!$H:$H)&lt;1,"",ROUND(_xlfn.XLOOKUP($A217&amp;$B217&amp;$C217,盘货信息!$A:$A&amp;盘货信息!$B:$B&amp;盘货信息!$C:$C,盘货信息!$H:$H),0)&amp;"元消费券"))</f>
        <v/>
      </c>
      <c r="J217" s="27" t="str" cm="1">
        <f t="array" ref="J217">IF($C217="","",IF(_xlfn.XLOOKUP($A217&amp;$B217&amp;$C217,盘货信息!$A:$A&amp;盘货信息!$B:$B&amp;盘货信息!$C:$C,盘货信息!$J:$J)&lt;1,"",ROUND(_xlfn.XLOOKUP($A217&amp;$B217&amp;$C217,盘货信息!$A:$A&amp;盘货信息!$B:$B&amp;盘货信息!$C:$C,盘货信息!$J:$J),0)&amp;"元限时补贴"))</f>
        <v/>
      </c>
      <c r="K217" s="27" t="str" cm="1">
        <f t="array" ref="K217">IF($C217="","",IF(_xlfn.XLOOKUP($A217&amp;$B217&amp;$C217,盘货信息!$A:$A&amp;盘货信息!$B:$B&amp;盘货信息!$C:$C,盘货信息!$K:$K)&lt;1,"",ROUND(_xlfn.XLOOKUP($A217&amp;$B217&amp;$C217,盘货信息!$A:$A&amp;盘货信息!$B:$B&amp;盘货信息!$C:$C,盘货信息!$K:$K),0)&amp;"元预估焕新补贴"))</f>
        <v/>
      </c>
      <c r="L217" s="27" t="str" cm="1">
        <f t="array" ref="L217">IF($C217="","",IF(AND(_xlfn.XLOOKUP($A217&amp;$B217&amp;$C217,盘货信息!$A:$A&amp;盘货信息!$B:$B&amp;盘货信息!$C:$C,盘货信息!$L:$L)="是",_xlfn.XLOOKUP($A217&amp;$B217&amp;$C217,盘货信息!$A:$A&amp;盘货信息!$B:$B&amp;盘货信息!$C:$C,盘货信息!$M:$M)="是",_xlfn.XLOOKUP($A217&amp;$B217&amp;$C217,盘货信息!$A:$A&amp;盘货信息!$B:$B&amp;盘货信息!$C:$C,盘货信息!$K:$K)&gt;0),"【全民可用，不限地址】",IF(AND(OR(_xlfn.XLOOKUP($A217&amp;$B217&amp;$C217,盘货信息!$A:$A&amp;盘货信息!$B:$B&amp;盘货信息!$C:$C,盘货信息!$L:$L)="否",_xlfn.XLOOKUP($A217&amp;$B217&amp;$C217,盘货信息!$A:$A&amp;盘货信息!$B:$B&amp;盘货信息!$C:$C,盘货信息!$L:$L)=""),_xlfn.XLOOKUP($A217&amp;$B217&amp;$C217,盘货信息!$A:$A&amp;盘货信息!$B:$B&amp;盘货信息!$C:$C,盘货信息!$M:$M)="是",_xlfn.XLOOKUP($A217&amp;$B217&amp;$C217,盘货信息!$A:$A&amp;盘货信息!$B:$B&amp;盘货信息!$C:$C,盘货信息!$K:$K)&gt;0),"【详情页领取】","")))</f>
        <v/>
      </c>
      <c r="M217" s="27" t="str" cm="1">
        <f t="array" ref="M217">IF($C217="","",IF(_xlfn.XLOOKUP($A217&amp;$B217&amp;$C217,盘货信息!$A:$A&amp;盘货信息!$B:$B&amp;盘货信息!$C:$C,盘货信息!$F:$F)&lt;1,"",_xlfn.XLOOKUP($A217&amp;$B217&amp;$C217,盘货信息!$A:$A&amp;盘货信息!$B:$B&amp;盘货信息!$C:$C,盘货信息!$F:$F)&amp;"元明卷"))</f>
        <v/>
      </c>
      <c r="N217" s="27" t="str">
        <f t="shared" si="7"/>
        <v/>
      </c>
      <c r="O217" s="27" t="str">
        <f>IF(I217="","","【消费券链接】"&amp;固定信息!$B$6)</f>
        <v/>
      </c>
    </row>
    <row r="218" customHeight="1" spans="1:15">
      <c r="A218" s="23" t="str">
        <f>IF(盘货信息!A218="","",盘货信息!A218)</f>
        <v/>
      </c>
      <c r="B218" s="26" t="str">
        <f>IF(盘货信息!B218="","",盘货信息!B218)</f>
        <v/>
      </c>
      <c r="C218" s="23" t="str">
        <f>IF(盘货信息!C218="","",盘货信息!C218)</f>
        <v/>
      </c>
      <c r="D218" s="27" t="str">
        <f t="shared" si="6"/>
        <v/>
      </c>
      <c r="E218" s="27" t="str" cm="1">
        <f t="array" ref="E218">IF($C218="","",IF(AND(OR(_xlfn.XLOOKUP($A218&amp;$B218&amp;$C218,盘货信息!$A:$A&amp;盘货信息!$B:$B&amp;盘货信息!$C:$C,盘货信息!$L:$L)="否",_xlfn.XLOOKUP($A218&amp;$B218&amp;$C218,盘货信息!$A:$A&amp;盘货信息!$B:$B&amp;盘货信息!$C:$C,盘货信息!$L:$L)=""),_xlfn.XLOOKUP($A218&amp;$B218&amp;$C218,盘货信息!$A:$A&amp;盘货信息!$B:$B&amp;盘货信息!$C:$C,盘货信息!$M:$M)="否"),"【预估到手价"&amp;_xlfn.XLOOKUP($A218&amp;$B218&amp;$C218,盘货信息!$A:$A&amp;盘货信息!$B:$B&amp;盘货信息!$C:$C,盘货信息!$D:$D)&amp;"元】",IF(AND(_xlfn.XLOOKUP($A218&amp;$B218&amp;$C218,盘货信息!$A:$A&amp;盘货信息!$B:$B&amp;盘货信息!$C:$C,盘货信息!$M:$M)="是",OR(_xlfn.XLOOKUP($A218&amp;$B218&amp;$C218,盘货信息!$A:$A&amp;盘货信息!$B:$B&amp;盘货信息!$C:$C,盘货信息!$L:$L)="否",_xlfn.XLOOKUP($A218&amp;$B218&amp;$C218,盘货信息!$A:$A&amp;盘货信息!$B:$B&amp;盘货信息!$C:$C,盘货信息!$L:$L)="")),"【预估到手价"&amp;_xlfn.XLOOKUP($A218&amp;$B218&amp;$C218,盘货信息!$A:$A&amp;盘货信息!$B:$B&amp;盘货信息!$C:$C,盘货信息!$D:$D)&amp;"元】"&amp;CHAR(10)&amp;"【焕新补贴预估价"&amp;ROUND(_xlfn.XLOOKUP($A218&amp;$B218&amp;$C218,盘货信息!$A:$A&amp;盘货信息!$B:$B&amp;盘货信息!$C:$C,盘货信息!$E:$E),0)&amp;"元】","【焕新补贴预估价"&amp;ROUND(_xlfn.XLOOKUP($A218&amp;$B218&amp;$C218,盘货信息!$A:$A&amp;盘货信息!$B:$B&amp;盘货信息!$C:$C,盘货信息!$E:$E),0)&amp;"元】")))</f>
        <v/>
      </c>
      <c r="F218" s="27" t="str" cm="1">
        <f t="array" ref="F218">IF($C218="","",_xlfn.XLOOKUP($A218&amp;$B218&amp;$C218,盘货信息!$A:$A&amp;盘货信息!$B:$B&amp;盘货信息!$C:$C,盘货信息!$D:$D)&amp;"元到手价")</f>
        <v/>
      </c>
      <c r="G218" s="27" t="str" cm="1">
        <f t="array" ref="G218">IF($C218="","",IF(_xlfn.XLOOKUP($A218&amp;$B218&amp;$C218,盘货信息!$A:$A&amp;盘货信息!$B:$B&amp;盘货信息!$C:$C,盘货信息!$G:$G)&lt;1,"",ROUND(_xlfn.XLOOKUP($A218&amp;$B218&amp;$C218,盘货信息!$A:$A&amp;盘货信息!$B:$B&amp;盘货信息!$C:$C,盘货信息!$G:$G),0)&amp;"元88VIP立减"))</f>
        <v/>
      </c>
      <c r="H218" s="27" t="str" cm="1">
        <f t="array" ref="H218">IF($C218="","",IF(_xlfn.XLOOKUP($A218&amp;$B218&amp;$C218,盘货信息!$A:$A&amp;盘货信息!$B:$B&amp;盘货信息!$C:$C,盘货信息!$I:$I)&lt;1,"",_xlfn.XLOOKUP($A218&amp;$B218&amp;$C218,盘货信息!$A:$A&amp;盘货信息!$B:$B&amp;盘货信息!$C:$C,盘货信息!$I:$I)&amp;"元惊喜立减"))</f>
        <v/>
      </c>
      <c r="I218" s="27" t="str" cm="1">
        <f t="array" ref="I218">IF($C218="","",IF(_xlfn.XLOOKUP($A218&amp;$B218&amp;$C218,盘货信息!$A:$A&amp;盘货信息!$B:$B&amp;盘货信息!$C:$C,盘货信息!$H:$H)&lt;1,"",ROUND(_xlfn.XLOOKUP($A218&amp;$B218&amp;$C218,盘货信息!$A:$A&amp;盘货信息!$B:$B&amp;盘货信息!$C:$C,盘货信息!$H:$H),0)&amp;"元消费券"))</f>
        <v/>
      </c>
      <c r="J218" s="27" t="str" cm="1">
        <f t="array" ref="J218">IF($C218="","",IF(_xlfn.XLOOKUP($A218&amp;$B218&amp;$C218,盘货信息!$A:$A&amp;盘货信息!$B:$B&amp;盘货信息!$C:$C,盘货信息!$J:$J)&lt;1,"",ROUND(_xlfn.XLOOKUP($A218&amp;$B218&amp;$C218,盘货信息!$A:$A&amp;盘货信息!$B:$B&amp;盘货信息!$C:$C,盘货信息!$J:$J),0)&amp;"元限时补贴"))</f>
        <v/>
      </c>
      <c r="K218" s="27" t="str" cm="1">
        <f t="array" ref="K218">IF($C218="","",IF(_xlfn.XLOOKUP($A218&amp;$B218&amp;$C218,盘货信息!$A:$A&amp;盘货信息!$B:$B&amp;盘货信息!$C:$C,盘货信息!$K:$K)&lt;1,"",ROUND(_xlfn.XLOOKUP($A218&amp;$B218&amp;$C218,盘货信息!$A:$A&amp;盘货信息!$B:$B&amp;盘货信息!$C:$C,盘货信息!$K:$K),0)&amp;"元预估焕新补贴"))</f>
        <v/>
      </c>
      <c r="L218" s="27" t="str" cm="1">
        <f t="array" ref="L218">IF($C218="","",IF(AND(_xlfn.XLOOKUP($A218&amp;$B218&amp;$C218,盘货信息!$A:$A&amp;盘货信息!$B:$B&amp;盘货信息!$C:$C,盘货信息!$L:$L)="是",_xlfn.XLOOKUP($A218&amp;$B218&amp;$C218,盘货信息!$A:$A&amp;盘货信息!$B:$B&amp;盘货信息!$C:$C,盘货信息!$M:$M)="是",_xlfn.XLOOKUP($A218&amp;$B218&amp;$C218,盘货信息!$A:$A&amp;盘货信息!$B:$B&amp;盘货信息!$C:$C,盘货信息!$K:$K)&gt;0),"【全民可用，不限地址】",IF(AND(OR(_xlfn.XLOOKUP($A218&amp;$B218&amp;$C218,盘货信息!$A:$A&amp;盘货信息!$B:$B&amp;盘货信息!$C:$C,盘货信息!$L:$L)="否",_xlfn.XLOOKUP($A218&amp;$B218&amp;$C218,盘货信息!$A:$A&amp;盘货信息!$B:$B&amp;盘货信息!$C:$C,盘货信息!$L:$L)=""),_xlfn.XLOOKUP($A218&amp;$B218&amp;$C218,盘货信息!$A:$A&amp;盘货信息!$B:$B&amp;盘货信息!$C:$C,盘货信息!$M:$M)="是",_xlfn.XLOOKUP($A218&amp;$B218&amp;$C218,盘货信息!$A:$A&amp;盘货信息!$B:$B&amp;盘货信息!$C:$C,盘货信息!$K:$K)&gt;0),"【详情页领取】","")))</f>
        <v/>
      </c>
      <c r="M218" s="27" t="str" cm="1">
        <f t="array" ref="M218">IF($C218="","",IF(_xlfn.XLOOKUP($A218&amp;$B218&amp;$C218,盘货信息!$A:$A&amp;盘货信息!$B:$B&amp;盘货信息!$C:$C,盘货信息!$F:$F)&lt;1,"",_xlfn.XLOOKUP($A218&amp;$B218&amp;$C218,盘货信息!$A:$A&amp;盘货信息!$B:$B&amp;盘货信息!$C:$C,盘货信息!$F:$F)&amp;"元明卷"))</f>
        <v/>
      </c>
      <c r="N218" s="27" t="str">
        <f t="shared" si="7"/>
        <v/>
      </c>
      <c r="O218" s="27" t="str">
        <f>IF(I218="","","【消费券链接】"&amp;固定信息!$B$6)</f>
        <v/>
      </c>
    </row>
    <row r="219" customHeight="1" spans="1:15">
      <c r="A219" s="23" t="str">
        <f>IF(盘货信息!A219="","",盘货信息!A219)</f>
        <v/>
      </c>
      <c r="B219" s="26" t="str">
        <f>IF(盘货信息!B219="","",盘货信息!B219)</f>
        <v/>
      </c>
      <c r="C219" s="23" t="str">
        <f>IF(盘货信息!C219="","",盘货信息!C219)</f>
        <v/>
      </c>
      <c r="D219" s="27" t="str">
        <f t="shared" si="6"/>
        <v/>
      </c>
      <c r="E219" s="27" t="str" cm="1">
        <f t="array" ref="E219">IF($C219="","",IF(AND(OR(_xlfn.XLOOKUP($A219&amp;$B219&amp;$C219,盘货信息!$A:$A&amp;盘货信息!$B:$B&amp;盘货信息!$C:$C,盘货信息!$L:$L)="否",_xlfn.XLOOKUP($A219&amp;$B219&amp;$C219,盘货信息!$A:$A&amp;盘货信息!$B:$B&amp;盘货信息!$C:$C,盘货信息!$L:$L)=""),_xlfn.XLOOKUP($A219&amp;$B219&amp;$C219,盘货信息!$A:$A&amp;盘货信息!$B:$B&amp;盘货信息!$C:$C,盘货信息!$M:$M)="否"),"【预估到手价"&amp;_xlfn.XLOOKUP($A219&amp;$B219&amp;$C219,盘货信息!$A:$A&amp;盘货信息!$B:$B&amp;盘货信息!$C:$C,盘货信息!$D:$D)&amp;"元】",IF(AND(_xlfn.XLOOKUP($A219&amp;$B219&amp;$C219,盘货信息!$A:$A&amp;盘货信息!$B:$B&amp;盘货信息!$C:$C,盘货信息!$M:$M)="是",OR(_xlfn.XLOOKUP($A219&amp;$B219&amp;$C219,盘货信息!$A:$A&amp;盘货信息!$B:$B&amp;盘货信息!$C:$C,盘货信息!$L:$L)="否",_xlfn.XLOOKUP($A219&amp;$B219&amp;$C219,盘货信息!$A:$A&amp;盘货信息!$B:$B&amp;盘货信息!$C:$C,盘货信息!$L:$L)="")),"【预估到手价"&amp;_xlfn.XLOOKUP($A219&amp;$B219&amp;$C219,盘货信息!$A:$A&amp;盘货信息!$B:$B&amp;盘货信息!$C:$C,盘货信息!$D:$D)&amp;"元】"&amp;CHAR(10)&amp;"【焕新补贴预估价"&amp;ROUND(_xlfn.XLOOKUP($A219&amp;$B219&amp;$C219,盘货信息!$A:$A&amp;盘货信息!$B:$B&amp;盘货信息!$C:$C,盘货信息!$E:$E),0)&amp;"元】","【焕新补贴预估价"&amp;ROUND(_xlfn.XLOOKUP($A219&amp;$B219&amp;$C219,盘货信息!$A:$A&amp;盘货信息!$B:$B&amp;盘货信息!$C:$C,盘货信息!$E:$E),0)&amp;"元】")))</f>
        <v/>
      </c>
      <c r="F219" s="27" t="str" cm="1">
        <f t="array" ref="F219">IF($C219="","",_xlfn.XLOOKUP($A219&amp;$B219&amp;$C219,盘货信息!$A:$A&amp;盘货信息!$B:$B&amp;盘货信息!$C:$C,盘货信息!$D:$D)&amp;"元到手价")</f>
        <v/>
      </c>
      <c r="G219" s="27" t="str" cm="1">
        <f t="array" ref="G219">IF($C219="","",IF(_xlfn.XLOOKUP($A219&amp;$B219&amp;$C219,盘货信息!$A:$A&amp;盘货信息!$B:$B&amp;盘货信息!$C:$C,盘货信息!$G:$G)&lt;1,"",ROUND(_xlfn.XLOOKUP($A219&amp;$B219&amp;$C219,盘货信息!$A:$A&amp;盘货信息!$B:$B&amp;盘货信息!$C:$C,盘货信息!$G:$G),0)&amp;"元88VIP立减"))</f>
        <v/>
      </c>
      <c r="H219" s="27" t="str" cm="1">
        <f t="array" ref="H219">IF($C219="","",IF(_xlfn.XLOOKUP($A219&amp;$B219&amp;$C219,盘货信息!$A:$A&amp;盘货信息!$B:$B&amp;盘货信息!$C:$C,盘货信息!$I:$I)&lt;1,"",_xlfn.XLOOKUP($A219&amp;$B219&amp;$C219,盘货信息!$A:$A&amp;盘货信息!$B:$B&amp;盘货信息!$C:$C,盘货信息!$I:$I)&amp;"元惊喜立减"))</f>
        <v/>
      </c>
      <c r="I219" s="27" t="str" cm="1">
        <f t="array" ref="I219">IF($C219="","",IF(_xlfn.XLOOKUP($A219&amp;$B219&amp;$C219,盘货信息!$A:$A&amp;盘货信息!$B:$B&amp;盘货信息!$C:$C,盘货信息!$H:$H)&lt;1,"",ROUND(_xlfn.XLOOKUP($A219&amp;$B219&amp;$C219,盘货信息!$A:$A&amp;盘货信息!$B:$B&amp;盘货信息!$C:$C,盘货信息!$H:$H),0)&amp;"元消费券"))</f>
        <v/>
      </c>
      <c r="J219" s="27" t="str" cm="1">
        <f t="array" ref="J219">IF($C219="","",IF(_xlfn.XLOOKUP($A219&amp;$B219&amp;$C219,盘货信息!$A:$A&amp;盘货信息!$B:$B&amp;盘货信息!$C:$C,盘货信息!$J:$J)&lt;1,"",ROUND(_xlfn.XLOOKUP($A219&amp;$B219&amp;$C219,盘货信息!$A:$A&amp;盘货信息!$B:$B&amp;盘货信息!$C:$C,盘货信息!$J:$J),0)&amp;"元限时补贴"))</f>
        <v/>
      </c>
      <c r="K219" s="27" t="str" cm="1">
        <f t="array" ref="K219">IF($C219="","",IF(_xlfn.XLOOKUP($A219&amp;$B219&amp;$C219,盘货信息!$A:$A&amp;盘货信息!$B:$B&amp;盘货信息!$C:$C,盘货信息!$K:$K)&lt;1,"",ROUND(_xlfn.XLOOKUP($A219&amp;$B219&amp;$C219,盘货信息!$A:$A&amp;盘货信息!$B:$B&amp;盘货信息!$C:$C,盘货信息!$K:$K),0)&amp;"元预估焕新补贴"))</f>
        <v/>
      </c>
      <c r="L219" s="27" t="str" cm="1">
        <f t="array" ref="L219">IF($C219="","",IF(AND(_xlfn.XLOOKUP($A219&amp;$B219&amp;$C219,盘货信息!$A:$A&amp;盘货信息!$B:$B&amp;盘货信息!$C:$C,盘货信息!$L:$L)="是",_xlfn.XLOOKUP($A219&amp;$B219&amp;$C219,盘货信息!$A:$A&amp;盘货信息!$B:$B&amp;盘货信息!$C:$C,盘货信息!$M:$M)="是",_xlfn.XLOOKUP($A219&amp;$B219&amp;$C219,盘货信息!$A:$A&amp;盘货信息!$B:$B&amp;盘货信息!$C:$C,盘货信息!$K:$K)&gt;0),"【全民可用，不限地址】",IF(AND(OR(_xlfn.XLOOKUP($A219&amp;$B219&amp;$C219,盘货信息!$A:$A&amp;盘货信息!$B:$B&amp;盘货信息!$C:$C,盘货信息!$L:$L)="否",_xlfn.XLOOKUP($A219&amp;$B219&amp;$C219,盘货信息!$A:$A&amp;盘货信息!$B:$B&amp;盘货信息!$C:$C,盘货信息!$L:$L)=""),_xlfn.XLOOKUP($A219&amp;$B219&amp;$C219,盘货信息!$A:$A&amp;盘货信息!$B:$B&amp;盘货信息!$C:$C,盘货信息!$M:$M)="是",_xlfn.XLOOKUP($A219&amp;$B219&amp;$C219,盘货信息!$A:$A&amp;盘货信息!$B:$B&amp;盘货信息!$C:$C,盘货信息!$K:$K)&gt;0),"【详情页领取】","")))</f>
        <v/>
      </c>
      <c r="M219" s="27" t="str" cm="1">
        <f t="array" ref="M219">IF($C219="","",IF(_xlfn.XLOOKUP($A219&amp;$B219&amp;$C219,盘货信息!$A:$A&amp;盘货信息!$B:$B&amp;盘货信息!$C:$C,盘货信息!$F:$F)&lt;1,"",_xlfn.XLOOKUP($A219&amp;$B219&amp;$C219,盘货信息!$A:$A&amp;盘货信息!$B:$B&amp;盘货信息!$C:$C,盘货信息!$F:$F)&amp;"元明卷"))</f>
        <v/>
      </c>
      <c r="N219" s="27" t="str">
        <f t="shared" si="7"/>
        <v/>
      </c>
      <c r="O219" s="27" t="str">
        <f>IF(I219="","","【消费券链接】"&amp;固定信息!$B$6)</f>
        <v/>
      </c>
    </row>
    <row r="220" customHeight="1" spans="1:15">
      <c r="A220" s="23" t="str">
        <f>IF(盘货信息!A220="","",盘货信息!A220)</f>
        <v/>
      </c>
      <c r="B220" s="26" t="str">
        <f>IF(盘货信息!B220="","",盘货信息!B220)</f>
        <v/>
      </c>
      <c r="C220" s="23" t="str">
        <f>IF(盘货信息!C220="","",盘货信息!C220)</f>
        <v/>
      </c>
      <c r="D220" s="27" t="str">
        <f t="shared" si="6"/>
        <v/>
      </c>
      <c r="E220" s="27" t="str" cm="1">
        <f t="array" ref="E220">IF($C220="","",IF(AND(OR(_xlfn.XLOOKUP($A220&amp;$B220&amp;$C220,盘货信息!$A:$A&amp;盘货信息!$B:$B&amp;盘货信息!$C:$C,盘货信息!$L:$L)="否",_xlfn.XLOOKUP($A220&amp;$B220&amp;$C220,盘货信息!$A:$A&amp;盘货信息!$B:$B&amp;盘货信息!$C:$C,盘货信息!$L:$L)=""),_xlfn.XLOOKUP($A220&amp;$B220&amp;$C220,盘货信息!$A:$A&amp;盘货信息!$B:$B&amp;盘货信息!$C:$C,盘货信息!$M:$M)="否"),"【预估到手价"&amp;_xlfn.XLOOKUP($A220&amp;$B220&amp;$C220,盘货信息!$A:$A&amp;盘货信息!$B:$B&amp;盘货信息!$C:$C,盘货信息!$D:$D)&amp;"元】",IF(AND(_xlfn.XLOOKUP($A220&amp;$B220&amp;$C220,盘货信息!$A:$A&amp;盘货信息!$B:$B&amp;盘货信息!$C:$C,盘货信息!$M:$M)="是",OR(_xlfn.XLOOKUP($A220&amp;$B220&amp;$C220,盘货信息!$A:$A&amp;盘货信息!$B:$B&amp;盘货信息!$C:$C,盘货信息!$L:$L)="否",_xlfn.XLOOKUP($A220&amp;$B220&amp;$C220,盘货信息!$A:$A&amp;盘货信息!$B:$B&amp;盘货信息!$C:$C,盘货信息!$L:$L)="")),"【预估到手价"&amp;_xlfn.XLOOKUP($A220&amp;$B220&amp;$C220,盘货信息!$A:$A&amp;盘货信息!$B:$B&amp;盘货信息!$C:$C,盘货信息!$D:$D)&amp;"元】"&amp;CHAR(10)&amp;"【焕新补贴预估价"&amp;ROUND(_xlfn.XLOOKUP($A220&amp;$B220&amp;$C220,盘货信息!$A:$A&amp;盘货信息!$B:$B&amp;盘货信息!$C:$C,盘货信息!$E:$E),0)&amp;"元】","【焕新补贴预估价"&amp;ROUND(_xlfn.XLOOKUP($A220&amp;$B220&amp;$C220,盘货信息!$A:$A&amp;盘货信息!$B:$B&amp;盘货信息!$C:$C,盘货信息!$E:$E),0)&amp;"元】")))</f>
        <v/>
      </c>
      <c r="F220" s="27" t="str" cm="1">
        <f t="array" ref="F220">IF($C220="","",_xlfn.XLOOKUP($A220&amp;$B220&amp;$C220,盘货信息!$A:$A&amp;盘货信息!$B:$B&amp;盘货信息!$C:$C,盘货信息!$D:$D)&amp;"元到手价")</f>
        <v/>
      </c>
      <c r="G220" s="27" t="str" cm="1">
        <f t="array" ref="G220">IF($C220="","",IF(_xlfn.XLOOKUP($A220&amp;$B220&amp;$C220,盘货信息!$A:$A&amp;盘货信息!$B:$B&amp;盘货信息!$C:$C,盘货信息!$G:$G)&lt;1,"",ROUND(_xlfn.XLOOKUP($A220&amp;$B220&amp;$C220,盘货信息!$A:$A&amp;盘货信息!$B:$B&amp;盘货信息!$C:$C,盘货信息!$G:$G),0)&amp;"元88VIP立减"))</f>
        <v/>
      </c>
      <c r="H220" s="27" t="str" cm="1">
        <f t="array" ref="H220">IF($C220="","",IF(_xlfn.XLOOKUP($A220&amp;$B220&amp;$C220,盘货信息!$A:$A&amp;盘货信息!$B:$B&amp;盘货信息!$C:$C,盘货信息!$I:$I)&lt;1,"",_xlfn.XLOOKUP($A220&amp;$B220&amp;$C220,盘货信息!$A:$A&amp;盘货信息!$B:$B&amp;盘货信息!$C:$C,盘货信息!$I:$I)&amp;"元惊喜立减"))</f>
        <v/>
      </c>
      <c r="I220" s="27" t="str" cm="1">
        <f t="array" ref="I220">IF($C220="","",IF(_xlfn.XLOOKUP($A220&amp;$B220&amp;$C220,盘货信息!$A:$A&amp;盘货信息!$B:$B&amp;盘货信息!$C:$C,盘货信息!$H:$H)&lt;1,"",ROUND(_xlfn.XLOOKUP($A220&amp;$B220&amp;$C220,盘货信息!$A:$A&amp;盘货信息!$B:$B&amp;盘货信息!$C:$C,盘货信息!$H:$H),0)&amp;"元消费券"))</f>
        <v/>
      </c>
      <c r="J220" s="27" t="str" cm="1">
        <f t="array" ref="J220">IF($C220="","",IF(_xlfn.XLOOKUP($A220&amp;$B220&amp;$C220,盘货信息!$A:$A&amp;盘货信息!$B:$B&amp;盘货信息!$C:$C,盘货信息!$J:$J)&lt;1,"",ROUND(_xlfn.XLOOKUP($A220&amp;$B220&amp;$C220,盘货信息!$A:$A&amp;盘货信息!$B:$B&amp;盘货信息!$C:$C,盘货信息!$J:$J),0)&amp;"元限时补贴"))</f>
        <v/>
      </c>
      <c r="K220" s="27" t="str" cm="1">
        <f t="array" ref="K220">IF($C220="","",IF(_xlfn.XLOOKUP($A220&amp;$B220&amp;$C220,盘货信息!$A:$A&amp;盘货信息!$B:$B&amp;盘货信息!$C:$C,盘货信息!$K:$K)&lt;1,"",ROUND(_xlfn.XLOOKUP($A220&amp;$B220&amp;$C220,盘货信息!$A:$A&amp;盘货信息!$B:$B&amp;盘货信息!$C:$C,盘货信息!$K:$K),0)&amp;"元预估焕新补贴"))</f>
        <v/>
      </c>
      <c r="L220" s="27" t="str" cm="1">
        <f t="array" ref="L220">IF($C220="","",IF(AND(_xlfn.XLOOKUP($A220&amp;$B220&amp;$C220,盘货信息!$A:$A&amp;盘货信息!$B:$B&amp;盘货信息!$C:$C,盘货信息!$L:$L)="是",_xlfn.XLOOKUP($A220&amp;$B220&amp;$C220,盘货信息!$A:$A&amp;盘货信息!$B:$B&amp;盘货信息!$C:$C,盘货信息!$M:$M)="是",_xlfn.XLOOKUP($A220&amp;$B220&amp;$C220,盘货信息!$A:$A&amp;盘货信息!$B:$B&amp;盘货信息!$C:$C,盘货信息!$K:$K)&gt;0),"【全民可用，不限地址】",IF(AND(OR(_xlfn.XLOOKUP($A220&amp;$B220&amp;$C220,盘货信息!$A:$A&amp;盘货信息!$B:$B&amp;盘货信息!$C:$C,盘货信息!$L:$L)="否",_xlfn.XLOOKUP($A220&amp;$B220&amp;$C220,盘货信息!$A:$A&amp;盘货信息!$B:$B&amp;盘货信息!$C:$C,盘货信息!$L:$L)=""),_xlfn.XLOOKUP($A220&amp;$B220&amp;$C220,盘货信息!$A:$A&amp;盘货信息!$B:$B&amp;盘货信息!$C:$C,盘货信息!$M:$M)="是",_xlfn.XLOOKUP($A220&amp;$B220&amp;$C220,盘货信息!$A:$A&amp;盘货信息!$B:$B&amp;盘货信息!$C:$C,盘货信息!$K:$K)&gt;0),"【详情页领取】","")))</f>
        <v/>
      </c>
      <c r="M220" s="27" t="str" cm="1">
        <f t="array" ref="M220">IF($C220="","",IF(_xlfn.XLOOKUP($A220&amp;$B220&amp;$C220,盘货信息!$A:$A&amp;盘货信息!$B:$B&amp;盘货信息!$C:$C,盘货信息!$F:$F)&lt;1,"",_xlfn.XLOOKUP($A220&amp;$B220&amp;$C220,盘货信息!$A:$A&amp;盘货信息!$B:$B&amp;盘货信息!$C:$C,盘货信息!$F:$F)&amp;"元明卷"))</f>
        <v/>
      </c>
      <c r="N220" s="27" t="str">
        <f t="shared" si="7"/>
        <v/>
      </c>
      <c r="O220" s="27" t="str">
        <f>IF(I220="","","【消费券链接】"&amp;固定信息!$B$6)</f>
        <v/>
      </c>
    </row>
    <row r="221" customHeight="1" spans="1:15">
      <c r="A221" s="23" t="str">
        <f>IF(盘货信息!A221="","",盘货信息!A221)</f>
        <v/>
      </c>
      <c r="B221" s="26" t="str">
        <f>IF(盘货信息!B221="","",盘货信息!B221)</f>
        <v/>
      </c>
      <c r="C221" s="23" t="str">
        <f>IF(盘货信息!C221="","",盘货信息!C221)</f>
        <v/>
      </c>
      <c r="D221" s="27" t="str">
        <f t="shared" si="6"/>
        <v/>
      </c>
      <c r="E221" s="27" t="str" cm="1">
        <f t="array" ref="E221">IF($C221="","",IF(AND(OR(_xlfn.XLOOKUP($A221&amp;$B221&amp;$C221,盘货信息!$A:$A&amp;盘货信息!$B:$B&amp;盘货信息!$C:$C,盘货信息!$L:$L)="否",_xlfn.XLOOKUP($A221&amp;$B221&amp;$C221,盘货信息!$A:$A&amp;盘货信息!$B:$B&amp;盘货信息!$C:$C,盘货信息!$L:$L)=""),_xlfn.XLOOKUP($A221&amp;$B221&amp;$C221,盘货信息!$A:$A&amp;盘货信息!$B:$B&amp;盘货信息!$C:$C,盘货信息!$M:$M)="否"),"【预估到手价"&amp;_xlfn.XLOOKUP($A221&amp;$B221&amp;$C221,盘货信息!$A:$A&amp;盘货信息!$B:$B&amp;盘货信息!$C:$C,盘货信息!$D:$D)&amp;"元】",IF(AND(_xlfn.XLOOKUP($A221&amp;$B221&amp;$C221,盘货信息!$A:$A&amp;盘货信息!$B:$B&amp;盘货信息!$C:$C,盘货信息!$M:$M)="是",OR(_xlfn.XLOOKUP($A221&amp;$B221&amp;$C221,盘货信息!$A:$A&amp;盘货信息!$B:$B&amp;盘货信息!$C:$C,盘货信息!$L:$L)="否",_xlfn.XLOOKUP($A221&amp;$B221&amp;$C221,盘货信息!$A:$A&amp;盘货信息!$B:$B&amp;盘货信息!$C:$C,盘货信息!$L:$L)="")),"【预估到手价"&amp;_xlfn.XLOOKUP($A221&amp;$B221&amp;$C221,盘货信息!$A:$A&amp;盘货信息!$B:$B&amp;盘货信息!$C:$C,盘货信息!$D:$D)&amp;"元】"&amp;CHAR(10)&amp;"【焕新补贴预估价"&amp;ROUND(_xlfn.XLOOKUP($A221&amp;$B221&amp;$C221,盘货信息!$A:$A&amp;盘货信息!$B:$B&amp;盘货信息!$C:$C,盘货信息!$E:$E),0)&amp;"元】","【焕新补贴预估价"&amp;ROUND(_xlfn.XLOOKUP($A221&amp;$B221&amp;$C221,盘货信息!$A:$A&amp;盘货信息!$B:$B&amp;盘货信息!$C:$C,盘货信息!$E:$E),0)&amp;"元】")))</f>
        <v/>
      </c>
      <c r="F221" s="27" t="str" cm="1">
        <f t="array" ref="F221">IF($C221="","",_xlfn.XLOOKUP($A221&amp;$B221&amp;$C221,盘货信息!$A:$A&amp;盘货信息!$B:$B&amp;盘货信息!$C:$C,盘货信息!$D:$D)&amp;"元到手价")</f>
        <v/>
      </c>
      <c r="G221" s="27" t="str" cm="1">
        <f t="array" ref="G221">IF($C221="","",IF(_xlfn.XLOOKUP($A221&amp;$B221&amp;$C221,盘货信息!$A:$A&amp;盘货信息!$B:$B&amp;盘货信息!$C:$C,盘货信息!$G:$G)&lt;1,"",ROUND(_xlfn.XLOOKUP($A221&amp;$B221&amp;$C221,盘货信息!$A:$A&amp;盘货信息!$B:$B&amp;盘货信息!$C:$C,盘货信息!$G:$G),0)&amp;"元88VIP立减"))</f>
        <v/>
      </c>
      <c r="H221" s="27" t="str" cm="1">
        <f t="array" ref="H221">IF($C221="","",IF(_xlfn.XLOOKUP($A221&amp;$B221&amp;$C221,盘货信息!$A:$A&amp;盘货信息!$B:$B&amp;盘货信息!$C:$C,盘货信息!$I:$I)&lt;1,"",_xlfn.XLOOKUP($A221&amp;$B221&amp;$C221,盘货信息!$A:$A&amp;盘货信息!$B:$B&amp;盘货信息!$C:$C,盘货信息!$I:$I)&amp;"元惊喜立减"))</f>
        <v/>
      </c>
      <c r="I221" s="27" t="str" cm="1">
        <f t="array" ref="I221">IF($C221="","",IF(_xlfn.XLOOKUP($A221&amp;$B221&amp;$C221,盘货信息!$A:$A&amp;盘货信息!$B:$B&amp;盘货信息!$C:$C,盘货信息!$H:$H)&lt;1,"",ROUND(_xlfn.XLOOKUP($A221&amp;$B221&amp;$C221,盘货信息!$A:$A&amp;盘货信息!$B:$B&amp;盘货信息!$C:$C,盘货信息!$H:$H),0)&amp;"元消费券"))</f>
        <v/>
      </c>
      <c r="J221" s="27" t="str" cm="1">
        <f t="array" ref="J221">IF($C221="","",IF(_xlfn.XLOOKUP($A221&amp;$B221&amp;$C221,盘货信息!$A:$A&amp;盘货信息!$B:$B&amp;盘货信息!$C:$C,盘货信息!$J:$J)&lt;1,"",ROUND(_xlfn.XLOOKUP($A221&amp;$B221&amp;$C221,盘货信息!$A:$A&amp;盘货信息!$B:$B&amp;盘货信息!$C:$C,盘货信息!$J:$J),0)&amp;"元限时补贴"))</f>
        <v/>
      </c>
      <c r="K221" s="27" t="str" cm="1">
        <f t="array" ref="K221">IF($C221="","",IF(_xlfn.XLOOKUP($A221&amp;$B221&amp;$C221,盘货信息!$A:$A&amp;盘货信息!$B:$B&amp;盘货信息!$C:$C,盘货信息!$K:$K)&lt;1,"",ROUND(_xlfn.XLOOKUP($A221&amp;$B221&amp;$C221,盘货信息!$A:$A&amp;盘货信息!$B:$B&amp;盘货信息!$C:$C,盘货信息!$K:$K),0)&amp;"元预估焕新补贴"))</f>
        <v/>
      </c>
      <c r="L221" s="27" t="str" cm="1">
        <f t="array" ref="L221">IF($C221="","",IF(AND(_xlfn.XLOOKUP($A221&amp;$B221&amp;$C221,盘货信息!$A:$A&amp;盘货信息!$B:$B&amp;盘货信息!$C:$C,盘货信息!$L:$L)="是",_xlfn.XLOOKUP($A221&amp;$B221&amp;$C221,盘货信息!$A:$A&amp;盘货信息!$B:$B&amp;盘货信息!$C:$C,盘货信息!$M:$M)="是",_xlfn.XLOOKUP($A221&amp;$B221&amp;$C221,盘货信息!$A:$A&amp;盘货信息!$B:$B&amp;盘货信息!$C:$C,盘货信息!$K:$K)&gt;0),"【全民可用，不限地址】",IF(AND(OR(_xlfn.XLOOKUP($A221&amp;$B221&amp;$C221,盘货信息!$A:$A&amp;盘货信息!$B:$B&amp;盘货信息!$C:$C,盘货信息!$L:$L)="否",_xlfn.XLOOKUP($A221&amp;$B221&amp;$C221,盘货信息!$A:$A&amp;盘货信息!$B:$B&amp;盘货信息!$C:$C,盘货信息!$L:$L)=""),_xlfn.XLOOKUP($A221&amp;$B221&amp;$C221,盘货信息!$A:$A&amp;盘货信息!$B:$B&amp;盘货信息!$C:$C,盘货信息!$M:$M)="是",_xlfn.XLOOKUP($A221&amp;$B221&amp;$C221,盘货信息!$A:$A&amp;盘货信息!$B:$B&amp;盘货信息!$C:$C,盘货信息!$K:$K)&gt;0),"【详情页领取】","")))</f>
        <v/>
      </c>
      <c r="M221" s="27" t="str" cm="1">
        <f t="array" ref="M221">IF($C221="","",IF(_xlfn.XLOOKUP($A221&amp;$B221&amp;$C221,盘货信息!$A:$A&amp;盘货信息!$B:$B&amp;盘货信息!$C:$C,盘货信息!$F:$F)&lt;1,"",_xlfn.XLOOKUP($A221&amp;$B221&amp;$C221,盘货信息!$A:$A&amp;盘货信息!$B:$B&amp;盘货信息!$C:$C,盘货信息!$F:$F)&amp;"元明卷"))</f>
        <v/>
      </c>
      <c r="N221" s="27" t="str">
        <f t="shared" si="7"/>
        <v/>
      </c>
      <c r="O221" s="27" t="str">
        <f>IF(I221="","","【消费券链接】"&amp;固定信息!$B$6)</f>
        <v/>
      </c>
    </row>
    <row r="222" customHeight="1" spans="1:15">
      <c r="A222" s="23" t="str">
        <f>IF(盘货信息!A222="","",盘货信息!A222)</f>
        <v/>
      </c>
      <c r="B222" s="26" t="str">
        <f>IF(盘货信息!B222="","",盘货信息!B222)</f>
        <v/>
      </c>
      <c r="C222" s="23" t="str">
        <f>IF(盘货信息!C222="","",盘货信息!C222)</f>
        <v/>
      </c>
      <c r="D222" s="27" t="str">
        <f t="shared" si="6"/>
        <v/>
      </c>
      <c r="E222" s="27" t="str" cm="1">
        <f t="array" ref="E222">IF($C222="","",IF(AND(OR(_xlfn.XLOOKUP($A222&amp;$B222&amp;$C222,盘货信息!$A:$A&amp;盘货信息!$B:$B&amp;盘货信息!$C:$C,盘货信息!$L:$L)="否",_xlfn.XLOOKUP($A222&amp;$B222&amp;$C222,盘货信息!$A:$A&amp;盘货信息!$B:$B&amp;盘货信息!$C:$C,盘货信息!$L:$L)=""),_xlfn.XLOOKUP($A222&amp;$B222&amp;$C222,盘货信息!$A:$A&amp;盘货信息!$B:$B&amp;盘货信息!$C:$C,盘货信息!$M:$M)="否"),"【预估到手价"&amp;_xlfn.XLOOKUP($A222&amp;$B222&amp;$C222,盘货信息!$A:$A&amp;盘货信息!$B:$B&amp;盘货信息!$C:$C,盘货信息!$D:$D)&amp;"元】",IF(AND(_xlfn.XLOOKUP($A222&amp;$B222&amp;$C222,盘货信息!$A:$A&amp;盘货信息!$B:$B&amp;盘货信息!$C:$C,盘货信息!$M:$M)="是",OR(_xlfn.XLOOKUP($A222&amp;$B222&amp;$C222,盘货信息!$A:$A&amp;盘货信息!$B:$B&amp;盘货信息!$C:$C,盘货信息!$L:$L)="否",_xlfn.XLOOKUP($A222&amp;$B222&amp;$C222,盘货信息!$A:$A&amp;盘货信息!$B:$B&amp;盘货信息!$C:$C,盘货信息!$L:$L)="")),"【预估到手价"&amp;_xlfn.XLOOKUP($A222&amp;$B222&amp;$C222,盘货信息!$A:$A&amp;盘货信息!$B:$B&amp;盘货信息!$C:$C,盘货信息!$D:$D)&amp;"元】"&amp;CHAR(10)&amp;"【焕新补贴预估价"&amp;ROUND(_xlfn.XLOOKUP($A222&amp;$B222&amp;$C222,盘货信息!$A:$A&amp;盘货信息!$B:$B&amp;盘货信息!$C:$C,盘货信息!$E:$E),0)&amp;"元】","【焕新补贴预估价"&amp;ROUND(_xlfn.XLOOKUP($A222&amp;$B222&amp;$C222,盘货信息!$A:$A&amp;盘货信息!$B:$B&amp;盘货信息!$C:$C,盘货信息!$E:$E),0)&amp;"元】")))</f>
        <v/>
      </c>
      <c r="F222" s="27" t="str" cm="1">
        <f t="array" ref="F222">IF($C222="","",_xlfn.XLOOKUP($A222&amp;$B222&amp;$C222,盘货信息!$A:$A&amp;盘货信息!$B:$B&amp;盘货信息!$C:$C,盘货信息!$D:$D)&amp;"元到手价")</f>
        <v/>
      </c>
      <c r="G222" s="27" t="str" cm="1">
        <f t="array" ref="G222">IF($C222="","",IF(_xlfn.XLOOKUP($A222&amp;$B222&amp;$C222,盘货信息!$A:$A&amp;盘货信息!$B:$B&amp;盘货信息!$C:$C,盘货信息!$G:$G)&lt;1,"",ROUND(_xlfn.XLOOKUP($A222&amp;$B222&amp;$C222,盘货信息!$A:$A&amp;盘货信息!$B:$B&amp;盘货信息!$C:$C,盘货信息!$G:$G),0)&amp;"元88VIP立减"))</f>
        <v/>
      </c>
      <c r="H222" s="27" t="str" cm="1">
        <f t="array" ref="H222">IF($C222="","",IF(_xlfn.XLOOKUP($A222&amp;$B222&amp;$C222,盘货信息!$A:$A&amp;盘货信息!$B:$B&amp;盘货信息!$C:$C,盘货信息!$I:$I)&lt;1,"",_xlfn.XLOOKUP($A222&amp;$B222&amp;$C222,盘货信息!$A:$A&amp;盘货信息!$B:$B&amp;盘货信息!$C:$C,盘货信息!$I:$I)&amp;"元惊喜立减"))</f>
        <v/>
      </c>
      <c r="I222" s="27" t="str" cm="1">
        <f t="array" ref="I222">IF($C222="","",IF(_xlfn.XLOOKUP($A222&amp;$B222&amp;$C222,盘货信息!$A:$A&amp;盘货信息!$B:$B&amp;盘货信息!$C:$C,盘货信息!$H:$H)&lt;1,"",ROUND(_xlfn.XLOOKUP($A222&amp;$B222&amp;$C222,盘货信息!$A:$A&amp;盘货信息!$B:$B&amp;盘货信息!$C:$C,盘货信息!$H:$H),0)&amp;"元消费券"))</f>
        <v/>
      </c>
      <c r="J222" s="27" t="str" cm="1">
        <f t="array" ref="J222">IF($C222="","",IF(_xlfn.XLOOKUP($A222&amp;$B222&amp;$C222,盘货信息!$A:$A&amp;盘货信息!$B:$B&amp;盘货信息!$C:$C,盘货信息!$J:$J)&lt;1,"",ROUND(_xlfn.XLOOKUP($A222&amp;$B222&amp;$C222,盘货信息!$A:$A&amp;盘货信息!$B:$B&amp;盘货信息!$C:$C,盘货信息!$J:$J),0)&amp;"元限时补贴"))</f>
        <v/>
      </c>
      <c r="K222" s="27" t="str" cm="1">
        <f t="array" ref="K222">IF($C222="","",IF(_xlfn.XLOOKUP($A222&amp;$B222&amp;$C222,盘货信息!$A:$A&amp;盘货信息!$B:$B&amp;盘货信息!$C:$C,盘货信息!$K:$K)&lt;1,"",ROUND(_xlfn.XLOOKUP($A222&amp;$B222&amp;$C222,盘货信息!$A:$A&amp;盘货信息!$B:$B&amp;盘货信息!$C:$C,盘货信息!$K:$K),0)&amp;"元预估焕新补贴"))</f>
        <v/>
      </c>
      <c r="L222" s="27" t="str" cm="1">
        <f t="array" ref="L222">IF($C222="","",IF(AND(_xlfn.XLOOKUP($A222&amp;$B222&amp;$C222,盘货信息!$A:$A&amp;盘货信息!$B:$B&amp;盘货信息!$C:$C,盘货信息!$L:$L)="是",_xlfn.XLOOKUP($A222&amp;$B222&amp;$C222,盘货信息!$A:$A&amp;盘货信息!$B:$B&amp;盘货信息!$C:$C,盘货信息!$M:$M)="是",_xlfn.XLOOKUP($A222&amp;$B222&amp;$C222,盘货信息!$A:$A&amp;盘货信息!$B:$B&amp;盘货信息!$C:$C,盘货信息!$K:$K)&gt;0),"【全民可用，不限地址】",IF(AND(OR(_xlfn.XLOOKUP($A222&amp;$B222&amp;$C222,盘货信息!$A:$A&amp;盘货信息!$B:$B&amp;盘货信息!$C:$C,盘货信息!$L:$L)="否",_xlfn.XLOOKUP($A222&amp;$B222&amp;$C222,盘货信息!$A:$A&amp;盘货信息!$B:$B&amp;盘货信息!$C:$C,盘货信息!$L:$L)=""),_xlfn.XLOOKUP($A222&amp;$B222&amp;$C222,盘货信息!$A:$A&amp;盘货信息!$B:$B&amp;盘货信息!$C:$C,盘货信息!$M:$M)="是",_xlfn.XLOOKUP($A222&amp;$B222&amp;$C222,盘货信息!$A:$A&amp;盘货信息!$B:$B&amp;盘货信息!$C:$C,盘货信息!$K:$K)&gt;0),"【详情页领取】","")))</f>
        <v/>
      </c>
      <c r="M222" s="27" t="str" cm="1">
        <f t="array" ref="M222">IF($C222="","",IF(_xlfn.XLOOKUP($A222&amp;$B222&amp;$C222,盘货信息!$A:$A&amp;盘货信息!$B:$B&amp;盘货信息!$C:$C,盘货信息!$F:$F)&lt;1,"",_xlfn.XLOOKUP($A222&amp;$B222&amp;$C222,盘货信息!$A:$A&amp;盘货信息!$B:$B&amp;盘货信息!$C:$C,盘货信息!$F:$F)&amp;"元明卷"))</f>
        <v/>
      </c>
      <c r="N222" s="27" t="str">
        <f t="shared" si="7"/>
        <v/>
      </c>
      <c r="O222" s="27" t="str">
        <f>IF(I222="","","【消费券链接】"&amp;固定信息!$B$6)</f>
        <v/>
      </c>
    </row>
    <row r="223" customHeight="1" spans="1:15">
      <c r="A223" s="23" t="str">
        <f>IF(盘货信息!A223="","",盘货信息!A223)</f>
        <v/>
      </c>
      <c r="B223" s="26" t="str">
        <f>IF(盘货信息!B223="","",盘货信息!B223)</f>
        <v/>
      </c>
      <c r="C223" s="23" t="str">
        <f>IF(盘货信息!C223="","",盘货信息!C223)</f>
        <v/>
      </c>
      <c r="D223" s="27" t="str">
        <f t="shared" si="6"/>
        <v/>
      </c>
      <c r="E223" s="27" t="str" cm="1">
        <f t="array" ref="E223">IF($C223="","",IF(AND(OR(_xlfn.XLOOKUP($A223&amp;$B223&amp;$C223,盘货信息!$A:$A&amp;盘货信息!$B:$B&amp;盘货信息!$C:$C,盘货信息!$L:$L)="否",_xlfn.XLOOKUP($A223&amp;$B223&amp;$C223,盘货信息!$A:$A&amp;盘货信息!$B:$B&amp;盘货信息!$C:$C,盘货信息!$L:$L)=""),_xlfn.XLOOKUP($A223&amp;$B223&amp;$C223,盘货信息!$A:$A&amp;盘货信息!$B:$B&amp;盘货信息!$C:$C,盘货信息!$M:$M)="否"),"【预估到手价"&amp;_xlfn.XLOOKUP($A223&amp;$B223&amp;$C223,盘货信息!$A:$A&amp;盘货信息!$B:$B&amp;盘货信息!$C:$C,盘货信息!$D:$D)&amp;"元】",IF(AND(_xlfn.XLOOKUP($A223&amp;$B223&amp;$C223,盘货信息!$A:$A&amp;盘货信息!$B:$B&amp;盘货信息!$C:$C,盘货信息!$M:$M)="是",OR(_xlfn.XLOOKUP($A223&amp;$B223&amp;$C223,盘货信息!$A:$A&amp;盘货信息!$B:$B&amp;盘货信息!$C:$C,盘货信息!$L:$L)="否",_xlfn.XLOOKUP($A223&amp;$B223&amp;$C223,盘货信息!$A:$A&amp;盘货信息!$B:$B&amp;盘货信息!$C:$C,盘货信息!$L:$L)="")),"【预估到手价"&amp;_xlfn.XLOOKUP($A223&amp;$B223&amp;$C223,盘货信息!$A:$A&amp;盘货信息!$B:$B&amp;盘货信息!$C:$C,盘货信息!$D:$D)&amp;"元】"&amp;CHAR(10)&amp;"【焕新补贴预估价"&amp;ROUND(_xlfn.XLOOKUP($A223&amp;$B223&amp;$C223,盘货信息!$A:$A&amp;盘货信息!$B:$B&amp;盘货信息!$C:$C,盘货信息!$E:$E),0)&amp;"元】","【焕新补贴预估价"&amp;ROUND(_xlfn.XLOOKUP($A223&amp;$B223&amp;$C223,盘货信息!$A:$A&amp;盘货信息!$B:$B&amp;盘货信息!$C:$C,盘货信息!$E:$E),0)&amp;"元】")))</f>
        <v/>
      </c>
      <c r="F223" s="27" t="str" cm="1">
        <f t="array" ref="F223">IF($C223="","",_xlfn.XLOOKUP($A223&amp;$B223&amp;$C223,盘货信息!$A:$A&amp;盘货信息!$B:$B&amp;盘货信息!$C:$C,盘货信息!$D:$D)&amp;"元到手价")</f>
        <v/>
      </c>
      <c r="G223" s="27" t="str" cm="1">
        <f t="array" ref="G223">IF($C223="","",IF(_xlfn.XLOOKUP($A223&amp;$B223&amp;$C223,盘货信息!$A:$A&amp;盘货信息!$B:$B&amp;盘货信息!$C:$C,盘货信息!$G:$G)&lt;1,"",ROUND(_xlfn.XLOOKUP($A223&amp;$B223&amp;$C223,盘货信息!$A:$A&amp;盘货信息!$B:$B&amp;盘货信息!$C:$C,盘货信息!$G:$G),0)&amp;"元88VIP立减"))</f>
        <v/>
      </c>
      <c r="H223" s="27" t="str" cm="1">
        <f t="array" ref="H223">IF($C223="","",IF(_xlfn.XLOOKUP($A223&amp;$B223&amp;$C223,盘货信息!$A:$A&amp;盘货信息!$B:$B&amp;盘货信息!$C:$C,盘货信息!$I:$I)&lt;1,"",_xlfn.XLOOKUP($A223&amp;$B223&amp;$C223,盘货信息!$A:$A&amp;盘货信息!$B:$B&amp;盘货信息!$C:$C,盘货信息!$I:$I)&amp;"元惊喜立减"))</f>
        <v/>
      </c>
      <c r="I223" s="27" t="str" cm="1">
        <f t="array" ref="I223">IF($C223="","",IF(_xlfn.XLOOKUP($A223&amp;$B223&amp;$C223,盘货信息!$A:$A&amp;盘货信息!$B:$B&amp;盘货信息!$C:$C,盘货信息!$H:$H)&lt;1,"",ROUND(_xlfn.XLOOKUP($A223&amp;$B223&amp;$C223,盘货信息!$A:$A&amp;盘货信息!$B:$B&amp;盘货信息!$C:$C,盘货信息!$H:$H),0)&amp;"元消费券"))</f>
        <v/>
      </c>
      <c r="J223" s="27" t="str" cm="1">
        <f t="array" ref="J223">IF($C223="","",IF(_xlfn.XLOOKUP($A223&amp;$B223&amp;$C223,盘货信息!$A:$A&amp;盘货信息!$B:$B&amp;盘货信息!$C:$C,盘货信息!$J:$J)&lt;1,"",ROUND(_xlfn.XLOOKUP($A223&amp;$B223&amp;$C223,盘货信息!$A:$A&amp;盘货信息!$B:$B&amp;盘货信息!$C:$C,盘货信息!$J:$J),0)&amp;"元限时补贴"))</f>
        <v/>
      </c>
      <c r="K223" s="27" t="str" cm="1">
        <f t="array" ref="K223">IF($C223="","",IF(_xlfn.XLOOKUP($A223&amp;$B223&amp;$C223,盘货信息!$A:$A&amp;盘货信息!$B:$B&amp;盘货信息!$C:$C,盘货信息!$K:$K)&lt;1,"",ROUND(_xlfn.XLOOKUP($A223&amp;$B223&amp;$C223,盘货信息!$A:$A&amp;盘货信息!$B:$B&amp;盘货信息!$C:$C,盘货信息!$K:$K),0)&amp;"元预估焕新补贴"))</f>
        <v/>
      </c>
      <c r="L223" s="27" t="str" cm="1">
        <f t="array" ref="L223">IF($C223="","",IF(AND(_xlfn.XLOOKUP($A223&amp;$B223&amp;$C223,盘货信息!$A:$A&amp;盘货信息!$B:$B&amp;盘货信息!$C:$C,盘货信息!$L:$L)="是",_xlfn.XLOOKUP($A223&amp;$B223&amp;$C223,盘货信息!$A:$A&amp;盘货信息!$B:$B&amp;盘货信息!$C:$C,盘货信息!$M:$M)="是",_xlfn.XLOOKUP($A223&amp;$B223&amp;$C223,盘货信息!$A:$A&amp;盘货信息!$B:$B&amp;盘货信息!$C:$C,盘货信息!$K:$K)&gt;0),"【全民可用，不限地址】",IF(AND(OR(_xlfn.XLOOKUP($A223&amp;$B223&amp;$C223,盘货信息!$A:$A&amp;盘货信息!$B:$B&amp;盘货信息!$C:$C,盘货信息!$L:$L)="否",_xlfn.XLOOKUP($A223&amp;$B223&amp;$C223,盘货信息!$A:$A&amp;盘货信息!$B:$B&amp;盘货信息!$C:$C,盘货信息!$L:$L)=""),_xlfn.XLOOKUP($A223&amp;$B223&amp;$C223,盘货信息!$A:$A&amp;盘货信息!$B:$B&amp;盘货信息!$C:$C,盘货信息!$M:$M)="是",_xlfn.XLOOKUP($A223&amp;$B223&amp;$C223,盘货信息!$A:$A&amp;盘货信息!$B:$B&amp;盘货信息!$C:$C,盘货信息!$K:$K)&gt;0),"【详情页领取】","")))</f>
        <v/>
      </c>
      <c r="M223" s="27" t="str" cm="1">
        <f t="array" ref="M223">IF($C223="","",IF(_xlfn.XLOOKUP($A223&amp;$B223&amp;$C223,盘货信息!$A:$A&amp;盘货信息!$B:$B&amp;盘货信息!$C:$C,盘货信息!$F:$F)&lt;1,"",_xlfn.XLOOKUP($A223&amp;$B223&amp;$C223,盘货信息!$A:$A&amp;盘货信息!$B:$B&amp;盘货信息!$C:$C,盘货信息!$F:$F)&amp;"元明卷"))</f>
        <v/>
      </c>
      <c r="N223" s="27" t="str">
        <f t="shared" si="7"/>
        <v/>
      </c>
      <c r="O223" s="27" t="str">
        <f>IF(I223="","","【消费券链接】"&amp;固定信息!$B$6)</f>
        <v/>
      </c>
    </row>
    <row r="224" customHeight="1" spans="1:15">
      <c r="A224" s="23" t="str">
        <f>IF(盘货信息!A224="","",盘货信息!A224)</f>
        <v/>
      </c>
      <c r="B224" s="26" t="str">
        <f>IF(盘货信息!B224="","",盘货信息!B224)</f>
        <v/>
      </c>
      <c r="C224" s="23" t="str">
        <f>IF(盘货信息!C224="","",盘货信息!C224)</f>
        <v/>
      </c>
      <c r="D224" s="27" t="str">
        <f t="shared" si="6"/>
        <v/>
      </c>
      <c r="E224" s="27" t="str" cm="1">
        <f t="array" ref="E224">IF($C224="","",IF(AND(OR(_xlfn.XLOOKUP($A224&amp;$B224&amp;$C224,盘货信息!$A:$A&amp;盘货信息!$B:$B&amp;盘货信息!$C:$C,盘货信息!$L:$L)="否",_xlfn.XLOOKUP($A224&amp;$B224&amp;$C224,盘货信息!$A:$A&amp;盘货信息!$B:$B&amp;盘货信息!$C:$C,盘货信息!$L:$L)=""),_xlfn.XLOOKUP($A224&amp;$B224&amp;$C224,盘货信息!$A:$A&amp;盘货信息!$B:$B&amp;盘货信息!$C:$C,盘货信息!$M:$M)="否"),"【预估到手价"&amp;_xlfn.XLOOKUP($A224&amp;$B224&amp;$C224,盘货信息!$A:$A&amp;盘货信息!$B:$B&amp;盘货信息!$C:$C,盘货信息!$D:$D)&amp;"元】",IF(AND(_xlfn.XLOOKUP($A224&amp;$B224&amp;$C224,盘货信息!$A:$A&amp;盘货信息!$B:$B&amp;盘货信息!$C:$C,盘货信息!$M:$M)="是",OR(_xlfn.XLOOKUP($A224&amp;$B224&amp;$C224,盘货信息!$A:$A&amp;盘货信息!$B:$B&amp;盘货信息!$C:$C,盘货信息!$L:$L)="否",_xlfn.XLOOKUP($A224&amp;$B224&amp;$C224,盘货信息!$A:$A&amp;盘货信息!$B:$B&amp;盘货信息!$C:$C,盘货信息!$L:$L)="")),"【预估到手价"&amp;_xlfn.XLOOKUP($A224&amp;$B224&amp;$C224,盘货信息!$A:$A&amp;盘货信息!$B:$B&amp;盘货信息!$C:$C,盘货信息!$D:$D)&amp;"元】"&amp;CHAR(10)&amp;"【焕新补贴预估价"&amp;ROUND(_xlfn.XLOOKUP($A224&amp;$B224&amp;$C224,盘货信息!$A:$A&amp;盘货信息!$B:$B&amp;盘货信息!$C:$C,盘货信息!$E:$E),0)&amp;"元】","【焕新补贴预估价"&amp;ROUND(_xlfn.XLOOKUP($A224&amp;$B224&amp;$C224,盘货信息!$A:$A&amp;盘货信息!$B:$B&amp;盘货信息!$C:$C,盘货信息!$E:$E),0)&amp;"元】")))</f>
        <v/>
      </c>
      <c r="F224" s="27" t="str" cm="1">
        <f t="array" ref="F224">IF($C224="","",_xlfn.XLOOKUP($A224&amp;$B224&amp;$C224,盘货信息!$A:$A&amp;盘货信息!$B:$B&amp;盘货信息!$C:$C,盘货信息!$D:$D)&amp;"元到手价")</f>
        <v/>
      </c>
      <c r="G224" s="27" t="str" cm="1">
        <f t="array" ref="G224">IF($C224="","",IF(_xlfn.XLOOKUP($A224&amp;$B224&amp;$C224,盘货信息!$A:$A&amp;盘货信息!$B:$B&amp;盘货信息!$C:$C,盘货信息!$G:$G)&lt;1,"",ROUND(_xlfn.XLOOKUP($A224&amp;$B224&amp;$C224,盘货信息!$A:$A&amp;盘货信息!$B:$B&amp;盘货信息!$C:$C,盘货信息!$G:$G),0)&amp;"元88VIP立减"))</f>
        <v/>
      </c>
      <c r="H224" s="27" t="str" cm="1">
        <f t="array" ref="H224">IF($C224="","",IF(_xlfn.XLOOKUP($A224&amp;$B224&amp;$C224,盘货信息!$A:$A&amp;盘货信息!$B:$B&amp;盘货信息!$C:$C,盘货信息!$I:$I)&lt;1,"",_xlfn.XLOOKUP($A224&amp;$B224&amp;$C224,盘货信息!$A:$A&amp;盘货信息!$B:$B&amp;盘货信息!$C:$C,盘货信息!$I:$I)&amp;"元惊喜立减"))</f>
        <v/>
      </c>
      <c r="I224" s="27" t="str" cm="1">
        <f t="array" ref="I224">IF($C224="","",IF(_xlfn.XLOOKUP($A224&amp;$B224&amp;$C224,盘货信息!$A:$A&amp;盘货信息!$B:$B&amp;盘货信息!$C:$C,盘货信息!$H:$H)&lt;1,"",ROUND(_xlfn.XLOOKUP($A224&amp;$B224&amp;$C224,盘货信息!$A:$A&amp;盘货信息!$B:$B&amp;盘货信息!$C:$C,盘货信息!$H:$H),0)&amp;"元消费券"))</f>
        <v/>
      </c>
      <c r="J224" s="27" t="str" cm="1">
        <f t="array" ref="J224">IF($C224="","",IF(_xlfn.XLOOKUP($A224&amp;$B224&amp;$C224,盘货信息!$A:$A&amp;盘货信息!$B:$B&amp;盘货信息!$C:$C,盘货信息!$J:$J)&lt;1,"",ROUND(_xlfn.XLOOKUP($A224&amp;$B224&amp;$C224,盘货信息!$A:$A&amp;盘货信息!$B:$B&amp;盘货信息!$C:$C,盘货信息!$J:$J),0)&amp;"元限时补贴"))</f>
        <v/>
      </c>
      <c r="K224" s="27" t="str" cm="1">
        <f t="array" ref="K224">IF($C224="","",IF(_xlfn.XLOOKUP($A224&amp;$B224&amp;$C224,盘货信息!$A:$A&amp;盘货信息!$B:$B&amp;盘货信息!$C:$C,盘货信息!$K:$K)&lt;1,"",ROUND(_xlfn.XLOOKUP($A224&amp;$B224&amp;$C224,盘货信息!$A:$A&amp;盘货信息!$B:$B&amp;盘货信息!$C:$C,盘货信息!$K:$K),0)&amp;"元预估焕新补贴"))</f>
        <v/>
      </c>
      <c r="L224" s="27" t="str" cm="1">
        <f t="array" ref="L224">IF($C224="","",IF(AND(_xlfn.XLOOKUP($A224&amp;$B224&amp;$C224,盘货信息!$A:$A&amp;盘货信息!$B:$B&amp;盘货信息!$C:$C,盘货信息!$L:$L)="是",_xlfn.XLOOKUP($A224&amp;$B224&amp;$C224,盘货信息!$A:$A&amp;盘货信息!$B:$B&amp;盘货信息!$C:$C,盘货信息!$M:$M)="是",_xlfn.XLOOKUP($A224&amp;$B224&amp;$C224,盘货信息!$A:$A&amp;盘货信息!$B:$B&amp;盘货信息!$C:$C,盘货信息!$K:$K)&gt;0),"【全民可用，不限地址】",IF(AND(OR(_xlfn.XLOOKUP($A224&amp;$B224&amp;$C224,盘货信息!$A:$A&amp;盘货信息!$B:$B&amp;盘货信息!$C:$C,盘货信息!$L:$L)="否",_xlfn.XLOOKUP($A224&amp;$B224&amp;$C224,盘货信息!$A:$A&amp;盘货信息!$B:$B&amp;盘货信息!$C:$C,盘货信息!$L:$L)=""),_xlfn.XLOOKUP($A224&amp;$B224&amp;$C224,盘货信息!$A:$A&amp;盘货信息!$B:$B&amp;盘货信息!$C:$C,盘货信息!$M:$M)="是",_xlfn.XLOOKUP($A224&amp;$B224&amp;$C224,盘货信息!$A:$A&amp;盘货信息!$B:$B&amp;盘货信息!$C:$C,盘货信息!$K:$K)&gt;0),"【详情页领取】","")))</f>
        <v/>
      </c>
      <c r="M224" s="27" t="str" cm="1">
        <f t="array" ref="M224">IF($C224="","",IF(_xlfn.XLOOKUP($A224&amp;$B224&amp;$C224,盘货信息!$A:$A&amp;盘货信息!$B:$B&amp;盘货信息!$C:$C,盘货信息!$F:$F)&lt;1,"",_xlfn.XLOOKUP($A224&amp;$B224&amp;$C224,盘货信息!$A:$A&amp;盘货信息!$B:$B&amp;盘货信息!$C:$C,盘货信息!$F:$F)&amp;"元明卷"))</f>
        <v/>
      </c>
      <c r="N224" s="27" t="str">
        <f t="shared" si="7"/>
        <v/>
      </c>
      <c r="O224" s="27" t="str">
        <f>IF(I224="","","【消费券链接】"&amp;固定信息!$B$6)</f>
        <v/>
      </c>
    </row>
    <row r="225" customHeight="1" spans="1:15">
      <c r="A225" s="23" t="str">
        <f>IF(盘货信息!A225="","",盘货信息!A225)</f>
        <v/>
      </c>
      <c r="B225" s="26" t="str">
        <f>IF(盘货信息!B225="","",盘货信息!B225)</f>
        <v/>
      </c>
      <c r="C225" s="23" t="str">
        <f>IF(盘货信息!C225="","",盘货信息!C225)</f>
        <v/>
      </c>
      <c r="D225" s="27" t="str">
        <f t="shared" si="6"/>
        <v/>
      </c>
      <c r="E225" s="27" t="str" cm="1">
        <f t="array" ref="E225">IF($C225="","",IF(AND(OR(_xlfn.XLOOKUP($A225&amp;$B225&amp;$C225,盘货信息!$A:$A&amp;盘货信息!$B:$B&amp;盘货信息!$C:$C,盘货信息!$L:$L)="否",_xlfn.XLOOKUP($A225&amp;$B225&amp;$C225,盘货信息!$A:$A&amp;盘货信息!$B:$B&amp;盘货信息!$C:$C,盘货信息!$L:$L)=""),_xlfn.XLOOKUP($A225&amp;$B225&amp;$C225,盘货信息!$A:$A&amp;盘货信息!$B:$B&amp;盘货信息!$C:$C,盘货信息!$M:$M)="否"),"【预估到手价"&amp;_xlfn.XLOOKUP($A225&amp;$B225&amp;$C225,盘货信息!$A:$A&amp;盘货信息!$B:$B&amp;盘货信息!$C:$C,盘货信息!$D:$D)&amp;"元】",IF(AND(_xlfn.XLOOKUP($A225&amp;$B225&amp;$C225,盘货信息!$A:$A&amp;盘货信息!$B:$B&amp;盘货信息!$C:$C,盘货信息!$M:$M)="是",OR(_xlfn.XLOOKUP($A225&amp;$B225&amp;$C225,盘货信息!$A:$A&amp;盘货信息!$B:$B&amp;盘货信息!$C:$C,盘货信息!$L:$L)="否",_xlfn.XLOOKUP($A225&amp;$B225&amp;$C225,盘货信息!$A:$A&amp;盘货信息!$B:$B&amp;盘货信息!$C:$C,盘货信息!$L:$L)="")),"【预估到手价"&amp;_xlfn.XLOOKUP($A225&amp;$B225&amp;$C225,盘货信息!$A:$A&amp;盘货信息!$B:$B&amp;盘货信息!$C:$C,盘货信息!$D:$D)&amp;"元】"&amp;CHAR(10)&amp;"【焕新补贴预估价"&amp;ROUND(_xlfn.XLOOKUP($A225&amp;$B225&amp;$C225,盘货信息!$A:$A&amp;盘货信息!$B:$B&amp;盘货信息!$C:$C,盘货信息!$E:$E),0)&amp;"元】","【焕新补贴预估价"&amp;ROUND(_xlfn.XLOOKUP($A225&amp;$B225&amp;$C225,盘货信息!$A:$A&amp;盘货信息!$B:$B&amp;盘货信息!$C:$C,盘货信息!$E:$E),0)&amp;"元】")))</f>
        <v/>
      </c>
      <c r="F225" s="27" t="str" cm="1">
        <f t="array" ref="F225">IF($C225="","",_xlfn.XLOOKUP($A225&amp;$B225&amp;$C225,盘货信息!$A:$A&amp;盘货信息!$B:$B&amp;盘货信息!$C:$C,盘货信息!$D:$D)&amp;"元到手价")</f>
        <v/>
      </c>
      <c r="G225" s="27" t="str" cm="1">
        <f t="array" ref="G225">IF($C225="","",IF(_xlfn.XLOOKUP($A225&amp;$B225&amp;$C225,盘货信息!$A:$A&amp;盘货信息!$B:$B&amp;盘货信息!$C:$C,盘货信息!$G:$G)&lt;1,"",ROUND(_xlfn.XLOOKUP($A225&amp;$B225&amp;$C225,盘货信息!$A:$A&amp;盘货信息!$B:$B&amp;盘货信息!$C:$C,盘货信息!$G:$G),0)&amp;"元88VIP立减"))</f>
        <v/>
      </c>
      <c r="H225" s="27" t="str" cm="1">
        <f t="array" ref="H225">IF($C225="","",IF(_xlfn.XLOOKUP($A225&amp;$B225&amp;$C225,盘货信息!$A:$A&amp;盘货信息!$B:$B&amp;盘货信息!$C:$C,盘货信息!$I:$I)&lt;1,"",_xlfn.XLOOKUP($A225&amp;$B225&amp;$C225,盘货信息!$A:$A&amp;盘货信息!$B:$B&amp;盘货信息!$C:$C,盘货信息!$I:$I)&amp;"元惊喜立减"))</f>
        <v/>
      </c>
      <c r="I225" s="27" t="str" cm="1">
        <f t="array" ref="I225">IF($C225="","",IF(_xlfn.XLOOKUP($A225&amp;$B225&amp;$C225,盘货信息!$A:$A&amp;盘货信息!$B:$B&amp;盘货信息!$C:$C,盘货信息!$H:$H)&lt;1,"",ROUND(_xlfn.XLOOKUP($A225&amp;$B225&amp;$C225,盘货信息!$A:$A&amp;盘货信息!$B:$B&amp;盘货信息!$C:$C,盘货信息!$H:$H),0)&amp;"元消费券"))</f>
        <v/>
      </c>
      <c r="J225" s="27" t="str" cm="1">
        <f t="array" ref="J225">IF($C225="","",IF(_xlfn.XLOOKUP($A225&amp;$B225&amp;$C225,盘货信息!$A:$A&amp;盘货信息!$B:$B&amp;盘货信息!$C:$C,盘货信息!$J:$J)&lt;1,"",ROUND(_xlfn.XLOOKUP($A225&amp;$B225&amp;$C225,盘货信息!$A:$A&amp;盘货信息!$B:$B&amp;盘货信息!$C:$C,盘货信息!$J:$J),0)&amp;"元限时补贴"))</f>
        <v/>
      </c>
      <c r="K225" s="27" t="str" cm="1">
        <f t="array" ref="K225">IF($C225="","",IF(_xlfn.XLOOKUP($A225&amp;$B225&amp;$C225,盘货信息!$A:$A&amp;盘货信息!$B:$B&amp;盘货信息!$C:$C,盘货信息!$K:$K)&lt;1,"",ROUND(_xlfn.XLOOKUP($A225&amp;$B225&amp;$C225,盘货信息!$A:$A&amp;盘货信息!$B:$B&amp;盘货信息!$C:$C,盘货信息!$K:$K),0)&amp;"元预估焕新补贴"))</f>
        <v/>
      </c>
      <c r="L225" s="27" t="str" cm="1">
        <f t="array" ref="L225">IF($C225="","",IF(AND(_xlfn.XLOOKUP($A225&amp;$B225&amp;$C225,盘货信息!$A:$A&amp;盘货信息!$B:$B&amp;盘货信息!$C:$C,盘货信息!$L:$L)="是",_xlfn.XLOOKUP($A225&amp;$B225&amp;$C225,盘货信息!$A:$A&amp;盘货信息!$B:$B&amp;盘货信息!$C:$C,盘货信息!$M:$M)="是",_xlfn.XLOOKUP($A225&amp;$B225&amp;$C225,盘货信息!$A:$A&amp;盘货信息!$B:$B&amp;盘货信息!$C:$C,盘货信息!$K:$K)&gt;0),"【全民可用，不限地址】",IF(AND(OR(_xlfn.XLOOKUP($A225&amp;$B225&amp;$C225,盘货信息!$A:$A&amp;盘货信息!$B:$B&amp;盘货信息!$C:$C,盘货信息!$L:$L)="否",_xlfn.XLOOKUP($A225&amp;$B225&amp;$C225,盘货信息!$A:$A&amp;盘货信息!$B:$B&amp;盘货信息!$C:$C,盘货信息!$L:$L)=""),_xlfn.XLOOKUP($A225&amp;$B225&amp;$C225,盘货信息!$A:$A&amp;盘货信息!$B:$B&amp;盘货信息!$C:$C,盘货信息!$M:$M)="是",_xlfn.XLOOKUP($A225&amp;$B225&amp;$C225,盘货信息!$A:$A&amp;盘货信息!$B:$B&amp;盘货信息!$C:$C,盘货信息!$K:$K)&gt;0),"【详情页领取】","")))</f>
        <v/>
      </c>
      <c r="M225" s="27" t="str" cm="1">
        <f t="array" ref="M225">IF($C225="","",IF(_xlfn.XLOOKUP($A225&amp;$B225&amp;$C225,盘货信息!$A:$A&amp;盘货信息!$B:$B&amp;盘货信息!$C:$C,盘货信息!$F:$F)&lt;1,"",_xlfn.XLOOKUP($A225&amp;$B225&amp;$C225,盘货信息!$A:$A&amp;盘货信息!$B:$B&amp;盘货信息!$C:$C,盘货信息!$F:$F)&amp;"元明卷"))</f>
        <v/>
      </c>
      <c r="N225" s="27" t="str">
        <f t="shared" si="7"/>
        <v/>
      </c>
      <c r="O225" s="27" t="str">
        <f>IF(I225="","","【消费券链接】"&amp;固定信息!$B$6)</f>
        <v/>
      </c>
    </row>
    <row r="226" customHeight="1" spans="1:15">
      <c r="A226" s="23" t="str">
        <f>IF(盘货信息!A226="","",盘货信息!A226)</f>
        <v/>
      </c>
      <c r="B226" s="26" t="str">
        <f>IF(盘货信息!B226="","",盘货信息!B226)</f>
        <v/>
      </c>
      <c r="C226" s="23" t="str">
        <f>IF(盘货信息!C226="","",盘货信息!C226)</f>
        <v/>
      </c>
      <c r="D226" s="27" t="str">
        <f t="shared" si="6"/>
        <v/>
      </c>
      <c r="E226" s="27" t="str" cm="1">
        <f t="array" ref="E226">IF($C226="","",IF(AND(OR(_xlfn.XLOOKUP($A226&amp;$B226&amp;$C226,盘货信息!$A:$A&amp;盘货信息!$B:$B&amp;盘货信息!$C:$C,盘货信息!$L:$L)="否",_xlfn.XLOOKUP($A226&amp;$B226&amp;$C226,盘货信息!$A:$A&amp;盘货信息!$B:$B&amp;盘货信息!$C:$C,盘货信息!$L:$L)=""),_xlfn.XLOOKUP($A226&amp;$B226&amp;$C226,盘货信息!$A:$A&amp;盘货信息!$B:$B&amp;盘货信息!$C:$C,盘货信息!$M:$M)="否"),"【预估到手价"&amp;_xlfn.XLOOKUP($A226&amp;$B226&amp;$C226,盘货信息!$A:$A&amp;盘货信息!$B:$B&amp;盘货信息!$C:$C,盘货信息!$D:$D)&amp;"元】",IF(AND(_xlfn.XLOOKUP($A226&amp;$B226&amp;$C226,盘货信息!$A:$A&amp;盘货信息!$B:$B&amp;盘货信息!$C:$C,盘货信息!$M:$M)="是",OR(_xlfn.XLOOKUP($A226&amp;$B226&amp;$C226,盘货信息!$A:$A&amp;盘货信息!$B:$B&amp;盘货信息!$C:$C,盘货信息!$L:$L)="否",_xlfn.XLOOKUP($A226&amp;$B226&amp;$C226,盘货信息!$A:$A&amp;盘货信息!$B:$B&amp;盘货信息!$C:$C,盘货信息!$L:$L)="")),"【预估到手价"&amp;_xlfn.XLOOKUP($A226&amp;$B226&amp;$C226,盘货信息!$A:$A&amp;盘货信息!$B:$B&amp;盘货信息!$C:$C,盘货信息!$D:$D)&amp;"元】"&amp;CHAR(10)&amp;"【焕新补贴预估价"&amp;ROUND(_xlfn.XLOOKUP($A226&amp;$B226&amp;$C226,盘货信息!$A:$A&amp;盘货信息!$B:$B&amp;盘货信息!$C:$C,盘货信息!$E:$E),0)&amp;"元】","【焕新补贴预估价"&amp;ROUND(_xlfn.XLOOKUP($A226&amp;$B226&amp;$C226,盘货信息!$A:$A&amp;盘货信息!$B:$B&amp;盘货信息!$C:$C,盘货信息!$E:$E),0)&amp;"元】")))</f>
        <v/>
      </c>
      <c r="F226" s="27" t="str" cm="1">
        <f t="array" ref="F226">IF($C226="","",_xlfn.XLOOKUP($A226&amp;$B226&amp;$C226,盘货信息!$A:$A&amp;盘货信息!$B:$B&amp;盘货信息!$C:$C,盘货信息!$D:$D)&amp;"元到手价")</f>
        <v/>
      </c>
      <c r="G226" s="27" t="str" cm="1">
        <f t="array" ref="G226">IF($C226="","",IF(_xlfn.XLOOKUP($A226&amp;$B226&amp;$C226,盘货信息!$A:$A&amp;盘货信息!$B:$B&amp;盘货信息!$C:$C,盘货信息!$G:$G)&lt;1,"",ROUND(_xlfn.XLOOKUP($A226&amp;$B226&amp;$C226,盘货信息!$A:$A&amp;盘货信息!$B:$B&amp;盘货信息!$C:$C,盘货信息!$G:$G),0)&amp;"元88VIP立减"))</f>
        <v/>
      </c>
      <c r="H226" s="27" t="str" cm="1">
        <f t="array" ref="H226">IF($C226="","",IF(_xlfn.XLOOKUP($A226&amp;$B226&amp;$C226,盘货信息!$A:$A&amp;盘货信息!$B:$B&amp;盘货信息!$C:$C,盘货信息!$I:$I)&lt;1,"",_xlfn.XLOOKUP($A226&amp;$B226&amp;$C226,盘货信息!$A:$A&amp;盘货信息!$B:$B&amp;盘货信息!$C:$C,盘货信息!$I:$I)&amp;"元惊喜立减"))</f>
        <v/>
      </c>
      <c r="I226" s="27" t="str" cm="1">
        <f t="array" ref="I226">IF($C226="","",IF(_xlfn.XLOOKUP($A226&amp;$B226&amp;$C226,盘货信息!$A:$A&amp;盘货信息!$B:$B&amp;盘货信息!$C:$C,盘货信息!$H:$H)&lt;1,"",ROUND(_xlfn.XLOOKUP($A226&amp;$B226&amp;$C226,盘货信息!$A:$A&amp;盘货信息!$B:$B&amp;盘货信息!$C:$C,盘货信息!$H:$H),0)&amp;"元消费券"))</f>
        <v/>
      </c>
      <c r="J226" s="27" t="str" cm="1">
        <f t="array" ref="J226">IF($C226="","",IF(_xlfn.XLOOKUP($A226&amp;$B226&amp;$C226,盘货信息!$A:$A&amp;盘货信息!$B:$B&amp;盘货信息!$C:$C,盘货信息!$J:$J)&lt;1,"",ROUND(_xlfn.XLOOKUP($A226&amp;$B226&amp;$C226,盘货信息!$A:$A&amp;盘货信息!$B:$B&amp;盘货信息!$C:$C,盘货信息!$J:$J),0)&amp;"元限时补贴"))</f>
        <v/>
      </c>
      <c r="K226" s="27" t="str" cm="1">
        <f t="array" ref="K226">IF($C226="","",IF(_xlfn.XLOOKUP($A226&amp;$B226&amp;$C226,盘货信息!$A:$A&amp;盘货信息!$B:$B&amp;盘货信息!$C:$C,盘货信息!$K:$K)&lt;1,"",ROUND(_xlfn.XLOOKUP($A226&amp;$B226&amp;$C226,盘货信息!$A:$A&amp;盘货信息!$B:$B&amp;盘货信息!$C:$C,盘货信息!$K:$K),0)&amp;"元预估焕新补贴"))</f>
        <v/>
      </c>
      <c r="L226" s="27" t="str" cm="1">
        <f t="array" ref="L226">IF($C226="","",IF(AND(_xlfn.XLOOKUP($A226&amp;$B226&amp;$C226,盘货信息!$A:$A&amp;盘货信息!$B:$B&amp;盘货信息!$C:$C,盘货信息!$L:$L)="是",_xlfn.XLOOKUP($A226&amp;$B226&amp;$C226,盘货信息!$A:$A&amp;盘货信息!$B:$B&amp;盘货信息!$C:$C,盘货信息!$M:$M)="是",_xlfn.XLOOKUP($A226&amp;$B226&amp;$C226,盘货信息!$A:$A&amp;盘货信息!$B:$B&amp;盘货信息!$C:$C,盘货信息!$K:$K)&gt;0),"【全民可用，不限地址】",IF(AND(OR(_xlfn.XLOOKUP($A226&amp;$B226&amp;$C226,盘货信息!$A:$A&amp;盘货信息!$B:$B&amp;盘货信息!$C:$C,盘货信息!$L:$L)="否",_xlfn.XLOOKUP($A226&amp;$B226&amp;$C226,盘货信息!$A:$A&amp;盘货信息!$B:$B&amp;盘货信息!$C:$C,盘货信息!$L:$L)=""),_xlfn.XLOOKUP($A226&amp;$B226&amp;$C226,盘货信息!$A:$A&amp;盘货信息!$B:$B&amp;盘货信息!$C:$C,盘货信息!$M:$M)="是",_xlfn.XLOOKUP($A226&amp;$B226&amp;$C226,盘货信息!$A:$A&amp;盘货信息!$B:$B&amp;盘货信息!$C:$C,盘货信息!$K:$K)&gt;0),"【详情页领取】","")))</f>
        <v/>
      </c>
      <c r="M226" s="27" t="str" cm="1">
        <f t="array" ref="M226">IF($C226="","",IF(_xlfn.XLOOKUP($A226&amp;$B226&amp;$C226,盘货信息!$A:$A&amp;盘货信息!$B:$B&amp;盘货信息!$C:$C,盘货信息!$F:$F)&lt;1,"",_xlfn.XLOOKUP($A226&amp;$B226&amp;$C226,盘货信息!$A:$A&amp;盘货信息!$B:$B&amp;盘货信息!$C:$C,盘货信息!$F:$F)&amp;"元明卷"))</f>
        <v/>
      </c>
      <c r="N226" s="27" t="str">
        <f t="shared" si="7"/>
        <v/>
      </c>
      <c r="O226" s="27" t="str">
        <f>IF(I226="","","【消费券链接】"&amp;固定信息!$B$6)</f>
        <v/>
      </c>
    </row>
    <row r="227" customHeight="1" spans="1:15">
      <c r="A227" s="23" t="str">
        <f>IF(盘货信息!A227="","",盘货信息!A227)</f>
        <v/>
      </c>
      <c r="B227" s="26" t="str">
        <f>IF(盘货信息!B227="","",盘货信息!B227)</f>
        <v/>
      </c>
      <c r="C227" s="23" t="str">
        <f>IF(盘货信息!C227="","",盘货信息!C227)</f>
        <v/>
      </c>
      <c r="D227" s="27" t="str">
        <f t="shared" si="6"/>
        <v/>
      </c>
      <c r="E227" s="27" t="str" cm="1">
        <f t="array" ref="E227">IF($C227="","",IF(AND(OR(_xlfn.XLOOKUP($A227&amp;$B227&amp;$C227,盘货信息!$A:$A&amp;盘货信息!$B:$B&amp;盘货信息!$C:$C,盘货信息!$L:$L)="否",_xlfn.XLOOKUP($A227&amp;$B227&amp;$C227,盘货信息!$A:$A&amp;盘货信息!$B:$B&amp;盘货信息!$C:$C,盘货信息!$L:$L)=""),_xlfn.XLOOKUP($A227&amp;$B227&amp;$C227,盘货信息!$A:$A&amp;盘货信息!$B:$B&amp;盘货信息!$C:$C,盘货信息!$M:$M)="否"),"【预估到手价"&amp;_xlfn.XLOOKUP($A227&amp;$B227&amp;$C227,盘货信息!$A:$A&amp;盘货信息!$B:$B&amp;盘货信息!$C:$C,盘货信息!$D:$D)&amp;"元】",IF(AND(_xlfn.XLOOKUP($A227&amp;$B227&amp;$C227,盘货信息!$A:$A&amp;盘货信息!$B:$B&amp;盘货信息!$C:$C,盘货信息!$M:$M)="是",OR(_xlfn.XLOOKUP($A227&amp;$B227&amp;$C227,盘货信息!$A:$A&amp;盘货信息!$B:$B&amp;盘货信息!$C:$C,盘货信息!$L:$L)="否",_xlfn.XLOOKUP($A227&amp;$B227&amp;$C227,盘货信息!$A:$A&amp;盘货信息!$B:$B&amp;盘货信息!$C:$C,盘货信息!$L:$L)="")),"【预估到手价"&amp;_xlfn.XLOOKUP($A227&amp;$B227&amp;$C227,盘货信息!$A:$A&amp;盘货信息!$B:$B&amp;盘货信息!$C:$C,盘货信息!$D:$D)&amp;"元】"&amp;CHAR(10)&amp;"【焕新补贴预估价"&amp;ROUND(_xlfn.XLOOKUP($A227&amp;$B227&amp;$C227,盘货信息!$A:$A&amp;盘货信息!$B:$B&amp;盘货信息!$C:$C,盘货信息!$E:$E),0)&amp;"元】","【焕新补贴预估价"&amp;ROUND(_xlfn.XLOOKUP($A227&amp;$B227&amp;$C227,盘货信息!$A:$A&amp;盘货信息!$B:$B&amp;盘货信息!$C:$C,盘货信息!$E:$E),0)&amp;"元】")))</f>
        <v/>
      </c>
      <c r="F227" s="27" t="str" cm="1">
        <f t="array" ref="F227">IF($C227="","",_xlfn.XLOOKUP($A227&amp;$B227&amp;$C227,盘货信息!$A:$A&amp;盘货信息!$B:$B&amp;盘货信息!$C:$C,盘货信息!$D:$D)&amp;"元到手价")</f>
        <v/>
      </c>
      <c r="G227" s="27" t="str" cm="1">
        <f t="array" ref="G227">IF($C227="","",IF(_xlfn.XLOOKUP($A227&amp;$B227&amp;$C227,盘货信息!$A:$A&amp;盘货信息!$B:$B&amp;盘货信息!$C:$C,盘货信息!$G:$G)&lt;1,"",ROUND(_xlfn.XLOOKUP($A227&amp;$B227&amp;$C227,盘货信息!$A:$A&amp;盘货信息!$B:$B&amp;盘货信息!$C:$C,盘货信息!$G:$G),0)&amp;"元88VIP立减"))</f>
        <v/>
      </c>
      <c r="H227" s="27" t="str" cm="1">
        <f t="array" ref="H227">IF($C227="","",IF(_xlfn.XLOOKUP($A227&amp;$B227&amp;$C227,盘货信息!$A:$A&amp;盘货信息!$B:$B&amp;盘货信息!$C:$C,盘货信息!$I:$I)&lt;1,"",_xlfn.XLOOKUP($A227&amp;$B227&amp;$C227,盘货信息!$A:$A&amp;盘货信息!$B:$B&amp;盘货信息!$C:$C,盘货信息!$I:$I)&amp;"元惊喜立减"))</f>
        <v/>
      </c>
      <c r="I227" s="27" t="str" cm="1">
        <f t="array" ref="I227">IF($C227="","",IF(_xlfn.XLOOKUP($A227&amp;$B227&amp;$C227,盘货信息!$A:$A&amp;盘货信息!$B:$B&amp;盘货信息!$C:$C,盘货信息!$H:$H)&lt;1,"",ROUND(_xlfn.XLOOKUP($A227&amp;$B227&amp;$C227,盘货信息!$A:$A&amp;盘货信息!$B:$B&amp;盘货信息!$C:$C,盘货信息!$H:$H),0)&amp;"元消费券"))</f>
        <v/>
      </c>
      <c r="J227" s="27" t="str" cm="1">
        <f t="array" ref="J227">IF($C227="","",IF(_xlfn.XLOOKUP($A227&amp;$B227&amp;$C227,盘货信息!$A:$A&amp;盘货信息!$B:$B&amp;盘货信息!$C:$C,盘货信息!$J:$J)&lt;1,"",ROUND(_xlfn.XLOOKUP($A227&amp;$B227&amp;$C227,盘货信息!$A:$A&amp;盘货信息!$B:$B&amp;盘货信息!$C:$C,盘货信息!$J:$J),0)&amp;"元限时补贴"))</f>
        <v/>
      </c>
      <c r="K227" s="27" t="str" cm="1">
        <f t="array" ref="K227">IF($C227="","",IF(_xlfn.XLOOKUP($A227&amp;$B227&amp;$C227,盘货信息!$A:$A&amp;盘货信息!$B:$B&amp;盘货信息!$C:$C,盘货信息!$K:$K)&lt;1,"",ROUND(_xlfn.XLOOKUP($A227&amp;$B227&amp;$C227,盘货信息!$A:$A&amp;盘货信息!$B:$B&amp;盘货信息!$C:$C,盘货信息!$K:$K),0)&amp;"元预估焕新补贴"))</f>
        <v/>
      </c>
      <c r="L227" s="27" t="str" cm="1">
        <f t="array" ref="L227">IF($C227="","",IF(AND(_xlfn.XLOOKUP($A227&amp;$B227&amp;$C227,盘货信息!$A:$A&amp;盘货信息!$B:$B&amp;盘货信息!$C:$C,盘货信息!$L:$L)="是",_xlfn.XLOOKUP($A227&amp;$B227&amp;$C227,盘货信息!$A:$A&amp;盘货信息!$B:$B&amp;盘货信息!$C:$C,盘货信息!$M:$M)="是",_xlfn.XLOOKUP($A227&amp;$B227&amp;$C227,盘货信息!$A:$A&amp;盘货信息!$B:$B&amp;盘货信息!$C:$C,盘货信息!$K:$K)&gt;0),"【全民可用，不限地址】",IF(AND(OR(_xlfn.XLOOKUP($A227&amp;$B227&amp;$C227,盘货信息!$A:$A&amp;盘货信息!$B:$B&amp;盘货信息!$C:$C,盘货信息!$L:$L)="否",_xlfn.XLOOKUP($A227&amp;$B227&amp;$C227,盘货信息!$A:$A&amp;盘货信息!$B:$B&amp;盘货信息!$C:$C,盘货信息!$L:$L)=""),_xlfn.XLOOKUP($A227&amp;$B227&amp;$C227,盘货信息!$A:$A&amp;盘货信息!$B:$B&amp;盘货信息!$C:$C,盘货信息!$M:$M)="是",_xlfn.XLOOKUP($A227&amp;$B227&amp;$C227,盘货信息!$A:$A&amp;盘货信息!$B:$B&amp;盘货信息!$C:$C,盘货信息!$K:$K)&gt;0),"【详情页领取】","")))</f>
        <v/>
      </c>
      <c r="M227" s="27" t="str" cm="1">
        <f t="array" ref="M227">IF($C227="","",IF(_xlfn.XLOOKUP($A227&amp;$B227&amp;$C227,盘货信息!$A:$A&amp;盘货信息!$B:$B&amp;盘货信息!$C:$C,盘货信息!$F:$F)&lt;1,"",_xlfn.XLOOKUP($A227&amp;$B227&amp;$C227,盘货信息!$A:$A&amp;盘货信息!$B:$B&amp;盘货信息!$C:$C,盘货信息!$F:$F)&amp;"元明卷"))</f>
        <v/>
      </c>
      <c r="N227" s="27" t="str">
        <f t="shared" si="7"/>
        <v/>
      </c>
      <c r="O227" s="27" t="str">
        <f>IF(I227="","","【消费券链接】"&amp;固定信息!$B$6)</f>
        <v/>
      </c>
    </row>
    <row r="228" customHeight="1" spans="1:15">
      <c r="A228" s="23" t="str">
        <f>IF(盘货信息!A228="","",盘货信息!A228)</f>
        <v/>
      </c>
      <c r="B228" s="26" t="str">
        <f>IF(盘货信息!B228="","",盘货信息!B228)</f>
        <v/>
      </c>
      <c r="C228" s="23" t="str">
        <f>IF(盘货信息!C228="","",盘货信息!C228)</f>
        <v/>
      </c>
      <c r="D228" s="27" t="str">
        <f t="shared" si="6"/>
        <v/>
      </c>
      <c r="E228" s="27" t="str" cm="1">
        <f t="array" ref="E228">IF($C228="","",IF(AND(OR(_xlfn.XLOOKUP($A228&amp;$B228&amp;$C228,盘货信息!$A:$A&amp;盘货信息!$B:$B&amp;盘货信息!$C:$C,盘货信息!$L:$L)="否",_xlfn.XLOOKUP($A228&amp;$B228&amp;$C228,盘货信息!$A:$A&amp;盘货信息!$B:$B&amp;盘货信息!$C:$C,盘货信息!$L:$L)=""),_xlfn.XLOOKUP($A228&amp;$B228&amp;$C228,盘货信息!$A:$A&amp;盘货信息!$B:$B&amp;盘货信息!$C:$C,盘货信息!$M:$M)="否"),"【预估到手价"&amp;_xlfn.XLOOKUP($A228&amp;$B228&amp;$C228,盘货信息!$A:$A&amp;盘货信息!$B:$B&amp;盘货信息!$C:$C,盘货信息!$D:$D)&amp;"元】",IF(AND(_xlfn.XLOOKUP($A228&amp;$B228&amp;$C228,盘货信息!$A:$A&amp;盘货信息!$B:$B&amp;盘货信息!$C:$C,盘货信息!$M:$M)="是",OR(_xlfn.XLOOKUP($A228&amp;$B228&amp;$C228,盘货信息!$A:$A&amp;盘货信息!$B:$B&amp;盘货信息!$C:$C,盘货信息!$L:$L)="否",_xlfn.XLOOKUP($A228&amp;$B228&amp;$C228,盘货信息!$A:$A&amp;盘货信息!$B:$B&amp;盘货信息!$C:$C,盘货信息!$L:$L)="")),"【预估到手价"&amp;_xlfn.XLOOKUP($A228&amp;$B228&amp;$C228,盘货信息!$A:$A&amp;盘货信息!$B:$B&amp;盘货信息!$C:$C,盘货信息!$D:$D)&amp;"元】"&amp;CHAR(10)&amp;"【焕新补贴预估价"&amp;ROUND(_xlfn.XLOOKUP($A228&amp;$B228&amp;$C228,盘货信息!$A:$A&amp;盘货信息!$B:$B&amp;盘货信息!$C:$C,盘货信息!$E:$E),0)&amp;"元】","【焕新补贴预估价"&amp;ROUND(_xlfn.XLOOKUP($A228&amp;$B228&amp;$C228,盘货信息!$A:$A&amp;盘货信息!$B:$B&amp;盘货信息!$C:$C,盘货信息!$E:$E),0)&amp;"元】")))</f>
        <v/>
      </c>
      <c r="F228" s="27" t="str" cm="1">
        <f t="array" ref="F228">IF($C228="","",_xlfn.XLOOKUP($A228&amp;$B228&amp;$C228,盘货信息!$A:$A&amp;盘货信息!$B:$B&amp;盘货信息!$C:$C,盘货信息!$D:$D)&amp;"元到手价")</f>
        <v/>
      </c>
      <c r="G228" s="27" t="str" cm="1">
        <f t="array" ref="G228">IF($C228="","",IF(_xlfn.XLOOKUP($A228&amp;$B228&amp;$C228,盘货信息!$A:$A&amp;盘货信息!$B:$B&amp;盘货信息!$C:$C,盘货信息!$G:$G)&lt;1,"",ROUND(_xlfn.XLOOKUP($A228&amp;$B228&amp;$C228,盘货信息!$A:$A&amp;盘货信息!$B:$B&amp;盘货信息!$C:$C,盘货信息!$G:$G),0)&amp;"元88VIP立减"))</f>
        <v/>
      </c>
      <c r="H228" s="27" t="str" cm="1">
        <f t="array" ref="H228">IF($C228="","",IF(_xlfn.XLOOKUP($A228&amp;$B228&amp;$C228,盘货信息!$A:$A&amp;盘货信息!$B:$B&amp;盘货信息!$C:$C,盘货信息!$I:$I)&lt;1,"",_xlfn.XLOOKUP($A228&amp;$B228&amp;$C228,盘货信息!$A:$A&amp;盘货信息!$B:$B&amp;盘货信息!$C:$C,盘货信息!$I:$I)&amp;"元惊喜立减"))</f>
        <v/>
      </c>
      <c r="I228" s="27" t="str" cm="1">
        <f t="array" ref="I228">IF($C228="","",IF(_xlfn.XLOOKUP($A228&amp;$B228&amp;$C228,盘货信息!$A:$A&amp;盘货信息!$B:$B&amp;盘货信息!$C:$C,盘货信息!$H:$H)&lt;1,"",ROUND(_xlfn.XLOOKUP($A228&amp;$B228&amp;$C228,盘货信息!$A:$A&amp;盘货信息!$B:$B&amp;盘货信息!$C:$C,盘货信息!$H:$H),0)&amp;"元消费券"))</f>
        <v/>
      </c>
      <c r="J228" s="27" t="str" cm="1">
        <f t="array" ref="J228">IF($C228="","",IF(_xlfn.XLOOKUP($A228&amp;$B228&amp;$C228,盘货信息!$A:$A&amp;盘货信息!$B:$B&amp;盘货信息!$C:$C,盘货信息!$J:$J)&lt;1,"",ROUND(_xlfn.XLOOKUP($A228&amp;$B228&amp;$C228,盘货信息!$A:$A&amp;盘货信息!$B:$B&amp;盘货信息!$C:$C,盘货信息!$J:$J),0)&amp;"元限时补贴"))</f>
        <v/>
      </c>
      <c r="K228" s="27" t="str" cm="1">
        <f t="array" ref="K228">IF($C228="","",IF(_xlfn.XLOOKUP($A228&amp;$B228&amp;$C228,盘货信息!$A:$A&amp;盘货信息!$B:$B&amp;盘货信息!$C:$C,盘货信息!$K:$K)&lt;1,"",ROUND(_xlfn.XLOOKUP($A228&amp;$B228&amp;$C228,盘货信息!$A:$A&amp;盘货信息!$B:$B&amp;盘货信息!$C:$C,盘货信息!$K:$K),0)&amp;"元预估焕新补贴"))</f>
        <v/>
      </c>
      <c r="L228" s="27" t="str" cm="1">
        <f t="array" ref="L228">IF($C228="","",IF(AND(_xlfn.XLOOKUP($A228&amp;$B228&amp;$C228,盘货信息!$A:$A&amp;盘货信息!$B:$B&amp;盘货信息!$C:$C,盘货信息!$L:$L)="是",_xlfn.XLOOKUP($A228&amp;$B228&amp;$C228,盘货信息!$A:$A&amp;盘货信息!$B:$B&amp;盘货信息!$C:$C,盘货信息!$M:$M)="是",_xlfn.XLOOKUP($A228&amp;$B228&amp;$C228,盘货信息!$A:$A&amp;盘货信息!$B:$B&amp;盘货信息!$C:$C,盘货信息!$K:$K)&gt;0),"【全民可用，不限地址】",IF(AND(OR(_xlfn.XLOOKUP($A228&amp;$B228&amp;$C228,盘货信息!$A:$A&amp;盘货信息!$B:$B&amp;盘货信息!$C:$C,盘货信息!$L:$L)="否",_xlfn.XLOOKUP($A228&amp;$B228&amp;$C228,盘货信息!$A:$A&amp;盘货信息!$B:$B&amp;盘货信息!$C:$C,盘货信息!$L:$L)=""),_xlfn.XLOOKUP($A228&amp;$B228&amp;$C228,盘货信息!$A:$A&amp;盘货信息!$B:$B&amp;盘货信息!$C:$C,盘货信息!$M:$M)="是",_xlfn.XLOOKUP($A228&amp;$B228&amp;$C228,盘货信息!$A:$A&amp;盘货信息!$B:$B&amp;盘货信息!$C:$C,盘货信息!$K:$K)&gt;0),"【详情页领取】","")))</f>
        <v/>
      </c>
      <c r="M228" s="27" t="str" cm="1">
        <f t="array" ref="M228">IF($C228="","",IF(_xlfn.XLOOKUP($A228&amp;$B228&amp;$C228,盘货信息!$A:$A&amp;盘货信息!$B:$B&amp;盘货信息!$C:$C,盘货信息!$F:$F)&lt;1,"",_xlfn.XLOOKUP($A228&amp;$B228&amp;$C228,盘货信息!$A:$A&amp;盘货信息!$B:$B&amp;盘货信息!$C:$C,盘货信息!$F:$F)&amp;"元明卷"))</f>
        <v/>
      </c>
      <c r="N228" s="27" t="str">
        <f t="shared" si="7"/>
        <v/>
      </c>
      <c r="O228" s="27" t="str">
        <f>IF(I228="","","【消费券链接】"&amp;固定信息!$B$6)</f>
        <v/>
      </c>
    </row>
    <row r="229" customHeight="1" spans="1:15">
      <c r="A229" s="23" t="str">
        <f>IF(盘货信息!A229="","",盘货信息!A229)</f>
        <v/>
      </c>
      <c r="B229" s="26" t="str">
        <f>IF(盘货信息!B229="","",盘货信息!B229)</f>
        <v/>
      </c>
      <c r="C229" s="23" t="str">
        <f>IF(盘货信息!C229="","",盘货信息!C229)</f>
        <v/>
      </c>
      <c r="D229" s="27" t="str">
        <f t="shared" si="6"/>
        <v/>
      </c>
      <c r="E229" s="27" t="str" cm="1">
        <f t="array" ref="E229">IF($C229="","",IF(AND(OR(_xlfn.XLOOKUP($A229&amp;$B229&amp;$C229,盘货信息!$A:$A&amp;盘货信息!$B:$B&amp;盘货信息!$C:$C,盘货信息!$L:$L)="否",_xlfn.XLOOKUP($A229&amp;$B229&amp;$C229,盘货信息!$A:$A&amp;盘货信息!$B:$B&amp;盘货信息!$C:$C,盘货信息!$L:$L)=""),_xlfn.XLOOKUP($A229&amp;$B229&amp;$C229,盘货信息!$A:$A&amp;盘货信息!$B:$B&amp;盘货信息!$C:$C,盘货信息!$M:$M)="否"),"【预估到手价"&amp;_xlfn.XLOOKUP($A229&amp;$B229&amp;$C229,盘货信息!$A:$A&amp;盘货信息!$B:$B&amp;盘货信息!$C:$C,盘货信息!$D:$D)&amp;"元】",IF(AND(_xlfn.XLOOKUP($A229&amp;$B229&amp;$C229,盘货信息!$A:$A&amp;盘货信息!$B:$B&amp;盘货信息!$C:$C,盘货信息!$M:$M)="是",OR(_xlfn.XLOOKUP($A229&amp;$B229&amp;$C229,盘货信息!$A:$A&amp;盘货信息!$B:$B&amp;盘货信息!$C:$C,盘货信息!$L:$L)="否",_xlfn.XLOOKUP($A229&amp;$B229&amp;$C229,盘货信息!$A:$A&amp;盘货信息!$B:$B&amp;盘货信息!$C:$C,盘货信息!$L:$L)="")),"【预估到手价"&amp;_xlfn.XLOOKUP($A229&amp;$B229&amp;$C229,盘货信息!$A:$A&amp;盘货信息!$B:$B&amp;盘货信息!$C:$C,盘货信息!$D:$D)&amp;"元】"&amp;CHAR(10)&amp;"【焕新补贴预估价"&amp;ROUND(_xlfn.XLOOKUP($A229&amp;$B229&amp;$C229,盘货信息!$A:$A&amp;盘货信息!$B:$B&amp;盘货信息!$C:$C,盘货信息!$E:$E),0)&amp;"元】","【焕新补贴预估价"&amp;ROUND(_xlfn.XLOOKUP($A229&amp;$B229&amp;$C229,盘货信息!$A:$A&amp;盘货信息!$B:$B&amp;盘货信息!$C:$C,盘货信息!$E:$E),0)&amp;"元】")))</f>
        <v/>
      </c>
      <c r="F229" s="27" t="str" cm="1">
        <f t="array" ref="F229">IF($C229="","",_xlfn.XLOOKUP($A229&amp;$B229&amp;$C229,盘货信息!$A:$A&amp;盘货信息!$B:$B&amp;盘货信息!$C:$C,盘货信息!$D:$D)&amp;"元到手价")</f>
        <v/>
      </c>
      <c r="G229" s="27" t="str" cm="1">
        <f t="array" ref="G229">IF($C229="","",IF(_xlfn.XLOOKUP($A229&amp;$B229&amp;$C229,盘货信息!$A:$A&amp;盘货信息!$B:$B&amp;盘货信息!$C:$C,盘货信息!$G:$G)&lt;1,"",ROUND(_xlfn.XLOOKUP($A229&amp;$B229&amp;$C229,盘货信息!$A:$A&amp;盘货信息!$B:$B&amp;盘货信息!$C:$C,盘货信息!$G:$G),0)&amp;"元88VIP立减"))</f>
        <v/>
      </c>
      <c r="H229" s="27" t="str" cm="1">
        <f t="array" ref="H229">IF($C229="","",IF(_xlfn.XLOOKUP($A229&amp;$B229&amp;$C229,盘货信息!$A:$A&amp;盘货信息!$B:$B&amp;盘货信息!$C:$C,盘货信息!$I:$I)&lt;1,"",_xlfn.XLOOKUP($A229&amp;$B229&amp;$C229,盘货信息!$A:$A&amp;盘货信息!$B:$B&amp;盘货信息!$C:$C,盘货信息!$I:$I)&amp;"元惊喜立减"))</f>
        <v/>
      </c>
      <c r="I229" s="27" t="str" cm="1">
        <f t="array" ref="I229">IF($C229="","",IF(_xlfn.XLOOKUP($A229&amp;$B229&amp;$C229,盘货信息!$A:$A&amp;盘货信息!$B:$B&amp;盘货信息!$C:$C,盘货信息!$H:$H)&lt;1,"",ROUND(_xlfn.XLOOKUP($A229&amp;$B229&amp;$C229,盘货信息!$A:$A&amp;盘货信息!$B:$B&amp;盘货信息!$C:$C,盘货信息!$H:$H),0)&amp;"元消费券"))</f>
        <v/>
      </c>
      <c r="J229" s="27" t="str" cm="1">
        <f t="array" ref="J229">IF($C229="","",IF(_xlfn.XLOOKUP($A229&amp;$B229&amp;$C229,盘货信息!$A:$A&amp;盘货信息!$B:$B&amp;盘货信息!$C:$C,盘货信息!$J:$J)&lt;1,"",ROUND(_xlfn.XLOOKUP($A229&amp;$B229&amp;$C229,盘货信息!$A:$A&amp;盘货信息!$B:$B&amp;盘货信息!$C:$C,盘货信息!$J:$J),0)&amp;"元限时补贴"))</f>
        <v/>
      </c>
      <c r="K229" s="27" t="str" cm="1">
        <f t="array" ref="K229">IF($C229="","",IF(_xlfn.XLOOKUP($A229&amp;$B229&amp;$C229,盘货信息!$A:$A&amp;盘货信息!$B:$B&amp;盘货信息!$C:$C,盘货信息!$K:$K)&lt;1,"",ROUND(_xlfn.XLOOKUP($A229&amp;$B229&amp;$C229,盘货信息!$A:$A&amp;盘货信息!$B:$B&amp;盘货信息!$C:$C,盘货信息!$K:$K),0)&amp;"元预估焕新补贴"))</f>
        <v/>
      </c>
      <c r="L229" s="27" t="str" cm="1">
        <f t="array" ref="L229">IF($C229="","",IF(AND(_xlfn.XLOOKUP($A229&amp;$B229&amp;$C229,盘货信息!$A:$A&amp;盘货信息!$B:$B&amp;盘货信息!$C:$C,盘货信息!$L:$L)="是",_xlfn.XLOOKUP($A229&amp;$B229&amp;$C229,盘货信息!$A:$A&amp;盘货信息!$B:$B&amp;盘货信息!$C:$C,盘货信息!$M:$M)="是",_xlfn.XLOOKUP($A229&amp;$B229&amp;$C229,盘货信息!$A:$A&amp;盘货信息!$B:$B&amp;盘货信息!$C:$C,盘货信息!$K:$K)&gt;0),"【全民可用，不限地址】",IF(AND(OR(_xlfn.XLOOKUP($A229&amp;$B229&amp;$C229,盘货信息!$A:$A&amp;盘货信息!$B:$B&amp;盘货信息!$C:$C,盘货信息!$L:$L)="否",_xlfn.XLOOKUP($A229&amp;$B229&amp;$C229,盘货信息!$A:$A&amp;盘货信息!$B:$B&amp;盘货信息!$C:$C,盘货信息!$L:$L)=""),_xlfn.XLOOKUP($A229&amp;$B229&amp;$C229,盘货信息!$A:$A&amp;盘货信息!$B:$B&amp;盘货信息!$C:$C,盘货信息!$M:$M)="是",_xlfn.XLOOKUP($A229&amp;$B229&amp;$C229,盘货信息!$A:$A&amp;盘货信息!$B:$B&amp;盘货信息!$C:$C,盘货信息!$K:$K)&gt;0),"【详情页领取】","")))</f>
        <v/>
      </c>
      <c r="M229" s="27" t="str" cm="1">
        <f t="array" ref="M229">IF($C229="","",IF(_xlfn.XLOOKUP($A229&amp;$B229&amp;$C229,盘货信息!$A:$A&amp;盘货信息!$B:$B&amp;盘货信息!$C:$C,盘货信息!$F:$F)&lt;1,"",_xlfn.XLOOKUP($A229&amp;$B229&amp;$C229,盘货信息!$A:$A&amp;盘货信息!$B:$B&amp;盘货信息!$C:$C,盘货信息!$F:$F)&amp;"元明卷"))</f>
        <v/>
      </c>
      <c r="N229" s="27" t="str">
        <f t="shared" si="7"/>
        <v/>
      </c>
      <c r="O229" s="27" t="str">
        <f>IF(I229="","","【消费券链接】"&amp;固定信息!$B$6)</f>
        <v/>
      </c>
    </row>
    <row r="230" customHeight="1" spans="1:15">
      <c r="A230" s="23" t="str">
        <f>IF(盘货信息!A230="","",盘货信息!A230)</f>
        <v/>
      </c>
      <c r="B230" s="26" t="str">
        <f>IF(盘货信息!B230="","",盘货信息!B230)</f>
        <v/>
      </c>
      <c r="C230" s="23" t="str">
        <f>IF(盘货信息!C230="","",盘货信息!C230)</f>
        <v/>
      </c>
      <c r="D230" s="27" t="str">
        <f t="shared" si="6"/>
        <v/>
      </c>
      <c r="E230" s="27" t="str" cm="1">
        <f t="array" ref="E230">IF($C230="","",IF(AND(OR(_xlfn.XLOOKUP($A230&amp;$B230&amp;$C230,盘货信息!$A:$A&amp;盘货信息!$B:$B&amp;盘货信息!$C:$C,盘货信息!$L:$L)="否",_xlfn.XLOOKUP($A230&amp;$B230&amp;$C230,盘货信息!$A:$A&amp;盘货信息!$B:$B&amp;盘货信息!$C:$C,盘货信息!$L:$L)=""),_xlfn.XLOOKUP($A230&amp;$B230&amp;$C230,盘货信息!$A:$A&amp;盘货信息!$B:$B&amp;盘货信息!$C:$C,盘货信息!$M:$M)="否"),"【预估到手价"&amp;_xlfn.XLOOKUP($A230&amp;$B230&amp;$C230,盘货信息!$A:$A&amp;盘货信息!$B:$B&amp;盘货信息!$C:$C,盘货信息!$D:$D)&amp;"元】",IF(AND(_xlfn.XLOOKUP($A230&amp;$B230&amp;$C230,盘货信息!$A:$A&amp;盘货信息!$B:$B&amp;盘货信息!$C:$C,盘货信息!$M:$M)="是",OR(_xlfn.XLOOKUP($A230&amp;$B230&amp;$C230,盘货信息!$A:$A&amp;盘货信息!$B:$B&amp;盘货信息!$C:$C,盘货信息!$L:$L)="否",_xlfn.XLOOKUP($A230&amp;$B230&amp;$C230,盘货信息!$A:$A&amp;盘货信息!$B:$B&amp;盘货信息!$C:$C,盘货信息!$L:$L)="")),"【预估到手价"&amp;_xlfn.XLOOKUP($A230&amp;$B230&amp;$C230,盘货信息!$A:$A&amp;盘货信息!$B:$B&amp;盘货信息!$C:$C,盘货信息!$D:$D)&amp;"元】"&amp;CHAR(10)&amp;"【焕新补贴预估价"&amp;ROUND(_xlfn.XLOOKUP($A230&amp;$B230&amp;$C230,盘货信息!$A:$A&amp;盘货信息!$B:$B&amp;盘货信息!$C:$C,盘货信息!$E:$E),0)&amp;"元】","【焕新补贴预估价"&amp;ROUND(_xlfn.XLOOKUP($A230&amp;$B230&amp;$C230,盘货信息!$A:$A&amp;盘货信息!$B:$B&amp;盘货信息!$C:$C,盘货信息!$E:$E),0)&amp;"元】")))</f>
        <v/>
      </c>
      <c r="F230" s="27" t="str" cm="1">
        <f t="array" ref="F230">IF($C230="","",_xlfn.XLOOKUP($A230&amp;$B230&amp;$C230,盘货信息!$A:$A&amp;盘货信息!$B:$B&amp;盘货信息!$C:$C,盘货信息!$D:$D)&amp;"元到手价")</f>
        <v/>
      </c>
      <c r="G230" s="27" t="str" cm="1">
        <f t="array" ref="G230">IF($C230="","",IF(_xlfn.XLOOKUP($A230&amp;$B230&amp;$C230,盘货信息!$A:$A&amp;盘货信息!$B:$B&amp;盘货信息!$C:$C,盘货信息!$G:$G)&lt;1,"",ROUND(_xlfn.XLOOKUP($A230&amp;$B230&amp;$C230,盘货信息!$A:$A&amp;盘货信息!$B:$B&amp;盘货信息!$C:$C,盘货信息!$G:$G),0)&amp;"元88VIP立减"))</f>
        <v/>
      </c>
      <c r="H230" s="27" t="str" cm="1">
        <f t="array" ref="H230">IF($C230="","",IF(_xlfn.XLOOKUP($A230&amp;$B230&amp;$C230,盘货信息!$A:$A&amp;盘货信息!$B:$B&amp;盘货信息!$C:$C,盘货信息!$I:$I)&lt;1,"",_xlfn.XLOOKUP($A230&amp;$B230&amp;$C230,盘货信息!$A:$A&amp;盘货信息!$B:$B&amp;盘货信息!$C:$C,盘货信息!$I:$I)&amp;"元惊喜立减"))</f>
        <v/>
      </c>
      <c r="I230" s="27" t="str" cm="1">
        <f t="array" ref="I230">IF($C230="","",IF(_xlfn.XLOOKUP($A230&amp;$B230&amp;$C230,盘货信息!$A:$A&amp;盘货信息!$B:$B&amp;盘货信息!$C:$C,盘货信息!$H:$H)&lt;1,"",ROUND(_xlfn.XLOOKUP($A230&amp;$B230&amp;$C230,盘货信息!$A:$A&amp;盘货信息!$B:$B&amp;盘货信息!$C:$C,盘货信息!$H:$H),0)&amp;"元消费券"))</f>
        <v/>
      </c>
      <c r="J230" s="27" t="str" cm="1">
        <f t="array" ref="J230">IF($C230="","",IF(_xlfn.XLOOKUP($A230&amp;$B230&amp;$C230,盘货信息!$A:$A&amp;盘货信息!$B:$B&amp;盘货信息!$C:$C,盘货信息!$J:$J)&lt;1,"",ROUND(_xlfn.XLOOKUP($A230&amp;$B230&amp;$C230,盘货信息!$A:$A&amp;盘货信息!$B:$B&amp;盘货信息!$C:$C,盘货信息!$J:$J),0)&amp;"元限时补贴"))</f>
        <v/>
      </c>
      <c r="K230" s="27" t="str" cm="1">
        <f t="array" ref="K230">IF($C230="","",IF(_xlfn.XLOOKUP($A230&amp;$B230&amp;$C230,盘货信息!$A:$A&amp;盘货信息!$B:$B&amp;盘货信息!$C:$C,盘货信息!$K:$K)&lt;1,"",ROUND(_xlfn.XLOOKUP($A230&amp;$B230&amp;$C230,盘货信息!$A:$A&amp;盘货信息!$B:$B&amp;盘货信息!$C:$C,盘货信息!$K:$K),0)&amp;"元预估焕新补贴"))</f>
        <v/>
      </c>
      <c r="L230" s="27" t="str" cm="1">
        <f t="array" ref="L230">IF($C230="","",IF(AND(_xlfn.XLOOKUP($A230&amp;$B230&amp;$C230,盘货信息!$A:$A&amp;盘货信息!$B:$B&amp;盘货信息!$C:$C,盘货信息!$L:$L)="是",_xlfn.XLOOKUP($A230&amp;$B230&amp;$C230,盘货信息!$A:$A&amp;盘货信息!$B:$B&amp;盘货信息!$C:$C,盘货信息!$M:$M)="是",_xlfn.XLOOKUP($A230&amp;$B230&amp;$C230,盘货信息!$A:$A&amp;盘货信息!$B:$B&amp;盘货信息!$C:$C,盘货信息!$K:$K)&gt;0),"【全民可用，不限地址】",IF(AND(OR(_xlfn.XLOOKUP($A230&amp;$B230&amp;$C230,盘货信息!$A:$A&amp;盘货信息!$B:$B&amp;盘货信息!$C:$C,盘货信息!$L:$L)="否",_xlfn.XLOOKUP($A230&amp;$B230&amp;$C230,盘货信息!$A:$A&amp;盘货信息!$B:$B&amp;盘货信息!$C:$C,盘货信息!$L:$L)=""),_xlfn.XLOOKUP($A230&amp;$B230&amp;$C230,盘货信息!$A:$A&amp;盘货信息!$B:$B&amp;盘货信息!$C:$C,盘货信息!$M:$M)="是",_xlfn.XLOOKUP($A230&amp;$B230&amp;$C230,盘货信息!$A:$A&amp;盘货信息!$B:$B&amp;盘货信息!$C:$C,盘货信息!$K:$K)&gt;0),"【详情页领取】","")))</f>
        <v/>
      </c>
      <c r="M230" s="27" t="str" cm="1">
        <f t="array" ref="M230">IF($C230="","",IF(_xlfn.XLOOKUP($A230&amp;$B230&amp;$C230,盘货信息!$A:$A&amp;盘货信息!$B:$B&amp;盘货信息!$C:$C,盘货信息!$F:$F)&lt;1,"",_xlfn.XLOOKUP($A230&amp;$B230&amp;$C230,盘货信息!$A:$A&amp;盘货信息!$B:$B&amp;盘货信息!$C:$C,盘货信息!$F:$F)&amp;"元明卷"))</f>
        <v/>
      </c>
      <c r="N230" s="27" t="str">
        <f t="shared" si="7"/>
        <v/>
      </c>
      <c r="O230" s="27" t="str">
        <f>IF(I230="","","【消费券链接】"&amp;固定信息!$B$6)</f>
        <v/>
      </c>
    </row>
    <row r="231" customHeight="1" spans="1:15">
      <c r="A231" s="23" t="str">
        <f>IF(盘货信息!A231="","",盘货信息!A231)</f>
        <v/>
      </c>
      <c r="B231" s="26" t="str">
        <f>IF(盘货信息!B231="","",盘货信息!B231)</f>
        <v/>
      </c>
      <c r="C231" s="23" t="str">
        <f>IF(盘货信息!C231="","",盘货信息!C231)</f>
        <v/>
      </c>
      <c r="D231" s="27" t="str">
        <f t="shared" si="6"/>
        <v/>
      </c>
      <c r="E231" s="27" t="str" cm="1">
        <f t="array" ref="E231">IF($C231="","",IF(AND(OR(_xlfn.XLOOKUP($A231&amp;$B231&amp;$C231,盘货信息!$A:$A&amp;盘货信息!$B:$B&amp;盘货信息!$C:$C,盘货信息!$L:$L)="否",_xlfn.XLOOKUP($A231&amp;$B231&amp;$C231,盘货信息!$A:$A&amp;盘货信息!$B:$B&amp;盘货信息!$C:$C,盘货信息!$L:$L)=""),_xlfn.XLOOKUP($A231&amp;$B231&amp;$C231,盘货信息!$A:$A&amp;盘货信息!$B:$B&amp;盘货信息!$C:$C,盘货信息!$M:$M)="否"),"【预估到手价"&amp;_xlfn.XLOOKUP($A231&amp;$B231&amp;$C231,盘货信息!$A:$A&amp;盘货信息!$B:$B&amp;盘货信息!$C:$C,盘货信息!$D:$D)&amp;"元】",IF(AND(_xlfn.XLOOKUP($A231&amp;$B231&amp;$C231,盘货信息!$A:$A&amp;盘货信息!$B:$B&amp;盘货信息!$C:$C,盘货信息!$M:$M)="是",OR(_xlfn.XLOOKUP($A231&amp;$B231&amp;$C231,盘货信息!$A:$A&amp;盘货信息!$B:$B&amp;盘货信息!$C:$C,盘货信息!$L:$L)="否",_xlfn.XLOOKUP($A231&amp;$B231&amp;$C231,盘货信息!$A:$A&amp;盘货信息!$B:$B&amp;盘货信息!$C:$C,盘货信息!$L:$L)="")),"【预估到手价"&amp;_xlfn.XLOOKUP($A231&amp;$B231&amp;$C231,盘货信息!$A:$A&amp;盘货信息!$B:$B&amp;盘货信息!$C:$C,盘货信息!$D:$D)&amp;"元】"&amp;CHAR(10)&amp;"【焕新补贴预估价"&amp;ROUND(_xlfn.XLOOKUP($A231&amp;$B231&amp;$C231,盘货信息!$A:$A&amp;盘货信息!$B:$B&amp;盘货信息!$C:$C,盘货信息!$E:$E),0)&amp;"元】","【焕新补贴预估价"&amp;ROUND(_xlfn.XLOOKUP($A231&amp;$B231&amp;$C231,盘货信息!$A:$A&amp;盘货信息!$B:$B&amp;盘货信息!$C:$C,盘货信息!$E:$E),0)&amp;"元】")))</f>
        <v/>
      </c>
      <c r="F231" s="27" t="str" cm="1">
        <f t="array" ref="F231">IF($C231="","",_xlfn.XLOOKUP($A231&amp;$B231&amp;$C231,盘货信息!$A:$A&amp;盘货信息!$B:$B&amp;盘货信息!$C:$C,盘货信息!$D:$D)&amp;"元到手价")</f>
        <v/>
      </c>
      <c r="G231" s="27" t="str" cm="1">
        <f t="array" ref="G231">IF($C231="","",IF(_xlfn.XLOOKUP($A231&amp;$B231&amp;$C231,盘货信息!$A:$A&amp;盘货信息!$B:$B&amp;盘货信息!$C:$C,盘货信息!$G:$G)&lt;1,"",ROUND(_xlfn.XLOOKUP($A231&amp;$B231&amp;$C231,盘货信息!$A:$A&amp;盘货信息!$B:$B&amp;盘货信息!$C:$C,盘货信息!$G:$G),0)&amp;"元88VIP立减"))</f>
        <v/>
      </c>
      <c r="H231" s="27" t="str" cm="1">
        <f t="array" ref="H231">IF($C231="","",IF(_xlfn.XLOOKUP($A231&amp;$B231&amp;$C231,盘货信息!$A:$A&amp;盘货信息!$B:$B&amp;盘货信息!$C:$C,盘货信息!$I:$I)&lt;1,"",_xlfn.XLOOKUP($A231&amp;$B231&amp;$C231,盘货信息!$A:$A&amp;盘货信息!$B:$B&amp;盘货信息!$C:$C,盘货信息!$I:$I)&amp;"元惊喜立减"))</f>
        <v/>
      </c>
      <c r="I231" s="27" t="str" cm="1">
        <f t="array" ref="I231">IF($C231="","",IF(_xlfn.XLOOKUP($A231&amp;$B231&amp;$C231,盘货信息!$A:$A&amp;盘货信息!$B:$B&amp;盘货信息!$C:$C,盘货信息!$H:$H)&lt;1,"",ROUND(_xlfn.XLOOKUP($A231&amp;$B231&amp;$C231,盘货信息!$A:$A&amp;盘货信息!$B:$B&amp;盘货信息!$C:$C,盘货信息!$H:$H),0)&amp;"元消费券"))</f>
        <v/>
      </c>
      <c r="J231" s="27" t="str" cm="1">
        <f t="array" ref="J231">IF($C231="","",IF(_xlfn.XLOOKUP($A231&amp;$B231&amp;$C231,盘货信息!$A:$A&amp;盘货信息!$B:$B&amp;盘货信息!$C:$C,盘货信息!$J:$J)&lt;1,"",ROUND(_xlfn.XLOOKUP($A231&amp;$B231&amp;$C231,盘货信息!$A:$A&amp;盘货信息!$B:$B&amp;盘货信息!$C:$C,盘货信息!$J:$J),0)&amp;"元限时补贴"))</f>
        <v/>
      </c>
      <c r="K231" s="27" t="str" cm="1">
        <f t="array" ref="K231">IF($C231="","",IF(_xlfn.XLOOKUP($A231&amp;$B231&amp;$C231,盘货信息!$A:$A&amp;盘货信息!$B:$B&amp;盘货信息!$C:$C,盘货信息!$K:$K)&lt;1,"",ROUND(_xlfn.XLOOKUP($A231&amp;$B231&amp;$C231,盘货信息!$A:$A&amp;盘货信息!$B:$B&amp;盘货信息!$C:$C,盘货信息!$K:$K),0)&amp;"元预估焕新补贴"))</f>
        <v/>
      </c>
      <c r="L231" s="27" t="str" cm="1">
        <f t="array" ref="L231">IF($C231="","",IF(AND(_xlfn.XLOOKUP($A231&amp;$B231&amp;$C231,盘货信息!$A:$A&amp;盘货信息!$B:$B&amp;盘货信息!$C:$C,盘货信息!$L:$L)="是",_xlfn.XLOOKUP($A231&amp;$B231&amp;$C231,盘货信息!$A:$A&amp;盘货信息!$B:$B&amp;盘货信息!$C:$C,盘货信息!$M:$M)="是",_xlfn.XLOOKUP($A231&amp;$B231&amp;$C231,盘货信息!$A:$A&amp;盘货信息!$B:$B&amp;盘货信息!$C:$C,盘货信息!$K:$K)&gt;0),"【全民可用，不限地址】",IF(AND(OR(_xlfn.XLOOKUP($A231&amp;$B231&amp;$C231,盘货信息!$A:$A&amp;盘货信息!$B:$B&amp;盘货信息!$C:$C,盘货信息!$L:$L)="否",_xlfn.XLOOKUP($A231&amp;$B231&amp;$C231,盘货信息!$A:$A&amp;盘货信息!$B:$B&amp;盘货信息!$C:$C,盘货信息!$L:$L)=""),_xlfn.XLOOKUP($A231&amp;$B231&amp;$C231,盘货信息!$A:$A&amp;盘货信息!$B:$B&amp;盘货信息!$C:$C,盘货信息!$M:$M)="是",_xlfn.XLOOKUP($A231&amp;$B231&amp;$C231,盘货信息!$A:$A&amp;盘货信息!$B:$B&amp;盘货信息!$C:$C,盘货信息!$K:$K)&gt;0),"【详情页领取】","")))</f>
        <v/>
      </c>
      <c r="M231" s="27" t="str" cm="1">
        <f t="array" ref="M231">IF($C231="","",IF(_xlfn.XLOOKUP($A231&amp;$B231&amp;$C231,盘货信息!$A:$A&amp;盘货信息!$B:$B&amp;盘货信息!$C:$C,盘货信息!$F:$F)&lt;1,"",_xlfn.XLOOKUP($A231&amp;$B231&amp;$C231,盘货信息!$A:$A&amp;盘货信息!$B:$B&amp;盘货信息!$C:$C,盘货信息!$F:$F)&amp;"元明卷"))</f>
        <v/>
      </c>
      <c r="N231" s="27" t="str">
        <f t="shared" si="7"/>
        <v/>
      </c>
      <c r="O231" s="27" t="str">
        <f>IF(I231="","","【消费券链接】"&amp;固定信息!$B$6)</f>
        <v/>
      </c>
    </row>
    <row r="232" customHeight="1" spans="1:15">
      <c r="A232" s="23" t="str">
        <f>IF(盘货信息!A232="","",盘货信息!A232)</f>
        <v/>
      </c>
      <c r="B232" s="26" t="str">
        <f>IF(盘货信息!B232="","",盘货信息!B232)</f>
        <v/>
      </c>
      <c r="C232" s="23" t="str">
        <f>IF(盘货信息!C232="","",盘货信息!C232)</f>
        <v/>
      </c>
      <c r="D232" s="27" t="str">
        <f t="shared" si="6"/>
        <v/>
      </c>
      <c r="E232" s="27" t="str" cm="1">
        <f t="array" ref="E232">IF($C232="","",IF(AND(OR(_xlfn.XLOOKUP($A232&amp;$B232&amp;$C232,盘货信息!$A:$A&amp;盘货信息!$B:$B&amp;盘货信息!$C:$C,盘货信息!$L:$L)="否",_xlfn.XLOOKUP($A232&amp;$B232&amp;$C232,盘货信息!$A:$A&amp;盘货信息!$B:$B&amp;盘货信息!$C:$C,盘货信息!$L:$L)=""),_xlfn.XLOOKUP($A232&amp;$B232&amp;$C232,盘货信息!$A:$A&amp;盘货信息!$B:$B&amp;盘货信息!$C:$C,盘货信息!$M:$M)="否"),"【预估到手价"&amp;_xlfn.XLOOKUP($A232&amp;$B232&amp;$C232,盘货信息!$A:$A&amp;盘货信息!$B:$B&amp;盘货信息!$C:$C,盘货信息!$D:$D)&amp;"元】",IF(AND(_xlfn.XLOOKUP($A232&amp;$B232&amp;$C232,盘货信息!$A:$A&amp;盘货信息!$B:$B&amp;盘货信息!$C:$C,盘货信息!$M:$M)="是",OR(_xlfn.XLOOKUP($A232&amp;$B232&amp;$C232,盘货信息!$A:$A&amp;盘货信息!$B:$B&amp;盘货信息!$C:$C,盘货信息!$L:$L)="否",_xlfn.XLOOKUP($A232&amp;$B232&amp;$C232,盘货信息!$A:$A&amp;盘货信息!$B:$B&amp;盘货信息!$C:$C,盘货信息!$L:$L)="")),"【预估到手价"&amp;_xlfn.XLOOKUP($A232&amp;$B232&amp;$C232,盘货信息!$A:$A&amp;盘货信息!$B:$B&amp;盘货信息!$C:$C,盘货信息!$D:$D)&amp;"元】"&amp;CHAR(10)&amp;"【焕新补贴预估价"&amp;ROUND(_xlfn.XLOOKUP($A232&amp;$B232&amp;$C232,盘货信息!$A:$A&amp;盘货信息!$B:$B&amp;盘货信息!$C:$C,盘货信息!$E:$E),0)&amp;"元】","【焕新补贴预估价"&amp;ROUND(_xlfn.XLOOKUP($A232&amp;$B232&amp;$C232,盘货信息!$A:$A&amp;盘货信息!$B:$B&amp;盘货信息!$C:$C,盘货信息!$E:$E),0)&amp;"元】")))</f>
        <v/>
      </c>
      <c r="F232" s="27" t="str" cm="1">
        <f t="array" ref="F232">IF($C232="","",_xlfn.XLOOKUP($A232&amp;$B232&amp;$C232,盘货信息!$A:$A&amp;盘货信息!$B:$B&amp;盘货信息!$C:$C,盘货信息!$D:$D)&amp;"元到手价")</f>
        <v/>
      </c>
      <c r="G232" s="27" t="str" cm="1">
        <f t="array" ref="G232">IF($C232="","",IF(_xlfn.XLOOKUP($A232&amp;$B232&amp;$C232,盘货信息!$A:$A&amp;盘货信息!$B:$B&amp;盘货信息!$C:$C,盘货信息!$G:$G)&lt;1,"",ROUND(_xlfn.XLOOKUP($A232&amp;$B232&amp;$C232,盘货信息!$A:$A&amp;盘货信息!$B:$B&amp;盘货信息!$C:$C,盘货信息!$G:$G),0)&amp;"元88VIP立减"))</f>
        <v/>
      </c>
      <c r="H232" s="27" t="str" cm="1">
        <f t="array" ref="H232">IF($C232="","",IF(_xlfn.XLOOKUP($A232&amp;$B232&amp;$C232,盘货信息!$A:$A&amp;盘货信息!$B:$B&amp;盘货信息!$C:$C,盘货信息!$I:$I)&lt;1,"",_xlfn.XLOOKUP($A232&amp;$B232&amp;$C232,盘货信息!$A:$A&amp;盘货信息!$B:$B&amp;盘货信息!$C:$C,盘货信息!$I:$I)&amp;"元惊喜立减"))</f>
        <v/>
      </c>
      <c r="I232" s="27" t="str" cm="1">
        <f t="array" ref="I232">IF($C232="","",IF(_xlfn.XLOOKUP($A232&amp;$B232&amp;$C232,盘货信息!$A:$A&amp;盘货信息!$B:$B&amp;盘货信息!$C:$C,盘货信息!$H:$H)&lt;1,"",ROUND(_xlfn.XLOOKUP($A232&amp;$B232&amp;$C232,盘货信息!$A:$A&amp;盘货信息!$B:$B&amp;盘货信息!$C:$C,盘货信息!$H:$H),0)&amp;"元消费券"))</f>
        <v/>
      </c>
      <c r="J232" s="27" t="str" cm="1">
        <f t="array" ref="J232">IF($C232="","",IF(_xlfn.XLOOKUP($A232&amp;$B232&amp;$C232,盘货信息!$A:$A&amp;盘货信息!$B:$B&amp;盘货信息!$C:$C,盘货信息!$J:$J)&lt;1,"",ROUND(_xlfn.XLOOKUP($A232&amp;$B232&amp;$C232,盘货信息!$A:$A&amp;盘货信息!$B:$B&amp;盘货信息!$C:$C,盘货信息!$J:$J),0)&amp;"元限时补贴"))</f>
        <v/>
      </c>
      <c r="K232" s="27" t="str" cm="1">
        <f t="array" ref="K232">IF($C232="","",IF(_xlfn.XLOOKUP($A232&amp;$B232&amp;$C232,盘货信息!$A:$A&amp;盘货信息!$B:$B&amp;盘货信息!$C:$C,盘货信息!$K:$K)&lt;1,"",ROUND(_xlfn.XLOOKUP($A232&amp;$B232&amp;$C232,盘货信息!$A:$A&amp;盘货信息!$B:$B&amp;盘货信息!$C:$C,盘货信息!$K:$K),0)&amp;"元预估焕新补贴"))</f>
        <v/>
      </c>
      <c r="L232" s="27" t="str" cm="1">
        <f t="array" ref="L232">IF($C232="","",IF(AND(_xlfn.XLOOKUP($A232&amp;$B232&amp;$C232,盘货信息!$A:$A&amp;盘货信息!$B:$B&amp;盘货信息!$C:$C,盘货信息!$L:$L)="是",_xlfn.XLOOKUP($A232&amp;$B232&amp;$C232,盘货信息!$A:$A&amp;盘货信息!$B:$B&amp;盘货信息!$C:$C,盘货信息!$M:$M)="是",_xlfn.XLOOKUP($A232&amp;$B232&amp;$C232,盘货信息!$A:$A&amp;盘货信息!$B:$B&amp;盘货信息!$C:$C,盘货信息!$K:$K)&gt;0),"【全民可用，不限地址】",IF(AND(OR(_xlfn.XLOOKUP($A232&amp;$B232&amp;$C232,盘货信息!$A:$A&amp;盘货信息!$B:$B&amp;盘货信息!$C:$C,盘货信息!$L:$L)="否",_xlfn.XLOOKUP($A232&amp;$B232&amp;$C232,盘货信息!$A:$A&amp;盘货信息!$B:$B&amp;盘货信息!$C:$C,盘货信息!$L:$L)=""),_xlfn.XLOOKUP($A232&amp;$B232&amp;$C232,盘货信息!$A:$A&amp;盘货信息!$B:$B&amp;盘货信息!$C:$C,盘货信息!$M:$M)="是",_xlfn.XLOOKUP($A232&amp;$B232&amp;$C232,盘货信息!$A:$A&amp;盘货信息!$B:$B&amp;盘货信息!$C:$C,盘货信息!$K:$K)&gt;0),"【详情页领取】","")))</f>
        <v/>
      </c>
      <c r="M232" s="27" t="str" cm="1">
        <f t="array" ref="M232">IF($C232="","",IF(_xlfn.XLOOKUP($A232&amp;$B232&amp;$C232,盘货信息!$A:$A&amp;盘货信息!$B:$B&amp;盘货信息!$C:$C,盘货信息!$F:$F)&lt;1,"",_xlfn.XLOOKUP($A232&amp;$B232&amp;$C232,盘货信息!$A:$A&amp;盘货信息!$B:$B&amp;盘货信息!$C:$C,盘货信息!$F:$F)&amp;"元明卷"))</f>
        <v/>
      </c>
      <c r="N232" s="27" t="str">
        <f t="shared" si="7"/>
        <v/>
      </c>
      <c r="O232" s="27" t="str">
        <f>IF(I232="","","【消费券链接】"&amp;固定信息!$B$6)</f>
        <v/>
      </c>
    </row>
    <row r="233" customHeight="1" spans="1:15">
      <c r="A233" s="23" t="str">
        <f>IF(盘货信息!A233="","",盘货信息!A233)</f>
        <v/>
      </c>
      <c r="B233" s="26" t="str">
        <f>IF(盘货信息!B233="","",盘货信息!B233)</f>
        <v/>
      </c>
      <c r="C233" s="23" t="str">
        <f>IF(盘货信息!C233="","",盘货信息!C233)</f>
        <v/>
      </c>
      <c r="D233" s="27" t="str">
        <f t="shared" si="6"/>
        <v/>
      </c>
      <c r="E233" s="27" t="str" cm="1">
        <f t="array" ref="E233">IF($C233="","",IF(AND(OR(_xlfn.XLOOKUP($A233&amp;$B233&amp;$C233,盘货信息!$A:$A&amp;盘货信息!$B:$B&amp;盘货信息!$C:$C,盘货信息!$L:$L)="否",_xlfn.XLOOKUP($A233&amp;$B233&amp;$C233,盘货信息!$A:$A&amp;盘货信息!$B:$B&amp;盘货信息!$C:$C,盘货信息!$L:$L)=""),_xlfn.XLOOKUP($A233&amp;$B233&amp;$C233,盘货信息!$A:$A&amp;盘货信息!$B:$B&amp;盘货信息!$C:$C,盘货信息!$M:$M)="否"),"【预估到手价"&amp;_xlfn.XLOOKUP($A233&amp;$B233&amp;$C233,盘货信息!$A:$A&amp;盘货信息!$B:$B&amp;盘货信息!$C:$C,盘货信息!$D:$D)&amp;"元】",IF(AND(_xlfn.XLOOKUP($A233&amp;$B233&amp;$C233,盘货信息!$A:$A&amp;盘货信息!$B:$B&amp;盘货信息!$C:$C,盘货信息!$M:$M)="是",OR(_xlfn.XLOOKUP($A233&amp;$B233&amp;$C233,盘货信息!$A:$A&amp;盘货信息!$B:$B&amp;盘货信息!$C:$C,盘货信息!$L:$L)="否",_xlfn.XLOOKUP($A233&amp;$B233&amp;$C233,盘货信息!$A:$A&amp;盘货信息!$B:$B&amp;盘货信息!$C:$C,盘货信息!$L:$L)="")),"【预估到手价"&amp;_xlfn.XLOOKUP($A233&amp;$B233&amp;$C233,盘货信息!$A:$A&amp;盘货信息!$B:$B&amp;盘货信息!$C:$C,盘货信息!$D:$D)&amp;"元】"&amp;CHAR(10)&amp;"【焕新补贴预估价"&amp;ROUND(_xlfn.XLOOKUP($A233&amp;$B233&amp;$C233,盘货信息!$A:$A&amp;盘货信息!$B:$B&amp;盘货信息!$C:$C,盘货信息!$E:$E),0)&amp;"元】","【焕新补贴预估价"&amp;ROUND(_xlfn.XLOOKUP($A233&amp;$B233&amp;$C233,盘货信息!$A:$A&amp;盘货信息!$B:$B&amp;盘货信息!$C:$C,盘货信息!$E:$E),0)&amp;"元】")))</f>
        <v/>
      </c>
      <c r="F233" s="27" t="str" cm="1">
        <f t="array" ref="F233">IF($C233="","",_xlfn.XLOOKUP($A233&amp;$B233&amp;$C233,盘货信息!$A:$A&amp;盘货信息!$B:$B&amp;盘货信息!$C:$C,盘货信息!$D:$D)&amp;"元到手价")</f>
        <v/>
      </c>
      <c r="G233" s="27" t="str" cm="1">
        <f t="array" ref="G233">IF($C233="","",IF(_xlfn.XLOOKUP($A233&amp;$B233&amp;$C233,盘货信息!$A:$A&amp;盘货信息!$B:$B&amp;盘货信息!$C:$C,盘货信息!$G:$G)&lt;1,"",ROUND(_xlfn.XLOOKUP($A233&amp;$B233&amp;$C233,盘货信息!$A:$A&amp;盘货信息!$B:$B&amp;盘货信息!$C:$C,盘货信息!$G:$G),0)&amp;"元88VIP立减"))</f>
        <v/>
      </c>
      <c r="H233" s="27" t="str" cm="1">
        <f t="array" ref="H233">IF($C233="","",IF(_xlfn.XLOOKUP($A233&amp;$B233&amp;$C233,盘货信息!$A:$A&amp;盘货信息!$B:$B&amp;盘货信息!$C:$C,盘货信息!$I:$I)&lt;1,"",_xlfn.XLOOKUP($A233&amp;$B233&amp;$C233,盘货信息!$A:$A&amp;盘货信息!$B:$B&amp;盘货信息!$C:$C,盘货信息!$I:$I)&amp;"元惊喜立减"))</f>
        <v/>
      </c>
      <c r="I233" s="27" t="str" cm="1">
        <f t="array" ref="I233">IF($C233="","",IF(_xlfn.XLOOKUP($A233&amp;$B233&amp;$C233,盘货信息!$A:$A&amp;盘货信息!$B:$B&amp;盘货信息!$C:$C,盘货信息!$H:$H)&lt;1,"",ROUND(_xlfn.XLOOKUP($A233&amp;$B233&amp;$C233,盘货信息!$A:$A&amp;盘货信息!$B:$B&amp;盘货信息!$C:$C,盘货信息!$H:$H),0)&amp;"元消费券"))</f>
        <v/>
      </c>
      <c r="J233" s="27" t="str" cm="1">
        <f t="array" ref="J233">IF($C233="","",IF(_xlfn.XLOOKUP($A233&amp;$B233&amp;$C233,盘货信息!$A:$A&amp;盘货信息!$B:$B&amp;盘货信息!$C:$C,盘货信息!$J:$J)&lt;1,"",ROUND(_xlfn.XLOOKUP($A233&amp;$B233&amp;$C233,盘货信息!$A:$A&amp;盘货信息!$B:$B&amp;盘货信息!$C:$C,盘货信息!$J:$J),0)&amp;"元限时补贴"))</f>
        <v/>
      </c>
      <c r="K233" s="27" t="str" cm="1">
        <f t="array" ref="K233">IF($C233="","",IF(_xlfn.XLOOKUP($A233&amp;$B233&amp;$C233,盘货信息!$A:$A&amp;盘货信息!$B:$B&amp;盘货信息!$C:$C,盘货信息!$K:$K)&lt;1,"",ROUND(_xlfn.XLOOKUP($A233&amp;$B233&amp;$C233,盘货信息!$A:$A&amp;盘货信息!$B:$B&amp;盘货信息!$C:$C,盘货信息!$K:$K),0)&amp;"元预估焕新补贴"))</f>
        <v/>
      </c>
      <c r="L233" s="27" t="str" cm="1">
        <f t="array" ref="L233">IF($C233="","",IF(AND(_xlfn.XLOOKUP($A233&amp;$B233&amp;$C233,盘货信息!$A:$A&amp;盘货信息!$B:$B&amp;盘货信息!$C:$C,盘货信息!$L:$L)="是",_xlfn.XLOOKUP($A233&amp;$B233&amp;$C233,盘货信息!$A:$A&amp;盘货信息!$B:$B&amp;盘货信息!$C:$C,盘货信息!$M:$M)="是",_xlfn.XLOOKUP($A233&amp;$B233&amp;$C233,盘货信息!$A:$A&amp;盘货信息!$B:$B&amp;盘货信息!$C:$C,盘货信息!$K:$K)&gt;0),"【全民可用，不限地址】",IF(AND(OR(_xlfn.XLOOKUP($A233&amp;$B233&amp;$C233,盘货信息!$A:$A&amp;盘货信息!$B:$B&amp;盘货信息!$C:$C,盘货信息!$L:$L)="否",_xlfn.XLOOKUP($A233&amp;$B233&amp;$C233,盘货信息!$A:$A&amp;盘货信息!$B:$B&amp;盘货信息!$C:$C,盘货信息!$L:$L)=""),_xlfn.XLOOKUP($A233&amp;$B233&amp;$C233,盘货信息!$A:$A&amp;盘货信息!$B:$B&amp;盘货信息!$C:$C,盘货信息!$M:$M)="是",_xlfn.XLOOKUP($A233&amp;$B233&amp;$C233,盘货信息!$A:$A&amp;盘货信息!$B:$B&amp;盘货信息!$C:$C,盘货信息!$K:$K)&gt;0),"【详情页领取】","")))</f>
        <v/>
      </c>
      <c r="M233" s="27" t="str" cm="1">
        <f t="array" ref="M233">IF($C233="","",IF(_xlfn.XLOOKUP($A233&amp;$B233&amp;$C233,盘货信息!$A:$A&amp;盘货信息!$B:$B&amp;盘货信息!$C:$C,盘货信息!$F:$F)&lt;1,"",_xlfn.XLOOKUP($A233&amp;$B233&amp;$C233,盘货信息!$A:$A&amp;盘货信息!$B:$B&amp;盘货信息!$C:$C,盘货信息!$F:$F)&amp;"元明卷"))</f>
        <v/>
      </c>
      <c r="N233" s="27" t="str">
        <f t="shared" si="7"/>
        <v/>
      </c>
      <c r="O233" s="27" t="str">
        <f>IF(I233="","","【消费券链接】"&amp;固定信息!$B$6)</f>
        <v/>
      </c>
    </row>
    <row r="234" customHeight="1" spans="1:15">
      <c r="A234" s="23" t="str">
        <f>IF(盘货信息!A234="","",盘货信息!A234)</f>
        <v/>
      </c>
      <c r="B234" s="26" t="str">
        <f>IF(盘货信息!B234="","",盘货信息!B234)</f>
        <v/>
      </c>
      <c r="C234" s="23" t="str">
        <f>IF(盘货信息!C234="","",盘货信息!C234)</f>
        <v/>
      </c>
      <c r="D234" s="27" t="str">
        <f t="shared" si="6"/>
        <v/>
      </c>
      <c r="E234" s="27" t="str" cm="1">
        <f t="array" ref="E234">IF($C234="","",IF(AND(OR(_xlfn.XLOOKUP($A234&amp;$B234&amp;$C234,盘货信息!$A:$A&amp;盘货信息!$B:$B&amp;盘货信息!$C:$C,盘货信息!$L:$L)="否",_xlfn.XLOOKUP($A234&amp;$B234&amp;$C234,盘货信息!$A:$A&amp;盘货信息!$B:$B&amp;盘货信息!$C:$C,盘货信息!$L:$L)=""),_xlfn.XLOOKUP($A234&amp;$B234&amp;$C234,盘货信息!$A:$A&amp;盘货信息!$B:$B&amp;盘货信息!$C:$C,盘货信息!$M:$M)="否"),"【预估到手价"&amp;_xlfn.XLOOKUP($A234&amp;$B234&amp;$C234,盘货信息!$A:$A&amp;盘货信息!$B:$B&amp;盘货信息!$C:$C,盘货信息!$D:$D)&amp;"元】",IF(AND(_xlfn.XLOOKUP($A234&amp;$B234&amp;$C234,盘货信息!$A:$A&amp;盘货信息!$B:$B&amp;盘货信息!$C:$C,盘货信息!$M:$M)="是",OR(_xlfn.XLOOKUP($A234&amp;$B234&amp;$C234,盘货信息!$A:$A&amp;盘货信息!$B:$B&amp;盘货信息!$C:$C,盘货信息!$L:$L)="否",_xlfn.XLOOKUP($A234&amp;$B234&amp;$C234,盘货信息!$A:$A&amp;盘货信息!$B:$B&amp;盘货信息!$C:$C,盘货信息!$L:$L)="")),"【预估到手价"&amp;_xlfn.XLOOKUP($A234&amp;$B234&amp;$C234,盘货信息!$A:$A&amp;盘货信息!$B:$B&amp;盘货信息!$C:$C,盘货信息!$D:$D)&amp;"元】"&amp;CHAR(10)&amp;"【焕新补贴预估价"&amp;ROUND(_xlfn.XLOOKUP($A234&amp;$B234&amp;$C234,盘货信息!$A:$A&amp;盘货信息!$B:$B&amp;盘货信息!$C:$C,盘货信息!$E:$E),0)&amp;"元】","【焕新补贴预估价"&amp;ROUND(_xlfn.XLOOKUP($A234&amp;$B234&amp;$C234,盘货信息!$A:$A&amp;盘货信息!$B:$B&amp;盘货信息!$C:$C,盘货信息!$E:$E),0)&amp;"元】")))</f>
        <v/>
      </c>
      <c r="F234" s="27" t="str" cm="1">
        <f t="array" ref="F234">IF($C234="","",_xlfn.XLOOKUP($A234&amp;$B234&amp;$C234,盘货信息!$A:$A&amp;盘货信息!$B:$B&amp;盘货信息!$C:$C,盘货信息!$D:$D)&amp;"元到手价")</f>
        <v/>
      </c>
      <c r="G234" s="27" t="str" cm="1">
        <f t="array" ref="G234">IF($C234="","",IF(_xlfn.XLOOKUP($A234&amp;$B234&amp;$C234,盘货信息!$A:$A&amp;盘货信息!$B:$B&amp;盘货信息!$C:$C,盘货信息!$G:$G)&lt;1,"",ROUND(_xlfn.XLOOKUP($A234&amp;$B234&amp;$C234,盘货信息!$A:$A&amp;盘货信息!$B:$B&amp;盘货信息!$C:$C,盘货信息!$G:$G),0)&amp;"元88VIP立减"))</f>
        <v/>
      </c>
      <c r="H234" s="27" t="str" cm="1">
        <f t="array" ref="H234">IF($C234="","",IF(_xlfn.XLOOKUP($A234&amp;$B234&amp;$C234,盘货信息!$A:$A&amp;盘货信息!$B:$B&amp;盘货信息!$C:$C,盘货信息!$I:$I)&lt;1,"",_xlfn.XLOOKUP($A234&amp;$B234&amp;$C234,盘货信息!$A:$A&amp;盘货信息!$B:$B&amp;盘货信息!$C:$C,盘货信息!$I:$I)&amp;"元惊喜立减"))</f>
        <v/>
      </c>
      <c r="I234" s="27" t="str" cm="1">
        <f t="array" ref="I234">IF($C234="","",IF(_xlfn.XLOOKUP($A234&amp;$B234&amp;$C234,盘货信息!$A:$A&amp;盘货信息!$B:$B&amp;盘货信息!$C:$C,盘货信息!$H:$H)&lt;1,"",ROUND(_xlfn.XLOOKUP($A234&amp;$B234&amp;$C234,盘货信息!$A:$A&amp;盘货信息!$B:$B&amp;盘货信息!$C:$C,盘货信息!$H:$H),0)&amp;"元消费券"))</f>
        <v/>
      </c>
      <c r="J234" s="27" t="str" cm="1">
        <f t="array" ref="J234">IF($C234="","",IF(_xlfn.XLOOKUP($A234&amp;$B234&amp;$C234,盘货信息!$A:$A&amp;盘货信息!$B:$B&amp;盘货信息!$C:$C,盘货信息!$J:$J)&lt;1,"",ROUND(_xlfn.XLOOKUP($A234&amp;$B234&amp;$C234,盘货信息!$A:$A&amp;盘货信息!$B:$B&amp;盘货信息!$C:$C,盘货信息!$J:$J),0)&amp;"元限时补贴"))</f>
        <v/>
      </c>
      <c r="K234" s="27" t="str" cm="1">
        <f t="array" ref="K234">IF($C234="","",IF(_xlfn.XLOOKUP($A234&amp;$B234&amp;$C234,盘货信息!$A:$A&amp;盘货信息!$B:$B&amp;盘货信息!$C:$C,盘货信息!$K:$K)&lt;1,"",ROUND(_xlfn.XLOOKUP($A234&amp;$B234&amp;$C234,盘货信息!$A:$A&amp;盘货信息!$B:$B&amp;盘货信息!$C:$C,盘货信息!$K:$K),0)&amp;"元预估焕新补贴"))</f>
        <v/>
      </c>
      <c r="L234" s="27" t="str" cm="1">
        <f t="array" ref="L234">IF($C234="","",IF(AND(_xlfn.XLOOKUP($A234&amp;$B234&amp;$C234,盘货信息!$A:$A&amp;盘货信息!$B:$B&amp;盘货信息!$C:$C,盘货信息!$L:$L)="是",_xlfn.XLOOKUP($A234&amp;$B234&amp;$C234,盘货信息!$A:$A&amp;盘货信息!$B:$B&amp;盘货信息!$C:$C,盘货信息!$M:$M)="是",_xlfn.XLOOKUP($A234&amp;$B234&amp;$C234,盘货信息!$A:$A&amp;盘货信息!$B:$B&amp;盘货信息!$C:$C,盘货信息!$K:$K)&gt;0),"【全民可用，不限地址】",IF(AND(OR(_xlfn.XLOOKUP($A234&amp;$B234&amp;$C234,盘货信息!$A:$A&amp;盘货信息!$B:$B&amp;盘货信息!$C:$C,盘货信息!$L:$L)="否",_xlfn.XLOOKUP($A234&amp;$B234&amp;$C234,盘货信息!$A:$A&amp;盘货信息!$B:$B&amp;盘货信息!$C:$C,盘货信息!$L:$L)=""),_xlfn.XLOOKUP($A234&amp;$B234&amp;$C234,盘货信息!$A:$A&amp;盘货信息!$B:$B&amp;盘货信息!$C:$C,盘货信息!$M:$M)="是",_xlfn.XLOOKUP($A234&amp;$B234&amp;$C234,盘货信息!$A:$A&amp;盘货信息!$B:$B&amp;盘货信息!$C:$C,盘货信息!$K:$K)&gt;0),"【详情页领取】","")))</f>
        <v/>
      </c>
      <c r="M234" s="27" t="str" cm="1">
        <f t="array" ref="M234">IF($C234="","",IF(_xlfn.XLOOKUP($A234&amp;$B234&amp;$C234,盘货信息!$A:$A&amp;盘货信息!$B:$B&amp;盘货信息!$C:$C,盘货信息!$F:$F)&lt;1,"",_xlfn.XLOOKUP($A234&amp;$B234&amp;$C234,盘货信息!$A:$A&amp;盘货信息!$B:$B&amp;盘货信息!$C:$C,盘货信息!$F:$F)&amp;"元明卷"))</f>
        <v/>
      </c>
      <c r="N234" s="27" t="str">
        <f t="shared" si="7"/>
        <v/>
      </c>
      <c r="O234" s="27" t="str">
        <f>IF(I234="","","【消费券链接】"&amp;固定信息!$B$6)</f>
        <v/>
      </c>
    </row>
    <row r="235" customHeight="1" spans="1:15">
      <c r="A235" s="23" t="str">
        <f>IF(盘货信息!A235="","",盘货信息!A235)</f>
        <v/>
      </c>
      <c r="B235" s="26" t="str">
        <f>IF(盘货信息!B235="","",盘货信息!B235)</f>
        <v/>
      </c>
      <c r="C235" s="23" t="str">
        <f>IF(盘货信息!C235="","",盘货信息!C235)</f>
        <v/>
      </c>
      <c r="D235" s="27" t="str">
        <f t="shared" si="6"/>
        <v/>
      </c>
      <c r="E235" s="27" t="str" cm="1">
        <f t="array" ref="E235">IF($C235="","",IF(AND(OR(_xlfn.XLOOKUP($A235&amp;$B235&amp;$C235,盘货信息!$A:$A&amp;盘货信息!$B:$B&amp;盘货信息!$C:$C,盘货信息!$L:$L)="否",_xlfn.XLOOKUP($A235&amp;$B235&amp;$C235,盘货信息!$A:$A&amp;盘货信息!$B:$B&amp;盘货信息!$C:$C,盘货信息!$L:$L)=""),_xlfn.XLOOKUP($A235&amp;$B235&amp;$C235,盘货信息!$A:$A&amp;盘货信息!$B:$B&amp;盘货信息!$C:$C,盘货信息!$M:$M)="否"),"【预估到手价"&amp;_xlfn.XLOOKUP($A235&amp;$B235&amp;$C235,盘货信息!$A:$A&amp;盘货信息!$B:$B&amp;盘货信息!$C:$C,盘货信息!$D:$D)&amp;"元】",IF(AND(_xlfn.XLOOKUP($A235&amp;$B235&amp;$C235,盘货信息!$A:$A&amp;盘货信息!$B:$B&amp;盘货信息!$C:$C,盘货信息!$M:$M)="是",OR(_xlfn.XLOOKUP($A235&amp;$B235&amp;$C235,盘货信息!$A:$A&amp;盘货信息!$B:$B&amp;盘货信息!$C:$C,盘货信息!$L:$L)="否",_xlfn.XLOOKUP($A235&amp;$B235&amp;$C235,盘货信息!$A:$A&amp;盘货信息!$B:$B&amp;盘货信息!$C:$C,盘货信息!$L:$L)="")),"【预估到手价"&amp;_xlfn.XLOOKUP($A235&amp;$B235&amp;$C235,盘货信息!$A:$A&amp;盘货信息!$B:$B&amp;盘货信息!$C:$C,盘货信息!$D:$D)&amp;"元】"&amp;CHAR(10)&amp;"【焕新补贴预估价"&amp;ROUND(_xlfn.XLOOKUP($A235&amp;$B235&amp;$C235,盘货信息!$A:$A&amp;盘货信息!$B:$B&amp;盘货信息!$C:$C,盘货信息!$E:$E),0)&amp;"元】","【焕新补贴预估价"&amp;ROUND(_xlfn.XLOOKUP($A235&amp;$B235&amp;$C235,盘货信息!$A:$A&amp;盘货信息!$B:$B&amp;盘货信息!$C:$C,盘货信息!$E:$E),0)&amp;"元】")))</f>
        <v/>
      </c>
      <c r="F235" s="27" t="str" cm="1">
        <f t="array" ref="F235">IF($C235="","",_xlfn.XLOOKUP($A235&amp;$B235&amp;$C235,盘货信息!$A:$A&amp;盘货信息!$B:$B&amp;盘货信息!$C:$C,盘货信息!$D:$D)&amp;"元到手价")</f>
        <v/>
      </c>
      <c r="G235" s="27" t="str" cm="1">
        <f t="array" ref="G235">IF($C235="","",IF(_xlfn.XLOOKUP($A235&amp;$B235&amp;$C235,盘货信息!$A:$A&amp;盘货信息!$B:$B&amp;盘货信息!$C:$C,盘货信息!$G:$G)&lt;1,"",ROUND(_xlfn.XLOOKUP($A235&amp;$B235&amp;$C235,盘货信息!$A:$A&amp;盘货信息!$B:$B&amp;盘货信息!$C:$C,盘货信息!$G:$G),0)&amp;"元88VIP立减"))</f>
        <v/>
      </c>
      <c r="H235" s="27" t="str" cm="1">
        <f t="array" ref="H235">IF($C235="","",IF(_xlfn.XLOOKUP($A235&amp;$B235&amp;$C235,盘货信息!$A:$A&amp;盘货信息!$B:$B&amp;盘货信息!$C:$C,盘货信息!$I:$I)&lt;1,"",_xlfn.XLOOKUP($A235&amp;$B235&amp;$C235,盘货信息!$A:$A&amp;盘货信息!$B:$B&amp;盘货信息!$C:$C,盘货信息!$I:$I)&amp;"元惊喜立减"))</f>
        <v/>
      </c>
      <c r="I235" s="27" t="str" cm="1">
        <f t="array" ref="I235">IF($C235="","",IF(_xlfn.XLOOKUP($A235&amp;$B235&amp;$C235,盘货信息!$A:$A&amp;盘货信息!$B:$B&amp;盘货信息!$C:$C,盘货信息!$H:$H)&lt;1,"",ROUND(_xlfn.XLOOKUP($A235&amp;$B235&amp;$C235,盘货信息!$A:$A&amp;盘货信息!$B:$B&amp;盘货信息!$C:$C,盘货信息!$H:$H),0)&amp;"元消费券"))</f>
        <v/>
      </c>
      <c r="J235" s="27" t="str" cm="1">
        <f t="array" ref="J235">IF($C235="","",IF(_xlfn.XLOOKUP($A235&amp;$B235&amp;$C235,盘货信息!$A:$A&amp;盘货信息!$B:$B&amp;盘货信息!$C:$C,盘货信息!$J:$J)&lt;1,"",ROUND(_xlfn.XLOOKUP($A235&amp;$B235&amp;$C235,盘货信息!$A:$A&amp;盘货信息!$B:$B&amp;盘货信息!$C:$C,盘货信息!$J:$J),0)&amp;"元限时补贴"))</f>
        <v/>
      </c>
      <c r="K235" s="27" t="str" cm="1">
        <f t="array" ref="K235">IF($C235="","",IF(_xlfn.XLOOKUP($A235&amp;$B235&amp;$C235,盘货信息!$A:$A&amp;盘货信息!$B:$B&amp;盘货信息!$C:$C,盘货信息!$K:$K)&lt;1,"",ROUND(_xlfn.XLOOKUP($A235&amp;$B235&amp;$C235,盘货信息!$A:$A&amp;盘货信息!$B:$B&amp;盘货信息!$C:$C,盘货信息!$K:$K),0)&amp;"元预估焕新补贴"))</f>
        <v/>
      </c>
      <c r="L235" s="27" t="str" cm="1">
        <f t="array" ref="L235">IF($C235="","",IF(AND(_xlfn.XLOOKUP($A235&amp;$B235&amp;$C235,盘货信息!$A:$A&amp;盘货信息!$B:$B&amp;盘货信息!$C:$C,盘货信息!$L:$L)="是",_xlfn.XLOOKUP($A235&amp;$B235&amp;$C235,盘货信息!$A:$A&amp;盘货信息!$B:$B&amp;盘货信息!$C:$C,盘货信息!$M:$M)="是",_xlfn.XLOOKUP($A235&amp;$B235&amp;$C235,盘货信息!$A:$A&amp;盘货信息!$B:$B&amp;盘货信息!$C:$C,盘货信息!$K:$K)&gt;0),"【全民可用，不限地址】",IF(AND(OR(_xlfn.XLOOKUP($A235&amp;$B235&amp;$C235,盘货信息!$A:$A&amp;盘货信息!$B:$B&amp;盘货信息!$C:$C,盘货信息!$L:$L)="否",_xlfn.XLOOKUP($A235&amp;$B235&amp;$C235,盘货信息!$A:$A&amp;盘货信息!$B:$B&amp;盘货信息!$C:$C,盘货信息!$L:$L)=""),_xlfn.XLOOKUP($A235&amp;$B235&amp;$C235,盘货信息!$A:$A&amp;盘货信息!$B:$B&amp;盘货信息!$C:$C,盘货信息!$M:$M)="是",_xlfn.XLOOKUP($A235&amp;$B235&amp;$C235,盘货信息!$A:$A&amp;盘货信息!$B:$B&amp;盘货信息!$C:$C,盘货信息!$K:$K)&gt;0),"【详情页领取】","")))</f>
        <v/>
      </c>
      <c r="M235" s="27" t="str" cm="1">
        <f t="array" ref="M235">IF($C235="","",IF(_xlfn.XLOOKUP($A235&amp;$B235&amp;$C235,盘货信息!$A:$A&amp;盘货信息!$B:$B&amp;盘货信息!$C:$C,盘货信息!$F:$F)&lt;1,"",_xlfn.XLOOKUP($A235&amp;$B235&amp;$C235,盘货信息!$A:$A&amp;盘货信息!$B:$B&amp;盘货信息!$C:$C,盘货信息!$F:$F)&amp;"元明卷"))</f>
        <v/>
      </c>
      <c r="N235" s="27" t="str">
        <f t="shared" si="7"/>
        <v/>
      </c>
      <c r="O235" s="27" t="str">
        <f>IF(I235="","","【消费券链接】"&amp;固定信息!$B$6)</f>
        <v/>
      </c>
    </row>
    <row r="236" customHeight="1" spans="1:15">
      <c r="A236" s="23" t="str">
        <f>IF(盘货信息!A236="","",盘货信息!A236)</f>
        <v/>
      </c>
      <c r="B236" s="26" t="str">
        <f>IF(盘货信息!B236="","",盘货信息!B236)</f>
        <v/>
      </c>
      <c r="C236" s="23" t="str">
        <f>IF(盘货信息!C236="","",盘货信息!C236)</f>
        <v/>
      </c>
      <c r="D236" s="27" t="str">
        <f t="shared" si="6"/>
        <v/>
      </c>
      <c r="E236" s="27" t="str" cm="1">
        <f t="array" ref="E236">IF($C236="","",IF(AND(OR(_xlfn.XLOOKUP($A236&amp;$B236&amp;$C236,盘货信息!$A:$A&amp;盘货信息!$B:$B&amp;盘货信息!$C:$C,盘货信息!$L:$L)="否",_xlfn.XLOOKUP($A236&amp;$B236&amp;$C236,盘货信息!$A:$A&amp;盘货信息!$B:$B&amp;盘货信息!$C:$C,盘货信息!$L:$L)=""),_xlfn.XLOOKUP($A236&amp;$B236&amp;$C236,盘货信息!$A:$A&amp;盘货信息!$B:$B&amp;盘货信息!$C:$C,盘货信息!$M:$M)="否"),"【预估到手价"&amp;_xlfn.XLOOKUP($A236&amp;$B236&amp;$C236,盘货信息!$A:$A&amp;盘货信息!$B:$B&amp;盘货信息!$C:$C,盘货信息!$D:$D)&amp;"元】",IF(AND(_xlfn.XLOOKUP($A236&amp;$B236&amp;$C236,盘货信息!$A:$A&amp;盘货信息!$B:$B&amp;盘货信息!$C:$C,盘货信息!$M:$M)="是",OR(_xlfn.XLOOKUP($A236&amp;$B236&amp;$C236,盘货信息!$A:$A&amp;盘货信息!$B:$B&amp;盘货信息!$C:$C,盘货信息!$L:$L)="否",_xlfn.XLOOKUP($A236&amp;$B236&amp;$C236,盘货信息!$A:$A&amp;盘货信息!$B:$B&amp;盘货信息!$C:$C,盘货信息!$L:$L)="")),"【预估到手价"&amp;_xlfn.XLOOKUP($A236&amp;$B236&amp;$C236,盘货信息!$A:$A&amp;盘货信息!$B:$B&amp;盘货信息!$C:$C,盘货信息!$D:$D)&amp;"元】"&amp;CHAR(10)&amp;"【焕新补贴预估价"&amp;ROUND(_xlfn.XLOOKUP($A236&amp;$B236&amp;$C236,盘货信息!$A:$A&amp;盘货信息!$B:$B&amp;盘货信息!$C:$C,盘货信息!$E:$E),0)&amp;"元】","【焕新补贴预估价"&amp;ROUND(_xlfn.XLOOKUP($A236&amp;$B236&amp;$C236,盘货信息!$A:$A&amp;盘货信息!$B:$B&amp;盘货信息!$C:$C,盘货信息!$E:$E),0)&amp;"元】")))</f>
        <v/>
      </c>
      <c r="F236" s="27" t="str" cm="1">
        <f t="array" ref="F236">IF($C236="","",_xlfn.XLOOKUP($A236&amp;$B236&amp;$C236,盘货信息!$A:$A&amp;盘货信息!$B:$B&amp;盘货信息!$C:$C,盘货信息!$D:$D)&amp;"元到手价")</f>
        <v/>
      </c>
      <c r="G236" s="27" t="str" cm="1">
        <f t="array" ref="G236">IF($C236="","",IF(_xlfn.XLOOKUP($A236&amp;$B236&amp;$C236,盘货信息!$A:$A&amp;盘货信息!$B:$B&amp;盘货信息!$C:$C,盘货信息!$G:$G)&lt;1,"",ROUND(_xlfn.XLOOKUP($A236&amp;$B236&amp;$C236,盘货信息!$A:$A&amp;盘货信息!$B:$B&amp;盘货信息!$C:$C,盘货信息!$G:$G),0)&amp;"元88VIP立减"))</f>
        <v/>
      </c>
      <c r="H236" s="27" t="str" cm="1">
        <f t="array" ref="H236">IF($C236="","",IF(_xlfn.XLOOKUP($A236&amp;$B236&amp;$C236,盘货信息!$A:$A&amp;盘货信息!$B:$B&amp;盘货信息!$C:$C,盘货信息!$I:$I)&lt;1,"",_xlfn.XLOOKUP($A236&amp;$B236&amp;$C236,盘货信息!$A:$A&amp;盘货信息!$B:$B&amp;盘货信息!$C:$C,盘货信息!$I:$I)&amp;"元惊喜立减"))</f>
        <v/>
      </c>
      <c r="I236" s="27" t="str" cm="1">
        <f t="array" ref="I236">IF($C236="","",IF(_xlfn.XLOOKUP($A236&amp;$B236&amp;$C236,盘货信息!$A:$A&amp;盘货信息!$B:$B&amp;盘货信息!$C:$C,盘货信息!$H:$H)&lt;1,"",ROUND(_xlfn.XLOOKUP($A236&amp;$B236&amp;$C236,盘货信息!$A:$A&amp;盘货信息!$B:$B&amp;盘货信息!$C:$C,盘货信息!$H:$H),0)&amp;"元消费券"))</f>
        <v/>
      </c>
      <c r="J236" s="27" t="str" cm="1">
        <f t="array" ref="J236">IF($C236="","",IF(_xlfn.XLOOKUP($A236&amp;$B236&amp;$C236,盘货信息!$A:$A&amp;盘货信息!$B:$B&amp;盘货信息!$C:$C,盘货信息!$J:$J)&lt;1,"",ROUND(_xlfn.XLOOKUP($A236&amp;$B236&amp;$C236,盘货信息!$A:$A&amp;盘货信息!$B:$B&amp;盘货信息!$C:$C,盘货信息!$J:$J),0)&amp;"元限时补贴"))</f>
        <v/>
      </c>
      <c r="K236" s="27" t="str" cm="1">
        <f t="array" ref="K236">IF($C236="","",IF(_xlfn.XLOOKUP($A236&amp;$B236&amp;$C236,盘货信息!$A:$A&amp;盘货信息!$B:$B&amp;盘货信息!$C:$C,盘货信息!$K:$K)&lt;1,"",ROUND(_xlfn.XLOOKUP($A236&amp;$B236&amp;$C236,盘货信息!$A:$A&amp;盘货信息!$B:$B&amp;盘货信息!$C:$C,盘货信息!$K:$K),0)&amp;"元预估焕新补贴"))</f>
        <v/>
      </c>
      <c r="L236" s="27" t="str" cm="1">
        <f t="array" ref="L236">IF($C236="","",IF(AND(_xlfn.XLOOKUP($A236&amp;$B236&amp;$C236,盘货信息!$A:$A&amp;盘货信息!$B:$B&amp;盘货信息!$C:$C,盘货信息!$L:$L)="是",_xlfn.XLOOKUP($A236&amp;$B236&amp;$C236,盘货信息!$A:$A&amp;盘货信息!$B:$B&amp;盘货信息!$C:$C,盘货信息!$M:$M)="是",_xlfn.XLOOKUP($A236&amp;$B236&amp;$C236,盘货信息!$A:$A&amp;盘货信息!$B:$B&amp;盘货信息!$C:$C,盘货信息!$K:$K)&gt;0),"【全民可用，不限地址】",IF(AND(OR(_xlfn.XLOOKUP($A236&amp;$B236&amp;$C236,盘货信息!$A:$A&amp;盘货信息!$B:$B&amp;盘货信息!$C:$C,盘货信息!$L:$L)="否",_xlfn.XLOOKUP($A236&amp;$B236&amp;$C236,盘货信息!$A:$A&amp;盘货信息!$B:$B&amp;盘货信息!$C:$C,盘货信息!$L:$L)=""),_xlfn.XLOOKUP($A236&amp;$B236&amp;$C236,盘货信息!$A:$A&amp;盘货信息!$B:$B&amp;盘货信息!$C:$C,盘货信息!$M:$M)="是",_xlfn.XLOOKUP($A236&amp;$B236&amp;$C236,盘货信息!$A:$A&amp;盘货信息!$B:$B&amp;盘货信息!$C:$C,盘货信息!$K:$K)&gt;0),"【详情页领取】","")))</f>
        <v/>
      </c>
      <c r="M236" s="27" t="str" cm="1">
        <f t="array" ref="M236">IF($C236="","",IF(_xlfn.XLOOKUP($A236&amp;$B236&amp;$C236,盘货信息!$A:$A&amp;盘货信息!$B:$B&amp;盘货信息!$C:$C,盘货信息!$F:$F)&lt;1,"",_xlfn.XLOOKUP($A236&amp;$B236&amp;$C236,盘货信息!$A:$A&amp;盘货信息!$B:$B&amp;盘货信息!$C:$C,盘货信息!$F:$F)&amp;"元明卷"))</f>
        <v/>
      </c>
      <c r="N236" s="27" t="str">
        <f t="shared" si="7"/>
        <v/>
      </c>
      <c r="O236" s="27" t="str">
        <f>IF(I236="","","【消费券链接】"&amp;固定信息!$B$6)</f>
        <v/>
      </c>
    </row>
    <row r="237" customHeight="1" spans="1:15">
      <c r="A237" s="23" t="str">
        <f>IF(盘货信息!A237="","",盘货信息!A237)</f>
        <v/>
      </c>
      <c r="B237" s="26" t="str">
        <f>IF(盘货信息!B237="","",盘货信息!B237)</f>
        <v/>
      </c>
      <c r="C237" s="23" t="str">
        <f>IF(盘货信息!C237="","",盘货信息!C237)</f>
        <v/>
      </c>
      <c r="D237" s="27" t="str">
        <f t="shared" si="6"/>
        <v/>
      </c>
      <c r="E237" s="27" t="str" cm="1">
        <f t="array" ref="E237">IF($C237="","",IF(AND(OR(_xlfn.XLOOKUP($A237&amp;$B237&amp;$C237,盘货信息!$A:$A&amp;盘货信息!$B:$B&amp;盘货信息!$C:$C,盘货信息!$L:$L)="否",_xlfn.XLOOKUP($A237&amp;$B237&amp;$C237,盘货信息!$A:$A&amp;盘货信息!$B:$B&amp;盘货信息!$C:$C,盘货信息!$L:$L)=""),_xlfn.XLOOKUP($A237&amp;$B237&amp;$C237,盘货信息!$A:$A&amp;盘货信息!$B:$B&amp;盘货信息!$C:$C,盘货信息!$M:$M)="否"),"【预估到手价"&amp;_xlfn.XLOOKUP($A237&amp;$B237&amp;$C237,盘货信息!$A:$A&amp;盘货信息!$B:$B&amp;盘货信息!$C:$C,盘货信息!$D:$D)&amp;"元】",IF(AND(_xlfn.XLOOKUP($A237&amp;$B237&amp;$C237,盘货信息!$A:$A&amp;盘货信息!$B:$B&amp;盘货信息!$C:$C,盘货信息!$M:$M)="是",OR(_xlfn.XLOOKUP($A237&amp;$B237&amp;$C237,盘货信息!$A:$A&amp;盘货信息!$B:$B&amp;盘货信息!$C:$C,盘货信息!$L:$L)="否",_xlfn.XLOOKUP($A237&amp;$B237&amp;$C237,盘货信息!$A:$A&amp;盘货信息!$B:$B&amp;盘货信息!$C:$C,盘货信息!$L:$L)="")),"【预估到手价"&amp;_xlfn.XLOOKUP($A237&amp;$B237&amp;$C237,盘货信息!$A:$A&amp;盘货信息!$B:$B&amp;盘货信息!$C:$C,盘货信息!$D:$D)&amp;"元】"&amp;CHAR(10)&amp;"【焕新补贴预估价"&amp;ROUND(_xlfn.XLOOKUP($A237&amp;$B237&amp;$C237,盘货信息!$A:$A&amp;盘货信息!$B:$B&amp;盘货信息!$C:$C,盘货信息!$E:$E),0)&amp;"元】","【焕新补贴预估价"&amp;ROUND(_xlfn.XLOOKUP($A237&amp;$B237&amp;$C237,盘货信息!$A:$A&amp;盘货信息!$B:$B&amp;盘货信息!$C:$C,盘货信息!$E:$E),0)&amp;"元】")))</f>
        <v/>
      </c>
      <c r="F237" s="27" t="str" cm="1">
        <f t="array" ref="F237">IF($C237="","",_xlfn.XLOOKUP($A237&amp;$B237&amp;$C237,盘货信息!$A:$A&amp;盘货信息!$B:$B&amp;盘货信息!$C:$C,盘货信息!$D:$D)&amp;"元到手价")</f>
        <v/>
      </c>
      <c r="G237" s="27" t="str" cm="1">
        <f t="array" ref="G237">IF($C237="","",IF(_xlfn.XLOOKUP($A237&amp;$B237&amp;$C237,盘货信息!$A:$A&amp;盘货信息!$B:$B&amp;盘货信息!$C:$C,盘货信息!$G:$G)&lt;1,"",ROUND(_xlfn.XLOOKUP($A237&amp;$B237&amp;$C237,盘货信息!$A:$A&amp;盘货信息!$B:$B&amp;盘货信息!$C:$C,盘货信息!$G:$G),0)&amp;"元88VIP立减"))</f>
        <v/>
      </c>
      <c r="H237" s="27" t="str" cm="1">
        <f t="array" ref="H237">IF($C237="","",IF(_xlfn.XLOOKUP($A237&amp;$B237&amp;$C237,盘货信息!$A:$A&amp;盘货信息!$B:$B&amp;盘货信息!$C:$C,盘货信息!$I:$I)&lt;1,"",_xlfn.XLOOKUP($A237&amp;$B237&amp;$C237,盘货信息!$A:$A&amp;盘货信息!$B:$B&amp;盘货信息!$C:$C,盘货信息!$I:$I)&amp;"元惊喜立减"))</f>
        <v/>
      </c>
      <c r="I237" s="27" t="str" cm="1">
        <f t="array" ref="I237">IF($C237="","",IF(_xlfn.XLOOKUP($A237&amp;$B237&amp;$C237,盘货信息!$A:$A&amp;盘货信息!$B:$B&amp;盘货信息!$C:$C,盘货信息!$H:$H)&lt;1,"",ROUND(_xlfn.XLOOKUP($A237&amp;$B237&amp;$C237,盘货信息!$A:$A&amp;盘货信息!$B:$B&amp;盘货信息!$C:$C,盘货信息!$H:$H),0)&amp;"元消费券"))</f>
        <v/>
      </c>
      <c r="J237" s="27" t="str" cm="1">
        <f t="array" ref="J237">IF($C237="","",IF(_xlfn.XLOOKUP($A237&amp;$B237&amp;$C237,盘货信息!$A:$A&amp;盘货信息!$B:$B&amp;盘货信息!$C:$C,盘货信息!$J:$J)&lt;1,"",ROUND(_xlfn.XLOOKUP($A237&amp;$B237&amp;$C237,盘货信息!$A:$A&amp;盘货信息!$B:$B&amp;盘货信息!$C:$C,盘货信息!$J:$J),0)&amp;"元限时补贴"))</f>
        <v/>
      </c>
      <c r="K237" s="27" t="str" cm="1">
        <f t="array" ref="K237">IF($C237="","",IF(_xlfn.XLOOKUP($A237&amp;$B237&amp;$C237,盘货信息!$A:$A&amp;盘货信息!$B:$B&amp;盘货信息!$C:$C,盘货信息!$K:$K)&lt;1,"",ROUND(_xlfn.XLOOKUP($A237&amp;$B237&amp;$C237,盘货信息!$A:$A&amp;盘货信息!$B:$B&amp;盘货信息!$C:$C,盘货信息!$K:$K),0)&amp;"元预估焕新补贴"))</f>
        <v/>
      </c>
      <c r="L237" s="27" t="str" cm="1">
        <f t="array" ref="L237">IF($C237="","",IF(AND(_xlfn.XLOOKUP($A237&amp;$B237&amp;$C237,盘货信息!$A:$A&amp;盘货信息!$B:$B&amp;盘货信息!$C:$C,盘货信息!$L:$L)="是",_xlfn.XLOOKUP($A237&amp;$B237&amp;$C237,盘货信息!$A:$A&amp;盘货信息!$B:$B&amp;盘货信息!$C:$C,盘货信息!$M:$M)="是",_xlfn.XLOOKUP($A237&amp;$B237&amp;$C237,盘货信息!$A:$A&amp;盘货信息!$B:$B&amp;盘货信息!$C:$C,盘货信息!$K:$K)&gt;0),"【全民可用，不限地址】",IF(AND(OR(_xlfn.XLOOKUP($A237&amp;$B237&amp;$C237,盘货信息!$A:$A&amp;盘货信息!$B:$B&amp;盘货信息!$C:$C,盘货信息!$L:$L)="否",_xlfn.XLOOKUP($A237&amp;$B237&amp;$C237,盘货信息!$A:$A&amp;盘货信息!$B:$B&amp;盘货信息!$C:$C,盘货信息!$L:$L)=""),_xlfn.XLOOKUP($A237&amp;$B237&amp;$C237,盘货信息!$A:$A&amp;盘货信息!$B:$B&amp;盘货信息!$C:$C,盘货信息!$M:$M)="是",_xlfn.XLOOKUP($A237&amp;$B237&amp;$C237,盘货信息!$A:$A&amp;盘货信息!$B:$B&amp;盘货信息!$C:$C,盘货信息!$K:$K)&gt;0),"【详情页领取】","")))</f>
        <v/>
      </c>
      <c r="M237" s="27" t="str" cm="1">
        <f t="array" ref="M237">IF($C237="","",IF(_xlfn.XLOOKUP($A237&amp;$B237&amp;$C237,盘货信息!$A:$A&amp;盘货信息!$B:$B&amp;盘货信息!$C:$C,盘货信息!$F:$F)&lt;1,"",_xlfn.XLOOKUP($A237&amp;$B237&amp;$C237,盘货信息!$A:$A&amp;盘货信息!$B:$B&amp;盘货信息!$C:$C,盘货信息!$F:$F)&amp;"元明卷"))</f>
        <v/>
      </c>
      <c r="N237" s="27" t="str">
        <f t="shared" si="7"/>
        <v/>
      </c>
      <c r="O237" s="27" t="str">
        <f>IF(I237="","","【消费券链接】"&amp;固定信息!$B$6)</f>
        <v/>
      </c>
    </row>
    <row r="238" customHeight="1" spans="1:15">
      <c r="A238" s="23" t="str">
        <f>IF(盘货信息!A238="","",盘货信息!A238)</f>
        <v/>
      </c>
      <c r="B238" s="26" t="str">
        <f>IF(盘货信息!B238="","",盘货信息!B238)</f>
        <v/>
      </c>
      <c r="C238" s="23" t="str">
        <f>IF(盘货信息!C238="","",盘货信息!C238)</f>
        <v/>
      </c>
      <c r="D238" s="27" t="str">
        <f t="shared" si="6"/>
        <v/>
      </c>
      <c r="E238" s="27" t="str" cm="1">
        <f t="array" ref="E238">IF($C238="","",IF(AND(OR(_xlfn.XLOOKUP($A238&amp;$B238&amp;$C238,盘货信息!$A:$A&amp;盘货信息!$B:$B&amp;盘货信息!$C:$C,盘货信息!$L:$L)="否",_xlfn.XLOOKUP($A238&amp;$B238&amp;$C238,盘货信息!$A:$A&amp;盘货信息!$B:$B&amp;盘货信息!$C:$C,盘货信息!$L:$L)=""),_xlfn.XLOOKUP($A238&amp;$B238&amp;$C238,盘货信息!$A:$A&amp;盘货信息!$B:$B&amp;盘货信息!$C:$C,盘货信息!$M:$M)="否"),"【预估到手价"&amp;_xlfn.XLOOKUP($A238&amp;$B238&amp;$C238,盘货信息!$A:$A&amp;盘货信息!$B:$B&amp;盘货信息!$C:$C,盘货信息!$D:$D)&amp;"元】",IF(AND(_xlfn.XLOOKUP($A238&amp;$B238&amp;$C238,盘货信息!$A:$A&amp;盘货信息!$B:$B&amp;盘货信息!$C:$C,盘货信息!$M:$M)="是",OR(_xlfn.XLOOKUP($A238&amp;$B238&amp;$C238,盘货信息!$A:$A&amp;盘货信息!$B:$B&amp;盘货信息!$C:$C,盘货信息!$L:$L)="否",_xlfn.XLOOKUP($A238&amp;$B238&amp;$C238,盘货信息!$A:$A&amp;盘货信息!$B:$B&amp;盘货信息!$C:$C,盘货信息!$L:$L)="")),"【预估到手价"&amp;_xlfn.XLOOKUP($A238&amp;$B238&amp;$C238,盘货信息!$A:$A&amp;盘货信息!$B:$B&amp;盘货信息!$C:$C,盘货信息!$D:$D)&amp;"元】"&amp;CHAR(10)&amp;"【焕新补贴预估价"&amp;ROUND(_xlfn.XLOOKUP($A238&amp;$B238&amp;$C238,盘货信息!$A:$A&amp;盘货信息!$B:$B&amp;盘货信息!$C:$C,盘货信息!$E:$E),0)&amp;"元】","【焕新补贴预估价"&amp;ROUND(_xlfn.XLOOKUP($A238&amp;$B238&amp;$C238,盘货信息!$A:$A&amp;盘货信息!$B:$B&amp;盘货信息!$C:$C,盘货信息!$E:$E),0)&amp;"元】")))</f>
        <v/>
      </c>
      <c r="F238" s="27" t="str" cm="1">
        <f t="array" ref="F238">IF($C238="","",_xlfn.XLOOKUP($A238&amp;$B238&amp;$C238,盘货信息!$A:$A&amp;盘货信息!$B:$B&amp;盘货信息!$C:$C,盘货信息!$D:$D)&amp;"元到手价")</f>
        <v/>
      </c>
      <c r="G238" s="27" t="str" cm="1">
        <f t="array" ref="G238">IF($C238="","",IF(_xlfn.XLOOKUP($A238&amp;$B238&amp;$C238,盘货信息!$A:$A&amp;盘货信息!$B:$B&amp;盘货信息!$C:$C,盘货信息!$G:$G)&lt;1,"",ROUND(_xlfn.XLOOKUP($A238&amp;$B238&amp;$C238,盘货信息!$A:$A&amp;盘货信息!$B:$B&amp;盘货信息!$C:$C,盘货信息!$G:$G),0)&amp;"元88VIP立减"))</f>
        <v/>
      </c>
      <c r="H238" s="27" t="str" cm="1">
        <f t="array" ref="H238">IF($C238="","",IF(_xlfn.XLOOKUP($A238&amp;$B238&amp;$C238,盘货信息!$A:$A&amp;盘货信息!$B:$B&amp;盘货信息!$C:$C,盘货信息!$I:$I)&lt;1,"",_xlfn.XLOOKUP($A238&amp;$B238&amp;$C238,盘货信息!$A:$A&amp;盘货信息!$B:$B&amp;盘货信息!$C:$C,盘货信息!$I:$I)&amp;"元惊喜立减"))</f>
        <v/>
      </c>
      <c r="I238" s="27" t="str" cm="1">
        <f t="array" ref="I238">IF($C238="","",IF(_xlfn.XLOOKUP($A238&amp;$B238&amp;$C238,盘货信息!$A:$A&amp;盘货信息!$B:$B&amp;盘货信息!$C:$C,盘货信息!$H:$H)&lt;1,"",ROUND(_xlfn.XLOOKUP($A238&amp;$B238&amp;$C238,盘货信息!$A:$A&amp;盘货信息!$B:$B&amp;盘货信息!$C:$C,盘货信息!$H:$H),0)&amp;"元消费券"))</f>
        <v/>
      </c>
      <c r="J238" s="27" t="str" cm="1">
        <f t="array" ref="J238">IF($C238="","",IF(_xlfn.XLOOKUP($A238&amp;$B238&amp;$C238,盘货信息!$A:$A&amp;盘货信息!$B:$B&amp;盘货信息!$C:$C,盘货信息!$J:$J)&lt;1,"",ROUND(_xlfn.XLOOKUP($A238&amp;$B238&amp;$C238,盘货信息!$A:$A&amp;盘货信息!$B:$B&amp;盘货信息!$C:$C,盘货信息!$J:$J),0)&amp;"元限时补贴"))</f>
        <v/>
      </c>
      <c r="K238" s="27" t="str" cm="1">
        <f t="array" ref="K238">IF($C238="","",IF(_xlfn.XLOOKUP($A238&amp;$B238&amp;$C238,盘货信息!$A:$A&amp;盘货信息!$B:$B&amp;盘货信息!$C:$C,盘货信息!$K:$K)&lt;1,"",ROUND(_xlfn.XLOOKUP($A238&amp;$B238&amp;$C238,盘货信息!$A:$A&amp;盘货信息!$B:$B&amp;盘货信息!$C:$C,盘货信息!$K:$K),0)&amp;"元预估焕新补贴"))</f>
        <v/>
      </c>
      <c r="L238" s="27" t="str" cm="1">
        <f t="array" ref="L238">IF($C238="","",IF(AND(_xlfn.XLOOKUP($A238&amp;$B238&amp;$C238,盘货信息!$A:$A&amp;盘货信息!$B:$B&amp;盘货信息!$C:$C,盘货信息!$L:$L)="是",_xlfn.XLOOKUP($A238&amp;$B238&amp;$C238,盘货信息!$A:$A&amp;盘货信息!$B:$B&amp;盘货信息!$C:$C,盘货信息!$M:$M)="是",_xlfn.XLOOKUP($A238&amp;$B238&amp;$C238,盘货信息!$A:$A&amp;盘货信息!$B:$B&amp;盘货信息!$C:$C,盘货信息!$K:$K)&gt;0),"【全民可用，不限地址】",IF(AND(OR(_xlfn.XLOOKUP($A238&amp;$B238&amp;$C238,盘货信息!$A:$A&amp;盘货信息!$B:$B&amp;盘货信息!$C:$C,盘货信息!$L:$L)="否",_xlfn.XLOOKUP($A238&amp;$B238&amp;$C238,盘货信息!$A:$A&amp;盘货信息!$B:$B&amp;盘货信息!$C:$C,盘货信息!$L:$L)=""),_xlfn.XLOOKUP($A238&amp;$B238&amp;$C238,盘货信息!$A:$A&amp;盘货信息!$B:$B&amp;盘货信息!$C:$C,盘货信息!$M:$M)="是",_xlfn.XLOOKUP($A238&amp;$B238&amp;$C238,盘货信息!$A:$A&amp;盘货信息!$B:$B&amp;盘货信息!$C:$C,盘货信息!$K:$K)&gt;0),"【详情页领取】","")))</f>
        <v/>
      </c>
      <c r="M238" s="27" t="str" cm="1">
        <f t="array" ref="M238">IF($C238="","",IF(_xlfn.XLOOKUP($A238&amp;$B238&amp;$C238,盘货信息!$A:$A&amp;盘货信息!$B:$B&amp;盘货信息!$C:$C,盘货信息!$F:$F)&lt;1,"",_xlfn.XLOOKUP($A238&amp;$B238&amp;$C238,盘货信息!$A:$A&amp;盘货信息!$B:$B&amp;盘货信息!$C:$C,盘货信息!$F:$F)&amp;"元明卷"))</f>
        <v/>
      </c>
      <c r="N238" s="27" t="str">
        <f t="shared" si="7"/>
        <v/>
      </c>
      <c r="O238" s="27" t="str">
        <f>IF(I238="","","【消费券链接】"&amp;固定信息!$B$6)</f>
        <v/>
      </c>
    </row>
    <row r="239" customHeight="1" spans="1:15">
      <c r="A239" s="23" t="str">
        <f>IF(盘货信息!A239="","",盘货信息!A239)</f>
        <v/>
      </c>
      <c r="B239" s="26" t="str">
        <f>IF(盘货信息!B239="","",盘货信息!B239)</f>
        <v/>
      </c>
      <c r="C239" s="23" t="str">
        <f>IF(盘货信息!C239="","",盘货信息!C239)</f>
        <v/>
      </c>
      <c r="D239" s="27" t="str">
        <f t="shared" si="6"/>
        <v/>
      </c>
      <c r="E239" s="27" t="str" cm="1">
        <f t="array" ref="E239">IF($C239="","",IF(AND(OR(_xlfn.XLOOKUP($A239&amp;$B239&amp;$C239,盘货信息!$A:$A&amp;盘货信息!$B:$B&amp;盘货信息!$C:$C,盘货信息!$L:$L)="否",_xlfn.XLOOKUP($A239&amp;$B239&amp;$C239,盘货信息!$A:$A&amp;盘货信息!$B:$B&amp;盘货信息!$C:$C,盘货信息!$L:$L)=""),_xlfn.XLOOKUP($A239&amp;$B239&amp;$C239,盘货信息!$A:$A&amp;盘货信息!$B:$B&amp;盘货信息!$C:$C,盘货信息!$M:$M)="否"),"【预估到手价"&amp;_xlfn.XLOOKUP($A239&amp;$B239&amp;$C239,盘货信息!$A:$A&amp;盘货信息!$B:$B&amp;盘货信息!$C:$C,盘货信息!$D:$D)&amp;"元】",IF(AND(_xlfn.XLOOKUP($A239&amp;$B239&amp;$C239,盘货信息!$A:$A&amp;盘货信息!$B:$B&amp;盘货信息!$C:$C,盘货信息!$M:$M)="是",OR(_xlfn.XLOOKUP($A239&amp;$B239&amp;$C239,盘货信息!$A:$A&amp;盘货信息!$B:$B&amp;盘货信息!$C:$C,盘货信息!$L:$L)="否",_xlfn.XLOOKUP($A239&amp;$B239&amp;$C239,盘货信息!$A:$A&amp;盘货信息!$B:$B&amp;盘货信息!$C:$C,盘货信息!$L:$L)="")),"【预估到手价"&amp;_xlfn.XLOOKUP($A239&amp;$B239&amp;$C239,盘货信息!$A:$A&amp;盘货信息!$B:$B&amp;盘货信息!$C:$C,盘货信息!$D:$D)&amp;"元】"&amp;CHAR(10)&amp;"【焕新补贴预估价"&amp;ROUND(_xlfn.XLOOKUP($A239&amp;$B239&amp;$C239,盘货信息!$A:$A&amp;盘货信息!$B:$B&amp;盘货信息!$C:$C,盘货信息!$E:$E),0)&amp;"元】","【焕新补贴预估价"&amp;ROUND(_xlfn.XLOOKUP($A239&amp;$B239&amp;$C239,盘货信息!$A:$A&amp;盘货信息!$B:$B&amp;盘货信息!$C:$C,盘货信息!$E:$E),0)&amp;"元】")))</f>
        <v/>
      </c>
      <c r="F239" s="27" t="str" cm="1">
        <f t="array" ref="F239">IF($C239="","",_xlfn.XLOOKUP($A239&amp;$B239&amp;$C239,盘货信息!$A:$A&amp;盘货信息!$B:$B&amp;盘货信息!$C:$C,盘货信息!$D:$D)&amp;"元到手价")</f>
        <v/>
      </c>
      <c r="G239" s="27" t="str" cm="1">
        <f t="array" ref="G239">IF($C239="","",IF(_xlfn.XLOOKUP($A239&amp;$B239&amp;$C239,盘货信息!$A:$A&amp;盘货信息!$B:$B&amp;盘货信息!$C:$C,盘货信息!$G:$G)&lt;1,"",ROUND(_xlfn.XLOOKUP($A239&amp;$B239&amp;$C239,盘货信息!$A:$A&amp;盘货信息!$B:$B&amp;盘货信息!$C:$C,盘货信息!$G:$G),0)&amp;"元88VIP立减"))</f>
        <v/>
      </c>
      <c r="H239" s="27" t="str" cm="1">
        <f t="array" ref="H239">IF($C239="","",IF(_xlfn.XLOOKUP($A239&amp;$B239&amp;$C239,盘货信息!$A:$A&amp;盘货信息!$B:$B&amp;盘货信息!$C:$C,盘货信息!$I:$I)&lt;1,"",_xlfn.XLOOKUP($A239&amp;$B239&amp;$C239,盘货信息!$A:$A&amp;盘货信息!$B:$B&amp;盘货信息!$C:$C,盘货信息!$I:$I)&amp;"元惊喜立减"))</f>
        <v/>
      </c>
      <c r="I239" s="27" t="str" cm="1">
        <f t="array" ref="I239">IF($C239="","",IF(_xlfn.XLOOKUP($A239&amp;$B239&amp;$C239,盘货信息!$A:$A&amp;盘货信息!$B:$B&amp;盘货信息!$C:$C,盘货信息!$H:$H)&lt;1,"",ROUND(_xlfn.XLOOKUP($A239&amp;$B239&amp;$C239,盘货信息!$A:$A&amp;盘货信息!$B:$B&amp;盘货信息!$C:$C,盘货信息!$H:$H),0)&amp;"元消费券"))</f>
        <v/>
      </c>
      <c r="J239" s="27" t="str" cm="1">
        <f t="array" ref="J239">IF($C239="","",IF(_xlfn.XLOOKUP($A239&amp;$B239&amp;$C239,盘货信息!$A:$A&amp;盘货信息!$B:$B&amp;盘货信息!$C:$C,盘货信息!$J:$J)&lt;1,"",ROUND(_xlfn.XLOOKUP($A239&amp;$B239&amp;$C239,盘货信息!$A:$A&amp;盘货信息!$B:$B&amp;盘货信息!$C:$C,盘货信息!$J:$J),0)&amp;"元限时补贴"))</f>
        <v/>
      </c>
      <c r="K239" s="27" t="str" cm="1">
        <f t="array" ref="K239">IF($C239="","",IF(_xlfn.XLOOKUP($A239&amp;$B239&amp;$C239,盘货信息!$A:$A&amp;盘货信息!$B:$B&amp;盘货信息!$C:$C,盘货信息!$K:$K)&lt;1,"",ROUND(_xlfn.XLOOKUP($A239&amp;$B239&amp;$C239,盘货信息!$A:$A&amp;盘货信息!$B:$B&amp;盘货信息!$C:$C,盘货信息!$K:$K),0)&amp;"元预估焕新补贴"))</f>
        <v/>
      </c>
      <c r="L239" s="27" t="str" cm="1">
        <f t="array" ref="L239">IF($C239="","",IF(AND(_xlfn.XLOOKUP($A239&amp;$B239&amp;$C239,盘货信息!$A:$A&amp;盘货信息!$B:$B&amp;盘货信息!$C:$C,盘货信息!$L:$L)="是",_xlfn.XLOOKUP($A239&amp;$B239&amp;$C239,盘货信息!$A:$A&amp;盘货信息!$B:$B&amp;盘货信息!$C:$C,盘货信息!$M:$M)="是",_xlfn.XLOOKUP($A239&amp;$B239&amp;$C239,盘货信息!$A:$A&amp;盘货信息!$B:$B&amp;盘货信息!$C:$C,盘货信息!$K:$K)&gt;0),"【全民可用，不限地址】",IF(AND(OR(_xlfn.XLOOKUP($A239&amp;$B239&amp;$C239,盘货信息!$A:$A&amp;盘货信息!$B:$B&amp;盘货信息!$C:$C,盘货信息!$L:$L)="否",_xlfn.XLOOKUP($A239&amp;$B239&amp;$C239,盘货信息!$A:$A&amp;盘货信息!$B:$B&amp;盘货信息!$C:$C,盘货信息!$L:$L)=""),_xlfn.XLOOKUP($A239&amp;$B239&amp;$C239,盘货信息!$A:$A&amp;盘货信息!$B:$B&amp;盘货信息!$C:$C,盘货信息!$M:$M)="是",_xlfn.XLOOKUP($A239&amp;$B239&amp;$C239,盘货信息!$A:$A&amp;盘货信息!$B:$B&amp;盘货信息!$C:$C,盘货信息!$K:$K)&gt;0),"【详情页领取】","")))</f>
        <v/>
      </c>
      <c r="M239" s="27" t="str" cm="1">
        <f t="array" ref="M239">IF($C239="","",IF(_xlfn.XLOOKUP($A239&amp;$B239&amp;$C239,盘货信息!$A:$A&amp;盘货信息!$B:$B&amp;盘货信息!$C:$C,盘货信息!$F:$F)&lt;1,"",_xlfn.XLOOKUP($A239&amp;$B239&amp;$C239,盘货信息!$A:$A&amp;盘货信息!$B:$B&amp;盘货信息!$C:$C,盘货信息!$F:$F)&amp;"元明卷"))</f>
        <v/>
      </c>
      <c r="N239" s="27" t="str">
        <f t="shared" si="7"/>
        <v/>
      </c>
      <c r="O239" s="27" t="str">
        <f>IF(I239="","","【消费券链接】"&amp;固定信息!$B$6)</f>
        <v/>
      </c>
    </row>
    <row r="240" customHeight="1" spans="1:15">
      <c r="A240" s="23" t="str">
        <f>IF(盘货信息!A240="","",盘货信息!A240)</f>
        <v/>
      </c>
      <c r="B240" s="26" t="str">
        <f>IF(盘货信息!B240="","",盘货信息!B240)</f>
        <v/>
      </c>
      <c r="C240" s="23" t="str">
        <f>IF(盘货信息!C240="","",盘货信息!C240)</f>
        <v/>
      </c>
      <c r="D240" s="27" t="str">
        <f t="shared" si="6"/>
        <v/>
      </c>
      <c r="E240" s="27" t="str" cm="1">
        <f t="array" ref="E240">IF($C240="","",IF(AND(OR(_xlfn.XLOOKUP($A240&amp;$B240&amp;$C240,盘货信息!$A:$A&amp;盘货信息!$B:$B&amp;盘货信息!$C:$C,盘货信息!$L:$L)="否",_xlfn.XLOOKUP($A240&amp;$B240&amp;$C240,盘货信息!$A:$A&amp;盘货信息!$B:$B&amp;盘货信息!$C:$C,盘货信息!$L:$L)=""),_xlfn.XLOOKUP($A240&amp;$B240&amp;$C240,盘货信息!$A:$A&amp;盘货信息!$B:$B&amp;盘货信息!$C:$C,盘货信息!$M:$M)="否"),"【预估到手价"&amp;_xlfn.XLOOKUP($A240&amp;$B240&amp;$C240,盘货信息!$A:$A&amp;盘货信息!$B:$B&amp;盘货信息!$C:$C,盘货信息!$D:$D)&amp;"元】",IF(AND(_xlfn.XLOOKUP($A240&amp;$B240&amp;$C240,盘货信息!$A:$A&amp;盘货信息!$B:$B&amp;盘货信息!$C:$C,盘货信息!$M:$M)="是",OR(_xlfn.XLOOKUP($A240&amp;$B240&amp;$C240,盘货信息!$A:$A&amp;盘货信息!$B:$B&amp;盘货信息!$C:$C,盘货信息!$L:$L)="否",_xlfn.XLOOKUP($A240&amp;$B240&amp;$C240,盘货信息!$A:$A&amp;盘货信息!$B:$B&amp;盘货信息!$C:$C,盘货信息!$L:$L)="")),"【预估到手价"&amp;_xlfn.XLOOKUP($A240&amp;$B240&amp;$C240,盘货信息!$A:$A&amp;盘货信息!$B:$B&amp;盘货信息!$C:$C,盘货信息!$D:$D)&amp;"元】"&amp;CHAR(10)&amp;"【焕新补贴预估价"&amp;ROUND(_xlfn.XLOOKUP($A240&amp;$B240&amp;$C240,盘货信息!$A:$A&amp;盘货信息!$B:$B&amp;盘货信息!$C:$C,盘货信息!$E:$E),0)&amp;"元】","【焕新补贴预估价"&amp;ROUND(_xlfn.XLOOKUP($A240&amp;$B240&amp;$C240,盘货信息!$A:$A&amp;盘货信息!$B:$B&amp;盘货信息!$C:$C,盘货信息!$E:$E),0)&amp;"元】")))</f>
        <v/>
      </c>
      <c r="F240" s="27" t="str" cm="1">
        <f t="array" ref="F240">IF($C240="","",_xlfn.XLOOKUP($A240&amp;$B240&amp;$C240,盘货信息!$A:$A&amp;盘货信息!$B:$B&amp;盘货信息!$C:$C,盘货信息!$D:$D)&amp;"元到手价")</f>
        <v/>
      </c>
      <c r="G240" s="27" t="str" cm="1">
        <f t="array" ref="G240">IF($C240="","",IF(_xlfn.XLOOKUP($A240&amp;$B240&amp;$C240,盘货信息!$A:$A&amp;盘货信息!$B:$B&amp;盘货信息!$C:$C,盘货信息!$G:$G)&lt;1,"",ROUND(_xlfn.XLOOKUP($A240&amp;$B240&amp;$C240,盘货信息!$A:$A&amp;盘货信息!$B:$B&amp;盘货信息!$C:$C,盘货信息!$G:$G),0)&amp;"元88VIP立减"))</f>
        <v/>
      </c>
      <c r="H240" s="27" t="str" cm="1">
        <f t="array" ref="H240">IF($C240="","",IF(_xlfn.XLOOKUP($A240&amp;$B240&amp;$C240,盘货信息!$A:$A&amp;盘货信息!$B:$B&amp;盘货信息!$C:$C,盘货信息!$I:$I)&lt;1,"",_xlfn.XLOOKUP($A240&amp;$B240&amp;$C240,盘货信息!$A:$A&amp;盘货信息!$B:$B&amp;盘货信息!$C:$C,盘货信息!$I:$I)&amp;"元惊喜立减"))</f>
        <v/>
      </c>
      <c r="I240" s="27" t="str" cm="1">
        <f t="array" ref="I240">IF($C240="","",IF(_xlfn.XLOOKUP($A240&amp;$B240&amp;$C240,盘货信息!$A:$A&amp;盘货信息!$B:$B&amp;盘货信息!$C:$C,盘货信息!$H:$H)&lt;1,"",ROUND(_xlfn.XLOOKUP($A240&amp;$B240&amp;$C240,盘货信息!$A:$A&amp;盘货信息!$B:$B&amp;盘货信息!$C:$C,盘货信息!$H:$H),0)&amp;"元消费券"))</f>
        <v/>
      </c>
      <c r="J240" s="27" t="str" cm="1">
        <f t="array" ref="J240">IF($C240="","",IF(_xlfn.XLOOKUP($A240&amp;$B240&amp;$C240,盘货信息!$A:$A&amp;盘货信息!$B:$B&amp;盘货信息!$C:$C,盘货信息!$J:$J)&lt;1,"",ROUND(_xlfn.XLOOKUP($A240&amp;$B240&amp;$C240,盘货信息!$A:$A&amp;盘货信息!$B:$B&amp;盘货信息!$C:$C,盘货信息!$J:$J),0)&amp;"元限时补贴"))</f>
        <v/>
      </c>
      <c r="K240" s="27" t="str" cm="1">
        <f t="array" ref="K240">IF($C240="","",IF(_xlfn.XLOOKUP($A240&amp;$B240&amp;$C240,盘货信息!$A:$A&amp;盘货信息!$B:$B&amp;盘货信息!$C:$C,盘货信息!$K:$K)&lt;1,"",ROUND(_xlfn.XLOOKUP($A240&amp;$B240&amp;$C240,盘货信息!$A:$A&amp;盘货信息!$B:$B&amp;盘货信息!$C:$C,盘货信息!$K:$K),0)&amp;"元预估焕新补贴"))</f>
        <v/>
      </c>
      <c r="L240" s="27" t="str" cm="1">
        <f t="array" ref="L240">IF($C240="","",IF(AND(_xlfn.XLOOKUP($A240&amp;$B240&amp;$C240,盘货信息!$A:$A&amp;盘货信息!$B:$B&amp;盘货信息!$C:$C,盘货信息!$L:$L)="是",_xlfn.XLOOKUP($A240&amp;$B240&amp;$C240,盘货信息!$A:$A&amp;盘货信息!$B:$B&amp;盘货信息!$C:$C,盘货信息!$M:$M)="是",_xlfn.XLOOKUP($A240&amp;$B240&amp;$C240,盘货信息!$A:$A&amp;盘货信息!$B:$B&amp;盘货信息!$C:$C,盘货信息!$K:$K)&gt;0),"【全民可用，不限地址】",IF(AND(OR(_xlfn.XLOOKUP($A240&amp;$B240&amp;$C240,盘货信息!$A:$A&amp;盘货信息!$B:$B&amp;盘货信息!$C:$C,盘货信息!$L:$L)="否",_xlfn.XLOOKUP($A240&amp;$B240&amp;$C240,盘货信息!$A:$A&amp;盘货信息!$B:$B&amp;盘货信息!$C:$C,盘货信息!$L:$L)=""),_xlfn.XLOOKUP($A240&amp;$B240&amp;$C240,盘货信息!$A:$A&amp;盘货信息!$B:$B&amp;盘货信息!$C:$C,盘货信息!$M:$M)="是",_xlfn.XLOOKUP($A240&amp;$B240&amp;$C240,盘货信息!$A:$A&amp;盘货信息!$B:$B&amp;盘货信息!$C:$C,盘货信息!$K:$K)&gt;0),"【详情页领取】","")))</f>
        <v/>
      </c>
      <c r="M240" s="27" t="str" cm="1">
        <f t="array" ref="M240">IF($C240="","",IF(_xlfn.XLOOKUP($A240&amp;$B240&amp;$C240,盘货信息!$A:$A&amp;盘货信息!$B:$B&amp;盘货信息!$C:$C,盘货信息!$F:$F)&lt;1,"",_xlfn.XLOOKUP($A240&amp;$B240&amp;$C240,盘货信息!$A:$A&amp;盘货信息!$B:$B&amp;盘货信息!$C:$C,盘货信息!$F:$F)&amp;"元明卷"))</f>
        <v/>
      </c>
      <c r="N240" s="27" t="str">
        <f t="shared" si="7"/>
        <v/>
      </c>
      <c r="O240" s="27" t="str">
        <f>IF(I240="","","【消费券链接】"&amp;固定信息!$B$6)</f>
        <v/>
      </c>
    </row>
    <row r="241" customHeight="1" spans="1:15">
      <c r="A241" s="23" t="str">
        <f>IF(盘货信息!A241="","",盘货信息!A241)</f>
        <v/>
      </c>
      <c r="B241" s="26" t="str">
        <f>IF(盘货信息!B241="","",盘货信息!B241)</f>
        <v/>
      </c>
      <c r="C241" s="23" t="str">
        <f>IF(盘货信息!C241="","",盘货信息!C241)</f>
        <v/>
      </c>
      <c r="D241" s="27" t="str">
        <f t="shared" si="6"/>
        <v/>
      </c>
      <c r="E241" s="27" t="str" cm="1">
        <f t="array" ref="E241">IF($C241="","",IF(AND(OR(_xlfn.XLOOKUP($A241&amp;$B241&amp;$C241,盘货信息!$A:$A&amp;盘货信息!$B:$B&amp;盘货信息!$C:$C,盘货信息!$L:$L)="否",_xlfn.XLOOKUP($A241&amp;$B241&amp;$C241,盘货信息!$A:$A&amp;盘货信息!$B:$B&amp;盘货信息!$C:$C,盘货信息!$L:$L)=""),_xlfn.XLOOKUP($A241&amp;$B241&amp;$C241,盘货信息!$A:$A&amp;盘货信息!$B:$B&amp;盘货信息!$C:$C,盘货信息!$M:$M)="否"),"【预估到手价"&amp;_xlfn.XLOOKUP($A241&amp;$B241&amp;$C241,盘货信息!$A:$A&amp;盘货信息!$B:$B&amp;盘货信息!$C:$C,盘货信息!$D:$D)&amp;"元】",IF(AND(_xlfn.XLOOKUP($A241&amp;$B241&amp;$C241,盘货信息!$A:$A&amp;盘货信息!$B:$B&amp;盘货信息!$C:$C,盘货信息!$M:$M)="是",OR(_xlfn.XLOOKUP($A241&amp;$B241&amp;$C241,盘货信息!$A:$A&amp;盘货信息!$B:$B&amp;盘货信息!$C:$C,盘货信息!$L:$L)="否",_xlfn.XLOOKUP($A241&amp;$B241&amp;$C241,盘货信息!$A:$A&amp;盘货信息!$B:$B&amp;盘货信息!$C:$C,盘货信息!$L:$L)="")),"【预估到手价"&amp;_xlfn.XLOOKUP($A241&amp;$B241&amp;$C241,盘货信息!$A:$A&amp;盘货信息!$B:$B&amp;盘货信息!$C:$C,盘货信息!$D:$D)&amp;"元】"&amp;CHAR(10)&amp;"【焕新补贴预估价"&amp;ROUND(_xlfn.XLOOKUP($A241&amp;$B241&amp;$C241,盘货信息!$A:$A&amp;盘货信息!$B:$B&amp;盘货信息!$C:$C,盘货信息!$E:$E),0)&amp;"元】","【焕新补贴预估价"&amp;ROUND(_xlfn.XLOOKUP($A241&amp;$B241&amp;$C241,盘货信息!$A:$A&amp;盘货信息!$B:$B&amp;盘货信息!$C:$C,盘货信息!$E:$E),0)&amp;"元】")))</f>
        <v/>
      </c>
      <c r="F241" s="27" t="str" cm="1">
        <f t="array" ref="F241">IF($C241="","",_xlfn.XLOOKUP($A241&amp;$B241&amp;$C241,盘货信息!$A:$A&amp;盘货信息!$B:$B&amp;盘货信息!$C:$C,盘货信息!$D:$D)&amp;"元到手价")</f>
        <v/>
      </c>
      <c r="G241" s="27" t="str" cm="1">
        <f t="array" ref="G241">IF($C241="","",IF(_xlfn.XLOOKUP($A241&amp;$B241&amp;$C241,盘货信息!$A:$A&amp;盘货信息!$B:$B&amp;盘货信息!$C:$C,盘货信息!$G:$G)&lt;1,"",ROUND(_xlfn.XLOOKUP($A241&amp;$B241&amp;$C241,盘货信息!$A:$A&amp;盘货信息!$B:$B&amp;盘货信息!$C:$C,盘货信息!$G:$G),0)&amp;"元88VIP立减"))</f>
        <v/>
      </c>
      <c r="H241" s="27" t="str" cm="1">
        <f t="array" ref="H241">IF($C241="","",IF(_xlfn.XLOOKUP($A241&amp;$B241&amp;$C241,盘货信息!$A:$A&amp;盘货信息!$B:$B&amp;盘货信息!$C:$C,盘货信息!$I:$I)&lt;1,"",_xlfn.XLOOKUP($A241&amp;$B241&amp;$C241,盘货信息!$A:$A&amp;盘货信息!$B:$B&amp;盘货信息!$C:$C,盘货信息!$I:$I)&amp;"元惊喜立减"))</f>
        <v/>
      </c>
      <c r="I241" s="27" t="str" cm="1">
        <f t="array" ref="I241">IF($C241="","",IF(_xlfn.XLOOKUP($A241&amp;$B241&amp;$C241,盘货信息!$A:$A&amp;盘货信息!$B:$B&amp;盘货信息!$C:$C,盘货信息!$H:$H)&lt;1,"",ROUND(_xlfn.XLOOKUP($A241&amp;$B241&amp;$C241,盘货信息!$A:$A&amp;盘货信息!$B:$B&amp;盘货信息!$C:$C,盘货信息!$H:$H),0)&amp;"元消费券"))</f>
        <v/>
      </c>
      <c r="J241" s="27" t="str" cm="1">
        <f t="array" ref="J241">IF($C241="","",IF(_xlfn.XLOOKUP($A241&amp;$B241&amp;$C241,盘货信息!$A:$A&amp;盘货信息!$B:$B&amp;盘货信息!$C:$C,盘货信息!$J:$J)&lt;1,"",ROUND(_xlfn.XLOOKUP($A241&amp;$B241&amp;$C241,盘货信息!$A:$A&amp;盘货信息!$B:$B&amp;盘货信息!$C:$C,盘货信息!$J:$J),0)&amp;"元限时补贴"))</f>
        <v/>
      </c>
      <c r="K241" s="27" t="str" cm="1">
        <f t="array" ref="K241">IF($C241="","",IF(_xlfn.XLOOKUP($A241&amp;$B241&amp;$C241,盘货信息!$A:$A&amp;盘货信息!$B:$B&amp;盘货信息!$C:$C,盘货信息!$K:$K)&lt;1,"",ROUND(_xlfn.XLOOKUP($A241&amp;$B241&amp;$C241,盘货信息!$A:$A&amp;盘货信息!$B:$B&amp;盘货信息!$C:$C,盘货信息!$K:$K),0)&amp;"元预估焕新补贴"))</f>
        <v/>
      </c>
      <c r="L241" s="27" t="str" cm="1">
        <f t="array" ref="L241">IF($C241="","",IF(AND(_xlfn.XLOOKUP($A241&amp;$B241&amp;$C241,盘货信息!$A:$A&amp;盘货信息!$B:$B&amp;盘货信息!$C:$C,盘货信息!$L:$L)="是",_xlfn.XLOOKUP($A241&amp;$B241&amp;$C241,盘货信息!$A:$A&amp;盘货信息!$B:$B&amp;盘货信息!$C:$C,盘货信息!$M:$M)="是",_xlfn.XLOOKUP($A241&amp;$B241&amp;$C241,盘货信息!$A:$A&amp;盘货信息!$B:$B&amp;盘货信息!$C:$C,盘货信息!$K:$K)&gt;0),"【全民可用，不限地址】",IF(AND(OR(_xlfn.XLOOKUP($A241&amp;$B241&amp;$C241,盘货信息!$A:$A&amp;盘货信息!$B:$B&amp;盘货信息!$C:$C,盘货信息!$L:$L)="否",_xlfn.XLOOKUP($A241&amp;$B241&amp;$C241,盘货信息!$A:$A&amp;盘货信息!$B:$B&amp;盘货信息!$C:$C,盘货信息!$L:$L)=""),_xlfn.XLOOKUP($A241&amp;$B241&amp;$C241,盘货信息!$A:$A&amp;盘货信息!$B:$B&amp;盘货信息!$C:$C,盘货信息!$M:$M)="是",_xlfn.XLOOKUP($A241&amp;$B241&amp;$C241,盘货信息!$A:$A&amp;盘货信息!$B:$B&amp;盘货信息!$C:$C,盘货信息!$K:$K)&gt;0),"【详情页领取】","")))</f>
        <v/>
      </c>
      <c r="M241" s="27" t="str" cm="1">
        <f t="array" ref="M241">IF($C241="","",IF(_xlfn.XLOOKUP($A241&amp;$B241&amp;$C241,盘货信息!$A:$A&amp;盘货信息!$B:$B&amp;盘货信息!$C:$C,盘货信息!$F:$F)&lt;1,"",_xlfn.XLOOKUP($A241&amp;$B241&amp;$C241,盘货信息!$A:$A&amp;盘货信息!$B:$B&amp;盘货信息!$C:$C,盘货信息!$F:$F)&amp;"元明卷"))</f>
        <v/>
      </c>
      <c r="N241" s="27" t="str">
        <f t="shared" si="7"/>
        <v/>
      </c>
      <c r="O241" s="27" t="str">
        <f>IF(I241="","","【消费券链接】"&amp;固定信息!$B$6)</f>
        <v/>
      </c>
    </row>
    <row r="242" customHeight="1" spans="1:15">
      <c r="A242" s="23" t="str">
        <f>IF(盘货信息!A242="","",盘货信息!A242)</f>
        <v/>
      </c>
      <c r="B242" s="26" t="str">
        <f>IF(盘货信息!B242="","",盘货信息!B242)</f>
        <v/>
      </c>
      <c r="C242" s="23" t="str">
        <f>IF(盘货信息!C242="","",盘货信息!C242)</f>
        <v/>
      </c>
      <c r="D242" s="27" t="str">
        <f t="shared" si="6"/>
        <v/>
      </c>
      <c r="E242" s="27" t="str" cm="1">
        <f t="array" ref="E242">IF($C242="","",IF(AND(OR(_xlfn.XLOOKUP($A242&amp;$B242&amp;$C242,盘货信息!$A:$A&amp;盘货信息!$B:$B&amp;盘货信息!$C:$C,盘货信息!$L:$L)="否",_xlfn.XLOOKUP($A242&amp;$B242&amp;$C242,盘货信息!$A:$A&amp;盘货信息!$B:$B&amp;盘货信息!$C:$C,盘货信息!$L:$L)=""),_xlfn.XLOOKUP($A242&amp;$B242&amp;$C242,盘货信息!$A:$A&amp;盘货信息!$B:$B&amp;盘货信息!$C:$C,盘货信息!$M:$M)="否"),"【预估到手价"&amp;_xlfn.XLOOKUP($A242&amp;$B242&amp;$C242,盘货信息!$A:$A&amp;盘货信息!$B:$B&amp;盘货信息!$C:$C,盘货信息!$D:$D)&amp;"元】",IF(AND(_xlfn.XLOOKUP($A242&amp;$B242&amp;$C242,盘货信息!$A:$A&amp;盘货信息!$B:$B&amp;盘货信息!$C:$C,盘货信息!$M:$M)="是",OR(_xlfn.XLOOKUP($A242&amp;$B242&amp;$C242,盘货信息!$A:$A&amp;盘货信息!$B:$B&amp;盘货信息!$C:$C,盘货信息!$L:$L)="否",_xlfn.XLOOKUP($A242&amp;$B242&amp;$C242,盘货信息!$A:$A&amp;盘货信息!$B:$B&amp;盘货信息!$C:$C,盘货信息!$L:$L)="")),"【预估到手价"&amp;_xlfn.XLOOKUP($A242&amp;$B242&amp;$C242,盘货信息!$A:$A&amp;盘货信息!$B:$B&amp;盘货信息!$C:$C,盘货信息!$D:$D)&amp;"元】"&amp;CHAR(10)&amp;"【焕新补贴预估价"&amp;ROUND(_xlfn.XLOOKUP($A242&amp;$B242&amp;$C242,盘货信息!$A:$A&amp;盘货信息!$B:$B&amp;盘货信息!$C:$C,盘货信息!$E:$E),0)&amp;"元】","【焕新补贴预估价"&amp;ROUND(_xlfn.XLOOKUP($A242&amp;$B242&amp;$C242,盘货信息!$A:$A&amp;盘货信息!$B:$B&amp;盘货信息!$C:$C,盘货信息!$E:$E),0)&amp;"元】")))</f>
        <v/>
      </c>
      <c r="F242" s="27" t="str" cm="1">
        <f t="array" ref="F242">IF($C242="","",_xlfn.XLOOKUP($A242&amp;$B242&amp;$C242,盘货信息!$A:$A&amp;盘货信息!$B:$B&amp;盘货信息!$C:$C,盘货信息!$D:$D)&amp;"元到手价")</f>
        <v/>
      </c>
      <c r="G242" s="27" t="str" cm="1">
        <f t="array" ref="G242">IF($C242="","",IF(_xlfn.XLOOKUP($A242&amp;$B242&amp;$C242,盘货信息!$A:$A&amp;盘货信息!$B:$B&amp;盘货信息!$C:$C,盘货信息!$G:$G)&lt;1,"",ROUND(_xlfn.XLOOKUP($A242&amp;$B242&amp;$C242,盘货信息!$A:$A&amp;盘货信息!$B:$B&amp;盘货信息!$C:$C,盘货信息!$G:$G),0)&amp;"元88VIP立减"))</f>
        <v/>
      </c>
      <c r="H242" s="27" t="str" cm="1">
        <f t="array" ref="H242">IF($C242="","",IF(_xlfn.XLOOKUP($A242&amp;$B242&amp;$C242,盘货信息!$A:$A&amp;盘货信息!$B:$B&amp;盘货信息!$C:$C,盘货信息!$I:$I)&lt;1,"",_xlfn.XLOOKUP($A242&amp;$B242&amp;$C242,盘货信息!$A:$A&amp;盘货信息!$B:$B&amp;盘货信息!$C:$C,盘货信息!$I:$I)&amp;"元惊喜立减"))</f>
        <v/>
      </c>
      <c r="I242" s="27" t="str" cm="1">
        <f t="array" ref="I242">IF($C242="","",IF(_xlfn.XLOOKUP($A242&amp;$B242&amp;$C242,盘货信息!$A:$A&amp;盘货信息!$B:$B&amp;盘货信息!$C:$C,盘货信息!$H:$H)&lt;1,"",ROUND(_xlfn.XLOOKUP($A242&amp;$B242&amp;$C242,盘货信息!$A:$A&amp;盘货信息!$B:$B&amp;盘货信息!$C:$C,盘货信息!$H:$H),0)&amp;"元消费券"))</f>
        <v/>
      </c>
      <c r="J242" s="27" t="str" cm="1">
        <f t="array" ref="J242">IF($C242="","",IF(_xlfn.XLOOKUP($A242&amp;$B242&amp;$C242,盘货信息!$A:$A&amp;盘货信息!$B:$B&amp;盘货信息!$C:$C,盘货信息!$J:$J)&lt;1,"",ROUND(_xlfn.XLOOKUP($A242&amp;$B242&amp;$C242,盘货信息!$A:$A&amp;盘货信息!$B:$B&amp;盘货信息!$C:$C,盘货信息!$J:$J),0)&amp;"元限时补贴"))</f>
        <v/>
      </c>
      <c r="K242" s="27" t="str" cm="1">
        <f t="array" ref="K242">IF($C242="","",IF(_xlfn.XLOOKUP($A242&amp;$B242&amp;$C242,盘货信息!$A:$A&amp;盘货信息!$B:$B&amp;盘货信息!$C:$C,盘货信息!$K:$K)&lt;1,"",ROUND(_xlfn.XLOOKUP($A242&amp;$B242&amp;$C242,盘货信息!$A:$A&amp;盘货信息!$B:$B&amp;盘货信息!$C:$C,盘货信息!$K:$K),0)&amp;"元预估焕新补贴"))</f>
        <v/>
      </c>
      <c r="L242" s="27" t="str" cm="1">
        <f t="array" ref="L242">IF($C242="","",IF(AND(_xlfn.XLOOKUP($A242&amp;$B242&amp;$C242,盘货信息!$A:$A&amp;盘货信息!$B:$B&amp;盘货信息!$C:$C,盘货信息!$L:$L)="是",_xlfn.XLOOKUP($A242&amp;$B242&amp;$C242,盘货信息!$A:$A&amp;盘货信息!$B:$B&amp;盘货信息!$C:$C,盘货信息!$M:$M)="是",_xlfn.XLOOKUP($A242&amp;$B242&amp;$C242,盘货信息!$A:$A&amp;盘货信息!$B:$B&amp;盘货信息!$C:$C,盘货信息!$K:$K)&gt;0),"【全民可用，不限地址】",IF(AND(OR(_xlfn.XLOOKUP($A242&amp;$B242&amp;$C242,盘货信息!$A:$A&amp;盘货信息!$B:$B&amp;盘货信息!$C:$C,盘货信息!$L:$L)="否",_xlfn.XLOOKUP($A242&amp;$B242&amp;$C242,盘货信息!$A:$A&amp;盘货信息!$B:$B&amp;盘货信息!$C:$C,盘货信息!$L:$L)=""),_xlfn.XLOOKUP($A242&amp;$B242&amp;$C242,盘货信息!$A:$A&amp;盘货信息!$B:$B&amp;盘货信息!$C:$C,盘货信息!$M:$M)="是",_xlfn.XLOOKUP($A242&amp;$B242&amp;$C242,盘货信息!$A:$A&amp;盘货信息!$B:$B&amp;盘货信息!$C:$C,盘货信息!$K:$K)&gt;0),"【详情页领取】","")))</f>
        <v/>
      </c>
      <c r="M242" s="27" t="str" cm="1">
        <f t="array" ref="M242">IF($C242="","",IF(_xlfn.XLOOKUP($A242&amp;$B242&amp;$C242,盘货信息!$A:$A&amp;盘货信息!$B:$B&amp;盘货信息!$C:$C,盘货信息!$F:$F)&lt;1,"",_xlfn.XLOOKUP($A242&amp;$B242&amp;$C242,盘货信息!$A:$A&amp;盘货信息!$B:$B&amp;盘货信息!$C:$C,盘货信息!$F:$F)&amp;"元明卷"))</f>
        <v/>
      </c>
      <c r="N242" s="27" t="str">
        <f t="shared" si="7"/>
        <v/>
      </c>
      <c r="O242" s="27" t="str">
        <f>IF(I242="","","【消费券链接】"&amp;固定信息!$B$6)</f>
        <v/>
      </c>
    </row>
    <row r="243" customHeight="1" spans="1:15">
      <c r="A243" s="23" t="str">
        <f>IF(盘货信息!A243="","",盘货信息!A243)</f>
        <v/>
      </c>
      <c r="B243" s="26" t="str">
        <f>IF(盘货信息!B243="","",盘货信息!B243)</f>
        <v/>
      </c>
      <c r="C243" s="23" t="str">
        <f>IF(盘货信息!C243="","",盘货信息!C243)</f>
        <v/>
      </c>
      <c r="D243" s="27" t="str">
        <f t="shared" si="6"/>
        <v/>
      </c>
      <c r="E243" s="27" t="str" cm="1">
        <f t="array" ref="E243">IF($C243="","",IF(AND(OR(_xlfn.XLOOKUP($A243&amp;$B243&amp;$C243,盘货信息!$A:$A&amp;盘货信息!$B:$B&amp;盘货信息!$C:$C,盘货信息!$L:$L)="否",_xlfn.XLOOKUP($A243&amp;$B243&amp;$C243,盘货信息!$A:$A&amp;盘货信息!$B:$B&amp;盘货信息!$C:$C,盘货信息!$L:$L)=""),_xlfn.XLOOKUP($A243&amp;$B243&amp;$C243,盘货信息!$A:$A&amp;盘货信息!$B:$B&amp;盘货信息!$C:$C,盘货信息!$M:$M)="否"),"【预估到手价"&amp;_xlfn.XLOOKUP($A243&amp;$B243&amp;$C243,盘货信息!$A:$A&amp;盘货信息!$B:$B&amp;盘货信息!$C:$C,盘货信息!$D:$D)&amp;"元】",IF(AND(_xlfn.XLOOKUP($A243&amp;$B243&amp;$C243,盘货信息!$A:$A&amp;盘货信息!$B:$B&amp;盘货信息!$C:$C,盘货信息!$M:$M)="是",OR(_xlfn.XLOOKUP($A243&amp;$B243&amp;$C243,盘货信息!$A:$A&amp;盘货信息!$B:$B&amp;盘货信息!$C:$C,盘货信息!$L:$L)="否",_xlfn.XLOOKUP($A243&amp;$B243&amp;$C243,盘货信息!$A:$A&amp;盘货信息!$B:$B&amp;盘货信息!$C:$C,盘货信息!$L:$L)="")),"【预估到手价"&amp;_xlfn.XLOOKUP($A243&amp;$B243&amp;$C243,盘货信息!$A:$A&amp;盘货信息!$B:$B&amp;盘货信息!$C:$C,盘货信息!$D:$D)&amp;"元】"&amp;CHAR(10)&amp;"【焕新补贴预估价"&amp;ROUND(_xlfn.XLOOKUP($A243&amp;$B243&amp;$C243,盘货信息!$A:$A&amp;盘货信息!$B:$B&amp;盘货信息!$C:$C,盘货信息!$E:$E),0)&amp;"元】","【焕新补贴预估价"&amp;ROUND(_xlfn.XLOOKUP($A243&amp;$B243&amp;$C243,盘货信息!$A:$A&amp;盘货信息!$B:$B&amp;盘货信息!$C:$C,盘货信息!$E:$E),0)&amp;"元】")))</f>
        <v/>
      </c>
      <c r="F243" s="27" t="str" cm="1">
        <f t="array" ref="F243">IF($C243="","",_xlfn.XLOOKUP($A243&amp;$B243&amp;$C243,盘货信息!$A:$A&amp;盘货信息!$B:$B&amp;盘货信息!$C:$C,盘货信息!$D:$D)&amp;"元到手价")</f>
        <v/>
      </c>
      <c r="G243" s="27" t="str" cm="1">
        <f t="array" ref="G243">IF($C243="","",IF(_xlfn.XLOOKUP($A243&amp;$B243&amp;$C243,盘货信息!$A:$A&amp;盘货信息!$B:$B&amp;盘货信息!$C:$C,盘货信息!$G:$G)&lt;1,"",ROUND(_xlfn.XLOOKUP($A243&amp;$B243&amp;$C243,盘货信息!$A:$A&amp;盘货信息!$B:$B&amp;盘货信息!$C:$C,盘货信息!$G:$G),0)&amp;"元88VIP立减"))</f>
        <v/>
      </c>
      <c r="H243" s="27" t="str" cm="1">
        <f t="array" ref="H243">IF($C243="","",IF(_xlfn.XLOOKUP($A243&amp;$B243&amp;$C243,盘货信息!$A:$A&amp;盘货信息!$B:$B&amp;盘货信息!$C:$C,盘货信息!$I:$I)&lt;1,"",_xlfn.XLOOKUP($A243&amp;$B243&amp;$C243,盘货信息!$A:$A&amp;盘货信息!$B:$B&amp;盘货信息!$C:$C,盘货信息!$I:$I)&amp;"元惊喜立减"))</f>
        <v/>
      </c>
      <c r="I243" s="27" t="str" cm="1">
        <f t="array" ref="I243">IF($C243="","",IF(_xlfn.XLOOKUP($A243&amp;$B243&amp;$C243,盘货信息!$A:$A&amp;盘货信息!$B:$B&amp;盘货信息!$C:$C,盘货信息!$H:$H)&lt;1,"",ROUND(_xlfn.XLOOKUP($A243&amp;$B243&amp;$C243,盘货信息!$A:$A&amp;盘货信息!$B:$B&amp;盘货信息!$C:$C,盘货信息!$H:$H),0)&amp;"元消费券"))</f>
        <v/>
      </c>
      <c r="J243" s="27" t="str" cm="1">
        <f t="array" ref="J243">IF($C243="","",IF(_xlfn.XLOOKUP($A243&amp;$B243&amp;$C243,盘货信息!$A:$A&amp;盘货信息!$B:$B&amp;盘货信息!$C:$C,盘货信息!$J:$J)&lt;1,"",ROUND(_xlfn.XLOOKUP($A243&amp;$B243&amp;$C243,盘货信息!$A:$A&amp;盘货信息!$B:$B&amp;盘货信息!$C:$C,盘货信息!$J:$J),0)&amp;"元限时补贴"))</f>
        <v/>
      </c>
      <c r="K243" s="27" t="str" cm="1">
        <f t="array" ref="K243">IF($C243="","",IF(_xlfn.XLOOKUP($A243&amp;$B243&amp;$C243,盘货信息!$A:$A&amp;盘货信息!$B:$B&amp;盘货信息!$C:$C,盘货信息!$K:$K)&lt;1,"",ROUND(_xlfn.XLOOKUP($A243&amp;$B243&amp;$C243,盘货信息!$A:$A&amp;盘货信息!$B:$B&amp;盘货信息!$C:$C,盘货信息!$K:$K),0)&amp;"元预估焕新补贴"))</f>
        <v/>
      </c>
      <c r="L243" s="27" t="str" cm="1">
        <f t="array" ref="L243">IF($C243="","",IF(AND(_xlfn.XLOOKUP($A243&amp;$B243&amp;$C243,盘货信息!$A:$A&amp;盘货信息!$B:$B&amp;盘货信息!$C:$C,盘货信息!$L:$L)="是",_xlfn.XLOOKUP($A243&amp;$B243&amp;$C243,盘货信息!$A:$A&amp;盘货信息!$B:$B&amp;盘货信息!$C:$C,盘货信息!$M:$M)="是",_xlfn.XLOOKUP($A243&amp;$B243&amp;$C243,盘货信息!$A:$A&amp;盘货信息!$B:$B&amp;盘货信息!$C:$C,盘货信息!$K:$K)&gt;0),"【全民可用，不限地址】",IF(AND(OR(_xlfn.XLOOKUP($A243&amp;$B243&amp;$C243,盘货信息!$A:$A&amp;盘货信息!$B:$B&amp;盘货信息!$C:$C,盘货信息!$L:$L)="否",_xlfn.XLOOKUP($A243&amp;$B243&amp;$C243,盘货信息!$A:$A&amp;盘货信息!$B:$B&amp;盘货信息!$C:$C,盘货信息!$L:$L)=""),_xlfn.XLOOKUP($A243&amp;$B243&amp;$C243,盘货信息!$A:$A&amp;盘货信息!$B:$B&amp;盘货信息!$C:$C,盘货信息!$M:$M)="是",_xlfn.XLOOKUP($A243&amp;$B243&amp;$C243,盘货信息!$A:$A&amp;盘货信息!$B:$B&amp;盘货信息!$C:$C,盘货信息!$K:$K)&gt;0),"【详情页领取】","")))</f>
        <v/>
      </c>
      <c r="M243" s="27" t="str" cm="1">
        <f t="array" ref="M243">IF($C243="","",IF(_xlfn.XLOOKUP($A243&amp;$B243&amp;$C243,盘货信息!$A:$A&amp;盘货信息!$B:$B&amp;盘货信息!$C:$C,盘货信息!$F:$F)&lt;1,"",_xlfn.XLOOKUP($A243&amp;$B243&amp;$C243,盘货信息!$A:$A&amp;盘货信息!$B:$B&amp;盘货信息!$C:$C,盘货信息!$F:$F)&amp;"元明卷"))</f>
        <v/>
      </c>
      <c r="N243" s="27" t="str">
        <f t="shared" si="7"/>
        <v/>
      </c>
      <c r="O243" s="27" t="str">
        <f>IF(I243="","","【消费券链接】"&amp;固定信息!$B$6)</f>
        <v/>
      </c>
    </row>
    <row r="244" customHeight="1" spans="1:15">
      <c r="A244" s="23" t="str">
        <f>IF(盘货信息!A244="","",盘货信息!A244)</f>
        <v/>
      </c>
      <c r="B244" s="26" t="str">
        <f>IF(盘货信息!B244="","",盘货信息!B244)</f>
        <v/>
      </c>
      <c r="C244" s="23" t="str">
        <f>IF(盘货信息!C244="","",盘货信息!C244)</f>
        <v/>
      </c>
      <c r="D244" s="27" t="str">
        <f t="shared" si="6"/>
        <v/>
      </c>
      <c r="E244" s="27" t="str" cm="1">
        <f t="array" ref="E244">IF($C244="","",IF(AND(OR(_xlfn.XLOOKUP($A244&amp;$B244&amp;$C244,盘货信息!$A:$A&amp;盘货信息!$B:$B&amp;盘货信息!$C:$C,盘货信息!$L:$L)="否",_xlfn.XLOOKUP($A244&amp;$B244&amp;$C244,盘货信息!$A:$A&amp;盘货信息!$B:$B&amp;盘货信息!$C:$C,盘货信息!$L:$L)=""),_xlfn.XLOOKUP($A244&amp;$B244&amp;$C244,盘货信息!$A:$A&amp;盘货信息!$B:$B&amp;盘货信息!$C:$C,盘货信息!$M:$M)="否"),"【预估到手价"&amp;_xlfn.XLOOKUP($A244&amp;$B244&amp;$C244,盘货信息!$A:$A&amp;盘货信息!$B:$B&amp;盘货信息!$C:$C,盘货信息!$D:$D)&amp;"元】",IF(AND(_xlfn.XLOOKUP($A244&amp;$B244&amp;$C244,盘货信息!$A:$A&amp;盘货信息!$B:$B&amp;盘货信息!$C:$C,盘货信息!$M:$M)="是",OR(_xlfn.XLOOKUP($A244&amp;$B244&amp;$C244,盘货信息!$A:$A&amp;盘货信息!$B:$B&amp;盘货信息!$C:$C,盘货信息!$L:$L)="否",_xlfn.XLOOKUP($A244&amp;$B244&amp;$C244,盘货信息!$A:$A&amp;盘货信息!$B:$B&amp;盘货信息!$C:$C,盘货信息!$L:$L)="")),"【预估到手价"&amp;_xlfn.XLOOKUP($A244&amp;$B244&amp;$C244,盘货信息!$A:$A&amp;盘货信息!$B:$B&amp;盘货信息!$C:$C,盘货信息!$D:$D)&amp;"元】"&amp;CHAR(10)&amp;"【焕新补贴预估价"&amp;ROUND(_xlfn.XLOOKUP($A244&amp;$B244&amp;$C244,盘货信息!$A:$A&amp;盘货信息!$B:$B&amp;盘货信息!$C:$C,盘货信息!$E:$E),0)&amp;"元】","【焕新补贴预估价"&amp;ROUND(_xlfn.XLOOKUP($A244&amp;$B244&amp;$C244,盘货信息!$A:$A&amp;盘货信息!$B:$B&amp;盘货信息!$C:$C,盘货信息!$E:$E),0)&amp;"元】")))</f>
        <v/>
      </c>
      <c r="F244" s="27" t="str" cm="1">
        <f t="array" ref="F244">IF($C244="","",_xlfn.XLOOKUP($A244&amp;$B244&amp;$C244,盘货信息!$A:$A&amp;盘货信息!$B:$B&amp;盘货信息!$C:$C,盘货信息!$D:$D)&amp;"元到手价")</f>
        <v/>
      </c>
      <c r="G244" s="27" t="str" cm="1">
        <f t="array" ref="G244">IF($C244="","",IF(_xlfn.XLOOKUP($A244&amp;$B244&amp;$C244,盘货信息!$A:$A&amp;盘货信息!$B:$B&amp;盘货信息!$C:$C,盘货信息!$G:$G)&lt;1,"",ROUND(_xlfn.XLOOKUP($A244&amp;$B244&amp;$C244,盘货信息!$A:$A&amp;盘货信息!$B:$B&amp;盘货信息!$C:$C,盘货信息!$G:$G),0)&amp;"元88VIP立减"))</f>
        <v/>
      </c>
      <c r="H244" s="27" t="str" cm="1">
        <f t="array" ref="H244">IF($C244="","",IF(_xlfn.XLOOKUP($A244&amp;$B244&amp;$C244,盘货信息!$A:$A&amp;盘货信息!$B:$B&amp;盘货信息!$C:$C,盘货信息!$I:$I)&lt;1,"",_xlfn.XLOOKUP($A244&amp;$B244&amp;$C244,盘货信息!$A:$A&amp;盘货信息!$B:$B&amp;盘货信息!$C:$C,盘货信息!$I:$I)&amp;"元惊喜立减"))</f>
        <v/>
      </c>
      <c r="I244" s="27" t="str" cm="1">
        <f t="array" ref="I244">IF($C244="","",IF(_xlfn.XLOOKUP($A244&amp;$B244&amp;$C244,盘货信息!$A:$A&amp;盘货信息!$B:$B&amp;盘货信息!$C:$C,盘货信息!$H:$H)&lt;1,"",ROUND(_xlfn.XLOOKUP($A244&amp;$B244&amp;$C244,盘货信息!$A:$A&amp;盘货信息!$B:$B&amp;盘货信息!$C:$C,盘货信息!$H:$H),0)&amp;"元消费券"))</f>
        <v/>
      </c>
      <c r="J244" s="27" t="str" cm="1">
        <f t="array" ref="J244">IF($C244="","",IF(_xlfn.XLOOKUP($A244&amp;$B244&amp;$C244,盘货信息!$A:$A&amp;盘货信息!$B:$B&amp;盘货信息!$C:$C,盘货信息!$J:$J)&lt;1,"",ROUND(_xlfn.XLOOKUP($A244&amp;$B244&amp;$C244,盘货信息!$A:$A&amp;盘货信息!$B:$B&amp;盘货信息!$C:$C,盘货信息!$J:$J),0)&amp;"元限时补贴"))</f>
        <v/>
      </c>
      <c r="K244" s="27" t="str" cm="1">
        <f t="array" ref="K244">IF($C244="","",IF(_xlfn.XLOOKUP($A244&amp;$B244&amp;$C244,盘货信息!$A:$A&amp;盘货信息!$B:$B&amp;盘货信息!$C:$C,盘货信息!$K:$K)&lt;1,"",ROUND(_xlfn.XLOOKUP($A244&amp;$B244&amp;$C244,盘货信息!$A:$A&amp;盘货信息!$B:$B&amp;盘货信息!$C:$C,盘货信息!$K:$K),0)&amp;"元预估焕新补贴"))</f>
        <v/>
      </c>
      <c r="L244" s="27" t="str" cm="1">
        <f t="array" ref="L244">IF($C244="","",IF(AND(_xlfn.XLOOKUP($A244&amp;$B244&amp;$C244,盘货信息!$A:$A&amp;盘货信息!$B:$B&amp;盘货信息!$C:$C,盘货信息!$L:$L)="是",_xlfn.XLOOKUP($A244&amp;$B244&amp;$C244,盘货信息!$A:$A&amp;盘货信息!$B:$B&amp;盘货信息!$C:$C,盘货信息!$M:$M)="是",_xlfn.XLOOKUP($A244&amp;$B244&amp;$C244,盘货信息!$A:$A&amp;盘货信息!$B:$B&amp;盘货信息!$C:$C,盘货信息!$K:$K)&gt;0),"【全民可用，不限地址】",IF(AND(OR(_xlfn.XLOOKUP($A244&amp;$B244&amp;$C244,盘货信息!$A:$A&amp;盘货信息!$B:$B&amp;盘货信息!$C:$C,盘货信息!$L:$L)="否",_xlfn.XLOOKUP($A244&amp;$B244&amp;$C244,盘货信息!$A:$A&amp;盘货信息!$B:$B&amp;盘货信息!$C:$C,盘货信息!$L:$L)=""),_xlfn.XLOOKUP($A244&amp;$B244&amp;$C244,盘货信息!$A:$A&amp;盘货信息!$B:$B&amp;盘货信息!$C:$C,盘货信息!$M:$M)="是",_xlfn.XLOOKUP($A244&amp;$B244&amp;$C244,盘货信息!$A:$A&amp;盘货信息!$B:$B&amp;盘货信息!$C:$C,盘货信息!$K:$K)&gt;0),"【详情页领取】","")))</f>
        <v/>
      </c>
      <c r="M244" s="27" t="str" cm="1">
        <f t="array" ref="M244">IF($C244="","",IF(_xlfn.XLOOKUP($A244&amp;$B244&amp;$C244,盘货信息!$A:$A&amp;盘货信息!$B:$B&amp;盘货信息!$C:$C,盘货信息!$F:$F)&lt;1,"",_xlfn.XLOOKUP($A244&amp;$B244&amp;$C244,盘货信息!$A:$A&amp;盘货信息!$B:$B&amp;盘货信息!$C:$C,盘货信息!$F:$F)&amp;"元明卷"))</f>
        <v/>
      </c>
      <c r="N244" s="27" t="str">
        <f t="shared" si="7"/>
        <v/>
      </c>
      <c r="O244" s="27" t="str">
        <f>IF(I244="","","【消费券链接】"&amp;固定信息!$B$6)</f>
        <v/>
      </c>
    </row>
    <row r="245" customHeight="1" spans="1:15">
      <c r="A245" s="23" t="str">
        <f>IF(盘货信息!A245="","",盘货信息!A245)</f>
        <v/>
      </c>
      <c r="B245" s="26" t="str">
        <f>IF(盘货信息!B245="","",盘货信息!B245)</f>
        <v/>
      </c>
      <c r="C245" s="23" t="str">
        <f>IF(盘货信息!C245="","",盘货信息!C245)</f>
        <v/>
      </c>
      <c r="D245" s="27" t="str">
        <f t="shared" si="6"/>
        <v/>
      </c>
      <c r="E245" s="27" t="str" cm="1">
        <f t="array" ref="E245">IF($C245="","",IF(AND(OR(_xlfn.XLOOKUP($A245&amp;$B245&amp;$C245,盘货信息!$A:$A&amp;盘货信息!$B:$B&amp;盘货信息!$C:$C,盘货信息!$L:$L)="否",_xlfn.XLOOKUP($A245&amp;$B245&amp;$C245,盘货信息!$A:$A&amp;盘货信息!$B:$B&amp;盘货信息!$C:$C,盘货信息!$L:$L)=""),_xlfn.XLOOKUP($A245&amp;$B245&amp;$C245,盘货信息!$A:$A&amp;盘货信息!$B:$B&amp;盘货信息!$C:$C,盘货信息!$M:$M)="否"),"【预估到手价"&amp;_xlfn.XLOOKUP($A245&amp;$B245&amp;$C245,盘货信息!$A:$A&amp;盘货信息!$B:$B&amp;盘货信息!$C:$C,盘货信息!$D:$D)&amp;"元】",IF(AND(_xlfn.XLOOKUP($A245&amp;$B245&amp;$C245,盘货信息!$A:$A&amp;盘货信息!$B:$B&amp;盘货信息!$C:$C,盘货信息!$M:$M)="是",OR(_xlfn.XLOOKUP($A245&amp;$B245&amp;$C245,盘货信息!$A:$A&amp;盘货信息!$B:$B&amp;盘货信息!$C:$C,盘货信息!$L:$L)="否",_xlfn.XLOOKUP($A245&amp;$B245&amp;$C245,盘货信息!$A:$A&amp;盘货信息!$B:$B&amp;盘货信息!$C:$C,盘货信息!$L:$L)="")),"【预估到手价"&amp;_xlfn.XLOOKUP($A245&amp;$B245&amp;$C245,盘货信息!$A:$A&amp;盘货信息!$B:$B&amp;盘货信息!$C:$C,盘货信息!$D:$D)&amp;"元】"&amp;CHAR(10)&amp;"【焕新补贴预估价"&amp;ROUND(_xlfn.XLOOKUP($A245&amp;$B245&amp;$C245,盘货信息!$A:$A&amp;盘货信息!$B:$B&amp;盘货信息!$C:$C,盘货信息!$E:$E),0)&amp;"元】","【焕新补贴预估价"&amp;ROUND(_xlfn.XLOOKUP($A245&amp;$B245&amp;$C245,盘货信息!$A:$A&amp;盘货信息!$B:$B&amp;盘货信息!$C:$C,盘货信息!$E:$E),0)&amp;"元】")))</f>
        <v/>
      </c>
      <c r="F245" s="27" t="str" cm="1">
        <f t="array" ref="F245">IF($C245="","",_xlfn.XLOOKUP($A245&amp;$B245&amp;$C245,盘货信息!$A:$A&amp;盘货信息!$B:$B&amp;盘货信息!$C:$C,盘货信息!$D:$D)&amp;"元到手价")</f>
        <v/>
      </c>
      <c r="G245" s="27" t="str" cm="1">
        <f t="array" ref="G245">IF($C245="","",IF(_xlfn.XLOOKUP($A245&amp;$B245&amp;$C245,盘货信息!$A:$A&amp;盘货信息!$B:$B&amp;盘货信息!$C:$C,盘货信息!$G:$G)&lt;1,"",ROUND(_xlfn.XLOOKUP($A245&amp;$B245&amp;$C245,盘货信息!$A:$A&amp;盘货信息!$B:$B&amp;盘货信息!$C:$C,盘货信息!$G:$G),0)&amp;"元88VIP立减"))</f>
        <v/>
      </c>
      <c r="H245" s="27" t="str" cm="1">
        <f t="array" ref="H245">IF($C245="","",IF(_xlfn.XLOOKUP($A245&amp;$B245&amp;$C245,盘货信息!$A:$A&amp;盘货信息!$B:$B&amp;盘货信息!$C:$C,盘货信息!$I:$I)&lt;1,"",_xlfn.XLOOKUP($A245&amp;$B245&amp;$C245,盘货信息!$A:$A&amp;盘货信息!$B:$B&amp;盘货信息!$C:$C,盘货信息!$I:$I)&amp;"元惊喜立减"))</f>
        <v/>
      </c>
      <c r="I245" s="27" t="str" cm="1">
        <f t="array" ref="I245">IF($C245="","",IF(_xlfn.XLOOKUP($A245&amp;$B245&amp;$C245,盘货信息!$A:$A&amp;盘货信息!$B:$B&amp;盘货信息!$C:$C,盘货信息!$H:$H)&lt;1,"",ROUND(_xlfn.XLOOKUP($A245&amp;$B245&amp;$C245,盘货信息!$A:$A&amp;盘货信息!$B:$B&amp;盘货信息!$C:$C,盘货信息!$H:$H),0)&amp;"元消费券"))</f>
        <v/>
      </c>
      <c r="J245" s="27" t="str" cm="1">
        <f t="array" ref="J245">IF($C245="","",IF(_xlfn.XLOOKUP($A245&amp;$B245&amp;$C245,盘货信息!$A:$A&amp;盘货信息!$B:$B&amp;盘货信息!$C:$C,盘货信息!$J:$J)&lt;1,"",ROUND(_xlfn.XLOOKUP($A245&amp;$B245&amp;$C245,盘货信息!$A:$A&amp;盘货信息!$B:$B&amp;盘货信息!$C:$C,盘货信息!$J:$J),0)&amp;"元限时补贴"))</f>
        <v/>
      </c>
      <c r="K245" s="27" t="str" cm="1">
        <f t="array" ref="K245">IF($C245="","",IF(_xlfn.XLOOKUP($A245&amp;$B245&amp;$C245,盘货信息!$A:$A&amp;盘货信息!$B:$B&amp;盘货信息!$C:$C,盘货信息!$K:$K)&lt;1,"",ROUND(_xlfn.XLOOKUP($A245&amp;$B245&amp;$C245,盘货信息!$A:$A&amp;盘货信息!$B:$B&amp;盘货信息!$C:$C,盘货信息!$K:$K),0)&amp;"元预估焕新补贴"))</f>
        <v/>
      </c>
      <c r="L245" s="27" t="str" cm="1">
        <f t="array" ref="L245">IF($C245="","",IF(AND(_xlfn.XLOOKUP($A245&amp;$B245&amp;$C245,盘货信息!$A:$A&amp;盘货信息!$B:$B&amp;盘货信息!$C:$C,盘货信息!$L:$L)="是",_xlfn.XLOOKUP($A245&amp;$B245&amp;$C245,盘货信息!$A:$A&amp;盘货信息!$B:$B&amp;盘货信息!$C:$C,盘货信息!$M:$M)="是",_xlfn.XLOOKUP($A245&amp;$B245&amp;$C245,盘货信息!$A:$A&amp;盘货信息!$B:$B&amp;盘货信息!$C:$C,盘货信息!$K:$K)&gt;0),"【全民可用，不限地址】",IF(AND(OR(_xlfn.XLOOKUP($A245&amp;$B245&amp;$C245,盘货信息!$A:$A&amp;盘货信息!$B:$B&amp;盘货信息!$C:$C,盘货信息!$L:$L)="否",_xlfn.XLOOKUP($A245&amp;$B245&amp;$C245,盘货信息!$A:$A&amp;盘货信息!$B:$B&amp;盘货信息!$C:$C,盘货信息!$L:$L)=""),_xlfn.XLOOKUP($A245&amp;$B245&amp;$C245,盘货信息!$A:$A&amp;盘货信息!$B:$B&amp;盘货信息!$C:$C,盘货信息!$M:$M)="是",_xlfn.XLOOKUP($A245&amp;$B245&amp;$C245,盘货信息!$A:$A&amp;盘货信息!$B:$B&amp;盘货信息!$C:$C,盘货信息!$K:$K)&gt;0),"【详情页领取】","")))</f>
        <v/>
      </c>
      <c r="M245" s="27" t="str" cm="1">
        <f t="array" ref="M245">IF($C245="","",IF(_xlfn.XLOOKUP($A245&amp;$B245&amp;$C245,盘货信息!$A:$A&amp;盘货信息!$B:$B&amp;盘货信息!$C:$C,盘货信息!$F:$F)&lt;1,"",_xlfn.XLOOKUP($A245&amp;$B245&amp;$C245,盘货信息!$A:$A&amp;盘货信息!$B:$B&amp;盘货信息!$C:$C,盘货信息!$F:$F)&amp;"元明卷"))</f>
        <v/>
      </c>
      <c r="N245" s="27" t="str">
        <f t="shared" si="7"/>
        <v/>
      </c>
      <c r="O245" s="27" t="str">
        <f>IF(I245="","","【消费券链接】"&amp;固定信息!$B$6)</f>
        <v/>
      </c>
    </row>
    <row r="246" customHeight="1" spans="1:15">
      <c r="A246" s="23" t="str">
        <f>IF(盘货信息!A246="","",盘货信息!A246)</f>
        <v/>
      </c>
      <c r="B246" s="26" t="str">
        <f>IF(盘货信息!B246="","",盘货信息!B246)</f>
        <v/>
      </c>
      <c r="C246" s="23" t="str">
        <f>IF(盘货信息!C246="","",盘货信息!C246)</f>
        <v/>
      </c>
      <c r="D246" s="27" t="str">
        <f t="shared" si="6"/>
        <v/>
      </c>
      <c r="E246" s="27" t="str" cm="1">
        <f t="array" ref="E246">IF($C246="","",IF(AND(OR(_xlfn.XLOOKUP($A246&amp;$B246&amp;$C246,盘货信息!$A:$A&amp;盘货信息!$B:$B&amp;盘货信息!$C:$C,盘货信息!$L:$L)="否",_xlfn.XLOOKUP($A246&amp;$B246&amp;$C246,盘货信息!$A:$A&amp;盘货信息!$B:$B&amp;盘货信息!$C:$C,盘货信息!$L:$L)=""),_xlfn.XLOOKUP($A246&amp;$B246&amp;$C246,盘货信息!$A:$A&amp;盘货信息!$B:$B&amp;盘货信息!$C:$C,盘货信息!$M:$M)="否"),"【预估到手价"&amp;_xlfn.XLOOKUP($A246&amp;$B246&amp;$C246,盘货信息!$A:$A&amp;盘货信息!$B:$B&amp;盘货信息!$C:$C,盘货信息!$D:$D)&amp;"元】",IF(AND(_xlfn.XLOOKUP($A246&amp;$B246&amp;$C246,盘货信息!$A:$A&amp;盘货信息!$B:$B&amp;盘货信息!$C:$C,盘货信息!$M:$M)="是",OR(_xlfn.XLOOKUP($A246&amp;$B246&amp;$C246,盘货信息!$A:$A&amp;盘货信息!$B:$B&amp;盘货信息!$C:$C,盘货信息!$L:$L)="否",_xlfn.XLOOKUP($A246&amp;$B246&amp;$C246,盘货信息!$A:$A&amp;盘货信息!$B:$B&amp;盘货信息!$C:$C,盘货信息!$L:$L)="")),"【预估到手价"&amp;_xlfn.XLOOKUP($A246&amp;$B246&amp;$C246,盘货信息!$A:$A&amp;盘货信息!$B:$B&amp;盘货信息!$C:$C,盘货信息!$D:$D)&amp;"元】"&amp;CHAR(10)&amp;"【焕新补贴预估价"&amp;ROUND(_xlfn.XLOOKUP($A246&amp;$B246&amp;$C246,盘货信息!$A:$A&amp;盘货信息!$B:$B&amp;盘货信息!$C:$C,盘货信息!$E:$E),0)&amp;"元】","【焕新补贴预估价"&amp;ROUND(_xlfn.XLOOKUP($A246&amp;$B246&amp;$C246,盘货信息!$A:$A&amp;盘货信息!$B:$B&amp;盘货信息!$C:$C,盘货信息!$E:$E),0)&amp;"元】")))</f>
        <v/>
      </c>
      <c r="F246" s="27" t="str" cm="1">
        <f t="array" ref="F246">IF($C246="","",_xlfn.XLOOKUP($A246&amp;$B246&amp;$C246,盘货信息!$A:$A&amp;盘货信息!$B:$B&amp;盘货信息!$C:$C,盘货信息!$D:$D)&amp;"元到手价")</f>
        <v/>
      </c>
      <c r="G246" s="27" t="str" cm="1">
        <f t="array" ref="G246">IF($C246="","",IF(_xlfn.XLOOKUP($A246&amp;$B246&amp;$C246,盘货信息!$A:$A&amp;盘货信息!$B:$B&amp;盘货信息!$C:$C,盘货信息!$G:$G)&lt;1,"",ROUND(_xlfn.XLOOKUP($A246&amp;$B246&amp;$C246,盘货信息!$A:$A&amp;盘货信息!$B:$B&amp;盘货信息!$C:$C,盘货信息!$G:$G),0)&amp;"元88VIP立减"))</f>
        <v/>
      </c>
      <c r="H246" s="27" t="str" cm="1">
        <f t="array" ref="H246">IF($C246="","",IF(_xlfn.XLOOKUP($A246&amp;$B246&amp;$C246,盘货信息!$A:$A&amp;盘货信息!$B:$B&amp;盘货信息!$C:$C,盘货信息!$I:$I)&lt;1,"",_xlfn.XLOOKUP($A246&amp;$B246&amp;$C246,盘货信息!$A:$A&amp;盘货信息!$B:$B&amp;盘货信息!$C:$C,盘货信息!$I:$I)&amp;"元惊喜立减"))</f>
        <v/>
      </c>
      <c r="I246" s="27" t="str" cm="1">
        <f t="array" ref="I246">IF($C246="","",IF(_xlfn.XLOOKUP($A246&amp;$B246&amp;$C246,盘货信息!$A:$A&amp;盘货信息!$B:$B&amp;盘货信息!$C:$C,盘货信息!$H:$H)&lt;1,"",ROUND(_xlfn.XLOOKUP($A246&amp;$B246&amp;$C246,盘货信息!$A:$A&amp;盘货信息!$B:$B&amp;盘货信息!$C:$C,盘货信息!$H:$H),0)&amp;"元消费券"))</f>
        <v/>
      </c>
      <c r="J246" s="27" t="str" cm="1">
        <f t="array" ref="J246">IF($C246="","",IF(_xlfn.XLOOKUP($A246&amp;$B246&amp;$C246,盘货信息!$A:$A&amp;盘货信息!$B:$B&amp;盘货信息!$C:$C,盘货信息!$J:$J)&lt;1,"",ROUND(_xlfn.XLOOKUP($A246&amp;$B246&amp;$C246,盘货信息!$A:$A&amp;盘货信息!$B:$B&amp;盘货信息!$C:$C,盘货信息!$J:$J),0)&amp;"元限时补贴"))</f>
        <v/>
      </c>
      <c r="K246" s="27" t="str" cm="1">
        <f t="array" ref="K246">IF($C246="","",IF(_xlfn.XLOOKUP($A246&amp;$B246&amp;$C246,盘货信息!$A:$A&amp;盘货信息!$B:$B&amp;盘货信息!$C:$C,盘货信息!$K:$K)&lt;1,"",ROUND(_xlfn.XLOOKUP($A246&amp;$B246&amp;$C246,盘货信息!$A:$A&amp;盘货信息!$B:$B&amp;盘货信息!$C:$C,盘货信息!$K:$K),0)&amp;"元预估焕新补贴"))</f>
        <v/>
      </c>
      <c r="L246" s="27" t="str" cm="1">
        <f t="array" ref="L246">IF($C246="","",IF(AND(_xlfn.XLOOKUP($A246&amp;$B246&amp;$C246,盘货信息!$A:$A&amp;盘货信息!$B:$B&amp;盘货信息!$C:$C,盘货信息!$L:$L)="是",_xlfn.XLOOKUP($A246&amp;$B246&amp;$C246,盘货信息!$A:$A&amp;盘货信息!$B:$B&amp;盘货信息!$C:$C,盘货信息!$M:$M)="是",_xlfn.XLOOKUP($A246&amp;$B246&amp;$C246,盘货信息!$A:$A&amp;盘货信息!$B:$B&amp;盘货信息!$C:$C,盘货信息!$K:$K)&gt;0),"【全民可用，不限地址】",IF(AND(OR(_xlfn.XLOOKUP($A246&amp;$B246&amp;$C246,盘货信息!$A:$A&amp;盘货信息!$B:$B&amp;盘货信息!$C:$C,盘货信息!$L:$L)="否",_xlfn.XLOOKUP($A246&amp;$B246&amp;$C246,盘货信息!$A:$A&amp;盘货信息!$B:$B&amp;盘货信息!$C:$C,盘货信息!$L:$L)=""),_xlfn.XLOOKUP($A246&amp;$B246&amp;$C246,盘货信息!$A:$A&amp;盘货信息!$B:$B&amp;盘货信息!$C:$C,盘货信息!$M:$M)="是",_xlfn.XLOOKUP($A246&amp;$B246&amp;$C246,盘货信息!$A:$A&amp;盘货信息!$B:$B&amp;盘货信息!$C:$C,盘货信息!$K:$K)&gt;0),"【详情页领取】","")))</f>
        <v/>
      </c>
      <c r="M246" s="27" t="str" cm="1">
        <f t="array" ref="M246">IF($C246="","",IF(_xlfn.XLOOKUP($A246&amp;$B246&amp;$C246,盘货信息!$A:$A&amp;盘货信息!$B:$B&amp;盘货信息!$C:$C,盘货信息!$F:$F)&lt;1,"",_xlfn.XLOOKUP($A246&amp;$B246&amp;$C246,盘货信息!$A:$A&amp;盘货信息!$B:$B&amp;盘货信息!$C:$C,盘货信息!$F:$F)&amp;"元明卷"))</f>
        <v/>
      </c>
      <c r="N246" s="27" t="str">
        <f t="shared" si="7"/>
        <v/>
      </c>
      <c r="O246" s="27" t="str">
        <f>IF(I246="","","【消费券链接】"&amp;固定信息!$B$6)</f>
        <v/>
      </c>
    </row>
    <row r="247" customHeight="1" spans="1:15">
      <c r="A247" s="23" t="str">
        <f>IF(盘货信息!A247="","",盘货信息!A247)</f>
        <v/>
      </c>
      <c r="B247" s="26" t="str">
        <f>IF(盘货信息!B247="","",盘货信息!B247)</f>
        <v/>
      </c>
      <c r="C247" s="23" t="str">
        <f>IF(盘货信息!C247="","",盘货信息!C247)</f>
        <v/>
      </c>
      <c r="D247" s="27" t="str">
        <f t="shared" si="6"/>
        <v/>
      </c>
      <c r="E247" s="27" t="str" cm="1">
        <f t="array" ref="E247">IF($C247="","",IF(AND(OR(_xlfn.XLOOKUP($A247&amp;$B247&amp;$C247,盘货信息!$A:$A&amp;盘货信息!$B:$B&amp;盘货信息!$C:$C,盘货信息!$L:$L)="否",_xlfn.XLOOKUP($A247&amp;$B247&amp;$C247,盘货信息!$A:$A&amp;盘货信息!$B:$B&amp;盘货信息!$C:$C,盘货信息!$L:$L)=""),_xlfn.XLOOKUP($A247&amp;$B247&amp;$C247,盘货信息!$A:$A&amp;盘货信息!$B:$B&amp;盘货信息!$C:$C,盘货信息!$M:$M)="否"),"【预估到手价"&amp;_xlfn.XLOOKUP($A247&amp;$B247&amp;$C247,盘货信息!$A:$A&amp;盘货信息!$B:$B&amp;盘货信息!$C:$C,盘货信息!$D:$D)&amp;"元】",IF(AND(_xlfn.XLOOKUP($A247&amp;$B247&amp;$C247,盘货信息!$A:$A&amp;盘货信息!$B:$B&amp;盘货信息!$C:$C,盘货信息!$M:$M)="是",OR(_xlfn.XLOOKUP($A247&amp;$B247&amp;$C247,盘货信息!$A:$A&amp;盘货信息!$B:$B&amp;盘货信息!$C:$C,盘货信息!$L:$L)="否",_xlfn.XLOOKUP($A247&amp;$B247&amp;$C247,盘货信息!$A:$A&amp;盘货信息!$B:$B&amp;盘货信息!$C:$C,盘货信息!$L:$L)="")),"【预估到手价"&amp;_xlfn.XLOOKUP($A247&amp;$B247&amp;$C247,盘货信息!$A:$A&amp;盘货信息!$B:$B&amp;盘货信息!$C:$C,盘货信息!$D:$D)&amp;"元】"&amp;CHAR(10)&amp;"【焕新补贴预估价"&amp;ROUND(_xlfn.XLOOKUP($A247&amp;$B247&amp;$C247,盘货信息!$A:$A&amp;盘货信息!$B:$B&amp;盘货信息!$C:$C,盘货信息!$E:$E),0)&amp;"元】","【焕新补贴预估价"&amp;ROUND(_xlfn.XLOOKUP($A247&amp;$B247&amp;$C247,盘货信息!$A:$A&amp;盘货信息!$B:$B&amp;盘货信息!$C:$C,盘货信息!$E:$E),0)&amp;"元】")))</f>
        <v/>
      </c>
      <c r="F247" s="27" t="str" cm="1">
        <f t="array" ref="F247">IF($C247="","",_xlfn.XLOOKUP($A247&amp;$B247&amp;$C247,盘货信息!$A:$A&amp;盘货信息!$B:$B&amp;盘货信息!$C:$C,盘货信息!$D:$D)&amp;"元到手价")</f>
        <v/>
      </c>
      <c r="G247" s="27" t="str" cm="1">
        <f t="array" ref="G247">IF($C247="","",IF(_xlfn.XLOOKUP($A247&amp;$B247&amp;$C247,盘货信息!$A:$A&amp;盘货信息!$B:$B&amp;盘货信息!$C:$C,盘货信息!$G:$G)&lt;1,"",ROUND(_xlfn.XLOOKUP($A247&amp;$B247&amp;$C247,盘货信息!$A:$A&amp;盘货信息!$B:$B&amp;盘货信息!$C:$C,盘货信息!$G:$G),0)&amp;"元88VIP立减"))</f>
        <v/>
      </c>
      <c r="H247" s="27" t="str" cm="1">
        <f t="array" ref="H247">IF($C247="","",IF(_xlfn.XLOOKUP($A247&amp;$B247&amp;$C247,盘货信息!$A:$A&amp;盘货信息!$B:$B&amp;盘货信息!$C:$C,盘货信息!$I:$I)&lt;1,"",_xlfn.XLOOKUP($A247&amp;$B247&amp;$C247,盘货信息!$A:$A&amp;盘货信息!$B:$B&amp;盘货信息!$C:$C,盘货信息!$I:$I)&amp;"元惊喜立减"))</f>
        <v/>
      </c>
      <c r="I247" s="27" t="str" cm="1">
        <f t="array" ref="I247">IF($C247="","",IF(_xlfn.XLOOKUP($A247&amp;$B247&amp;$C247,盘货信息!$A:$A&amp;盘货信息!$B:$B&amp;盘货信息!$C:$C,盘货信息!$H:$H)&lt;1,"",ROUND(_xlfn.XLOOKUP($A247&amp;$B247&amp;$C247,盘货信息!$A:$A&amp;盘货信息!$B:$B&amp;盘货信息!$C:$C,盘货信息!$H:$H),0)&amp;"元消费券"))</f>
        <v/>
      </c>
      <c r="J247" s="27" t="str" cm="1">
        <f t="array" ref="J247">IF($C247="","",IF(_xlfn.XLOOKUP($A247&amp;$B247&amp;$C247,盘货信息!$A:$A&amp;盘货信息!$B:$B&amp;盘货信息!$C:$C,盘货信息!$J:$J)&lt;1,"",ROUND(_xlfn.XLOOKUP($A247&amp;$B247&amp;$C247,盘货信息!$A:$A&amp;盘货信息!$B:$B&amp;盘货信息!$C:$C,盘货信息!$J:$J),0)&amp;"元限时补贴"))</f>
        <v/>
      </c>
      <c r="K247" s="27" t="str" cm="1">
        <f t="array" ref="K247">IF($C247="","",IF(_xlfn.XLOOKUP($A247&amp;$B247&amp;$C247,盘货信息!$A:$A&amp;盘货信息!$B:$B&amp;盘货信息!$C:$C,盘货信息!$K:$K)&lt;1,"",ROUND(_xlfn.XLOOKUP($A247&amp;$B247&amp;$C247,盘货信息!$A:$A&amp;盘货信息!$B:$B&amp;盘货信息!$C:$C,盘货信息!$K:$K),0)&amp;"元预估焕新补贴"))</f>
        <v/>
      </c>
      <c r="L247" s="27" t="str" cm="1">
        <f t="array" ref="L247">IF($C247="","",IF(AND(_xlfn.XLOOKUP($A247&amp;$B247&amp;$C247,盘货信息!$A:$A&amp;盘货信息!$B:$B&amp;盘货信息!$C:$C,盘货信息!$L:$L)="是",_xlfn.XLOOKUP($A247&amp;$B247&amp;$C247,盘货信息!$A:$A&amp;盘货信息!$B:$B&amp;盘货信息!$C:$C,盘货信息!$M:$M)="是",_xlfn.XLOOKUP($A247&amp;$B247&amp;$C247,盘货信息!$A:$A&amp;盘货信息!$B:$B&amp;盘货信息!$C:$C,盘货信息!$K:$K)&gt;0),"【全民可用，不限地址】",IF(AND(OR(_xlfn.XLOOKUP($A247&amp;$B247&amp;$C247,盘货信息!$A:$A&amp;盘货信息!$B:$B&amp;盘货信息!$C:$C,盘货信息!$L:$L)="否",_xlfn.XLOOKUP($A247&amp;$B247&amp;$C247,盘货信息!$A:$A&amp;盘货信息!$B:$B&amp;盘货信息!$C:$C,盘货信息!$L:$L)=""),_xlfn.XLOOKUP($A247&amp;$B247&amp;$C247,盘货信息!$A:$A&amp;盘货信息!$B:$B&amp;盘货信息!$C:$C,盘货信息!$M:$M)="是",_xlfn.XLOOKUP($A247&amp;$B247&amp;$C247,盘货信息!$A:$A&amp;盘货信息!$B:$B&amp;盘货信息!$C:$C,盘货信息!$K:$K)&gt;0),"【详情页领取】","")))</f>
        <v/>
      </c>
      <c r="M247" s="27" t="str" cm="1">
        <f t="array" ref="M247">IF($C247="","",IF(_xlfn.XLOOKUP($A247&amp;$B247&amp;$C247,盘货信息!$A:$A&amp;盘货信息!$B:$B&amp;盘货信息!$C:$C,盘货信息!$F:$F)&lt;1,"",_xlfn.XLOOKUP($A247&amp;$B247&amp;$C247,盘货信息!$A:$A&amp;盘货信息!$B:$B&amp;盘货信息!$C:$C,盘货信息!$F:$F)&amp;"元明卷"))</f>
        <v/>
      </c>
      <c r="N247" s="27" t="str">
        <f t="shared" si="7"/>
        <v/>
      </c>
      <c r="O247" s="27" t="str">
        <f>IF(I247="","","【消费券链接】"&amp;固定信息!$B$6)</f>
        <v/>
      </c>
    </row>
    <row r="248" customHeight="1" spans="1:15">
      <c r="A248" s="23" t="str">
        <f>IF(盘货信息!A248="","",盘货信息!A248)</f>
        <v/>
      </c>
      <c r="B248" s="26" t="str">
        <f>IF(盘货信息!B248="","",盘货信息!B248)</f>
        <v/>
      </c>
      <c r="C248" s="23" t="str">
        <f>IF(盘货信息!C248="","",盘货信息!C248)</f>
        <v/>
      </c>
      <c r="D248" s="27" t="str">
        <f t="shared" si="6"/>
        <v/>
      </c>
      <c r="E248" s="27" t="str" cm="1">
        <f t="array" ref="E248">IF($C248="","",IF(AND(OR(_xlfn.XLOOKUP($A248&amp;$B248&amp;$C248,盘货信息!$A:$A&amp;盘货信息!$B:$B&amp;盘货信息!$C:$C,盘货信息!$L:$L)="否",_xlfn.XLOOKUP($A248&amp;$B248&amp;$C248,盘货信息!$A:$A&amp;盘货信息!$B:$B&amp;盘货信息!$C:$C,盘货信息!$L:$L)=""),_xlfn.XLOOKUP($A248&amp;$B248&amp;$C248,盘货信息!$A:$A&amp;盘货信息!$B:$B&amp;盘货信息!$C:$C,盘货信息!$M:$M)="否"),"【预估到手价"&amp;_xlfn.XLOOKUP($A248&amp;$B248&amp;$C248,盘货信息!$A:$A&amp;盘货信息!$B:$B&amp;盘货信息!$C:$C,盘货信息!$D:$D)&amp;"元】",IF(AND(_xlfn.XLOOKUP($A248&amp;$B248&amp;$C248,盘货信息!$A:$A&amp;盘货信息!$B:$B&amp;盘货信息!$C:$C,盘货信息!$M:$M)="是",OR(_xlfn.XLOOKUP($A248&amp;$B248&amp;$C248,盘货信息!$A:$A&amp;盘货信息!$B:$B&amp;盘货信息!$C:$C,盘货信息!$L:$L)="否",_xlfn.XLOOKUP($A248&amp;$B248&amp;$C248,盘货信息!$A:$A&amp;盘货信息!$B:$B&amp;盘货信息!$C:$C,盘货信息!$L:$L)="")),"【预估到手价"&amp;_xlfn.XLOOKUP($A248&amp;$B248&amp;$C248,盘货信息!$A:$A&amp;盘货信息!$B:$B&amp;盘货信息!$C:$C,盘货信息!$D:$D)&amp;"元】"&amp;CHAR(10)&amp;"【焕新补贴预估价"&amp;ROUND(_xlfn.XLOOKUP($A248&amp;$B248&amp;$C248,盘货信息!$A:$A&amp;盘货信息!$B:$B&amp;盘货信息!$C:$C,盘货信息!$E:$E),0)&amp;"元】","【焕新补贴预估价"&amp;ROUND(_xlfn.XLOOKUP($A248&amp;$B248&amp;$C248,盘货信息!$A:$A&amp;盘货信息!$B:$B&amp;盘货信息!$C:$C,盘货信息!$E:$E),0)&amp;"元】")))</f>
        <v/>
      </c>
      <c r="F248" s="27" t="str" cm="1">
        <f t="array" ref="F248">IF($C248="","",_xlfn.XLOOKUP($A248&amp;$B248&amp;$C248,盘货信息!$A:$A&amp;盘货信息!$B:$B&amp;盘货信息!$C:$C,盘货信息!$D:$D)&amp;"元到手价")</f>
        <v/>
      </c>
      <c r="G248" s="27" t="str" cm="1">
        <f t="array" ref="G248">IF($C248="","",IF(_xlfn.XLOOKUP($A248&amp;$B248&amp;$C248,盘货信息!$A:$A&amp;盘货信息!$B:$B&amp;盘货信息!$C:$C,盘货信息!$G:$G)&lt;1,"",ROUND(_xlfn.XLOOKUP($A248&amp;$B248&amp;$C248,盘货信息!$A:$A&amp;盘货信息!$B:$B&amp;盘货信息!$C:$C,盘货信息!$G:$G),0)&amp;"元88VIP立减"))</f>
        <v/>
      </c>
      <c r="H248" s="27" t="str" cm="1">
        <f t="array" ref="H248">IF($C248="","",IF(_xlfn.XLOOKUP($A248&amp;$B248&amp;$C248,盘货信息!$A:$A&amp;盘货信息!$B:$B&amp;盘货信息!$C:$C,盘货信息!$I:$I)&lt;1,"",_xlfn.XLOOKUP($A248&amp;$B248&amp;$C248,盘货信息!$A:$A&amp;盘货信息!$B:$B&amp;盘货信息!$C:$C,盘货信息!$I:$I)&amp;"元惊喜立减"))</f>
        <v/>
      </c>
      <c r="I248" s="27" t="str" cm="1">
        <f t="array" ref="I248">IF($C248="","",IF(_xlfn.XLOOKUP($A248&amp;$B248&amp;$C248,盘货信息!$A:$A&amp;盘货信息!$B:$B&amp;盘货信息!$C:$C,盘货信息!$H:$H)&lt;1,"",ROUND(_xlfn.XLOOKUP($A248&amp;$B248&amp;$C248,盘货信息!$A:$A&amp;盘货信息!$B:$B&amp;盘货信息!$C:$C,盘货信息!$H:$H),0)&amp;"元消费券"))</f>
        <v/>
      </c>
      <c r="J248" s="27" t="str" cm="1">
        <f t="array" ref="J248">IF($C248="","",IF(_xlfn.XLOOKUP($A248&amp;$B248&amp;$C248,盘货信息!$A:$A&amp;盘货信息!$B:$B&amp;盘货信息!$C:$C,盘货信息!$J:$J)&lt;1,"",ROUND(_xlfn.XLOOKUP($A248&amp;$B248&amp;$C248,盘货信息!$A:$A&amp;盘货信息!$B:$B&amp;盘货信息!$C:$C,盘货信息!$J:$J),0)&amp;"元限时补贴"))</f>
        <v/>
      </c>
      <c r="K248" s="27" t="str" cm="1">
        <f t="array" ref="K248">IF($C248="","",IF(_xlfn.XLOOKUP($A248&amp;$B248&amp;$C248,盘货信息!$A:$A&amp;盘货信息!$B:$B&amp;盘货信息!$C:$C,盘货信息!$K:$K)&lt;1,"",ROUND(_xlfn.XLOOKUP($A248&amp;$B248&amp;$C248,盘货信息!$A:$A&amp;盘货信息!$B:$B&amp;盘货信息!$C:$C,盘货信息!$K:$K),0)&amp;"元预估焕新补贴"))</f>
        <v/>
      </c>
      <c r="L248" s="27" t="str" cm="1">
        <f t="array" ref="L248">IF($C248="","",IF(AND(_xlfn.XLOOKUP($A248&amp;$B248&amp;$C248,盘货信息!$A:$A&amp;盘货信息!$B:$B&amp;盘货信息!$C:$C,盘货信息!$L:$L)="是",_xlfn.XLOOKUP($A248&amp;$B248&amp;$C248,盘货信息!$A:$A&amp;盘货信息!$B:$B&amp;盘货信息!$C:$C,盘货信息!$M:$M)="是",_xlfn.XLOOKUP($A248&amp;$B248&amp;$C248,盘货信息!$A:$A&amp;盘货信息!$B:$B&amp;盘货信息!$C:$C,盘货信息!$K:$K)&gt;0),"【全民可用，不限地址】",IF(AND(OR(_xlfn.XLOOKUP($A248&amp;$B248&amp;$C248,盘货信息!$A:$A&amp;盘货信息!$B:$B&amp;盘货信息!$C:$C,盘货信息!$L:$L)="否",_xlfn.XLOOKUP($A248&amp;$B248&amp;$C248,盘货信息!$A:$A&amp;盘货信息!$B:$B&amp;盘货信息!$C:$C,盘货信息!$L:$L)=""),_xlfn.XLOOKUP($A248&amp;$B248&amp;$C248,盘货信息!$A:$A&amp;盘货信息!$B:$B&amp;盘货信息!$C:$C,盘货信息!$M:$M)="是",_xlfn.XLOOKUP($A248&amp;$B248&amp;$C248,盘货信息!$A:$A&amp;盘货信息!$B:$B&amp;盘货信息!$C:$C,盘货信息!$K:$K)&gt;0),"【详情页领取】","")))</f>
        <v/>
      </c>
      <c r="M248" s="27" t="str" cm="1">
        <f t="array" ref="M248">IF($C248="","",IF(_xlfn.XLOOKUP($A248&amp;$B248&amp;$C248,盘货信息!$A:$A&amp;盘货信息!$B:$B&amp;盘货信息!$C:$C,盘货信息!$F:$F)&lt;1,"",_xlfn.XLOOKUP($A248&amp;$B248&amp;$C248,盘货信息!$A:$A&amp;盘货信息!$B:$B&amp;盘货信息!$C:$C,盘货信息!$F:$F)&amp;"元明卷"))</f>
        <v/>
      </c>
      <c r="N248" s="27" t="str">
        <f t="shared" si="7"/>
        <v/>
      </c>
      <c r="O248" s="27" t="str">
        <f>IF(I248="","","【消费券链接】"&amp;固定信息!$B$6)</f>
        <v/>
      </c>
    </row>
    <row r="249" customHeight="1" spans="1:15">
      <c r="A249" s="23" t="str">
        <f>IF(盘货信息!A249="","",盘货信息!A249)</f>
        <v/>
      </c>
      <c r="B249" s="26" t="str">
        <f>IF(盘货信息!B249="","",盘货信息!B249)</f>
        <v/>
      </c>
      <c r="C249" s="23" t="str">
        <f>IF(盘货信息!C249="","",盘货信息!C249)</f>
        <v/>
      </c>
      <c r="D249" s="27" t="str">
        <f t="shared" si="6"/>
        <v/>
      </c>
      <c r="E249" s="27" t="str" cm="1">
        <f t="array" ref="E249">IF($C249="","",IF(AND(OR(_xlfn.XLOOKUP($A249&amp;$B249&amp;$C249,盘货信息!$A:$A&amp;盘货信息!$B:$B&amp;盘货信息!$C:$C,盘货信息!$L:$L)="否",_xlfn.XLOOKUP($A249&amp;$B249&amp;$C249,盘货信息!$A:$A&amp;盘货信息!$B:$B&amp;盘货信息!$C:$C,盘货信息!$L:$L)=""),_xlfn.XLOOKUP($A249&amp;$B249&amp;$C249,盘货信息!$A:$A&amp;盘货信息!$B:$B&amp;盘货信息!$C:$C,盘货信息!$M:$M)="否"),"【预估到手价"&amp;_xlfn.XLOOKUP($A249&amp;$B249&amp;$C249,盘货信息!$A:$A&amp;盘货信息!$B:$B&amp;盘货信息!$C:$C,盘货信息!$D:$D)&amp;"元】",IF(AND(_xlfn.XLOOKUP($A249&amp;$B249&amp;$C249,盘货信息!$A:$A&amp;盘货信息!$B:$B&amp;盘货信息!$C:$C,盘货信息!$M:$M)="是",OR(_xlfn.XLOOKUP($A249&amp;$B249&amp;$C249,盘货信息!$A:$A&amp;盘货信息!$B:$B&amp;盘货信息!$C:$C,盘货信息!$L:$L)="否",_xlfn.XLOOKUP($A249&amp;$B249&amp;$C249,盘货信息!$A:$A&amp;盘货信息!$B:$B&amp;盘货信息!$C:$C,盘货信息!$L:$L)="")),"【预估到手价"&amp;_xlfn.XLOOKUP($A249&amp;$B249&amp;$C249,盘货信息!$A:$A&amp;盘货信息!$B:$B&amp;盘货信息!$C:$C,盘货信息!$D:$D)&amp;"元】"&amp;CHAR(10)&amp;"【焕新补贴预估价"&amp;ROUND(_xlfn.XLOOKUP($A249&amp;$B249&amp;$C249,盘货信息!$A:$A&amp;盘货信息!$B:$B&amp;盘货信息!$C:$C,盘货信息!$E:$E),0)&amp;"元】","【焕新补贴预估价"&amp;ROUND(_xlfn.XLOOKUP($A249&amp;$B249&amp;$C249,盘货信息!$A:$A&amp;盘货信息!$B:$B&amp;盘货信息!$C:$C,盘货信息!$E:$E),0)&amp;"元】")))</f>
        <v/>
      </c>
      <c r="F249" s="27" t="str" cm="1">
        <f t="array" ref="F249">IF($C249="","",_xlfn.XLOOKUP($A249&amp;$B249&amp;$C249,盘货信息!$A:$A&amp;盘货信息!$B:$B&amp;盘货信息!$C:$C,盘货信息!$D:$D)&amp;"元到手价")</f>
        <v/>
      </c>
      <c r="G249" s="27" t="str" cm="1">
        <f t="array" ref="G249">IF($C249="","",IF(_xlfn.XLOOKUP($A249&amp;$B249&amp;$C249,盘货信息!$A:$A&amp;盘货信息!$B:$B&amp;盘货信息!$C:$C,盘货信息!$G:$G)&lt;1,"",ROUND(_xlfn.XLOOKUP($A249&amp;$B249&amp;$C249,盘货信息!$A:$A&amp;盘货信息!$B:$B&amp;盘货信息!$C:$C,盘货信息!$G:$G),0)&amp;"元88VIP立减"))</f>
        <v/>
      </c>
      <c r="H249" s="27" t="str" cm="1">
        <f t="array" ref="H249">IF($C249="","",IF(_xlfn.XLOOKUP($A249&amp;$B249&amp;$C249,盘货信息!$A:$A&amp;盘货信息!$B:$B&amp;盘货信息!$C:$C,盘货信息!$I:$I)&lt;1,"",_xlfn.XLOOKUP($A249&amp;$B249&amp;$C249,盘货信息!$A:$A&amp;盘货信息!$B:$B&amp;盘货信息!$C:$C,盘货信息!$I:$I)&amp;"元惊喜立减"))</f>
        <v/>
      </c>
      <c r="I249" s="27" t="str" cm="1">
        <f t="array" ref="I249">IF($C249="","",IF(_xlfn.XLOOKUP($A249&amp;$B249&amp;$C249,盘货信息!$A:$A&amp;盘货信息!$B:$B&amp;盘货信息!$C:$C,盘货信息!$H:$H)&lt;1,"",ROUND(_xlfn.XLOOKUP($A249&amp;$B249&amp;$C249,盘货信息!$A:$A&amp;盘货信息!$B:$B&amp;盘货信息!$C:$C,盘货信息!$H:$H),0)&amp;"元消费券"))</f>
        <v/>
      </c>
      <c r="J249" s="27" t="str" cm="1">
        <f t="array" ref="J249">IF($C249="","",IF(_xlfn.XLOOKUP($A249&amp;$B249&amp;$C249,盘货信息!$A:$A&amp;盘货信息!$B:$B&amp;盘货信息!$C:$C,盘货信息!$J:$J)&lt;1,"",ROUND(_xlfn.XLOOKUP($A249&amp;$B249&amp;$C249,盘货信息!$A:$A&amp;盘货信息!$B:$B&amp;盘货信息!$C:$C,盘货信息!$J:$J),0)&amp;"元限时补贴"))</f>
        <v/>
      </c>
      <c r="K249" s="27" t="str" cm="1">
        <f t="array" ref="K249">IF($C249="","",IF(_xlfn.XLOOKUP($A249&amp;$B249&amp;$C249,盘货信息!$A:$A&amp;盘货信息!$B:$B&amp;盘货信息!$C:$C,盘货信息!$K:$K)&lt;1,"",ROUND(_xlfn.XLOOKUP($A249&amp;$B249&amp;$C249,盘货信息!$A:$A&amp;盘货信息!$B:$B&amp;盘货信息!$C:$C,盘货信息!$K:$K),0)&amp;"元预估焕新补贴"))</f>
        <v/>
      </c>
      <c r="L249" s="27" t="str" cm="1">
        <f t="array" ref="L249">IF($C249="","",IF(AND(_xlfn.XLOOKUP($A249&amp;$B249&amp;$C249,盘货信息!$A:$A&amp;盘货信息!$B:$B&amp;盘货信息!$C:$C,盘货信息!$L:$L)="是",_xlfn.XLOOKUP($A249&amp;$B249&amp;$C249,盘货信息!$A:$A&amp;盘货信息!$B:$B&amp;盘货信息!$C:$C,盘货信息!$M:$M)="是",_xlfn.XLOOKUP($A249&amp;$B249&amp;$C249,盘货信息!$A:$A&amp;盘货信息!$B:$B&amp;盘货信息!$C:$C,盘货信息!$K:$K)&gt;0),"【全民可用，不限地址】",IF(AND(OR(_xlfn.XLOOKUP($A249&amp;$B249&amp;$C249,盘货信息!$A:$A&amp;盘货信息!$B:$B&amp;盘货信息!$C:$C,盘货信息!$L:$L)="否",_xlfn.XLOOKUP($A249&amp;$B249&amp;$C249,盘货信息!$A:$A&amp;盘货信息!$B:$B&amp;盘货信息!$C:$C,盘货信息!$L:$L)=""),_xlfn.XLOOKUP($A249&amp;$B249&amp;$C249,盘货信息!$A:$A&amp;盘货信息!$B:$B&amp;盘货信息!$C:$C,盘货信息!$M:$M)="是",_xlfn.XLOOKUP($A249&amp;$B249&amp;$C249,盘货信息!$A:$A&amp;盘货信息!$B:$B&amp;盘货信息!$C:$C,盘货信息!$K:$K)&gt;0),"【详情页领取】","")))</f>
        <v/>
      </c>
      <c r="M249" s="27" t="str" cm="1">
        <f t="array" ref="M249">IF($C249="","",IF(_xlfn.XLOOKUP($A249&amp;$B249&amp;$C249,盘货信息!$A:$A&amp;盘货信息!$B:$B&amp;盘货信息!$C:$C,盘货信息!$F:$F)&lt;1,"",_xlfn.XLOOKUP($A249&amp;$B249&amp;$C249,盘货信息!$A:$A&amp;盘货信息!$B:$B&amp;盘货信息!$C:$C,盘货信息!$F:$F)&amp;"元明卷"))</f>
        <v/>
      </c>
      <c r="N249" s="27" t="str">
        <f t="shared" si="7"/>
        <v/>
      </c>
      <c r="O249" s="27" t="str">
        <f>IF(I249="","","【消费券链接】"&amp;固定信息!$B$6)</f>
        <v/>
      </c>
    </row>
    <row r="250" customHeight="1" spans="1:15">
      <c r="A250" s="23" t="str">
        <f>IF(盘货信息!A250="","",盘货信息!A250)</f>
        <v/>
      </c>
      <c r="B250" s="26" t="str">
        <f>IF(盘货信息!B250="","",盘货信息!B250)</f>
        <v/>
      </c>
      <c r="C250" s="23" t="str">
        <f>IF(盘货信息!C250="","",盘货信息!C250)</f>
        <v/>
      </c>
      <c r="D250" s="27" t="str">
        <f t="shared" si="6"/>
        <v/>
      </c>
      <c r="E250" s="27" t="str" cm="1">
        <f t="array" ref="E250">IF($C250="","",IF(AND(OR(_xlfn.XLOOKUP($A250&amp;$B250&amp;$C250,盘货信息!$A:$A&amp;盘货信息!$B:$B&amp;盘货信息!$C:$C,盘货信息!$L:$L)="否",_xlfn.XLOOKUP($A250&amp;$B250&amp;$C250,盘货信息!$A:$A&amp;盘货信息!$B:$B&amp;盘货信息!$C:$C,盘货信息!$L:$L)=""),_xlfn.XLOOKUP($A250&amp;$B250&amp;$C250,盘货信息!$A:$A&amp;盘货信息!$B:$B&amp;盘货信息!$C:$C,盘货信息!$M:$M)="否"),"【预估到手价"&amp;_xlfn.XLOOKUP($A250&amp;$B250&amp;$C250,盘货信息!$A:$A&amp;盘货信息!$B:$B&amp;盘货信息!$C:$C,盘货信息!$D:$D)&amp;"元】",IF(AND(_xlfn.XLOOKUP($A250&amp;$B250&amp;$C250,盘货信息!$A:$A&amp;盘货信息!$B:$B&amp;盘货信息!$C:$C,盘货信息!$M:$M)="是",OR(_xlfn.XLOOKUP($A250&amp;$B250&amp;$C250,盘货信息!$A:$A&amp;盘货信息!$B:$B&amp;盘货信息!$C:$C,盘货信息!$L:$L)="否",_xlfn.XLOOKUP($A250&amp;$B250&amp;$C250,盘货信息!$A:$A&amp;盘货信息!$B:$B&amp;盘货信息!$C:$C,盘货信息!$L:$L)="")),"【预估到手价"&amp;_xlfn.XLOOKUP($A250&amp;$B250&amp;$C250,盘货信息!$A:$A&amp;盘货信息!$B:$B&amp;盘货信息!$C:$C,盘货信息!$D:$D)&amp;"元】"&amp;CHAR(10)&amp;"【焕新补贴预估价"&amp;ROUND(_xlfn.XLOOKUP($A250&amp;$B250&amp;$C250,盘货信息!$A:$A&amp;盘货信息!$B:$B&amp;盘货信息!$C:$C,盘货信息!$E:$E),0)&amp;"元】","【焕新补贴预估价"&amp;ROUND(_xlfn.XLOOKUP($A250&amp;$B250&amp;$C250,盘货信息!$A:$A&amp;盘货信息!$B:$B&amp;盘货信息!$C:$C,盘货信息!$E:$E),0)&amp;"元】")))</f>
        <v/>
      </c>
      <c r="F250" s="27" t="str" cm="1">
        <f t="array" ref="F250">IF($C250="","",_xlfn.XLOOKUP($A250&amp;$B250&amp;$C250,盘货信息!$A:$A&amp;盘货信息!$B:$B&amp;盘货信息!$C:$C,盘货信息!$D:$D)&amp;"元到手价")</f>
        <v/>
      </c>
      <c r="G250" s="27" t="str" cm="1">
        <f t="array" ref="G250">IF($C250="","",IF(_xlfn.XLOOKUP($A250&amp;$B250&amp;$C250,盘货信息!$A:$A&amp;盘货信息!$B:$B&amp;盘货信息!$C:$C,盘货信息!$G:$G)&lt;1,"",ROUND(_xlfn.XLOOKUP($A250&amp;$B250&amp;$C250,盘货信息!$A:$A&amp;盘货信息!$B:$B&amp;盘货信息!$C:$C,盘货信息!$G:$G),0)&amp;"元88VIP立减"))</f>
        <v/>
      </c>
      <c r="H250" s="27" t="str" cm="1">
        <f t="array" ref="H250">IF($C250="","",IF(_xlfn.XLOOKUP($A250&amp;$B250&amp;$C250,盘货信息!$A:$A&amp;盘货信息!$B:$B&amp;盘货信息!$C:$C,盘货信息!$I:$I)&lt;1,"",_xlfn.XLOOKUP($A250&amp;$B250&amp;$C250,盘货信息!$A:$A&amp;盘货信息!$B:$B&amp;盘货信息!$C:$C,盘货信息!$I:$I)&amp;"元惊喜立减"))</f>
        <v/>
      </c>
      <c r="I250" s="27" t="str" cm="1">
        <f t="array" ref="I250">IF($C250="","",IF(_xlfn.XLOOKUP($A250&amp;$B250&amp;$C250,盘货信息!$A:$A&amp;盘货信息!$B:$B&amp;盘货信息!$C:$C,盘货信息!$H:$H)&lt;1,"",ROUND(_xlfn.XLOOKUP($A250&amp;$B250&amp;$C250,盘货信息!$A:$A&amp;盘货信息!$B:$B&amp;盘货信息!$C:$C,盘货信息!$H:$H),0)&amp;"元消费券"))</f>
        <v/>
      </c>
      <c r="J250" s="27" t="str" cm="1">
        <f t="array" ref="J250">IF($C250="","",IF(_xlfn.XLOOKUP($A250&amp;$B250&amp;$C250,盘货信息!$A:$A&amp;盘货信息!$B:$B&amp;盘货信息!$C:$C,盘货信息!$J:$J)&lt;1,"",ROUND(_xlfn.XLOOKUP($A250&amp;$B250&amp;$C250,盘货信息!$A:$A&amp;盘货信息!$B:$B&amp;盘货信息!$C:$C,盘货信息!$J:$J),0)&amp;"元限时补贴"))</f>
        <v/>
      </c>
      <c r="K250" s="27" t="str" cm="1">
        <f t="array" ref="K250">IF($C250="","",IF(_xlfn.XLOOKUP($A250&amp;$B250&amp;$C250,盘货信息!$A:$A&amp;盘货信息!$B:$B&amp;盘货信息!$C:$C,盘货信息!$K:$K)&lt;1,"",ROUND(_xlfn.XLOOKUP($A250&amp;$B250&amp;$C250,盘货信息!$A:$A&amp;盘货信息!$B:$B&amp;盘货信息!$C:$C,盘货信息!$K:$K),0)&amp;"元预估焕新补贴"))</f>
        <v/>
      </c>
      <c r="L250" s="27" t="str" cm="1">
        <f t="array" ref="L250">IF($C250="","",IF(AND(_xlfn.XLOOKUP($A250&amp;$B250&amp;$C250,盘货信息!$A:$A&amp;盘货信息!$B:$B&amp;盘货信息!$C:$C,盘货信息!$L:$L)="是",_xlfn.XLOOKUP($A250&amp;$B250&amp;$C250,盘货信息!$A:$A&amp;盘货信息!$B:$B&amp;盘货信息!$C:$C,盘货信息!$M:$M)="是",_xlfn.XLOOKUP($A250&amp;$B250&amp;$C250,盘货信息!$A:$A&amp;盘货信息!$B:$B&amp;盘货信息!$C:$C,盘货信息!$K:$K)&gt;0),"【全民可用，不限地址】",IF(AND(OR(_xlfn.XLOOKUP($A250&amp;$B250&amp;$C250,盘货信息!$A:$A&amp;盘货信息!$B:$B&amp;盘货信息!$C:$C,盘货信息!$L:$L)="否",_xlfn.XLOOKUP($A250&amp;$B250&amp;$C250,盘货信息!$A:$A&amp;盘货信息!$B:$B&amp;盘货信息!$C:$C,盘货信息!$L:$L)=""),_xlfn.XLOOKUP($A250&amp;$B250&amp;$C250,盘货信息!$A:$A&amp;盘货信息!$B:$B&amp;盘货信息!$C:$C,盘货信息!$M:$M)="是",_xlfn.XLOOKUP($A250&amp;$B250&amp;$C250,盘货信息!$A:$A&amp;盘货信息!$B:$B&amp;盘货信息!$C:$C,盘货信息!$K:$K)&gt;0),"【详情页领取】","")))</f>
        <v/>
      </c>
      <c r="M250" s="27" t="str" cm="1">
        <f t="array" ref="M250">IF($C250="","",IF(_xlfn.XLOOKUP($A250&amp;$B250&amp;$C250,盘货信息!$A:$A&amp;盘货信息!$B:$B&amp;盘货信息!$C:$C,盘货信息!$F:$F)&lt;1,"",_xlfn.XLOOKUP($A250&amp;$B250&amp;$C250,盘货信息!$A:$A&amp;盘货信息!$B:$B&amp;盘货信息!$C:$C,盘货信息!$F:$F)&amp;"元明卷"))</f>
        <v/>
      </c>
      <c r="N250" s="27" t="str">
        <f t="shared" si="7"/>
        <v/>
      </c>
      <c r="O250" s="27" t="str">
        <f>IF(I250="","","【消费券链接】"&amp;固定信息!$B$6)</f>
        <v/>
      </c>
    </row>
    <row r="251" customHeight="1" spans="1:15">
      <c r="A251" s="23" t="str">
        <f>IF(盘货信息!A251="","",盘货信息!A251)</f>
        <v/>
      </c>
      <c r="B251" s="26" t="str">
        <f>IF(盘货信息!B251="","",盘货信息!B251)</f>
        <v/>
      </c>
      <c r="C251" s="23" t="str">
        <f>IF(盘货信息!C251="","",盘货信息!C251)</f>
        <v/>
      </c>
      <c r="D251" s="27" t="str">
        <f t="shared" si="6"/>
        <v/>
      </c>
      <c r="E251" s="27" t="str" cm="1">
        <f t="array" ref="E251">IF($C251="","",IF(AND(OR(_xlfn.XLOOKUP($A251&amp;$B251&amp;$C251,盘货信息!$A:$A&amp;盘货信息!$B:$B&amp;盘货信息!$C:$C,盘货信息!$L:$L)="否",_xlfn.XLOOKUP($A251&amp;$B251&amp;$C251,盘货信息!$A:$A&amp;盘货信息!$B:$B&amp;盘货信息!$C:$C,盘货信息!$L:$L)=""),_xlfn.XLOOKUP($A251&amp;$B251&amp;$C251,盘货信息!$A:$A&amp;盘货信息!$B:$B&amp;盘货信息!$C:$C,盘货信息!$M:$M)="否"),"【预估到手价"&amp;_xlfn.XLOOKUP($A251&amp;$B251&amp;$C251,盘货信息!$A:$A&amp;盘货信息!$B:$B&amp;盘货信息!$C:$C,盘货信息!$D:$D)&amp;"元】",IF(AND(_xlfn.XLOOKUP($A251&amp;$B251&amp;$C251,盘货信息!$A:$A&amp;盘货信息!$B:$B&amp;盘货信息!$C:$C,盘货信息!$M:$M)="是",OR(_xlfn.XLOOKUP($A251&amp;$B251&amp;$C251,盘货信息!$A:$A&amp;盘货信息!$B:$B&amp;盘货信息!$C:$C,盘货信息!$L:$L)="否",_xlfn.XLOOKUP($A251&amp;$B251&amp;$C251,盘货信息!$A:$A&amp;盘货信息!$B:$B&amp;盘货信息!$C:$C,盘货信息!$L:$L)="")),"【预估到手价"&amp;_xlfn.XLOOKUP($A251&amp;$B251&amp;$C251,盘货信息!$A:$A&amp;盘货信息!$B:$B&amp;盘货信息!$C:$C,盘货信息!$D:$D)&amp;"元】"&amp;CHAR(10)&amp;"【焕新补贴预估价"&amp;ROUND(_xlfn.XLOOKUP($A251&amp;$B251&amp;$C251,盘货信息!$A:$A&amp;盘货信息!$B:$B&amp;盘货信息!$C:$C,盘货信息!$E:$E),0)&amp;"元】","【焕新补贴预估价"&amp;ROUND(_xlfn.XLOOKUP($A251&amp;$B251&amp;$C251,盘货信息!$A:$A&amp;盘货信息!$B:$B&amp;盘货信息!$C:$C,盘货信息!$E:$E),0)&amp;"元】")))</f>
        <v/>
      </c>
      <c r="F251" s="27" t="str" cm="1">
        <f t="array" ref="F251">IF($C251="","",_xlfn.XLOOKUP($A251&amp;$B251&amp;$C251,盘货信息!$A:$A&amp;盘货信息!$B:$B&amp;盘货信息!$C:$C,盘货信息!$D:$D)&amp;"元到手价")</f>
        <v/>
      </c>
      <c r="G251" s="27" t="str" cm="1">
        <f t="array" ref="G251">IF($C251="","",IF(_xlfn.XLOOKUP($A251&amp;$B251&amp;$C251,盘货信息!$A:$A&amp;盘货信息!$B:$B&amp;盘货信息!$C:$C,盘货信息!$G:$G)&lt;1,"",ROUND(_xlfn.XLOOKUP($A251&amp;$B251&amp;$C251,盘货信息!$A:$A&amp;盘货信息!$B:$B&amp;盘货信息!$C:$C,盘货信息!$G:$G),0)&amp;"元88VIP立减"))</f>
        <v/>
      </c>
      <c r="H251" s="27" t="str" cm="1">
        <f t="array" ref="H251">IF($C251="","",IF(_xlfn.XLOOKUP($A251&amp;$B251&amp;$C251,盘货信息!$A:$A&amp;盘货信息!$B:$B&amp;盘货信息!$C:$C,盘货信息!$I:$I)&lt;1,"",_xlfn.XLOOKUP($A251&amp;$B251&amp;$C251,盘货信息!$A:$A&amp;盘货信息!$B:$B&amp;盘货信息!$C:$C,盘货信息!$I:$I)&amp;"元惊喜立减"))</f>
        <v/>
      </c>
      <c r="I251" s="27" t="str" cm="1">
        <f t="array" ref="I251">IF($C251="","",IF(_xlfn.XLOOKUP($A251&amp;$B251&amp;$C251,盘货信息!$A:$A&amp;盘货信息!$B:$B&amp;盘货信息!$C:$C,盘货信息!$H:$H)&lt;1,"",ROUND(_xlfn.XLOOKUP($A251&amp;$B251&amp;$C251,盘货信息!$A:$A&amp;盘货信息!$B:$B&amp;盘货信息!$C:$C,盘货信息!$H:$H),0)&amp;"元消费券"))</f>
        <v/>
      </c>
      <c r="J251" s="27" t="str" cm="1">
        <f t="array" ref="J251">IF($C251="","",IF(_xlfn.XLOOKUP($A251&amp;$B251&amp;$C251,盘货信息!$A:$A&amp;盘货信息!$B:$B&amp;盘货信息!$C:$C,盘货信息!$J:$J)&lt;1,"",ROUND(_xlfn.XLOOKUP($A251&amp;$B251&amp;$C251,盘货信息!$A:$A&amp;盘货信息!$B:$B&amp;盘货信息!$C:$C,盘货信息!$J:$J),0)&amp;"元限时补贴"))</f>
        <v/>
      </c>
      <c r="K251" s="27" t="str" cm="1">
        <f t="array" ref="K251">IF($C251="","",IF(_xlfn.XLOOKUP($A251&amp;$B251&amp;$C251,盘货信息!$A:$A&amp;盘货信息!$B:$B&amp;盘货信息!$C:$C,盘货信息!$K:$K)&lt;1,"",ROUND(_xlfn.XLOOKUP($A251&amp;$B251&amp;$C251,盘货信息!$A:$A&amp;盘货信息!$B:$B&amp;盘货信息!$C:$C,盘货信息!$K:$K),0)&amp;"元预估焕新补贴"))</f>
        <v/>
      </c>
      <c r="L251" s="27" t="str" cm="1">
        <f t="array" ref="L251">IF($C251="","",IF(AND(_xlfn.XLOOKUP($A251&amp;$B251&amp;$C251,盘货信息!$A:$A&amp;盘货信息!$B:$B&amp;盘货信息!$C:$C,盘货信息!$L:$L)="是",_xlfn.XLOOKUP($A251&amp;$B251&amp;$C251,盘货信息!$A:$A&amp;盘货信息!$B:$B&amp;盘货信息!$C:$C,盘货信息!$M:$M)="是",_xlfn.XLOOKUP($A251&amp;$B251&amp;$C251,盘货信息!$A:$A&amp;盘货信息!$B:$B&amp;盘货信息!$C:$C,盘货信息!$K:$K)&gt;0),"【全民可用，不限地址】",IF(AND(OR(_xlfn.XLOOKUP($A251&amp;$B251&amp;$C251,盘货信息!$A:$A&amp;盘货信息!$B:$B&amp;盘货信息!$C:$C,盘货信息!$L:$L)="否",_xlfn.XLOOKUP($A251&amp;$B251&amp;$C251,盘货信息!$A:$A&amp;盘货信息!$B:$B&amp;盘货信息!$C:$C,盘货信息!$L:$L)=""),_xlfn.XLOOKUP($A251&amp;$B251&amp;$C251,盘货信息!$A:$A&amp;盘货信息!$B:$B&amp;盘货信息!$C:$C,盘货信息!$M:$M)="是",_xlfn.XLOOKUP($A251&amp;$B251&amp;$C251,盘货信息!$A:$A&amp;盘货信息!$B:$B&amp;盘货信息!$C:$C,盘货信息!$K:$K)&gt;0),"【详情页领取】","")))</f>
        <v/>
      </c>
      <c r="M251" s="27" t="str" cm="1">
        <f t="array" ref="M251">IF($C251="","",IF(_xlfn.XLOOKUP($A251&amp;$B251&amp;$C251,盘货信息!$A:$A&amp;盘货信息!$B:$B&amp;盘货信息!$C:$C,盘货信息!$F:$F)&lt;1,"",_xlfn.XLOOKUP($A251&amp;$B251&amp;$C251,盘货信息!$A:$A&amp;盘货信息!$B:$B&amp;盘货信息!$C:$C,盘货信息!$F:$F)&amp;"元明卷"))</f>
        <v/>
      </c>
      <c r="N251" s="27" t="str">
        <f t="shared" si="7"/>
        <v/>
      </c>
      <c r="O251" s="27" t="str">
        <f>IF(I251="","","【消费券链接】"&amp;固定信息!$B$6)</f>
        <v/>
      </c>
    </row>
    <row r="252" customHeight="1" spans="1:15">
      <c r="A252" s="23" t="str">
        <f>IF(盘货信息!A252="","",盘货信息!A252)</f>
        <v/>
      </c>
      <c r="B252" s="26" t="str">
        <f>IF(盘货信息!B252="","",盘货信息!B252)</f>
        <v/>
      </c>
      <c r="C252" s="23" t="str">
        <f>IF(盘货信息!C252="","",盘货信息!C252)</f>
        <v/>
      </c>
      <c r="D252" s="27" t="str">
        <f t="shared" si="6"/>
        <v/>
      </c>
      <c r="E252" s="27" t="str" cm="1">
        <f t="array" ref="E252">IF($C252="","",IF(AND(OR(_xlfn.XLOOKUP($A252&amp;$B252&amp;$C252,盘货信息!$A:$A&amp;盘货信息!$B:$B&amp;盘货信息!$C:$C,盘货信息!$L:$L)="否",_xlfn.XLOOKUP($A252&amp;$B252&amp;$C252,盘货信息!$A:$A&amp;盘货信息!$B:$B&amp;盘货信息!$C:$C,盘货信息!$L:$L)=""),_xlfn.XLOOKUP($A252&amp;$B252&amp;$C252,盘货信息!$A:$A&amp;盘货信息!$B:$B&amp;盘货信息!$C:$C,盘货信息!$M:$M)="否"),"【预估到手价"&amp;_xlfn.XLOOKUP($A252&amp;$B252&amp;$C252,盘货信息!$A:$A&amp;盘货信息!$B:$B&amp;盘货信息!$C:$C,盘货信息!$D:$D)&amp;"元】",IF(AND(_xlfn.XLOOKUP($A252&amp;$B252&amp;$C252,盘货信息!$A:$A&amp;盘货信息!$B:$B&amp;盘货信息!$C:$C,盘货信息!$M:$M)="是",OR(_xlfn.XLOOKUP($A252&amp;$B252&amp;$C252,盘货信息!$A:$A&amp;盘货信息!$B:$B&amp;盘货信息!$C:$C,盘货信息!$L:$L)="否",_xlfn.XLOOKUP($A252&amp;$B252&amp;$C252,盘货信息!$A:$A&amp;盘货信息!$B:$B&amp;盘货信息!$C:$C,盘货信息!$L:$L)="")),"【预估到手价"&amp;_xlfn.XLOOKUP($A252&amp;$B252&amp;$C252,盘货信息!$A:$A&amp;盘货信息!$B:$B&amp;盘货信息!$C:$C,盘货信息!$D:$D)&amp;"元】"&amp;CHAR(10)&amp;"【焕新补贴预估价"&amp;ROUND(_xlfn.XLOOKUP($A252&amp;$B252&amp;$C252,盘货信息!$A:$A&amp;盘货信息!$B:$B&amp;盘货信息!$C:$C,盘货信息!$E:$E),0)&amp;"元】","【焕新补贴预估价"&amp;ROUND(_xlfn.XLOOKUP($A252&amp;$B252&amp;$C252,盘货信息!$A:$A&amp;盘货信息!$B:$B&amp;盘货信息!$C:$C,盘货信息!$E:$E),0)&amp;"元】")))</f>
        <v/>
      </c>
      <c r="F252" s="27" t="str" cm="1">
        <f t="array" ref="F252">IF($C252="","",_xlfn.XLOOKUP($A252&amp;$B252&amp;$C252,盘货信息!$A:$A&amp;盘货信息!$B:$B&amp;盘货信息!$C:$C,盘货信息!$D:$D)&amp;"元到手价")</f>
        <v/>
      </c>
      <c r="G252" s="27" t="str" cm="1">
        <f t="array" ref="G252">IF($C252="","",IF(_xlfn.XLOOKUP($A252&amp;$B252&amp;$C252,盘货信息!$A:$A&amp;盘货信息!$B:$B&amp;盘货信息!$C:$C,盘货信息!$G:$G)&lt;1,"",ROUND(_xlfn.XLOOKUP($A252&amp;$B252&amp;$C252,盘货信息!$A:$A&amp;盘货信息!$B:$B&amp;盘货信息!$C:$C,盘货信息!$G:$G),0)&amp;"元88VIP立减"))</f>
        <v/>
      </c>
      <c r="H252" s="27" t="str" cm="1">
        <f t="array" ref="H252">IF($C252="","",IF(_xlfn.XLOOKUP($A252&amp;$B252&amp;$C252,盘货信息!$A:$A&amp;盘货信息!$B:$B&amp;盘货信息!$C:$C,盘货信息!$I:$I)&lt;1,"",_xlfn.XLOOKUP($A252&amp;$B252&amp;$C252,盘货信息!$A:$A&amp;盘货信息!$B:$B&amp;盘货信息!$C:$C,盘货信息!$I:$I)&amp;"元惊喜立减"))</f>
        <v/>
      </c>
      <c r="I252" s="27" t="str" cm="1">
        <f t="array" ref="I252">IF($C252="","",IF(_xlfn.XLOOKUP($A252&amp;$B252&amp;$C252,盘货信息!$A:$A&amp;盘货信息!$B:$B&amp;盘货信息!$C:$C,盘货信息!$H:$H)&lt;1,"",ROUND(_xlfn.XLOOKUP($A252&amp;$B252&amp;$C252,盘货信息!$A:$A&amp;盘货信息!$B:$B&amp;盘货信息!$C:$C,盘货信息!$H:$H),0)&amp;"元消费券"))</f>
        <v/>
      </c>
      <c r="J252" s="27" t="str" cm="1">
        <f t="array" ref="J252">IF($C252="","",IF(_xlfn.XLOOKUP($A252&amp;$B252&amp;$C252,盘货信息!$A:$A&amp;盘货信息!$B:$B&amp;盘货信息!$C:$C,盘货信息!$J:$J)&lt;1,"",ROUND(_xlfn.XLOOKUP($A252&amp;$B252&amp;$C252,盘货信息!$A:$A&amp;盘货信息!$B:$B&amp;盘货信息!$C:$C,盘货信息!$J:$J),0)&amp;"元限时补贴"))</f>
        <v/>
      </c>
      <c r="K252" s="27" t="str" cm="1">
        <f t="array" ref="K252">IF($C252="","",IF(_xlfn.XLOOKUP($A252&amp;$B252&amp;$C252,盘货信息!$A:$A&amp;盘货信息!$B:$B&amp;盘货信息!$C:$C,盘货信息!$K:$K)&lt;1,"",ROUND(_xlfn.XLOOKUP($A252&amp;$B252&amp;$C252,盘货信息!$A:$A&amp;盘货信息!$B:$B&amp;盘货信息!$C:$C,盘货信息!$K:$K),0)&amp;"元预估焕新补贴"))</f>
        <v/>
      </c>
      <c r="L252" s="27" t="str" cm="1">
        <f t="array" ref="L252">IF($C252="","",IF(AND(_xlfn.XLOOKUP($A252&amp;$B252&amp;$C252,盘货信息!$A:$A&amp;盘货信息!$B:$B&amp;盘货信息!$C:$C,盘货信息!$L:$L)="是",_xlfn.XLOOKUP($A252&amp;$B252&amp;$C252,盘货信息!$A:$A&amp;盘货信息!$B:$B&amp;盘货信息!$C:$C,盘货信息!$M:$M)="是",_xlfn.XLOOKUP($A252&amp;$B252&amp;$C252,盘货信息!$A:$A&amp;盘货信息!$B:$B&amp;盘货信息!$C:$C,盘货信息!$K:$K)&gt;0),"【全民可用，不限地址】",IF(AND(OR(_xlfn.XLOOKUP($A252&amp;$B252&amp;$C252,盘货信息!$A:$A&amp;盘货信息!$B:$B&amp;盘货信息!$C:$C,盘货信息!$L:$L)="否",_xlfn.XLOOKUP($A252&amp;$B252&amp;$C252,盘货信息!$A:$A&amp;盘货信息!$B:$B&amp;盘货信息!$C:$C,盘货信息!$L:$L)=""),_xlfn.XLOOKUP($A252&amp;$B252&amp;$C252,盘货信息!$A:$A&amp;盘货信息!$B:$B&amp;盘货信息!$C:$C,盘货信息!$M:$M)="是",_xlfn.XLOOKUP($A252&amp;$B252&amp;$C252,盘货信息!$A:$A&amp;盘货信息!$B:$B&amp;盘货信息!$C:$C,盘货信息!$K:$K)&gt;0),"【详情页领取】","")))</f>
        <v/>
      </c>
      <c r="M252" s="27" t="str" cm="1">
        <f t="array" ref="M252">IF($C252="","",IF(_xlfn.XLOOKUP($A252&amp;$B252&amp;$C252,盘货信息!$A:$A&amp;盘货信息!$B:$B&amp;盘货信息!$C:$C,盘货信息!$F:$F)&lt;1,"",_xlfn.XLOOKUP($A252&amp;$B252&amp;$C252,盘货信息!$A:$A&amp;盘货信息!$B:$B&amp;盘货信息!$C:$C,盘货信息!$F:$F)&amp;"元明卷"))</f>
        <v/>
      </c>
      <c r="N252" s="27" t="str">
        <f t="shared" si="7"/>
        <v/>
      </c>
      <c r="O252" s="27" t="str">
        <f>IF(I252="","","【消费券链接】"&amp;固定信息!$B$6)</f>
        <v/>
      </c>
    </row>
    <row r="253" customHeight="1" spans="1:15">
      <c r="A253" s="23" t="str">
        <f>IF(盘货信息!A253="","",盘货信息!A253)</f>
        <v/>
      </c>
      <c r="B253" s="26" t="str">
        <f>IF(盘货信息!B253="","",盘货信息!B253)</f>
        <v/>
      </c>
      <c r="C253" s="23" t="str">
        <f>IF(盘货信息!C253="","",盘货信息!C253)</f>
        <v/>
      </c>
      <c r="D253" s="27" t="str">
        <f t="shared" si="6"/>
        <v/>
      </c>
      <c r="E253" s="27" t="str" cm="1">
        <f t="array" ref="E253">IF($C253="","",IF(AND(OR(_xlfn.XLOOKUP($A253&amp;$B253&amp;$C253,盘货信息!$A:$A&amp;盘货信息!$B:$B&amp;盘货信息!$C:$C,盘货信息!$L:$L)="否",_xlfn.XLOOKUP($A253&amp;$B253&amp;$C253,盘货信息!$A:$A&amp;盘货信息!$B:$B&amp;盘货信息!$C:$C,盘货信息!$L:$L)=""),_xlfn.XLOOKUP($A253&amp;$B253&amp;$C253,盘货信息!$A:$A&amp;盘货信息!$B:$B&amp;盘货信息!$C:$C,盘货信息!$M:$M)="否"),"【预估到手价"&amp;_xlfn.XLOOKUP($A253&amp;$B253&amp;$C253,盘货信息!$A:$A&amp;盘货信息!$B:$B&amp;盘货信息!$C:$C,盘货信息!$D:$D)&amp;"元】",IF(AND(_xlfn.XLOOKUP($A253&amp;$B253&amp;$C253,盘货信息!$A:$A&amp;盘货信息!$B:$B&amp;盘货信息!$C:$C,盘货信息!$M:$M)="是",OR(_xlfn.XLOOKUP($A253&amp;$B253&amp;$C253,盘货信息!$A:$A&amp;盘货信息!$B:$B&amp;盘货信息!$C:$C,盘货信息!$L:$L)="否",_xlfn.XLOOKUP($A253&amp;$B253&amp;$C253,盘货信息!$A:$A&amp;盘货信息!$B:$B&amp;盘货信息!$C:$C,盘货信息!$L:$L)="")),"【预估到手价"&amp;_xlfn.XLOOKUP($A253&amp;$B253&amp;$C253,盘货信息!$A:$A&amp;盘货信息!$B:$B&amp;盘货信息!$C:$C,盘货信息!$D:$D)&amp;"元】"&amp;CHAR(10)&amp;"【焕新补贴预估价"&amp;ROUND(_xlfn.XLOOKUP($A253&amp;$B253&amp;$C253,盘货信息!$A:$A&amp;盘货信息!$B:$B&amp;盘货信息!$C:$C,盘货信息!$E:$E),0)&amp;"元】","【焕新补贴预估价"&amp;ROUND(_xlfn.XLOOKUP($A253&amp;$B253&amp;$C253,盘货信息!$A:$A&amp;盘货信息!$B:$B&amp;盘货信息!$C:$C,盘货信息!$E:$E),0)&amp;"元】")))</f>
        <v/>
      </c>
      <c r="F253" s="27" t="str" cm="1">
        <f t="array" ref="F253">IF($C253="","",_xlfn.XLOOKUP($A253&amp;$B253&amp;$C253,盘货信息!$A:$A&amp;盘货信息!$B:$B&amp;盘货信息!$C:$C,盘货信息!$D:$D)&amp;"元到手价")</f>
        <v/>
      </c>
      <c r="G253" s="27" t="str" cm="1">
        <f t="array" ref="G253">IF($C253="","",IF(_xlfn.XLOOKUP($A253&amp;$B253&amp;$C253,盘货信息!$A:$A&amp;盘货信息!$B:$B&amp;盘货信息!$C:$C,盘货信息!$G:$G)&lt;1,"",ROUND(_xlfn.XLOOKUP($A253&amp;$B253&amp;$C253,盘货信息!$A:$A&amp;盘货信息!$B:$B&amp;盘货信息!$C:$C,盘货信息!$G:$G),0)&amp;"元88VIP立减"))</f>
        <v/>
      </c>
      <c r="H253" s="27" t="str" cm="1">
        <f t="array" ref="H253">IF($C253="","",IF(_xlfn.XLOOKUP($A253&amp;$B253&amp;$C253,盘货信息!$A:$A&amp;盘货信息!$B:$B&amp;盘货信息!$C:$C,盘货信息!$I:$I)&lt;1,"",_xlfn.XLOOKUP($A253&amp;$B253&amp;$C253,盘货信息!$A:$A&amp;盘货信息!$B:$B&amp;盘货信息!$C:$C,盘货信息!$I:$I)&amp;"元惊喜立减"))</f>
        <v/>
      </c>
      <c r="I253" s="27" t="str" cm="1">
        <f t="array" ref="I253">IF($C253="","",IF(_xlfn.XLOOKUP($A253&amp;$B253&amp;$C253,盘货信息!$A:$A&amp;盘货信息!$B:$B&amp;盘货信息!$C:$C,盘货信息!$H:$H)&lt;1,"",ROUND(_xlfn.XLOOKUP($A253&amp;$B253&amp;$C253,盘货信息!$A:$A&amp;盘货信息!$B:$B&amp;盘货信息!$C:$C,盘货信息!$H:$H),0)&amp;"元消费券"))</f>
        <v/>
      </c>
      <c r="J253" s="27" t="str" cm="1">
        <f t="array" ref="J253">IF($C253="","",IF(_xlfn.XLOOKUP($A253&amp;$B253&amp;$C253,盘货信息!$A:$A&amp;盘货信息!$B:$B&amp;盘货信息!$C:$C,盘货信息!$J:$J)&lt;1,"",ROUND(_xlfn.XLOOKUP($A253&amp;$B253&amp;$C253,盘货信息!$A:$A&amp;盘货信息!$B:$B&amp;盘货信息!$C:$C,盘货信息!$J:$J),0)&amp;"元限时补贴"))</f>
        <v/>
      </c>
      <c r="K253" s="27" t="str" cm="1">
        <f t="array" ref="K253">IF($C253="","",IF(_xlfn.XLOOKUP($A253&amp;$B253&amp;$C253,盘货信息!$A:$A&amp;盘货信息!$B:$B&amp;盘货信息!$C:$C,盘货信息!$K:$K)&lt;1,"",ROUND(_xlfn.XLOOKUP($A253&amp;$B253&amp;$C253,盘货信息!$A:$A&amp;盘货信息!$B:$B&amp;盘货信息!$C:$C,盘货信息!$K:$K),0)&amp;"元预估焕新补贴"))</f>
        <v/>
      </c>
      <c r="L253" s="27" t="str" cm="1">
        <f t="array" ref="L253">IF($C253="","",IF(AND(_xlfn.XLOOKUP($A253&amp;$B253&amp;$C253,盘货信息!$A:$A&amp;盘货信息!$B:$B&amp;盘货信息!$C:$C,盘货信息!$L:$L)="是",_xlfn.XLOOKUP($A253&amp;$B253&amp;$C253,盘货信息!$A:$A&amp;盘货信息!$B:$B&amp;盘货信息!$C:$C,盘货信息!$M:$M)="是",_xlfn.XLOOKUP($A253&amp;$B253&amp;$C253,盘货信息!$A:$A&amp;盘货信息!$B:$B&amp;盘货信息!$C:$C,盘货信息!$K:$K)&gt;0),"【全民可用，不限地址】",IF(AND(OR(_xlfn.XLOOKUP($A253&amp;$B253&amp;$C253,盘货信息!$A:$A&amp;盘货信息!$B:$B&amp;盘货信息!$C:$C,盘货信息!$L:$L)="否",_xlfn.XLOOKUP($A253&amp;$B253&amp;$C253,盘货信息!$A:$A&amp;盘货信息!$B:$B&amp;盘货信息!$C:$C,盘货信息!$L:$L)=""),_xlfn.XLOOKUP($A253&amp;$B253&amp;$C253,盘货信息!$A:$A&amp;盘货信息!$B:$B&amp;盘货信息!$C:$C,盘货信息!$M:$M)="是",_xlfn.XLOOKUP($A253&amp;$B253&amp;$C253,盘货信息!$A:$A&amp;盘货信息!$B:$B&amp;盘货信息!$C:$C,盘货信息!$K:$K)&gt;0),"【详情页领取】","")))</f>
        <v/>
      </c>
      <c r="M253" s="27" t="str" cm="1">
        <f t="array" ref="M253">IF($C253="","",IF(_xlfn.XLOOKUP($A253&amp;$B253&amp;$C253,盘货信息!$A:$A&amp;盘货信息!$B:$B&amp;盘货信息!$C:$C,盘货信息!$F:$F)&lt;1,"",_xlfn.XLOOKUP($A253&amp;$B253&amp;$C253,盘货信息!$A:$A&amp;盘货信息!$B:$B&amp;盘货信息!$C:$C,盘货信息!$F:$F)&amp;"元明卷"))</f>
        <v/>
      </c>
      <c r="N253" s="27" t="str">
        <f t="shared" si="7"/>
        <v/>
      </c>
      <c r="O253" s="27" t="str">
        <f>IF(I253="","","【消费券链接】"&amp;固定信息!$B$6)</f>
        <v/>
      </c>
    </row>
    <row r="254" customHeight="1" spans="1:15">
      <c r="A254" s="23" t="str">
        <f>IF(盘货信息!A254="","",盘货信息!A254)</f>
        <v/>
      </c>
      <c r="B254" s="26" t="str">
        <f>IF(盘货信息!B254="","",盘货信息!B254)</f>
        <v/>
      </c>
      <c r="C254" s="23" t="str">
        <f>IF(盘货信息!C254="","",盘货信息!C254)</f>
        <v/>
      </c>
      <c r="D254" s="27" t="str">
        <f t="shared" si="6"/>
        <v/>
      </c>
      <c r="E254" s="27" t="str" cm="1">
        <f t="array" ref="E254">IF($C254="","",IF(AND(OR(_xlfn.XLOOKUP($A254&amp;$B254&amp;$C254,盘货信息!$A:$A&amp;盘货信息!$B:$B&amp;盘货信息!$C:$C,盘货信息!$L:$L)="否",_xlfn.XLOOKUP($A254&amp;$B254&amp;$C254,盘货信息!$A:$A&amp;盘货信息!$B:$B&amp;盘货信息!$C:$C,盘货信息!$L:$L)=""),_xlfn.XLOOKUP($A254&amp;$B254&amp;$C254,盘货信息!$A:$A&amp;盘货信息!$B:$B&amp;盘货信息!$C:$C,盘货信息!$M:$M)="否"),"【预估到手价"&amp;_xlfn.XLOOKUP($A254&amp;$B254&amp;$C254,盘货信息!$A:$A&amp;盘货信息!$B:$B&amp;盘货信息!$C:$C,盘货信息!$D:$D)&amp;"元】",IF(AND(_xlfn.XLOOKUP($A254&amp;$B254&amp;$C254,盘货信息!$A:$A&amp;盘货信息!$B:$B&amp;盘货信息!$C:$C,盘货信息!$M:$M)="是",OR(_xlfn.XLOOKUP($A254&amp;$B254&amp;$C254,盘货信息!$A:$A&amp;盘货信息!$B:$B&amp;盘货信息!$C:$C,盘货信息!$L:$L)="否",_xlfn.XLOOKUP($A254&amp;$B254&amp;$C254,盘货信息!$A:$A&amp;盘货信息!$B:$B&amp;盘货信息!$C:$C,盘货信息!$L:$L)="")),"【预估到手价"&amp;_xlfn.XLOOKUP($A254&amp;$B254&amp;$C254,盘货信息!$A:$A&amp;盘货信息!$B:$B&amp;盘货信息!$C:$C,盘货信息!$D:$D)&amp;"元】"&amp;CHAR(10)&amp;"【焕新补贴预估价"&amp;ROUND(_xlfn.XLOOKUP($A254&amp;$B254&amp;$C254,盘货信息!$A:$A&amp;盘货信息!$B:$B&amp;盘货信息!$C:$C,盘货信息!$E:$E),0)&amp;"元】","【焕新补贴预估价"&amp;ROUND(_xlfn.XLOOKUP($A254&amp;$B254&amp;$C254,盘货信息!$A:$A&amp;盘货信息!$B:$B&amp;盘货信息!$C:$C,盘货信息!$E:$E),0)&amp;"元】")))</f>
        <v/>
      </c>
      <c r="F254" s="27" t="str" cm="1">
        <f t="array" ref="F254">IF($C254="","",_xlfn.XLOOKUP($A254&amp;$B254&amp;$C254,盘货信息!$A:$A&amp;盘货信息!$B:$B&amp;盘货信息!$C:$C,盘货信息!$D:$D)&amp;"元到手价")</f>
        <v/>
      </c>
      <c r="G254" s="27" t="str" cm="1">
        <f t="array" ref="G254">IF($C254="","",IF(_xlfn.XLOOKUP($A254&amp;$B254&amp;$C254,盘货信息!$A:$A&amp;盘货信息!$B:$B&amp;盘货信息!$C:$C,盘货信息!$G:$G)&lt;1,"",ROUND(_xlfn.XLOOKUP($A254&amp;$B254&amp;$C254,盘货信息!$A:$A&amp;盘货信息!$B:$B&amp;盘货信息!$C:$C,盘货信息!$G:$G),0)&amp;"元88VIP立减"))</f>
        <v/>
      </c>
      <c r="H254" s="27" t="str" cm="1">
        <f t="array" ref="H254">IF($C254="","",IF(_xlfn.XLOOKUP($A254&amp;$B254&amp;$C254,盘货信息!$A:$A&amp;盘货信息!$B:$B&amp;盘货信息!$C:$C,盘货信息!$I:$I)&lt;1,"",_xlfn.XLOOKUP($A254&amp;$B254&amp;$C254,盘货信息!$A:$A&amp;盘货信息!$B:$B&amp;盘货信息!$C:$C,盘货信息!$I:$I)&amp;"元惊喜立减"))</f>
        <v/>
      </c>
      <c r="I254" s="27" t="str" cm="1">
        <f t="array" ref="I254">IF($C254="","",IF(_xlfn.XLOOKUP($A254&amp;$B254&amp;$C254,盘货信息!$A:$A&amp;盘货信息!$B:$B&amp;盘货信息!$C:$C,盘货信息!$H:$H)&lt;1,"",ROUND(_xlfn.XLOOKUP($A254&amp;$B254&amp;$C254,盘货信息!$A:$A&amp;盘货信息!$B:$B&amp;盘货信息!$C:$C,盘货信息!$H:$H),0)&amp;"元消费券"))</f>
        <v/>
      </c>
      <c r="J254" s="27" t="str" cm="1">
        <f t="array" ref="J254">IF($C254="","",IF(_xlfn.XLOOKUP($A254&amp;$B254&amp;$C254,盘货信息!$A:$A&amp;盘货信息!$B:$B&amp;盘货信息!$C:$C,盘货信息!$J:$J)&lt;1,"",ROUND(_xlfn.XLOOKUP($A254&amp;$B254&amp;$C254,盘货信息!$A:$A&amp;盘货信息!$B:$B&amp;盘货信息!$C:$C,盘货信息!$J:$J),0)&amp;"元限时补贴"))</f>
        <v/>
      </c>
      <c r="K254" s="27" t="str" cm="1">
        <f t="array" ref="K254">IF($C254="","",IF(_xlfn.XLOOKUP($A254&amp;$B254&amp;$C254,盘货信息!$A:$A&amp;盘货信息!$B:$B&amp;盘货信息!$C:$C,盘货信息!$K:$K)&lt;1,"",ROUND(_xlfn.XLOOKUP($A254&amp;$B254&amp;$C254,盘货信息!$A:$A&amp;盘货信息!$B:$B&amp;盘货信息!$C:$C,盘货信息!$K:$K),0)&amp;"元预估焕新补贴"))</f>
        <v/>
      </c>
      <c r="L254" s="27" t="str" cm="1">
        <f t="array" ref="L254">IF($C254="","",IF(AND(_xlfn.XLOOKUP($A254&amp;$B254&amp;$C254,盘货信息!$A:$A&amp;盘货信息!$B:$B&amp;盘货信息!$C:$C,盘货信息!$L:$L)="是",_xlfn.XLOOKUP($A254&amp;$B254&amp;$C254,盘货信息!$A:$A&amp;盘货信息!$B:$B&amp;盘货信息!$C:$C,盘货信息!$M:$M)="是",_xlfn.XLOOKUP($A254&amp;$B254&amp;$C254,盘货信息!$A:$A&amp;盘货信息!$B:$B&amp;盘货信息!$C:$C,盘货信息!$K:$K)&gt;0),"【全民可用，不限地址】",IF(AND(OR(_xlfn.XLOOKUP($A254&amp;$B254&amp;$C254,盘货信息!$A:$A&amp;盘货信息!$B:$B&amp;盘货信息!$C:$C,盘货信息!$L:$L)="否",_xlfn.XLOOKUP($A254&amp;$B254&amp;$C254,盘货信息!$A:$A&amp;盘货信息!$B:$B&amp;盘货信息!$C:$C,盘货信息!$L:$L)=""),_xlfn.XLOOKUP($A254&amp;$B254&amp;$C254,盘货信息!$A:$A&amp;盘货信息!$B:$B&amp;盘货信息!$C:$C,盘货信息!$M:$M)="是",_xlfn.XLOOKUP($A254&amp;$B254&amp;$C254,盘货信息!$A:$A&amp;盘货信息!$B:$B&amp;盘货信息!$C:$C,盘货信息!$K:$K)&gt;0),"【详情页领取】","")))</f>
        <v/>
      </c>
      <c r="M254" s="27" t="str" cm="1">
        <f t="array" ref="M254">IF($C254="","",IF(_xlfn.XLOOKUP($A254&amp;$B254&amp;$C254,盘货信息!$A:$A&amp;盘货信息!$B:$B&amp;盘货信息!$C:$C,盘货信息!$F:$F)&lt;1,"",_xlfn.XLOOKUP($A254&amp;$B254&amp;$C254,盘货信息!$A:$A&amp;盘货信息!$B:$B&amp;盘货信息!$C:$C,盘货信息!$F:$F)&amp;"元明卷"))</f>
        <v/>
      </c>
      <c r="N254" s="27" t="str">
        <f t="shared" si="7"/>
        <v/>
      </c>
      <c r="O254" s="27" t="str">
        <f>IF(I254="","","【消费券链接】"&amp;固定信息!$B$6)</f>
        <v/>
      </c>
    </row>
    <row r="255" customHeight="1" spans="1:15">
      <c r="A255" s="23" t="str">
        <f>IF(盘货信息!A255="","",盘货信息!A255)</f>
        <v/>
      </c>
      <c r="B255" s="26" t="str">
        <f>IF(盘货信息!B255="","",盘货信息!B255)</f>
        <v/>
      </c>
      <c r="C255" s="23" t="str">
        <f>IF(盘货信息!C255="","",盘货信息!C255)</f>
        <v/>
      </c>
      <c r="D255" s="27" t="str">
        <f t="shared" si="6"/>
        <v/>
      </c>
      <c r="E255" s="27" t="str" cm="1">
        <f t="array" ref="E255">IF($C255="","",IF(AND(OR(_xlfn.XLOOKUP($A255&amp;$B255&amp;$C255,盘货信息!$A:$A&amp;盘货信息!$B:$B&amp;盘货信息!$C:$C,盘货信息!$L:$L)="否",_xlfn.XLOOKUP($A255&amp;$B255&amp;$C255,盘货信息!$A:$A&amp;盘货信息!$B:$B&amp;盘货信息!$C:$C,盘货信息!$L:$L)=""),_xlfn.XLOOKUP($A255&amp;$B255&amp;$C255,盘货信息!$A:$A&amp;盘货信息!$B:$B&amp;盘货信息!$C:$C,盘货信息!$M:$M)="否"),"【预估到手价"&amp;_xlfn.XLOOKUP($A255&amp;$B255&amp;$C255,盘货信息!$A:$A&amp;盘货信息!$B:$B&amp;盘货信息!$C:$C,盘货信息!$D:$D)&amp;"元】",IF(AND(_xlfn.XLOOKUP($A255&amp;$B255&amp;$C255,盘货信息!$A:$A&amp;盘货信息!$B:$B&amp;盘货信息!$C:$C,盘货信息!$M:$M)="是",OR(_xlfn.XLOOKUP($A255&amp;$B255&amp;$C255,盘货信息!$A:$A&amp;盘货信息!$B:$B&amp;盘货信息!$C:$C,盘货信息!$L:$L)="否",_xlfn.XLOOKUP($A255&amp;$B255&amp;$C255,盘货信息!$A:$A&amp;盘货信息!$B:$B&amp;盘货信息!$C:$C,盘货信息!$L:$L)="")),"【预估到手价"&amp;_xlfn.XLOOKUP($A255&amp;$B255&amp;$C255,盘货信息!$A:$A&amp;盘货信息!$B:$B&amp;盘货信息!$C:$C,盘货信息!$D:$D)&amp;"元】"&amp;CHAR(10)&amp;"【焕新补贴预估价"&amp;ROUND(_xlfn.XLOOKUP($A255&amp;$B255&amp;$C255,盘货信息!$A:$A&amp;盘货信息!$B:$B&amp;盘货信息!$C:$C,盘货信息!$E:$E),0)&amp;"元】","【焕新补贴预估价"&amp;ROUND(_xlfn.XLOOKUP($A255&amp;$B255&amp;$C255,盘货信息!$A:$A&amp;盘货信息!$B:$B&amp;盘货信息!$C:$C,盘货信息!$E:$E),0)&amp;"元】")))</f>
        <v/>
      </c>
      <c r="F255" s="27" t="str" cm="1">
        <f t="array" ref="F255">IF($C255="","",_xlfn.XLOOKUP($A255&amp;$B255&amp;$C255,盘货信息!$A:$A&amp;盘货信息!$B:$B&amp;盘货信息!$C:$C,盘货信息!$D:$D)&amp;"元到手价")</f>
        <v/>
      </c>
      <c r="G255" s="27" t="str" cm="1">
        <f t="array" ref="G255">IF($C255="","",IF(_xlfn.XLOOKUP($A255&amp;$B255&amp;$C255,盘货信息!$A:$A&amp;盘货信息!$B:$B&amp;盘货信息!$C:$C,盘货信息!$G:$G)&lt;1,"",ROUND(_xlfn.XLOOKUP($A255&amp;$B255&amp;$C255,盘货信息!$A:$A&amp;盘货信息!$B:$B&amp;盘货信息!$C:$C,盘货信息!$G:$G),0)&amp;"元88VIP立减"))</f>
        <v/>
      </c>
      <c r="H255" s="27" t="str" cm="1">
        <f t="array" ref="H255">IF($C255="","",IF(_xlfn.XLOOKUP($A255&amp;$B255&amp;$C255,盘货信息!$A:$A&amp;盘货信息!$B:$B&amp;盘货信息!$C:$C,盘货信息!$I:$I)&lt;1,"",_xlfn.XLOOKUP($A255&amp;$B255&amp;$C255,盘货信息!$A:$A&amp;盘货信息!$B:$B&amp;盘货信息!$C:$C,盘货信息!$I:$I)&amp;"元惊喜立减"))</f>
        <v/>
      </c>
      <c r="I255" s="27" t="str" cm="1">
        <f t="array" ref="I255">IF($C255="","",IF(_xlfn.XLOOKUP($A255&amp;$B255&amp;$C255,盘货信息!$A:$A&amp;盘货信息!$B:$B&amp;盘货信息!$C:$C,盘货信息!$H:$H)&lt;1,"",ROUND(_xlfn.XLOOKUP($A255&amp;$B255&amp;$C255,盘货信息!$A:$A&amp;盘货信息!$B:$B&amp;盘货信息!$C:$C,盘货信息!$H:$H),0)&amp;"元消费券"))</f>
        <v/>
      </c>
      <c r="J255" s="27" t="str" cm="1">
        <f t="array" ref="J255">IF($C255="","",IF(_xlfn.XLOOKUP($A255&amp;$B255&amp;$C255,盘货信息!$A:$A&amp;盘货信息!$B:$B&amp;盘货信息!$C:$C,盘货信息!$J:$J)&lt;1,"",ROUND(_xlfn.XLOOKUP($A255&amp;$B255&amp;$C255,盘货信息!$A:$A&amp;盘货信息!$B:$B&amp;盘货信息!$C:$C,盘货信息!$J:$J),0)&amp;"元限时补贴"))</f>
        <v/>
      </c>
      <c r="K255" s="27" t="str" cm="1">
        <f t="array" ref="K255">IF($C255="","",IF(_xlfn.XLOOKUP($A255&amp;$B255&amp;$C255,盘货信息!$A:$A&amp;盘货信息!$B:$B&amp;盘货信息!$C:$C,盘货信息!$K:$K)&lt;1,"",ROUND(_xlfn.XLOOKUP($A255&amp;$B255&amp;$C255,盘货信息!$A:$A&amp;盘货信息!$B:$B&amp;盘货信息!$C:$C,盘货信息!$K:$K),0)&amp;"元预估焕新补贴"))</f>
        <v/>
      </c>
      <c r="L255" s="27" t="str" cm="1">
        <f t="array" ref="L255">IF($C255="","",IF(AND(_xlfn.XLOOKUP($A255&amp;$B255&amp;$C255,盘货信息!$A:$A&amp;盘货信息!$B:$B&amp;盘货信息!$C:$C,盘货信息!$L:$L)="是",_xlfn.XLOOKUP($A255&amp;$B255&amp;$C255,盘货信息!$A:$A&amp;盘货信息!$B:$B&amp;盘货信息!$C:$C,盘货信息!$M:$M)="是",_xlfn.XLOOKUP($A255&amp;$B255&amp;$C255,盘货信息!$A:$A&amp;盘货信息!$B:$B&amp;盘货信息!$C:$C,盘货信息!$K:$K)&gt;0),"【全民可用，不限地址】",IF(AND(OR(_xlfn.XLOOKUP($A255&amp;$B255&amp;$C255,盘货信息!$A:$A&amp;盘货信息!$B:$B&amp;盘货信息!$C:$C,盘货信息!$L:$L)="否",_xlfn.XLOOKUP($A255&amp;$B255&amp;$C255,盘货信息!$A:$A&amp;盘货信息!$B:$B&amp;盘货信息!$C:$C,盘货信息!$L:$L)=""),_xlfn.XLOOKUP($A255&amp;$B255&amp;$C255,盘货信息!$A:$A&amp;盘货信息!$B:$B&amp;盘货信息!$C:$C,盘货信息!$M:$M)="是",_xlfn.XLOOKUP($A255&amp;$B255&amp;$C255,盘货信息!$A:$A&amp;盘货信息!$B:$B&amp;盘货信息!$C:$C,盘货信息!$K:$K)&gt;0),"【详情页领取】","")))</f>
        <v/>
      </c>
      <c r="M255" s="27" t="str" cm="1">
        <f t="array" ref="M255">IF($C255="","",IF(_xlfn.XLOOKUP($A255&amp;$B255&amp;$C255,盘货信息!$A:$A&amp;盘货信息!$B:$B&amp;盘货信息!$C:$C,盘货信息!$F:$F)&lt;1,"",_xlfn.XLOOKUP($A255&amp;$B255&amp;$C255,盘货信息!$A:$A&amp;盘货信息!$B:$B&amp;盘货信息!$C:$C,盘货信息!$F:$F)&amp;"元明卷"))</f>
        <v/>
      </c>
      <c r="N255" s="27" t="str">
        <f t="shared" si="7"/>
        <v/>
      </c>
      <c r="O255" s="27" t="str">
        <f>IF(I255="","","【消费券链接】"&amp;固定信息!$B$6)</f>
        <v/>
      </c>
    </row>
    <row r="256" customHeight="1" spans="1:15">
      <c r="A256" s="23" t="str">
        <f>IF(盘货信息!A256="","",盘货信息!A256)</f>
        <v/>
      </c>
      <c r="B256" s="26" t="str">
        <f>IF(盘货信息!B256="","",盘货信息!B256)</f>
        <v/>
      </c>
      <c r="C256" s="23" t="str">
        <f>IF(盘货信息!C256="","",盘货信息!C256)</f>
        <v/>
      </c>
      <c r="D256" s="27" t="str">
        <f t="shared" si="6"/>
        <v/>
      </c>
      <c r="E256" s="27" t="str" cm="1">
        <f t="array" ref="E256">IF($C256="","",IF(AND(OR(_xlfn.XLOOKUP($A256&amp;$B256&amp;$C256,盘货信息!$A:$A&amp;盘货信息!$B:$B&amp;盘货信息!$C:$C,盘货信息!$L:$L)="否",_xlfn.XLOOKUP($A256&amp;$B256&amp;$C256,盘货信息!$A:$A&amp;盘货信息!$B:$B&amp;盘货信息!$C:$C,盘货信息!$L:$L)=""),_xlfn.XLOOKUP($A256&amp;$B256&amp;$C256,盘货信息!$A:$A&amp;盘货信息!$B:$B&amp;盘货信息!$C:$C,盘货信息!$M:$M)="否"),"【预估到手价"&amp;_xlfn.XLOOKUP($A256&amp;$B256&amp;$C256,盘货信息!$A:$A&amp;盘货信息!$B:$B&amp;盘货信息!$C:$C,盘货信息!$D:$D)&amp;"元】",IF(AND(_xlfn.XLOOKUP($A256&amp;$B256&amp;$C256,盘货信息!$A:$A&amp;盘货信息!$B:$B&amp;盘货信息!$C:$C,盘货信息!$M:$M)="是",OR(_xlfn.XLOOKUP($A256&amp;$B256&amp;$C256,盘货信息!$A:$A&amp;盘货信息!$B:$B&amp;盘货信息!$C:$C,盘货信息!$L:$L)="否",_xlfn.XLOOKUP($A256&amp;$B256&amp;$C256,盘货信息!$A:$A&amp;盘货信息!$B:$B&amp;盘货信息!$C:$C,盘货信息!$L:$L)="")),"【预估到手价"&amp;_xlfn.XLOOKUP($A256&amp;$B256&amp;$C256,盘货信息!$A:$A&amp;盘货信息!$B:$B&amp;盘货信息!$C:$C,盘货信息!$D:$D)&amp;"元】"&amp;CHAR(10)&amp;"【焕新补贴预估价"&amp;ROUND(_xlfn.XLOOKUP($A256&amp;$B256&amp;$C256,盘货信息!$A:$A&amp;盘货信息!$B:$B&amp;盘货信息!$C:$C,盘货信息!$E:$E),0)&amp;"元】","【焕新补贴预估价"&amp;ROUND(_xlfn.XLOOKUP($A256&amp;$B256&amp;$C256,盘货信息!$A:$A&amp;盘货信息!$B:$B&amp;盘货信息!$C:$C,盘货信息!$E:$E),0)&amp;"元】")))</f>
        <v/>
      </c>
      <c r="F256" s="27" t="str" cm="1">
        <f t="array" ref="F256">IF($C256="","",_xlfn.XLOOKUP($A256&amp;$B256&amp;$C256,盘货信息!$A:$A&amp;盘货信息!$B:$B&amp;盘货信息!$C:$C,盘货信息!$D:$D)&amp;"元到手价")</f>
        <v/>
      </c>
      <c r="G256" s="27" t="str" cm="1">
        <f t="array" ref="G256">IF($C256="","",IF(_xlfn.XLOOKUP($A256&amp;$B256&amp;$C256,盘货信息!$A:$A&amp;盘货信息!$B:$B&amp;盘货信息!$C:$C,盘货信息!$G:$G)&lt;1,"",ROUND(_xlfn.XLOOKUP($A256&amp;$B256&amp;$C256,盘货信息!$A:$A&amp;盘货信息!$B:$B&amp;盘货信息!$C:$C,盘货信息!$G:$G),0)&amp;"元88VIP立减"))</f>
        <v/>
      </c>
      <c r="H256" s="27" t="str" cm="1">
        <f t="array" ref="H256">IF($C256="","",IF(_xlfn.XLOOKUP($A256&amp;$B256&amp;$C256,盘货信息!$A:$A&amp;盘货信息!$B:$B&amp;盘货信息!$C:$C,盘货信息!$I:$I)&lt;1,"",_xlfn.XLOOKUP($A256&amp;$B256&amp;$C256,盘货信息!$A:$A&amp;盘货信息!$B:$B&amp;盘货信息!$C:$C,盘货信息!$I:$I)&amp;"元惊喜立减"))</f>
        <v/>
      </c>
      <c r="I256" s="27" t="str" cm="1">
        <f t="array" ref="I256">IF($C256="","",IF(_xlfn.XLOOKUP($A256&amp;$B256&amp;$C256,盘货信息!$A:$A&amp;盘货信息!$B:$B&amp;盘货信息!$C:$C,盘货信息!$H:$H)&lt;1,"",ROUND(_xlfn.XLOOKUP($A256&amp;$B256&amp;$C256,盘货信息!$A:$A&amp;盘货信息!$B:$B&amp;盘货信息!$C:$C,盘货信息!$H:$H),0)&amp;"元消费券"))</f>
        <v/>
      </c>
      <c r="J256" s="27" t="str" cm="1">
        <f t="array" ref="J256">IF($C256="","",IF(_xlfn.XLOOKUP($A256&amp;$B256&amp;$C256,盘货信息!$A:$A&amp;盘货信息!$B:$B&amp;盘货信息!$C:$C,盘货信息!$J:$J)&lt;1,"",ROUND(_xlfn.XLOOKUP($A256&amp;$B256&amp;$C256,盘货信息!$A:$A&amp;盘货信息!$B:$B&amp;盘货信息!$C:$C,盘货信息!$J:$J),0)&amp;"元限时补贴"))</f>
        <v/>
      </c>
      <c r="K256" s="27" t="str" cm="1">
        <f t="array" ref="K256">IF($C256="","",IF(_xlfn.XLOOKUP($A256&amp;$B256&amp;$C256,盘货信息!$A:$A&amp;盘货信息!$B:$B&amp;盘货信息!$C:$C,盘货信息!$K:$K)&lt;1,"",ROUND(_xlfn.XLOOKUP($A256&amp;$B256&amp;$C256,盘货信息!$A:$A&amp;盘货信息!$B:$B&amp;盘货信息!$C:$C,盘货信息!$K:$K),0)&amp;"元预估焕新补贴"))</f>
        <v/>
      </c>
      <c r="L256" s="27" t="str" cm="1">
        <f t="array" ref="L256">IF($C256="","",IF(AND(_xlfn.XLOOKUP($A256&amp;$B256&amp;$C256,盘货信息!$A:$A&amp;盘货信息!$B:$B&amp;盘货信息!$C:$C,盘货信息!$L:$L)="是",_xlfn.XLOOKUP($A256&amp;$B256&amp;$C256,盘货信息!$A:$A&amp;盘货信息!$B:$B&amp;盘货信息!$C:$C,盘货信息!$M:$M)="是",_xlfn.XLOOKUP($A256&amp;$B256&amp;$C256,盘货信息!$A:$A&amp;盘货信息!$B:$B&amp;盘货信息!$C:$C,盘货信息!$K:$K)&gt;0),"【全民可用，不限地址】",IF(AND(OR(_xlfn.XLOOKUP($A256&amp;$B256&amp;$C256,盘货信息!$A:$A&amp;盘货信息!$B:$B&amp;盘货信息!$C:$C,盘货信息!$L:$L)="否",_xlfn.XLOOKUP($A256&amp;$B256&amp;$C256,盘货信息!$A:$A&amp;盘货信息!$B:$B&amp;盘货信息!$C:$C,盘货信息!$L:$L)=""),_xlfn.XLOOKUP($A256&amp;$B256&amp;$C256,盘货信息!$A:$A&amp;盘货信息!$B:$B&amp;盘货信息!$C:$C,盘货信息!$M:$M)="是",_xlfn.XLOOKUP($A256&amp;$B256&amp;$C256,盘货信息!$A:$A&amp;盘货信息!$B:$B&amp;盘货信息!$C:$C,盘货信息!$K:$K)&gt;0),"【详情页领取】","")))</f>
        <v/>
      </c>
      <c r="M256" s="27" t="str" cm="1">
        <f t="array" ref="M256">IF($C256="","",IF(_xlfn.XLOOKUP($A256&amp;$B256&amp;$C256,盘货信息!$A:$A&amp;盘货信息!$B:$B&amp;盘货信息!$C:$C,盘货信息!$F:$F)&lt;1,"",_xlfn.XLOOKUP($A256&amp;$B256&amp;$C256,盘货信息!$A:$A&amp;盘货信息!$B:$B&amp;盘货信息!$C:$C,盘货信息!$F:$F)&amp;"元明卷"))</f>
        <v/>
      </c>
      <c r="N256" s="27" t="str">
        <f t="shared" si="7"/>
        <v/>
      </c>
      <c r="O256" s="27" t="str">
        <f>IF(I256="","","【消费券链接】"&amp;固定信息!$B$6)</f>
        <v/>
      </c>
    </row>
    <row r="257" customHeight="1" spans="1:15">
      <c r="A257" s="23" t="str">
        <f>IF(盘货信息!A257="","",盘货信息!A257)</f>
        <v/>
      </c>
      <c r="B257" s="26" t="str">
        <f>IF(盘货信息!B257="","",盘货信息!B257)</f>
        <v/>
      </c>
      <c r="C257" s="23" t="str">
        <f>IF(盘货信息!C257="","",盘货信息!C257)</f>
        <v/>
      </c>
      <c r="D257" s="27" t="str">
        <f t="shared" si="6"/>
        <v/>
      </c>
      <c r="E257" s="27" t="str" cm="1">
        <f t="array" ref="E257">IF($C257="","",IF(AND(OR(_xlfn.XLOOKUP($A257&amp;$B257&amp;$C257,盘货信息!$A:$A&amp;盘货信息!$B:$B&amp;盘货信息!$C:$C,盘货信息!$L:$L)="否",_xlfn.XLOOKUP($A257&amp;$B257&amp;$C257,盘货信息!$A:$A&amp;盘货信息!$B:$B&amp;盘货信息!$C:$C,盘货信息!$L:$L)=""),_xlfn.XLOOKUP($A257&amp;$B257&amp;$C257,盘货信息!$A:$A&amp;盘货信息!$B:$B&amp;盘货信息!$C:$C,盘货信息!$M:$M)="否"),"【预估到手价"&amp;_xlfn.XLOOKUP($A257&amp;$B257&amp;$C257,盘货信息!$A:$A&amp;盘货信息!$B:$B&amp;盘货信息!$C:$C,盘货信息!$D:$D)&amp;"元】",IF(AND(_xlfn.XLOOKUP($A257&amp;$B257&amp;$C257,盘货信息!$A:$A&amp;盘货信息!$B:$B&amp;盘货信息!$C:$C,盘货信息!$M:$M)="是",OR(_xlfn.XLOOKUP($A257&amp;$B257&amp;$C257,盘货信息!$A:$A&amp;盘货信息!$B:$B&amp;盘货信息!$C:$C,盘货信息!$L:$L)="否",_xlfn.XLOOKUP($A257&amp;$B257&amp;$C257,盘货信息!$A:$A&amp;盘货信息!$B:$B&amp;盘货信息!$C:$C,盘货信息!$L:$L)="")),"【预估到手价"&amp;_xlfn.XLOOKUP($A257&amp;$B257&amp;$C257,盘货信息!$A:$A&amp;盘货信息!$B:$B&amp;盘货信息!$C:$C,盘货信息!$D:$D)&amp;"元】"&amp;CHAR(10)&amp;"【焕新补贴预估价"&amp;ROUND(_xlfn.XLOOKUP($A257&amp;$B257&amp;$C257,盘货信息!$A:$A&amp;盘货信息!$B:$B&amp;盘货信息!$C:$C,盘货信息!$E:$E),0)&amp;"元】","【焕新补贴预估价"&amp;ROUND(_xlfn.XLOOKUP($A257&amp;$B257&amp;$C257,盘货信息!$A:$A&amp;盘货信息!$B:$B&amp;盘货信息!$C:$C,盘货信息!$E:$E),0)&amp;"元】")))</f>
        <v/>
      </c>
      <c r="F257" s="27" t="str" cm="1">
        <f t="array" ref="F257">IF($C257="","",_xlfn.XLOOKUP($A257&amp;$B257&amp;$C257,盘货信息!$A:$A&amp;盘货信息!$B:$B&amp;盘货信息!$C:$C,盘货信息!$D:$D)&amp;"元到手价")</f>
        <v/>
      </c>
      <c r="G257" s="27" t="str" cm="1">
        <f t="array" ref="G257">IF($C257="","",IF(_xlfn.XLOOKUP($A257&amp;$B257&amp;$C257,盘货信息!$A:$A&amp;盘货信息!$B:$B&amp;盘货信息!$C:$C,盘货信息!$G:$G)&lt;1,"",ROUND(_xlfn.XLOOKUP($A257&amp;$B257&amp;$C257,盘货信息!$A:$A&amp;盘货信息!$B:$B&amp;盘货信息!$C:$C,盘货信息!$G:$G),0)&amp;"元88VIP立减"))</f>
        <v/>
      </c>
      <c r="H257" s="27" t="str" cm="1">
        <f t="array" ref="H257">IF($C257="","",IF(_xlfn.XLOOKUP($A257&amp;$B257&amp;$C257,盘货信息!$A:$A&amp;盘货信息!$B:$B&amp;盘货信息!$C:$C,盘货信息!$I:$I)&lt;1,"",_xlfn.XLOOKUP($A257&amp;$B257&amp;$C257,盘货信息!$A:$A&amp;盘货信息!$B:$B&amp;盘货信息!$C:$C,盘货信息!$I:$I)&amp;"元惊喜立减"))</f>
        <v/>
      </c>
      <c r="I257" s="27" t="str" cm="1">
        <f t="array" ref="I257">IF($C257="","",IF(_xlfn.XLOOKUP($A257&amp;$B257&amp;$C257,盘货信息!$A:$A&amp;盘货信息!$B:$B&amp;盘货信息!$C:$C,盘货信息!$H:$H)&lt;1,"",ROUND(_xlfn.XLOOKUP($A257&amp;$B257&amp;$C257,盘货信息!$A:$A&amp;盘货信息!$B:$B&amp;盘货信息!$C:$C,盘货信息!$H:$H),0)&amp;"元消费券"))</f>
        <v/>
      </c>
      <c r="J257" s="27" t="str" cm="1">
        <f t="array" ref="J257">IF($C257="","",IF(_xlfn.XLOOKUP($A257&amp;$B257&amp;$C257,盘货信息!$A:$A&amp;盘货信息!$B:$B&amp;盘货信息!$C:$C,盘货信息!$J:$J)&lt;1,"",ROUND(_xlfn.XLOOKUP($A257&amp;$B257&amp;$C257,盘货信息!$A:$A&amp;盘货信息!$B:$B&amp;盘货信息!$C:$C,盘货信息!$J:$J),0)&amp;"元限时补贴"))</f>
        <v/>
      </c>
      <c r="K257" s="27" t="str" cm="1">
        <f t="array" ref="K257">IF($C257="","",IF(_xlfn.XLOOKUP($A257&amp;$B257&amp;$C257,盘货信息!$A:$A&amp;盘货信息!$B:$B&amp;盘货信息!$C:$C,盘货信息!$K:$K)&lt;1,"",ROUND(_xlfn.XLOOKUP($A257&amp;$B257&amp;$C257,盘货信息!$A:$A&amp;盘货信息!$B:$B&amp;盘货信息!$C:$C,盘货信息!$K:$K),0)&amp;"元预估焕新补贴"))</f>
        <v/>
      </c>
      <c r="L257" s="27" t="str" cm="1">
        <f t="array" ref="L257">IF($C257="","",IF(AND(_xlfn.XLOOKUP($A257&amp;$B257&amp;$C257,盘货信息!$A:$A&amp;盘货信息!$B:$B&amp;盘货信息!$C:$C,盘货信息!$L:$L)="是",_xlfn.XLOOKUP($A257&amp;$B257&amp;$C257,盘货信息!$A:$A&amp;盘货信息!$B:$B&amp;盘货信息!$C:$C,盘货信息!$M:$M)="是",_xlfn.XLOOKUP($A257&amp;$B257&amp;$C257,盘货信息!$A:$A&amp;盘货信息!$B:$B&amp;盘货信息!$C:$C,盘货信息!$K:$K)&gt;0),"【全民可用，不限地址】",IF(AND(OR(_xlfn.XLOOKUP($A257&amp;$B257&amp;$C257,盘货信息!$A:$A&amp;盘货信息!$B:$B&amp;盘货信息!$C:$C,盘货信息!$L:$L)="否",_xlfn.XLOOKUP($A257&amp;$B257&amp;$C257,盘货信息!$A:$A&amp;盘货信息!$B:$B&amp;盘货信息!$C:$C,盘货信息!$L:$L)=""),_xlfn.XLOOKUP($A257&amp;$B257&amp;$C257,盘货信息!$A:$A&amp;盘货信息!$B:$B&amp;盘货信息!$C:$C,盘货信息!$M:$M)="是",_xlfn.XLOOKUP($A257&amp;$B257&amp;$C257,盘货信息!$A:$A&amp;盘货信息!$B:$B&amp;盘货信息!$C:$C,盘货信息!$K:$K)&gt;0),"【详情页领取】","")))</f>
        <v/>
      </c>
      <c r="M257" s="27" t="str" cm="1">
        <f t="array" ref="M257">IF($C257="","",IF(_xlfn.XLOOKUP($A257&amp;$B257&amp;$C257,盘货信息!$A:$A&amp;盘货信息!$B:$B&amp;盘货信息!$C:$C,盘货信息!$F:$F)&lt;1,"",_xlfn.XLOOKUP($A257&amp;$B257&amp;$C257,盘货信息!$A:$A&amp;盘货信息!$B:$B&amp;盘货信息!$C:$C,盘货信息!$F:$F)&amp;"元明卷"))</f>
        <v/>
      </c>
      <c r="N257" s="27" t="str">
        <f t="shared" si="7"/>
        <v/>
      </c>
      <c r="O257" s="27" t="str">
        <f>IF(I257="","","【消费券链接】"&amp;固定信息!$B$6)</f>
        <v/>
      </c>
    </row>
    <row r="258" customHeight="1" spans="1:15">
      <c r="A258" s="23" t="str">
        <f>IF(盘货信息!A258="","",盘货信息!A258)</f>
        <v/>
      </c>
      <c r="B258" s="26" t="str">
        <f>IF(盘货信息!B258="","",盘货信息!B258)</f>
        <v/>
      </c>
      <c r="C258" s="23" t="str">
        <f>IF(盘货信息!C258="","",盘货信息!C258)</f>
        <v/>
      </c>
      <c r="D258" s="27" t="str">
        <f t="shared" si="6"/>
        <v/>
      </c>
      <c r="E258" s="27" t="str" cm="1">
        <f t="array" ref="E258">IF($C258="","",IF(AND(OR(_xlfn.XLOOKUP($A258&amp;$B258&amp;$C258,盘货信息!$A:$A&amp;盘货信息!$B:$B&amp;盘货信息!$C:$C,盘货信息!$L:$L)="否",_xlfn.XLOOKUP($A258&amp;$B258&amp;$C258,盘货信息!$A:$A&amp;盘货信息!$B:$B&amp;盘货信息!$C:$C,盘货信息!$L:$L)=""),_xlfn.XLOOKUP($A258&amp;$B258&amp;$C258,盘货信息!$A:$A&amp;盘货信息!$B:$B&amp;盘货信息!$C:$C,盘货信息!$M:$M)="否"),"【预估到手价"&amp;_xlfn.XLOOKUP($A258&amp;$B258&amp;$C258,盘货信息!$A:$A&amp;盘货信息!$B:$B&amp;盘货信息!$C:$C,盘货信息!$D:$D)&amp;"元】",IF(AND(_xlfn.XLOOKUP($A258&amp;$B258&amp;$C258,盘货信息!$A:$A&amp;盘货信息!$B:$B&amp;盘货信息!$C:$C,盘货信息!$M:$M)="是",OR(_xlfn.XLOOKUP($A258&amp;$B258&amp;$C258,盘货信息!$A:$A&amp;盘货信息!$B:$B&amp;盘货信息!$C:$C,盘货信息!$L:$L)="否",_xlfn.XLOOKUP($A258&amp;$B258&amp;$C258,盘货信息!$A:$A&amp;盘货信息!$B:$B&amp;盘货信息!$C:$C,盘货信息!$L:$L)="")),"【预估到手价"&amp;_xlfn.XLOOKUP($A258&amp;$B258&amp;$C258,盘货信息!$A:$A&amp;盘货信息!$B:$B&amp;盘货信息!$C:$C,盘货信息!$D:$D)&amp;"元】"&amp;CHAR(10)&amp;"【焕新补贴预估价"&amp;ROUND(_xlfn.XLOOKUP($A258&amp;$B258&amp;$C258,盘货信息!$A:$A&amp;盘货信息!$B:$B&amp;盘货信息!$C:$C,盘货信息!$E:$E),0)&amp;"元】","【焕新补贴预估价"&amp;ROUND(_xlfn.XLOOKUP($A258&amp;$B258&amp;$C258,盘货信息!$A:$A&amp;盘货信息!$B:$B&amp;盘货信息!$C:$C,盘货信息!$E:$E),0)&amp;"元】")))</f>
        <v/>
      </c>
      <c r="F258" s="27" t="str" cm="1">
        <f t="array" ref="F258">IF($C258="","",_xlfn.XLOOKUP($A258&amp;$B258&amp;$C258,盘货信息!$A:$A&amp;盘货信息!$B:$B&amp;盘货信息!$C:$C,盘货信息!$D:$D)&amp;"元到手价")</f>
        <v/>
      </c>
      <c r="G258" s="27" t="str" cm="1">
        <f t="array" ref="G258">IF($C258="","",IF(_xlfn.XLOOKUP($A258&amp;$B258&amp;$C258,盘货信息!$A:$A&amp;盘货信息!$B:$B&amp;盘货信息!$C:$C,盘货信息!$G:$G)&lt;1,"",ROUND(_xlfn.XLOOKUP($A258&amp;$B258&amp;$C258,盘货信息!$A:$A&amp;盘货信息!$B:$B&amp;盘货信息!$C:$C,盘货信息!$G:$G),0)&amp;"元88VIP立减"))</f>
        <v/>
      </c>
      <c r="H258" s="27" t="str" cm="1">
        <f t="array" ref="H258">IF($C258="","",IF(_xlfn.XLOOKUP($A258&amp;$B258&amp;$C258,盘货信息!$A:$A&amp;盘货信息!$B:$B&amp;盘货信息!$C:$C,盘货信息!$I:$I)&lt;1,"",_xlfn.XLOOKUP($A258&amp;$B258&amp;$C258,盘货信息!$A:$A&amp;盘货信息!$B:$B&amp;盘货信息!$C:$C,盘货信息!$I:$I)&amp;"元惊喜立减"))</f>
        <v/>
      </c>
      <c r="I258" s="27" t="str" cm="1">
        <f t="array" ref="I258">IF($C258="","",IF(_xlfn.XLOOKUP($A258&amp;$B258&amp;$C258,盘货信息!$A:$A&amp;盘货信息!$B:$B&amp;盘货信息!$C:$C,盘货信息!$H:$H)&lt;1,"",ROUND(_xlfn.XLOOKUP($A258&amp;$B258&amp;$C258,盘货信息!$A:$A&amp;盘货信息!$B:$B&amp;盘货信息!$C:$C,盘货信息!$H:$H),0)&amp;"元消费券"))</f>
        <v/>
      </c>
      <c r="J258" s="27" t="str" cm="1">
        <f t="array" ref="J258">IF($C258="","",IF(_xlfn.XLOOKUP($A258&amp;$B258&amp;$C258,盘货信息!$A:$A&amp;盘货信息!$B:$B&amp;盘货信息!$C:$C,盘货信息!$J:$J)&lt;1,"",ROUND(_xlfn.XLOOKUP($A258&amp;$B258&amp;$C258,盘货信息!$A:$A&amp;盘货信息!$B:$B&amp;盘货信息!$C:$C,盘货信息!$J:$J),0)&amp;"元限时补贴"))</f>
        <v/>
      </c>
      <c r="K258" s="27" t="str" cm="1">
        <f t="array" ref="K258">IF($C258="","",IF(_xlfn.XLOOKUP($A258&amp;$B258&amp;$C258,盘货信息!$A:$A&amp;盘货信息!$B:$B&amp;盘货信息!$C:$C,盘货信息!$K:$K)&lt;1,"",ROUND(_xlfn.XLOOKUP($A258&amp;$B258&amp;$C258,盘货信息!$A:$A&amp;盘货信息!$B:$B&amp;盘货信息!$C:$C,盘货信息!$K:$K),0)&amp;"元预估焕新补贴"))</f>
        <v/>
      </c>
      <c r="L258" s="27" t="str" cm="1">
        <f t="array" ref="L258">IF($C258="","",IF(AND(_xlfn.XLOOKUP($A258&amp;$B258&amp;$C258,盘货信息!$A:$A&amp;盘货信息!$B:$B&amp;盘货信息!$C:$C,盘货信息!$L:$L)="是",_xlfn.XLOOKUP($A258&amp;$B258&amp;$C258,盘货信息!$A:$A&amp;盘货信息!$B:$B&amp;盘货信息!$C:$C,盘货信息!$M:$M)="是",_xlfn.XLOOKUP($A258&amp;$B258&amp;$C258,盘货信息!$A:$A&amp;盘货信息!$B:$B&amp;盘货信息!$C:$C,盘货信息!$K:$K)&gt;0),"【全民可用，不限地址】",IF(AND(OR(_xlfn.XLOOKUP($A258&amp;$B258&amp;$C258,盘货信息!$A:$A&amp;盘货信息!$B:$B&amp;盘货信息!$C:$C,盘货信息!$L:$L)="否",_xlfn.XLOOKUP($A258&amp;$B258&amp;$C258,盘货信息!$A:$A&amp;盘货信息!$B:$B&amp;盘货信息!$C:$C,盘货信息!$L:$L)=""),_xlfn.XLOOKUP($A258&amp;$B258&amp;$C258,盘货信息!$A:$A&amp;盘货信息!$B:$B&amp;盘货信息!$C:$C,盘货信息!$M:$M)="是",_xlfn.XLOOKUP($A258&amp;$B258&amp;$C258,盘货信息!$A:$A&amp;盘货信息!$B:$B&amp;盘货信息!$C:$C,盘货信息!$K:$K)&gt;0),"【详情页领取】","")))</f>
        <v/>
      </c>
      <c r="M258" s="27" t="str" cm="1">
        <f t="array" ref="M258">IF($C258="","",IF(_xlfn.XLOOKUP($A258&amp;$B258&amp;$C258,盘货信息!$A:$A&amp;盘货信息!$B:$B&amp;盘货信息!$C:$C,盘货信息!$F:$F)&lt;1,"",_xlfn.XLOOKUP($A258&amp;$B258&amp;$C258,盘货信息!$A:$A&amp;盘货信息!$B:$B&amp;盘货信息!$C:$C,盘货信息!$F:$F)&amp;"元明卷"))</f>
        <v/>
      </c>
      <c r="N258" s="27" t="str">
        <f t="shared" si="7"/>
        <v/>
      </c>
      <c r="O258" s="27" t="str">
        <f>IF(I258="","","【消费券链接】"&amp;固定信息!$B$6)</f>
        <v/>
      </c>
    </row>
    <row r="259" customHeight="1" spans="1:15">
      <c r="A259" s="23" t="str">
        <f>IF(盘货信息!A259="","",盘货信息!A259)</f>
        <v/>
      </c>
      <c r="B259" s="26" t="str">
        <f>IF(盘货信息!B259="","",盘货信息!B259)</f>
        <v/>
      </c>
      <c r="C259" s="23" t="str">
        <f>IF(盘货信息!C259="","",盘货信息!C259)</f>
        <v/>
      </c>
      <c r="D259" s="27" t="str">
        <f t="shared" ref="D259:D322" si="8">IF($C259="","",_xlfn.TEXTJOIN(CHAR(10),TRUE,N259:O259))</f>
        <v/>
      </c>
      <c r="E259" s="27" t="str" cm="1">
        <f t="array" ref="E259">IF($C259="","",IF(AND(OR(_xlfn.XLOOKUP($A259&amp;$B259&amp;$C259,盘货信息!$A:$A&amp;盘货信息!$B:$B&amp;盘货信息!$C:$C,盘货信息!$L:$L)="否",_xlfn.XLOOKUP($A259&amp;$B259&amp;$C259,盘货信息!$A:$A&amp;盘货信息!$B:$B&amp;盘货信息!$C:$C,盘货信息!$L:$L)=""),_xlfn.XLOOKUP($A259&amp;$B259&amp;$C259,盘货信息!$A:$A&amp;盘货信息!$B:$B&amp;盘货信息!$C:$C,盘货信息!$M:$M)="否"),"【预估到手价"&amp;_xlfn.XLOOKUP($A259&amp;$B259&amp;$C259,盘货信息!$A:$A&amp;盘货信息!$B:$B&amp;盘货信息!$C:$C,盘货信息!$D:$D)&amp;"元】",IF(AND(_xlfn.XLOOKUP($A259&amp;$B259&amp;$C259,盘货信息!$A:$A&amp;盘货信息!$B:$B&amp;盘货信息!$C:$C,盘货信息!$M:$M)="是",OR(_xlfn.XLOOKUP($A259&amp;$B259&amp;$C259,盘货信息!$A:$A&amp;盘货信息!$B:$B&amp;盘货信息!$C:$C,盘货信息!$L:$L)="否",_xlfn.XLOOKUP($A259&amp;$B259&amp;$C259,盘货信息!$A:$A&amp;盘货信息!$B:$B&amp;盘货信息!$C:$C,盘货信息!$L:$L)="")),"【预估到手价"&amp;_xlfn.XLOOKUP($A259&amp;$B259&amp;$C259,盘货信息!$A:$A&amp;盘货信息!$B:$B&amp;盘货信息!$C:$C,盘货信息!$D:$D)&amp;"元】"&amp;CHAR(10)&amp;"【焕新补贴预估价"&amp;ROUND(_xlfn.XLOOKUP($A259&amp;$B259&amp;$C259,盘货信息!$A:$A&amp;盘货信息!$B:$B&amp;盘货信息!$C:$C,盘货信息!$E:$E),0)&amp;"元】","【焕新补贴预估价"&amp;ROUND(_xlfn.XLOOKUP($A259&amp;$B259&amp;$C259,盘货信息!$A:$A&amp;盘货信息!$B:$B&amp;盘货信息!$C:$C,盘货信息!$E:$E),0)&amp;"元】")))</f>
        <v/>
      </c>
      <c r="F259" s="27" t="str" cm="1">
        <f t="array" ref="F259">IF($C259="","",_xlfn.XLOOKUP($A259&amp;$B259&amp;$C259,盘货信息!$A:$A&amp;盘货信息!$B:$B&amp;盘货信息!$C:$C,盘货信息!$D:$D)&amp;"元到手价")</f>
        <v/>
      </c>
      <c r="G259" s="27" t="str" cm="1">
        <f t="array" ref="G259">IF($C259="","",IF(_xlfn.XLOOKUP($A259&amp;$B259&amp;$C259,盘货信息!$A:$A&amp;盘货信息!$B:$B&amp;盘货信息!$C:$C,盘货信息!$G:$G)&lt;1,"",ROUND(_xlfn.XLOOKUP($A259&amp;$B259&amp;$C259,盘货信息!$A:$A&amp;盘货信息!$B:$B&amp;盘货信息!$C:$C,盘货信息!$G:$G),0)&amp;"元88VIP立减"))</f>
        <v/>
      </c>
      <c r="H259" s="27" t="str" cm="1">
        <f t="array" ref="H259">IF($C259="","",IF(_xlfn.XLOOKUP($A259&amp;$B259&amp;$C259,盘货信息!$A:$A&amp;盘货信息!$B:$B&amp;盘货信息!$C:$C,盘货信息!$I:$I)&lt;1,"",_xlfn.XLOOKUP($A259&amp;$B259&amp;$C259,盘货信息!$A:$A&amp;盘货信息!$B:$B&amp;盘货信息!$C:$C,盘货信息!$I:$I)&amp;"元惊喜立减"))</f>
        <v/>
      </c>
      <c r="I259" s="27" t="str" cm="1">
        <f t="array" ref="I259">IF($C259="","",IF(_xlfn.XLOOKUP($A259&amp;$B259&amp;$C259,盘货信息!$A:$A&amp;盘货信息!$B:$B&amp;盘货信息!$C:$C,盘货信息!$H:$H)&lt;1,"",ROUND(_xlfn.XLOOKUP($A259&amp;$B259&amp;$C259,盘货信息!$A:$A&amp;盘货信息!$B:$B&amp;盘货信息!$C:$C,盘货信息!$H:$H),0)&amp;"元消费券"))</f>
        <v/>
      </c>
      <c r="J259" s="27" t="str" cm="1">
        <f t="array" ref="J259">IF($C259="","",IF(_xlfn.XLOOKUP($A259&amp;$B259&amp;$C259,盘货信息!$A:$A&amp;盘货信息!$B:$B&amp;盘货信息!$C:$C,盘货信息!$J:$J)&lt;1,"",ROUND(_xlfn.XLOOKUP($A259&amp;$B259&amp;$C259,盘货信息!$A:$A&amp;盘货信息!$B:$B&amp;盘货信息!$C:$C,盘货信息!$J:$J),0)&amp;"元限时补贴"))</f>
        <v/>
      </c>
      <c r="K259" s="27" t="str" cm="1">
        <f t="array" ref="K259">IF($C259="","",IF(_xlfn.XLOOKUP($A259&amp;$B259&amp;$C259,盘货信息!$A:$A&amp;盘货信息!$B:$B&amp;盘货信息!$C:$C,盘货信息!$K:$K)&lt;1,"",ROUND(_xlfn.XLOOKUP($A259&amp;$B259&amp;$C259,盘货信息!$A:$A&amp;盘货信息!$B:$B&amp;盘货信息!$C:$C,盘货信息!$K:$K),0)&amp;"元预估焕新补贴"))</f>
        <v/>
      </c>
      <c r="L259" s="27" t="str" cm="1">
        <f t="array" ref="L259">IF($C259="","",IF(AND(_xlfn.XLOOKUP($A259&amp;$B259&amp;$C259,盘货信息!$A:$A&amp;盘货信息!$B:$B&amp;盘货信息!$C:$C,盘货信息!$L:$L)="是",_xlfn.XLOOKUP($A259&amp;$B259&amp;$C259,盘货信息!$A:$A&amp;盘货信息!$B:$B&amp;盘货信息!$C:$C,盘货信息!$M:$M)="是",_xlfn.XLOOKUP($A259&amp;$B259&amp;$C259,盘货信息!$A:$A&amp;盘货信息!$B:$B&amp;盘货信息!$C:$C,盘货信息!$K:$K)&gt;0),"【全民可用，不限地址】",IF(AND(OR(_xlfn.XLOOKUP($A259&amp;$B259&amp;$C259,盘货信息!$A:$A&amp;盘货信息!$B:$B&amp;盘货信息!$C:$C,盘货信息!$L:$L)="否",_xlfn.XLOOKUP($A259&amp;$B259&amp;$C259,盘货信息!$A:$A&amp;盘货信息!$B:$B&amp;盘货信息!$C:$C,盘货信息!$L:$L)=""),_xlfn.XLOOKUP($A259&amp;$B259&amp;$C259,盘货信息!$A:$A&amp;盘货信息!$B:$B&amp;盘货信息!$C:$C,盘货信息!$M:$M)="是",_xlfn.XLOOKUP($A259&amp;$B259&amp;$C259,盘货信息!$A:$A&amp;盘货信息!$B:$B&amp;盘货信息!$C:$C,盘货信息!$K:$K)&gt;0),"【详情页领取】","")))</f>
        <v/>
      </c>
      <c r="M259" s="27" t="str" cm="1">
        <f t="array" ref="M259">IF($C259="","",IF(_xlfn.XLOOKUP($A259&amp;$B259&amp;$C259,盘货信息!$A:$A&amp;盘货信息!$B:$B&amp;盘货信息!$C:$C,盘货信息!$F:$F)&lt;1,"",_xlfn.XLOOKUP($A259&amp;$B259&amp;$C259,盘货信息!$A:$A&amp;盘货信息!$B:$B&amp;盘货信息!$C:$C,盘货信息!$F:$F)&amp;"元明卷"))</f>
        <v/>
      </c>
      <c r="N259" s="27" t="str">
        <f t="shared" ref="N259:N322" si="9">IF(C259="","",E259&amp;"="&amp;F259&amp;IF(G259="","","-"&amp;G259)&amp;IF(H259="","","-"&amp;H259)&amp;IF(I259="","","-"&amp;I259)&amp;IF(J259="","","-"&amp;J259)&amp;IF(K259="","","-"&amp;K259&amp;L259))</f>
        <v/>
      </c>
      <c r="O259" s="27" t="str">
        <f>IF(I259="","","【消费券链接】"&amp;固定信息!$B$6)</f>
        <v/>
      </c>
    </row>
    <row r="260" customHeight="1" spans="1:15">
      <c r="A260" s="23" t="str">
        <f>IF(盘货信息!A260="","",盘货信息!A260)</f>
        <v/>
      </c>
      <c r="B260" s="26" t="str">
        <f>IF(盘货信息!B260="","",盘货信息!B260)</f>
        <v/>
      </c>
      <c r="C260" s="23" t="str">
        <f>IF(盘货信息!C260="","",盘货信息!C260)</f>
        <v/>
      </c>
      <c r="D260" s="27" t="str">
        <f t="shared" si="8"/>
        <v/>
      </c>
      <c r="E260" s="27" t="str" cm="1">
        <f t="array" ref="E260">IF($C260="","",IF(AND(OR(_xlfn.XLOOKUP($A260&amp;$B260&amp;$C260,盘货信息!$A:$A&amp;盘货信息!$B:$B&amp;盘货信息!$C:$C,盘货信息!$L:$L)="否",_xlfn.XLOOKUP($A260&amp;$B260&amp;$C260,盘货信息!$A:$A&amp;盘货信息!$B:$B&amp;盘货信息!$C:$C,盘货信息!$L:$L)=""),_xlfn.XLOOKUP($A260&amp;$B260&amp;$C260,盘货信息!$A:$A&amp;盘货信息!$B:$B&amp;盘货信息!$C:$C,盘货信息!$M:$M)="否"),"【预估到手价"&amp;_xlfn.XLOOKUP($A260&amp;$B260&amp;$C260,盘货信息!$A:$A&amp;盘货信息!$B:$B&amp;盘货信息!$C:$C,盘货信息!$D:$D)&amp;"元】",IF(AND(_xlfn.XLOOKUP($A260&amp;$B260&amp;$C260,盘货信息!$A:$A&amp;盘货信息!$B:$B&amp;盘货信息!$C:$C,盘货信息!$M:$M)="是",OR(_xlfn.XLOOKUP($A260&amp;$B260&amp;$C260,盘货信息!$A:$A&amp;盘货信息!$B:$B&amp;盘货信息!$C:$C,盘货信息!$L:$L)="否",_xlfn.XLOOKUP($A260&amp;$B260&amp;$C260,盘货信息!$A:$A&amp;盘货信息!$B:$B&amp;盘货信息!$C:$C,盘货信息!$L:$L)="")),"【预估到手价"&amp;_xlfn.XLOOKUP($A260&amp;$B260&amp;$C260,盘货信息!$A:$A&amp;盘货信息!$B:$B&amp;盘货信息!$C:$C,盘货信息!$D:$D)&amp;"元】"&amp;CHAR(10)&amp;"【焕新补贴预估价"&amp;ROUND(_xlfn.XLOOKUP($A260&amp;$B260&amp;$C260,盘货信息!$A:$A&amp;盘货信息!$B:$B&amp;盘货信息!$C:$C,盘货信息!$E:$E),0)&amp;"元】","【焕新补贴预估价"&amp;ROUND(_xlfn.XLOOKUP($A260&amp;$B260&amp;$C260,盘货信息!$A:$A&amp;盘货信息!$B:$B&amp;盘货信息!$C:$C,盘货信息!$E:$E),0)&amp;"元】")))</f>
        <v/>
      </c>
      <c r="F260" s="27" t="str" cm="1">
        <f t="array" ref="F260">IF($C260="","",_xlfn.XLOOKUP($A260&amp;$B260&amp;$C260,盘货信息!$A:$A&amp;盘货信息!$B:$B&amp;盘货信息!$C:$C,盘货信息!$D:$D)&amp;"元到手价")</f>
        <v/>
      </c>
      <c r="G260" s="27" t="str" cm="1">
        <f t="array" ref="G260">IF($C260="","",IF(_xlfn.XLOOKUP($A260&amp;$B260&amp;$C260,盘货信息!$A:$A&amp;盘货信息!$B:$B&amp;盘货信息!$C:$C,盘货信息!$G:$G)&lt;1,"",ROUND(_xlfn.XLOOKUP($A260&amp;$B260&amp;$C260,盘货信息!$A:$A&amp;盘货信息!$B:$B&amp;盘货信息!$C:$C,盘货信息!$G:$G),0)&amp;"元88VIP立减"))</f>
        <v/>
      </c>
      <c r="H260" s="27" t="str" cm="1">
        <f t="array" ref="H260">IF($C260="","",IF(_xlfn.XLOOKUP($A260&amp;$B260&amp;$C260,盘货信息!$A:$A&amp;盘货信息!$B:$B&amp;盘货信息!$C:$C,盘货信息!$I:$I)&lt;1,"",_xlfn.XLOOKUP($A260&amp;$B260&amp;$C260,盘货信息!$A:$A&amp;盘货信息!$B:$B&amp;盘货信息!$C:$C,盘货信息!$I:$I)&amp;"元惊喜立减"))</f>
        <v/>
      </c>
      <c r="I260" s="27" t="str" cm="1">
        <f t="array" ref="I260">IF($C260="","",IF(_xlfn.XLOOKUP($A260&amp;$B260&amp;$C260,盘货信息!$A:$A&amp;盘货信息!$B:$B&amp;盘货信息!$C:$C,盘货信息!$H:$H)&lt;1,"",ROUND(_xlfn.XLOOKUP($A260&amp;$B260&amp;$C260,盘货信息!$A:$A&amp;盘货信息!$B:$B&amp;盘货信息!$C:$C,盘货信息!$H:$H),0)&amp;"元消费券"))</f>
        <v/>
      </c>
      <c r="J260" s="27" t="str" cm="1">
        <f t="array" ref="J260">IF($C260="","",IF(_xlfn.XLOOKUP($A260&amp;$B260&amp;$C260,盘货信息!$A:$A&amp;盘货信息!$B:$B&amp;盘货信息!$C:$C,盘货信息!$J:$J)&lt;1,"",ROUND(_xlfn.XLOOKUP($A260&amp;$B260&amp;$C260,盘货信息!$A:$A&amp;盘货信息!$B:$B&amp;盘货信息!$C:$C,盘货信息!$J:$J),0)&amp;"元限时补贴"))</f>
        <v/>
      </c>
      <c r="K260" s="27" t="str" cm="1">
        <f t="array" ref="K260">IF($C260="","",IF(_xlfn.XLOOKUP($A260&amp;$B260&amp;$C260,盘货信息!$A:$A&amp;盘货信息!$B:$B&amp;盘货信息!$C:$C,盘货信息!$K:$K)&lt;1,"",ROUND(_xlfn.XLOOKUP($A260&amp;$B260&amp;$C260,盘货信息!$A:$A&amp;盘货信息!$B:$B&amp;盘货信息!$C:$C,盘货信息!$K:$K),0)&amp;"元预估焕新补贴"))</f>
        <v/>
      </c>
      <c r="L260" s="27" t="str" cm="1">
        <f t="array" ref="L260">IF($C260="","",IF(AND(_xlfn.XLOOKUP($A260&amp;$B260&amp;$C260,盘货信息!$A:$A&amp;盘货信息!$B:$B&amp;盘货信息!$C:$C,盘货信息!$L:$L)="是",_xlfn.XLOOKUP($A260&amp;$B260&amp;$C260,盘货信息!$A:$A&amp;盘货信息!$B:$B&amp;盘货信息!$C:$C,盘货信息!$M:$M)="是",_xlfn.XLOOKUP($A260&amp;$B260&amp;$C260,盘货信息!$A:$A&amp;盘货信息!$B:$B&amp;盘货信息!$C:$C,盘货信息!$K:$K)&gt;0),"【全民可用，不限地址】",IF(AND(OR(_xlfn.XLOOKUP($A260&amp;$B260&amp;$C260,盘货信息!$A:$A&amp;盘货信息!$B:$B&amp;盘货信息!$C:$C,盘货信息!$L:$L)="否",_xlfn.XLOOKUP($A260&amp;$B260&amp;$C260,盘货信息!$A:$A&amp;盘货信息!$B:$B&amp;盘货信息!$C:$C,盘货信息!$L:$L)=""),_xlfn.XLOOKUP($A260&amp;$B260&amp;$C260,盘货信息!$A:$A&amp;盘货信息!$B:$B&amp;盘货信息!$C:$C,盘货信息!$M:$M)="是",_xlfn.XLOOKUP($A260&amp;$B260&amp;$C260,盘货信息!$A:$A&amp;盘货信息!$B:$B&amp;盘货信息!$C:$C,盘货信息!$K:$K)&gt;0),"【详情页领取】","")))</f>
        <v/>
      </c>
      <c r="M260" s="27" t="str" cm="1">
        <f t="array" ref="M260">IF($C260="","",IF(_xlfn.XLOOKUP($A260&amp;$B260&amp;$C260,盘货信息!$A:$A&amp;盘货信息!$B:$B&amp;盘货信息!$C:$C,盘货信息!$F:$F)&lt;1,"",_xlfn.XLOOKUP($A260&amp;$B260&amp;$C260,盘货信息!$A:$A&amp;盘货信息!$B:$B&amp;盘货信息!$C:$C,盘货信息!$F:$F)&amp;"元明卷"))</f>
        <v/>
      </c>
      <c r="N260" s="27" t="str">
        <f t="shared" si="9"/>
        <v/>
      </c>
      <c r="O260" s="27" t="str">
        <f>IF(I260="","","【消费券链接】"&amp;固定信息!$B$6)</f>
        <v/>
      </c>
    </row>
    <row r="261" customHeight="1" spans="1:15">
      <c r="A261" s="23" t="str">
        <f>IF(盘货信息!A261="","",盘货信息!A261)</f>
        <v/>
      </c>
      <c r="B261" s="26" t="str">
        <f>IF(盘货信息!B261="","",盘货信息!B261)</f>
        <v/>
      </c>
      <c r="C261" s="23" t="str">
        <f>IF(盘货信息!C261="","",盘货信息!C261)</f>
        <v/>
      </c>
      <c r="D261" s="27" t="str">
        <f t="shared" si="8"/>
        <v/>
      </c>
      <c r="E261" s="27" t="str" cm="1">
        <f t="array" ref="E261">IF($C261="","",IF(AND(OR(_xlfn.XLOOKUP($A261&amp;$B261&amp;$C261,盘货信息!$A:$A&amp;盘货信息!$B:$B&amp;盘货信息!$C:$C,盘货信息!$L:$L)="否",_xlfn.XLOOKUP($A261&amp;$B261&amp;$C261,盘货信息!$A:$A&amp;盘货信息!$B:$B&amp;盘货信息!$C:$C,盘货信息!$L:$L)=""),_xlfn.XLOOKUP($A261&amp;$B261&amp;$C261,盘货信息!$A:$A&amp;盘货信息!$B:$B&amp;盘货信息!$C:$C,盘货信息!$M:$M)="否"),"【预估到手价"&amp;_xlfn.XLOOKUP($A261&amp;$B261&amp;$C261,盘货信息!$A:$A&amp;盘货信息!$B:$B&amp;盘货信息!$C:$C,盘货信息!$D:$D)&amp;"元】",IF(AND(_xlfn.XLOOKUP($A261&amp;$B261&amp;$C261,盘货信息!$A:$A&amp;盘货信息!$B:$B&amp;盘货信息!$C:$C,盘货信息!$M:$M)="是",OR(_xlfn.XLOOKUP($A261&amp;$B261&amp;$C261,盘货信息!$A:$A&amp;盘货信息!$B:$B&amp;盘货信息!$C:$C,盘货信息!$L:$L)="否",_xlfn.XLOOKUP($A261&amp;$B261&amp;$C261,盘货信息!$A:$A&amp;盘货信息!$B:$B&amp;盘货信息!$C:$C,盘货信息!$L:$L)="")),"【预估到手价"&amp;_xlfn.XLOOKUP($A261&amp;$B261&amp;$C261,盘货信息!$A:$A&amp;盘货信息!$B:$B&amp;盘货信息!$C:$C,盘货信息!$D:$D)&amp;"元】"&amp;CHAR(10)&amp;"【焕新补贴预估价"&amp;ROUND(_xlfn.XLOOKUP($A261&amp;$B261&amp;$C261,盘货信息!$A:$A&amp;盘货信息!$B:$B&amp;盘货信息!$C:$C,盘货信息!$E:$E),0)&amp;"元】","【焕新补贴预估价"&amp;ROUND(_xlfn.XLOOKUP($A261&amp;$B261&amp;$C261,盘货信息!$A:$A&amp;盘货信息!$B:$B&amp;盘货信息!$C:$C,盘货信息!$E:$E),0)&amp;"元】")))</f>
        <v/>
      </c>
      <c r="F261" s="27" t="str" cm="1">
        <f t="array" ref="F261">IF($C261="","",_xlfn.XLOOKUP($A261&amp;$B261&amp;$C261,盘货信息!$A:$A&amp;盘货信息!$B:$B&amp;盘货信息!$C:$C,盘货信息!$D:$D)&amp;"元到手价")</f>
        <v/>
      </c>
      <c r="G261" s="27" t="str" cm="1">
        <f t="array" ref="G261">IF($C261="","",IF(_xlfn.XLOOKUP($A261&amp;$B261&amp;$C261,盘货信息!$A:$A&amp;盘货信息!$B:$B&amp;盘货信息!$C:$C,盘货信息!$G:$G)&lt;1,"",ROUND(_xlfn.XLOOKUP($A261&amp;$B261&amp;$C261,盘货信息!$A:$A&amp;盘货信息!$B:$B&amp;盘货信息!$C:$C,盘货信息!$G:$G),0)&amp;"元88VIP立减"))</f>
        <v/>
      </c>
      <c r="H261" s="27" t="str" cm="1">
        <f t="array" ref="H261">IF($C261="","",IF(_xlfn.XLOOKUP($A261&amp;$B261&amp;$C261,盘货信息!$A:$A&amp;盘货信息!$B:$B&amp;盘货信息!$C:$C,盘货信息!$I:$I)&lt;1,"",_xlfn.XLOOKUP($A261&amp;$B261&amp;$C261,盘货信息!$A:$A&amp;盘货信息!$B:$B&amp;盘货信息!$C:$C,盘货信息!$I:$I)&amp;"元惊喜立减"))</f>
        <v/>
      </c>
      <c r="I261" s="27" t="str" cm="1">
        <f t="array" ref="I261">IF($C261="","",IF(_xlfn.XLOOKUP($A261&amp;$B261&amp;$C261,盘货信息!$A:$A&amp;盘货信息!$B:$B&amp;盘货信息!$C:$C,盘货信息!$H:$H)&lt;1,"",ROUND(_xlfn.XLOOKUP($A261&amp;$B261&amp;$C261,盘货信息!$A:$A&amp;盘货信息!$B:$B&amp;盘货信息!$C:$C,盘货信息!$H:$H),0)&amp;"元消费券"))</f>
        <v/>
      </c>
      <c r="J261" s="27" t="str" cm="1">
        <f t="array" ref="J261">IF($C261="","",IF(_xlfn.XLOOKUP($A261&amp;$B261&amp;$C261,盘货信息!$A:$A&amp;盘货信息!$B:$B&amp;盘货信息!$C:$C,盘货信息!$J:$J)&lt;1,"",ROUND(_xlfn.XLOOKUP($A261&amp;$B261&amp;$C261,盘货信息!$A:$A&amp;盘货信息!$B:$B&amp;盘货信息!$C:$C,盘货信息!$J:$J),0)&amp;"元限时补贴"))</f>
        <v/>
      </c>
      <c r="K261" s="27" t="str" cm="1">
        <f t="array" ref="K261">IF($C261="","",IF(_xlfn.XLOOKUP($A261&amp;$B261&amp;$C261,盘货信息!$A:$A&amp;盘货信息!$B:$B&amp;盘货信息!$C:$C,盘货信息!$K:$K)&lt;1,"",ROUND(_xlfn.XLOOKUP($A261&amp;$B261&amp;$C261,盘货信息!$A:$A&amp;盘货信息!$B:$B&amp;盘货信息!$C:$C,盘货信息!$K:$K),0)&amp;"元预估焕新补贴"))</f>
        <v/>
      </c>
      <c r="L261" s="27" t="str" cm="1">
        <f t="array" ref="L261">IF($C261="","",IF(AND(_xlfn.XLOOKUP($A261&amp;$B261&amp;$C261,盘货信息!$A:$A&amp;盘货信息!$B:$B&amp;盘货信息!$C:$C,盘货信息!$L:$L)="是",_xlfn.XLOOKUP($A261&amp;$B261&amp;$C261,盘货信息!$A:$A&amp;盘货信息!$B:$B&amp;盘货信息!$C:$C,盘货信息!$M:$M)="是",_xlfn.XLOOKUP($A261&amp;$B261&amp;$C261,盘货信息!$A:$A&amp;盘货信息!$B:$B&amp;盘货信息!$C:$C,盘货信息!$K:$K)&gt;0),"【全民可用，不限地址】",IF(AND(OR(_xlfn.XLOOKUP($A261&amp;$B261&amp;$C261,盘货信息!$A:$A&amp;盘货信息!$B:$B&amp;盘货信息!$C:$C,盘货信息!$L:$L)="否",_xlfn.XLOOKUP($A261&amp;$B261&amp;$C261,盘货信息!$A:$A&amp;盘货信息!$B:$B&amp;盘货信息!$C:$C,盘货信息!$L:$L)=""),_xlfn.XLOOKUP($A261&amp;$B261&amp;$C261,盘货信息!$A:$A&amp;盘货信息!$B:$B&amp;盘货信息!$C:$C,盘货信息!$M:$M)="是",_xlfn.XLOOKUP($A261&amp;$B261&amp;$C261,盘货信息!$A:$A&amp;盘货信息!$B:$B&amp;盘货信息!$C:$C,盘货信息!$K:$K)&gt;0),"【详情页领取】","")))</f>
        <v/>
      </c>
      <c r="M261" s="27" t="str" cm="1">
        <f t="array" ref="M261">IF($C261="","",IF(_xlfn.XLOOKUP($A261&amp;$B261&amp;$C261,盘货信息!$A:$A&amp;盘货信息!$B:$B&amp;盘货信息!$C:$C,盘货信息!$F:$F)&lt;1,"",_xlfn.XLOOKUP($A261&amp;$B261&amp;$C261,盘货信息!$A:$A&amp;盘货信息!$B:$B&amp;盘货信息!$C:$C,盘货信息!$F:$F)&amp;"元明卷"))</f>
        <v/>
      </c>
      <c r="N261" s="27" t="str">
        <f t="shared" si="9"/>
        <v/>
      </c>
      <c r="O261" s="27" t="str">
        <f>IF(I261="","","【消费券链接】"&amp;固定信息!$B$6)</f>
        <v/>
      </c>
    </row>
    <row r="262" customHeight="1" spans="1:15">
      <c r="A262" s="23" t="str">
        <f>IF(盘货信息!A262="","",盘货信息!A262)</f>
        <v/>
      </c>
      <c r="B262" s="26" t="str">
        <f>IF(盘货信息!B262="","",盘货信息!B262)</f>
        <v/>
      </c>
      <c r="C262" s="23" t="str">
        <f>IF(盘货信息!C262="","",盘货信息!C262)</f>
        <v/>
      </c>
      <c r="D262" s="27" t="str">
        <f t="shared" si="8"/>
        <v/>
      </c>
      <c r="E262" s="27" t="str" cm="1">
        <f t="array" ref="E262">IF($C262="","",IF(AND(OR(_xlfn.XLOOKUP($A262&amp;$B262&amp;$C262,盘货信息!$A:$A&amp;盘货信息!$B:$B&amp;盘货信息!$C:$C,盘货信息!$L:$L)="否",_xlfn.XLOOKUP($A262&amp;$B262&amp;$C262,盘货信息!$A:$A&amp;盘货信息!$B:$B&amp;盘货信息!$C:$C,盘货信息!$L:$L)=""),_xlfn.XLOOKUP($A262&amp;$B262&amp;$C262,盘货信息!$A:$A&amp;盘货信息!$B:$B&amp;盘货信息!$C:$C,盘货信息!$M:$M)="否"),"【预估到手价"&amp;_xlfn.XLOOKUP($A262&amp;$B262&amp;$C262,盘货信息!$A:$A&amp;盘货信息!$B:$B&amp;盘货信息!$C:$C,盘货信息!$D:$D)&amp;"元】",IF(AND(_xlfn.XLOOKUP($A262&amp;$B262&amp;$C262,盘货信息!$A:$A&amp;盘货信息!$B:$B&amp;盘货信息!$C:$C,盘货信息!$M:$M)="是",OR(_xlfn.XLOOKUP($A262&amp;$B262&amp;$C262,盘货信息!$A:$A&amp;盘货信息!$B:$B&amp;盘货信息!$C:$C,盘货信息!$L:$L)="否",_xlfn.XLOOKUP($A262&amp;$B262&amp;$C262,盘货信息!$A:$A&amp;盘货信息!$B:$B&amp;盘货信息!$C:$C,盘货信息!$L:$L)="")),"【预估到手价"&amp;_xlfn.XLOOKUP($A262&amp;$B262&amp;$C262,盘货信息!$A:$A&amp;盘货信息!$B:$B&amp;盘货信息!$C:$C,盘货信息!$D:$D)&amp;"元】"&amp;CHAR(10)&amp;"【焕新补贴预估价"&amp;ROUND(_xlfn.XLOOKUP($A262&amp;$B262&amp;$C262,盘货信息!$A:$A&amp;盘货信息!$B:$B&amp;盘货信息!$C:$C,盘货信息!$E:$E),0)&amp;"元】","【焕新补贴预估价"&amp;ROUND(_xlfn.XLOOKUP($A262&amp;$B262&amp;$C262,盘货信息!$A:$A&amp;盘货信息!$B:$B&amp;盘货信息!$C:$C,盘货信息!$E:$E),0)&amp;"元】")))</f>
        <v/>
      </c>
      <c r="F262" s="27" t="str" cm="1">
        <f t="array" ref="F262">IF($C262="","",_xlfn.XLOOKUP($A262&amp;$B262&amp;$C262,盘货信息!$A:$A&amp;盘货信息!$B:$B&amp;盘货信息!$C:$C,盘货信息!$D:$D)&amp;"元到手价")</f>
        <v/>
      </c>
      <c r="G262" s="27" t="str" cm="1">
        <f t="array" ref="G262">IF($C262="","",IF(_xlfn.XLOOKUP($A262&amp;$B262&amp;$C262,盘货信息!$A:$A&amp;盘货信息!$B:$B&amp;盘货信息!$C:$C,盘货信息!$G:$G)&lt;1,"",ROUND(_xlfn.XLOOKUP($A262&amp;$B262&amp;$C262,盘货信息!$A:$A&amp;盘货信息!$B:$B&amp;盘货信息!$C:$C,盘货信息!$G:$G),0)&amp;"元88VIP立减"))</f>
        <v/>
      </c>
      <c r="H262" s="27" t="str" cm="1">
        <f t="array" ref="H262">IF($C262="","",IF(_xlfn.XLOOKUP($A262&amp;$B262&amp;$C262,盘货信息!$A:$A&amp;盘货信息!$B:$B&amp;盘货信息!$C:$C,盘货信息!$I:$I)&lt;1,"",_xlfn.XLOOKUP($A262&amp;$B262&amp;$C262,盘货信息!$A:$A&amp;盘货信息!$B:$B&amp;盘货信息!$C:$C,盘货信息!$I:$I)&amp;"元惊喜立减"))</f>
        <v/>
      </c>
      <c r="I262" s="27" t="str" cm="1">
        <f t="array" ref="I262">IF($C262="","",IF(_xlfn.XLOOKUP($A262&amp;$B262&amp;$C262,盘货信息!$A:$A&amp;盘货信息!$B:$B&amp;盘货信息!$C:$C,盘货信息!$H:$H)&lt;1,"",ROUND(_xlfn.XLOOKUP($A262&amp;$B262&amp;$C262,盘货信息!$A:$A&amp;盘货信息!$B:$B&amp;盘货信息!$C:$C,盘货信息!$H:$H),0)&amp;"元消费券"))</f>
        <v/>
      </c>
      <c r="J262" s="27" t="str" cm="1">
        <f t="array" ref="J262">IF($C262="","",IF(_xlfn.XLOOKUP($A262&amp;$B262&amp;$C262,盘货信息!$A:$A&amp;盘货信息!$B:$B&amp;盘货信息!$C:$C,盘货信息!$J:$J)&lt;1,"",ROUND(_xlfn.XLOOKUP($A262&amp;$B262&amp;$C262,盘货信息!$A:$A&amp;盘货信息!$B:$B&amp;盘货信息!$C:$C,盘货信息!$J:$J),0)&amp;"元限时补贴"))</f>
        <v/>
      </c>
      <c r="K262" s="27" t="str" cm="1">
        <f t="array" ref="K262">IF($C262="","",IF(_xlfn.XLOOKUP($A262&amp;$B262&amp;$C262,盘货信息!$A:$A&amp;盘货信息!$B:$B&amp;盘货信息!$C:$C,盘货信息!$K:$K)&lt;1,"",ROUND(_xlfn.XLOOKUP($A262&amp;$B262&amp;$C262,盘货信息!$A:$A&amp;盘货信息!$B:$B&amp;盘货信息!$C:$C,盘货信息!$K:$K),0)&amp;"元预估焕新补贴"))</f>
        <v/>
      </c>
      <c r="L262" s="27" t="str" cm="1">
        <f t="array" ref="L262">IF($C262="","",IF(AND(_xlfn.XLOOKUP($A262&amp;$B262&amp;$C262,盘货信息!$A:$A&amp;盘货信息!$B:$B&amp;盘货信息!$C:$C,盘货信息!$L:$L)="是",_xlfn.XLOOKUP($A262&amp;$B262&amp;$C262,盘货信息!$A:$A&amp;盘货信息!$B:$B&amp;盘货信息!$C:$C,盘货信息!$M:$M)="是",_xlfn.XLOOKUP($A262&amp;$B262&amp;$C262,盘货信息!$A:$A&amp;盘货信息!$B:$B&amp;盘货信息!$C:$C,盘货信息!$K:$K)&gt;0),"【全民可用，不限地址】",IF(AND(OR(_xlfn.XLOOKUP($A262&amp;$B262&amp;$C262,盘货信息!$A:$A&amp;盘货信息!$B:$B&amp;盘货信息!$C:$C,盘货信息!$L:$L)="否",_xlfn.XLOOKUP($A262&amp;$B262&amp;$C262,盘货信息!$A:$A&amp;盘货信息!$B:$B&amp;盘货信息!$C:$C,盘货信息!$L:$L)=""),_xlfn.XLOOKUP($A262&amp;$B262&amp;$C262,盘货信息!$A:$A&amp;盘货信息!$B:$B&amp;盘货信息!$C:$C,盘货信息!$M:$M)="是",_xlfn.XLOOKUP($A262&amp;$B262&amp;$C262,盘货信息!$A:$A&amp;盘货信息!$B:$B&amp;盘货信息!$C:$C,盘货信息!$K:$K)&gt;0),"【详情页领取】","")))</f>
        <v/>
      </c>
      <c r="M262" s="27" t="str" cm="1">
        <f t="array" ref="M262">IF($C262="","",IF(_xlfn.XLOOKUP($A262&amp;$B262&amp;$C262,盘货信息!$A:$A&amp;盘货信息!$B:$B&amp;盘货信息!$C:$C,盘货信息!$F:$F)&lt;1,"",_xlfn.XLOOKUP($A262&amp;$B262&amp;$C262,盘货信息!$A:$A&amp;盘货信息!$B:$B&amp;盘货信息!$C:$C,盘货信息!$F:$F)&amp;"元明卷"))</f>
        <v/>
      </c>
      <c r="N262" s="27" t="str">
        <f t="shared" si="9"/>
        <v/>
      </c>
      <c r="O262" s="27" t="str">
        <f>IF(I262="","","【消费券链接】"&amp;固定信息!$B$6)</f>
        <v/>
      </c>
    </row>
    <row r="263" customHeight="1" spans="1:15">
      <c r="A263" s="23" t="str">
        <f>IF(盘货信息!A263="","",盘货信息!A263)</f>
        <v/>
      </c>
      <c r="B263" s="26" t="str">
        <f>IF(盘货信息!B263="","",盘货信息!B263)</f>
        <v/>
      </c>
      <c r="C263" s="23" t="str">
        <f>IF(盘货信息!C263="","",盘货信息!C263)</f>
        <v/>
      </c>
      <c r="D263" s="27" t="str">
        <f t="shared" si="8"/>
        <v/>
      </c>
      <c r="E263" s="27" t="str" cm="1">
        <f t="array" ref="E263">IF($C263="","",IF(AND(OR(_xlfn.XLOOKUP($A263&amp;$B263&amp;$C263,盘货信息!$A:$A&amp;盘货信息!$B:$B&amp;盘货信息!$C:$C,盘货信息!$L:$L)="否",_xlfn.XLOOKUP($A263&amp;$B263&amp;$C263,盘货信息!$A:$A&amp;盘货信息!$B:$B&amp;盘货信息!$C:$C,盘货信息!$L:$L)=""),_xlfn.XLOOKUP($A263&amp;$B263&amp;$C263,盘货信息!$A:$A&amp;盘货信息!$B:$B&amp;盘货信息!$C:$C,盘货信息!$M:$M)="否"),"【预估到手价"&amp;_xlfn.XLOOKUP($A263&amp;$B263&amp;$C263,盘货信息!$A:$A&amp;盘货信息!$B:$B&amp;盘货信息!$C:$C,盘货信息!$D:$D)&amp;"元】",IF(AND(_xlfn.XLOOKUP($A263&amp;$B263&amp;$C263,盘货信息!$A:$A&amp;盘货信息!$B:$B&amp;盘货信息!$C:$C,盘货信息!$M:$M)="是",OR(_xlfn.XLOOKUP($A263&amp;$B263&amp;$C263,盘货信息!$A:$A&amp;盘货信息!$B:$B&amp;盘货信息!$C:$C,盘货信息!$L:$L)="否",_xlfn.XLOOKUP($A263&amp;$B263&amp;$C263,盘货信息!$A:$A&amp;盘货信息!$B:$B&amp;盘货信息!$C:$C,盘货信息!$L:$L)="")),"【预估到手价"&amp;_xlfn.XLOOKUP($A263&amp;$B263&amp;$C263,盘货信息!$A:$A&amp;盘货信息!$B:$B&amp;盘货信息!$C:$C,盘货信息!$D:$D)&amp;"元】"&amp;CHAR(10)&amp;"【焕新补贴预估价"&amp;ROUND(_xlfn.XLOOKUP($A263&amp;$B263&amp;$C263,盘货信息!$A:$A&amp;盘货信息!$B:$B&amp;盘货信息!$C:$C,盘货信息!$E:$E),0)&amp;"元】","【焕新补贴预估价"&amp;ROUND(_xlfn.XLOOKUP($A263&amp;$B263&amp;$C263,盘货信息!$A:$A&amp;盘货信息!$B:$B&amp;盘货信息!$C:$C,盘货信息!$E:$E),0)&amp;"元】")))</f>
        <v/>
      </c>
      <c r="F263" s="27" t="str" cm="1">
        <f t="array" ref="F263">IF($C263="","",_xlfn.XLOOKUP($A263&amp;$B263&amp;$C263,盘货信息!$A:$A&amp;盘货信息!$B:$B&amp;盘货信息!$C:$C,盘货信息!$D:$D)&amp;"元到手价")</f>
        <v/>
      </c>
      <c r="G263" s="27" t="str" cm="1">
        <f t="array" ref="G263">IF($C263="","",IF(_xlfn.XLOOKUP($A263&amp;$B263&amp;$C263,盘货信息!$A:$A&amp;盘货信息!$B:$B&amp;盘货信息!$C:$C,盘货信息!$G:$G)&lt;1,"",ROUND(_xlfn.XLOOKUP($A263&amp;$B263&amp;$C263,盘货信息!$A:$A&amp;盘货信息!$B:$B&amp;盘货信息!$C:$C,盘货信息!$G:$G),0)&amp;"元88VIP立减"))</f>
        <v/>
      </c>
      <c r="H263" s="27" t="str" cm="1">
        <f t="array" ref="H263">IF($C263="","",IF(_xlfn.XLOOKUP($A263&amp;$B263&amp;$C263,盘货信息!$A:$A&amp;盘货信息!$B:$B&amp;盘货信息!$C:$C,盘货信息!$I:$I)&lt;1,"",_xlfn.XLOOKUP($A263&amp;$B263&amp;$C263,盘货信息!$A:$A&amp;盘货信息!$B:$B&amp;盘货信息!$C:$C,盘货信息!$I:$I)&amp;"元惊喜立减"))</f>
        <v/>
      </c>
      <c r="I263" s="27" t="str" cm="1">
        <f t="array" ref="I263">IF($C263="","",IF(_xlfn.XLOOKUP($A263&amp;$B263&amp;$C263,盘货信息!$A:$A&amp;盘货信息!$B:$B&amp;盘货信息!$C:$C,盘货信息!$H:$H)&lt;1,"",ROUND(_xlfn.XLOOKUP($A263&amp;$B263&amp;$C263,盘货信息!$A:$A&amp;盘货信息!$B:$B&amp;盘货信息!$C:$C,盘货信息!$H:$H),0)&amp;"元消费券"))</f>
        <v/>
      </c>
      <c r="J263" s="27" t="str" cm="1">
        <f t="array" ref="J263">IF($C263="","",IF(_xlfn.XLOOKUP($A263&amp;$B263&amp;$C263,盘货信息!$A:$A&amp;盘货信息!$B:$B&amp;盘货信息!$C:$C,盘货信息!$J:$J)&lt;1,"",ROUND(_xlfn.XLOOKUP($A263&amp;$B263&amp;$C263,盘货信息!$A:$A&amp;盘货信息!$B:$B&amp;盘货信息!$C:$C,盘货信息!$J:$J),0)&amp;"元限时补贴"))</f>
        <v/>
      </c>
      <c r="K263" s="27" t="str" cm="1">
        <f t="array" ref="K263">IF($C263="","",IF(_xlfn.XLOOKUP($A263&amp;$B263&amp;$C263,盘货信息!$A:$A&amp;盘货信息!$B:$B&amp;盘货信息!$C:$C,盘货信息!$K:$K)&lt;1,"",ROUND(_xlfn.XLOOKUP($A263&amp;$B263&amp;$C263,盘货信息!$A:$A&amp;盘货信息!$B:$B&amp;盘货信息!$C:$C,盘货信息!$K:$K),0)&amp;"元预估焕新补贴"))</f>
        <v/>
      </c>
      <c r="L263" s="27" t="str" cm="1">
        <f t="array" ref="L263">IF($C263="","",IF(AND(_xlfn.XLOOKUP($A263&amp;$B263&amp;$C263,盘货信息!$A:$A&amp;盘货信息!$B:$B&amp;盘货信息!$C:$C,盘货信息!$L:$L)="是",_xlfn.XLOOKUP($A263&amp;$B263&amp;$C263,盘货信息!$A:$A&amp;盘货信息!$B:$B&amp;盘货信息!$C:$C,盘货信息!$M:$M)="是",_xlfn.XLOOKUP($A263&amp;$B263&amp;$C263,盘货信息!$A:$A&amp;盘货信息!$B:$B&amp;盘货信息!$C:$C,盘货信息!$K:$K)&gt;0),"【全民可用，不限地址】",IF(AND(OR(_xlfn.XLOOKUP($A263&amp;$B263&amp;$C263,盘货信息!$A:$A&amp;盘货信息!$B:$B&amp;盘货信息!$C:$C,盘货信息!$L:$L)="否",_xlfn.XLOOKUP($A263&amp;$B263&amp;$C263,盘货信息!$A:$A&amp;盘货信息!$B:$B&amp;盘货信息!$C:$C,盘货信息!$L:$L)=""),_xlfn.XLOOKUP($A263&amp;$B263&amp;$C263,盘货信息!$A:$A&amp;盘货信息!$B:$B&amp;盘货信息!$C:$C,盘货信息!$M:$M)="是",_xlfn.XLOOKUP($A263&amp;$B263&amp;$C263,盘货信息!$A:$A&amp;盘货信息!$B:$B&amp;盘货信息!$C:$C,盘货信息!$K:$K)&gt;0),"【详情页领取】","")))</f>
        <v/>
      </c>
      <c r="M263" s="27" t="str" cm="1">
        <f t="array" ref="M263">IF($C263="","",IF(_xlfn.XLOOKUP($A263&amp;$B263&amp;$C263,盘货信息!$A:$A&amp;盘货信息!$B:$B&amp;盘货信息!$C:$C,盘货信息!$F:$F)&lt;1,"",_xlfn.XLOOKUP($A263&amp;$B263&amp;$C263,盘货信息!$A:$A&amp;盘货信息!$B:$B&amp;盘货信息!$C:$C,盘货信息!$F:$F)&amp;"元明卷"))</f>
        <v/>
      </c>
      <c r="N263" s="27" t="str">
        <f t="shared" si="9"/>
        <v/>
      </c>
      <c r="O263" s="27" t="str">
        <f>IF(I263="","","【消费券链接】"&amp;固定信息!$B$6)</f>
        <v/>
      </c>
    </row>
    <row r="264" customHeight="1" spans="1:15">
      <c r="A264" s="23" t="str">
        <f>IF(盘货信息!A264="","",盘货信息!A264)</f>
        <v/>
      </c>
      <c r="B264" s="26" t="str">
        <f>IF(盘货信息!B264="","",盘货信息!B264)</f>
        <v/>
      </c>
      <c r="C264" s="23" t="str">
        <f>IF(盘货信息!C264="","",盘货信息!C264)</f>
        <v/>
      </c>
      <c r="D264" s="27" t="str">
        <f t="shared" si="8"/>
        <v/>
      </c>
      <c r="E264" s="27" t="str" cm="1">
        <f t="array" ref="E264">IF($C264="","",IF(AND(OR(_xlfn.XLOOKUP($A264&amp;$B264&amp;$C264,盘货信息!$A:$A&amp;盘货信息!$B:$B&amp;盘货信息!$C:$C,盘货信息!$L:$L)="否",_xlfn.XLOOKUP($A264&amp;$B264&amp;$C264,盘货信息!$A:$A&amp;盘货信息!$B:$B&amp;盘货信息!$C:$C,盘货信息!$L:$L)=""),_xlfn.XLOOKUP($A264&amp;$B264&amp;$C264,盘货信息!$A:$A&amp;盘货信息!$B:$B&amp;盘货信息!$C:$C,盘货信息!$M:$M)="否"),"【预估到手价"&amp;_xlfn.XLOOKUP($A264&amp;$B264&amp;$C264,盘货信息!$A:$A&amp;盘货信息!$B:$B&amp;盘货信息!$C:$C,盘货信息!$D:$D)&amp;"元】",IF(AND(_xlfn.XLOOKUP($A264&amp;$B264&amp;$C264,盘货信息!$A:$A&amp;盘货信息!$B:$B&amp;盘货信息!$C:$C,盘货信息!$M:$M)="是",OR(_xlfn.XLOOKUP($A264&amp;$B264&amp;$C264,盘货信息!$A:$A&amp;盘货信息!$B:$B&amp;盘货信息!$C:$C,盘货信息!$L:$L)="否",_xlfn.XLOOKUP($A264&amp;$B264&amp;$C264,盘货信息!$A:$A&amp;盘货信息!$B:$B&amp;盘货信息!$C:$C,盘货信息!$L:$L)="")),"【预估到手价"&amp;_xlfn.XLOOKUP($A264&amp;$B264&amp;$C264,盘货信息!$A:$A&amp;盘货信息!$B:$B&amp;盘货信息!$C:$C,盘货信息!$D:$D)&amp;"元】"&amp;CHAR(10)&amp;"【焕新补贴预估价"&amp;ROUND(_xlfn.XLOOKUP($A264&amp;$B264&amp;$C264,盘货信息!$A:$A&amp;盘货信息!$B:$B&amp;盘货信息!$C:$C,盘货信息!$E:$E),0)&amp;"元】","【焕新补贴预估价"&amp;ROUND(_xlfn.XLOOKUP($A264&amp;$B264&amp;$C264,盘货信息!$A:$A&amp;盘货信息!$B:$B&amp;盘货信息!$C:$C,盘货信息!$E:$E),0)&amp;"元】")))</f>
        <v/>
      </c>
      <c r="F264" s="27" t="str" cm="1">
        <f t="array" ref="F264">IF($C264="","",_xlfn.XLOOKUP($A264&amp;$B264&amp;$C264,盘货信息!$A:$A&amp;盘货信息!$B:$B&amp;盘货信息!$C:$C,盘货信息!$D:$D)&amp;"元到手价")</f>
        <v/>
      </c>
      <c r="G264" s="27" t="str" cm="1">
        <f t="array" ref="G264">IF($C264="","",IF(_xlfn.XLOOKUP($A264&amp;$B264&amp;$C264,盘货信息!$A:$A&amp;盘货信息!$B:$B&amp;盘货信息!$C:$C,盘货信息!$G:$G)&lt;1,"",ROUND(_xlfn.XLOOKUP($A264&amp;$B264&amp;$C264,盘货信息!$A:$A&amp;盘货信息!$B:$B&amp;盘货信息!$C:$C,盘货信息!$G:$G),0)&amp;"元88VIP立减"))</f>
        <v/>
      </c>
      <c r="H264" s="27" t="str" cm="1">
        <f t="array" ref="H264">IF($C264="","",IF(_xlfn.XLOOKUP($A264&amp;$B264&amp;$C264,盘货信息!$A:$A&amp;盘货信息!$B:$B&amp;盘货信息!$C:$C,盘货信息!$I:$I)&lt;1,"",_xlfn.XLOOKUP($A264&amp;$B264&amp;$C264,盘货信息!$A:$A&amp;盘货信息!$B:$B&amp;盘货信息!$C:$C,盘货信息!$I:$I)&amp;"元惊喜立减"))</f>
        <v/>
      </c>
      <c r="I264" s="27" t="str" cm="1">
        <f t="array" ref="I264">IF($C264="","",IF(_xlfn.XLOOKUP($A264&amp;$B264&amp;$C264,盘货信息!$A:$A&amp;盘货信息!$B:$B&amp;盘货信息!$C:$C,盘货信息!$H:$H)&lt;1,"",ROUND(_xlfn.XLOOKUP($A264&amp;$B264&amp;$C264,盘货信息!$A:$A&amp;盘货信息!$B:$B&amp;盘货信息!$C:$C,盘货信息!$H:$H),0)&amp;"元消费券"))</f>
        <v/>
      </c>
      <c r="J264" s="27" t="str" cm="1">
        <f t="array" ref="J264">IF($C264="","",IF(_xlfn.XLOOKUP($A264&amp;$B264&amp;$C264,盘货信息!$A:$A&amp;盘货信息!$B:$B&amp;盘货信息!$C:$C,盘货信息!$J:$J)&lt;1,"",ROUND(_xlfn.XLOOKUP($A264&amp;$B264&amp;$C264,盘货信息!$A:$A&amp;盘货信息!$B:$B&amp;盘货信息!$C:$C,盘货信息!$J:$J),0)&amp;"元限时补贴"))</f>
        <v/>
      </c>
      <c r="K264" s="27" t="str" cm="1">
        <f t="array" ref="K264">IF($C264="","",IF(_xlfn.XLOOKUP($A264&amp;$B264&amp;$C264,盘货信息!$A:$A&amp;盘货信息!$B:$B&amp;盘货信息!$C:$C,盘货信息!$K:$K)&lt;1,"",ROUND(_xlfn.XLOOKUP($A264&amp;$B264&amp;$C264,盘货信息!$A:$A&amp;盘货信息!$B:$B&amp;盘货信息!$C:$C,盘货信息!$K:$K),0)&amp;"元预估焕新补贴"))</f>
        <v/>
      </c>
      <c r="L264" s="27" t="str" cm="1">
        <f t="array" ref="L264">IF($C264="","",IF(AND(_xlfn.XLOOKUP($A264&amp;$B264&amp;$C264,盘货信息!$A:$A&amp;盘货信息!$B:$B&amp;盘货信息!$C:$C,盘货信息!$L:$L)="是",_xlfn.XLOOKUP($A264&amp;$B264&amp;$C264,盘货信息!$A:$A&amp;盘货信息!$B:$B&amp;盘货信息!$C:$C,盘货信息!$M:$M)="是",_xlfn.XLOOKUP($A264&amp;$B264&amp;$C264,盘货信息!$A:$A&amp;盘货信息!$B:$B&amp;盘货信息!$C:$C,盘货信息!$K:$K)&gt;0),"【全民可用，不限地址】",IF(AND(OR(_xlfn.XLOOKUP($A264&amp;$B264&amp;$C264,盘货信息!$A:$A&amp;盘货信息!$B:$B&amp;盘货信息!$C:$C,盘货信息!$L:$L)="否",_xlfn.XLOOKUP($A264&amp;$B264&amp;$C264,盘货信息!$A:$A&amp;盘货信息!$B:$B&amp;盘货信息!$C:$C,盘货信息!$L:$L)=""),_xlfn.XLOOKUP($A264&amp;$B264&amp;$C264,盘货信息!$A:$A&amp;盘货信息!$B:$B&amp;盘货信息!$C:$C,盘货信息!$M:$M)="是",_xlfn.XLOOKUP($A264&amp;$B264&amp;$C264,盘货信息!$A:$A&amp;盘货信息!$B:$B&amp;盘货信息!$C:$C,盘货信息!$K:$K)&gt;0),"【详情页领取】","")))</f>
        <v/>
      </c>
      <c r="M264" s="27" t="str" cm="1">
        <f t="array" ref="M264">IF($C264="","",IF(_xlfn.XLOOKUP($A264&amp;$B264&amp;$C264,盘货信息!$A:$A&amp;盘货信息!$B:$B&amp;盘货信息!$C:$C,盘货信息!$F:$F)&lt;1,"",_xlfn.XLOOKUP($A264&amp;$B264&amp;$C264,盘货信息!$A:$A&amp;盘货信息!$B:$B&amp;盘货信息!$C:$C,盘货信息!$F:$F)&amp;"元明卷"))</f>
        <v/>
      </c>
      <c r="N264" s="27" t="str">
        <f t="shared" si="9"/>
        <v/>
      </c>
      <c r="O264" s="27" t="str">
        <f>IF(I264="","","【消费券链接】"&amp;固定信息!$B$6)</f>
        <v/>
      </c>
    </row>
    <row r="265" customHeight="1" spans="1:15">
      <c r="A265" s="23" t="str">
        <f>IF(盘货信息!A265="","",盘货信息!A265)</f>
        <v/>
      </c>
      <c r="B265" s="26" t="str">
        <f>IF(盘货信息!B265="","",盘货信息!B265)</f>
        <v/>
      </c>
      <c r="C265" s="23" t="str">
        <f>IF(盘货信息!C265="","",盘货信息!C265)</f>
        <v/>
      </c>
      <c r="D265" s="27" t="str">
        <f t="shared" si="8"/>
        <v/>
      </c>
      <c r="E265" s="27" t="str" cm="1">
        <f t="array" ref="E265">IF($C265="","",IF(AND(OR(_xlfn.XLOOKUP($A265&amp;$B265&amp;$C265,盘货信息!$A:$A&amp;盘货信息!$B:$B&amp;盘货信息!$C:$C,盘货信息!$L:$L)="否",_xlfn.XLOOKUP($A265&amp;$B265&amp;$C265,盘货信息!$A:$A&amp;盘货信息!$B:$B&amp;盘货信息!$C:$C,盘货信息!$L:$L)=""),_xlfn.XLOOKUP($A265&amp;$B265&amp;$C265,盘货信息!$A:$A&amp;盘货信息!$B:$B&amp;盘货信息!$C:$C,盘货信息!$M:$M)="否"),"【预估到手价"&amp;_xlfn.XLOOKUP($A265&amp;$B265&amp;$C265,盘货信息!$A:$A&amp;盘货信息!$B:$B&amp;盘货信息!$C:$C,盘货信息!$D:$D)&amp;"元】",IF(AND(_xlfn.XLOOKUP($A265&amp;$B265&amp;$C265,盘货信息!$A:$A&amp;盘货信息!$B:$B&amp;盘货信息!$C:$C,盘货信息!$M:$M)="是",OR(_xlfn.XLOOKUP($A265&amp;$B265&amp;$C265,盘货信息!$A:$A&amp;盘货信息!$B:$B&amp;盘货信息!$C:$C,盘货信息!$L:$L)="否",_xlfn.XLOOKUP($A265&amp;$B265&amp;$C265,盘货信息!$A:$A&amp;盘货信息!$B:$B&amp;盘货信息!$C:$C,盘货信息!$L:$L)="")),"【预估到手价"&amp;_xlfn.XLOOKUP($A265&amp;$B265&amp;$C265,盘货信息!$A:$A&amp;盘货信息!$B:$B&amp;盘货信息!$C:$C,盘货信息!$D:$D)&amp;"元】"&amp;CHAR(10)&amp;"【焕新补贴预估价"&amp;ROUND(_xlfn.XLOOKUP($A265&amp;$B265&amp;$C265,盘货信息!$A:$A&amp;盘货信息!$B:$B&amp;盘货信息!$C:$C,盘货信息!$E:$E),0)&amp;"元】","【焕新补贴预估价"&amp;ROUND(_xlfn.XLOOKUP($A265&amp;$B265&amp;$C265,盘货信息!$A:$A&amp;盘货信息!$B:$B&amp;盘货信息!$C:$C,盘货信息!$E:$E),0)&amp;"元】")))</f>
        <v/>
      </c>
      <c r="F265" s="27" t="str" cm="1">
        <f t="array" ref="F265">IF($C265="","",_xlfn.XLOOKUP($A265&amp;$B265&amp;$C265,盘货信息!$A:$A&amp;盘货信息!$B:$B&amp;盘货信息!$C:$C,盘货信息!$D:$D)&amp;"元到手价")</f>
        <v/>
      </c>
      <c r="G265" s="27" t="str" cm="1">
        <f t="array" ref="G265">IF($C265="","",IF(_xlfn.XLOOKUP($A265&amp;$B265&amp;$C265,盘货信息!$A:$A&amp;盘货信息!$B:$B&amp;盘货信息!$C:$C,盘货信息!$G:$G)&lt;1,"",ROUND(_xlfn.XLOOKUP($A265&amp;$B265&amp;$C265,盘货信息!$A:$A&amp;盘货信息!$B:$B&amp;盘货信息!$C:$C,盘货信息!$G:$G),0)&amp;"元88VIP立减"))</f>
        <v/>
      </c>
      <c r="H265" s="27" t="str" cm="1">
        <f t="array" ref="H265">IF($C265="","",IF(_xlfn.XLOOKUP($A265&amp;$B265&amp;$C265,盘货信息!$A:$A&amp;盘货信息!$B:$B&amp;盘货信息!$C:$C,盘货信息!$I:$I)&lt;1,"",_xlfn.XLOOKUP($A265&amp;$B265&amp;$C265,盘货信息!$A:$A&amp;盘货信息!$B:$B&amp;盘货信息!$C:$C,盘货信息!$I:$I)&amp;"元惊喜立减"))</f>
        <v/>
      </c>
      <c r="I265" s="27" t="str" cm="1">
        <f t="array" ref="I265">IF($C265="","",IF(_xlfn.XLOOKUP($A265&amp;$B265&amp;$C265,盘货信息!$A:$A&amp;盘货信息!$B:$B&amp;盘货信息!$C:$C,盘货信息!$H:$H)&lt;1,"",ROUND(_xlfn.XLOOKUP($A265&amp;$B265&amp;$C265,盘货信息!$A:$A&amp;盘货信息!$B:$B&amp;盘货信息!$C:$C,盘货信息!$H:$H),0)&amp;"元消费券"))</f>
        <v/>
      </c>
      <c r="J265" s="27" t="str" cm="1">
        <f t="array" ref="J265">IF($C265="","",IF(_xlfn.XLOOKUP($A265&amp;$B265&amp;$C265,盘货信息!$A:$A&amp;盘货信息!$B:$B&amp;盘货信息!$C:$C,盘货信息!$J:$J)&lt;1,"",ROUND(_xlfn.XLOOKUP($A265&amp;$B265&amp;$C265,盘货信息!$A:$A&amp;盘货信息!$B:$B&amp;盘货信息!$C:$C,盘货信息!$J:$J),0)&amp;"元限时补贴"))</f>
        <v/>
      </c>
      <c r="K265" s="27" t="str" cm="1">
        <f t="array" ref="K265">IF($C265="","",IF(_xlfn.XLOOKUP($A265&amp;$B265&amp;$C265,盘货信息!$A:$A&amp;盘货信息!$B:$B&amp;盘货信息!$C:$C,盘货信息!$K:$K)&lt;1,"",ROUND(_xlfn.XLOOKUP($A265&amp;$B265&amp;$C265,盘货信息!$A:$A&amp;盘货信息!$B:$B&amp;盘货信息!$C:$C,盘货信息!$K:$K),0)&amp;"元预估焕新补贴"))</f>
        <v/>
      </c>
      <c r="L265" s="27" t="str" cm="1">
        <f t="array" ref="L265">IF($C265="","",IF(AND(_xlfn.XLOOKUP($A265&amp;$B265&amp;$C265,盘货信息!$A:$A&amp;盘货信息!$B:$B&amp;盘货信息!$C:$C,盘货信息!$L:$L)="是",_xlfn.XLOOKUP($A265&amp;$B265&amp;$C265,盘货信息!$A:$A&amp;盘货信息!$B:$B&amp;盘货信息!$C:$C,盘货信息!$M:$M)="是",_xlfn.XLOOKUP($A265&amp;$B265&amp;$C265,盘货信息!$A:$A&amp;盘货信息!$B:$B&amp;盘货信息!$C:$C,盘货信息!$K:$K)&gt;0),"【全民可用，不限地址】",IF(AND(OR(_xlfn.XLOOKUP($A265&amp;$B265&amp;$C265,盘货信息!$A:$A&amp;盘货信息!$B:$B&amp;盘货信息!$C:$C,盘货信息!$L:$L)="否",_xlfn.XLOOKUP($A265&amp;$B265&amp;$C265,盘货信息!$A:$A&amp;盘货信息!$B:$B&amp;盘货信息!$C:$C,盘货信息!$L:$L)=""),_xlfn.XLOOKUP($A265&amp;$B265&amp;$C265,盘货信息!$A:$A&amp;盘货信息!$B:$B&amp;盘货信息!$C:$C,盘货信息!$M:$M)="是",_xlfn.XLOOKUP($A265&amp;$B265&amp;$C265,盘货信息!$A:$A&amp;盘货信息!$B:$B&amp;盘货信息!$C:$C,盘货信息!$K:$K)&gt;0),"【详情页领取】","")))</f>
        <v/>
      </c>
      <c r="M265" s="27" t="str" cm="1">
        <f t="array" ref="M265">IF($C265="","",IF(_xlfn.XLOOKUP($A265&amp;$B265&amp;$C265,盘货信息!$A:$A&amp;盘货信息!$B:$B&amp;盘货信息!$C:$C,盘货信息!$F:$F)&lt;1,"",_xlfn.XLOOKUP($A265&amp;$B265&amp;$C265,盘货信息!$A:$A&amp;盘货信息!$B:$B&amp;盘货信息!$C:$C,盘货信息!$F:$F)&amp;"元明卷"))</f>
        <v/>
      </c>
      <c r="N265" s="27" t="str">
        <f t="shared" si="9"/>
        <v/>
      </c>
      <c r="O265" s="27" t="str">
        <f>IF(I265="","","【消费券链接】"&amp;固定信息!$B$6)</f>
        <v/>
      </c>
    </row>
    <row r="266" customHeight="1" spans="1:15">
      <c r="A266" s="23" t="str">
        <f>IF(盘货信息!A266="","",盘货信息!A266)</f>
        <v/>
      </c>
      <c r="B266" s="26" t="str">
        <f>IF(盘货信息!B266="","",盘货信息!B266)</f>
        <v/>
      </c>
      <c r="C266" s="23" t="str">
        <f>IF(盘货信息!C266="","",盘货信息!C266)</f>
        <v/>
      </c>
      <c r="D266" s="27" t="str">
        <f t="shared" si="8"/>
        <v/>
      </c>
      <c r="E266" s="27" t="str" cm="1">
        <f t="array" ref="E266">IF($C266="","",IF(AND(OR(_xlfn.XLOOKUP($A266&amp;$B266&amp;$C266,盘货信息!$A:$A&amp;盘货信息!$B:$B&amp;盘货信息!$C:$C,盘货信息!$L:$L)="否",_xlfn.XLOOKUP($A266&amp;$B266&amp;$C266,盘货信息!$A:$A&amp;盘货信息!$B:$B&amp;盘货信息!$C:$C,盘货信息!$L:$L)=""),_xlfn.XLOOKUP($A266&amp;$B266&amp;$C266,盘货信息!$A:$A&amp;盘货信息!$B:$B&amp;盘货信息!$C:$C,盘货信息!$M:$M)="否"),"【预估到手价"&amp;_xlfn.XLOOKUP($A266&amp;$B266&amp;$C266,盘货信息!$A:$A&amp;盘货信息!$B:$B&amp;盘货信息!$C:$C,盘货信息!$D:$D)&amp;"元】",IF(AND(_xlfn.XLOOKUP($A266&amp;$B266&amp;$C266,盘货信息!$A:$A&amp;盘货信息!$B:$B&amp;盘货信息!$C:$C,盘货信息!$M:$M)="是",OR(_xlfn.XLOOKUP($A266&amp;$B266&amp;$C266,盘货信息!$A:$A&amp;盘货信息!$B:$B&amp;盘货信息!$C:$C,盘货信息!$L:$L)="否",_xlfn.XLOOKUP($A266&amp;$B266&amp;$C266,盘货信息!$A:$A&amp;盘货信息!$B:$B&amp;盘货信息!$C:$C,盘货信息!$L:$L)="")),"【预估到手价"&amp;_xlfn.XLOOKUP($A266&amp;$B266&amp;$C266,盘货信息!$A:$A&amp;盘货信息!$B:$B&amp;盘货信息!$C:$C,盘货信息!$D:$D)&amp;"元】"&amp;CHAR(10)&amp;"【焕新补贴预估价"&amp;ROUND(_xlfn.XLOOKUP($A266&amp;$B266&amp;$C266,盘货信息!$A:$A&amp;盘货信息!$B:$B&amp;盘货信息!$C:$C,盘货信息!$E:$E),0)&amp;"元】","【焕新补贴预估价"&amp;ROUND(_xlfn.XLOOKUP($A266&amp;$B266&amp;$C266,盘货信息!$A:$A&amp;盘货信息!$B:$B&amp;盘货信息!$C:$C,盘货信息!$E:$E),0)&amp;"元】")))</f>
        <v/>
      </c>
      <c r="F266" s="27" t="str" cm="1">
        <f t="array" ref="F266">IF($C266="","",_xlfn.XLOOKUP($A266&amp;$B266&amp;$C266,盘货信息!$A:$A&amp;盘货信息!$B:$B&amp;盘货信息!$C:$C,盘货信息!$D:$D)&amp;"元到手价")</f>
        <v/>
      </c>
      <c r="G266" s="27" t="str" cm="1">
        <f t="array" ref="G266">IF($C266="","",IF(_xlfn.XLOOKUP($A266&amp;$B266&amp;$C266,盘货信息!$A:$A&amp;盘货信息!$B:$B&amp;盘货信息!$C:$C,盘货信息!$G:$G)&lt;1,"",ROUND(_xlfn.XLOOKUP($A266&amp;$B266&amp;$C266,盘货信息!$A:$A&amp;盘货信息!$B:$B&amp;盘货信息!$C:$C,盘货信息!$G:$G),0)&amp;"元88VIP立减"))</f>
        <v/>
      </c>
      <c r="H266" s="27" t="str" cm="1">
        <f t="array" ref="H266">IF($C266="","",IF(_xlfn.XLOOKUP($A266&amp;$B266&amp;$C266,盘货信息!$A:$A&amp;盘货信息!$B:$B&amp;盘货信息!$C:$C,盘货信息!$I:$I)&lt;1,"",_xlfn.XLOOKUP($A266&amp;$B266&amp;$C266,盘货信息!$A:$A&amp;盘货信息!$B:$B&amp;盘货信息!$C:$C,盘货信息!$I:$I)&amp;"元惊喜立减"))</f>
        <v/>
      </c>
      <c r="I266" s="27" t="str" cm="1">
        <f t="array" ref="I266">IF($C266="","",IF(_xlfn.XLOOKUP($A266&amp;$B266&amp;$C266,盘货信息!$A:$A&amp;盘货信息!$B:$B&amp;盘货信息!$C:$C,盘货信息!$H:$H)&lt;1,"",ROUND(_xlfn.XLOOKUP($A266&amp;$B266&amp;$C266,盘货信息!$A:$A&amp;盘货信息!$B:$B&amp;盘货信息!$C:$C,盘货信息!$H:$H),0)&amp;"元消费券"))</f>
        <v/>
      </c>
      <c r="J266" s="27" t="str" cm="1">
        <f t="array" ref="J266">IF($C266="","",IF(_xlfn.XLOOKUP($A266&amp;$B266&amp;$C266,盘货信息!$A:$A&amp;盘货信息!$B:$B&amp;盘货信息!$C:$C,盘货信息!$J:$J)&lt;1,"",ROUND(_xlfn.XLOOKUP($A266&amp;$B266&amp;$C266,盘货信息!$A:$A&amp;盘货信息!$B:$B&amp;盘货信息!$C:$C,盘货信息!$J:$J),0)&amp;"元限时补贴"))</f>
        <v/>
      </c>
      <c r="K266" s="27" t="str" cm="1">
        <f t="array" ref="K266">IF($C266="","",IF(_xlfn.XLOOKUP($A266&amp;$B266&amp;$C266,盘货信息!$A:$A&amp;盘货信息!$B:$B&amp;盘货信息!$C:$C,盘货信息!$K:$K)&lt;1,"",ROUND(_xlfn.XLOOKUP($A266&amp;$B266&amp;$C266,盘货信息!$A:$A&amp;盘货信息!$B:$B&amp;盘货信息!$C:$C,盘货信息!$K:$K),0)&amp;"元预估焕新补贴"))</f>
        <v/>
      </c>
      <c r="L266" s="27" t="str" cm="1">
        <f t="array" ref="L266">IF($C266="","",IF(AND(_xlfn.XLOOKUP($A266&amp;$B266&amp;$C266,盘货信息!$A:$A&amp;盘货信息!$B:$B&amp;盘货信息!$C:$C,盘货信息!$L:$L)="是",_xlfn.XLOOKUP($A266&amp;$B266&amp;$C266,盘货信息!$A:$A&amp;盘货信息!$B:$B&amp;盘货信息!$C:$C,盘货信息!$M:$M)="是",_xlfn.XLOOKUP($A266&amp;$B266&amp;$C266,盘货信息!$A:$A&amp;盘货信息!$B:$B&amp;盘货信息!$C:$C,盘货信息!$K:$K)&gt;0),"【全民可用，不限地址】",IF(AND(OR(_xlfn.XLOOKUP($A266&amp;$B266&amp;$C266,盘货信息!$A:$A&amp;盘货信息!$B:$B&amp;盘货信息!$C:$C,盘货信息!$L:$L)="否",_xlfn.XLOOKUP($A266&amp;$B266&amp;$C266,盘货信息!$A:$A&amp;盘货信息!$B:$B&amp;盘货信息!$C:$C,盘货信息!$L:$L)=""),_xlfn.XLOOKUP($A266&amp;$B266&amp;$C266,盘货信息!$A:$A&amp;盘货信息!$B:$B&amp;盘货信息!$C:$C,盘货信息!$M:$M)="是",_xlfn.XLOOKUP($A266&amp;$B266&amp;$C266,盘货信息!$A:$A&amp;盘货信息!$B:$B&amp;盘货信息!$C:$C,盘货信息!$K:$K)&gt;0),"【详情页领取】","")))</f>
        <v/>
      </c>
      <c r="M266" s="27" t="str" cm="1">
        <f t="array" ref="M266">IF($C266="","",IF(_xlfn.XLOOKUP($A266&amp;$B266&amp;$C266,盘货信息!$A:$A&amp;盘货信息!$B:$B&amp;盘货信息!$C:$C,盘货信息!$F:$F)&lt;1,"",_xlfn.XLOOKUP($A266&amp;$B266&amp;$C266,盘货信息!$A:$A&amp;盘货信息!$B:$B&amp;盘货信息!$C:$C,盘货信息!$F:$F)&amp;"元明卷"))</f>
        <v/>
      </c>
      <c r="N266" s="27" t="str">
        <f t="shared" si="9"/>
        <v/>
      </c>
      <c r="O266" s="27" t="str">
        <f>IF(I266="","","【消费券链接】"&amp;固定信息!$B$6)</f>
        <v/>
      </c>
    </row>
    <row r="267" customHeight="1" spans="1:15">
      <c r="A267" s="23" t="str">
        <f>IF(盘货信息!A267="","",盘货信息!A267)</f>
        <v/>
      </c>
      <c r="B267" s="26" t="str">
        <f>IF(盘货信息!B267="","",盘货信息!B267)</f>
        <v/>
      </c>
      <c r="C267" s="23" t="str">
        <f>IF(盘货信息!C267="","",盘货信息!C267)</f>
        <v/>
      </c>
      <c r="D267" s="27" t="str">
        <f t="shared" si="8"/>
        <v/>
      </c>
      <c r="E267" s="27" t="str" cm="1">
        <f t="array" ref="E267">IF($C267="","",IF(AND(OR(_xlfn.XLOOKUP($A267&amp;$B267&amp;$C267,盘货信息!$A:$A&amp;盘货信息!$B:$B&amp;盘货信息!$C:$C,盘货信息!$L:$L)="否",_xlfn.XLOOKUP($A267&amp;$B267&amp;$C267,盘货信息!$A:$A&amp;盘货信息!$B:$B&amp;盘货信息!$C:$C,盘货信息!$L:$L)=""),_xlfn.XLOOKUP($A267&amp;$B267&amp;$C267,盘货信息!$A:$A&amp;盘货信息!$B:$B&amp;盘货信息!$C:$C,盘货信息!$M:$M)="否"),"【预估到手价"&amp;_xlfn.XLOOKUP($A267&amp;$B267&amp;$C267,盘货信息!$A:$A&amp;盘货信息!$B:$B&amp;盘货信息!$C:$C,盘货信息!$D:$D)&amp;"元】",IF(AND(_xlfn.XLOOKUP($A267&amp;$B267&amp;$C267,盘货信息!$A:$A&amp;盘货信息!$B:$B&amp;盘货信息!$C:$C,盘货信息!$M:$M)="是",OR(_xlfn.XLOOKUP($A267&amp;$B267&amp;$C267,盘货信息!$A:$A&amp;盘货信息!$B:$B&amp;盘货信息!$C:$C,盘货信息!$L:$L)="否",_xlfn.XLOOKUP($A267&amp;$B267&amp;$C267,盘货信息!$A:$A&amp;盘货信息!$B:$B&amp;盘货信息!$C:$C,盘货信息!$L:$L)="")),"【预估到手价"&amp;_xlfn.XLOOKUP($A267&amp;$B267&amp;$C267,盘货信息!$A:$A&amp;盘货信息!$B:$B&amp;盘货信息!$C:$C,盘货信息!$D:$D)&amp;"元】"&amp;CHAR(10)&amp;"【焕新补贴预估价"&amp;ROUND(_xlfn.XLOOKUP($A267&amp;$B267&amp;$C267,盘货信息!$A:$A&amp;盘货信息!$B:$B&amp;盘货信息!$C:$C,盘货信息!$E:$E),0)&amp;"元】","【焕新补贴预估价"&amp;ROUND(_xlfn.XLOOKUP($A267&amp;$B267&amp;$C267,盘货信息!$A:$A&amp;盘货信息!$B:$B&amp;盘货信息!$C:$C,盘货信息!$E:$E),0)&amp;"元】")))</f>
        <v/>
      </c>
      <c r="F267" s="27" t="str" cm="1">
        <f t="array" ref="F267">IF($C267="","",_xlfn.XLOOKUP($A267&amp;$B267&amp;$C267,盘货信息!$A:$A&amp;盘货信息!$B:$B&amp;盘货信息!$C:$C,盘货信息!$D:$D)&amp;"元到手价")</f>
        <v/>
      </c>
      <c r="G267" s="27" t="str" cm="1">
        <f t="array" ref="G267">IF($C267="","",IF(_xlfn.XLOOKUP($A267&amp;$B267&amp;$C267,盘货信息!$A:$A&amp;盘货信息!$B:$B&amp;盘货信息!$C:$C,盘货信息!$G:$G)&lt;1,"",ROUND(_xlfn.XLOOKUP($A267&amp;$B267&amp;$C267,盘货信息!$A:$A&amp;盘货信息!$B:$B&amp;盘货信息!$C:$C,盘货信息!$G:$G),0)&amp;"元88VIP立减"))</f>
        <v/>
      </c>
      <c r="H267" s="27" t="str" cm="1">
        <f t="array" ref="H267">IF($C267="","",IF(_xlfn.XLOOKUP($A267&amp;$B267&amp;$C267,盘货信息!$A:$A&amp;盘货信息!$B:$B&amp;盘货信息!$C:$C,盘货信息!$I:$I)&lt;1,"",_xlfn.XLOOKUP($A267&amp;$B267&amp;$C267,盘货信息!$A:$A&amp;盘货信息!$B:$B&amp;盘货信息!$C:$C,盘货信息!$I:$I)&amp;"元惊喜立减"))</f>
        <v/>
      </c>
      <c r="I267" s="27" t="str" cm="1">
        <f t="array" ref="I267">IF($C267="","",IF(_xlfn.XLOOKUP($A267&amp;$B267&amp;$C267,盘货信息!$A:$A&amp;盘货信息!$B:$B&amp;盘货信息!$C:$C,盘货信息!$H:$H)&lt;1,"",ROUND(_xlfn.XLOOKUP($A267&amp;$B267&amp;$C267,盘货信息!$A:$A&amp;盘货信息!$B:$B&amp;盘货信息!$C:$C,盘货信息!$H:$H),0)&amp;"元消费券"))</f>
        <v/>
      </c>
      <c r="J267" s="27" t="str" cm="1">
        <f t="array" ref="J267">IF($C267="","",IF(_xlfn.XLOOKUP($A267&amp;$B267&amp;$C267,盘货信息!$A:$A&amp;盘货信息!$B:$B&amp;盘货信息!$C:$C,盘货信息!$J:$J)&lt;1,"",ROUND(_xlfn.XLOOKUP($A267&amp;$B267&amp;$C267,盘货信息!$A:$A&amp;盘货信息!$B:$B&amp;盘货信息!$C:$C,盘货信息!$J:$J),0)&amp;"元限时补贴"))</f>
        <v/>
      </c>
      <c r="K267" s="27" t="str" cm="1">
        <f t="array" ref="K267">IF($C267="","",IF(_xlfn.XLOOKUP($A267&amp;$B267&amp;$C267,盘货信息!$A:$A&amp;盘货信息!$B:$B&amp;盘货信息!$C:$C,盘货信息!$K:$K)&lt;1,"",ROUND(_xlfn.XLOOKUP($A267&amp;$B267&amp;$C267,盘货信息!$A:$A&amp;盘货信息!$B:$B&amp;盘货信息!$C:$C,盘货信息!$K:$K),0)&amp;"元预估焕新补贴"))</f>
        <v/>
      </c>
      <c r="L267" s="27" t="str" cm="1">
        <f t="array" ref="L267">IF($C267="","",IF(AND(_xlfn.XLOOKUP($A267&amp;$B267&amp;$C267,盘货信息!$A:$A&amp;盘货信息!$B:$B&amp;盘货信息!$C:$C,盘货信息!$L:$L)="是",_xlfn.XLOOKUP($A267&amp;$B267&amp;$C267,盘货信息!$A:$A&amp;盘货信息!$B:$B&amp;盘货信息!$C:$C,盘货信息!$M:$M)="是",_xlfn.XLOOKUP($A267&amp;$B267&amp;$C267,盘货信息!$A:$A&amp;盘货信息!$B:$B&amp;盘货信息!$C:$C,盘货信息!$K:$K)&gt;0),"【全民可用，不限地址】",IF(AND(OR(_xlfn.XLOOKUP($A267&amp;$B267&amp;$C267,盘货信息!$A:$A&amp;盘货信息!$B:$B&amp;盘货信息!$C:$C,盘货信息!$L:$L)="否",_xlfn.XLOOKUP($A267&amp;$B267&amp;$C267,盘货信息!$A:$A&amp;盘货信息!$B:$B&amp;盘货信息!$C:$C,盘货信息!$L:$L)=""),_xlfn.XLOOKUP($A267&amp;$B267&amp;$C267,盘货信息!$A:$A&amp;盘货信息!$B:$B&amp;盘货信息!$C:$C,盘货信息!$M:$M)="是",_xlfn.XLOOKUP($A267&amp;$B267&amp;$C267,盘货信息!$A:$A&amp;盘货信息!$B:$B&amp;盘货信息!$C:$C,盘货信息!$K:$K)&gt;0),"【详情页领取】","")))</f>
        <v/>
      </c>
      <c r="M267" s="27" t="str" cm="1">
        <f t="array" ref="M267">IF($C267="","",IF(_xlfn.XLOOKUP($A267&amp;$B267&amp;$C267,盘货信息!$A:$A&amp;盘货信息!$B:$B&amp;盘货信息!$C:$C,盘货信息!$F:$F)&lt;1,"",_xlfn.XLOOKUP($A267&amp;$B267&amp;$C267,盘货信息!$A:$A&amp;盘货信息!$B:$B&amp;盘货信息!$C:$C,盘货信息!$F:$F)&amp;"元明卷"))</f>
        <v/>
      </c>
      <c r="N267" s="27" t="str">
        <f t="shared" si="9"/>
        <v/>
      </c>
      <c r="O267" s="27" t="str">
        <f>IF(I267="","","【消费券链接】"&amp;固定信息!$B$6)</f>
        <v/>
      </c>
    </row>
    <row r="268" customHeight="1" spans="1:15">
      <c r="A268" s="23" t="str">
        <f>IF(盘货信息!A268="","",盘货信息!A268)</f>
        <v/>
      </c>
      <c r="B268" s="26" t="str">
        <f>IF(盘货信息!B268="","",盘货信息!B268)</f>
        <v/>
      </c>
      <c r="C268" s="23" t="str">
        <f>IF(盘货信息!C268="","",盘货信息!C268)</f>
        <v/>
      </c>
      <c r="D268" s="27" t="str">
        <f t="shared" si="8"/>
        <v/>
      </c>
      <c r="E268" s="27" t="str" cm="1">
        <f t="array" ref="E268">IF($C268="","",IF(AND(OR(_xlfn.XLOOKUP($A268&amp;$B268&amp;$C268,盘货信息!$A:$A&amp;盘货信息!$B:$B&amp;盘货信息!$C:$C,盘货信息!$L:$L)="否",_xlfn.XLOOKUP($A268&amp;$B268&amp;$C268,盘货信息!$A:$A&amp;盘货信息!$B:$B&amp;盘货信息!$C:$C,盘货信息!$L:$L)=""),_xlfn.XLOOKUP($A268&amp;$B268&amp;$C268,盘货信息!$A:$A&amp;盘货信息!$B:$B&amp;盘货信息!$C:$C,盘货信息!$M:$M)="否"),"【预估到手价"&amp;_xlfn.XLOOKUP($A268&amp;$B268&amp;$C268,盘货信息!$A:$A&amp;盘货信息!$B:$B&amp;盘货信息!$C:$C,盘货信息!$D:$D)&amp;"元】",IF(AND(_xlfn.XLOOKUP($A268&amp;$B268&amp;$C268,盘货信息!$A:$A&amp;盘货信息!$B:$B&amp;盘货信息!$C:$C,盘货信息!$M:$M)="是",OR(_xlfn.XLOOKUP($A268&amp;$B268&amp;$C268,盘货信息!$A:$A&amp;盘货信息!$B:$B&amp;盘货信息!$C:$C,盘货信息!$L:$L)="否",_xlfn.XLOOKUP($A268&amp;$B268&amp;$C268,盘货信息!$A:$A&amp;盘货信息!$B:$B&amp;盘货信息!$C:$C,盘货信息!$L:$L)="")),"【预估到手价"&amp;_xlfn.XLOOKUP($A268&amp;$B268&amp;$C268,盘货信息!$A:$A&amp;盘货信息!$B:$B&amp;盘货信息!$C:$C,盘货信息!$D:$D)&amp;"元】"&amp;CHAR(10)&amp;"【焕新补贴预估价"&amp;ROUND(_xlfn.XLOOKUP($A268&amp;$B268&amp;$C268,盘货信息!$A:$A&amp;盘货信息!$B:$B&amp;盘货信息!$C:$C,盘货信息!$E:$E),0)&amp;"元】","【焕新补贴预估价"&amp;ROUND(_xlfn.XLOOKUP($A268&amp;$B268&amp;$C268,盘货信息!$A:$A&amp;盘货信息!$B:$B&amp;盘货信息!$C:$C,盘货信息!$E:$E),0)&amp;"元】")))</f>
        <v/>
      </c>
      <c r="F268" s="27" t="str" cm="1">
        <f t="array" ref="F268">IF($C268="","",_xlfn.XLOOKUP($A268&amp;$B268&amp;$C268,盘货信息!$A:$A&amp;盘货信息!$B:$B&amp;盘货信息!$C:$C,盘货信息!$D:$D)&amp;"元到手价")</f>
        <v/>
      </c>
      <c r="G268" s="27" t="str" cm="1">
        <f t="array" ref="G268">IF($C268="","",IF(_xlfn.XLOOKUP($A268&amp;$B268&amp;$C268,盘货信息!$A:$A&amp;盘货信息!$B:$B&amp;盘货信息!$C:$C,盘货信息!$G:$G)&lt;1,"",ROUND(_xlfn.XLOOKUP($A268&amp;$B268&amp;$C268,盘货信息!$A:$A&amp;盘货信息!$B:$B&amp;盘货信息!$C:$C,盘货信息!$G:$G),0)&amp;"元88VIP立减"))</f>
        <v/>
      </c>
      <c r="H268" s="27" t="str" cm="1">
        <f t="array" ref="H268">IF($C268="","",IF(_xlfn.XLOOKUP($A268&amp;$B268&amp;$C268,盘货信息!$A:$A&amp;盘货信息!$B:$B&amp;盘货信息!$C:$C,盘货信息!$I:$I)&lt;1,"",_xlfn.XLOOKUP($A268&amp;$B268&amp;$C268,盘货信息!$A:$A&amp;盘货信息!$B:$B&amp;盘货信息!$C:$C,盘货信息!$I:$I)&amp;"元惊喜立减"))</f>
        <v/>
      </c>
      <c r="I268" s="27" t="str" cm="1">
        <f t="array" ref="I268">IF($C268="","",IF(_xlfn.XLOOKUP($A268&amp;$B268&amp;$C268,盘货信息!$A:$A&amp;盘货信息!$B:$B&amp;盘货信息!$C:$C,盘货信息!$H:$H)&lt;1,"",ROUND(_xlfn.XLOOKUP($A268&amp;$B268&amp;$C268,盘货信息!$A:$A&amp;盘货信息!$B:$B&amp;盘货信息!$C:$C,盘货信息!$H:$H),0)&amp;"元消费券"))</f>
        <v/>
      </c>
      <c r="J268" s="27" t="str" cm="1">
        <f t="array" ref="J268">IF($C268="","",IF(_xlfn.XLOOKUP($A268&amp;$B268&amp;$C268,盘货信息!$A:$A&amp;盘货信息!$B:$B&amp;盘货信息!$C:$C,盘货信息!$J:$J)&lt;1,"",ROUND(_xlfn.XLOOKUP($A268&amp;$B268&amp;$C268,盘货信息!$A:$A&amp;盘货信息!$B:$B&amp;盘货信息!$C:$C,盘货信息!$J:$J),0)&amp;"元限时补贴"))</f>
        <v/>
      </c>
      <c r="K268" s="27" t="str" cm="1">
        <f t="array" ref="K268">IF($C268="","",IF(_xlfn.XLOOKUP($A268&amp;$B268&amp;$C268,盘货信息!$A:$A&amp;盘货信息!$B:$B&amp;盘货信息!$C:$C,盘货信息!$K:$K)&lt;1,"",ROUND(_xlfn.XLOOKUP($A268&amp;$B268&amp;$C268,盘货信息!$A:$A&amp;盘货信息!$B:$B&amp;盘货信息!$C:$C,盘货信息!$K:$K),0)&amp;"元预估焕新补贴"))</f>
        <v/>
      </c>
      <c r="L268" s="27" t="str" cm="1">
        <f t="array" ref="L268">IF($C268="","",IF(AND(_xlfn.XLOOKUP($A268&amp;$B268&amp;$C268,盘货信息!$A:$A&amp;盘货信息!$B:$B&amp;盘货信息!$C:$C,盘货信息!$L:$L)="是",_xlfn.XLOOKUP($A268&amp;$B268&amp;$C268,盘货信息!$A:$A&amp;盘货信息!$B:$B&amp;盘货信息!$C:$C,盘货信息!$M:$M)="是",_xlfn.XLOOKUP($A268&amp;$B268&amp;$C268,盘货信息!$A:$A&amp;盘货信息!$B:$B&amp;盘货信息!$C:$C,盘货信息!$K:$K)&gt;0),"【全民可用，不限地址】",IF(AND(OR(_xlfn.XLOOKUP($A268&amp;$B268&amp;$C268,盘货信息!$A:$A&amp;盘货信息!$B:$B&amp;盘货信息!$C:$C,盘货信息!$L:$L)="否",_xlfn.XLOOKUP($A268&amp;$B268&amp;$C268,盘货信息!$A:$A&amp;盘货信息!$B:$B&amp;盘货信息!$C:$C,盘货信息!$L:$L)=""),_xlfn.XLOOKUP($A268&amp;$B268&amp;$C268,盘货信息!$A:$A&amp;盘货信息!$B:$B&amp;盘货信息!$C:$C,盘货信息!$M:$M)="是",_xlfn.XLOOKUP($A268&amp;$B268&amp;$C268,盘货信息!$A:$A&amp;盘货信息!$B:$B&amp;盘货信息!$C:$C,盘货信息!$K:$K)&gt;0),"【详情页领取】","")))</f>
        <v/>
      </c>
      <c r="M268" s="27" t="str" cm="1">
        <f t="array" ref="M268">IF($C268="","",IF(_xlfn.XLOOKUP($A268&amp;$B268&amp;$C268,盘货信息!$A:$A&amp;盘货信息!$B:$B&amp;盘货信息!$C:$C,盘货信息!$F:$F)&lt;1,"",_xlfn.XLOOKUP($A268&amp;$B268&amp;$C268,盘货信息!$A:$A&amp;盘货信息!$B:$B&amp;盘货信息!$C:$C,盘货信息!$F:$F)&amp;"元明卷"))</f>
        <v/>
      </c>
      <c r="N268" s="27" t="str">
        <f t="shared" si="9"/>
        <v/>
      </c>
      <c r="O268" s="27" t="str">
        <f>IF(I268="","","【消费券链接】"&amp;固定信息!$B$6)</f>
        <v/>
      </c>
    </row>
    <row r="269" customHeight="1" spans="1:15">
      <c r="A269" s="23" t="str">
        <f>IF(盘货信息!A269="","",盘货信息!A269)</f>
        <v/>
      </c>
      <c r="B269" s="26" t="str">
        <f>IF(盘货信息!B269="","",盘货信息!B269)</f>
        <v/>
      </c>
      <c r="C269" s="23" t="str">
        <f>IF(盘货信息!C269="","",盘货信息!C269)</f>
        <v/>
      </c>
      <c r="D269" s="27" t="str">
        <f t="shared" si="8"/>
        <v/>
      </c>
      <c r="E269" s="27" t="str" cm="1">
        <f t="array" ref="E269">IF($C269="","",IF(AND(OR(_xlfn.XLOOKUP($A269&amp;$B269&amp;$C269,盘货信息!$A:$A&amp;盘货信息!$B:$B&amp;盘货信息!$C:$C,盘货信息!$L:$L)="否",_xlfn.XLOOKUP($A269&amp;$B269&amp;$C269,盘货信息!$A:$A&amp;盘货信息!$B:$B&amp;盘货信息!$C:$C,盘货信息!$L:$L)=""),_xlfn.XLOOKUP($A269&amp;$B269&amp;$C269,盘货信息!$A:$A&amp;盘货信息!$B:$B&amp;盘货信息!$C:$C,盘货信息!$M:$M)="否"),"【预估到手价"&amp;_xlfn.XLOOKUP($A269&amp;$B269&amp;$C269,盘货信息!$A:$A&amp;盘货信息!$B:$B&amp;盘货信息!$C:$C,盘货信息!$D:$D)&amp;"元】",IF(AND(_xlfn.XLOOKUP($A269&amp;$B269&amp;$C269,盘货信息!$A:$A&amp;盘货信息!$B:$B&amp;盘货信息!$C:$C,盘货信息!$M:$M)="是",OR(_xlfn.XLOOKUP($A269&amp;$B269&amp;$C269,盘货信息!$A:$A&amp;盘货信息!$B:$B&amp;盘货信息!$C:$C,盘货信息!$L:$L)="否",_xlfn.XLOOKUP($A269&amp;$B269&amp;$C269,盘货信息!$A:$A&amp;盘货信息!$B:$B&amp;盘货信息!$C:$C,盘货信息!$L:$L)="")),"【预估到手价"&amp;_xlfn.XLOOKUP($A269&amp;$B269&amp;$C269,盘货信息!$A:$A&amp;盘货信息!$B:$B&amp;盘货信息!$C:$C,盘货信息!$D:$D)&amp;"元】"&amp;CHAR(10)&amp;"【焕新补贴预估价"&amp;ROUND(_xlfn.XLOOKUP($A269&amp;$B269&amp;$C269,盘货信息!$A:$A&amp;盘货信息!$B:$B&amp;盘货信息!$C:$C,盘货信息!$E:$E),0)&amp;"元】","【焕新补贴预估价"&amp;ROUND(_xlfn.XLOOKUP($A269&amp;$B269&amp;$C269,盘货信息!$A:$A&amp;盘货信息!$B:$B&amp;盘货信息!$C:$C,盘货信息!$E:$E),0)&amp;"元】")))</f>
        <v/>
      </c>
      <c r="F269" s="27" t="str" cm="1">
        <f t="array" ref="F269">IF($C269="","",_xlfn.XLOOKUP($A269&amp;$B269&amp;$C269,盘货信息!$A:$A&amp;盘货信息!$B:$B&amp;盘货信息!$C:$C,盘货信息!$D:$D)&amp;"元到手价")</f>
        <v/>
      </c>
      <c r="G269" s="27" t="str" cm="1">
        <f t="array" ref="G269">IF($C269="","",IF(_xlfn.XLOOKUP($A269&amp;$B269&amp;$C269,盘货信息!$A:$A&amp;盘货信息!$B:$B&amp;盘货信息!$C:$C,盘货信息!$G:$G)&lt;1,"",ROUND(_xlfn.XLOOKUP($A269&amp;$B269&amp;$C269,盘货信息!$A:$A&amp;盘货信息!$B:$B&amp;盘货信息!$C:$C,盘货信息!$G:$G),0)&amp;"元88VIP立减"))</f>
        <v/>
      </c>
      <c r="H269" s="27" t="str" cm="1">
        <f t="array" ref="H269">IF($C269="","",IF(_xlfn.XLOOKUP($A269&amp;$B269&amp;$C269,盘货信息!$A:$A&amp;盘货信息!$B:$B&amp;盘货信息!$C:$C,盘货信息!$I:$I)&lt;1,"",_xlfn.XLOOKUP($A269&amp;$B269&amp;$C269,盘货信息!$A:$A&amp;盘货信息!$B:$B&amp;盘货信息!$C:$C,盘货信息!$I:$I)&amp;"元惊喜立减"))</f>
        <v/>
      </c>
      <c r="I269" s="27" t="str" cm="1">
        <f t="array" ref="I269">IF($C269="","",IF(_xlfn.XLOOKUP($A269&amp;$B269&amp;$C269,盘货信息!$A:$A&amp;盘货信息!$B:$B&amp;盘货信息!$C:$C,盘货信息!$H:$H)&lt;1,"",ROUND(_xlfn.XLOOKUP($A269&amp;$B269&amp;$C269,盘货信息!$A:$A&amp;盘货信息!$B:$B&amp;盘货信息!$C:$C,盘货信息!$H:$H),0)&amp;"元消费券"))</f>
        <v/>
      </c>
      <c r="J269" s="27" t="str" cm="1">
        <f t="array" ref="J269">IF($C269="","",IF(_xlfn.XLOOKUP($A269&amp;$B269&amp;$C269,盘货信息!$A:$A&amp;盘货信息!$B:$B&amp;盘货信息!$C:$C,盘货信息!$J:$J)&lt;1,"",ROUND(_xlfn.XLOOKUP($A269&amp;$B269&amp;$C269,盘货信息!$A:$A&amp;盘货信息!$B:$B&amp;盘货信息!$C:$C,盘货信息!$J:$J),0)&amp;"元限时补贴"))</f>
        <v/>
      </c>
      <c r="K269" s="27" t="str" cm="1">
        <f t="array" ref="K269">IF($C269="","",IF(_xlfn.XLOOKUP($A269&amp;$B269&amp;$C269,盘货信息!$A:$A&amp;盘货信息!$B:$B&amp;盘货信息!$C:$C,盘货信息!$K:$K)&lt;1,"",ROUND(_xlfn.XLOOKUP($A269&amp;$B269&amp;$C269,盘货信息!$A:$A&amp;盘货信息!$B:$B&amp;盘货信息!$C:$C,盘货信息!$K:$K),0)&amp;"元预估焕新补贴"))</f>
        <v/>
      </c>
      <c r="L269" s="27" t="str" cm="1">
        <f t="array" ref="L269">IF($C269="","",IF(AND(_xlfn.XLOOKUP($A269&amp;$B269&amp;$C269,盘货信息!$A:$A&amp;盘货信息!$B:$B&amp;盘货信息!$C:$C,盘货信息!$L:$L)="是",_xlfn.XLOOKUP($A269&amp;$B269&amp;$C269,盘货信息!$A:$A&amp;盘货信息!$B:$B&amp;盘货信息!$C:$C,盘货信息!$M:$M)="是",_xlfn.XLOOKUP($A269&amp;$B269&amp;$C269,盘货信息!$A:$A&amp;盘货信息!$B:$B&amp;盘货信息!$C:$C,盘货信息!$K:$K)&gt;0),"【全民可用，不限地址】",IF(AND(OR(_xlfn.XLOOKUP($A269&amp;$B269&amp;$C269,盘货信息!$A:$A&amp;盘货信息!$B:$B&amp;盘货信息!$C:$C,盘货信息!$L:$L)="否",_xlfn.XLOOKUP($A269&amp;$B269&amp;$C269,盘货信息!$A:$A&amp;盘货信息!$B:$B&amp;盘货信息!$C:$C,盘货信息!$L:$L)=""),_xlfn.XLOOKUP($A269&amp;$B269&amp;$C269,盘货信息!$A:$A&amp;盘货信息!$B:$B&amp;盘货信息!$C:$C,盘货信息!$M:$M)="是",_xlfn.XLOOKUP($A269&amp;$B269&amp;$C269,盘货信息!$A:$A&amp;盘货信息!$B:$B&amp;盘货信息!$C:$C,盘货信息!$K:$K)&gt;0),"【详情页领取】","")))</f>
        <v/>
      </c>
      <c r="M269" s="27" t="str" cm="1">
        <f t="array" ref="M269">IF($C269="","",IF(_xlfn.XLOOKUP($A269&amp;$B269&amp;$C269,盘货信息!$A:$A&amp;盘货信息!$B:$B&amp;盘货信息!$C:$C,盘货信息!$F:$F)&lt;1,"",_xlfn.XLOOKUP($A269&amp;$B269&amp;$C269,盘货信息!$A:$A&amp;盘货信息!$B:$B&amp;盘货信息!$C:$C,盘货信息!$F:$F)&amp;"元明卷"))</f>
        <v/>
      </c>
      <c r="N269" s="27" t="str">
        <f t="shared" si="9"/>
        <v/>
      </c>
      <c r="O269" s="27" t="str">
        <f>IF(I269="","","【消费券链接】"&amp;固定信息!$B$6)</f>
        <v/>
      </c>
    </row>
    <row r="270" customHeight="1" spans="1:15">
      <c r="A270" s="23" t="str">
        <f>IF(盘货信息!A270="","",盘货信息!A270)</f>
        <v/>
      </c>
      <c r="B270" s="26" t="str">
        <f>IF(盘货信息!B270="","",盘货信息!B270)</f>
        <v/>
      </c>
      <c r="C270" s="23" t="str">
        <f>IF(盘货信息!C270="","",盘货信息!C270)</f>
        <v/>
      </c>
      <c r="D270" s="27" t="str">
        <f t="shared" si="8"/>
        <v/>
      </c>
      <c r="E270" s="27" t="str" cm="1">
        <f t="array" ref="E270">IF($C270="","",IF(AND(OR(_xlfn.XLOOKUP($A270&amp;$B270&amp;$C270,盘货信息!$A:$A&amp;盘货信息!$B:$B&amp;盘货信息!$C:$C,盘货信息!$L:$L)="否",_xlfn.XLOOKUP($A270&amp;$B270&amp;$C270,盘货信息!$A:$A&amp;盘货信息!$B:$B&amp;盘货信息!$C:$C,盘货信息!$L:$L)=""),_xlfn.XLOOKUP($A270&amp;$B270&amp;$C270,盘货信息!$A:$A&amp;盘货信息!$B:$B&amp;盘货信息!$C:$C,盘货信息!$M:$M)="否"),"【预估到手价"&amp;_xlfn.XLOOKUP($A270&amp;$B270&amp;$C270,盘货信息!$A:$A&amp;盘货信息!$B:$B&amp;盘货信息!$C:$C,盘货信息!$D:$D)&amp;"元】",IF(AND(_xlfn.XLOOKUP($A270&amp;$B270&amp;$C270,盘货信息!$A:$A&amp;盘货信息!$B:$B&amp;盘货信息!$C:$C,盘货信息!$M:$M)="是",OR(_xlfn.XLOOKUP($A270&amp;$B270&amp;$C270,盘货信息!$A:$A&amp;盘货信息!$B:$B&amp;盘货信息!$C:$C,盘货信息!$L:$L)="否",_xlfn.XLOOKUP($A270&amp;$B270&amp;$C270,盘货信息!$A:$A&amp;盘货信息!$B:$B&amp;盘货信息!$C:$C,盘货信息!$L:$L)="")),"【预估到手价"&amp;_xlfn.XLOOKUP($A270&amp;$B270&amp;$C270,盘货信息!$A:$A&amp;盘货信息!$B:$B&amp;盘货信息!$C:$C,盘货信息!$D:$D)&amp;"元】"&amp;CHAR(10)&amp;"【焕新补贴预估价"&amp;ROUND(_xlfn.XLOOKUP($A270&amp;$B270&amp;$C270,盘货信息!$A:$A&amp;盘货信息!$B:$B&amp;盘货信息!$C:$C,盘货信息!$E:$E),0)&amp;"元】","【焕新补贴预估价"&amp;ROUND(_xlfn.XLOOKUP($A270&amp;$B270&amp;$C270,盘货信息!$A:$A&amp;盘货信息!$B:$B&amp;盘货信息!$C:$C,盘货信息!$E:$E),0)&amp;"元】")))</f>
        <v/>
      </c>
      <c r="F270" s="27" t="str" cm="1">
        <f t="array" ref="F270">IF($C270="","",_xlfn.XLOOKUP($A270&amp;$B270&amp;$C270,盘货信息!$A:$A&amp;盘货信息!$B:$B&amp;盘货信息!$C:$C,盘货信息!$D:$D)&amp;"元到手价")</f>
        <v/>
      </c>
      <c r="G270" s="27" t="str" cm="1">
        <f t="array" ref="G270">IF($C270="","",IF(_xlfn.XLOOKUP($A270&amp;$B270&amp;$C270,盘货信息!$A:$A&amp;盘货信息!$B:$B&amp;盘货信息!$C:$C,盘货信息!$G:$G)&lt;1,"",ROUND(_xlfn.XLOOKUP($A270&amp;$B270&amp;$C270,盘货信息!$A:$A&amp;盘货信息!$B:$B&amp;盘货信息!$C:$C,盘货信息!$G:$G),0)&amp;"元88VIP立减"))</f>
        <v/>
      </c>
      <c r="H270" s="27" t="str" cm="1">
        <f t="array" ref="H270">IF($C270="","",IF(_xlfn.XLOOKUP($A270&amp;$B270&amp;$C270,盘货信息!$A:$A&amp;盘货信息!$B:$B&amp;盘货信息!$C:$C,盘货信息!$I:$I)&lt;1,"",_xlfn.XLOOKUP($A270&amp;$B270&amp;$C270,盘货信息!$A:$A&amp;盘货信息!$B:$B&amp;盘货信息!$C:$C,盘货信息!$I:$I)&amp;"元惊喜立减"))</f>
        <v/>
      </c>
      <c r="I270" s="27" t="str" cm="1">
        <f t="array" ref="I270">IF($C270="","",IF(_xlfn.XLOOKUP($A270&amp;$B270&amp;$C270,盘货信息!$A:$A&amp;盘货信息!$B:$B&amp;盘货信息!$C:$C,盘货信息!$H:$H)&lt;1,"",ROUND(_xlfn.XLOOKUP($A270&amp;$B270&amp;$C270,盘货信息!$A:$A&amp;盘货信息!$B:$B&amp;盘货信息!$C:$C,盘货信息!$H:$H),0)&amp;"元消费券"))</f>
        <v/>
      </c>
      <c r="J270" s="27" t="str" cm="1">
        <f t="array" ref="J270">IF($C270="","",IF(_xlfn.XLOOKUP($A270&amp;$B270&amp;$C270,盘货信息!$A:$A&amp;盘货信息!$B:$B&amp;盘货信息!$C:$C,盘货信息!$J:$J)&lt;1,"",ROUND(_xlfn.XLOOKUP($A270&amp;$B270&amp;$C270,盘货信息!$A:$A&amp;盘货信息!$B:$B&amp;盘货信息!$C:$C,盘货信息!$J:$J),0)&amp;"元限时补贴"))</f>
        <v/>
      </c>
      <c r="K270" s="27" t="str" cm="1">
        <f t="array" ref="K270">IF($C270="","",IF(_xlfn.XLOOKUP($A270&amp;$B270&amp;$C270,盘货信息!$A:$A&amp;盘货信息!$B:$B&amp;盘货信息!$C:$C,盘货信息!$K:$K)&lt;1,"",ROUND(_xlfn.XLOOKUP($A270&amp;$B270&amp;$C270,盘货信息!$A:$A&amp;盘货信息!$B:$B&amp;盘货信息!$C:$C,盘货信息!$K:$K),0)&amp;"元预估焕新补贴"))</f>
        <v/>
      </c>
      <c r="L270" s="27" t="str" cm="1">
        <f t="array" ref="L270">IF($C270="","",IF(AND(_xlfn.XLOOKUP($A270&amp;$B270&amp;$C270,盘货信息!$A:$A&amp;盘货信息!$B:$B&amp;盘货信息!$C:$C,盘货信息!$L:$L)="是",_xlfn.XLOOKUP($A270&amp;$B270&amp;$C270,盘货信息!$A:$A&amp;盘货信息!$B:$B&amp;盘货信息!$C:$C,盘货信息!$M:$M)="是",_xlfn.XLOOKUP($A270&amp;$B270&amp;$C270,盘货信息!$A:$A&amp;盘货信息!$B:$B&amp;盘货信息!$C:$C,盘货信息!$K:$K)&gt;0),"【全民可用，不限地址】",IF(AND(OR(_xlfn.XLOOKUP($A270&amp;$B270&amp;$C270,盘货信息!$A:$A&amp;盘货信息!$B:$B&amp;盘货信息!$C:$C,盘货信息!$L:$L)="否",_xlfn.XLOOKUP($A270&amp;$B270&amp;$C270,盘货信息!$A:$A&amp;盘货信息!$B:$B&amp;盘货信息!$C:$C,盘货信息!$L:$L)=""),_xlfn.XLOOKUP($A270&amp;$B270&amp;$C270,盘货信息!$A:$A&amp;盘货信息!$B:$B&amp;盘货信息!$C:$C,盘货信息!$M:$M)="是",_xlfn.XLOOKUP($A270&amp;$B270&amp;$C270,盘货信息!$A:$A&amp;盘货信息!$B:$B&amp;盘货信息!$C:$C,盘货信息!$K:$K)&gt;0),"【详情页领取】","")))</f>
        <v/>
      </c>
      <c r="M270" s="27" t="str" cm="1">
        <f t="array" ref="M270">IF($C270="","",IF(_xlfn.XLOOKUP($A270&amp;$B270&amp;$C270,盘货信息!$A:$A&amp;盘货信息!$B:$B&amp;盘货信息!$C:$C,盘货信息!$F:$F)&lt;1,"",_xlfn.XLOOKUP($A270&amp;$B270&amp;$C270,盘货信息!$A:$A&amp;盘货信息!$B:$B&amp;盘货信息!$C:$C,盘货信息!$F:$F)&amp;"元明卷"))</f>
        <v/>
      </c>
      <c r="N270" s="27" t="str">
        <f t="shared" si="9"/>
        <v/>
      </c>
      <c r="O270" s="27" t="str">
        <f>IF(I270="","","【消费券链接】"&amp;固定信息!$B$6)</f>
        <v/>
      </c>
    </row>
    <row r="271" customHeight="1" spans="1:15">
      <c r="A271" s="23" t="str">
        <f>IF(盘货信息!A271="","",盘货信息!A271)</f>
        <v/>
      </c>
      <c r="B271" s="26" t="str">
        <f>IF(盘货信息!B271="","",盘货信息!B271)</f>
        <v/>
      </c>
      <c r="C271" s="23" t="str">
        <f>IF(盘货信息!C271="","",盘货信息!C271)</f>
        <v/>
      </c>
      <c r="D271" s="27" t="str">
        <f t="shared" si="8"/>
        <v/>
      </c>
      <c r="E271" s="27" t="str" cm="1">
        <f t="array" ref="E271">IF($C271="","",IF(AND(OR(_xlfn.XLOOKUP($A271&amp;$B271&amp;$C271,盘货信息!$A:$A&amp;盘货信息!$B:$B&amp;盘货信息!$C:$C,盘货信息!$L:$L)="否",_xlfn.XLOOKUP($A271&amp;$B271&amp;$C271,盘货信息!$A:$A&amp;盘货信息!$B:$B&amp;盘货信息!$C:$C,盘货信息!$L:$L)=""),_xlfn.XLOOKUP($A271&amp;$B271&amp;$C271,盘货信息!$A:$A&amp;盘货信息!$B:$B&amp;盘货信息!$C:$C,盘货信息!$M:$M)="否"),"【预估到手价"&amp;_xlfn.XLOOKUP($A271&amp;$B271&amp;$C271,盘货信息!$A:$A&amp;盘货信息!$B:$B&amp;盘货信息!$C:$C,盘货信息!$D:$D)&amp;"元】",IF(AND(_xlfn.XLOOKUP($A271&amp;$B271&amp;$C271,盘货信息!$A:$A&amp;盘货信息!$B:$B&amp;盘货信息!$C:$C,盘货信息!$M:$M)="是",OR(_xlfn.XLOOKUP($A271&amp;$B271&amp;$C271,盘货信息!$A:$A&amp;盘货信息!$B:$B&amp;盘货信息!$C:$C,盘货信息!$L:$L)="否",_xlfn.XLOOKUP($A271&amp;$B271&amp;$C271,盘货信息!$A:$A&amp;盘货信息!$B:$B&amp;盘货信息!$C:$C,盘货信息!$L:$L)="")),"【预估到手价"&amp;_xlfn.XLOOKUP($A271&amp;$B271&amp;$C271,盘货信息!$A:$A&amp;盘货信息!$B:$B&amp;盘货信息!$C:$C,盘货信息!$D:$D)&amp;"元】"&amp;CHAR(10)&amp;"【焕新补贴预估价"&amp;ROUND(_xlfn.XLOOKUP($A271&amp;$B271&amp;$C271,盘货信息!$A:$A&amp;盘货信息!$B:$B&amp;盘货信息!$C:$C,盘货信息!$E:$E),0)&amp;"元】","【焕新补贴预估价"&amp;ROUND(_xlfn.XLOOKUP($A271&amp;$B271&amp;$C271,盘货信息!$A:$A&amp;盘货信息!$B:$B&amp;盘货信息!$C:$C,盘货信息!$E:$E),0)&amp;"元】")))</f>
        <v/>
      </c>
      <c r="F271" s="27" t="str" cm="1">
        <f t="array" ref="F271">IF($C271="","",_xlfn.XLOOKUP($A271&amp;$B271&amp;$C271,盘货信息!$A:$A&amp;盘货信息!$B:$B&amp;盘货信息!$C:$C,盘货信息!$D:$D)&amp;"元到手价")</f>
        <v/>
      </c>
      <c r="G271" s="27" t="str" cm="1">
        <f t="array" ref="G271">IF($C271="","",IF(_xlfn.XLOOKUP($A271&amp;$B271&amp;$C271,盘货信息!$A:$A&amp;盘货信息!$B:$B&amp;盘货信息!$C:$C,盘货信息!$G:$G)&lt;1,"",ROUND(_xlfn.XLOOKUP($A271&amp;$B271&amp;$C271,盘货信息!$A:$A&amp;盘货信息!$B:$B&amp;盘货信息!$C:$C,盘货信息!$G:$G),0)&amp;"元88VIP立减"))</f>
        <v/>
      </c>
      <c r="H271" s="27" t="str" cm="1">
        <f t="array" ref="H271">IF($C271="","",IF(_xlfn.XLOOKUP($A271&amp;$B271&amp;$C271,盘货信息!$A:$A&amp;盘货信息!$B:$B&amp;盘货信息!$C:$C,盘货信息!$I:$I)&lt;1,"",_xlfn.XLOOKUP($A271&amp;$B271&amp;$C271,盘货信息!$A:$A&amp;盘货信息!$B:$B&amp;盘货信息!$C:$C,盘货信息!$I:$I)&amp;"元惊喜立减"))</f>
        <v/>
      </c>
      <c r="I271" s="27" t="str" cm="1">
        <f t="array" ref="I271">IF($C271="","",IF(_xlfn.XLOOKUP($A271&amp;$B271&amp;$C271,盘货信息!$A:$A&amp;盘货信息!$B:$B&amp;盘货信息!$C:$C,盘货信息!$H:$H)&lt;1,"",ROUND(_xlfn.XLOOKUP($A271&amp;$B271&amp;$C271,盘货信息!$A:$A&amp;盘货信息!$B:$B&amp;盘货信息!$C:$C,盘货信息!$H:$H),0)&amp;"元消费券"))</f>
        <v/>
      </c>
      <c r="J271" s="27" t="str" cm="1">
        <f t="array" ref="J271">IF($C271="","",IF(_xlfn.XLOOKUP($A271&amp;$B271&amp;$C271,盘货信息!$A:$A&amp;盘货信息!$B:$B&amp;盘货信息!$C:$C,盘货信息!$J:$J)&lt;1,"",ROUND(_xlfn.XLOOKUP($A271&amp;$B271&amp;$C271,盘货信息!$A:$A&amp;盘货信息!$B:$B&amp;盘货信息!$C:$C,盘货信息!$J:$J),0)&amp;"元限时补贴"))</f>
        <v/>
      </c>
      <c r="K271" s="27" t="str" cm="1">
        <f t="array" ref="K271">IF($C271="","",IF(_xlfn.XLOOKUP($A271&amp;$B271&amp;$C271,盘货信息!$A:$A&amp;盘货信息!$B:$B&amp;盘货信息!$C:$C,盘货信息!$K:$K)&lt;1,"",ROUND(_xlfn.XLOOKUP($A271&amp;$B271&amp;$C271,盘货信息!$A:$A&amp;盘货信息!$B:$B&amp;盘货信息!$C:$C,盘货信息!$K:$K),0)&amp;"元预估焕新补贴"))</f>
        <v/>
      </c>
      <c r="L271" s="27" t="str" cm="1">
        <f t="array" ref="L271">IF($C271="","",IF(AND(_xlfn.XLOOKUP($A271&amp;$B271&amp;$C271,盘货信息!$A:$A&amp;盘货信息!$B:$B&amp;盘货信息!$C:$C,盘货信息!$L:$L)="是",_xlfn.XLOOKUP($A271&amp;$B271&amp;$C271,盘货信息!$A:$A&amp;盘货信息!$B:$B&amp;盘货信息!$C:$C,盘货信息!$M:$M)="是",_xlfn.XLOOKUP($A271&amp;$B271&amp;$C271,盘货信息!$A:$A&amp;盘货信息!$B:$B&amp;盘货信息!$C:$C,盘货信息!$K:$K)&gt;0),"【全民可用，不限地址】",IF(AND(OR(_xlfn.XLOOKUP($A271&amp;$B271&amp;$C271,盘货信息!$A:$A&amp;盘货信息!$B:$B&amp;盘货信息!$C:$C,盘货信息!$L:$L)="否",_xlfn.XLOOKUP($A271&amp;$B271&amp;$C271,盘货信息!$A:$A&amp;盘货信息!$B:$B&amp;盘货信息!$C:$C,盘货信息!$L:$L)=""),_xlfn.XLOOKUP($A271&amp;$B271&amp;$C271,盘货信息!$A:$A&amp;盘货信息!$B:$B&amp;盘货信息!$C:$C,盘货信息!$M:$M)="是",_xlfn.XLOOKUP($A271&amp;$B271&amp;$C271,盘货信息!$A:$A&amp;盘货信息!$B:$B&amp;盘货信息!$C:$C,盘货信息!$K:$K)&gt;0),"【详情页领取】","")))</f>
        <v/>
      </c>
      <c r="M271" s="27" t="str" cm="1">
        <f t="array" ref="M271">IF($C271="","",IF(_xlfn.XLOOKUP($A271&amp;$B271&amp;$C271,盘货信息!$A:$A&amp;盘货信息!$B:$B&amp;盘货信息!$C:$C,盘货信息!$F:$F)&lt;1,"",_xlfn.XLOOKUP($A271&amp;$B271&amp;$C271,盘货信息!$A:$A&amp;盘货信息!$B:$B&amp;盘货信息!$C:$C,盘货信息!$F:$F)&amp;"元明卷"))</f>
        <v/>
      </c>
      <c r="N271" s="27" t="str">
        <f t="shared" si="9"/>
        <v/>
      </c>
      <c r="O271" s="27" t="str">
        <f>IF(I271="","","【消费券链接】"&amp;固定信息!$B$6)</f>
        <v/>
      </c>
    </row>
    <row r="272" customHeight="1" spans="1:15">
      <c r="A272" s="23" t="str">
        <f>IF(盘货信息!A272="","",盘货信息!A272)</f>
        <v/>
      </c>
      <c r="B272" s="26" t="str">
        <f>IF(盘货信息!B272="","",盘货信息!B272)</f>
        <v/>
      </c>
      <c r="C272" s="23" t="str">
        <f>IF(盘货信息!C272="","",盘货信息!C272)</f>
        <v/>
      </c>
      <c r="D272" s="27" t="str">
        <f t="shared" si="8"/>
        <v/>
      </c>
      <c r="E272" s="27" t="str" cm="1">
        <f t="array" ref="E272">IF($C272="","",IF(AND(OR(_xlfn.XLOOKUP($A272&amp;$B272&amp;$C272,盘货信息!$A:$A&amp;盘货信息!$B:$B&amp;盘货信息!$C:$C,盘货信息!$L:$L)="否",_xlfn.XLOOKUP($A272&amp;$B272&amp;$C272,盘货信息!$A:$A&amp;盘货信息!$B:$B&amp;盘货信息!$C:$C,盘货信息!$L:$L)=""),_xlfn.XLOOKUP($A272&amp;$B272&amp;$C272,盘货信息!$A:$A&amp;盘货信息!$B:$B&amp;盘货信息!$C:$C,盘货信息!$M:$M)="否"),"【预估到手价"&amp;_xlfn.XLOOKUP($A272&amp;$B272&amp;$C272,盘货信息!$A:$A&amp;盘货信息!$B:$B&amp;盘货信息!$C:$C,盘货信息!$D:$D)&amp;"元】",IF(AND(_xlfn.XLOOKUP($A272&amp;$B272&amp;$C272,盘货信息!$A:$A&amp;盘货信息!$B:$B&amp;盘货信息!$C:$C,盘货信息!$M:$M)="是",OR(_xlfn.XLOOKUP($A272&amp;$B272&amp;$C272,盘货信息!$A:$A&amp;盘货信息!$B:$B&amp;盘货信息!$C:$C,盘货信息!$L:$L)="否",_xlfn.XLOOKUP($A272&amp;$B272&amp;$C272,盘货信息!$A:$A&amp;盘货信息!$B:$B&amp;盘货信息!$C:$C,盘货信息!$L:$L)="")),"【预估到手价"&amp;_xlfn.XLOOKUP($A272&amp;$B272&amp;$C272,盘货信息!$A:$A&amp;盘货信息!$B:$B&amp;盘货信息!$C:$C,盘货信息!$D:$D)&amp;"元】"&amp;CHAR(10)&amp;"【焕新补贴预估价"&amp;ROUND(_xlfn.XLOOKUP($A272&amp;$B272&amp;$C272,盘货信息!$A:$A&amp;盘货信息!$B:$B&amp;盘货信息!$C:$C,盘货信息!$E:$E),0)&amp;"元】","【焕新补贴预估价"&amp;ROUND(_xlfn.XLOOKUP($A272&amp;$B272&amp;$C272,盘货信息!$A:$A&amp;盘货信息!$B:$B&amp;盘货信息!$C:$C,盘货信息!$E:$E),0)&amp;"元】")))</f>
        <v/>
      </c>
      <c r="F272" s="27" t="str" cm="1">
        <f t="array" ref="F272">IF($C272="","",_xlfn.XLOOKUP($A272&amp;$B272&amp;$C272,盘货信息!$A:$A&amp;盘货信息!$B:$B&amp;盘货信息!$C:$C,盘货信息!$D:$D)&amp;"元到手价")</f>
        <v/>
      </c>
      <c r="G272" s="27" t="str" cm="1">
        <f t="array" ref="G272">IF($C272="","",IF(_xlfn.XLOOKUP($A272&amp;$B272&amp;$C272,盘货信息!$A:$A&amp;盘货信息!$B:$B&amp;盘货信息!$C:$C,盘货信息!$G:$G)&lt;1,"",ROUND(_xlfn.XLOOKUP($A272&amp;$B272&amp;$C272,盘货信息!$A:$A&amp;盘货信息!$B:$B&amp;盘货信息!$C:$C,盘货信息!$G:$G),0)&amp;"元88VIP立减"))</f>
        <v/>
      </c>
      <c r="H272" s="27" t="str" cm="1">
        <f t="array" ref="H272">IF($C272="","",IF(_xlfn.XLOOKUP($A272&amp;$B272&amp;$C272,盘货信息!$A:$A&amp;盘货信息!$B:$B&amp;盘货信息!$C:$C,盘货信息!$I:$I)&lt;1,"",_xlfn.XLOOKUP($A272&amp;$B272&amp;$C272,盘货信息!$A:$A&amp;盘货信息!$B:$B&amp;盘货信息!$C:$C,盘货信息!$I:$I)&amp;"元惊喜立减"))</f>
        <v/>
      </c>
      <c r="I272" s="27" t="str" cm="1">
        <f t="array" ref="I272">IF($C272="","",IF(_xlfn.XLOOKUP($A272&amp;$B272&amp;$C272,盘货信息!$A:$A&amp;盘货信息!$B:$B&amp;盘货信息!$C:$C,盘货信息!$H:$H)&lt;1,"",ROUND(_xlfn.XLOOKUP($A272&amp;$B272&amp;$C272,盘货信息!$A:$A&amp;盘货信息!$B:$B&amp;盘货信息!$C:$C,盘货信息!$H:$H),0)&amp;"元消费券"))</f>
        <v/>
      </c>
      <c r="J272" s="27" t="str" cm="1">
        <f t="array" ref="J272">IF($C272="","",IF(_xlfn.XLOOKUP($A272&amp;$B272&amp;$C272,盘货信息!$A:$A&amp;盘货信息!$B:$B&amp;盘货信息!$C:$C,盘货信息!$J:$J)&lt;1,"",ROUND(_xlfn.XLOOKUP($A272&amp;$B272&amp;$C272,盘货信息!$A:$A&amp;盘货信息!$B:$B&amp;盘货信息!$C:$C,盘货信息!$J:$J),0)&amp;"元限时补贴"))</f>
        <v/>
      </c>
      <c r="K272" s="27" t="str" cm="1">
        <f t="array" ref="K272">IF($C272="","",IF(_xlfn.XLOOKUP($A272&amp;$B272&amp;$C272,盘货信息!$A:$A&amp;盘货信息!$B:$B&amp;盘货信息!$C:$C,盘货信息!$K:$K)&lt;1,"",ROUND(_xlfn.XLOOKUP($A272&amp;$B272&amp;$C272,盘货信息!$A:$A&amp;盘货信息!$B:$B&amp;盘货信息!$C:$C,盘货信息!$K:$K),0)&amp;"元预估焕新补贴"))</f>
        <v/>
      </c>
      <c r="L272" s="27" t="str" cm="1">
        <f t="array" ref="L272">IF($C272="","",IF(AND(_xlfn.XLOOKUP($A272&amp;$B272&amp;$C272,盘货信息!$A:$A&amp;盘货信息!$B:$B&amp;盘货信息!$C:$C,盘货信息!$L:$L)="是",_xlfn.XLOOKUP($A272&amp;$B272&amp;$C272,盘货信息!$A:$A&amp;盘货信息!$B:$B&amp;盘货信息!$C:$C,盘货信息!$M:$M)="是",_xlfn.XLOOKUP($A272&amp;$B272&amp;$C272,盘货信息!$A:$A&amp;盘货信息!$B:$B&amp;盘货信息!$C:$C,盘货信息!$K:$K)&gt;0),"【全民可用，不限地址】",IF(AND(OR(_xlfn.XLOOKUP($A272&amp;$B272&amp;$C272,盘货信息!$A:$A&amp;盘货信息!$B:$B&amp;盘货信息!$C:$C,盘货信息!$L:$L)="否",_xlfn.XLOOKUP($A272&amp;$B272&amp;$C272,盘货信息!$A:$A&amp;盘货信息!$B:$B&amp;盘货信息!$C:$C,盘货信息!$L:$L)=""),_xlfn.XLOOKUP($A272&amp;$B272&amp;$C272,盘货信息!$A:$A&amp;盘货信息!$B:$B&amp;盘货信息!$C:$C,盘货信息!$M:$M)="是",_xlfn.XLOOKUP($A272&amp;$B272&amp;$C272,盘货信息!$A:$A&amp;盘货信息!$B:$B&amp;盘货信息!$C:$C,盘货信息!$K:$K)&gt;0),"【详情页领取】","")))</f>
        <v/>
      </c>
      <c r="M272" s="27" t="str" cm="1">
        <f t="array" ref="M272">IF($C272="","",IF(_xlfn.XLOOKUP($A272&amp;$B272&amp;$C272,盘货信息!$A:$A&amp;盘货信息!$B:$B&amp;盘货信息!$C:$C,盘货信息!$F:$F)&lt;1,"",_xlfn.XLOOKUP($A272&amp;$B272&amp;$C272,盘货信息!$A:$A&amp;盘货信息!$B:$B&amp;盘货信息!$C:$C,盘货信息!$F:$F)&amp;"元明卷"))</f>
        <v/>
      </c>
      <c r="N272" s="27" t="str">
        <f t="shared" si="9"/>
        <v/>
      </c>
      <c r="O272" s="27" t="str">
        <f>IF(I272="","","【消费券链接】"&amp;固定信息!$B$6)</f>
        <v/>
      </c>
    </row>
    <row r="273" customHeight="1" spans="1:15">
      <c r="A273" s="23" t="str">
        <f>IF(盘货信息!A273="","",盘货信息!A273)</f>
        <v/>
      </c>
      <c r="B273" s="26" t="str">
        <f>IF(盘货信息!B273="","",盘货信息!B273)</f>
        <v/>
      </c>
      <c r="C273" s="23" t="str">
        <f>IF(盘货信息!C273="","",盘货信息!C273)</f>
        <v/>
      </c>
      <c r="D273" s="27" t="str">
        <f t="shared" si="8"/>
        <v/>
      </c>
      <c r="E273" s="27" t="str" cm="1">
        <f t="array" ref="E273">IF($C273="","",IF(AND(OR(_xlfn.XLOOKUP($A273&amp;$B273&amp;$C273,盘货信息!$A:$A&amp;盘货信息!$B:$B&amp;盘货信息!$C:$C,盘货信息!$L:$L)="否",_xlfn.XLOOKUP($A273&amp;$B273&amp;$C273,盘货信息!$A:$A&amp;盘货信息!$B:$B&amp;盘货信息!$C:$C,盘货信息!$L:$L)=""),_xlfn.XLOOKUP($A273&amp;$B273&amp;$C273,盘货信息!$A:$A&amp;盘货信息!$B:$B&amp;盘货信息!$C:$C,盘货信息!$M:$M)="否"),"【预估到手价"&amp;_xlfn.XLOOKUP($A273&amp;$B273&amp;$C273,盘货信息!$A:$A&amp;盘货信息!$B:$B&amp;盘货信息!$C:$C,盘货信息!$D:$D)&amp;"元】",IF(AND(_xlfn.XLOOKUP($A273&amp;$B273&amp;$C273,盘货信息!$A:$A&amp;盘货信息!$B:$B&amp;盘货信息!$C:$C,盘货信息!$M:$M)="是",OR(_xlfn.XLOOKUP($A273&amp;$B273&amp;$C273,盘货信息!$A:$A&amp;盘货信息!$B:$B&amp;盘货信息!$C:$C,盘货信息!$L:$L)="否",_xlfn.XLOOKUP($A273&amp;$B273&amp;$C273,盘货信息!$A:$A&amp;盘货信息!$B:$B&amp;盘货信息!$C:$C,盘货信息!$L:$L)="")),"【预估到手价"&amp;_xlfn.XLOOKUP($A273&amp;$B273&amp;$C273,盘货信息!$A:$A&amp;盘货信息!$B:$B&amp;盘货信息!$C:$C,盘货信息!$D:$D)&amp;"元】"&amp;CHAR(10)&amp;"【焕新补贴预估价"&amp;ROUND(_xlfn.XLOOKUP($A273&amp;$B273&amp;$C273,盘货信息!$A:$A&amp;盘货信息!$B:$B&amp;盘货信息!$C:$C,盘货信息!$E:$E),0)&amp;"元】","【焕新补贴预估价"&amp;ROUND(_xlfn.XLOOKUP($A273&amp;$B273&amp;$C273,盘货信息!$A:$A&amp;盘货信息!$B:$B&amp;盘货信息!$C:$C,盘货信息!$E:$E),0)&amp;"元】")))</f>
        <v/>
      </c>
      <c r="F273" s="27" t="str" cm="1">
        <f t="array" ref="F273">IF($C273="","",_xlfn.XLOOKUP($A273&amp;$B273&amp;$C273,盘货信息!$A:$A&amp;盘货信息!$B:$B&amp;盘货信息!$C:$C,盘货信息!$D:$D)&amp;"元到手价")</f>
        <v/>
      </c>
      <c r="G273" s="27" t="str" cm="1">
        <f t="array" ref="G273">IF($C273="","",IF(_xlfn.XLOOKUP($A273&amp;$B273&amp;$C273,盘货信息!$A:$A&amp;盘货信息!$B:$B&amp;盘货信息!$C:$C,盘货信息!$G:$G)&lt;1,"",ROUND(_xlfn.XLOOKUP($A273&amp;$B273&amp;$C273,盘货信息!$A:$A&amp;盘货信息!$B:$B&amp;盘货信息!$C:$C,盘货信息!$G:$G),0)&amp;"元88VIP立减"))</f>
        <v/>
      </c>
      <c r="H273" s="27" t="str" cm="1">
        <f t="array" ref="H273">IF($C273="","",IF(_xlfn.XLOOKUP($A273&amp;$B273&amp;$C273,盘货信息!$A:$A&amp;盘货信息!$B:$B&amp;盘货信息!$C:$C,盘货信息!$I:$I)&lt;1,"",_xlfn.XLOOKUP($A273&amp;$B273&amp;$C273,盘货信息!$A:$A&amp;盘货信息!$B:$B&amp;盘货信息!$C:$C,盘货信息!$I:$I)&amp;"元惊喜立减"))</f>
        <v/>
      </c>
      <c r="I273" s="27" t="str" cm="1">
        <f t="array" ref="I273">IF($C273="","",IF(_xlfn.XLOOKUP($A273&amp;$B273&amp;$C273,盘货信息!$A:$A&amp;盘货信息!$B:$B&amp;盘货信息!$C:$C,盘货信息!$H:$H)&lt;1,"",ROUND(_xlfn.XLOOKUP($A273&amp;$B273&amp;$C273,盘货信息!$A:$A&amp;盘货信息!$B:$B&amp;盘货信息!$C:$C,盘货信息!$H:$H),0)&amp;"元消费券"))</f>
        <v/>
      </c>
      <c r="J273" s="27" t="str" cm="1">
        <f t="array" ref="J273">IF($C273="","",IF(_xlfn.XLOOKUP($A273&amp;$B273&amp;$C273,盘货信息!$A:$A&amp;盘货信息!$B:$B&amp;盘货信息!$C:$C,盘货信息!$J:$J)&lt;1,"",ROUND(_xlfn.XLOOKUP($A273&amp;$B273&amp;$C273,盘货信息!$A:$A&amp;盘货信息!$B:$B&amp;盘货信息!$C:$C,盘货信息!$J:$J),0)&amp;"元限时补贴"))</f>
        <v/>
      </c>
      <c r="K273" s="27" t="str" cm="1">
        <f t="array" ref="K273">IF($C273="","",IF(_xlfn.XLOOKUP($A273&amp;$B273&amp;$C273,盘货信息!$A:$A&amp;盘货信息!$B:$B&amp;盘货信息!$C:$C,盘货信息!$K:$K)&lt;1,"",ROUND(_xlfn.XLOOKUP($A273&amp;$B273&amp;$C273,盘货信息!$A:$A&amp;盘货信息!$B:$B&amp;盘货信息!$C:$C,盘货信息!$K:$K),0)&amp;"元预估焕新补贴"))</f>
        <v/>
      </c>
      <c r="L273" s="27" t="str" cm="1">
        <f t="array" ref="L273">IF($C273="","",IF(AND(_xlfn.XLOOKUP($A273&amp;$B273&amp;$C273,盘货信息!$A:$A&amp;盘货信息!$B:$B&amp;盘货信息!$C:$C,盘货信息!$L:$L)="是",_xlfn.XLOOKUP($A273&amp;$B273&amp;$C273,盘货信息!$A:$A&amp;盘货信息!$B:$B&amp;盘货信息!$C:$C,盘货信息!$M:$M)="是",_xlfn.XLOOKUP($A273&amp;$B273&amp;$C273,盘货信息!$A:$A&amp;盘货信息!$B:$B&amp;盘货信息!$C:$C,盘货信息!$K:$K)&gt;0),"【全民可用，不限地址】",IF(AND(OR(_xlfn.XLOOKUP($A273&amp;$B273&amp;$C273,盘货信息!$A:$A&amp;盘货信息!$B:$B&amp;盘货信息!$C:$C,盘货信息!$L:$L)="否",_xlfn.XLOOKUP($A273&amp;$B273&amp;$C273,盘货信息!$A:$A&amp;盘货信息!$B:$B&amp;盘货信息!$C:$C,盘货信息!$L:$L)=""),_xlfn.XLOOKUP($A273&amp;$B273&amp;$C273,盘货信息!$A:$A&amp;盘货信息!$B:$B&amp;盘货信息!$C:$C,盘货信息!$M:$M)="是",_xlfn.XLOOKUP($A273&amp;$B273&amp;$C273,盘货信息!$A:$A&amp;盘货信息!$B:$B&amp;盘货信息!$C:$C,盘货信息!$K:$K)&gt;0),"【详情页领取】","")))</f>
        <v/>
      </c>
      <c r="M273" s="27" t="str" cm="1">
        <f t="array" ref="M273">IF($C273="","",IF(_xlfn.XLOOKUP($A273&amp;$B273&amp;$C273,盘货信息!$A:$A&amp;盘货信息!$B:$B&amp;盘货信息!$C:$C,盘货信息!$F:$F)&lt;1,"",_xlfn.XLOOKUP($A273&amp;$B273&amp;$C273,盘货信息!$A:$A&amp;盘货信息!$B:$B&amp;盘货信息!$C:$C,盘货信息!$F:$F)&amp;"元明卷"))</f>
        <v/>
      </c>
      <c r="N273" s="27" t="str">
        <f t="shared" si="9"/>
        <v/>
      </c>
      <c r="O273" s="27" t="str">
        <f>IF(I273="","","【消费券链接】"&amp;固定信息!$B$6)</f>
        <v/>
      </c>
    </row>
    <row r="274" customHeight="1" spans="1:15">
      <c r="A274" s="23" t="str">
        <f>IF(盘货信息!A274="","",盘货信息!A274)</f>
        <v/>
      </c>
      <c r="B274" s="26" t="str">
        <f>IF(盘货信息!B274="","",盘货信息!B274)</f>
        <v/>
      </c>
      <c r="C274" s="23" t="str">
        <f>IF(盘货信息!C274="","",盘货信息!C274)</f>
        <v/>
      </c>
      <c r="D274" s="27" t="str">
        <f t="shared" si="8"/>
        <v/>
      </c>
      <c r="E274" s="27" t="str" cm="1">
        <f t="array" ref="E274">IF($C274="","",IF(AND(OR(_xlfn.XLOOKUP($A274&amp;$B274&amp;$C274,盘货信息!$A:$A&amp;盘货信息!$B:$B&amp;盘货信息!$C:$C,盘货信息!$L:$L)="否",_xlfn.XLOOKUP($A274&amp;$B274&amp;$C274,盘货信息!$A:$A&amp;盘货信息!$B:$B&amp;盘货信息!$C:$C,盘货信息!$L:$L)=""),_xlfn.XLOOKUP($A274&amp;$B274&amp;$C274,盘货信息!$A:$A&amp;盘货信息!$B:$B&amp;盘货信息!$C:$C,盘货信息!$M:$M)="否"),"【预估到手价"&amp;_xlfn.XLOOKUP($A274&amp;$B274&amp;$C274,盘货信息!$A:$A&amp;盘货信息!$B:$B&amp;盘货信息!$C:$C,盘货信息!$D:$D)&amp;"元】",IF(AND(_xlfn.XLOOKUP($A274&amp;$B274&amp;$C274,盘货信息!$A:$A&amp;盘货信息!$B:$B&amp;盘货信息!$C:$C,盘货信息!$M:$M)="是",OR(_xlfn.XLOOKUP($A274&amp;$B274&amp;$C274,盘货信息!$A:$A&amp;盘货信息!$B:$B&amp;盘货信息!$C:$C,盘货信息!$L:$L)="否",_xlfn.XLOOKUP($A274&amp;$B274&amp;$C274,盘货信息!$A:$A&amp;盘货信息!$B:$B&amp;盘货信息!$C:$C,盘货信息!$L:$L)="")),"【预估到手价"&amp;_xlfn.XLOOKUP($A274&amp;$B274&amp;$C274,盘货信息!$A:$A&amp;盘货信息!$B:$B&amp;盘货信息!$C:$C,盘货信息!$D:$D)&amp;"元】"&amp;CHAR(10)&amp;"【焕新补贴预估价"&amp;ROUND(_xlfn.XLOOKUP($A274&amp;$B274&amp;$C274,盘货信息!$A:$A&amp;盘货信息!$B:$B&amp;盘货信息!$C:$C,盘货信息!$E:$E),0)&amp;"元】","【焕新补贴预估价"&amp;ROUND(_xlfn.XLOOKUP($A274&amp;$B274&amp;$C274,盘货信息!$A:$A&amp;盘货信息!$B:$B&amp;盘货信息!$C:$C,盘货信息!$E:$E),0)&amp;"元】")))</f>
        <v/>
      </c>
      <c r="F274" s="27" t="str" cm="1">
        <f t="array" ref="F274">IF($C274="","",_xlfn.XLOOKUP($A274&amp;$B274&amp;$C274,盘货信息!$A:$A&amp;盘货信息!$B:$B&amp;盘货信息!$C:$C,盘货信息!$D:$D)&amp;"元到手价")</f>
        <v/>
      </c>
      <c r="G274" s="27" t="str" cm="1">
        <f t="array" ref="G274">IF($C274="","",IF(_xlfn.XLOOKUP($A274&amp;$B274&amp;$C274,盘货信息!$A:$A&amp;盘货信息!$B:$B&amp;盘货信息!$C:$C,盘货信息!$G:$G)&lt;1,"",ROUND(_xlfn.XLOOKUP($A274&amp;$B274&amp;$C274,盘货信息!$A:$A&amp;盘货信息!$B:$B&amp;盘货信息!$C:$C,盘货信息!$G:$G),0)&amp;"元88VIP立减"))</f>
        <v/>
      </c>
      <c r="H274" s="27" t="str" cm="1">
        <f t="array" ref="H274">IF($C274="","",IF(_xlfn.XLOOKUP($A274&amp;$B274&amp;$C274,盘货信息!$A:$A&amp;盘货信息!$B:$B&amp;盘货信息!$C:$C,盘货信息!$I:$I)&lt;1,"",_xlfn.XLOOKUP($A274&amp;$B274&amp;$C274,盘货信息!$A:$A&amp;盘货信息!$B:$B&amp;盘货信息!$C:$C,盘货信息!$I:$I)&amp;"元惊喜立减"))</f>
        <v/>
      </c>
      <c r="I274" s="27" t="str" cm="1">
        <f t="array" ref="I274">IF($C274="","",IF(_xlfn.XLOOKUP($A274&amp;$B274&amp;$C274,盘货信息!$A:$A&amp;盘货信息!$B:$B&amp;盘货信息!$C:$C,盘货信息!$H:$H)&lt;1,"",ROUND(_xlfn.XLOOKUP($A274&amp;$B274&amp;$C274,盘货信息!$A:$A&amp;盘货信息!$B:$B&amp;盘货信息!$C:$C,盘货信息!$H:$H),0)&amp;"元消费券"))</f>
        <v/>
      </c>
      <c r="J274" s="27" t="str" cm="1">
        <f t="array" ref="J274">IF($C274="","",IF(_xlfn.XLOOKUP($A274&amp;$B274&amp;$C274,盘货信息!$A:$A&amp;盘货信息!$B:$B&amp;盘货信息!$C:$C,盘货信息!$J:$J)&lt;1,"",ROUND(_xlfn.XLOOKUP($A274&amp;$B274&amp;$C274,盘货信息!$A:$A&amp;盘货信息!$B:$B&amp;盘货信息!$C:$C,盘货信息!$J:$J),0)&amp;"元限时补贴"))</f>
        <v/>
      </c>
      <c r="K274" s="27" t="str" cm="1">
        <f t="array" ref="K274">IF($C274="","",IF(_xlfn.XLOOKUP($A274&amp;$B274&amp;$C274,盘货信息!$A:$A&amp;盘货信息!$B:$B&amp;盘货信息!$C:$C,盘货信息!$K:$K)&lt;1,"",ROUND(_xlfn.XLOOKUP($A274&amp;$B274&amp;$C274,盘货信息!$A:$A&amp;盘货信息!$B:$B&amp;盘货信息!$C:$C,盘货信息!$K:$K),0)&amp;"元预估焕新补贴"))</f>
        <v/>
      </c>
      <c r="L274" s="27" t="str" cm="1">
        <f t="array" ref="L274">IF($C274="","",IF(AND(_xlfn.XLOOKUP($A274&amp;$B274&amp;$C274,盘货信息!$A:$A&amp;盘货信息!$B:$B&amp;盘货信息!$C:$C,盘货信息!$L:$L)="是",_xlfn.XLOOKUP($A274&amp;$B274&amp;$C274,盘货信息!$A:$A&amp;盘货信息!$B:$B&amp;盘货信息!$C:$C,盘货信息!$M:$M)="是",_xlfn.XLOOKUP($A274&amp;$B274&amp;$C274,盘货信息!$A:$A&amp;盘货信息!$B:$B&amp;盘货信息!$C:$C,盘货信息!$K:$K)&gt;0),"【全民可用，不限地址】",IF(AND(OR(_xlfn.XLOOKUP($A274&amp;$B274&amp;$C274,盘货信息!$A:$A&amp;盘货信息!$B:$B&amp;盘货信息!$C:$C,盘货信息!$L:$L)="否",_xlfn.XLOOKUP($A274&amp;$B274&amp;$C274,盘货信息!$A:$A&amp;盘货信息!$B:$B&amp;盘货信息!$C:$C,盘货信息!$L:$L)=""),_xlfn.XLOOKUP($A274&amp;$B274&amp;$C274,盘货信息!$A:$A&amp;盘货信息!$B:$B&amp;盘货信息!$C:$C,盘货信息!$M:$M)="是",_xlfn.XLOOKUP($A274&amp;$B274&amp;$C274,盘货信息!$A:$A&amp;盘货信息!$B:$B&amp;盘货信息!$C:$C,盘货信息!$K:$K)&gt;0),"【详情页领取】","")))</f>
        <v/>
      </c>
      <c r="M274" s="27" t="str" cm="1">
        <f t="array" ref="M274">IF($C274="","",IF(_xlfn.XLOOKUP($A274&amp;$B274&amp;$C274,盘货信息!$A:$A&amp;盘货信息!$B:$B&amp;盘货信息!$C:$C,盘货信息!$F:$F)&lt;1,"",_xlfn.XLOOKUP($A274&amp;$B274&amp;$C274,盘货信息!$A:$A&amp;盘货信息!$B:$B&amp;盘货信息!$C:$C,盘货信息!$F:$F)&amp;"元明卷"))</f>
        <v/>
      </c>
      <c r="N274" s="27" t="str">
        <f t="shared" si="9"/>
        <v/>
      </c>
      <c r="O274" s="27" t="str">
        <f>IF(I274="","","【消费券链接】"&amp;固定信息!$B$6)</f>
        <v/>
      </c>
    </row>
    <row r="275" customHeight="1" spans="1:15">
      <c r="A275" s="23" t="str">
        <f>IF(盘货信息!A275="","",盘货信息!A275)</f>
        <v/>
      </c>
      <c r="B275" s="26" t="str">
        <f>IF(盘货信息!B275="","",盘货信息!B275)</f>
        <v/>
      </c>
      <c r="C275" s="23" t="str">
        <f>IF(盘货信息!C275="","",盘货信息!C275)</f>
        <v/>
      </c>
      <c r="D275" s="27" t="str">
        <f t="shared" si="8"/>
        <v/>
      </c>
      <c r="E275" s="27" t="str" cm="1">
        <f t="array" ref="E275">IF($C275="","",IF(AND(OR(_xlfn.XLOOKUP($A275&amp;$B275&amp;$C275,盘货信息!$A:$A&amp;盘货信息!$B:$B&amp;盘货信息!$C:$C,盘货信息!$L:$L)="否",_xlfn.XLOOKUP($A275&amp;$B275&amp;$C275,盘货信息!$A:$A&amp;盘货信息!$B:$B&amp;盘货信息!$C:$C,盘货信息!$L:$L)=""),_xlfn.XLOOKUP($A275&amp;$B275&amp;$C275,盘货信息!$A:$A&amp;盘货信息!$B:$B&amp;盘货信息!$C:$C,盘货信息!$M:$M)="否"),"【预估到手价"&amp;_xlfn.XLOOKUP($A275&amp;$B275&amp;$C275,盘货信息!$A:$A&amp;盘货信息!$B:$B&amp;盘货信息!$C:$C,盘货信息!$D:$D)&amp;"元】",IF(AND(_xlfn.XLOOKUP($A275&amp;$B275&amp;$C275,盘货信息!$A:$A&amp;盘货信息!$B:$B&amp;盘货信息!$C:$C,盘货信息!$M:$M)="是",OR(_xlfn.XLOOKUP($A275&amp;$B275&amp;$C275,盘货信息!$A:$A&amp;盘货信息!$B:$B&amp;盘货信息!$C:$C,盘货信息!$L:$L)="否",_xlfn.XLOOKUP($A275&amp;$B275&amp;$C275,盘货信息!$A:$A&amp;盘货信息!$B:$B&amp;盘货信息!$C:$C,盘货信息!$L:$L)="")),"【预估到手价"&amp;_xlfn.XLOOKUP($A275&amp;$B275&amp;$C275,盘货信息!$A:$A&amp;盘货信息!$B:$B&amp;盘货信息!$C:$C,盘货信息!$D:$D)&amp;"元】"&amp;CHAR(10)&amp;"【焕新补贴预估价"&amp;ROUND(_xlfn.XLOOKUP($A275&amp;$B275&amp;$C275,盘货信息!$A:$A&amp;盘货信息!$B:$B&amp;盘货信息!$C:$C,盘货信息!$E:$E),0)&amp;"元】","【焕新补贴预估价"&amp;ROUND(_xlfn.XLOOKUP($A275&amp;$B275&amp;$C275,盘货信息!$A:$A&amp;盘货信息!$B:$B&amp;盘货信息!$C:$C,盘货信息!$E:$E),0)&amp;"元】")))</f>
        <v/>
      </c>
      <c r="F275" s="27" t="str" cm="1">
        <f t="array" ref="F275">IF($C275="","",_xlfn.XLOOKUP($A275&amp;$B275&amp;$C275,盘货信息!$A:$A&amp;盘货信息!$B:$B&amp;盘货信息!$C:$C,盘货信息!$D:$D)&amp;"元到手价")</f>
        <v/>
      </c>
      <c r="G275" s="27" t="str" cm="1">
        <f t="array" ref="G275">IF($C275="","",IF(_xlfn.XLOOKUP($A275&amp;$B275&amp;$C275,盘货信息!$A:$A&amp;盘货信息!$B:$B&amp;盘货信息!$C:$C,盘货信息!$G:$G)&lt;1,"",ROUND(_xlfn.XLOOKUP($A275&amp;$B275&amp;$C275,盘货信息!$A:$A&amp;盘货信息!$B:$B&amp;盘货信息!$C:$C,盘货信息!$G:$G),0)&amp;"元88VIP立减"))</f>
        <v/>
      </c>
      <c r="H275" s="27" t="str" cm="1">
        <f t="array" ref="H275">IF($C275="","",IF(_xlfn.XLOOKUP($A275&amp;$B275&amp;$C275,盘货信息!$A:$A&amp;盘货信息!$B:$B&amp;盘货信息!$C:$C,盘货信息!$I:$I)&lt;1,"",_xlfn.XLOOKUP($A275&amp;$B275&amp;$C275,盘货信息!$A:$A&amp;盘货信息!$B:$B&amp;盘货信息!$C:$C,盘货信息!$I:$I)&amp;"元惊喜立减"))</f>
        <v/>
      </c>
      <c r="I275" s="27" t="str" cm="1">
        <f t="array" ref="I275">IF($C275="","",IF(_xlfn.XLOOKUP($A275&amp;$B275&amp;$C275,盘货信息!$A:$A&amp;盘货信息!$B:$B&amp;盘货信息!$C:$C,盘货信息!$H:$H)&lt;1,"",ROUND(_xlfn.XLOOKUP($A275&amp;$B275&amp;$C275,盘货信息!$A:$A&amp;盘货信息!$B:$B&amp;盘货信息!$C:$C,盘货信息!$H:$H),0)&amp;"元消费券"))</f>
        <v/>
      </c>
      <c r="J275" s="27" t="str" cm="1">
        <f t="array" ref="J275">IF($C275="","",IF(_xlfn.XLOOKUP($A275&amp;$B275&amp;$C275,盘货信息!$A:$A&amp;盘货信息!$B:$B&amp;盘货信息!$C:$C,盘货信息!$J:$J)&lt;1,"",ROUND(_xlfn.XLOOKUP($A275&amp;$B275&amp;$C275,盘货信息!$A:$A&amp;盘货信息!$B:$B&amp;盘货信息!$C:$C,盘货信息!$J:$J),0)&amp;"元限时补贴"))</f>
        <v/>
      </c>
      <c r="K275" s="27" t="str" cm="1">
        <f t="array" ref="K275">IF($C275="","",IF(_xlfn.XLOOKUP($A275&amp;$B275&amp;$C275,盘货信息!$A:$A&amp;盘货信息!$B:$B&amp;盘货信息!$C:$C,盘货信息!$K:$K)&lt;1,"",ROUND(_xlfn.XLOOKUP($A275&amp;$B275&amp;$C275,盘货信息!$A:$A&amp;盘货信息!$B:$B&amp;盘货信息!$C:$C,盘货信息!$K:$K),0)&amp;"元预估焕新补贴"))</f>
        <v/>
      </c>
      <c r="L275" s="27" t="str" cm="1">
        <f t="array" ref="L275">IF($C275="","",IF(AND(_xlfn.XLOOKUP($A275&amp;$B275&amp;$C275,盘货信息!$A:$A&amp;盘货信息!$B:$B&amp;盘货信息!$C:$C,盘货信息!$L:$L)="是",_xlfn.XLOOKUP($A275&amp;$B275&amp;$C275,盘货信息!$A:$A&amp;盘货信息!$B:$B&amp;盘货信息!$C:$C,盘货信息!$M:$M)="是",_xlfn.XLOOKUP($A275&amp;$B275&amp;$C275,盘货信息!$A:$A&amp;盘货信息!$B:$B&amp;盘货信息!$C:$C,盘货信息!$K:$K)&gt;0),"【全民可用，不限地址】",IF(AND(OR(_xlfn.XLOOKUP($A275&amp;$B275&amp;$C275,盘货信息!$A:$A&amp;盘货信息!$B:$B&amp;盘货信息!$C:$C,盘货信息!$L:$L)="否",_xlfn.XLOOKUP($A275&amp;$B275&amp;$C275,盘货信息!$A:$A&amp;盘货信息!$B:$B&amp;盘货信息!$C:$C,盘货信息!$L:$L)=""),_xlfn.XLOOKUP($A275&amp;$B275&amp;$C275,盘货信息!$A:$A&amp;盘货信息!$B:$B&amp;盘货信息!$C:$C,盘货信息!$M:$M)="是",_xlfn.XLOOKUP($A275&amp;$B275&amp;$C275,盘货信息!$A:$A&amp;盘货信息!$B:$B&amp;盘货信息!$C:$C,盘货信息!$K:$K)&gt;0),"【详情页领取】","")))</f>
        <v/>
      </c>
      <c r="M275" s="27" t="str" cm="1">
        <f t="array" ref="M275">IF($C275="","",IF(_xlfn.XLOOKUP($A275&amp;$B275&amp;$C275,盘货信息!$A:$A&amp;盘货信息!$B:$B&amp;盘货信息!$C:$C,盘货信息!$F:$F)&lt;1,"",_xlfn.XLOOKUP($A275&amp;$B275&amp;$C275,盘货信息!$A:$A&amp;盘货信息!$B:$B&amp;盘货信息!$C:$C,盘货信息!$F:$F)&amp;"元明卷"))</f>
        <v/>
      </c>
      <c r="N275" s="27" t="str">
        <f t="shared" si="9"/>
        <v/>
      </c>
      <c r="O275" s="27" t="str">
        <f>IF(I275="","","【消费券链接】"&amp;固定信息!$B$6)</f>
        <v/>
      </c>
    </row>
    <row r="276" customHeight="1" spans="1:15">
      <c r="A276" s="23" t="str">
        <f>IF(盘货信息!A276="","",盘货信息!A276)</f>
        <v/>
      </c>
      <c r="B276" s="26" t="str">
        <f>IF(盘货信息!B276="","",盘货信息!B276)</f>
        <v/>
      </c>
      <c r="C276" s="23" t="str">
        <f>IF(盘货信息!C276="","",盘货信息!C276)</f>
        <v/>
      </c>
      <c r="D276" s="27" t="str">
        <f t="shared" si="8"/>
        <v/>
      </c>
      <c r="E276" s="27" t="str" cm="1">
        <f t="array" ref="E276">IF($C276="","",IF(AND(OR(_xlfn.XLOOKUP($A276&amp;$B276&amp;$C276,盘货信息!$A:$A&amp;盘货信息!$B:$B&amp;盘货信息!$C:$C,盘货信息!$L:$L)="否",_xlfn.XLOOKUP($A276&amp;$B276&amp;$C276,盘货信息!$A:$A&amp;盘货信息!$B:$B&amp;盘货信息!$C:$C,盘货信息!$L:$L)=""),_xlfn.XLOOKUP($A276&amp;$B276&amp;$C276,盘货信息!$A:$A&amp;盘货信息!$B:$B&amp;盘货信息!$C:$C,盘货信息!$M:$M)="否"),"【预估到手价"&amp;_xlfn.XLOOKUP($A276&amp;$B276&amp;$C276,盘货信息!$A:$A&amp;盘货信息!$B:$B&amp;盘货信息!$C:$C,盘货信息!$D:$D)&amp;"元】",IF(AND(_xlfn.XLOOKUP($A276&amp;$B276&amp;$C276,盘货信息!$A:$A&amp;盘货信息!$B:$B&amp;盘货信息!$C:$C,盘货信息!$M:$M)="是",OR(_xlfn.XLOOKUP($A276&amp;$B276&amp;$C276,盘货信息!$A:$A&amp;盘货信息!$B:$B&amp;盘货信息!$C:$C,盘货信息!$L:$L)="否",_xlfn.XLOOKUP($A276&amp;$B276&amp;$C276,盘货信息!$A:$A&amp;盘货信息!$B:$B&amp;盘货信息!$C:$C,盘货信息!$L:$L)="")),"【预估到手价"&amp;_xlfn.XLOOKUP($A276&amp;$B276&amp;$C276,盘货信息!$A:$A&amp;盘货信息!$B:$B&amp;盘货信息!$C:$C,盘货信息!$D:$D)&amp;"元】"&amp;CHAR(10)&amp;"【焕新补贴预估价"&amp;ROUND(_xlfn.XLOOKUP($A276&amp;$B276&amp;$C276,盘货信息!$A:$A&amp;盘货信息!$B:$B&amp;盘货信息!$C:$C,盘货信息!$E:$E),0)&amp;"元】","【焕新补贴预估价"&amp;ROUND(_xlfn.XLOOKUP($A276&amp;$B276&amp;$C276,盘货信息!$A:$A&amp;盘货信息!$B:$B&amp;盘货信息!$C:$C,盘货信息!$E:$E),0)&amp;"元】")))</f>
        <v/>
      </c>
      <c r="F276" s="27" t="str" cm="1">
        <f t="array" ref="F276">IF($C276="","",_xlfn.XLOOKUP($A276&amp;$B276&amp;$C276,盘货信息!$A:$A&amp;盘货信息!$B:$B&amp;盘货信息!$C:$C,盘货信息!$D:$D)&amp;"元到手价")</f>
        <v/>
      </c>
      <c r="G276" s="27" t="str" cm="1">
        <f t="array" ref="G276">IF($C276="","",IF(_xlfn.XLOOKUP($A276&amp;$B276&amp;$C276,盘货信息!$A:$A&amp;盘货信息!$B:$B&amp;盘货信息!$C:$C,盘货信息!$G:$G)&lt;1,"",ROUND(_xlfn.XLOOKUP($A276&amp;$B276&amp;$C276,盘货信息!$A:$A&amp;盘货信息!$B:$B&amp;盘货信息!$C:$C,盘货信息!$G:$G),0)&amp;"元88VIP立减"))</f>
        <v/>
      </c>
      <c r="H276" s="27" t="str" cm="1">
        <f t="array" ref="H276">IF($C276="","",IF(_xlfn.XLOOKUP($A276&amp;$B276&amp;$C276,盘货信息!$A:$A&amp;盘货信息!$B:$B&amp;盘货信息!$C:$C,盘货信息!$I:$I)&lt;1,"",_xlfn.XLOOKUP($A276&amp;$B276&amp;$C276,盘货信息!$A:$A&amp;盘货信息!$B:$B&amp;盘货信息!$C:$C,盘货信息!$I:$I)&amp;"元惊喜立减"))</f>
        <v/>
      </c>
      <c r="I276" s="27" t="str" cm="1">
        <f t="array" ref="I276">IF($C276="","",IF(_xlfn.XLOOKUP($A276&amp;$B276&amp;$C276,盘货信息!$A:$A&amp;盘货信息!$B:$B&amp;盘货信息!$C:$C,盘货信息!$H:$H)&lt;1,"",ROUND(_xlfn.XLOOKUP($A276&amp;$B276&amp;$C276,盘货信息!$A:$A&amp;盘货信息!$B:$B&amp;盘货信息!$C:$C,盘货信息!$H:$H),0)&amp;"元消费券"))</f>
        <v/>
      </c>
      <c r="J276" s="27" t="str" cm="1">
        <f t="array" ref="J276">IF($C276="","",IF(_xlfn.XLOOKUP($A276&amp;$B276&amp;$C276,盘货信息!$A:$A&amp;盘货信息!$B:$B&amp;盘货信息!$C:$C,盘货信息!$J:$J)&lt;1,"",ROUND(_xlfn.XLOOKUP($A276&amp;$B276&amp;$C276,盘货信息!$A:$A&amp;盘货信息!$B:$B&amp;盘货信息!$C:$C,盘货信息!$J:$J),0)&amp;"元限时补贴"))</f>
        <v/>
      </c>
      <c r="K276" s="27" t="str" cm="1">
        <f t="array" ref="K276">IF($C276="","",IF(_xlfn.XLOOKUP($A276&amp;$B276&amp;$C276,盘货信息!$A:$A&amp;盘货信息!$B:$B&amp;盘货信息!$C:$C,盘货信息!$K:$K)&lt;1,"",ROUND(_xlfn.XLOOKUP($A276&amp;$B276&amp;$C276,盘货信息!$A:$A&amp;盘货信息!$B:$B&amp;盘货信息!$C:$C,盘货信息!$K:$K),0)&amp;"元预估焕新补贴"))</f>
        <v/>
      </c>
      <c r="L276" s="27" t="str" cm="1">
        <f t="array" ref="L276">IF($C276="","",IF(AND(_xlfn.XLOOKUP($A276&amp;$B276&amp;$C276,盘货信息!$A:$A&amp;盘货信息!$B:$B&amp;盘货信息!$C:$C,盘货信息!$L:$L)="是",_xlfn.XLOOKUP($A276&amp;$B276&amp;$C276,盘货信息!$A:$A&amp;盘货信息!$B:$B&amp;盘货信息!$C:$C,盘货信息!$M:$M)="是",_xlfn.XLOOKUP($A276&amp;$B276&amp;$C276,盘货信息!$A:$A&amp;盘货信息!$B:$B&amp;盘货信息!$C:$C,盘货信息!$K:$K)&gt;0),"【全民可用，不限地址】",IF(AND(OR(_xlfn.XLOOKUP($A276&amp;$B276&amp;$C276,盘货信息!$A:$A&amp;盘货信息!$B:$B&amp;盘货信息!$C:$C,盘货信息!$L:$L)="否",_xlfn.XLOOKUP($A276&amp;$B276&amp;$C276,盘货信息!$A:$A&amp;盘货信息!$B:$B&amp;盘货信息!$C:$C,盘货信息!$L:$L)=""),_xlfn.XLOOKUP($A276&amp;$B276&amp;$C276,盘货信息!$A:$A&amp;盘货信息!$B:$B&amp;盘货信息!$C:$C,盘货信息!$M:$M)="是",_xlfn.XLOOKUP($A276&amp;$B276&amp;$C276,盘货信息!$A:$A&amp;盘货信息!$B:$B&amp;盘货信息!$C:$C,盘货信息!$K:$K)&gt;0),"【详情页领取】","")))</f>
        <v/>
      </c>
      <c r="M276" s="27" t="str" cm="1">
        <f t="array" ref="M276">IF($C276="","",IF(_xlfn.XLOOKUP($A276&amp;$B276&amp;$C276,盘货信息!$A:$A&amp;盘货信息!$B:$B&amp;盘货信息!$C:$C,盘货信息!$F:$F)&lt;1,"",_xlfn.XLOOKUP($A276&amp;$B276&amp;$C276,盘货信息!$A:$A&amp;盘货信息!$B:$B&amp;盘货信息!$C:$C,盘货信息!$F:$F)&amp;"元明卷"))</f>
        <v/>
      </c>
      <c r="N276" s="27" t="str">
        <f t="shared" si="9"/>
        <v/>
      </c>
      <c r="O276" s="27" t="str">
        <f>IF(I276="","","【消费券链接】"&amp;固定信息!$B$6)</f>
        <v/>
      </c>
    </row>
    <row r="277" customHeight="1" spans="1:15">
      <c r="A277" s="23" t="str">
        <f>IF(盘货信息!A277="","",盘货信息!A277)</f>
        <v/>
      </c>
      <c r="B277" s="26" t="str">
        <f>IF(盘货信息!B277="","",盘货信息!B277)</f>
        <v/>
      </c>
      <c r="C277" s="23" t="str">
        <f>IF(盘货信息!C277="","",盘货信息!C277)</f>
        <v/>
      </c>
      <c r="D277" s="27" t="str">
        <f t="shared" si="8"/>
        <v/>
      </c>
      <c r="E277" s="27" t="str" cm="1">
        <f t="array" ref="E277">IF($C277="","",IF(AND(OR(_xlfn.XLOOKUP($A277&amp;$B277&amp;$C277,盘货信息!$A:$A&amp;盘货信息!$B:$B&amp;盘货信息!$C:$C,盘货信息!$L:$L)="否",_xlfn.XLOOKUP($A277&amp;$B277&amp;$C277,盘货信息!$A:$A&amp;盘货信息!$B:$B&amp;盘货信息!$C:$C,盘货信息!$L:$L)=""),_xlfn.XLOOKUP($A277&amp;$B277&amp;$C277,盘货信息!$A:$A&amp;盘货信息!$B:$B&amp;盘货信息!$C:$C,盘货信息!$M:$M)="否"),"【预估到手价"&amp;_xlfn.XLOOKUP($A277&amp;$B277&amp;$C277,盘货信息!$A:$A&amp;盘货信息!$B:$B&amp;盘货信息!$C:$C,盘货信息!$D:$D)&amp;"元】",IF(AND(_xlfn.XLOOKUP($A277&amp;$B277&amp;$C277,盘货信息!$A:$A&amp;盘货信息!$B:$B&amp;盘货信息!$C:$C,盘货信息!$M:$M)="是",OR(_xlfn.XLOOKUP($A277&amp;$B277&amp;$C277,盘货信息!$A:$A&amp;盘货信息!$B:$B&amp;盘货信息!$C:$C,盘货信息!$L:$L)="否",_xlfn.XLOOKUP($A277&amp;$B277&amp;$C277,盘货信息!$A:$A&amp;盘货信息!$B:$B&amp;盘货信息!$C:$C,盘货信息!$L:$L)="")),"【预估到手价"&amp;_xlfn.XLOOKUP($A277&amp;$B277&amp;$C277,盘货信息!$A:$A&amp;盘货信息!$B:$B&amp;盘货信息!$C:$C,盘货信息!$D:$D)&amp;"元】"&amp;CHAR(10)&amp;"【焕新补贴预估价"&amp;ROUND(_xlfn.XLOOKUP($A277&amp;$B277&amp;$C277,盘货信息!$A:$A&amp;盘货信息!$B:$B&amp;盘货信息!$C:$C,盘货信息!$E:$E),0)&amp;"元】","【焕新补贴预估价"&amp;ROUND(_xlfn.XLOOKUP($A277&amp;$B277&amp;$C277,盘货信息!$A:$A&amp;盘货信息!$B:$B&amp;盘货信息!$C:$C,盘货信息!$E:$E),0)&amp;"元】")))</f>
        <v/>
      </c>
      <c r="F277" s="27" t="str" cm="1">
        <f t="array" ref="F277">IF($C277="","",_xlfn.XLOOKUP($A277&amp;$B277&amp;$C277,盘货信息!$A:$A&amp;盘货信息!$B:$B&amp;盘货信息!$C:$C,盘货信息!$D:$D)&amp;"元到手价")</f>
        <v/>
      </c>
      <c r="G277" s="27" t="str" cm="1">
        <f t="array" ref="G277">IF($C277="","",IF(_xlfn.XLOOKUP($A277&amp;$B277&amp;$C277,盘货信息!$A:$A&amp;盘货信息!$B:$B&amp;盘货信息!$C:$C,盘货信息!$G:$G)&lt;1,"",ROUND(_xlfn.XLOOKUP($A277&amp;$B277&amp;$C277,盘货信息!$A:$A&amp;盘货信息!$B:$B&amp;盘货信息!$C:$C,盘货信息!$G:$G),0)&amp;"元88VIP立减"))</f>
        <v/>
      </c>
      <c r="H277" s="27" t="str" cm="1">
        <f t="array" ref="H277">IF($C277="","",IF(_xlfn.XLOOKUP($A277&amp;$B277&amp;$C277,盘货信息!$A:$A&amp;盘货信息!$B:$B&amp;盘货信息!$C:$C,盘货信息!$I:$I)&lt;1,"",_xlfn.XLOOKUP($A277&amp;$B277&amp;$C277,盘货信息!$A:$A&amp;盘货信息!$B:$B&amp;盘货信息!$C:$C,盘货信息!$I:$I)&amp;"元惊喜立减"))</f>
        <v/>
      </c>
      <c r="I277" s="27" t="str" cm="1">
        <f t="array" ref="I277">IF($C277="","",IF(_xlfn.XLOOKUP($A277&amp;$B277&amp;$C277,盘货信息!$A:$A&amp;盘货信息!$B:$B&amp;盘货信息!$C:$C,盘货信息!$H:$H)&lt;1,"",ROUND(_xlfn.XLOOKUP($A277&amp;$B277&amp;$C277,盘货信息!$A:$A&amp;盘货信息!$B:$B&amp;盘货信息!$C:$C,盘货信息!$H:$H),0)&amp;"元消费券"))</f>
        <v/>
      </c>
      <c r="J277" s="27" t="str" cm="1">
        <f t="array" ref="J277">IF($C277="","",IF(_xlfn.XLOOKUP($A277&amp;$B277&amp;$C277,盘货信息!$A:$A&amp;盘货信息!$B:$B&amp;盘货信息!$C:$C,盘货信息!$J:$J)&lt;1,"",ROUND(_xlfn.XLOOKUP($A277&amp;$B277&amp;$C277,盘货信息!$A:$A&amp;盘货信息!$B:$B&amp;盘货信息!$C:$C,盘货信息!$J:$J),0)&amp;"元限时补贴"))</f>
        <v/>
      </c>
      <c r="K277" s="27" t="str" cm="1">
        <f t="array" ref="K277">IF($C277="","",IF(_xlfn.XLOOKUP($A277&amp;$B277&amp;$C277,盘货信息!$A:$A&amp;盘货信息!$B:$B&amp;盘货信息!$C:$C,盘货信息!$K:$K)&lt;1,"",ROUND(_xlfn.XLOOKUP($A277&amp;$B277&amp;$C277,盘货信息!$A:$A&amp;盘货信息!$B:$B&amp;盘货信息!$C:$C,盘货信息!$K:$K),0)&amp;"元预估焕新补贴"))</f>
        <v/>
      </c>
      <c r="L277" s="27" t="str" cm="1">
        <f t="array" ref="L277">IF($C277="","",IF(AND(_xlfn.XLOOKUP($A277&amp;$B277&amp;$C277,盘货信息!$A:$A&amp;盘货信息!$B:$B&amp;盘货信息!$C:$C,盘货信息!$L:$L)="是",_xlfn.XLOOKUP($A277&amp;$B277&amp;$C277,盘货信息!$A:$A&amp;盘货信息!$B:$B&amp;盘货信息!$C:$C,盘货信息!$M:$M)="是",_xlfn.XLOOKUP($A277&amp;$B277&amp;$C277,盘货信息!$A:$A&amp;盘货信息!$B:$B&amp;盘货信息!$C:$C,盘货信息!$K:$K)&gt;0),"【全民可用，不限地址】",IF(AND(OR(_xlfn.XLOOKUP($A277&amp;$B277&amp;$C277,盘货信息!$A:$A&amp;盘货信息!$B:$B&amp;盘货信息!$C:$C,盘货信息!$L:$L)="否",_xlfn.XLOOKUP($A277&amp;$B277&amp;$C277,盘货信息!$A:$A&amp;盘货信息!$B:$B&amp;盘货信息!$C:$C,盘货信息!$L:$L)=""),_xlfn.XLOOKUP($A277&amp;$B277&amp;$C277,盘货信息!$A:$A&amp;盘货信息!$B:$B&amp;盘货信息!$C:$C,盘货信息!$M:$M)="是",_xlfn.XLOOKUP($A277&amp;$B277&amp;$C277,盘货信息!$A:$A&amp;盘货信息!$B:$B&amp;盘货信息!$C:$C,盘货信息!$K:$K)&gt;0),"【详情页领取】","")))</f>
        <v/>
      </c>
      <c r="M277" s="27" t="str" cm="1">
        <f t="array" ref="M277">IF($C277="","",IF(_xlfn.XLOOKUP($A277&amp;$B277&amp;$C277,盘货信息!$A:$A&amp;盘货信息!$B:$B&amp;盘货信息!$C:$C,盘货信息!$F:$F)&lt;1,"",_xlfn.XLOOKUP($A277&amp;$B277&amp;$C277,盘货信息!$A:$A&amp;盘货信息!$B:$B&amp;盘货信息!$C:$C,盘货信息!$F:$F)&amp;"元明卷"))</f>
        <v/>
      </c>
      <c r="N277" s="27" t="str">
        <f t="shared" si="9"/>
        <v/>
      </c>
      <c r="O277" s="27" t="str">
        <f>IF(I277="","","【消费券链接】"&amp;固定信息!$B$6)</f>
        <v/>
      </c>
    </row>
    <row r="278" customHeight="1" spans="1:15">
      <c r="A278" s="23" t="str">
        <f>IF(盘货信息!A278="","",盘货信息!A278)</f>
        <v/>
      </c>
      <c r="B278" s="26" t="str">
        <f>IF(盘货信息!B278="","",盘货信息!B278)</f>
        <v/>
      </c>
      <c r="C278" s="23" t="str">
        <f>IF(盘货信息!C278="","",盘货信息!C278)</f>
        <v/>
      </c>
      <c r="D278" s="27" t="str">
        <f t="shared" si="8"/>
        <v/>
      </c>
      <c r="E278" s="27" t="str" cm="1">
        <f t="array" ref="E278">IF($C278="","",IF(AND(OR(_xlfn.XLOOKUP($A278&amp;$B278&amp;$C278,盘货信息!$A:$A&amp;盘货信息!$B:$B&amp;盘货信息!$C:$C,盘货信息!$L:$L)="否",_xlfn.XLOOKUP($A278&amp;$B278&amp;$C278,盘货信息!$A:$A&amp;盘货信息!$B:$B&amp;盘货信息!$C:$C,盘货信息!$L:$L)=""),_xlfn.XLOOKUP($A278&amp;$B278&amp;$C278,盘货信息!$A:$A&amp;盘货信息!$B:$B&amp;盘货信息!$C:$C,盘货信息!$M:$M)="否"),"【预估到手价"&amp;_xlfn.XLOOKUP($A278&amp;$B278&amp;$C278,盘货信息!$A:$A&amp;盘货信息!$B:$B&amp;盘货信息!$C:$C,盘货信息!$D:$D)&amp;"元】",IF(AND(_xlfn.XLOOKUP($A278&amp;$B278&amp;$C278,盘货信息!$A:$A&amp;盘货信息!$B:$B&amp;盘货信息!$C:$C,盘货信息!$M:$M)="是",OR(_xlfn.XLOOKUP($A278&amp;$B278&amp;$C278,盘货信息!$A:$A&amp;盘货信息!$B:$B&amp;盘货信息!$C:$C,盘货信息!$L:$L)="否",_xlfn.XLOOKUP($A278&amp;$B278&amp;$C278,盘货信息!$A:$A&amp;盘货信息!$B:$B&amp;盘货信息!$C:$C,盘货信息!$L:$L)="")),"【预估到手价"&amp;_xlfn.XLOOKUP($A278&amp;$B278&amp;$C278,盘货信息!$A:$A&amp;盘货信息!$B:$B&amp;盘货信息!$C:$C,盘货信息!$D:$D)&amp;"元】"&amp;CHAR(10)&amp;"【焕新补贴预估价"&amp;ROUND(_xlfn.XLOOKUP($A278&amp;$B278&amp;$C278,盘货信息!$A:$A&amp;盘货信息!$B:$B&amp;盘货信息!$C:$C,盘货信息!$E:$E),0)&amp;"元】","【焕新补贴预估价"&amp;ROUND(_xlfn.XLOOKUP($A278&amp;$B278&amp;$C278,盘货信息!$A:$A&amp;盘货信息!$B:$B&amp;盘货信息!$C:$C,盘货信息!$E:$E),0)&amp;"元】")))</f>
        <v/>
      </c>
      <c r="F278" s="27" t="str" cm="1">
        <f t="array" ref="F278">IF($C278="","",_xlfn.XLOOKUP($A278&amp;$B278&amp;$C278,盘货信息!$A:$A&amp;盘货信息!$B:$B&amp;盘货信息!$C:$C,盘货信息!$D:$D)&amp;"元到手价")</f>
        <v/>
      </c>
      <c r="G278" s="27" t="str" cm="1">
        <f t="array" ref="G278">IF($C278="","",IF(_xlfn.XLOOKUP($A278&amp;$B278&amp;$C278,盘货信息!$A:$A&amp;盘货信息!$B:$B&amp;盘货信息!$C:$C,盘货信息!$G:$G)&lt;1,"",ROUND(_xlfn.XLOOKUP($A278&amp;$B278&amp;$C278,盘货信息!$A:$A&amp;盘货信息!$B:$B&amp;盘货信息!$C:$C,盘货信息!$G:$G),0)&amp;"元88VIP立减"))</f>
        <v/>
      </c>
      <c r="H278" s="27" t="str" cm="1">
        <f t="array" ref="H278">IF($C278="","",IF(_xlfn.XLOOKUP($A278&amp;$B278&amp;$C278,盘货信息!$A:$A&amp;盘货信息!$B:$B&amp;盘货信息!$C:$C,盘货信息!$I:$I)&lt;1,"",_xlfn.XLOOKUP($A278&amp;$B278&amp;$C278,盘货信息!$A:$A&amp;盘货信息!$B:$B&amp;盘货信息!$C:$C,盘货信息!$I:$I)&amp;"元惊喜立减"))</f>
        <v/>
      </c>
      <c r="I278" s="27" t="str" cm="1">
        <f t="array" ref="I278">IF($C278="","",IF(_xlfn.XLOOKUP($A278&amp;$B278&amp;$C278,盘货信息!$A:$A&amp;盘货信息!$B:$B&amp;盘货信息!$C:$C,盘货信息!$H:$H)&lt;1,"",ROUND(_xlfn.XLOOKUP($A278&amp;$B278&amp;$C278,盘货信息!$A:$A&amp;盘货信息!$B:$B&amp;盘货信息!$C:$C,盘货信息!$H:$H),0)&amp;"元消费券"))</f>
        <v/>
      </c>
      <c r="J278" s="27" t="str" cm="1">
        <f t="array" ref="J278">IF($C278="","",IF(_xlfn.XLOOKUP($A278&amp;$B278&amp;$C278,盘货信息!$A:$A&amp;盘货信息!$B:$B&amp;盘货信息!$C:$C,盘货信息!$J:$J)&lt;1,"",ROUND(_xlfn.XLOOKUP($A278&amp;$B278&amp;$C278,盘货信息!$A:$A&amp;盘货信息!$B:$B&amp;盘货信息!$C:$C,盘货信息!$J:$J),0)&amp;"元限时补贴"))</f>
        <v/>
      </c>
      <c r="K278" s="27" t="str" cm="1">
        <f t="array" ref="K278">IF($C278="","",IF(_xlfn.XLOOKUP($A278&amp;$B278&amp;$C278,盘货信息!$A:$A&amp;盘货信息!$B:$B&amp;盘货信息!$C:$C,盘货信息!$K:$K)&lt;1,"",ROUND(_xlfn.XLOOKUP($A278&amp;$B278&amp;$C278,盘货信息!$A:$A&amp;盘货信息!$B:$B&amp;盘货信息!$C:$C,盘货信息!$K:$K),0)&amp;"元预估焕新补贴"))</f>
        <v/>
      </c>
      <c r="L278" s="27" t="str" cm="1">
        <f t="array" ref="L278">IF($C278="","",IF(AND(_xlfn.XLOOKUP($A278&amp;$B278&amp;$C278,盘货信息!$A:$A&amp;盘货信息!$B:$B&amp;盘货信息!$C:$C,盘货信息!$L:$L)="是",_xlfn.XLOOKUP($A278&amp;$B278&amp;$C278,盘货信息!$A:$A&amp;盘货信息!$B:$B&amp;盘货信息!$C:$C,盘货信息!$M:$M)="是",_xlfn.XLOOKUP($A278&amp;$B278&amp;$C278,盘货信息!$A:$A&amp;盘货信息!$B:$B&amp;盘货信息!$C:$C,盘货信息!$K:$K)&gt;0),"【全民可用，不限地址】",IF(AND(OR(_xlfn.XLOOKUP($A278&amp;$B278&amp;$C278,盘货信息!$A:$A&amp;盘货信息!$B:$B&amp;盘货信息!$C:$C,盘货信息!$L:$L)="否",_xlfn.XLOOKUP($A278&amp;$B278&amp;$C278,盘货信息!$A:$A&amp;盘货信息!$B:$B&amp;盘货信息!$C:$C,盘货信息!$L:$L)=""),_xlfn.XLOOKUP($A278&amp;$B278&amp;$C278,盘货信息!$A:$A&amp;盘货信息!$B:$B&amp;盘货信息!$C:$C,盘货信息!$M:$M)="是",_xlfn.XLOOKUP($A278&amp;$B278&amp;$C278,盘货信息!$A:$A&amp;盘货信息!$B:$B&amp;盘货信息!$C:$C,盘货信息!$K:$K)&gt;0),"【详情页领取】","")))</f>
        <v/>
      </c>
      <c r="M278" s="27" t="str" cm="1">
        <f t="array" ref="M278">IF($C278="","",IF(_xlfn.XLOOKUP($A278&amp;$B278&amp;$C278,盘货信息!$A:$A&amp;盘货信息!$B:$B&amp;盘货信息!$C:$C,盘货信息!$F:$F)&lt;1,"",_xlfn.XLOOKUP($A278&amp;$B278&amp;$C278,盘货信息!$A:$A&amp;盘货信息!$B:$B&amp;盘货信息!$C:$C,盘货信息!$F:$F)&amp;"元明卷"))</f>
        <v/>
      </c>
      <c r="N278" s="27" t="str">
        <f t="shared" si="9"/>
        <v/>
      </c>
      <c r="O278" s="27" t="str">
        <f>IF(I278="","","【消费券链接】"&amp;固定信息!$B$6)</f>
        <v/>
      </c>
    </row>
    <row r="279" customHeight="1" spans="1:15">
      <c r="A279" s="23" t="str">
        <f>IF(盘货信息!A279="","",盘货信息!A279)</f>
        <v/>
      </c>
      <c r="B279" s="26" t="str">
        <f>IF(盘货信息!B279="","",盘货信息!B279)</f>
        <v/>
      </c>
      <c r="C279" s="23" t="str">
        <f>IF(盘货信息!C279="","",盘货信息!C279)</f>
        <v/>
      </c>
      <c r="D279" s="27" t="str">
        <f t="shared" si="8"/>
        <v/>
      </c>
      <c r="E279" s="27" t="str" cm="1">
        <f t="array" ref="E279">IF($C279="","",IF(AND(OR(_xlfn.XLOOKUP($A279&amp;$B279&amp;$C279,盘货信息!$A:$A&amp;盘货信息!$B:$B&amp;盘货信息!$C:$C,盘货信息!$L:$L)="否",_xlfn.XLOOKUP($A279&amp;$B279&amp;$C279,盘货信息!$A:$A&amp;盘货信息!$B:$B&amp;盘货信息!$C:$C,盘货信息!$L:$L)=""),_xlfn.XLOOKUP($A279&amp;$B279&amp;$C279,盘货信息!$A:$A&amp;盘货信息!$B:$B&amp;盘货信息!$C:$C,盘货信息!$M:$M)="否"),"【预估到手价"&amp;_xlfn.XLOOKUP($A279&amp;$B279&amp;$C279,盘货信息!$A:$A&amp;盘货信息!$B:$B&amp;盘货信息!$C:$C,盘货信息!$D:$D)&amp;"元】",IF(AND(_xlfn.XLOOKUP($A279&amp;$B279&amp;$C279,盘货信息!$A:$A&amp;盘货信息!$B:$B&amp;盘货信息!$C:$C,盘货信息!$M:$M)="是",OR(_xlfn.XLOOKUP($A279&amp;$B279&amp;$C279,盘货信息!$A:$A&amp;盘货信息!$B:$B&amp;盘货信息!$C:$C,盘货信息!$L:$L)="否",_xlfn.XLOOKUP($A279&amp;$B279&amp;$C279,盘货信息!$A:$A&amp;盘货信息!$B:$B&amp;盘货信息!$C:$C,盘货信息!$L:$L)="")),"【预估到手价"&amp;_xlfn.XLOOKUP($A279&amp;$B279&amp;$C279,盘货信息!$A:$A&amp;盘货信息!$B:$B&amp;盘货信息!$C:$C,盘货信息!$D:$D)&amp;"元】"&amp;CHAR(10)&amp;"【焕新补贴预估价"&amp;ROUND(_xlfn.XLOOKUP($A279&amp;$B279&amp;$C279,盘货信息!$A:$A&amp;盘货信息!$B:$B&amp;盘货信息!$C:$C,盘货信息!$E:$E),0)&amp;"元】","【焕新补贴预估价"&amp;ROUND(_xlfn.XLOOKUP($A279&amp;$B279&amp;$C279,盘货信息!$A:$A&amp;盘货信息!$B:$B&amp;盘货信息!$C:$C,盘货信息!$E:$E),0)&amp;"元】")))</f>
        <v/>
      </c>
      <c r="F279" s="27" t="str" cm="1">
        <f t="array" ref="F279">IF($C279="","",_xlfn.XLOOKUP($A279&amp;$B279&amp;$C279,盘货信息!$A:$A&amp;盘货信息!$B:$B&amp;盘货信息!$C:$C,盘货信息!$D:$D)&amp;"元到手价")</f>
        <v/>
      </c>
      <c r="G279" s="27" t="str" cm="1">
        <f t="array" ref="G279">IF($C279="","",IF(_xlfn.XLOOKUP($A279&amp;$B279&amp;$C279,盘货信息!$A:$A&amp;盘货信息!$B:$B&amp;盘货信息!$C:$C,盘货信息!$G:$G)&lt;1,"",ROUND(_xlfn.XLOOKUP($A279&amp;$B279&amp;$C279,盘货信息!$A:$A&amp;盘货信息!$B:$B&amp;盘货信息!$C:$C,盘货信息!$G:$G),0)&amp;"元88VIP立减"))</f>
        <v/>
      </c>
      <c r="H279" s="27" t="str" cm="1">
        <f t="array" ref="H279">IF($C279="","",IF(_xlfn.XLOOKUP($A279&amp;$B279&amp;$C279,盘货信息!$A:$A&amp;盘货信息!$B:$B&amp;盘货信息!$C:$C,盘货信息!$I:$I)&lt;1,"",_xlfn.XLOOKUP($A279&amp;$B279&amp;$C279,盘货信息!$A:$A&amp;盘货信息!$B:$B&amp;盘货信息!$C:$C,盘货信息!$I:$I)&amp;"元惊喜立减"))</f>
        <v/>
      </c>
      <c r="I279" s="27" t="str" cm="1">
        <f t="array" ref="I279">IF($C279="","",IF(_xlfn.XLOOKUP($A279&amp;$B279&amp;$C279,盘货信息!$A:$A&amp;盘货信息!$B:$B&amp;盘货信息!$C:$C,盘货信息!$H:$H)&lt;1,"",ROUND(_xlfn.XLOOKUP($A279&amp;$B279&amp;$C279,盘货信息!$A:$A&amp;盘货信息!$B:$B&amp;盘货信息!$C:$C,盘货信息!$H:$H),0)&amp;"元消费券"))</f>
        <v/>
      </c>
      <c r="J279" s="27" t="str" cm="1">
        <f t="array" ref="J279">IF($C279="","",IF(_xlfn.XLOOKUP($A279&amp;$B279&amp;$C279,盘货信息!$A:$A&amp;盘货信息!$B:$B&amp;盘货信息!$C:$C,盘货信息!$J:$J)&lt;1,"",ROUND(_xlfn.XLOOKUP($A279&amp;$B279&amp;$C279,盘货信息!$A:$A&amp;盘货信息!$B:$B&amp;盘货信息!$C:$C,盘货信息!$J:$J),0)&amp;"元限时补贴"))</f>
        <v/>
      </c>
      <c r="K279" s="27" t="str" cm="1">
        <f t="array" ref="K279">IF($C279="","",IF(_xlfn.XLOOKUP($A279&amp;$B279&amp;$C279,盘货信息!$A:$A&amp;盘货信息!$B:$B&amp;盘货信息!$C:$C,盘货信息!$K:$K)&lt;1,"",ROUND(_xlfn.XLOOKUP($A279&amp;$B279&amp;$C279,盘货信息!$A:$A&amp;盘货信息!$B:$B&amp;盘货信息!$C:$C,盘货信息!$K:$K),0)&amp;"元预估焕新补贴"))</f>
        <v/>
      </c>
      <c r="L279" s="27" t="str" cm="1">
        <f t="array" ref="L279">IF($C279="","",IF(AND(_xlfn.XLOOKUP($A279&amp;$B279&amp;$C279,盘货信息!$A:$A&amp;盘货信息!$B:$B&amp;盘货信息!$C:$C,盘货信息!$L:$L)="是",_xlfn.XLOOKUP($A279&amp;$B279&amp;$C279,盘货信息!$A:$A&amp;盘货信息!$B:$B&amp;盘货信息!$C:$C,盘货信息!$M:$M)="是",_xlfn.XLOOKUP($A279&amp;$B279&amp;$C279,盘货信息!$A:$A&amp;盘货信息!$B:$B&amp;盘货信息!$C:$C,盘货信息!$K:$K)&gt;0),"【全民可用，不限地址】",IF(AND(OR(_xlfn.XLOOKUP($A279&amp;$B279&amp;$C279,盘货信息!$A:$A&amp;盘货信息!$B:$B&amp;盘货信息!$C:$C,盘货信息!$L:$L)="否",_xlfn.XLOOKUP($A279&amp;$B279&amp;$C279,盘货信息!$A:$A&amp;盘货信息!$B:$B&amp;盘货信息!$C:$C,盘货信息!$L:$L)=""),_xlfn.XLOOKUP($A279&amp;$B279&amp;$C279,盘货信息!$A:$A&amp;盘货信息!$B:$B&amp;盘货信息!$C:$C,盘货信息!$M:$M)="是",_xlfn.XLOOKUP($A279&amp;$B279&amp;$C279,盘货信息!$A:$A&amp;盘货信息!$B:$B&amp;盘货信息!$C:$C,盘货信息!$K:$K)&gt;0),"【详情页领取】","")))</f>
        <v/>
      </c>
      <c r="M279" s="27" t="str" cm="1">
        <f t="array" ref="M279">IF($C279="","",IF(_xlfn.XLOOKUP($A279&amp;$B279&amp;$C279,盘货信息!$A:$A&amp;盘货信息!$B:$B&amp;盘货信息!$C:$C,盘货信息!$F:$F)&lt;1,"",_xlfn.XLOOKUP($A279&amp;$B279&amp;$C279,盘货信息!$A:$A&amp;盘货信息!$B:$B&amp;盘货信息!$C:$C,盘货信息!$F:$F)&amp;"元明卷"))</f>
        <v/>
      </c>
      <c r="N279" s="27" t="str">
        <f t="shared" si="9"/>
        <v/>
      </c>
      <c r="O279" s="27" t="str">
        <f>IF(I279="","","【消费券链接】"&amp;固定信息!$B$6)</f>
        <v/>
      </c>
    </row>
    <row r="280" customHeight="1" spans="1:15">
      <c r="A280" s="23" t="str">
        <f>IF(盘货信息!A280="","",盘货信息!A280)</f>
        <v/>
      </c>
      <c r="B280" s="26" t="str">
        <f>IF(盘货信息!B280="","",盘货信息!B280)</f>
        <v/>
      </c>
      <c r="C280" s="23" t="str">
        <f>IF(盘货信息!C280="","",盘货信息!C280)</f>
        <v/>
      </c>
      <c r="D280" s="27" t="str">
        <f t="shared" si="8"/>
        <v/>
      </c>
      <c r="E280" s="27" t="str" cm="1">
        <f t="array" ref="E280">IF($C280="","",IF(AND(OR(_xlfn.XLOOKUP($A280&amp;$B280&amp;$C280,盘货信息!$A:$A&amp;盘货信息!$B:$B&amp;盘货信息!$C:$C,盘货信息!$L:$L)="否",_xlfn.XLOOKUP($A280&amp;$B280&amp;$C280,盘货信息!$A:$A&amp;盘货信息!$B:$B&amp;盘货信息!$C:$C,盘货信息!$L:$L)=""),_xlfn.XLOOKUP($A280&amp;$B280&amp;$C280,盘货信息!$A:$A&amp;盘货信息!$B:$B&amp;盘货信息!$C:$C,盘货信息!$M:$M)="否"),"【预估到手价"&amp;_xlfn.XLOOKUP($A280&amp;$B280&amp;$C280,盘货信息!$A:$A&amp;盘货信息!$B:$B&amp;盘货信息!$C:$C,盘货信息!$D:$D)&amp;"元】",IF(AND(_xlfn.XLOOKUP($A280&amp;$B280&amp;$C280,盘货信息!$A:$A&amp;盘货信息!$B:$B&amp;盘货信息!$C:$C,盘货信息!$M:$M)="是",OR(_xlfn.XLOOKUP($A280&amp;$B280&amp;$C280,盘货信息!$A:$A&amp;盘货信息!$B:$B&amp;盘货信息!$C:$C,盘货信息!$L:$L)="否",_xlfn.XLOOKUP($A280&amp;$B280&amp;$C280,盘货信息!$A:$A&amp;盘货信息!$B:$B&amp;盘货信息!$C:$C,盘货信息!$L:$L)="")),"【预估到手价"&amp;_xlfn.XLOOKUP($A280&amp;$B280&amp;$C280,盘货信息!$A:$A&amp;盘货信息!$B:$B&amp;盘货信息!$C:$C,盘货信息!$D:$D)&amp;"元】"&amp;CHAR(10)&amp;"【焕新补贴预估价"&amp;ROUND(_xlfn.XLOOKUP($A280&amp;$B280&amp;$C280,盘货信息!$A:$A&amp;盘货信息!$B:$B&amp;盘货信息!$C:$C,盘货信息!$E:$E),0)&amp;"元】","【焕新补贴预估价"&amp;ROUND(_xlfn.XLOOKUP($A280&amp;$B280&amp;$C280,盘货信息!$A:$A&amp;盘货信息!$B:$B&amp;盘货信息!$C:$C,盘货信息!$E:$E),0)&amp;"元】")))</f>
        <v/>
      </c>
      <c r="F280" s="27" t="str" cm="1">
        <f t="array" ref="F280">IF($C280="","",_xlfn.XLOOKUP($A280&amp;$B280&amp;$C280,盘货信息!$A:$A&amp;盘货信息!$B:$B&amp;盘货信息!$C:$C,盘货信息!$D:$D)&amp;"元到手价")</f>
        <v/>
      </c>
      <c r="G280" s="27" t="str" cm="1">
        <f t="array" ref="G280">IF($C280="","",IF(_xlfn.XLOOKUP($A280&amp;$B280&amp;$C280,盘货信息!$A:$A&amp;盘货信息!$B:$B&amp;盘货信息!$C:$C,盘货信息!$G:$G)&lt;1,"",ROUND(_xlfn.XLOOKUP($A280&amp;$B280&amp;$C280,盘货信息!$A:$A&amp;盘货信息!$B:$B&amp;盘货信息!$C:$C,盘货信息!$G:$G),0)&amp;"元88VIP立减"))</f>
        <v/>
      </c>
      <c r="H280" s="27" t="str" cm="1">
        <f t="array" ref="H280">IF($C280="","",IF(_xlfn.XLOOKUP($A280&amp;$B280&amp;$C280,盘货信息!$A:$A&amp;盘货信息!$B:$B&amp;盘货信息!$C:$C,盘货信息!$I:$I)&lt;1,"",_xlfn.XLOOKUP($A280&amp;$B280&amp;$C280,盘货信息!$A:$A&amp;盘货信息!$B:$B&amp;盘货信息!$C:$C,盘货信息!$I:$I)&amp;"元惊喜立减"))</f>
        <v/>
      </c>
      <c r="I280" s="27" t="str" cm="1">
        <f t="array" ref="I280">IF($C280="","",IF(_xlfn.XLOOKUP($A280&amp;$B280&amp;$C280,盘货信息!$A:$A&amp;盘货信息!$B:$B&amp;盘货信息!$C:$C,盘货信息!$H:$H)&lt;1,"",ROUND(_xlfn.XLOOKUP($A280&amp;$B280&amp;$C280,盘货信息!$A:$A&amp;盘货信息!$B:$B&amp;盘货信息!$C:$C,盘货信息!$H:$H),0)&amp;"元消费券"))</f>
        <v/>
      </c>
      <c r="J280" s="27" t="str" cm="1">
        <f t="array" ref="J280">IF($C280="","",IF(_xlfn.XLOOKUP($A280&amp;$B280&amp;$C280,盘货信息!$A:$A&amp;盘货信息!$B:$B&amp;盘货信息!$C:$C,盘货信息!$J:$J)&lt;1,"",ROUND(_xlfn.XLOOKUP($A280&amp;$B280&amp;$C280,盘货信息!$A:$A&amp;盘货信息!$B:$B&amp;盘货信息!$C:$C,盘货信息!$J:$J),0)&amp;"元限时补贴"))</f>
        <v/>
      </c>
      <c r="K280" s="27" t="str" cm="1">
        <f t="array" ref="K280">IF($C280="","",IF(_xlfn.XLOOKUP($A280&amp;$B280&amp;$C280,盘货信息!$A:$A&amp;盘货信息!$B:$B&amp;盘货信息!$C:$C,盘货信息!$K:$K)&lt;1,"",ROUND(_xlfn.XLOOKUP($A280&amp;$B280&amp;$C280,盘货信息!$A:$A&amp;盘货信息!$B:$B&amp;盘货信息!$C:$C,盘货信息!$K:$K),0)&amp;"元预估焕新补贴"))</f>
        <v/>
      </c>
      <c r="L280" s="27" t="str" cm="1">
        <f t="array" ref="L280">IF($C280="","",IF(AND(_xlfn.XLOOKUP($A280&amp;$B280&amp;$C280,盘货信息!$A:$A&amp;盘货信息!$B:$B&amp;盘货信息!$C:$C,盘货信息!$L:$L)="是",_xlfn.XLOOKUP($A280&amp;$B280&amp;$C280,盘货信息!$A:$A&amp;盘货信息!$B:$B&amp;盘货信息!$C:$C,盘货信息!$M:$M)="是",_xlfn.XLOOKUP($A280&amp;$B280&amp;$C280,盘货信息!$A:$A&amp;盘货信息!$B:$B&amp;盘货信息!$C:$C,盘货信息!$K:$K)&gt;0),"【全民可用，不限地址】",IF(AND(OR(_xlfn.XLOOKUP($A280&amp;$B280&amp;$C280,盘货信息!$A:$A&amp;盘货信息!$B:$B&amp;盘货信息!$C:$C,盘货信息!$L:$L)="否",_xlfn.XLOOKUP($A280&amp;$B280&amp;$C280,盘货信息!$A:$A&amp;盘货信息!$B:$B&amp;盘货信息!$C:$C,盘货信息!$L:$L)=""),_xlfn.XLOOKUP($A280&amp;$B280&amp;$C280,盘货信息!$A:$A&amp;盘货信息!$B:$B&amp;盘货信息!$C:$C,盘货信息!$M:$M)="是",_xlfn.XLOOKUP($A280&amp;$B280&amp;$C280,盘货信息!$A:$A&amp;盘货信息!$B:$B&amp;盘货信息!$C:$C,盘货信息!$K:$K)&gt;0),"【详情页领取】","")))</f>
        <v/>
      </c>
      <c r="M280" s="27" t="str" cm="1">
        <f t="array" ref="M280">IF($C280="","",IF(_xlfn.XLOOKUP($A280&amp;$B280&amp;$C280,盘货信息!$A:$A&amp;盘货信息!$B:$B&amp;盘货信息!$C:$C,盘货信息!$F:$F)&lt;1,"",_xlfn.XLOOKUP($A280&amp;$B280&amp;$C280,盘货信息!$A:$A&amp;盘货信息!$B:$B&amp;盘货信息!$C:$C,盘货信息!$F:$F)&amp;"元明卷"))</f>
        <v/>
      </c>
      <c r="N280" s="27" t="str">
        <f t="shared" si="9"/>
        <v/>
      </c>
      <c r="O280" s="27" t="str">
        <f>IF(I280="","","【消费券链接】"&amp;固定信息!$B$6)</f>
        <v/>
      </c>
    </row>
    <row r="281" customHeight="1" spans="1:15">
      <c r="A281" s="23" t="str">
        <f>IF(盘货信息!A281="","",盘货信息!A281)</f>
        <v/>
      </c>
      <c r="B281" s="26" t="str">
        <f>IF(盘货信息!B281="","",盘货信息!B281)</f>
        <v/>
      </c>
      <c r="C281" s="23" t="str">
        <f>IF(盘货信息!C281="","",盘货信息!C281)</f>
        <v/>
      </c>
      <c r="D281" s="27" t="str">
        <f t="shared" si="8"/>
        <v/>
      </c>
      <c r="E281" s="27" t="str" cm="1">
        <f t="array" ref="E281">IF($C281="","",IF(AND(OR(_xlfn.XLOOKUP($A281&amp;$B281&amp;$C281,盘货信息!$A:$A&amp;盘货信息!$B:$B&amp;盘货信息!$C:$C,盘货信息!$L:$L)="否",_xlfn.XLOOKUP($A281&amp;$B281&amp;$C281,盘货信息!$A:$A&amp;盘货信息!$B:$B&amp;盘货信息!$C:$C,盘货信息!$L:$L)=""),_xlfn.XLOOKUP($A281&amp;$B281&amp;$C281,盘货信息!$A:$A&amp;盘货信息!$B:$B&amp;盘货信息!$C:$C,盘货信息!$M:$M)="否"),"【预估到手价"&amp;_xlfn.XLOOKUP($A281&amp;$B281&amp;$C281,盘货信息!$A:$A&amp;盘货信息!$B:$B&amp;盘货信息!$C:$C,盘货信息!$D:$D)&amp;"元】",IF(AND(_xlfn.XLOOKUP($A281&amp;$B281&amp;$C281,盘货信息!$A:$A&amp;盘货信息!$B:$B&amp;盘货信息!$C:$C,盘货信息!$M:$M)="是",OR(_xlfn.XLOOKUP($A281&amp;$B281&amp;$C281,盘货信息!$A:$A&amp;盘货信息!$B:$B&amp;盘货信息!$C:$C,盘货信息!$L:$L)="否",_xlfn.XLOOKUP($A281&amp;$B281&amp;$C281,盘货信息!$A:$A&amp;盘货信息!$B:$B&amp;盘货信息!$C:$C,盘货信息!$L:$L)="")),"【预估到手价"&amp;_xlfn.XLOOKUP($A281&amp;$B281&amp;$C281,盘货信息!$A:$A&amp;盘货信息!$B:$B&amp;盘货信息!$C:$C,盘货信息!$D:$D)&amp;"元】"&amp;CHAR(10)&amp;"【焕新补贴预估价"&amp;ROUND(_xlfn.XLOOKUP($A281&amp;$B281&amp;$C281,盘货信息!$A:$A&amp;盘货信息!$B:$B&amp;盘货信息!$C:$C,盘货信息!$E:$E),0)&amp;"元】","【焕新补贴预估价"&amp;ROUND(_xlfn.XLOOKUP($A281&amp;$B281&amp;$C281,盘货信息!$A:$A&amp;盘货信息!$B:$B&amp;盘货信息!$C:$C,盘货信息!$E:$E),0)&amp;"元】")))</f>
        <v/>
      </c>
      <c r="F281" s="27" t="str" cm="1">
        <f t="array" ref="F281">IF($C281="","",_xlfn.XLOOKUP($A281&amp;$B281&amp;$C281,盘货信息!$A:$A&amp;盘货信息!$B:$B&amp;盘货信息!$C:$C,盘货信息!$D:$D)&amp;"元到手价")</f>
        <v/>
      </c>
      <c r="G281" s="27" t="str" cm="1">
        <f t="array" ref="G281">IF($C281="","",IF(_xlfn.XLOOKUP($A281&amp;$B281&amp;$C281,盘货信息!$A:$A&amp;盘货信息!$B:$B&amp;盘货信息!$C:$C,盘货信息!$G:$G)&lt;1,"",ROUND(_xlfn.XLOOKUP($A281&amp;$B281&amp;$C281,盘货信息!$A:$A&amp;盘货信息!$B:$B&amp;盘货信息!$C:$C,盘货信息!$G:$G),0)&amp;"元88VIP立减"))</f>
        <v/>
      </c>
      <c r="H281" s="27" t="str" cm="1">
        <f t="array" ref="H281">IF($C281="","",IF(_xlfn.XLOOKUP($A281&amp;$B281&amp;$C281,盘货信息!$A:$A&amp;盘货信息!$B:$B&amp;盘货信息!$C:$C,盘货信息!$I:$I)&lt;1,"",_xlfn.XLOOKUP($A281&amp;$B281&amp;$C281,盘货信息!$A:$A&amp;盘货信息!$B:$B&amp;盘货信息!$C:$C,盘货信息!$I:$I)&amp;"元惊喜立减"))</f>
        <v/>
      </c>
      <c r="I281" s="27" t="str" cm="1">
        <f t="array" ref="I281">IF($C281="","",IF(_xlfn.XLOOKUP($A281&amp;$B281&amp;$C281,盘货信息!$A:$A&amp;盘货信息!$B:$B&amp;盘货信息!$C:$C,盘货信息!$H:$H)&lt;1,"",ROUND(_xlfn.XLOOKUP($A281&amp;$B281&amp;$C281,盘货信息!$A:$A&amp;盘货信息!$B:$B&amp;盘货信息!$C:$C,盘货信息!$H:$H),0)&amp;"元消费券"))</f>
        <v/>
      </c>
      <c r="J281" s="27" t="str" cm="1">
        <f t="array" ref="J281">IF($C281="","",IF(_xlfn.XLOOKUP($A281&amp;$B281&amp;$C281,盘货信息!$A:$A&amp;盘货信息!$B:$B&amp;盘货信息!$C:$C,盘货信息!$J:$J)&lt;1,"",ROUND(_xlfn.XLOOKUP($A281&amp;$B281&amp;$C281,盘货信息!$A:$A&amp;盘货信息!$B:$B&amp;盘货信息!$C:$C,盘货信息!$J:$J),0)&amp;"元限时补贴"))</f>
        <v/>
      </c>
      <c r="K281" s="27" t="str" cm="1">
        <f t="array" ref="K281">IF($C281="","",IF(_xlfn.XLOOKUP($A281&amp;$B281&amp;$C281,盘货信息!$A:$A&amp;盘货信息!$B:$B&amp;盘货信息!$C:$C,盘货信息!$K:$K)&lt;1,"",ROUND(_xlfn.XLOOKUP($A281&amp;$B281&amp;$C281,盘货信息!$A:$A&amp;盘货信息!$B:$B&amp;盘货信息!$C:$C,盘货信息!$K:$K),0)&amp;"元预估焕新补贴"))</f>
        <v/>
      </c>
      <c r="L281" s="27" t="str" cm="1">
        <f t="array" ref="L281">IF($C281="","",IF(AND(_xlfn.XLOOKUP($A281&amp;$B281&amp;$C281,盘货信息!$A:$A&amp;盘货信息!$B:$B&amp;盘货信息!$C:$C,盘货信息!$L:$L)="是",_xlfn.XLOOKUP($A281&amp;$B281&amp;$C281,盘货信息!$A:$A&amp;盘货信息!$B:$B&amp;盘货信息!$C:$C,盘货信息!$M:$M)="是",_xlfn.XLOOKUP($A281&amp;$B281&amp;$C281,盘货信息!$A:$A&amp;盘货信息!$B:$B&amp;盘货信息!$C:$C,盘货信息!$K:$K)&gt;0),"【全民可用，不限地址】",IF(AND(OR(_xlfn.XLOOKUP($A281&amp;$B281&amp;$C281,盘货信息!$A:$A&amp;盘货信息!$B:$B&amp;盘货信息!$C:$C,盘货信息!$L:$L)="否",_xlfn.XLOOKUP($A281&amp;$B281&amp;$C281,盘货信息!$A:$A&amp;盘货信息!$B:$B&amp;盘货信息!$C:$C,盘货信息!$L:$L)=""),_xlfn.XLOOKUP($A281&amp;$B281&amp;$C281,盘货信息!$A:$A&amp;盘货信息!$B:$B&amp;盘货信息!$C:$C,盘货信息!$M:$M)="是",_xlfn.XLOOKUP($A281&amp;$B281&amp;$C281,盘货信息!$A:$A&amp;盘货信息!$B:$B&amp;盘货信息!$C:$C,盘货信息!$K:$K)&gt;0),"【详情页领取】","")))</f>
        <v/>
      </c>
      <c r="M281" s="27" t="str" cm="1">
        <f t="array" ref="M281">IF($C281="","",IF(_xlfn.XLOOKUP($A281&amp;$B281&amp;$C281,盘货信息!$A:$A&amp;盘货信息!$B:$B&amp;盘货信息!$C:$C,盘货信息!$F:$F)&lt;1,"",_xlfn.XLOOKUP($A281&amp;$B281&amp;$C281,盘货信息!$A:$A&amp;盘货信息!$B:$B&amp;盘货信息!$C:$C,盘货信息!$F:$F)&amp;"元明卷"))</f>
        <v/>
      </c>
      <c r="N281" s="27" t="str">
        <f t="shared" si="9"/>
        <v/>
      </c>
      <c r="O281" s="27" t="str">
        <f>IF(I281="","","【消费券链接】"&amp;固定信息!$B$6)</f>
        <v/>
      </c>
    </row>
    <row r="282" customHeight="1" spans="1:15">
      <c r="A282" s="23" t="str">
        <f>IF(盘货信息!A282="","",盘货信息!A282)</f>
        <v/>
      </c>
      <c r="B282" s="26" t="str">
        <f>IF(盘货信息!B282="","",盘货信息!B282)</f>
        <v/>
      </c>
      <c r="C282" s="23" t="str">
        <f>IF(盘货信息!C282="","",盘货信息!C282)</f>
        <v/>
      </c>
      <c r="D282" s="27" t="str">
        <f t="shared" si="8"/>
        <v/>
      </c>
      <c r="E282" s="27" t="str" cm="1">
        <f t="array" ref="E282">IF($C282="","",IF(AND(OR(_xlfn.XLOOKUP($A282&amp;$B282&amp;$C282,盘货信息!$A:$A&amp;盘货信息!$B:$B&amp;盘货信息!$C:$C,盘货信息!$L:$L)="否",_xlfn.XLOOKUP($A282&amp;$B282&amp;$C282,盘货信息!$A:$A&amp;盘货信息!$B:$B&amp;盘货信息!$C:$C,盘货信息!$L:$L)=""),_xlfn.XLOOKUP($A282&amp;$B282&amp;$C282,盘货信息!$A:$A&amp;盘货信息!$B:$B&amp;盘货信息!$C:$C,盘货信息!$M:$M)="否"),"【预估到手价"&amp;_xlfn.XLOOKUP($A282&amp;$B282&amp;$C282,盘货信息!$A:$A&amp;盘货信息!$B:$B&amp;盘货信息!$C:$C,盘货信息!$D:$D)&amp;"元】",IF(AND(_xlfn.XLOOKUP($A282&amp;$B282&amp;$C282,盘货信息!$A:$A&amp;盘货信息!$B:$B&amp;盘货信息!$C:$C,盘货信息!$M:$M)="是",OR(_xlfn.XLOOKUP($A282&amp;$B282&amp;$C282,盘货信息!$A:$A&amp;盘货信息!$B:$B&amp;盘货信息!$C:$C,盘货信息!$L:$L)="否",_xlfn.XLOOKUP($A282&amp;$B282&amp;$C282,盘货信息!$A:$A&amp;盘货信息!$B:$B&amp;盘货信息!$C:$C,盘货信息!$L:$L)="")),"【预估到手价"&amp;_xlfn.XLOOKUP($A282&amp;$B282&amp;$C282,盘货信息!$A:$A&amp;盘货信息!$B:$B&amp;盘货信息!$C:$C,盘货信息!$D:$D)&amp;"元】"&amp;CHAR(10)&amp;"【焕新补贴预估价"&amp;ROUND(_xlfn.XLOOKUP($A282&amp;$B282&amp;$C282,盘货信息!$A:$A&amp;盘货信息!$B:$B&amp;盘货信息!$C:$C,盘货信息!$E:$E),0)&amp;"元】","【焕新补贴预估价"&amp;ROUND(_xlfn.XLOOKUP($A282&amp;$B282&amp;$C282,盘货信息!$A:$A&amp;盘货信息!$B:$B&amp;盘货信息!$C:$C,盘货信息!$E:$E),0)&amp;"元】")))</f>
        <v/>
      </c>
      <c r="F282" s="27" t="str" cm="1">
        <f t="array" ref="F282">IF($C282="","",_xlfn.XLOOKUP($A282&amp;$B282&amp;$C282,盘货信息!$A:$A&amp;盘货信息!$B:$B&amp;盘货信息!$C:$C,盘货信息!$D:$D)&amp;"元到手价")</f>
        <v/>
      </c>
      <c r="G282" s="27" t="str" cm="1">
        <f t="array" ref="G282">IF($C282="","",IF(_xlfn.XLOOKUP($A282&amp;$B282&amp;$C282,盘货信息!$A:$A&amp;盘货信息!$B:$B&amp;盘货信息!$C:$C,盘货信息!$G:$G)&lt;1,"",ROUND(_xlfn.XLOOKUP($A282&amp;$B282&amp;$C282,盘货信息!$A:$A&amp;盘货信息!$B:$B&amp;盘货信息!$C:$C,盘货信息!$G:$G),0)&amp;"元88VIP立减"))</f>
        <v/>
      </c>
      <c r="H282" s="27" t="str" cm="1">
        <f t="array" ref="H282">IF($C282="","",IF(_xlfn.XLOOKUP($A282&amp;$B282&amp;$C282,盘货信息!$A:$A&amp;盘货信息!$B:$B&amp;盘货信息!$C:$C,盘货信息!$I:$I)&lt;1,"",_xlfn.XLOOKUP($A282&amp;$B282&amp;$C282,盘货信息!$A:$A&amp;盘货信息!$B:$B&amp;盘货信息!$C:$C,盘货信息!$I:$I)&amp;"元惊喜立减"))</f>
        <v/>
      </c>
      <c r="I282" s="27" t="str" cm="1">
        <f t="array" ref="I282">IF($C282="","",IF(_xlfn.XLOOKUP($A282&amp;$B282&amp;$C282,盘货信息!$A:$A&amp;盘货信息!$B:$B&amp;盘货信息!$C:$C,盘货信息!$H:$H)&lt;1,"",ROUND(_xlfn.XLOOKUP($A282&amp;$B282&amp;$C282,盘货信息!$A:$A&amp;盘货信息!$B:$B&amp;盘货信息!$C:$C,盘货信息!$H:$H),0)&amp;"元消费券"))</f>
        <v/>
      </c>
      <c r="J282" s="27" t="str" cm="1">
        <f t="array" ref="J282">IF($C282="","",IF(_xlfn.XLOOKUP($A282&amp;$B282&amp;$C282,盘货信息!$A:$A&amp;盘货信息!$B:$B&amp;盘货信息!$C:$C,盘货信息!$J:$J)&lt;1,"",ROUND(_xlfn.XLOOKUP($A282&amp;$B282&amp;$C282,盘货信息!$A:$A&amp;盘货信息!$B:$B&amp;盘货信息!$C:$C,盘货信息!$J:$J),0)&amp;"元限时补贴"))</f>
        <v/>
      </c>
      <c r="K282" s="27" t="str" cm="1">
        <f t="array" ref="K282">IF($C282="","",IF(_xlfn.XLOOKUP($A282&amp;$B282&amp;$C282,盘货信息!$A:$A&amp;盘货信息!$B:$B&amp;盘货信息!$C:$C,盘货信息!$K:$K)&lt;1,"",ROUND(_xlfn.XLOOKUP($A282&amp;$B282&amp;$C282,盘货信息!$A:$A&amp;盘货信息!$B:$B&amp;盘货信息!$C:$C,盘货信息!$K:$K),0)&amp;"元预估焕新补贴"))</f>
        <v/>
      </c>
      <c r="L282" s="27" t="str" cm="1">
        <f t="array" ref="L282">IF($C282="","",IF(AND(_xlfn.XLOOKUP($A282&amp;$B282&amp;$C282,盘货信息!$A:$A&amp;盘货信息!$B:$B&amp;盘货信息!$C:$C,盘货信息!$L:$L)="是",_xlfn.XLOOKUP($A282&amp;$B282&amp;$C282,盘货信息!$A:$A&amp;盘货信息!$B:$B&amp;盘货信息!$C:$C,盘货信息!$M:$M)="是",_xlfn.XLOOKUP($A282&amp;$B282&amp;$C282,盘货信息!$A:$A&amp;盘货信息!$B:$B&amp;盘货信息!$C:$C,盘货信息!$K:$K)&gt;0),"【全民可用，不限地址】",IF(AND(OR(_xlfn.XLOOKUP($A282&amp;$B282&amp;$C282,盘货信息!$A:$A&amp;盘货信息!$B:$B&amp;盘货信息!$C:$C,盘货信息!$L:$L)="否",_xlfn.XLOOKUP($A282&amp;$B282&amp;$C282,盘货信息!$A:$A&amp;盘货信息!$B:$B&amp;盘货信息!$C:$C,盘货信息!$L:$L)=""),_xlfn.XLOOKUP($A282&amp;$B282&amp;$C282,盘货信息!$A:$A&amp;盘货信息!$B:$B&amp;盘货信息!$C:$C,盘货信息!$M:$M)="是",_xlfn.XLOOKUP($A282&amp;$B282&amp;$C282,盘货信息!$A:$A&amp;盘货信息!$B:$B&amp;盘货信息!$C:$C,盘货信息!$K:$K)&gt;0),"【详情页领取】","")))</f>
        <v/>
      </c>
      <c r="M282" s="27" t="str" cm="1">
        <f t="array" ref="M282">IF($C282="","",IF(_xlfn.XLOOKUP($A282&amp;$B282&amp;$C282,盘货信息!$A:$A&amp;盘货信息!$B:$B&amp;盘货信息!$C:$C,盘货信息!$F:$F)&lt;1,"",_xlfn.XLOOKUP($A282&amp;$B282&amp;$C282,盘货信息!$A:$A&amp;盘货信息!$B:$B&amp;盘货信息!$C:$C,盘货信息!$F:$F)&amp;"元明卷"))</f>
        <v/>
      </c>
      <c r="N282" s="27" t="str">
        <f t="shared" si="9"/>
        <v/>
      </c>
      <c r="O282" s="27" t="str">
        <f>IF(I282="","","【消费券链接】"&amp;固定信息!$B$6)</f>
        <v/>
      </c>
    </row>
    <row r="283" customHeight="1" spans="1:15">
      <c r="A283" s="23" t="str">
        <f>IF(盘货信息!A283="","",盘货信息!A283)</f>
        <v/>
      </c>
      <c r="B283" s="26" t="str">
        <f>IF(盘货信息!B283="","",盘货信息!B283)</f>
        <v/>
      </c>
      <c r="C283" s="23" t="str">
        <f>IF(盘货信息!C283="","",盘货信息!C283)</f>
        <v/>
      </c>
      <c r="D283" s="27" t="str">
        <f t="shared" si="8"/>
        <v/>
      </c>
      <c r="E283" s="27" t="str" cm="1">
        <f t="array" ref="E283">IF($C283="","",IF(AND(OR(_xlfn.XLOOKUP($A283&amp;$B283&amp;$C283,盘货信息!$A:$A&amp;盘货信息!$B:$B&amp;盘货信息!$C:$C,盘货信息!$L:$L)="否",_xlfn.XLOOKUP($A283&amp;$B283&amp;$C283,盘货信息!$A:$A&amp;盘货信息!$B:$B&amp;盘货信息!$C:$C,盘货信息!$L:$L)=""),_xlfn.XLOOKUP($A283&amp;$B283&amp;$C283,盘货信息!$A:$A&amp;盘货信息!$B:$B&amp;盘货信息!$C:$C,盘货信息!$M:$M)="否"),"【预估到手价"&amp;_xlfn.XLOOKUP($A283&amp;$B283&amp;$C283,盘货信息!$A:$A&amp;盘货信息!$B:$B&amp;盘货信息!$C:$C,盘货信息!$D:$D)&amp;"元】",IF(AND(_xlfn.XLOOKUP($A283&amp;$B283&amp;$C283,盘货信息!$A:$A&amp;盘货信息!$B:$B&amp;盘货信息!$C:$C,盘货信息!$M:$M)="是",OR(_xlfn.XLOOKUP($A283&amp;$B283&amp;$C283,盘货信息!$A:$A&amp;盘货信息!$B:$B&amp;盘货信息!$C:$C,盘货信息!$L:$L)="否",_xlfn.XLOOKUP($A283&amp;$B283&amp;$C283,盘货信息!$A:$A&amp;盘货信息!$B:$B&amp;盘货信息!$C:$C,盘货信息!$L:$L)="")),"【预估到手价"&amp;_xlfn.XLOOKUP($A283&amp;$B283&amp;$C283,盘货信息!$A:$A&amp;盘货信息!$B:$B&amp;盘货信息!$C:$C,盘货信息!$D:$D)&amp;"元】"&amp;CHAR(10)&amp;"【焕新补贴预估价"&amp;ROUND(_xlfn.XLOOKUP($A283&amp;$B283&amp;$C283,盘货信息!$A:$A&amp;盘货信息!$B:$B&amp;盘货信息!$C:$C,盘货信息!$E:$E),0)&amp;"元】","【焕新补贴预估价"&amp;ROUND(_xlfn.XLOOKUP($A283&amp;$B283&amp;$C283,盘货信息!$A:$A&amp;盘货信息!$B:$B&amp;盘货信息!$C:$C,盘货信息!$E:$E),0)&amp;"元】")))</f>
        <v/>
      </c>
      <c r="F283" s="27" t="str" cm="1">
        <f t="array" ref="F283">IF($C283="","",_xlfn.XLOOKUP($A283&amp;$B283&amp;$C283,盘货信息!$A:$A&amp;盘货信息!$B:$B&amp;盘货信息!$C:$C,盘货信息!$D:$D)&amp;"元到手价")</f>
        <v/>
      </c>
      <c r="G283" s="27" t="str" cm="1">
        <f t="array" ref="G283">IF($C283="","",IF(_xlfn.XLOOKUP($A283&amp;$B283&amp;$C283,盘货信息!$A:$A&amp;盘货信息!$B:$B&amp;盘货信息!$C:$C,盘货信息!$G:$G)&lt;1,"",ROUND(_xlfn.XLOOKUP($A283&amp;$B283&amp;$C283,盘货信息!$A:$A&amp;盘货信息!$B:$B&amp;盘货信息!$C:$C,盘货信息!$G:$G),0)&amp;"元88VIP立减"))</f>
        <v/>
      </c>
      <c r="H283" s="27" t="str" cm="1">
        <f t="array" ref="H283">IF($C283="","",IF(_xlfn.XLOOKUP($A283&amp;$B283&amp;$C283,盘货信息!$A:$A&amp;盘货信息!$B:$B&amp;盘货信息!$C:$C,盘货信息!$I:$I)&lt;1,"",_xlfn.XLOOKUP($A283&amp;$B283&amp;$C283,盘货信息!$A:$A&amp;盘货信息!$B:$B&amp;盘货信息!$C:$C,盘货信息!$I:$I)&amp;"元惊喜立减"))</f>
        <v/>
      </c>
      <c r="I283" s="27" t="str" cm="1">
        <f t="array" ref="I283">IF($C283="","",IF(_xlfn.XLOOKUP($A283&amp;$B283&amp;$C283,盘货信息!$A:$A&amp;盘货信息!$B:$B&amp;盘货信息!$C:$C,盘货信息!$H:$H)&lt;1,"",ROUND(_xlfn.XLOOKUP($A283&amp;$B283&amp;$C283,盘货信息!$A:$A&amp;盘货信息!$B:$B&amp;盘货信息!$C:$C,盘货信息!$H:$H),0)&amp;"元消费券"))</f>
        <v/>
      </c>
      <c r="J283" s="27" t="str" cm="1">
        <f t="array" ref="J283">IF($C283="","",IF(_xlfn.XLOOKUP($A283&amp;$B283&amp;$C283,盘货信息!$A:$A&amp;盘货信息!$B:$B&amp;盘货信息!$C:$C,盘货信息!$J:$J)&lt;1,"",ROUND(_xlfn.XLOOKUP($A283&amp;$B283&amp;$C283,盘货信息!$A:$A&amp;盘货信息!$B:$B&amp;盘货信息!$C:$C,盘货信息!$J:$J),0)&amp;"元限时补贴"))</f>
        <v/>
      </c>
      <c r="K283" s="27" t="str" cm="1">
        <f t="array" ref="K283">IF($C283="","",IF(_xlfn.XLOOKUP($A283&amp;$B283&amp;$C283,盘货信息!$A:$A&amp;盘货信息!$B:$B&amp;盘货信息!$C:$C,盘货信息!$K:$K)&lt;1,"",ROUND(_xlfn.XLOOKUP($A283&amp;$B283&amp;$C283,盘货信息!$A:$A&amp;盘货信息!$B:$B&amp;盘货信息!$C:$C,盘货信息!$K:$K),0)&amp;"元预估焕新补贴"))</f>
        <v/>
      </c>
      <c r="L283" s="27" t="str" cm="1">
        <f t="array" ref="L283">IF($C283="","",IF(AND(_xlfn.XLOOKUP($A283&amp;$B283&amp;$C283,盘货信息!$A:$A&amp;盘货信息!$B:$B&amp;盘货信息!$C:$C,盘货信息!$L:$L)="是",_xlfn.XLOOKUP($A283&amp;$B283&amp;$C283,盘货信息!$A:$A&amp;盘货信息!$B:$B&amp;盘货信息!$C:$C,盘货信息!$M:$M)="是",_xlfn.XLOOKUP($A283&amp;$B283&amp;$C283,盘货信息!$A:$A&amp;盘货信息!$B:$B&amp;盘货信息!$C:$C,盘货信息!$K:$K)&gt;0),"【全民可用，不限地址】",IF(AND(OR(_xlfn.XLOOKUP($A283&amp;$B283&amp;$C283,盘货信息!$A:$A&amp;盘货信息!$B:$B&amp;盘货信息!$C:$C,盘货信息!$L:$L)="否",_xlfn.XLOOKUP($A283&amp;$B283&amp;$C283,盘货信息!$A:$A&amp;盘货信息!$B:$B&amp;盘货信息!$C:$C,盘货信息!$L:$L)=""),_xlfn.XLOOKUP($A283&amp;$B283&amp;$C283,盘货信息!$A:$A&amp;盘货信息!$B:$B&amp;盘货信息!$C:$C,盘货信息!$M:$M)="是",_xlfn.XLOOKUP($A283&amp;$B283&amp;$C283,盘货信息!$A:$A&amp;盘货信息!$B:$B&amp;盘货信息!$C:$C,盘货信息!$K:$K)&gt;0),"【详情页领取】","")))</f>
        <v/>
      </c>
      <c r="M283" s="27" t="str" cm="1">
        <f t="array" ref="M283">IF($C283="","",IF(_xlfn.XLOOKUP($A283&amp;$B283&amp;$C283,盘货信息!$A:$A&amp;盘货信息!$B:$B&amp;盘货信息!$C:$C,盘货信息!$F:$F)&lt;1,"",_xlfn.XLOOKUP($A283&amp;$B283&amp;$C283,盘货信息!$A:$A&amp;盘货信息!$B:$B&amp;盘货信息!$C:$C,盘货信息!$F:$F)&amp;"元明卷"))</f>
        <v/>
      </c>
      <c r="N283" s="27" t="str">
        <f t="shared" si="9"/>
        <v/>
      </c>
      <c r="O283" s="27" t="str">
        <f>IF(I283="","","【消费券链接】"&amp;固定信息!$B$6)</f>
        <v/>
      </c>
    </row>
    <row r="284" customHeight="1" spans="1:15">
      <c r="A284" s="23" t="str">
        <f>IF(盘货信息!A284="","",盘货信息!A284)</f>
        <v/>
      </c>
      <c r="B284" s="26" t="str">
        <f>IF(盘货信息!B284="","",盘货信息!B284)</f>
        <v/>
      </c>
      <c r="C284" s="23" t="str">
        <f>IF(盘货信息!C284="","",盘货信息!C284)</f>
        <v/>
      </c>
      <c r="D284" s="27" t="str">
        <f t="shared" si="8"/>
        <v/>
      </c>
      <c r="E284" s="27" t="str" cm="1">
        <f t="array" ref="E284">IF($C284="","",IF(AND(OR(_xlfn.XLOOKUP($A284&amp;$B284&amp;$C284,盘货信息!$A:$A&amp;盘货信息!$B:$B&amp;盘货信息!$C:$C,盘货信息!$L:$L)="否",_xlfn.XLOOKUP($A284&amp;$B284&amp;$C284,盘货信息!$A:$A&amp;盘货信息!$B:$B&amp;盘货信息!$C:$C,盘货信息!$L:$L)=""),_xlfn.XLOOKUP($A284&amp;$B284&amp;$C284,盘货信息!$A:$A&amp;盘货信息!$B:$B&amp;盘货信息!$C:$C,盘货信息!$M:$M)="否"),"【预估到手价"&amp;_xlfn.XLOOKUP($A284&amp;$B284&amp;$C284,盘货信息!$A:$A&amp;盘货信息!$B:$B&amp;盘货信息!$C:$C,盘货信息!$D:$D)&amp;"元】",IF(AND(_xlfn.XLOOKUP($A284&amp;$B284&amp;$C284,盘货信息!$A:$A&amp;盘货信息!$B:$B&amp;盘货信息!$C:$C,盘货信息!$M:$M)="是",OR(_xlfn.XLOOKUP($A284&amp;$B284&amp;$C284,盘货信息!$A:$A&amp;盘货信息!$B:$B&amp;盘货信息!$C:$C,盘货信息!$L:$L)="否",_xlfn.XLOOKUP($A284&amp;$B284&amp;$C284,盘货信息!$A:$A&amp;盘货信息!$B:$B&amp;盘货信息!$C:$C,盘货信息!$L:$L)="")),"【预估到手价"&amp;_xlfn.XLOOKUP($A284&amp;$B284&amp;$C284,盘货信息!$A:$A&amp;盘货信息!$B:$B&amp;盘货信息!$C:$C,盘货信息!$D:$D)&amp;"元】"&amp;CHAR(10)&amp;"【焕新补贴预估价"&amp;ROUND(_xlfn.XLOOKUP($A284&amp;$B284&amp;$C284,盘货信息!$A:$A&amp;盘货信息!$B:$B&amp;盘货信息!$C:$C,盘货信息!$E:$E),0)&amp;"元】","【焕新补贴预估价"&amp;ROUND(_xlfn.XLOOKUP($A284&amp;$B284&amp;$C284,盘货信息!$A:$A&amp;盘货信息!$B:$B&amp;盘货信息!$C:$C,盘货信息!$E:$E),0)&amp;"元】")))</f>
        <v/>
      </c>
      <c r="F284" s="27" t="str" cm="1">
        <f t="array" ref="F284">IF($C284="","",_xlfn.XLOOKUP($A284&amp;$B284&amp;$C284,盘货信息!$A:$A&amp;盘货信息!$B:$B&amp;盘货信息!$C:$C,盘货信息!$D:$D)&amp;"元到手价")</f>
        <v/>
      </c>
      <c r="G284" s="27" t="str" cm="1">
        <f t="array" ref="G284">IF($C284="","",IF(_xlfn.XLOOKUP($A284&amp;$B284&amp;$C284,盘货信息!$A:$A&amp;盘货信息!$B:$B&amp;盘货信息!$C:$C,盘货信息!$G:$G)&lt;1,"",ROUND(_xlfn.XLOOKUP($A284&amp;$B284&amp;$C284,盘货信息!$A:$A&amp;盘货信息!$B:$B&amp;盘货信息!$C:$C,盘货信息!$G:$G),0)&amp;"元88VIP立减"))</f>
        <v/>
      </c>
      <c r="H284" s="27" t="str" cm="1">
        <f t="array" ref="H284">IF($C284="","",IF(_xlfn.XLOOKUP($A284&amp;$B284&amp;$C284,盘货信息!$A:$A&amp;盘货信息!$B:$B&amp;盘货信息!$C:$C,盘货信息!$I:$I)&lt;1,"",_xlfn.XLOOKUP($A284&amp;$B284&amp;$C284,盘货信息!$A:$A&amp;盘货信息!$B:$B&amp;盘货信息!$C:$C,盘货信息!$I:$I)&amp;"元惊喜立减"))</f>
        <v/>
      </c>
      <c r="I284" s="27" t="str" cm="1">
        <f t="array" ref="I284">IF($C284="","",IF(_xlfn.XLOOKUP($A284&amp;$B284&amp;$C284,盘货信息!$A:$A&amp;盘货信息!$B:$B&amp;盘货信息!$C:$C,盘货信息!$H:$H)&lt;1,"",ROUND(_xlfn.XLOOKUP($A284&amp;$B284&amp;$C284,盘货信息!$A:$A&amp;盘货信息!$B:$B&amp;盘货信息!$C:$C,盘货信息!$H:$H),0)&amp;"元消费券"))</f>
        <v/>
      </c>
      <c r="J284" s="27" t="str" cm="1">
        <f t="array" ref="J284">IF($C284="","",IF(_xlfn.XLOOKUP($A284&amp;$B284&amp;$C284,盘货信息!$A:$A&amp;盘货信息!$B:$B&amp;盘货信息!$C:$C,盘货信息!$J:$J)&lt;1,"",ROUND(_xlfn.XLOOKUP($A284&amp;$B284&amp;$C284,盘货信息!$A:$A&amp;盘货信息!$B:$B&amp;盘货信息!$C:$C,盘货信息!$J:$J),0)&amp;"元限时补贴"))</f>
        <v/>
      </c>
      <c r="K284" s="27" t="str" cm="1">
        <f t="array" ref="K284">IF($C284="","",IF(_xlfn.XLOOKUP($A284&amp;$B284&amp;$C284,盘货信息!$A:$A&amp;盘货信息!$B:$B&amp;盘货信息!$C:$C,盘货信息!$K:$K)&lt;1,"",ROUND(_xlfn.XLOOKUP($A284&amp;$B284&amp;$C284,盘货信息!$A:$A&amp;盘货信息!$B:$B&amp;盘货信息!$C:$C,盘货信息!$K:$K),0)&amp;"元预估焕新补贴"))</f>
        <v/>
      </c>
      <c r="L284" s="27" t="str" cm="1">
        <f t="array" ref="L284">IF($C284="","",IF(AND(_xlfn.XLOOKUP($A284&amp;$B284&amp;$C284,盘货信息!$A:$A&amp;盘货信息!$B:$B&amp;盘货信息!$C:$C,盘货信息!$L:$L)="是",_xlfn.XLOOKUP($A284&amp;$B284&amp;$C284,盘货信息!$A:$A&amp;盘货信息!$B:$B&amp;盘货信息!$C:$C,盘货信息!$M:$M)="是",_xlfn.XLOOKUP($A284&amp;$B284&amp;$C284,盘货信息!$A:$A&amp;盘货信息!$B:$B&amp;盘货信息!$C:$C,盘货信息!$K:$K)&gt;0),"【全民可用，不限地址】",IF(AND(OR(_xlfn.XLOOKUP($A284&amp;$B284&amp;$C284,盘货信息!$A:$A&amp;盘货信息!$B:$B&amp;盘货信息!$C:$C,盘货信息!$L:$L)="否",_xlfn.XLOOKUP($A284&amp;$B284&amp;$C284,盘货信息!$A:$A&amp;盘货信息!$B:$B&amp;盘货信息!$C:$C,盘货信息!$L:$L)=""),_xlfn.XLOOKUP($A284&amp;$B284&amp;$C284,盘货信息!$A:$A&amp;盘货信息!$B:$B&amp;盘货信息!$C:$C,盘货信息!$M:$M)="是",_xlfn.XLOOKUP($A284&amp;$B284&amp;$C284,盘货信息!$A:$A&amp;盘货信息!$B:$B&amp;盘货信息!$C:$C,盘货信息!$K:$K)&gt;0),"【详情页领取】","")))</f>
        <v/>
      </c>
      <c r="M284" s="27" t="str" cm="1">
        <f t="array" ref="M284">IF($C284="","",IF(_xlfn.XLOOKUP($A284&amp;$B284&amp;$C284,盘货信息!$A:$A&amp;盘货信息!$B:$B&amp;盘货信息!$C:$C,盘货信息!$F:$F)&lt;1,"",_xlfn.XLOOKUP($A284&amp;$B284&amp;$C284,盘货信息!$A:$A&amp;盘货信息!$B:$B&amp;盘货信息!$C:$C,盘货信息!$F:$F)&amp;"元明卷"))</f>
        <v/>
      </c>
      <c r="N284" s="27" t="str">
        <f t="shared" si="9"/>
        <v/>
      </c>
      <c r="O284" s="27" t="str">
        <f>IF(I284="","","【消费券链接】"&amp;固定信息!$B$6)</f>
        <v/>
      </c>
    </row>
    <row r="285" customHeight="1" spans="1:15">
      <c r="A285" s="23" t="str">
        <f>IF(盘货信息!A285="","",盘货信息!A285)</f>
        <v/>
      </c>
      <c r="B285" s="26" t="str">
        <f>IF(盘货信息!B285="","",盘货信息!B285)</f>
        <v/>
      </c>
      <c r="C285" s="23" t="str">
        <f>IF(盘货信息!C285="","",盘货信息!C285)</f>
        <v/>
      </c>
      <c r="D285" s="27" t="str">
        <f t="shared" si="8"/>
        <v/>
      </c>
      <c r="E285" s="27" t="str" cm="1">
        <f t="array" ref="E285">IF($C285="","",IF(AND(OR(_xlfn.XLOOKUP($A285&amp;$B285&amp;$C285,盘货信息!$A:$A&amp;盘货信息!$B:$B&amp;盘货信息!$C:$C,盘货信息!$L:$L)="否",_xlfn.XLOOKUP($A285&amp;$B285&amp;$C285,盘货信息!$A:$A&amp;盘货信息!$B:$B&amp;盘货信息!$C:$C,盘货信息!$L:$L)=""),_xlfn.XLOOKUP($A285&amp;$B285&amp;$C285,盘货信息!$A:$A&amp;盘货信息!$B:$B&amp;盘货信息!$C:$C,盘货信息!$M:$M)="否"),"【预估到手价"&amp;_xlfn.XLOOKUP($A285&amp;$B285&amp;$C285,盘货信息!$A:$A&amp;盘货信息!$B:$B&amp;盘货信息!$C:$C,盘货信息!$D:$D)&amp;"元】",IF(AND(_xlfn.XLOOKUP($A285&amp;$B285&amp;$C285,盘货信息!$A:$A&amp;盘货信息!$B:$B&amp;盘货信息!$C:$C,盘货信息!$M:$M)="是",OR(_xlfn.XLOOKUP($A285&amp;$B285&amp;$C285,盘货信息!$A:$A&amp;盘货信息!$B:$B&amp;盘货信息!$C:$C,盘货信息!$L:$L)="否",_xlfn.XLOOKUP($A285&amp;$B285&amp;$C285,盘货信息!$A:$A&amp;盘货信息!$B:$B&amp;盘货信息!$C:$C,盘货信息!$L:$L)="")),"【预估到手价"&amp;_xlfn.XLOOKUP($A285&amp;$B285&amp;$C285,盘货信息!$A:$A&amp;盘货信息!$B:$B&amp;盘货信息!$C:$C,盘货信息!$D:$D)&amp;"元】"&amp;CHAR(10)&amp;"【焕新补贴预估价"&amp;ROUND(_xlfn.XLOOKUP($A285&amp;$B285&amp;$C285,盘货信息!$A:$A&amp;盘货信息!$B:$B&amp;盘货信息!$C:$C,盘货信息!$E:$E),0)&amp;"元】","【焕新补贴预估价"&amp;ROUND(_xlfn.XLOOKUP($A285&amp;$B285&amp;$C285,盘货信息!$A:$A&amp;盘货信息!$B:$B&amp;盘货信息!$C:$C,盘货信息!$E:$E),0)&amp;"元】")))</f>
        <v/>
      </c>
      <c r="F285" s="27" t="str" cm="1">
        <f t="array" ref="F285">IF($C285="","",_xlfn.XLOOKUP($A285&amp;$B285&amp;$C285,盘货信息!$A:$A&amp;盘货信息!$B:$B&amp;盘货信息!$C:$C,盘货信息!$D:$D)&amp;"元到手价")</f>
        <v/>
      </c>
      <c r="G285" s="27" t="str" cm="1">
        <f t="array" ref="G285">IF($C285="","",IF(_xlfn.XLOOKUP($A285&amp;$B285&amp;$C285,盘货信息!$A:$A&amp;盘货信息!$B:$B&amp;盘货信息!$C:$C,盘货信息!$G:$G)&lt;1,"",ROUND(_xlfn.XLOOKUP($A285&amp;$B285&amp;$C285,盘货信息!$A:$A&amp;盘货信息!$B:$B&amp;盘货信息!$C:$C,盘货信息!$G:$G),0)&amp;"元88VIP立减"))</f>
        <v/>
      </c>
      <c r="H285" s="27" t="str" cm="1">
        <f t="array" ref="H285">IF($C285="","",IF(_xlfn.XLOOKUP($A285&amp;$B285&amp;$C285,盘货信息!$A:$A&amp;盘货信息!$B:$B&amp;盘货信息!$C:$C,盘货信息!$I:$I)&lt;1,"",_xlfn.XLOOKUP($A285&amp;$B285&amp;$C285,盘货信息!$A:$A&amp;盘货信息!$B:$B&amp;盘货信息!$C:$C,盘货信息!$I:$I)&amp;"元惊喜立减"))</f>
        <v/>
      </c>
      <c r="I285" s="27" t="str" cm="1">
        <f t="array" ref="I285">IF($C285="","",IF(_xlfn.XLOOKUP($A285&amp;$B285&amp;$C285,盘货信息!$A:$A&amp;盘货信息!$B:$B&amp;盘货信息!$C:$C,盘货信息!$H:$H)&lt;1,"",ROUND(_xlfn.XLOOKUP($A285&amp;$B285&amp;$C285,盘货信息!$A:$A&amp;盘货信息!$B:$B&amp;盘货信息!$C:$C,盘货信息!$H:$H),0)&amp;"元消费券"))</f>
        <v/>
      </c>
      <c r="J285" s="27" t="str" cm="1">
        <f t="array" ref="J285">IF($C285="","",IF(_xlfn.XLOOKUP($A285&amp;$B285&amp;$C285,盘货信息!$A:$A&amp;盘货信息!$B:$B&amp;盘货信息!$C:$C,盘货信息!$J:$J)&lt;1,"",ROUND(_xlfn.XLOOKUP($A285&amp;$B285&amp;$C285,盘货信息!$A:$A&amp;盘货信息!$B:$B&amp;盘货信息!$C:$C,盘货信息!$J:$J),0)&amp;"元限时补贴"))</f>
        <v/>
      </c>
      <c r="K285" s="27" t="str" cm="1">
        <f t="array" ref="K285">IF($C285="","",IF(_xlfn.XLOOKUP($A285&amp;$B285&amp;$C285,盘货信息!$A:$A&amp;盘货信息!$B:$B&amp;盘货信息!$C:$C,盘货信息!$K:$K)&lt;1,"",ROUND(_xlfn.XLOOKUP($A285&amp;$B285&amp;$C285,盘货信息!$A:$A&amp;盘货信息!$B:$B&amp;盘货信息!$C:$C,盘货信息!$K:$K),0)&amp;"元预估焕新补贴"))</f>
        <v/>
      </c>
      <c r="L285" s="27" t="str" cm="1">
        <f t="array" ref="L285">IF($C285="","",IF(AND(_xlfn.XLOOKUP($A285&amp;$B285&amp;$C285,盘货信息!$A:$A&amp;盘货信息!$B:$B&amp;盘货信息!$C:$C,盘货信息!$L:$L)="是",_xlfn.XLOOKUP($A285&amp;$B285&amp;$C285,盘货信息!$A:$A&amp;盘货信息!$B:$B&amp;盘货信息!$C:$C,盘货信息!$M:$M)="是",_xlfn.XLOOKUP($A285&amp;$B285&amp;$C285,盘货信息!$A:$A&amp;盘货信息!$B:$B&amp;盘货信息!$C:$C,盘货信息!$K:$K)&gt;0),"【全民可用，不限地址】",IF(AND(OR(_xlfn.XLOOKUP($A285&amp;$B285&amp;$C285,盘货信息!$A:$A&amp;盘货信息!$B:$B&amp;盘货信息!$C:$C,盘货信息!$L:$L)="否",_xlfn.XLOOKUP($A285&amp;$B285&amp;$C285,盘货信息!$A:$A&amp;盘货信息!$B:$B&amp;盘货信息!$C:$C,盘货信息!$L:$L)=""),_xlfn.XLOOKUP($A285&amp;$B285&amp;$C285,盘货信息!$A:$A&amp;盘货信息!$B:$B&amp;盘货信息!$C:$C,盘货信息!$M:$M)="是",_xlfn.XLOOKUP($A285&amp;$B285&amp;$C285,盘货信息!$A:$A&amp;盘货信息!$B:$B&amp;盘货信息!$C:$C,盘货信息!$K:$K)&gt;0),"【详情页领取】","")))</f>
        <v/>
      </c>
      <c r="M285" s="27" t="str" cm="1">
        <f t="array" ref="M285">IF($C285="","",IF(_xlfn.XLOOKUP($A285&amp;$B285&amp;$C285,盘货信息!$A:$A&amp;盘货信息!$B:$B&amp;盘货信息!$C:$C,盘货信息!$F:$F)&lt;1,"",_xlfn.XLOOKUP($A285&amp;$B285&amp;$C285,盘货信息!$A:$A&amp;盘货信息!$B:$B&amp;盘货信息!$C:$C,盘货信息!$F:$F)&amp;"元明卷"))</f>
        <v/>
      </c>
      <c r="N285" s="27" t="str">
        <f t="shared" si="9"/>
        <v/>
      </c>
      <c r="O285" s="27" t="str">
        <f>IF(I285="","","【消费券链接】"&amp;固定信息!$B$6)</f>
        <v/>
      </c>
    </row>
    <row r="286" customHeight="1" spans="1:15">
      <c r="A286" s="23" t="str">
        <f>IF(盘货信息!A286="","",盘货信息!A286)</f>
        <v/>
      </c>
      <c r="B286" s="26" t="str">
        <f>IF(盘货信息!B286="","",盘货信息!B286)</f>
        <v/>
      </c>
      <c r="C286" s="23" t="str">
        <f>IF(盘货信息!C286="","",盘货信息!C286)</f>
        <v/>
      </c>
      <c r="D286" s="27" t="str">
        <f t="shared" si="8"/>
        <v/>
      </c>
      <c r="E286" s="27" t="str" cm="1">
        <f t="array" ref="E286">IF($C286="","",IF(AND(OR(_xlfn.XLOOKUP($A286&amp;$B286&amp;$C286,盘货信息!$A:$A&amp;盘货信息!$B:$B&amp;盘货信息!$C:$C,盘货信息!$L:$L)="否",_xlfn.XLOOKUP($A286&amp;$B286&amp;$C286,盘货信息!$A:$A&amp;盘货信息!$B:$B&amp;盘货信息!$C:$C,盘货信息!$L:$L)=""),_xlfn.XLOOKUP($A286&amp;$B286&amp;$C286,盘货信息!$A:$A&amp;盘货信息!$B:$B&amp;盘货信息!$C:$C,盘货信息!$M:$M)="否"),"【预估到手价"&amp;_xlfn.XLOOKUP($A286&amp;$B286&amp;$C286,盘货信息!$A:$A&amp;盘货信息!$B:$B&amp;盘货信息!$C:$C,盘货信息!$D:$D)&amp;"元】",IF(AND(_xlfn.XLOOKUP($A286&amp;$B286&amp;$C286,盘货信息!$A:$A&amp;盘货信息!$B:$B&amp;盘货信息!$C:$C,盘货信息!$M:$M)="是",OR(_xlfn.XLOOKUP($A286&amp;$B286&amp;$C286,盘货信息!$A:$A&amp;盘货信息!$B:$B&amp;盘货信息!$C:$C,盘货信息!$L:$L)="否",_xlfn.XLOOKUP($A286&amp;$B286&amp;$C286,盘货信息!$A:$A&amp;盘货信息!$B:$B&amp;盘货信息!$C:$C,盘货信息!$L:$L)="")),"【预估到手价"&amp;_xlfn.XLOOKUP($A286&amp;$B286&amp;$C286,盘货信息!$A:$A&amp;盘货信息!$B:$B&amp;盘货信息!$C:$C,盘货信息!$D:$D)&amp;"元】"&amp;CHAR(10)&amp;"【焕新补贴预估价"&amp;ROUND(_xlfn.XLOOKUP($A286&amp;$B286&amp;$C286,盘货信息!$A:$A&amp;盘货信息!$B:$B&amp;盘货信息!$C:$C,盘货信息!$E:$E),0)&amp;"元】","【焕新补贴预估价"&amp;ROUND(_xlfn.XLOOKUP($A286&amp;$B286&amp;$C286,盘货信息!$A:$A&amp;盘货信息!$B:$B&amp;盘货信息!$C:$C,盘货信息!$E:$E),0)&amp;"元】")))</f>
        <v/>
      </c>
      <c r="F286" s="27" t="str" cm="1">
        <f t="array" ref="F286">IF($C286="","",_xlfn.XLOOKUP($A286&amp;$B286&amp;$C286,盘货信息!$A:$A&amp;盘货信息!$B:$B&amp;盘货信息!$C:$C,盘货信息!$D:$D)&amp;"元到手价")</f>
        <v/>
      </c>
      <c r="G286" s="27" t="str" cm="1">
        <f t="array" ref="G286">IF($C286="","",IF(_xlfn.XLOOKUP($A286&amp;$B286&amp;$C286,盘货信息!$A:$A&amp;盘货信息!$B:$B&amp;盘货信息!$C:$C,盘货信息!$G:$G)&lt;1,"",ROUND(_xlfn.XLOOKUP($A286&amp;$B286&amp;$C286,盘货信息!$A:$A&amp;盘货信息!$B:$B&amp;盘货信息!$C:$C,盘货信息!$G:$G),0)&amp;"元88VIP立减"))</f>
        <v/>
      </c>
      <c r="H286" s="27" t="str" cm="1">
        <f t="array" ref="H286">IF($C286="","",IF(_xlfn.XLOOKUP($A286&amp;$B286&amp;$C286,盘货信息!$A:$A&amp;盘货信息!$B:$B&amp;盘货信息!$C:$C,盘货信息!$I:$I)&lt;1,"",_xlfn.XLOOKUP($A286&amp;$B286&amp;$C286,盘货信息!$A:$A&amp;盘货信息!$B:$B&amp;盘货信息!$C:$C,盘货信息!$I:$I)&amp;"元惊喜立减"))</f>
        <v/>
      </c>
      <c r="I286" s="27" t="str" cm="1">
        <f t="array" ref="I286">IF($C286="","",IF(_xlfn.XLOOKUP($A286&amp;$B286&amp;$C286,盘货信息!$A:$A&amp;盘货信息!$B:$B&amp;盘货信息!$C:$C,盘货信息!$H:$H)&lt;1,"",ROUND(_xlfn.XLOOKUP($A286&amp;$B286&amp;$C286,盘货信息!$A:$A&amp;盘货信息!$B:$B&amp;盘货信息!$C:$C,盘货信息!$H:$H),0)&amp;"元消费券"))</f>
        <v/>
      </c>
      <c r="J286" s="27" t="str" cm="1">
        <f t="array" ref="J286">IF($C286="","",IF(_xlfn.XLOOKUP($A286&amp;$B286&amp;$C286,盘货信息!$A:$A&amp;盘货信息!$B:$B&amp;盘货信息!$C:$C,盘货信息!$J:$J)&lt;1,"",ROUND(_xlfn.XLOOKUP($A286&amp;$B286&amp;$C286,盘货信息!$A:$A&amp;盘货信息!$B:$B&amp;盘货信息!$C:$C,盘货信息!$J:$J),0)&amp;"元限时补贴"))</f>
        <v/>
      </c>
      <c r="K286" s="27" t="str" cm="1">
        <f t="array" ref="K286">IF($C286="","",IF(_xlfn.XLOOKUP($A286&amp;$B286&amp;$C286,盘货信息!$A:$A&amp;盘货信息!$B:$B&amp;盘货信息!$C:$C,盘货信息!$K:$K)&lt;1,"",ROUND(_xlfn.XLOOKUP($A286&amp;$B286&amp;$C286,盘货信息!$A:$A&amp;盘货信息!$B:$B&amp;盘货信息!$C:$C,盘货信息!$K:$K),0)&amp;"元预估焕新补贴"))</f>
        <v/>
      </c>
      <c r="L286" s="27" t="str" cm="1">
        <f t="array" ref="L286">IF($C286="","",IF(AND(_xlfn.XLOOKUP($A286&amp;$B286&amp;$C286,盘货信息!$A:$A&amp;盘货信息!$B:$B&amp;盘货信息!$C:$C,盘货信息!$L:$L)="是",_xlfn.XLOOKUP($A286&amp;$B286&amp;$C286,盘货信息!$A:$A&amp;盘货信息!$B:$B&amp;盘货信息!$C:$C,盘货信息!$M:$M)="是",_xlfn.XLOOKUP($A286&amp;$B286&amp;$C286,盘货信息!$A:$A&amp;盘货信息!$B:$B&amp;盘货信息!$C:$C,盘货信息!$K:$K)&gt;0),"【全民可用，不限地址】",IF(AND(OR(_xlfn.XLOOKUP($A286&amp;$B286&amp;$C286,盘货信息!$A:$A&amp;盘货信息!$B:$B&amp;盘货信息!$C:$C,盘货信息!$L:$L)="否",_xlfn.XLOOKUP($A286&amp;$B286&amp;$C286,盘货信息!$A:$A&amp;盘货信息!$B:$B&amp;盘货信息!$C:$C,盘货信息!$L:$L)=""),_xlfn.XLOOKUP($A286&amp;$B286&amp;$C286,盘货信息!$A:$A&amp;盘货信息!$B:$B&amp;盘货信息!$C:$C,盘货信息!$M:$M)="是",_xlfn.XLOOKUP($A286&amp;$B286&amp;$C286,盘货信息!$A:$A&amp;盘货信息!$B:$B&amp;盘货信息!$C:$C,盘货信息!$K:$K)&gt;0),"【详情页领取】","")))</f>
        <v/>
      </c>
      <c r="M286" s="27" t="str" cm="1">
        <f t="array" ref="M286">IF($C286="","",IF(_xlfn.XLOOKUP($A286&amp;$B286&amp;$C286,盘货信息!$A:$A&amp;盘货信息!$B:$B&amp;盘货信息!$C:$C,盘货信息!$F:$F)&lt;1,"",_xlfn.XLOOKUP($A286&amp;$B286&amp;$C286,盘货信息!$A:$A&amp;盘货信息!$B:$B&amp;盘货信息!$C:$C,盘货信息!$F:$F)&amp;"元明卷"))</f>
        <v/>
      </c>
      <c r="N286" s="27" t="str">
        <f t="shared" si="9"/>
        <v/>
      </c>
      <c r="O286" s="27" t="str">
        <f>IF(I286="","","【消费券链接】"&amp;固定信息!$B$6)</f>
        <v/>
      </c>
    </row>
    <row r="287" customHeight="1" spans="1:15">
      <c r="A287" s="23" t="str">
        <f>IF(盘货信息!A287="","",盘货信息!A287)</f>
        <v/>
      </c>
      <c r="B287" s="26" t="str">
        <f>IF(盘货信息!B287="","",盘货信息!B287)</f>
        <v/>
      </c>
      <c r="C287" s="23" t="str">
        <f>IF(盘货信息!C287="","",盘货信息!C287)</f>
        <v/>
      </c>
      <c r="D287" s="27" t="str">
        <f t="shared" si="8"/>
        <v/>
      </c>
      <c r="E287" s="27" t="str" cm="1">
        <f t="array" ref="E287">IF($C287="","",IF(AND(OR(_xlfn.XLOOKUP($A287&amp;$B287&amp;$C287,盘货信息!$A:$A&amp;盘货信息!$B:$B&amp;盘货信息!$C:$C,盘货信息!$L:$L)="否",_xlfn.XLOOKUP($A287&amp;$B287&amp;$C287,盘货信息!$A:$A&amp;盘货信息!$B:$B&amp;盘货信息!$C:$C,盘货信息!$L:$L)=""),_xlfn.XLOOKUP($A287&amp;$B287&amp;$C287,盘货信息!$A:$A&amp;盘货信息!$B:$B&amp;盘货信息!$C:$C,盘货信息!$M:$M)="否"),"【预估到手价"&amp;_xlfn.XLOOKUP($A287&amp;$B287&amp;$C287,盘货信息!$A:$A&amp;盘货信息!$B:$B&amp;盘货信息!$C:$C,盘货信息!$D:$D)&amp;"元】",IF(AND(_xlfn.XLOOKUP($A287&amp;$B287&amp;$C287,盘货信息!$A:$A&amp;盘货信息!$B:$B&amp;盘货信息!$C:$C,盘货信息!$M:$M)="是",OR(_xlfn.XLOOKUP($A287&amp;$B287&amp;$C287,盘货信息!$A:$A&amp;盘货信息!$B:$B&amp;盘货信息!$C:$C,盘货信息!$L:$L)="否",_xlfn.XLOOKUP($A287&amp;$B287&amp;$C287,盘货信息!$A:$A&amp;盘货信息!$B:$B&amp;盘货信息!$C:$C,盘货信息!$L:$L)="")),"【预估到手价"&amp;_xlfn.XLOOKUP($A287&amp;$B287&amp;$C287,盘货信息!$A:$A&amp;盘货信息!$B:$B&amp;盘货信息!$C:$C,盘货信息!$D:$D)&amp;"元】"&amp;CHAR(10)&amp;"【焕新补贴预估价"&amp;ROUND(_xlfn.XLOOKUP($A287&amp;$B287&amp;$C287,盘货信息!$A:$A&amp;盘货信息!$B:$B&amp;盘货信息!$C:$C,盘货信息!$E:$E),0)&amp;"元】","【焕新补贴预估价"&amp;ROUND(_xlfn.XLOOKUP($A287&amp;$B287&amp;$C287,盘货信息!$A:$A&amp;盘货信息!$B:$B&amp;盘货信息!$C:$C,盘货信息!$E:$E),0)&amp;"元】")))</f>
        <v/>
      </c>
      <c r="F287" s="27" t="str" cm="1">
        <f t="array" ref="F287">IF($C287="","",_xlfn.XLOOKUP($A287&amp;$B287&amp;$C287,盘货信息!$A:$A&amp;盘货信息!$B:$B&amp;盘货信息!$C:$C,盘货信息!$D:$D)&amp;"元到手价")</f>
        <v/>
      </c>
      <c r="G287" s="27" t="str" cm="1">
        <f t="array" ref="G287">IF($C287="","",IF(_xlfn.XLOOKUP($A287&amp;$B287&amp;$C287,盘货信息!$A:$A&amp;盘货信息!$B:$B&amp;盘货信息!$C:$C,盘货信息!$G:$G)&lt;1,"",ROUND(_xlfn.XLOOKUP($A287&amp;$B287&amp;$C287,盘货信息!$A:$A&amp;盘货信息!$B:$B&amp;盘货信息!$C:$C,盘货信息!$G:$G),0)&amp;"元88VIP立减"))</f>
        <v/>
      </c>
      <c r="H287" s="27" t="str" cm="1">
        <f t="array" ref="H287">IF($C287="","",IF(_xlfn.XLOOKUP($A287&amp;$B287&amp;$C287,盘货信息!$A:$A&amp;盘货信息!$B:$B&amp;盘货信息!$C:$C,盘货信息!$I:$I)&lt;1,"",_xlfn.XLOOKUP($A287&amp;$B287&amp;$C287,盘货信息!$A:$A&amp;盘货信息!$B:$B&amp;盘货信息!$C:$C,盘货信息!$I:$I)&amp;"元惊喜立减"))</f>
        <v/>
      </c>
      <c r="I287" s="27" t="str" cm="1">
        <f t="array" ref="I287">IF($C287="","",IF(_xlfn.XLOOKUP($A287&amp;$B287&amp;$C287,盘货信息!$A:$A&amp;盘货信息!$B:$B&amp;盘货信息!$C:$C,盘货信息!$H:$H)&lt;1,"",ROUND(_xlfn.XLOOKUP($A287&amp;$B287&amp;$C287,盘货信息!$A:$A&amp;盘货信息!$B:$B&amp;盘货信息!$C:$C,盘货信息!$H:$H),0)&amp;"元消费券"))</f>
        <v/>
      </c>
      <c r="J287" s="27" t="str" cm="1">
        <f t="array" ref="J287">IF($C287="","",IF(_xlfn.XLOOKUP($A287&amp;$B287&amp;$C287,盘货信息!$A:$A&amp;盘货信息!$B:$B&amp;盘货信息!$C:$C,盘货信息!$J:$J)&lt;1,"",ROUND(_xlfn.XLOOKUP($A287&amp;$B287&amp;$C287,盘货信息!$A:$A&amp;盘货信息!$B:$B&amp;盘货信息!$C:$C,盘货信息!$J:$J),0)&amp;"元限时补贴"))</f>
        <v/>
      </c>
      <c r="K287" s="27" t="str" cm="1">
        <f t="array" ref="K287">IF($C287="","",IF(_xlfn.XLOOKUP($A287&amp;$B287&amp;$C287,盘货信息!$A:$A&amp;盘货信息!$B:$B&amp;盘货信息!$C:$C,盘货信息!$K:$K)&lt;1,"",ROUND(_xlfn.XLOOKUP($A287&amp;$B287&amp;$C287,盘货信息!$A:$A&amp;盘货信息!$B:$B&amp;盘货信息!$C:$C,盘货信息!$K:$K),0)&amp;"元预估焕新补贴"))</f>
        <v/>
      </c>
      <c r="L287" s="27" t="str" cm="1">
        <f t="array" ref="L287">IF($C287="","",IF(AND(_xlfn.XLOOKUP($A287&amp;$B287&amp;$C287,盘货信息!$A:$A&amp;盘货信息!$B:$B&amp;盘货信息!$C:$C,盘货信息!$L:$L)="是",_xlfn.XLOOKUP($A287&amp;$B287&amp;$C287,盘货信息!$A:$A&amp;盘货信息!$B:$B&amp;盘货信息!$C:$C,盘货信息!$M:$M)="是",_xlfn.XLOOKUP($A287&amp;$B287&amp;$C287,盘货信息!$A:$A&amp;盘货信息!$B:$B&amp;盘货信息!$C:$C,盘货信息!$K:$K)&gt;0),"【全民可用，不限地址】",IF(AND(OR(_xlfn.XLOOKUP($A287&amp;$B287&amp;$C287,盘货信息!$A:$A&amp;盘货信息!$B:$B&amp;盘货信息!$C:$C,盘货信息!$L:$L)="否",_xlfn.XLOOKUP($A287&amp;$B287&amp;$C287,盘货信息!$A:$A&amp;盘货信息!$B:$B&amp;盘货信息!$C:$C,盘货信息!$L:$L)=""),_xlfn.XLOOKUP($A287&amp;$B287&amp;$C287,盘货信息!$A:$A&amp;盘货信息!$B:$B&amp;盘货信息!$C:$C,盘货信息!$M:$M)="是",_xlfn.XLOOKUP($A287&amp;$B287&amp;$C287,盘货信息!$A:$A&amp;盘货信息!$B:$B&amp;盘货信息!$C:$C,盘货信息!$K:$K)&gt;0),"【详情页领取】","")))</f>
        <v/>
      </c>
      <c r="M287" s="27" t="str" cm="1">
        <f t="array" ref="M287">IF($C287="","",IF(_xlfn.XLOOKUP($A287&amp;$B287&amp;$C287,盘货信息!$A:$A&amp;盘货信息!$B:$B&amp;盘货信息!$C:$C,盘货信息!$F:$F)&lt;1,"",_xlfn.XLOOKUP($A287&amp;$B287&amp;$C287,盘货信息!$A:$A&amp;盘货信息!$B:$B&amp;盘货信息!$C:$C,盘货信息!$F:$F)&amp;"元明卷"))</f>
        <v/>
      </c>
      <c r="N287" s="27" t="str">
        <f t="shared" si="9"/>
        <v/>
      </c>
      <c r="O287" s="27" t="str">
        <f>IF(I287="","","【消费券链接】"&amp;固定信息!$B$6)</f>
        <v/>
      </c>
    </row>
    <row r="288" customHeight="1" spans="1:15">
      <c r="A288" s="23" t="str">
        <f>IF(盘货信息!A288="","",盘货信息!A288)</f>
        <v/>
      </c>
      <c r="B288" s="26" t="str">
        <f>IF(盘货信息!B288="","",盘货信息!B288)</f>
        <v/>
      </c>
      <c r="C288" s="23" t="str">
        <f>IF(盘货信息!C288="","",盘货信息!C288)</f>
        <v/>
      </c>
      <c r="D288" s="27" t="str">
        <f t="shared" si="8"/>
        <v/>
      </c>
      <c r="E288" s="27" t="str" cm="1">
        <f t="array" ref="E288">IF($C288="","",IF(AND(OR(_xlfn.XLOOKUP($A288&amp;$B288&amp;$C288,盘货信息!$A:$A&amp;盘货信息!$B:$B&amp;盘货信息!$C:$C,盘货信息!$L:$L)="否",_xlfn.XLOOKUP($A288&amp;$B288&amp;$C288,盘货信息!$A:$A&amp;盘货信息!$B:$B&amp;盘货信息!$C:$C,盘货信息!$L:$L)=""),_xlfn.XLOOKUP($A288&amp;$B288&amp;$C288,盘货信息!$A:$A&amp;盘货信息!$B:$B&amp;盘货信息!$C:$C,盘货信息!$M:$M)="否"),"【预估到手价"&amp;_xlfn.XLOOKUP($A288&amp;$B288&amp;$C288,盘货信息!$A:$A&amp;盘货信息!$B:$B&amp;盘货信息!$C:$C,盘货信息!$D:$D)&amp;"元】",IF(AND(_xlfn.XLOOKUP($A288&amp;$B288&amp;$C288,盘货信息!$A:$A&amp;盘货信息!$B:$B&amp;盘货信息!$C:$C,盘货信息!$M:$M)="是",OR(_xlfn.XLOOKUP($A288&amp;$B288&amp;$C288,盘货信息!$A:$A&amp;盘货信息!$B:$B&amp;盘货信息!$C:$C,盘货信息!$L:$L)="否",_xlfn.XLOOKUP($A288&amp;$B288&amp;$C288,盘货信息!$A:$A&amp;盘货信息!$B:$B&amp;盘货信息!$C:$C,盘货信息!$L:$L)="")),"【预估到手价"&amp;_xlfn.XLOOKUP($A288&amp;$B288&amp;$C288,盘货信息!$A:$A&amp;盘货信息!$B:$B&amp;盘货信息!$C:$C,盘货信息!$D:$D)&amp;"元】"&amp;CHAR(10)&amp;"【焕新补贴预估价"&amp;ROUND(_xlfn.XLOOKUP($A288&amp;$B288&amp;$C288,盘货信息!$A:$A&amp;盘货信息!$B:$B&amp;盘货信息!$C:$C,盘货信息!$E:$E),0)&amp;"元】","【焕新补贴预估价"&amp;ROUND(_xlfn.XLOOKUP($A288&amp;$B288&amp;$C288,盘货信息!$A:$A&amp;盘货信息!$B:$B&amp;盘货信息!$C:$C,盘货信息!$E:$E),0)&amp;"元】")))</f>
        <v/>
      </c>
      <c r="F288" s="27" t="str" cm="1">
        <f t="array" ref="F288">IF($C288="","",_xlfn.XLOOKUP($A288&amp;$B288&amp;$C288,盘货信息!$A:$A&amp;盘货信息!$B:$B&amp;盘货信息!$C:$C,盘货信息!$D:$D)&amp;"元到手价")</f>
        <v/>
      </c>
      <c r="G288" s="27" t="str" cm="1">
        <f t="array" ref="G288">IF($C288="","",IF(_xlfn.XLOOKUP($A288&amp;$B288&amp;$C288,盘货信息!$A:$A&amp;盘货信息!$B:$B&amp;盘货信息!$C:$C,盘货信息!$G:$G)&lt;1,"",ROUND(_xlfn.XLOOKUP($A288&amp;$B288&amp;$C288,盘货信息!$A:$A&amp;盘货信息!$B:$B&amp;盘货信息!$C:$C,盘货信息!$G:$G),0)&amp;"元88VIP立减"))</f>
        <v/>
      </c>
      <c r="H288" s="27" t="str" cm="1">
        <f t="array" ref="H288">IF($C288="","",IF(_xlfn.XLOOKUP($A288&amp;$B288&amp;$C288,盘货信息!$A:$A&amp;盘货信息!$B:$B&amp;盘货信息!$C:$C,盘货信息!$I:$I)&lt;1,"",_xlfn.XLOOKUP($A288&amp;$B288&amp;$C288,盘货信息!$A:$A&amp;盘货信息!$B:$B&amp;盘货信息!$C:$C,盘货信息!$I:$I)&amp;"元惊喜立减"))</f>
        <v/>
      </c>
      <c r="I288" s="27" t="str" cm="1">
        <f t="array" ref="I288">IF($C288="","",IF(_xlfn.XLOOKUP($A288&amp;$B288&amp;$C288,盘货信息!$A:$A&amp;盘货信息!$B:$B&amp;盘货信息!$C:$C,盘货信息!$H:$H)&lt;1,"",ROUND(_xlfn.XLOOKUP($A288&amp;$B288&amp;$C288,盘货信息!$A:$A&amp;盘货信息!$B:$B&amp;盘货信息!$C:$C,盘货信息!$H:$H),0)&amp;"元消费券"))</f>
        <v/>
      </c>
      <c r="J288" s="27" t="str" cm="1">
        <f t="array" ref="J288">IF($C288="","",IF(_xlfn.XLOOKUP($A288&amp;$B288&amp;$C288,盘货信息!$A:$A&amp;盘货信息!$B:$B&amp;盘货信息!$C:$C,盘货信息!$J:$J)&lt;1,"",ROUND(_xlfn.XLOOKUP($A288&amp;$B288&amp;$C288,盘货信息!$A:$A&amp;盘货信息!$B:$B&amp;盘货信息!$C:$C,盘货信息!$J:$J),0)&amp;"元限时补贴"))</f>
        <v/>
      </c>
      <c r="K288" s="27" t="str" cm="1">
        <f t="array" ref="K288">IF($C288="","",IF(_xlfn.XLOOKUP($A288&amp;$B288&amp;$C288,盘货信息!$A:$A&amp;盘货信息!$B:$B&amp;盘货信息!$C:$C,盘货信息!$K:$K)&lt;1,"",ROUND(_xlfn.XLOOKUP($A288&amp;$B288&amp;$C288,盘货信息!$A:$A&amp;盘货信息!$B:$B&amp;盘货信息!$C:$C,盘货信息!$K:$K),0)&amp;"元预估焕新补贴"))</f>
        <v/>
      </c>
      <c r="L288" s="27" t="str" cm="1">
        <f t="array" ref="L288">IF($C288="","",IF(AND(_xlfn.XLOOKUP($A288&amp;$B288&amp;$C288,盘货信息!$A:$A&amp;盘货信息!$B:$B&amp;盘货信息!$C:$C,盘货信息!$L:$L)="是",_xlfn.XLOOKUP($A288&amp;$B288&amp;$C288,盘货信息!$A:$A&amp;盘货信息!$B:$B&amp;盘货信息!$C:$C,盘货信息!$M:$M)="是",_xlfn.XLOOKUP($A288&amp;$B288&amp;$C288,盘货信息!$A:$A&amp;盘货信息!$B:$B&amp;盘货信息!$C:$C,盘货信息!$K:$K)&gt;0),"【全民可用，不限地址】",IF(AND(OR(_xlfn.XLOOKUP($A288&amp;$B288&amp;$C288,盘货信息!$A:$A&amp;盘货信息!$B:$B&amp;盘货信息!$C:$C,盘货信息!$L:$L)="否",_xlfn.XLOOKUP($A288&amp;$B288&amp;$C288,盘货信息!$A:$A&amp;盘货信息!$B:$B&amp;盘货信息!$C:$C,盘货信息!$L:$L)=""),_xlfn.XLOOKUP($A288&amp;$B288&amp;$C288,盘货信息!$A:$A&amp;盘货信息!$B:$B&amp;盘货信息!$C:$C,盘货信息!$M:$M)="是",_xlfn.XLOOKUP($A288&amp;$B288&amp;$C288,盘货信息!$A:$A&amp;盘货信息!$B:$B&amp;盘货信息!$C:$C,盘货信息!$K:$K)&gt;0),"【详情页领取】","")))</f>
        <v/>
      </c>
      <c r="M288" s="27" t="str" cm="1">
        <f t="array" ref="M288">IF($C288="","",IF(_xlfn.XLOOKUP($A288&amp;$B288&amp;$C288,盘货信息!$A:$A&amp;盘货信息!$B:$B&amp;盘货信息!$C:$C,盘货信息!$F:$F)&lt;1,"",_xlfn.XLOOKUP($A288&amp;$B288&amp;$C288,盘货信息!$A:$A&amp;盘货信息!$B:$B&amp;盘货信息!$C:$C,盘货信息!$F:$F)&amp;"元明卷"))</f>
        <v/>
      </c>
      <c r="N288" s="27" t="str">
        <f t="shared" si="9"/>
        <v/>
      </c>
      <c r="O288" s="27" t="str">
        <f>IF(I288="","","【消费券链接】"&amp;固定信息!$B$6)</f>
        <v/>
      </c>
    </row>
    <row r="289" customHeight="1" spans="1:15">
      <c r="A289" s="23" t="str">
        <f>IF(盘货信息!A289="","",盘货信息!A289)</f>
        <v/>
      </c>
      <c r="B289" s="26" t="str">
        <f>IF(盘货信息!B289="","",盘货信息!B289)</f>
        <v/>
      </c>
      <c r="C289" s="23" t="str">
        <f>IF(盘货信息!C289="","",盘货信息!C289)</f>
        <v/>
      </c>
      <c r="D289" s="27" t="str">
        <f t="shared" si="8"/>
        <v/>
      </c>
      <c r="E289" s="27" t="str" cm="1">
        <f t="array" ref="E289">IF($C289="","",IF(AND(OR(_xlfn.XLOOKUP($A289&amp;$B289&amp;$C289,盘货信息!$A:$A&amp;盘货信息!$B:$B&amp;盘货信息!$C:$C,盘货信息!$L:$L)="否",_xlfn.XLOOKUP($A289&amp;$B289&amp;$C289,盘货信息!$A:$A&amp;盘货信息!$B:$B&amp;盘货信息!$C:$C,盘货信息!$L:$L)=""),_xlfn.XLOOKUP($A289&amp;$B289&amp;$C289,盘货信息!$A:$A&amp;盘货信息!$B:$B&amp;盘货信息!$C:$C,盘货信息!$M:$M)="否"),"【预估到手价"&amp;_xlfn.XLOOKUP($A289&amp;$B289&amp;$C289,盘货信息!$A:$A&amp;盘货信息!$B:$B&amp;盘货信息!$C:$C,盘货信息!$D:$D)&amp;"元】",IF(AND(_xlfn.XLOOKUP($A289&amp;$B289&amp;$C289,盘货信息!$A:$A&amp;盘货信息!$B:$B&amp;盘货信息!$C:$C,盘货信息!$M:$M)="是",OR(_xlfn.XLOOKUP($A289&amp;$B289&amp;$C289,盘货信息!$A:$A&amp;盘货信息!$B:$B&amp;盘货信息!$C:$C,盘货信息!$L:$L)="否",_xlfn.XLOOKUP($A289&amp;$B289&amp;$C289,盘货信息!$A:$A&amp;盘货信息!$B:$B&amp;盘货信息!$C:$C,盘货信息!$L:$L)="")),"【预估到手价"&amp;_xlfn.XLOOKUP($A289&amp;$B289&amp;$C289,盘货信息!$A:$A&amp;盘货信息!$B:$B&amp;盘货信息!$C:$C,盘货信息!$D:$D)&amp;"元】"&amp;CHAR(10)&amp;"【焕新补贴预估价"&amp;ROUND(_xlfn.XLOOKUP($A289&amp;$B289&amp;$C289,盘货信息!$A:$A&amp;盘货信息!$B:$B&amp;盘货信息!$C:$C,盘货信息!$E:$E),0)&amp;"元】","【焕新补贴预估价"&amp;ROUND(_xlfn.XLOOKUP($A289&amp;$B289&amp;$C289,盘货信息!$A:$A&amp;盘货信息!$B:$B&amp;盘货信息!$C:$C,盘货信息!$E:$E),0)&amp;"元】")))</f>
        <v/>
      </c>
      <c r="F289" s="27" t="str" cm="1">
        <f t="array" ref="F289">IF($C289="","",_xlfn.XLOOKUP($A289&amp;$B289&amp;$C289,盘货信息!$A:$A&amp;盘货信息!$B:$B&amp;盘货信息!$C:$C,盘货信息!$D:$D)&amp;"元到手价")</f>
        <v/>
      </c>
      <c r="G289" s="27" t="str" cm="1">
        <f t="array" ref="G289">IF($C289="","",IF(_xlfn.XLOOKUP($A289&amp;$B289&amp;$C289,盘货信息!$A:$A&amp;盘货信息!$B:$B&amp;盘货信息!$C:$C,盘货信息!$G:$G)&lt;1,"",ROUND(_xlfn.XLOOKUP($A289&amp;$B289&amp;$C289,盘货信息!$A:$A&amp;盘货信息!$B:$B&amp;盘货信息!$C:$C,盘货信息!$G:$G),0)&amp;"元88VIP立减"))</f>
        <v/>
      </c>
      <c r="H289" s="27" t="str" cm="1">
        <f t="array" ref="H289">IF($C289="","",IF(_xlfn.XLOOKUP($A289&amp;$B289&amp;$C289,盘货信息!$A:$A&amp;盘货信息!$B:$B&amp;盘货信息!$C:$C,盘货信息!$I:$I)&lt;1,"",_xlfn.XLOOKUP($A289&amp;$B289&amp;$C289,盘货信息!$A:$A&amp;盘货信息!$B:$B&amp;盘货信息!$C:$C,盘货信息!$I:$I)&amp;"元惊喜立减"))</f>
        <v/>
      </c>
      <c r="I289" s="27" t="str" cm="1">
        <f t="array" ref="I289">IF($C289="","",IF(_xlfn.XLOOKUP($A289&amp;$B289&amp;$C289,盘货信息!$A:$A&amp;盘货信息!$B:$B&amp;盘货信息!$C:$C,盘货信息!$H:$H)&lt;1,"",ROUND(_xlfn.XLOOKUP($A289&amp;$B289&amp;$C289,盘货信息!$A:$A&amp;盘货信息!$B:$B&amp;盘货信息!$C:$C,盘货信息!$H:$H),0)&amp;"元消费券"))</f>
        <v/>
      </c>
      <c r="J289" s="27" t="str" cm="1">
        <f t="array" ref="J289">IF($C289="","",IF(_xlfn.XLOOKUP($A289&amp;$B289&amp;$C289,盘货信息!$A:$A&amp;盘货信息!$B:$B&amp;盘货信息!$C:$C,盘货信息!$J:$J)&lt;1,"",ROUND(_xlfn.XLOOKUP($A289&amp;$B289&amp;$C289,盘货信息!$A:$A&amp;盘货信息!$B:$B&amp;盘货信息!$C:$C,盘货信息!$J:$J),0)&amp;"元限时补贴"))</f>
        <v/>
      </c>
      <c r="K289" s="27" t="str" cm="1">
        <f t="array" ref="K289">IF($C289="","",IF(_xlfn.XLOOKUP($A289&amp;$B289&amp;$C289,盘货信息!$A:$A&amp;盘货信息!$B:$B&amp;盘货信息!$C:$C,盘货信息!$K:$K)&lt;1,"",ROUND(_xlfn.XLOOKUP($A289&amp;$B289&amp;$C289,盘货信息!$A:$A&amp;盘货信息!$B:$B&amp;盘货信息!$C:$C,盘货信息!$K:$K),0)&amp;"元预估焕新补贴"))</f>
        <v/>
      </c>
      <c r="L289" s="27" t="str" cm="1">
        <f t="array" ref="L289">IF($C289="","",IF(AND(_xlfn.XLOOKUP($A289&amp;$B289&amp;$C289,盘货信息!$A:$A&amp;盘货信息!$B:$B&amp;盘货信息!$C:$C,盘货信息!$L:$L)="是",_xlfn.XLOOKUP($A289&amp;$B289&amp;$C289,盘货信息!$A:$A&amp;盘货信息!$B:$B&amp;盘货信息!$C:$C,盘货信息!$M:$M)="是",_xlfn.XLOOKUP($A289&amp;$B289&amp;$C289,盘货信息!$A:$A&amp;盘货信息!$B:$B&amp;盘货信息!$C:$C,盘货信息!$K:$K)&gt;0),"【全民可用，不限地址】",IF(AND(OR(_xlfn.XLOOKUP($A289&amp;$B289&amp;$C289,盘货信息!$A:$A&amp;盘货信息!$B:$B&amp;盘货信息!$C:$C,盘货信息!$L:$L)="否",_xlfn.XLOOKUP($A289&amp;$B289&amp;$C289,盘货信息!$A:$A&amp;盘货信息!$B:$B&amp;盘货信息!$C:$C,盘货信息!$L:$L)=""),_xlfn.XLOOKUP($A289&amp;$B289&amp;$C289,盘货信息!$A:$A&amp;盘货信息!$B:$B&amp;盘货信息!$C:$C,盘货信息!$M:$M)="是",_xlfn.XLOOKUP($A289&amp;$B289&amp;$C289,盘货信息!$A:$A&amp;盘货信息!$B:$B&amp;盘货信息!$C:$C,盘货信息!$K:$K)&gt;0),"【详情页领取】","")))</f>
        <v/>
      </c>
      <c r="M289" s="27" t="str" cm="1">
        <f t="array" ref="M289">IF($C289="","",IF(_xlfn.XLOOKUP($A289&amp;$B289&amp;$C289,盘货信息!$A:$A&amp;盘货信息!$B:$B&amp;盘货信息!$C:$C,盘货信息!$F:$F)&lt;1,"",_xlfn.XLOOKUP($A289&amp;$B289&amp;$C289,盘货信息!$A:$A&amp;盘货信息!$B:$B&amp;盘货信息!$C:$C,盘货信息!$F:$F)&amp;"元明卷"))</f>
        <v/>
      </c>
      <c r="N289" s="27" t="str">
        <f t="shared" si="9"/>
        <v/>
      </c>
      <c r="O289" s="27" t="str">
        <f>IF(I289="","","【消费券链接】"&amp;固定信息!$B$6)</f>
        <v/>
      </c>
    </row>
    <row r="290" customHeight="1" spans="1:15">
      <c r="A290" s="23" t="str">
        <f>IF(盘货信息!A290="","",盘货信息!A290)</f>
        <v/>
      </c>
      <c r="B290" s="26" t="str">
        <f>IF(盘货信息!B290="","",盘货信息!B290)</f>
        <v/>
      </c>
      <c r="C290" s="23" t="str">
        <f>IF(盘货信息!C290="","",盘货信息!C290)</f>
        <v/>
      </c>
      <c r="D290" s="27" t="str">
        <f t="shared" si="8"/>
        <v/>
      </c>
      <c r="E290" s="27" t="str" cm="1">
        <f t="array" ref="E290">IF($C290="","",IF(AND(OR(_xlfn.XLOOKUP($A290&amp;$B290&amp;$C290,盘货信息!$A:$A&amp;盘货信息!$B:$B&amp;盘货信息!$C:$C,盘货信息!$L:$L)="否",_xlfn.XLOOKUP($A290&amp;$B290&amp;$C290,盘货信息!$A:$A&amp;盘货信息!$B:$B&amp;盘货信息!$C:$C,盘货信息!$L:$L)=""),_xlfn.XLOOKUP($A290&amp;$B290&amp;$C290,盘货信息!$A:$A&amp;盘货信息!$B:$B&amp;盘货信息!$C:$C,盘货信息!$M:$M)="否"),"【预估到手价"&amp;_xlfn.XLOOKUP($A290&amp;$B290&amp;$C290,盘货信息!$A:$A&amp;盘货信息!$B:$B&amp;盘货信息!$C:$C,盘货信息!$D:$D)&amp;"元】",IF(AND(_xlfn.XLOOKUP($A290&amp;$B290&amp;$C290,盘货信息!$A:$A&amp;盘货信息!$B:$B&amp;盘货信息!$C:$C,盘货信息!$M:$M)="是",OR(_xlfn.XLOOKUP($A290&amp;$B290&amp;$C290,盘货信息!$A:$A&amp;盘货信息!$B:$B&amp;盘货信息!$C:$C,盘货信息!$L:$L)="否",_xlfn.XLOOKUP($A290&amp;$B290&amp;$C290,盘货信息!$A:$A&amp;盘货信息!$B:$B&amp;盘货信息!$C:$C,盘货信息!$L:$L)="")),"【预估到手价"&amp;_xlfn.XLOOKUP($A290&amp;$B290&amp;$C290,盘货信息!$A:$A&amp;盘货信息!$B:$B&amp;盘货信息!$C:$C,盘货信息!$D:$D)&amp;"元】"&amp;CHAR(10)&amp;"【焕新补贴预估价"&amp;ROUND(_xlfn.XLOOKUP($A290&amp;$B290&amp;$C290,盘货信息!$A:$A&amp;盘货信息!$B:$B&amp;盘货信息!$C:$C,盘货信息!$E:$E),0)&amp;"元】","【焕新补贴预估价"&amp;ROUND(_xlfn.XLOOKUP($A290&amp;$B290&amp;$C290,盘货信息!$A:$A&amp;盘货信息!$B:$B&amp;盘货信息!$C:$C,盘货信息!$E:$E),0)&amp;"元】")))</f>
        <v/>
      </c>
      <c r="F290" s="27" t="str" cm="1">
        <f t="array" ref="F290">IF($C290="","",_xlfn.XLOOKUP($A290&amp;$B290&amp;$C290,盘货信息!$A:$A&amp;盘货信息!$B:$B&amp;盘货信息!$C:$C,盘货信息!$D:$D)&amp;"元到手价")</f>
        <v/>
      </c>
      <c r="G290" s="27" t="str" cm="1">
        <f t="array" ref="G290">IF($C290="","",IF(_xlfn.XLOOKUP($A290&amp;$B290&amp;$C290,盘货信息!$A:$A&amp;盘货信息!$B:$B&amp;盘货信息!$C:$C,盘货信息!$G:$G)&lt;1,"",ROUND(_xlfn.XLOOKUP($A290&amp;$B290&amp;$C290,盘货信息!$A:$A&amp;盘货信息!$B:$B&amp;盘货信息!$C:$C,盘货信息!$G:$G),0)&amp;"元88VIP立减"))</f>
        <v/>
      </c>
      <c r="H290" s="27" t="str" cm="1">
        <f t="array" ref="H290">IF($C290="","",IF(_xlfn.XLOOKUP($A290&amp;$B290&amp;$C290,盘货信息!$A:$A&amp;盘货信息!$B:$B&amp;盘货信息!$C:$C,盘货信息!$I:$I)&lt;1,"",_xlfn.XLOOKUP($A290&amp;$B290&amp;$C290,盘货信息!$A:$A&amp;盘货信息!$B:$B&amp;盘货信息!$C:$C,盘货信息!$I:$I)&amp;"元惊喜立减"))</f>
        <v/>
      </c>
      <c r="I290" s="27" t="str" cm="1">
        <f t="array" ref="I290">IF($C290="","",IF(_xlfn.XLOOKUP($A290&amp;$B290&amp;$C290,盘货信息!$A:$A&amp;盘货信息!$B:$B&amp;盘货信息!$C:$C,盘货信息!$H:$H)&lt;1,"",ROUND(_xlfn.XLOOKUP($A290&amp;$B290&amp;$C290,盘货信息!$A:$A&amp;盘货信息!$B:$B&amp;盘货信息!$C:$C,盘货信息!$H:$H),0)&amp;"元消费券"))</f>
        <v/>
      </c>
      <c r="J290" s="27" t="str" cm="1">
        <f t="array" ref="J290">IF($C290="","",IF(_xlfn.XLOOKUP($A290&amp;$B290&amp;$C290,盘货信息!$A:$A&amp;盘货信息!$B:$B&amp;盘货信息!$C:$C,盘货信息!$J:$J)&lt;1,"",ROUND(_xlfn.XLOOKUP($A290&amp;$B290&amp;$C290,盘货信息!$A:$A&amp;盘货信息!$B:$B&amp;盘货信息!$C:$C,盘货信息!$J:$J),0)&amp;"元限时补贴"))</f>
        <v/>
      </c>
      <c r="K290" s="27" t="str" cm="1">
        <f t="array" ref="K290">IF($C290="","",IF(_xlfn.XLOOKUP($A290&amp;$B290&amp;$C290,盘货信息!$A:$A&amp;盘货信息!$B:$B&amp;盘货信息!$C:$C,盘货信息!$K:$K)&lt;1,"",ROUND(_xlfn.XLOOKUP($A290&amp;$B290&amp;$C290,盘货信息!$A:$A&amp;盘货信息!$B:$B&amp;盘货信息!$C:$C,盘货信息!$K:$K),0)&amp;"元预估焕新补贴"))</f>
        <v/>
      </c>
      <c r="L290" s="27" t="str" cm="1">
        <f t="array" ref="L290">IF($C290="","",IF(AND(_xlfn.XLOOKUP($A290&amp;$B290&amp;$C290,盘货信息!$A:$A&amp;盘货信息!$B:$B&amp;盘货信息!$C:$C,盘货信息!$L:$L)="是",_xlfn.XLOOKUP($A290&amp;$B290&amp;$C290,盘货信息!$A:$A&amp;盘货信息!$B:$B&amp;盘货信息!$C:$C,盘货信息!$M:$M)="是",_xlfn.XLOOKUP($A290&amp;$B290&amp;$C290,盘货信息!$A:$A&amp;盘货信息!$B:$B&amp;盘货信息!$C:$C,盘货信息!$K:$K)&gt;0),"【全民可用，不限地址】",IF(AND(OR(_xlfn.XLOOKUP($A290&amp;$B290&amp;$C290,盘货信息!$A:$A&amp;盘货信息!$B:$B&amp;盘货信息!$C:$C,盘货信息!$L:$L)="否",_xlfn.XLOOKUP($A290&amp;$B290&amp;$C290,盘货信息!$A:$A&amp;盘货信息!$B:$B&amp;盘货信息!$C:$C,盘货信息!$L:$L)=""),_xlfn.XLOOKUP($A290&amp;$B290&amp;$C290,盘货信息!$A:$A&amp;盘货信息!$B:$B&amp;盘货信息!$C:$C,盘货信息!$M:$M)="是",_xlfn.XLOOKUP($A290&amp;$B290&amp;$C290,盘货信息!$A:$A&amp;盘货信息!$B:$B&amp;盘货信息!$C:$C,盘货信息!$K:$K)&gt;0),"【详情页领取】","")))</f>
        <v/>
      </c>
      <c r="M290" s="27" t="str" cm="1">
        <f t="array" ref="M290">IF($C290="","",IF(_xlfn.XLOOKUP($A290&amp;$B290&amp;$C290,盘货信息!$A:$A&amp;盘货信息!$B:$B&amp;盘货信息!$C:$C,盘货信息!$F:$F)&lt;1,"",_xlfn.XLOOKUP($A290&amp;$B290&amp;$C290,盘货信息!$A:$A&amp;盘货信息!$B:$B&amp;盘货信息!$C:$C,盘货信息!$F:$F)&amp;"元明卷"))</f>
        <v/>
      </c>
      <c r="N290" s="27" t="str">
        <f t="shared" si="9"/>
        <v/>
      </c>
      <c r="O290" s="27" t="str">
        <f>IF(I290="","","【消费券链接】"&amp;固定信息!$B$6)</f>
        <v/>
      </c>
    </row>
    <row r="291" customHeight="1" spans="1:15">
      <c r="A291" s="23" t="str">
        <f>IF(盘货信息!A291="","",盘货信息!A291)</f>
        <v/>
      </c>
      <c r="B291" s="26" t="str">
        <f>IF(盘货信息!B291="","",盘货信息!B291)</f>
        <v/>
      </c>
      <c r="C291" s="23" t="str">
        <f>IF(盘货信息!C291="","",盘货信息!C291)</f>
        <v/>
      </c>
      <c r="D291" s="27" t="str">
        <f t="shared" si="8"/>
        <v/>
      </c>
      <c r="E291" s="27" t="str" cm="1">
        <f t="array" ref="E291">IF($C291="","",IF(AND(OR(_xlfn.XLOOKUP($A291&amp;$B291&amp;$C291,盘货信息!$A:$A&amp;盘货信息!$B:$B&amp;盘货信息!$C:$C,盘货信息!$L:$L)="否",_xlfn.XLOOKUP($A291&amp;$B291&amp;$C291,盘货信息!$A:$A&amp;盘货信息!$B:$B&amp;盘货信息!$C:$C,盘货信息!$L:$L)=""),_xlfn.XLOOKUP($A291&amp;$B291&amp;$C291,盘货信息!$A:$A&amp;盘货信息!$B:$B&amp;盘货信息!$C:$C,盘货信息!$M:$M)="否"),"【预估到手价"&amp;_xlfn.XLOOKUP($A291&amp;$B291&amp;$C291,盘货信息!$A:$A&amp;盘货信息!$B:$B&amp;盘货信息!$C:$C,盘货信息!$D:$D)&amp;"元】",IF(AND(_xlfn.XLOOKUP($A291&amp;$B291&amp;$C291,盘货信息!$A:$A&amp;盘货信息!$B:$B&amp;盘货信息!$C:$C,盘货信息!$M:$M)="是",OR(_xlfn.XLOOKUP($A291&amp;$B291&amp;$C291,盘货信息!$A:$A&amp;盘货信息!$B:$B&amp;盘货信息!$C:$C,盘货信息!$L:$L)="否",_xlfn.XLOOKUP($A291&amp;$B291&amp;$C291,盘货信息!$A:$A&amp;盘货信息!$B:$B&amp;盘货信息!$C:$C,盘货信息!$L:$L)="")),"【预估到手价"&amp;_xlfn.XLOOKUP($A291&amp;$B291&amp;$C291,盘货信息!$A:$A&amp;盘货信息!$B:$B&amp;盘货信息!$C:$C,盘货信息!$D:$D)&amp;"元】"&amp;CHAR(10)&amp;"【焕新补贴预估价"&amp;ROUND(_xlfn.XLOOKUP($A291&amp;$B291&amp;$C291,盘货信息!$A:$A&amp;盘货信息!$B:$B&amp;盘货信息!$C:$C,盘货信息!$E:$E),0)&amp;"元】","【焕新补贴预估价"&amp;ROUND(_xlfn.XLOOKUP($A291&amp;$B291&amp;$C291,盘货信息!$A:$A&amp;盘货信息!$B:$B&amp;盘货信息!$C:$C,盘货信息!$E:$E),0)&amp;"元】")))</f>
        <v/>
      </c>
      <c r="F291" s="27" t="str" cm="1">
        <f t="array" ref="F291">IF($C291="","",_xlfn.XLOOKUP($A291&amp;$B291&amp;$C291,盘货信息!$A:$A&amp;盘货信息!$B:$B&amp;盘货信息!$C:$C,盘货信息!$D:$D)&amp;"元到手价")</f>
        <v/>
      </c>
      <c r="G291" s="27" t="str" cm="1">
        <f t="array" ref="G291">IF($C291="","",IF(_xlfn.XLOOKUP($A291&amp;$B291&amp;$C291,盘货信息!$A:$A&amp;盘货信息!$B:$B&amp;盘货信息!$C:$C,盘货信息!$G:$G)&lt;1,"",ROUND(_xlfn.XLOOKUP($A291&amp;$B291&amp;$C291,盘货信息!$A:$A&amp;盘货信息!$B:$B&amp;盘货信息!$C:$C,盘货信息!$G:$G),0)&amp;"元88VIP立减"))</f>
        <v/>
      </c>
      <c r="H291" s="27" t="str" cm="1">
        <f t="array" ref="H291">IF($C291="","",IF(_xlfn.XLOOKUP($A291&amp;$B291&amp;$C291,盘货信息!$A:$A&amp;盘货信息!$B:$B&amp;盘货信息!$C:$C,盘货信息!$I:$I)&lt;1,"",_xlfn.XLOOKUP($A291&amp;$B291&amp;$C291,盘货信息!$A:$A&amp;盘货信息!$B:$B&amp;盘货信息!$C:$C,盘货信息!$I:$I)&amp;"元惊喜立减"))</f>
        <v/>
      </c>
      <c r="I291" s="27" t="str" cm="1">
        <f t="array" ref="I291">IF($C291="","",IF(_xlfn.XLOOKUP($A291&amp;$B291&amp;$C291,盘货信息!$A:$A&amp;盘货信息!$B:$B&amp;盘货信息!$C:$C,盘货信息!$H:$H)&lt;1,"",ROUND(_xlfn.XLOOKUP($A291&amp;$B291&amp;$C291,盘货信息!$A:$A&amp;盘货信息!$B:$B&amp;盘货信息!$C:$C,盘货信息!$H:$H),0)&amp;"元消费券"))</f>
        <v/>
      </c>
      <c r="J291" s="27" t="str" cm="1">
        <f t="array" ref="J291">IF($C291="","",IF(_xlfn.XLOOKUP($A291&amp;$B291&amp;$C291,盘货信息!$A:$A&amp;盘货信息!$B:$B&amp;盘货信息!$C:$C,盘货信息!$J:$J)&lt;1,"",ROUND(_xlfn.XLOOKUP($A291&amp;$B291&amp;$C291,盘货信息!$A:$A&amp;盘货信息!$B:$B&amp;盘货信息!$C:$C,盘货信息!$J:$J),0)&amp;"元限时补贴"))</f>
        <v/>
      </c>
      <c r="K291" s="27" t="str" cm="1">
        <f t="array" ref="K291">IF($C291="","",IF(_xlfn.XLOOKUP($A291&amp;$B291&amp;$C291,盘货信息!$A:$A&amp;盘货信息!$B:$B&amp;盘货信息!$C:$C,盘货信息!$K:$K)&lt;1,"",ROUND(_xlfn.XLOOKUP($A291&amp;$B291&amp;$C291,盘货信息!$A:$A&amp;盘货信息!$B:$B&amp;盘货信息!$C:$C,盘货信息!$K:$K),0)&amp;"元预估焕新补贴"))</f>
        <v/>
      </c>
      <c r="L291" s="27" t="str" cm="1">
        <f t="array" ref="L291">IF($C291="","",IF(AND(_xlfn.XLOOKUP($A291&amp;$B291&amp;$C291,盘货信息!$A:$A&amp;盘货信息!$B:$B&amp;盘货信息!$C:$C,盘货信息!$L:$L)="是",_xlfn.XLOOKUP($A291&amp;$B291&amp;$C291,盘货信息!$A:$A&amp;盘货信息!$B:$B&amp;盘货信息!$C:$C,盘货信息!$M:$M)="是",_xlfn.XLOOKUP($A291&amp;$B291&amp;$C291,盘货信息!$A:$A&amp;盘货信息!$B:$B&amp;盘货信息!$C:$C,盘货信息!$K:$K)&gt;0),"【全民可用，不限地址】",IF(AND(OR(_xlfn.XLOOKUP($A291&amp;$B291&amp;$C291,盘货信息!$A:$A&amp;盘货信息!$B:$B&amp;盘货信息!$C:$C,盘货信息!$L:$L)="否",_xlfn.XLOOKUP($A291&amp;$B291&amp;$C291,盘货信息!$A:$A&amp;盘货信息!$B:$B&amp;盘货信息!$C:$C,盘货信息!$L:$L)=""),_xlfn.XLOOKUP($A291&amp;$B291&amp;$C291,盘货信息!$A:$A&amp;盘货信息!$B:$B&amp;盘货信息!$C:$C,盘货信息!$M:$M)="是",_xlfn.XLOOKUP($A291&amp;$B291&amp;$C291,盘货信息!$A:$A&amp;盘货信息!$B:$B&amp;盘货信息!$C:$C,盘货信息!$K:$K)&gt;0),"【详情页领取】","")))</f>
        <v/>
      </c>
      <c r="M291" s="27" t="str" cm="1">
        <f t="array" ref="M291">IF($C291="","",IF(_xlfn.XLOOKUP($A291&amp;$B291&amp;$C291,盘货信息!$A:$A&amp;盘货信息!$B:$B&amp;盘货信息!$C:$C,盘货信息!$F:$F)&lt;1,"",_xlfn.XLOOKUP($A291&amp;$B291&amp;$C291,盘货信息!$A:$A&amp;盘货信息!$B:$B&amp;盘货信息!$C:$C,盘货信息!$F:$F)&amp;"元明卷"))</f>
        <v/>
      </c>
      <c r="N291" s="27" t="str">
        <f t="shared" si="9"/>
        <v/>
      </c>
      <c r="O291" s="27" t="str">
        <f>IF(I291="","","【消费券链接】"&amp;固定信息!$B$6)</f>
        <v/>
      </c>
    </row>
    <row r="292" customHeight="1" spans="1:15">
      <c r="A292" s="23" t="str">
        <f>IF(盘货信息!A292="","",盘货信息!A292)</f>
        <v/>
      </c>
      <c r="B292" s="26" t="str">
        <f>IF(盘货信息!B292="","",盘货信息!B292)</f>
        <v/>
      </c>
      <c r="C292" s="23" t="str">
        <f>IF(盘货信息!C292="","",盘货信息!C292)</f>
        <v/>
      </c>
      <c r="D292" s="27" t="str">
        <f t="shared" si="8"/>
        <v/>
      </c>
      <c r="E292" s="27" t="str" cm="1">
        <f t="array" ref="E292">IF($C292="","",IF(AND(OR(_xlfn.XLOOKUP($A292&amp;$B292&amp;$C292,盘货信息!$A:$A&amp;盘货信息!$B:$B&amp;盘货信息!$C:$C,盘货信息!$L:$L)="否",_xlfn.XLOOKUP($A292&amp;$B292&amp;$C292,盘货信息!$A:$A&amp;盘货信息!$B:$B&amp;盘货信息!$C:$C,盘货信息!$L:$L)=""),_xlfn.XLOOKUP($A292&amp;$B292&amp;$C292,盘货信息!$A:$A&amp;盘货信息!$B:$B&amp;盘货信息!$C:$C,盘货信息!$M:$M)="否"),"【预估到手价"&amp;_xlfn.XLOOKUP($A292&amp;$B292&amp;$C292,盘货信息!$A:$A&amp;盘货信息!$B:$B&amp;盘货信息!$C:$C,盘货信息!$D:$D)&amp;"元】",IF(AND(_xlfn.XLOOKUP($A292&amp;$B292&amp;$C292,盘货信息!$A:$A&amp;盘货信息!$B:$B&amp;盘货信息!$C:$C,盘货信息!$M:$M)="是",OR(_xlfn.XLOOKUP($A292&amp;$B292&amp;$C292,盘货信息!$A:$A&amp;盘货信息!$B:$B&amp;盘货信息!$C:$C,盘货信息!$L:$L)="否",_xlfn.XLOOKUP($A292&amp;$B292&amp;$C292,盘货信息!$A:$A&amp;盘货信息!$B:$B&amp;盘货信息!$C:$C,盘货信息!$L:$L)="")),"【预估到手价"&amp;_xlfn.XLOOKUP($A292&amp;$B292&amp;$C292,盘货信息!$A:$A&amp;盘货信息!$B:$B&amp;盘货信息!$C:$C,盘货信息!$D:$D)&amp;"元】"&amp;CHAR(10)&amp;"【焕新补贴预估价"&amp;ROUND(_xlfn.XLOOKUP($A292&amp;$B292&amp;$C292,盘货信息!$A:$A&amp;盘货信息!$B:$B&amp;盘货信息!$C:$C,盘货信息!$E:$E),0)&amp;"元】","【焕新补贴预估价"&amp;ROUND(_xlfn.XLOOKUP($A292&amp;$B292&amp;$C292,盘货信息!$A:$A&amp;盘货信息!$B:$B&amp;盘货信息!$C:$C,盘货信息!$E:$E),0)&amp;"元】")))</f>
        <v/>
      </c>
      <c r="F292" s="27" t="str" cm="1">
        <f t="array" ref="F292">IF($C292="","",_xlfn.XLOOKUP($A292&amp;$B292&amp;$C292,盘货信息!$A:$A&amp;盘货信息!$B:$B&amp;盘货信息!$C:$C,盘货信息!$D:$D)&amp;"元到手价")</f>
        <v/>
      </c>
      <c r="G292" s="27" t="str" cm="1">
        <f t="array" ref="G292">IF($C292="","",IF(_xlfn.XLOOKUP($A292&amp;$B292&amp;$C292,盘货信息!$A:$A&amp;盘货信息!$B:$B&amp;盘货信息!$C:$C,盘货信息!$G:$G)&lt;1,"",ROUND(_xlfn.XLOOKUP($A292&amp;$B292&amp;$C292,盘货信息!$A:$A&amp;盘货信息!$B:$B&amp;盘货信息!$C:$C,盘货信息!$G:$G),0)&amp;"元88VIP立减"))</f>
        <v/>
      </c>
      <c r="H292" s="27" t="str" cm="1">
        <f t="array" ref="H292">IF($C292="","",IF(_xlfn.XLOOKUP($A292&amp;$B292&amp;$C292,盘货信息!$A:$A&amp;盘货信息!$B:$B&amp;盘货信息!$C:$C,盘货信息!$I:$I)&lt;1,"",_xlfn.XLOOKUP($A292&amp;$B292&amp;$C292,盘货信息!$A:$A&amp;盘货信息!$B:$B&amp;盘货信息!$C:$C,盘货信息!$I:$I)&amp;"元惊喜立减"))</f>
        <v/>
      </c>
      <c r="I292" s="27" t="str" cm="1">
        <f t="array" ref="I292">IF($C292="","",IF(_xlfn.XLOOKUP($A292&amp;$B292&amp;$C292,盘货信息!$A:$A&amp;盘货信息!$B:$B&amp;盘货信息!$C:$C,盘货信息!$H:$H)&lt;1,"",ROUND(_xlfn.XLOOKUP($A292&amp;$B292&amp;$C292,盘货信息!$A:$A&amp;盘货信息!$B:$B&amp;盘货信息!$C:$C,盘货信息!$H:$H),0)&amp;"元消费券"))</f>
        <v/>
      </c>
      <c r="J292" s="27" t="str" cm="1">
        <f t="array" ref="J292">IF($C292="","",IF(_xlfn.XLOOKUP($A292&amp;$B292&amp;$C292,盘货信息!$A:$A&amp;盘货信息!$B:$B&amp;盘货信息!$C:$C,盘货信息!$J:$J)&lt;1,"",ROUND(_xlfn.XLOOKUP($A292&amp;$B292&amp;$C292,盘货信息!$A:$A&amp;盘货信息!$B:$B&amp;盘货信息!$C:$C,盘货信息!$J:$J),0)&amp;"元限时补贴"))</f>
        <v/>
      </c>
      <c r="K292" s="27" t="str" cm="1">
        <f t="array" ref="K292">IF($C292="","",IF(_xlfn.XLOOKUP($A292&amp;$B292&amp;$C292,盘货信息!$A:$A&amp;盘货信息!$B:$B&amp;盘货信息!$C:$C,盘货信息!$K:$K)&lt;1,"",ROUND(_xlfn.XLOOKUP($A292&amp;$B292&amp;$C292,盘货信息!$A:$A&amp;盘货信息!$B:$B&amp;盘货信息!$C:$C,盘货信息!$K:$K),0)&amp;"元预估焕新补贴"))</f>
        <v/>
      </c>
      <c r="L292" s="27" t="str" cm="1">
        <f t="array" ref="L292">IF($C292="","",IF(AND(_xlfn.XLOOKUP($A292&amp;$B292&amp;$C292,盘货信息!$A:$A&amp;盘货信息!$B:$B&amp;盘货信息!$C:$C,盘货信息!$L:$L)="是",_xlfn.XLOOKUP($A292&amp;$B292&amp;$C292,盘货信息!$A:$A&amp;盘货信息!$B:$B&amp;盘货信息!$C:$C,盘货信息!$M:$M)="是",_xlfn.XLOOKUP($A292&amp;$B292&amp;$C292,盘货信息!$A:$A&amp;盘货信息!$B:$B&amp;盘货信息!$C:$C,盘货信息!$K:$K)&gt;0),"【全民可用，不限地址】",IF(AND(OR(_xlfn.XLOOKUP($A292&amp;$B292&amp;$C292,盘货信息!$A:$A&amp;盘货信息!$B:$B&amp;盘货信息!$C:$C,盘货信息!$L:$L)="否",_xlfn.XLOOKUP($A292&amp;$B292&amp;$C292,盘货信息!$A:$A&amp;盘货信息!$B:$B&amp;盘货信息!$C:$C,盘货信息!$L:$L)=""),_xlfn.XLOOKUP($A292&amp;$B292&amp;$C292,盘货信息!$A:$A&amp;盘货信息!$B:$B&amp;盘货信息!$C:$C,盘货信息!$M:$M)="是",_xlfn.XLOOKUP($A292&amp;$B292&amp;$C292,盘货信息!$A:$A&amp;盘货信息!$B:$B&amp;盘货信息!$C:$C,盘货信息!$K:$K)&gt;0),"【详情页领取】","")))</f>
        <v/>
      </c>
      <c r="M292" s="27" t="str" cm="1">
        <f t="array" ref="M292">IF($C292="","",IF(_xlfn.XLOOKUP($A292&amp;$B292&amp;$C292,盘货信息!$A:$A&amp;盘货信息!$B:$B&amp;盘货信息!$C:$C,盘货信息!$F:$F)&lt;1,"",_xlfn.XLOOKUP($A292&amp;$B292&amp;$C292,盘货信息!$A:$A&amp;盘货信息!$B:$B&amp;盘货信息!$C:$C,盘货信息!$F:$F)&amp;"元明卷"))</f>
        <v/>
      </c>
      <c r="N292" s="27" t="str">
        <f t="shared" si="9"/>
        <v/>
      </c>
      <c r="O292" s="27" t="str">
        <f>IF(I292="","","【消费券链接】"&amp;固定信息!$B$6)</f>
        <v/>
      </c>
    </row>
    <row r="293" customHeight="1" spans="1:15">
      <c r="A293" s="23" t="str">
        <f>IF(盘货信息!A293="","",盘货信息!A293)</f>
        <v/>
      </c>
      <c r="B293" s="26" t="str">
        <f>IF(盘货信息!B293="","",盘货信息!B293)</f>
        <v/>
      </c>
      <c r="C293" s="23" t="str">
        <f>IF(盘货信息!C293="","",盘货信息!C293)</f>
        <v/>
      </c>
      <c r="D293" s="27" t="str">
        <f t="shared" si="8"/>
        <v/>
      </c>
      <c r="E293" s="27" t="str" cm="1">
        <f t="array" ref="E293">IF($C293="","",IF(AND(OR(_xlfn.XLOOKUP($A293&amp;$B293&amp;$C293,盘货信息!$A:$A&amp;盘货信息!$B:$B&amp;盘货信息!$C:$C,盘货信息!$L:$L)="否",_xlfn.XLOOKUP($A293&amp;$B293&amp;$C293,盘货信息!$A:$A&amp;盘货信息!$B:$B&amp;盘货信息!$C:$C,盘货信息!$L:$L)=""),_xlfn.XLOOKUP($A293&amp;$B293&amp;$C293,盘货信息!$A:$A&amp;盘货信息!$B:$B&amp;盘货信息!$C:$C,盘货信息!$M:$M)="否"),"【预估到手价"&amp;_xlfn.XLOOKUP($A293&amp;$B293&amp;$C293,盘货信息!$A:$A&amp;盘货信息!$B:$B&amp;盘货信息!$C:$C,盘货信息!$D:$D)&amp;"元】",IF(AND(_xlfn.XLOOKUP($A293&amp;$B293&amp;$C293,盘货信息!$A:$A&amp;盘货信息!$B:$B&amp;盘货信息!$C:$C,盘货信息!$M:$M)="是",OR(_xlfn.XLOOKUP($A293&amp;$B293&amp;$C293,盘货信息!$A:$A&amp;盘货信息!$B:$B&amp;盘货信息!$C:$C,盘货信息!$L:$L)="否",_xlfn.XLOOKUP($A293&amp;$B293&amp;$C293,盘货信息!$A:$A&amp;盘货信息!$B:$B&amp;盘货信息!$C:$C,盘货信息!$L:$L)="")),"【预估到手价"&amp;_xlfn.XLOOKUP($A293&amp;$B293&amp;$C293,盘货信息!$A:$A&amp;盘货信息!$B:$B&amp;盘货信息!$C:$C,盘货信息!$D:$D)&amp;"元】"&amp;CHAR(10)&amp;"【焕新补贴预估价"&amp;ROUND(_xlfn.XLOOKUP($A293&amp;$B293&amp;$C293,盘货信息!$A:$A&amp;盘货信息!$B:$B&amp;盘货信息!$C:$C,盘货信息!$E:$E),0)&amp;"元】","【焕新补贴预估价"&amp;ROUND(_xlfn.XLOOKUP($A293&amp;$B293&amp;$C293,盘货信息!$A:$A&amp;盘货信息!$B:$B&amp;盘货信息!$C:$C,盘货信息!$E:$E),0)&amp;"元】")))</f>
        <v/>
      </c>
      <c r="F293" s="27" t="str" cm="1">
        <f t="array" ref="F293">IF($C293="","",_xlfn.XLOOKUP($A293&amp;$B293&amp;$C293,盘货信息!$A:$A&amp;盘货信息!$B:$B&amp;盘货信息!$C:$C,盘货信息!$D:$D)&amp;"元到手价")</f>
        <v/>
      </c>
      <c r="G293" s="27" t="str" cm="1">
        <f t="array" ref="G293">IF($C293="","",IF(_xlfn.XLOOKUP($A293&amp;$B293&amp;$C293,盘货信息!$A:$A&amp;盘货信息!$B:$B&amp;盘货信息!$C:$C,盘货信息!$G:$G)&lt;1,"",ROUND(_xlfn.XLOOKUP($A293&amp;$B293&amp;$C293,盘货信息!$A:$A&amp;盘货信息!$B:$B&amp;盘货信息!$C:$C,盘货信息!$G:$G),0)&amp;"元88VIP立减"))</f>
        <v/>
      </c>
      <c r="H293" s="27" t="str" cm="1">
        <f t="array" ref="H293">IF($C293="","",IF(_xlfn.XLOOKUP($A293&amp;$B293&amp;$C293,盘货信息!$A:$A&amp;盘货信息!$B:$B&amp;盘货信息!$C:$C,盘货信息!$I:$I)&lt;1,"",_xlfn.XLOOKUP($A293&amp;$B293&amp;$C293,盘货信息!$A:$A&amp;盘货信息!$B:$B&amp;盘货信息!$C:$C,盘货信息!$I:$I)&amp;"元惊喜立减"))</f>
        <v/>
      </c>
      <c r="I293" s="27" t="str" cm="1">
        <f t="array" ref="I293">IF($C293="","",IF(_xlfn.XLOOKUP($A293&amp;$B293&amp;$C293,盘货信息!$A:$A&amp;盘货信息!$B:$B&amp;盘货信息!$C:$C,盘货信息!$H:$H)&lt;1,"",ROUND(_xlfn.XLOOKUP($A293&amp;$B293&amp;$C293,盘货信息!$A:$A&amp;盘货信息!$B:$B&amp;盘货信息!$C:$C,盘货信息!$H:$H),0)&amp;"元消费券"))</f>
        <v/>
      </c>
      <c r="J293" s="27" t="str" cm="1">
        <f t="array" ref="J293">IF($C293="","",IF(_xlfn.XLOOKUP($A293&amp;$B293&amp;$C293,盘货信息!$A:$A&amp;盘货信息!$B:$B&amp;盘货信息!$C:$C,盘货信息!$J:$J)&lt;1,"",ROUND(_xlfn.XLOOKUP($A293&amp;$B293&amp;$C293,盘货信息!$A:$A&amp;盘货信息!$B:$B&amp;盘货信息!$C:$C,盘货信息!$J:$J),0)&amp;"元限时补贴"))</f>
        <v/>
      </c>
      <c r="K293" s="27" t="str" cm="1">
        <f t="array" ref="K293">IF($C293="","",IF(_xlfn.XLOOKUP($A293&amp;$B293&amp;$C293,盘货信息!$A:$A&amp;盘货信息!$B:$B&amp;盘货信息!$C:$C,盘货信息!$K:$K)&lt;1,"",ROUND(_xlfn.XLOOKUP($A293&amp;$B293&amp;$C293,盘货信息!$A:$A&amp;盘货信息!$B:$B&amp;盘货信息!$C:$C,盘货信息!$K:$K),0)&amp;"元预估焕新补贴"))</f>
        <v/>
      </c>
      <c r="L293" s="27" t="str" cm="1">
        <f t="array" ref="L293">IF($C293="","",IF(AND(_xlfn.XLOOKUP($A293&amp;$B293&amp;$C293,盘货信息!$A:$A&amp;盘货信息!$B:$B&amp;盘货信息!$C:$C,盘货信息!$L:$L)="是",_xlfn.XLOOKUP($A293&amp;$B293&amp;$C293,盘货信息!$A:$A&amp;盘货信息!$B:$B&amp;盘货信息!$C:$C,盘货信息!$M:$M)="是",_xlfn.XLOOKUP($A293&amp;$B293&amp;$C293,盘货信息!$A:$A&amp;盘货信息!$B:$B&amp;盘货信息!$C:$C,盘货信息!$K:$K)&gt;0),"【全民可用，不限地址】",IF(AND(OR(_xlfn.XLOOKUP($A293&amp;$B293&amp;$C293,盘货信息!$A:$A&amp;盘货信息!$B:$B&amp;盘货信息!$C:$C,盘货信息!$L:$L)="否",_xlfn.XLOOKUP($A293&amp;$B293&amp;$C293,盘货信息!$A:$A&amp;盘货信息!$B:$B&amp;盘货信息!$C:$C,盘货信息!$L:$L)=""),_xlfn.XLOOKUP($A293&amp;$B293&amp;$C293,盘货信息!$A:$A&amp;盘货信息!$B:$B&amp;盘货信息!$C:$C,盘货信息!$M:$M)="是",_xlfn.XLOOKUP($A293&amp;$B293&amp;$C293,盘货信息!$A:$A&amp;盘货信息!$B:$B&amp;盘货信息!$C:$C,盘货信息!$K:$K)&gt;0),"【详情页领取】","")))</f>
        <v/>
      </c>
      <c r="M293" s="27" t="str" cm="1">
        <f t="array" ref="M293">IF($C293="","",IF(_xlfn.XLOOKUP($A293&amp;$B293&amp;$C293,盘货信息!$A:$A&amp;盘货信息!$B:$B&amp;盘货信息!$C:$C,盘货信息!$F:$F)&lt;1,"",_xlfn.XLOOKUP($A293&amp;$B293&amp;$C293,盘货信息!$A:$A&amp;盘货信息!$B:$B&amp;盘货信息!$C:$C,盘货信息!$F:$F)&amp;"元明卷"))</f>
        <v/>
      </c>
      <c r="N293" s="27" t="str">
        <f t="shared" si="9"/>
        <v/>
      </c>
      <c r="O293" s="27" t="str">
        <f>IF(I293="","","【消费券链接】"&amp;固定信息!$B$6)</f>
        <v/>
      </c>
    </row>
    <row r="294" customHeight="1" spans="1:15">
      <c r="A294" s="23" t="str">
        <f>IF(盘货信息!A294="","",盘货信息!A294)</f>
        <v/>
      </c>
      <c r="B294" s="26" t="str">
        <f>IF(盘货信息!B294="","",盘货信息!B294)</f>
        <v/>
      </c>
      <c r="C294" s="23" t="str">
        <f>IF(盘货信息!C294="","",盘货信息!C294)</f>
        <v/>
      </c>
      <c r="D294" s="27" t="str">
        <f t="shared" si="8"/>
        <v/>
      </c>
      <c r="E294" s="27" t="str" cm="1">
        <f t="array" ref="E294">IF($C294="","",IF(AND(OR(_xlfn.XLOOKUP($A294&amp;$B294&amp;$C294,盘货信息!$A:$A&amp;盘货信息!$B:$B&amp;盘货信息!$C:$C,盘货信息!$L:$L)="否",_xlfn.XLOOKUP($A294&amp;$B294&amp;$C294,盘货信息!$A:$A&amp;盘货信息!$B:$B&amp;盘货信息!$C:$C,盘货信息!$L:$L)=""),_xlfn.XLOOKUP($A294&amp;$B294&amp;$C294,盘货信息!$A:$A&amp;盘货信息!$B:$B&amp;盘货信息!$C:$C,盘货信息!$M:$M)="否"),"【预估到手价"&amp;_xlfn.XLOOKUP($A294&amp;$B294&amp;$C294,盘货信息!$A:$A&amp;盘货信息!$B:$B&amp;盘货信息!$C:$C,盘货信息!$D:$D)&amp;"元】",IF(AND(_xlfn.XLOOKUP($A294&amp;$B294&amp;$C294,盘货信息!$A:$A&amp;盘货信息!$B:$B&amp;盘货信息!$C:$C,盘货信息!$M:$M)="是",OR(_xlfn.XLOOKUP($A294&amp;$B294&amp;$C294,盘货信息!$A:$A&amp;盘货信息!$B:$B&amp;盘货信息!$C:$C,盘货信息!$L:$L)="否",_xlfn.XLOOKUP($A294&amp;$B294&amp;$C294,盘货信息!$A:$A&amp;盘货信息!$B:$B&amp;盘货信息!$C:$C,盘货信息!$L:$L)="")),"【预估到手价"&amp;_xlfn.XLOOKUP($A294&amp;$B294&amp;$C294,盘货信息!$A:$A&amp;盘货信息!$B:$B&amp;盘货信息!$C:$C,盘货信息!$D:$D)&amp;"元】"&amp;CHAR(10)&amp;"【焕新补贴预估价"&amp;ROUND(_xlfn.XLOOKUP($A294&amp;$B294&amp;$C294,盘货信息!$A:$A&amp;盘货信息!$B:$B&amp;盘货信息!$C:$C,盘货信息!$E:$E),0)&amp;"元】","【焕新补贴预估价"&amp;ROUND(_xlfn.XLOOKUP($A294&amp;$B294&amp;$C294,盘货信息!$A:$A&amp;盘货信息!$B:$B&amp;盘货信息!$C:$C,盘货信息!$E:$E),0)&amp;"元】")))</f>
        <v/>
      </c>
      <c r="F294" s="27" t="str" cm="1">
        <f t="array" ref="F294">IF($C294="","",_xlfn.XLOOKUP($A294&amp;$B294&amp;$C294,盘货信息!$A:$A&amp;盘货信息!$B:$B&amp;盘货信息!$C:$C,盘货信息!$D:$D)&amp;"元到手价")</f>
        <v/>
      </c>
      <c r="G294" s="27" t="str" cm="1">
        <f t="array" ref="G294">IF($C294="","",IF(_xlfn.XLOOKUP($A294&amp;$B294&amp;$C294,盘货信息!$A:$A&amp;盘货信息!$B:$B&amp;盘货信息!$C:$C,盘货信息!$G:$G)&lt;1,"",ROUND(_xlfn.XLOOKUP($A294&amp;$B294&amp;$C294,盘货信息!$A:$A&amp;盘货信息!$B:$B&amp;盘货信息!$C:$C,盘货信息!$G:$G),0)&amp;"元88VIP立减"))</f>
        <v/>
      </c>
      <c r="H294" s="27" t="str" cm="1">
        <f t="array" ref="H294">IF($C294="","",IF(_xlfn.XLOOKUP($A294&amp;$B294&amp;$C294,盘货信息!$A:$A&amp;盘货信息!$B:$B&amp;盘货信息!$C:$C,盘货信息!$I:$I)&lt;1,"",_xlfn.XLOOKUP($A294&amp;$B294&amp;$C294,盘货信息!$A:$A&amp;盘货信息!$B:$B&amp;盘货信息!$C:$C,盘货信息!$I:$I)&amp;"元惊喜立减"))</f>
        <v/>
      </c>
      <c r="I294" s="27" t="str" cm="1">
        <f t="array" ref="I294">IF($C294="","",IF(_xlfn.XLOOKUP($A294&amp;$B294&amp;$C294,盘货信息!$A:$A&amp;盘货信息!$B:$B&amp;盘货信息!$C:$C,盘货信息!$H:$H)&lt;1,"",ROUND(_xlfn.XLOOKUP($A294&amp;$B294&amp;$C294,盘货信息!$A:$A&amp;盘货信息!$B:$B&amp;盘货信息!$C:$C,盘货信息!$H:$H),0)&amp;"元消费券"))</f>
        <v/>
      </c>
      <c r="J294" s="27" t="str" cm="1">
        <f t="array" ref="J294">IF($C294="","",IF(_xlfn.XLOOKUP($A294&amp;$B294&amp;$C294,盘货信息!$A:$A&amp;盘货信息!$B:$B&amp;盘货信息!$C:$C,盘货信息!$J:$J)&lt;1,"",ROUND(_xlfn.XLOOKUP($A294&amp;$B294&amp;$C294,盘货信息!$A:$A&amp;盘货信息!$B:$B&amp;盘货信息!$C:$C,盘货信息!$J:$J),0)&amp;"元限时补贴"))</f>
        <v/>
      </c>
      <c r="K294" s="27" t="str" cm="1">
        <f t="array" ref="K294">IF($C294="","",IF(_xlfn.XLOOKUP($A294&amp;$B294&amp;$C294,盘货信息!$A:$A&amp;盘货信息!$B:$B&amp;盘货信息!$C:$C,盘货信息!$K:$K)&lt;1,"",ROUND(_xlfn.XLOOKUP($A294&amp;$B294&amp;$C294,盘货信息!$A:$A&amp;盘货信息!$B:$B&amp;盘货信息!$C:$C,盘货信息!$K:$K),0)&amp;"元预估焕新补贴"))</f>
        <v/>
      </c>
      <c r="L294" s="27" t="str" cm="1">
        <f t="array" ref="L294">IF($C294="","",IF(AND(_xlfn.XLOOKUP($A294&amp;$B294&amp;$C294,盘货信息!$A:$A&amp;盘货信息!$B:$B&amp;盘货信息!$C:$C,盘货信息!$L:$L)="是",_xlfn.XLOOKUP($A294&amp;$B294&amp;$C294,盘货信息!$A:$A&amp;盘货信息!$B:$B&amp;盘货信息!$C:$C,盘货信息!$M:$M)="是",_xlfn.XLOOKUP($A294&amp;$B294&amp;$C294,盘货信息!$A:$A&amp;盘货信息!$B:$B&amp;盘货信息!$C:$C,盘货信息!$K:$K)&gt;0),"【全民可用，不限地址】",IF(AND(OR(_xlfn.XLOOKUP($A294&amp;$B294&amp;$C294,盘货信息!$A:$A&amp;盘货信息!$B:$B&amp;盘货信息!$C:$C,盘货信息!$L:$L)="否",_xlfn.XLOOKUP($A294&amp;$B294&amp;$C294,盘货信息!$A:$A&amp;盘货信息!$B:$B&amp;盘货信息!$C:$C,盘货信息!$L:$L)=""),_xlfn.XLOOKUP($A294&amp;$B294&amp;$C294,盘货信息!$A:$A&amp;盘货信息!$B:$B&amp;盘货信息!$C:$C,盘货信息!$M:$M)="是",_xlfn.XLOOKUP($A294&amp;$B294&amp;$C294,盘货信息!$A:$A&amp;盘货信息!$B:$B&amp;盘货信息!$C:$C,盘货信息!$K:$K)&gt;0),"【详情页领取】","")))</f>
        <v/>
      </c>
      <c r="M294" s="27" t="str" cm="1">
        <f t="array" ref="M294">IF($C294="","",IF(_xlfn.XLOOKUP($A294&amp;$B294&amp;$C294,盘货信息!$A:$A&amp;盘货信息!$B:$B&amp;盘货信息!$C:$C,盘货信息!$F:$F)&lt;1,"",_xlfn.XLOOKUP($A294&amp;$B294&amp;$C294,盘货信息!$A:$A&amp;盘货信息!$B:$B&amp;盘货信息!$C:$C,盘货信息!$F:$F)&amp;"元明卷"))</f>
        <v/>
      </c>
      <c r="N294" s="27" t="str">
        <f t="shared" si="9"/>
        <v/>
      </c>
      <c r="O294" s="27" t="str">
        <f>IF(I294="","","【消费券链接】"&amp;固定信息!$B$6)</f>
        <v/>
      </c>
    </row>
    <row r="295" customHeight="1" spans="1:15">
      <c r="A295" s="23" t="str">
        <f>IF(盘货信息!A295="","",盘货信息!A295)</f>
        <v/>
      </c>
      <c r="B295" s="26" t="str">
        <f>IF(盘货信息!B295="","",盘货信息!B295)</f>
        <v/>
      </c>
      <c r="C295" s="23" t="str">
        <f>IF(盘货信息!C295="","",盘货信息!C295)</f>
        <v/>
      </c>
      <c r="D295" s="27" t="str">
        <f t="shared" si="8"/>
        <v/>
      </c>
      <c r="E295" s="27" t="str" cm="1">
        <f t="array" ref="E295">IF($C295="","",IF(AND(OR(_xlfn.XLOOKUP($A295&amp;$B295&amp;$C295,盘货信息!$A:$A&amp;盘货信息!$B:$B&amp;盘货信息!$C:$C,盘货信息!$L:$L)="否",_xlfn.XLOOKUP($A295&amp;$B295&amp;$C295,盘货信息!$A:$A&amp;盘货信息!$B:$B&amp;盘货信息!$C:$C,盘货信息!$L:$L)=""),_xlfn.XLOOKUP($A295&amp;$B295&amp;$C295,盘货信息!$A:$A&amp;盘货信息!$B:$B&amp;盘货信息!$C:$C,盘货信息!$M:$M)="否"),"【预估到手价"&amp;_xlfn.XLOOKUP($A295&amp;$B295&amp;$C295,盘货信息!$A:$A&amp;盘货信息!$B:$B&amp;盘货信息!$C:$C,盘货信息!$D:$D)&amp;"元】",IF(AND(_xlfn.XLOOKUP($A295&amp;$B295&amp;$C295,盘货信息!$A:$A&amp;盘货信息!$B:$B&amp;盘货信息!$C:$C,盘货信息!$M:$M)="是",OR(_xlfn.XLOOKUP($A295&amp;$B295&amp;$C295,盘货信息!$A:$A&amp;盘货信息!$B:$B&amp;盘货信息!$C:$C,盘货信息!$L:$L)="否",_xlfn.XLOOKUP($A295&amp;$B295&amp;$C295,盘货信息!$A:$A&amp;盘货信息!$B:$B&amp;盘货信息!$C:$C,盘货信息!$L:$L)="")),"【预估到手价"&amp;_xlfn.XLOOKUP($A295&amp;$B295&amp;$C295,盘货信息!$A:$A&amp;盘货信息!$B:$B&amp;盘货信息!$C:$C,盘货信息!$D:$D)&amp;"元】"&amp;CHAR(10)&amp;"【焕新补贴预估价"&amp;ROUND(_xlfn.XLOOKUP($A295&amp;$B295&amp;$C295,盘货信息!$A:$A&amp;盘货信息!$B:$B&amp;盘货信息!$C:$C,盘货信息!$E:$E),0)&amp;"元】","【焕新补贴预估价"&amp;ROUND(_xlfn.XLOOKUP($A295&amp;$B295&amp;$C295,盘货信息!$A:$A&amp;盘货信息!$B:$B&amp;盘货信息!$C:$C,盘货信息!$E:$E),0)&amp;"元】")))</f>
        <v/>
      </c>
      <c r="F295" s="27" t="str" cm="1">
        <f t="array" ref="F295">IF($C295="","",_xlfn.XLOOKUP($A295&amp;$B295&amp;$C295,盘货信息!$A:$A&amp;盘货信息!$B:$B&amp;盘货信息!$C:$C,盘货信息!$D:$D)&amp;"元到手价")</f>
        <v/>
      </c>
      <c r="G295" s="27" t="str" cm="1">
        <f t="array" ref="G295">IF($C295="","",IF(_xlfn.XLOOKUP($A295&amp;$B295&amp;$C295,盘货信息!$A:$A&amp;盘货信息!$B:$B&amp;盘货信息!$C:$C,盘货信息!$G:$G)&lt;1,"",ROUND(_xlfn.XLOOKUP($A295&amp;$B295&amp;$C295,盘货信息!$A:$A&amp;盘货信息!$B:$B&amp;盘货信息!$C:$C,盘货信息!$G:$G),0)&amp;"元88VIP立减"))</f>
        <v/>
      </c>
      <c r="H295" s="27" t="str" cm="1">
        <f t="array" ref="H295">IF($C295="","",IF(_xlfn.XLOOKUP($A295&amp;$B295&amp;$C295,盘货信息!$A:$A&amp;盘货信息!$B:$B&amp;盘货信息!$C:$C,盘货信息!$I:$I)&lt;1,"",_xlfn.XLOOKUP($A295&amp;$B295&amp;$C295,盘货信息!$A:$A&amp;盘货信息!$B:$B&amp;盘货信息!$C:$C,盘货信息!$I:$I)&amp;"元惊喜立减"))</f>
        <v/>
      </c>
      <c r="I295" s="27" t="str" cm="1">
        <f t="array" ref="I295">IF($C295="","",IF(_xlfn.XLOOKUP($A295&amp;$B295&amp;$C295,盘货信息!$A:$A&amp;盘货信息!$B:$B&amp;盘货信息!$C:$C,盘货信息!$H:$H)&lt;1,"",ROUND(_xlfn.XLOOKUP($A295&amp;$B295&amp;$C295,盘货信息!$A:$A&amp;盘货信息!$B:$B&amp;盘货信息!$C:$C,盘货信息!$H:$H),0)&amp;"元消费券"))</f>
        <v/>
      </c>
      <c r="J295" s="27" t="str" cm="1">
        <f t="array" ref="J295">IF($C295="","",IF(_xlfn.XLOOKUP($A295&amp;$B295&amp;$C295,盘货信息!$A:$A&amp;盘货信息!$B:$B&amp;盘货信息!$C:$C,盘货信息!$J:$J)&lt;1,"",ROUND(_xlfn.XLOOKUP($A295&amp;$B295&amp;$C295,盘货信息!$A:$A&amp;盘货信息!$B:$B&amp;盘货信息!$C:$C,盘货信息!$J:$J),0)&amp;"元限时补贴"))</f>
        <v/>
      </c>
      <c r="K295" s="27" t="str" cm="1">
        <f t="array" ref="K295">IF($C295="","",IF(_xlfn.XLOOKUP($A295&amp;$B295&amp;$C295,盘货信息!$A:$A&amp;盘货信息!$B:$B&amp;盘货信息!$C:$C,盘货信息!$K:$K)&lt;1,"",ROUND(_xlfn.XLOOKUP($A295&amp;$B295&amp;$C295,盘货信息!$A:$A&amp;盘货信息!$B:$B&amp;盘货信息!$C:$C,盘货信息!$K:$K),0)&amp;"元预估焕新补贴"))</f>
        <v/>
      </c>
      <c r="L295" s="27" t="str" cm="1">
        <f t="array" ref="L295">IF($C295="","",IF(AND(_xlfn.XLOOKUP($A295&amp;$B295&amp;$C295,盘货信息!$A:$A&amp;盘货信息!$B:$B&amp;盘货信息!$C:$C,盘货信息!$L:$L)="是",_xlfn.XLOOKUP($A295&amp;$B295&amp;$C295,盘货信息!$A:$A&amp;盘货信息!$B:$B&amp;盘货信息!$C:$C,盘货信息!$M:$M)="是",_xlfn.XLOOKUP($A295&amp;$B295&amp;$C295,盘货信息!$A:$A&amp;盘货信息!$B:$B&amp;盘货信息!$C:$C,盘货信息!$K:$K)&gt;0),"【全民可用，不限地址】",IF(AND(OR(_xlfn.XLOOKUP($A295&amp;$B295&amp;$C295,盘货信息!$A:$A&amp;盘货信息!$B:$B&amp;盘货信息!$C:$C,盘货信息!$L:$L)="否",_xlfn.XLOOKUP($A295&amp;$B295&amp;$C295,盘货信息!$A:$A&amp;盘货信息!$B:$B&amp;盘货信息!$C:$C,盘货信息!$L:$L)=""),_xlfn.XLOOKUP($A295&amp;$B295&amp;$C295,盘货信息!$A:$A&amp;盘货信息!$B:$B&amp;盘货信息!$C:$C,盘货信息!$M:$M)="是",_xlfn.XLOOKUP($A295&amp;$B295&amp;$C295,盘货信息!$A:$A&amp;盘货信息!$B:$B&amp;盘货信息!$C:$C,盘货信息!$K:$K)&gt;0),"【详情页领取】","")))</f>
        <v/>
      </c>
      <c r="M295" s="27" t="str" cm="1">
        <f t="array" ref="M295">IF($C295="","",IF(_xlfn.XLOOKUP($A295&amp;$B295&amp;$C295,盘货信息!$A:$A&amp;盘货信息!$B:$B&amp;盘货信息!$C:$C,盘货信息!$F:$F)&lt;1,"",_xlfn.XLOOKUP($A295&amp;$B295&amp;$C295,盘货信息!$A:$A&amp;盘货信息!$B:$B&amp;盘货信息!$C:$C,盘货信息!$F:$F)&amp;"元明卷"))</f>
        <v/>
      </c>
      <c r="N295" s="27" t="str">
        <f t="shared" si="9"/>
        <v/>
      </c>
      <c r="O295" s="27" t="str">
        <f>IF(I295="","","【消费券链接】"&amp;固定信息!$B$6)</f>
        <v/>
      </c>
    </row>
    <row r="296" customHeight="1" spans="1:15">
      <c r="A296" s="23" t="str">
        <f>IF(盘货信息!A296="","",盘货信息!A296)</f>
        <v/>
      </c>
      <c r="B296" s="26" t="str">
        <f>IF(盘货信息!B296="","",盘货信息!B296)</f>
        <v/>
      </c>
      <c r="C296" s="23" t="str">
        <f>IF(盘货信息!C296="","",盘货信息!C296)</f>
        <v/>
      </c>
      <c r="D296" s="27" t="str">
        <f t="shared" si="8"/>
        <v/>
      </c>
      <c r="E296" s="27" t="str" cm="1">
        <f t="array" ref="E296">IF($C296="","",IF(AND(OR(_xlfn.XLOOKUP($A296&amp;$B296&amp;$C296,盘货信息!$A:$A&amp;盘货信息!$B:$B&amp;盘货信息!$C:$C,盘货信息!$L:$L)="否",_xlfn.XLOOKUP($A296&amp;$B296&amp;$C296,盘货信息!$A:$A&amp;盘货信息!$B:$B&amp;盘货信息!$C:$C,盘货信息!$L:$L)=""),_xlfn.XLOOKUP($A296&amp;$B296&amp;$C296,盘货信息!$A:$A&amp;盘货信息!$B:$B&amp;盘货信息!$C:$C,盘货信息!$M:$M)="否"),"【预估到手价"&amp;_xlfn.XLOOKUP($A296&amp;$B296&amp;$C296,盘货信息!$A:$A&amp;盘货信息!$B:$B&amp;盘货信息!$C:$C,盘货信息!$D:$D)&amp;"元】",IF(AND(_xlfn.XLOOKUP($A296&amp;$B296&amp;$C296,盘货信息!$A:$A&amp;盘货信息!$B:$B&amp;盘货信息!$C:$C,盘货信息!$M:$M)="是",OR(_xlfn.XLOOKUP($A296&amp;$B296&amp;$C296,盘货信息!$A:$A&amp;盘货信息!$B:$B&amp;盘货信息!$C:$C,盘货信息!$L:$L)="否",_xlfn.XLOOKUP($A296&amp;$B296&amp;$C296,盘货信息!$A:$A&amp;盘货信息!$B:$B&amp;盘货信息!$C:$C,盘货信息!$L:$L)="")),"【预估到手价"&amp;_xlfn.XLOOKUP($A296&amp;$B296&amp;$C296,盘货信息!$A:$A&amp;盘货信息!$B:$B&amp;盘货信息!$C:$C,盘货信息!$D:$D)&amp;"元】"&amp;CHAR(10)&amp;"【焕新补贴预估价"&amp;ROUND(_xlfn.XLOOKUP($A296&amp;$B296&amp;$C296,盘货信息!$A:$A&amp;盘货信息!$B:$B&amp;盘货信息!$C:$C,盘货信息!$E:$E),0)&amp;"元】","【焕新补贴预估价"&amp;ROUND(_xlfn.XLOOKUP($A296&amp;$B296&amp;$C296,盘货信息!$A:$A&amp;盘货信息!$B:$B&amp;盘货信息!$C:$C,盘货信息!$E:$E),0)&amp;"元】")))</f>
        <v/>
      </c>
      <c r="F296" s="27" t="str" cm="1">
        <f t="array" ref="F296">IF($C296="","",_xlfn.XLOOKUP($A296&amp;$B296&amp;$C296,盘货信息!$A:$A&amp;盘货信息!$B:$B&amp;盘货信息!$C:$C,盘货信息!$D:$D)&amp;"元到手价")</f>
        <v/>
      </c>
      <c r="G296" s="27" t="str" cm="1">
        <f t="array" ref="G296">IF($C296="","",IF(_xlfn.XLOOKUP($A296&amp;$B296&amp;$C296,盘货信息!$A:$A&amp;盘货信息!$B:$B&amp;盘货信息!$C:$C,盘货信息!$G:$G)&lt;1,"",ROUND(_xlfn.XLOOKUP($A296&amp;$B296&amp;$C296,盘货信息!$A:$A&amp;盘货信息!$B:$B&amp;盘货信息!$C:$C,盘货信息!$G:$G),0)&amp;"元88VIP立减"))</f>
        <v/>
      </c>
      <c r="H296" s="27" t="str" cm="1">
        <f t="array" ref="H296">IF($C296="","",IF(_xlfn.XLOOKUP($A296&amp;$B296&amp;$C296,盘货信息!$A:$A&amp;盘货信息!$B:$B&amp;盘货信息!$C:$C,盘货信息!$I:$I)&lt;1,"",_xlfn.XLOOKUP($A296&amp;$B296&amp;$C296,盘货信息!$A:$A&amp;盘货信息!$B:$B&amp;盘货信息!$C:$C,盘货信息!$I:$I)&amp;"元惊喜立减"))</f>
        <v/>
      </c>
      <c r="I296" s="27" t="str" cm="1">
        <f t="array" ref="I296">IF($C296="","",IF(_xlfn.XLOOKUP($A296&amp;$B296&amp;$C296,盘货信息!$A:$A&amp;盘货信息!$B:$B&amp;盘货信息!$C:$C,盘货信息!$H:$H)&lt;1,"",ROUND(_xlfn.XLOOKUP($A296&amp;$B296&amp;$C296,盘货信息!$A:$A&amp;盘货信息!$B:$B&amp;盘货信息!$C:$C,盘货信息!$H:$H),0)&amp;"元消费券"))</f>
        <v/>
      </c>
      <c r="J296" s="27" t="str" cm="1">
        <f t="array" ref="J296">IF($C296="","",IF(_xlfn.XLOOKUP($A296&amp;$B296&amp;$C296,盘货信息!$A:$A&amp;盘货信息!$B:$B&amp;盘货信息!$C:$C,盘货信息!$J:$J)&lt;1,"",ROUND(_xlfn.XLOOKUP($A296&amp;$B296&amp;$C296,盘货信息!$A:$A&amp;盘货信息!$B:$B&amp;盘货信息!$C:$C,盘货信息!$J:$J),0)&amp;"元限时补贴"))</f>
        <v/>
      </c>
      <c r="K296" s="27" t="str" cm="1">
        <f t="array" ref="K296">IF($C296="","",IF(_xlfn.XLOOKUP($A296&amp;$B296&amp;$C296,盘货信息!$A:$A&amp;盘货信息!$B:$B&amp;盘货信息!$C:$C,盘货信息!$K:$K)&lt;1,"",ROUND(_xlfn.XLOOKUP($A296&amp;$B296&amp;$C296,盘货信息!$A:$A&amp;盘货信息!$B:$B&amp;盘货信息!$C:$C,盘货信息!$K:$K),0)&amp;"元预估焕新补贴"))</f>
        <v/>
      </c>
      <c r="L296" s="27" t="str" cm="1">
        <f t="array" ref="L296">IF($C296="","",IF(AND(_xlfn.XLOOKUP($A296&amp;$B296&amp;$C296,盘货信息!$A:$A&amp;盘货信息!$B:$B&amp;盘货信息!$C:$C,盘货信息!$L:$L)="是",_xlfn.XLOOKUP($A296&amp;$B296&amp;$C296,盘货信息!$A:$A&amp;盘货信息!$B:$B&amp;盘货信息!$C:$C,盘货信息!$M:$M)="是",_xlfn.XLOOKUP($A296&amp;$B296&amp;$C296,盘货信息!$A:$A&amp;盘货信息!$B:$B&amp;盘货信息!$C:$C,盘货信息!$K:$K)&gt;0),"【全民可用，不限地址】",IF(AND(OR(_xlfn.XLOOKUP($A296&amp;$B296&amp;$C296,盘货信息!$A:$A&amp;盘货信息!$B:$B&amp;盘货信息!$C:$C,盘货信息!$L:$L)="否",_xlfn.XLOOKUP($A296&amp;$B296&amp;$C296,盘货信息!$A:$A&amp;盘货信息!$B:$B&amp;盘货信息!$C:$C,盘货信息!$L:$L)=""),_xlfn.XLOOKUP($A296&amp;$B296&amp;$C296,盘货信息!$A:$A&amp;盘货信息!$B:$B&amp;盘货信息!$C:$C,盘货信息!$M:$M)="是",_xlfn.XLOOKUP($A296&amp;$B296&amp;$C296,盘货信息!$A:$A&amp;盘货信息!$B:$B&amp;盘货信息!$C:$C,盘货信息!$K:$K)&gt;0),"【详情页领取】","")))</f>
        <v/>
      </c>
      <c r="M296" s="27" t="str" cm="1">
        <f t="array" ref="M296">IF($C296="","",IF(_xlfn.XLOOKUP($A296&amp;$B296&amp;$C296,盘货信息!$A:$A&amp;盘货信息!$B:$B&amp;盘货信息!$C:$C,盘货信息!$F:$F)&lt;1,"",_xlfn.XLOOKUP($A296&amp;$B296&amp;$C296,盘货信息!$A:$A&amp;盘货信息!$B:$B&amp;盘货信息!$C:$C,盘货信息!$F:$F)&amp;"元明卷"))</f>
        <v/>
      </c>
      <c r="N296" s="27" t="str">
        <f t="shared" si="9"/>
        <v/>
      </c>
      <c r="O296" s="27" t="str">
        <f>IF(I296="","","【消费券链接】"&amp;固定信息!$B$6)</f>
        <v/>
      </c>
    </row>
    <row r="297" customHeight="1" spans="1:15">
      <c r="A297" s="23" t="str">
        <f>IF(盘货信息!A297="","",盘货信息!A297)</f>
        <v/>
      </c>
      <c r="B297" s="26" t="str">
        <f>IF(盘货信息!B297="","",盘货信息!B297)</f>
        <v/>
      </c>
      <c r="C297" s="23" t="str">
        <f>IF(盘货信息!C297="","",盘货信息!C297)</f>
        <v/>
      </c>
      <c r="D297" s="27" t="str">
        <f t="shared" si="8"/>
        <v/>
      </c>
      <c r="E297" s="27" t="str" cm="1">
        <f t="array" ref="E297">IF($C297="","",IF(AND(OR(_xlfn.XLOOKUP($A297&amp;$B297&amp;$C297,盘货信息!$A:$A&amp;盘货信息!$B:$B&amp;盘货信息!$C:$C,盘货信息!$L:$L)="否",_xlfn.XLOOKUP($A297&amp;$B297&amp;$C297,盘货信息!$A:$A&amp;盘货信息!$B:$B&amp;盘货信息!$C:$C,盘货信息!$L:$L)=""),_xlfn.XLOOKUP($A297&amp;$B297&amp;$C297,盘货信息!$A:$A&amp;盘货信息!$B:$B&amp;盘货信息!$C:$C,盘货信息!$M:$M)="否"),"【预估到手价"&amp;_xlfn.XLOOKUP($A297&amp;$B297&amp;$C297,盘货信息!$A:$A&amp;盘货信息!$B:$B&amp;盘货信息!$C:$C,盘货信息!$D:$D)&amp;"元】",IF(AND(_xlfn.XLOOKUP($A297&amp;$B297&amp;$C297,盘货信息!$A:$A&amp;盘货信息!$B:$B&amp;盘货信息!$C:$C,盘货信息!$M:$M)="是",OR(_xlfn.XLOOKUP($A297&amp;$B297&amp;$C297,盘货信息!$A:$A&amp;盘货信息!$B:$B&amp;盘货信息!$C:$C,盘货信息!$L:$L)="否",_xlfn.XLOOKUP($A297&amp;$B297&amp;$C297,盘货信息!$A:$A&amp;盘货信息!$B:$B&amp;盘货信息!$C:$C,盘货信息!$L:$L)="")),"【预估到手价"&amp;_xlfn.XLOOKUP($A297&amp;$B297&amp;$C297,盘货信息!$A:$A&amp;盘货信息!$B:$B&amp;盘货信息!$C:$C,盘货信息!$D:$D)&amp;"元】"&amp;CHAR(10)&amp;"【焕新补贴预估价"&amp;ROUND(_xlfn.XLOOKUP($A297&amp;$B297&amp;$C297,盘货信息!$A:$A&amp;盘货信息!$B:$B&amp;盘货信息!$C:$C,盘货信息!$E:$E),0)&amp;"元】","【焕新补贴预估价"&amp;ROUND(_xlfn.XLOOKUP($A297&amp;$B297&amp;$C297,盘货信息!$A:$A&amp;盘货信息!$B:$B&amp;盘货信息!$C:$C,盘货信息!$E:$E),0)&amp;"元】")))</f>
        <v/>
      </c>
      <c r="F297" s="27" t="str" cm="1">
        <f t="array" ref="F297">IF($C297="","",_xlfn.XLOOKUP($A297&amp;$B297&amp;$C297,盘货信息!$A:$A&amp;盘货信息!$B:$B&amp;盘货信息!$C:$C,盘货信息!$D:$D)&amp;"元到手价")</f>
        <v/>
      </c>
      <c r="G297" s="27" t="str" cm="1">
        <f t="array" ref="G297">IF($C297="","",IF(_xlfn.XLOOKUP($A297&amp;$B297&amp;$C297,盘货信息!$A:$A&amp;盘货信息!$B:$B&amp;盘货信息!$C:$C,盘货信息!$G:$G)&lt;1,"",ROUND(_xlfn.XLOOKUP($A297&amp;$B297&amp;$C297,盘货信息!$A:$A&amp;盘货信息!$B:$B&amp;盘货信息!$C:$C,盘货信息!$G:$G),0)&amp;"元88VIP立减"))</f>
        <v/>
      </c>
      <c r="H297" s="27" t="str" cm="1">
        <f t="array" ref="H297">IF($C297="","",IF(_xlfn.XLOOKUP($A297&amp;$B297&amp;$C297,盘货信息!$A:$A&amp;盘货信息!$B:$B&amp;盘货信息!$C:$C,盘货信息!$I:$I)&lt;1,"",_xlfn.XLOOKUP($A297&amp;$B297&amp;$C297,盘货信息!$A:$A&amp;盘货信息!$B:$B&amp;盘货信息!$C:$C,盘货信息!$I:$I)&amp;"元惊喜立减"))</f>
        <v/>
      </c>
      <c r="I297" s="27" t="str" cm="1">
        <f t="array" ref="I297">IF($C297="","",IF(_xlfn.XLOOKUP($A297&amp;$B297&amp;$C297,盘货信息!$A:$A&amp;盘货信息!$B:$B&amp;盘货信息!$C:$C,盘货信息!$H:$H)&lt;1,"",ROUND(_xlfn.XLOOKUP($A297&amp;$B297&amp;$C297,盘货信息!$A:$A&amp;盘货信息!$B:$B&amp;盘货信息!$C:$C,盘货信息!$H:$H),0)&amp;"元消费券"))</f>
        <v/>
      </c>
      <c r="J297" s="27" t="str" cm="1">
        <f t="array" ref="J297">IF($C297="","",IF(_xlfn.XLOOKUP($A297&amp;$B297&amp;$C297,盘货信息!$A:$A&amp;盘货信息!$B:$B&amp;盘货信息!$C:$C,盘货信息!$J:$J)&lt;1,"",ROUND(_xlfn.XLOOKUP($A297&amp;$B297&amp;$C297,盘货信息!$A:$A&amp;盘货信息!$B:$B&amp;盘货信息!$C:$C,盘货信息!$J:$J),0)&amp;"元限时补贴"))</f>
        <v/>
      </c>
      <c r="K297" s="27" t="str" cm="1">
        <f t="array" ref="K297">IF($C297="","",IF(_xlfn.XLOOKUP($A297&amp;$B297&amp;$C297,盘货信息!$A:$A&amp;盘货信息!$B:$B&amp;盘货信息!$C:$C,盘货信息!$K:$K)&lt;1,"",ROUND(_xlfn.XLOOKUP($A297&amp;$B297&amp;$C297,盘货信息!$A:$A&amp;盘货信息!$B:$B&amp;盘货信息!$C:$C,盘货信息!$K:$K),0)&amp;"元预估焕新补贴"))</f>
        <v/>
      </c>
      <c r="L297" s="27" t="str" cm="1">
        <f t="array" ref="L297">IF($C297="","",IF(AND(_xlfn.XLOOKUP($A297&amp;$B297&amp;$C297,盘货信息!$A:$A&amp;盘货信息!$B:$B&amp;盘货信息!$C:$C,盘货信息!$L:$L)="是",_xlfn.XLOOKUP($A297&amp;$B297&amp;$C297,盘货信息!$A:$A&amp;盘货信息!$B:$B&amp;盘货信息!$C:$C,盘货信息!$M:$M)="是",_xlfn.XLOOKUP($A297&amp;$B297&amp;$C297,盘货信息!$A:$A&amp;盘货信息!$B:$B&amp;盘货信息!$C:$C,盘货信息!$K:$K)&gt;0),"【全民可用，不限地址】",IF(AND(OR(_xlfn.XLOOKUP($A297&amp;$B297&amp;$C297,盘货信息!$A:$A&amp;盘货信息!$B:$B&amp;盘货信息!$C:$C,盘货信息!$L:$L)="否",_xlfn.XLOOKUP($A297&amp;$B297&amp;$C297,盘货信息!$A:$A&amp;盘货信息!$B:$B&amp;盘货信息!$C:$C,盘货信息!$L:$L)=""),_xlfn.XLOOKUP($A297&amp;$B297&amp;$C297,盘货信息!$A:$A&amp;盘货信息!$B:$B&amp;盘货信息!$C:$C,盘货信息!$M:$M)="是",_xlfn.XLOOKUP($A297&amp;$B297&amp;$C297,盘货信息!$A:$A&amp;盘货信息!$B:$B&amp;盘货信息!$C:$C,盘货信息!$K:$K)&gt;0),"【详情页领取】","")))</f>
        <v/>
      </c>
      <c r="M297" s="27" t="str" cm="1">
        <f t="array" ref="M297">IF($C297="","",IF(_xlfn.XLOOKUP($A297&amp;$B297&amp;$C297,盘货信息!$A:$A&amp;盘货信息!$B:$B&amp;盘货信息!$C:$C,盘货信息!$F:$F)&lt;1,"",_xlfn.XLOOKUP($A297&amp;$B297&amp;$C297,盘货信息!$A:$A&amp;盘货信息!$B:$B&amp;盘货信息!$C:$C,盘货信息!$F:$F)&amp;"元明卷"))</f>
        <v/>
      </c>
      <c r="N297" s="27" t="str">
        <f t="shared" si="9"/>
        <v/>
      </c>
      <c r="O297" s="27" t="str">
        <f>IF(I297="","","【消费券链接】"&amp;固定信息!$B$6)</f>
        <v/>
      </c>
    </row>
    <row r="298" customHeight="1" spans="1:15">
      <c r="A298" s="23" t="str">
        <f>IF(盘货信息!A298="","",盘货信息!A298)</f>
        <v/>
      </c>
      <c r="B298" s="26" t="str">
        <f>IF(盘货信息!B298="","",盘货信息!B298)</f>
        <v/>
      </c>
      <c r="C298" s="23" t="str">
        <f>IF(盘货信息!C298="","",盘货信息!C298)</f>
        <v/>
      </c>
      <c r="D298" s="27" t="str">
        <f t="shared" si="8"/>
        <v/>
      </c>
      <c r="E298" s="27" t="str" cm="1">
        <f t="array" ref="E298">IF($C298="","",IF(AND(OR(_xlfn.XLOOKUP($A298&amp;$B298&amp;$C298,盘货信息!$A:$A&amp;盘货信息!$B:$B&amp;盘货信息!$C:$C,盘货信息!$L:$L)="否",_xlfn.XLOOKUP($A298&amp;$B298&amp;$C298,盘货信息!$A:$A&amp;盘货信息!$B:$B&amp;盘货信息!$C:$C,盘货信息!$L:$L)=""),_xlfn.XLOOKUP($A298&amp;$B298&amp;$C298,盘货信息!$A:$A&amp;盘货信息!$B:$B&amp;盘货信息!$C:$C,盘货信息!$M:$M)="否"),"【预估到手价"&amp;_xlfn.XLOOKUP($A298&amp;$B298&amp;$C298,盘货信息!$A:$A&amp;盘货信息!$B:$B&amp;盘货信息!$C:$C,盘货信息!$D:$D)&amp;"元】",IF(AND(_xlfn.XLOOKUP($A298&amp;$B298&amp;$C298,盘货信息!$A:$A&amp;盘货信息!$B:$B&amp;盘货信息!$C:$C,盘货信息!$M:$M)="是",OR(_xlfn.XLOOKUP($A298&amp;$B298&amp;$C298,盘货信息!$A:$A&amp;盘货信息!$B:$B&amp;盘货信息!$C:$C,盘货信息!$L:$L)="否",_xlfn.XLOOKUP($A298&amp;$B298&amp;$C298,盘货信息!$A:$A&amp;盘货信息!$B:$B&amp;盘货信息!$C:$C,盘货信息!$L:$L)="")),"【预估到手价"&amp;_xlfn.XLOOKUP($A298&amp;$B298&amp;$C298,盘货信息!$A:$A&amp;盘货信息!$B:$B&amp;盘货信息!$C:$C,盘货信息!$D:$D)&amp;"元】"&amp;CHAR(10)&amp;"【焕新补贴预估价"&amp;ROUND(_xlfn.XLOOKUP($A298&amp;$B298&amp;$C298,盘货信息!$A:$A&amp;盘货信息!$B:$B&amp;盘货信息!$C:$C,盘货信息!$E:$E),0)&amp;"元】","【焕新补贴预估价"&amp;ROUND(_xlfn.XLOOKUP($A298&amp;$B298&amp;$C298,盘货信息!$A:$A&amp;盘货信息!$B:$B&amp;盘货信息!$C:$C,盘货信息!$E:$E),0)&amp;"元】")))</f>
        <v/>
      </c>
      <c r="F298" s="27" t="str" cm="1">
        <f t="array" ref="F298">IF($C298="","",_xlfn.XLOOKUP($A298&amp;$B298&amp;$C298,盘货信息!$A:$A&amp;盘货信息!$B:$B&amp;盘货信息!$C:$C,盘货信息!$D:$D)&amp;"元到手价")</f>
        <v/>
      </c>
      <c r="G298" s="27" t="str" cm="1">
        <f t="array" ref="G298">IF($C298="","",IF(_xlfn.XLOOKUP($A298&amp;$B298&amp;$C298,盘货信息!$A:$A&amp;盘货信息!$B:$B&amp;盘货信息!$C:$C,盘货信息!$G:$G)&lt;1,"",ROUND(_xlfn.XLOOKUP($A298&amp;$B298&amp;$C298,盘货信息!$A:$A&amp;盘货信息!$B:$B&amp;盘货信息!$C:$C,盘货信息!$G:$G),0)&amp;"元88VIP立减"))</f>
        <v/>
      </c>
      <c r="H298" s="27" t="str" cm="1">
        <f t="array" ref="H298">IF($C298="","",IF(_xlfn.XLOOKUP($A298&amp;$B298&amp;$C298,盘货信息!$A:$A&amp;盘货信息!$B:$B&amp;盘货信息!$C:$C,盘货信息!$I:$I)&lt;1,"",_xlfn.XLOOKUP($A298&amp;$B298&amp;$C298,盘货信息!$A:$A&amp;盘货信息!$B:$B&amp;盘货信息!$C:$C,盘货信息!$I:$I)&amp;"元惊喜立减"))</f>
        <v/>
      </c>
      <c r="I298" s="27" t="str" cm="1">
        <f t="array" ref="I298">IF($C298="","",IF(_xlfn.XLOOKUP($A298&amp;$B298&amp;$C298,盘货信息!$A:$A&amp;盘货信息!$B:$B&amp;盘货信息!$C:$C,盘货信息!$H:$H)&lt;1,"",ROUND(_xlfn.XLOOKUP($A298&amp;$B298&amp;$C298,盘货信息!$A:$A&amp;盘货信息!$B:$B&amp;盘货信息!$C:$C,盘货信息!$H:$H),0)&amp;"元消费券"))</f>
        <v/>
      </c>
      <c r="J298" s="27" t="str" cm="1">
        <f t="array" ref="J298">IF($C298="","",IF(_xlfn.XLOOKUP($A298&amp;$B298&amp;$C298,盘货信息!$A:$A&amp;盘货信息!$B:$B&amp;盘货信息!$C:$C,盘货信息!$J:$J)&lt;1,"",ROUND(_xlfn.XLOOKUP($A298&amp;$B298&amp;$C298,盘货信息!$A:$A&amp;盘货信息!$B:$B&amp;盘货信息!$C:$C,盘货信息!$J:$J),0)&amp;"元限时补贴"))</f>
        <v/>
      </c>
      <c r="K298" s="27" t="str" cm="1">
        <f t="array" ref="K298">IF($C298="","",IF(_xlfn.XLOOKUP($A298&amp;$B298&amp;$C298,盘货信息!$A:$A&amp;盘货信息!$B:$B&amp;盘货信息!$C:$C,盘货信息!$K:$K)&lt;1,"",ROUND(_xlfn.XLOOKUP($A298&amp;$B298&amp;$C298,盘货信息!$A:$A&amp;盘货信息!$B:$B&amp;盘货信息!$C:$C,盘货信息!$K:$K),0)&amp;"元预估焕新补贴"))</f>
        <v/>
      </c>
      <c r="L298" s="27" t="str" cm="1">
        <f t="array" ref="L298">IF($C298="","",IF(AND(_xlfn.XLOOKUP($A298&amp;$B298&amp;$C298,盘货信息!$A:$A&amp;盘货信息!$B:$B&amp;盘货信息!$C:$C,盘货信息!$L:$L)="是",_xlfn.XLOOKUP($A298&amp;$B298&amp;$C298,盘货信息!$A:$A&amp;盘货信息!$B:$B&amp;盘货信息!$C:$C,盘货信息!$M:$M)="是",_xlfn.XLOOKUP($A298&amp;$B298&amp;$C298,盘货信息!$A:$A&amp;盘货信息!$B:$B&amp;盘货信息!$C:$C,盘货信息!$K:$K)&gt;0),"【全民可用，不限地址】",IF(AND(OR(_xlfn.XLOOKUP($A298&amp;$B298&amp;$C298,盘货信息!$A:$A&amp;盘货信息!$B:$B&amp;盘货信息!$C:$C,盘货信息!$L:$L)="否",_xlfn.XLOOKUP($A298&amp;$B298&amp;$C298,盘货信息!$A:$A&amp;盘货信息!$B:$B&amp;盘货信息!$C:$C,盘货信息!$L:$L)=""),_xlfn.XLOOKUP($A298&amp;$B298&amp;$C298,盘货信息!$A:$A&amp;盘货信息!$B:$B&amp;盘货信息!$C:$C,盘货信息!$M:$M)="是",_xlfn.XLOOKUP($A298&amp;$B298&amp;$C298,盘货信息!$A:$A&amp;盘货信息!$B:$B&amp;盘货信息!$C:$C,盘货信息!$K:$K)&gt;0),"【详情页领取】","")))</f>
        <v/>
      </c>
      <c r="M298" s="27" t="str" cm="1">
        <f t="array" ref="M298">IF($C298="","",IF(_xlfn.XLOOKUP($A298&amp;$B298&amp;$C298,盘货信息!$A:$A&amp;盘货信息!$B:$B&amp;盘货信息!$C:$C,盘货信息!$F:$F)&lt;1,"",_xlfn.XLOOKUP($A298&amp;$B298&amp;$C298,盘货信息!$A:$A&amp;盘货信息!$B:$B&amp;盘货信息!$C:$C,盘货信息!$F:$F)&amp;"元明卷"))</f>
        <v/>
      </c>
      <c r="N298" s="27" t="str">
        <f t="shared" si="9"/>
        <v/>
      </c>
      <c r="O298" s="27" t="str">
        <f>IF(I298="","","【消费券链接】"&amp;固定信息!$B$6)</f>
        <v/>
      </c>
    </row>
    <row r="299" customHeight="1" spans="1:15">
      <c r="A299" s="23" t="str">
        <f>IF(盘货信息!A299="","",盘货信息!A299)</f>
        <v/>
      </c>
      <c r="B299" s="26" t="str">
        <f>IF(盘货信息!B299="","",盘货信息!B299)</f>
        <v/>
      </c>
      <c r="C299" s="23" t="str">
        <f>IF(盘货信息!C299="","",盘货信息!C299)</f>
        <v/>
      </c>
      <c r="D299" s="27" t="str">
        <f t="shared" si="8"/>
        <v/>
      </c>
      <c r="E299" s="27" t="str" cm="1">
        <f t="array" ref="E299">IF($C299="","",IF(AND(OR(_xlfn.XLOOKUP($A299&amp;$B299&amp;$C299,盘货信息!$A:$A&amp;盘货信息!$B:$B&amp;盘货信息!$C:$C,盘货信息!$L:$L)="否",_xlfn.XLOOKUP($A299&amp;$B299&amp;$C299,盘货信息!$A:$A&amp;盘货信息!$B:$B&amp;盘货信息!$C:$C,盘货信息!$L:$L)=""),_xlfn.XLOOKUP($A299&amp;$B299&amp;$C299,盘货信息!$A:$A&amp;盘货信息!$B:$B&amp;盘货信息!$C:$C,盘货信息!$M:$M)="否"),"【预估到手价"&amp;_xlfn.XLOOKUP($A299&amp;$B299&amp;$C299,盘货信息!$A:$A&amp;盘货信息!$B:$B&amp;盘货信息!$C:$C,盘货信息!$D:$D)&amp;"元】",IF(AND(_xlfn.XLOOKUP($A299&amp;$B299&amp;$C299,盘货信息!$A:$A&amp;盘货信息!$B:$B&amp;盘货信息!$C:$C,盘货信息!$M:$M)="是",OR(_xlfn.XLOOKUP($A299&amp;$B299&amp;$C299,盘货信息!$A:$A&amp;盘货信息!$B:$B&amp;盘货信息!$C:$C,盘货信息!$L:$L)="否",_xlfn.XLOOKUP($A299&amp;$B299&amp;$C299,盘货信息!$A:$A&amp;盘货信息!$B:$B&amp;盘货信息!$C:$C,盘货信息!$L:$L)="")),"【预估到手价"&amp;_xlfn.XLOOKUP($A299&amp;$B299&amp;$C299,盘货信息!$A:$A&amp;盘货信息!$B:$B&amp;盘货信息!$C:$C,盘货信息!$D:$D)&amp;"元】"&amp;CHAR(10)&amp;"【焕新补贴预估价"&amp;ROUND(_xlfn.XLOOKUP($A299&amp;$B299&amp;$C299,盘货信息!$A:$A&amp;盘货信息!$B:$B&amp;盘货信息!$C:$C,盘货信息!$E:$E),0)&amp;"元】","【焕新补贴预估价"&amp;ROUND(_xlfn.XLOOKUP($A299&amp;$B299&amp;$C299,盘货信息!$A:$A&amp;盘货信息!$B:$B&amp;盘货信息!$C:$C,盘货信息!$E:$E),0)&amp;"元】")))</f>
        <v/>
      </c>
      <c r="F299" s="27" t="str" cm="1">
        <f t="array" ref="F299">IF($C299="","",_xlfn.XLOOKUP($A299&amp;$B299&amp;$C299,盘货信息!$A:$A&amp;盘货信息!$B:$B&amp;盘货信息!$C:$C,盘货信息!$D:$D)&amp;"元到手价")</f>
        <v/>
      </c>
      <c r="G299" s="27" t="str" cm="1">
        <f t="array" ref="G299">IF($C299="","",IF(_xlfn.XLOOKUP($A299&amp;$B299&amp;$C299,盘货信息!$A:$A&amp;盘货信息!$B:$B&amp;盘货信息!$C:$C,盘货信息!$G:$G)&lt;1,"",ROUND(_xlfn.XLOOKUP($A299&amp;$B299&amp;$C299,盘货信息!$A:$A&amp;盘货信息!$B:$B&amp;盘货信息!$C:$C,盘货信息!$G:$G),0)&amp;"元88VIP立减"))</f>
        <v/>
      </c>
      <c r="H299" s="27" t="str" cm="1">
        <f t="array" ref="H299">IF($C299="","",IF(_xlfn.XLOOKUP($A299&amp;$B299&amp;$C299,盘货信息!$A:$A&amp;盘货信息!$B:$B&amp;盘货信息!$C:$C,盘货信息!$I:$I)&lt;1,"",_xlfn.XLOOKUP($A299&amp;$B299&amp;$C299,盘货信息!$A:$A&amp;盘货信息!$B:$B&amp;盘货信息!$C:$C,盘货信息!$I:$I)&amp;"元惊喜立减"))</f>
        <v/>
      </c>
      <c r="I299" s="27" t="str" cm="1">
        <f t="array" ref="I299">IF($C299="","",IF(_xlfn.XLOOKUP($A299&amp;$B299&amp;$C299,盘货信息!$A:$A&amp;盘货信息!$B:$B&amp;盘货信息!$C:$C,盘货信息!$H:$H)&lt;1,"",ROUND(_xlfn.XLOOKUP($A299&amp;$B299&amp;$C299,盘货信息!$A:$A&amp;盘货信息!$B:$B&amp;盘货信息!$C:$C,盘货信息!$H:$H),0)&amp;"元消费券"))</f>
        <v/>
      </c>
      <c r="J299" s="27" t="str" cm="1">
        <f t="array" ref="J299">IF($C299="","",IF(_xlfn.XLOOKUP($A299&amp;$B299&amp;$C299,盘货信息!$A:$A&amp;盘货信息!$B:$B&amp;盘货信息!$C:$C,盘货信息!$J:$J)&lt;1,"",ROUND(_xlfn.XLOOKUP($A299&amp;$B299&amp;$C299,盘货信息!$A:$A&amp;盘货信息!$B:$B&amp;盘货信息!$C:$C,盘货信息!$J:$J),0)&amp;"元限时补贴"))</f>
        <v/>
      </c>
      <c r="K299" s="27" t="str" cm="1">
        <f t="array" ref="K299">IF($C299="","",IF(_xlfn.XLOOKUP($A299&amp;$B299&amp;$C299,盘货信息!$A:$A&amp;盘货信息!$B:$B&amp;盘货信息!$C:$C,盘货信息!$K:$K)&lt;1,"",ROUND(_xlfn.XLOOKUP($A299&amp;$B299&amp;$C299,盘货信息!$A:$A&amp;盘货信息!$B:$B&amp;盘货信息!$C:$C,盘货信息!$K:$K),0)&amp;"元预估焕新补贴"))</f>
        <v/>
      </c>
      <c r="L299" s="27" t="str" cm="1">
        <f t="array" ref="L299">IF($C299="","",IF(AND(_xlfn.XLOOKUP($A299&amp;$B299&amp;$C299,盘货信息!$A:$A&amp;盘货信息!$B:$B&amp;盘货信息!$C:$C,盘货信息!$L:$L)="是",_xlfn.XLOOKUP($A299&amp;$B299&amp;$C299,盘货信息!$A:$A&amp;盘货信息!$B:$B&amp;盘货信息!$C:$C,盘货信息!$M:$M)="是",_xlfn.XLOOKUP($A299&amp;$B299&amp;$C299,盘货信息!$A:$A&amp;盘货信息!$B:$B&amp;盘货信息!$C:$C,盘货信息!$K:$K)&gt;0),"【全民可用，不限地址】",IF(AND(OR(_xlfn.XLOOKUP($A299&amp;$B299&amp;$C299,盘货信息!$A:$A&amp;盘货信息!$B:$B&amp;盘货信息!$C:$C,盘货信息!$L:$L)="否",_xlfn.XLOOKUP($A299&amp;$B299&amp;$C299,盘货信息!$A:$A&amp;盘货信息!$B:$B&amp;盘货信息!$C:$C,盘货信息!$L:$L)=""),_xlfn.XLOOKUP($A299&amp;$B299&amp;$C299,盘货信息!$A:$A&amp;盘货信息!$B:$B&amp;盘货信息!$C:$C,盘货信息!$M:$M)="是",_xlfn.XLOOKUP($A299&amp;$B299&amp;$C299,盘货信息!$A:$A&amp;盘货信息!$B:$B&amp;盘货信息!$C:$C,盘货信息!$K:$K)&gt;0),"【详情页领取】","")))</f>
        <v/>
      </c>
      <c r="M299" s="27" t="str" cm="1">
        <f t="array" ref="M299">IF($C299="","",IF(_xlfn.XLOOKUP($A299&amp;$B299&amp;$C299,盘货信息!$A:$A&amp;盘货信息!$B:$B&amp;盘货信息!$C:$C,盘货信息!$F:$F)&lt;1,"",_xlfn.XLOOKUP($A299&amp;$B299&amp;$C299,盘货信息!$A:$A&amp;盘货信息!$B:$B&amp;盘货信息!$C:$C,盘货信息!$F:$F)&amp;"元明卷"))</f>
        <v/>
      </c>
      <c r="N299" s="27" t="str">
        <f t="shared" si="9"/>
        <v/>
      </c>
      <c r="O299" s="27" t="str">
        <f>IF(I299="","","【消费券链接】"&amp;固定信息!$B$6)</f>
        <v/>
      </c>
    </row>
    <row r="300" customHeight="1" spans="1:15">
      <c r="A300" s="23" t="str">
        <f>IF(盘货信息!A300="","",盘货信息!A300)</f>
        <v/>
      </c>
      <c r="B300" s="26" t="str">
        <f>IF(盘货信息!B300="","",盘货信息!B300)</f>
        <v/>
      </c>
      <c r="C300" s="23" t="str">
        <f>IF(盘货信息!C300="","",盘货信息!C300)</f>
        <v/>
      </c>
      <c r="D300" s="27" t="str">
        <f t="shared" si="8"/>
        <v/>
      </c>
      <c r="E300" s="27" t="str" cm="1">
        <f t="array" ref="E300">IF($C300="","",IF(AND(OR(_xlfn.XLOOKUP($A300&amp;$B300&amp;$C300,盘货信息!$A:$A&amp;盘货信息!$B:$B&amp;盘货信息!$C:$C,盘货信息!$L:$L)="否",_xlfn.XLOOKUP($A300&amp;$B300&amp;$C300,盘货信息!$A:$A&amp;盘货信息!$B:$B&amp;盘货信息!$C:$C,盘货信息!$L:$L)=""),_xlfn.XLOOKUP($A300&amp;$B300&amp;$C300,盘货信息!$A:$A&amp;盘货信息!$B:$B&amp;盘货信息!$C:$C,盘货信息!$M:$M)="否"),"【预估到手价"&amp;_xlfn.XLOOKUP($A300&amp;$B300&amp;$C300,盘货信息!$A:$A&amp;盘货信息!$B:$B&amp;盘货信息!$C:$C,盘货信息!$D:$D)&amp;"元】",IF(AND(_xlfn.XLOOKUP($A300&amp;$B300&amp;$C300,盘货信息!$A:$A&amp;盘货信息!$B:$B&amp;盘货信息!$C:$C,盘货信息!$M:$M)="是",OR(_xlfn.XLOOKUP($A300&amp;$B300&amp;$C300,盘货信息!$A:$A&amp;盘货信息!$B:$B&amp;盘货信息!$C:$C,盘货信息!$L:$L)="否",_xlfn.XLOOKUP($A300&amp;$B300&amp;$C300,盘货信息!$A:$A&amp;盘货信息!$B:$B&amp;盘货信息!$C:$C,盘货信息!$L:$L)="")),"【预估到手价"&amp;_xlfn.XLOOKUP($A300&amp;$B300&amp;$C300,盘货信息!$A:$A&amp;盘货信息!$B:$B&amp;盘货信息!$C:$C,盘货信息!$D:$D)&amp;"元】"&amp;CHAR(10)&amp;"【焕新补贴预估价"&amp;ROUND(_xlfn.XLOOKUP($A300&amp;$B300&amp;$C300,盘货信息!$A:$A&amp;盘货信息!$B:$B&amp;盘货信息!$C:$C,盘货信息!$E:$E),0)&amp;"元】","【焕新补贴预估价"&amp;ROUND(_xlfn.XLOOKUP($A300&amp;$B300&amp;$C300,盘货信息!$A:$A&amp;盘货信息!$B:$B&amp;盘货信息!$C:$C,盘货信息!$E:$E),0)&amp;"元】")))</f>
        <v/>
      </c>
      <c r="F300" s="27" t="str" cm="1">
        <f t="array" ref="F300">IF($C300="","",_xlfn.XLOOKUP($A300&amp;$B300&amp;$C300,盘货信息!$A:$A&amp;盘货信息!$B:$B&amp;盘货信息!$C:$C,盘货信息!$D:$D)&amp;"元到手价")</f>
        <v/>
      </c>
      <c r="G300" s="27" t="str" cm="1">
        <f t="array" ref="G300">IF($C300="","",IF(_xlfn.XLOOKUP($A300&amp;$B300&amp;$C300,盘货信息!$A:$A&amp;盘货信息!$B:$B&amp;盘货信息!$C:$C,盘货信息!$G:$G)&lt;1,"",ROUND(_xlfn.XLOOKUP($A300&amp;$B300&amp;$C300,盘货信息!$A:$A&amp;盘货信息!$B:$B&amp;盘货信息!$C:$C,盘货信息!$G:$G),0)&amp;"元88VIP立减"))</f>
        <v/>
      </c>
      <c r="H300" s="27" t="str" cm="1">
        <f t="array" ref="H300">IF($C300="","",IF(_xlfn.XLOOKUP($A300&amp;$B300&amp;$C300,盘货信息!$A:$A&amp;盘货信息!$B:$B&amp;盘货信息!$C:$C,盘货信息!$I:$I)&lt;1,"",_xlfn.XLOOKUP($A300&amp;$B300&amp;$C300,盘货信息!$A:$A&amp;盘货信息!$B:$B&amp;盘货信息!$C:$C,盘货信息!$I:$I)&amp;"元惊喜立减"))</f>
        <v/>
      </c>
      <c r="I300" s="27" t="str" cm="1">
        <f t="array" ref="I300">IF($C300="","",IF(_xlfn.XLOOKUP($A300&amp;$B300&amp;$C300,盘货信息!$A:$A&amp;盘货信息!$B:$B&amp;盘货信息!$C:$C,盘货信息!$H:$H)&lt;1,"",ROUND(_xlfn.XLOOKUP($A300&amp;$B300&amp;$C300,盘货信息!$A:$A&amp;盘货信息!$B:$B&amp;盘货信息!$C:$C,盘货信息!$H:$H),0)&amp;"元消费券"))</f>
        <v/>
      </c>
      <c r="J300" s="27" t="str" cm="1">
        <f t="array" ref="J300">IF($C300="","",IF(_xlfn.XLOOKUP($A300&amp;$B300&amp;$C300,盘货信息!$A:$A&amp;盘货信息!$B:$B&amp;盘货信息!$C:$C,盘货信息!$J:$J)&lt;1,"",ROUND(_xlfn.XLOOKUP($A300&amp;$B300&amp;$C300,盘货信息!$A:$A&amp;盘货信息!$B:$B&amp;盘货信息!$C:$C,盘货信息!$J:$J),0)&amp;"元限时补贴"))</f>
        <v/>
      </c>
      <c r="K300" s="27" t="str" cm="1">
        <f t="array" ref="K300">IF($C300="","",IF(_xlfn.XLOOKUP($A300&amp;$B300&amp;$C300,盘货信息!$A:$A&amp;盘货信息!$B:$B&amp;盘货信息!$C:$C,盘货信息!$K:$K)&lt;1,"",ROUND(_xlfn.XLOOKUP($A300&amp;$B300&amp;$C300,盘货信息!$A:$A&amp;盘货信息!$B:$B&amp;盘货信息!$C:$C,盘货信息!$K:$K),0)&amp;"元预估焕新补贴"))</f>
        <v/>
      </c>
      <c r="L300" s="27" t="str" cm="1">
        <f t="array" ref="L300">IF($C300="","",IF(AND(_xlfn.XLOOKUP($A300&amp;$B300&amp;$C300,盘货信息!$A:$A&amp;盘货信息!$B:$B&amp;盘货信息!$C:$C,盘货信息!$L:$L)="是",_xlfn.XLOOKUP($A300&amp;$B300&amp;$C300,盘货信息!$A:$A&amp;盘货信息!$B:$B&amp;盘货信息!$C:$C,盘货信息!$M:$M)="是",_xlfn.XLOOKUP($A300&amp;$B300&amp;$C300,盘货信息!$A:$A&amp;盘货信息!$B:$B&amp;盘货信息!$C:$C,盘货信息!$K:$K)&gt;0),"【全民可用，不限地址】",IF(AND(OR(_xlfn.XLOOKUP($A300&amp;$B300&amp;$C300,盘货信息!$A:$A&amp;盘货信息!$B:$B&amp;盘货信息!$C:$C,盘货信息!$L:$L)="否",_xlfn.XLOOKUP($A300&amp;$B300&amp;$C300,盘货信息!$A:$A&amp;盘货信息!$B:$B&amp;盘货信息!$C:$C,盘货信息!$L:$L)=""),_xlfn.XLOOKUP($A300&amp;$B300&amp;$C300,盘货信息!$A:$A&amp;盘货信息!$B:$B&amp;盘货信息!$C:$C,盘货信息!$M:$M)="是",_xlfn.XLOOKUP($A300&amp;$B300&amp;$C300,盘货信息!$A:$A&amp;盘货信息!$B:$B&amp;盘货信息!$C:$C,盘货信息!$K:$K)&gt;0),"【详情页领取】","")))</f>
        <v/>
      </c>
      <c r="M300" s="27" t="str" cm="1">
        <f t="array" ref="M300">IF($C300="","",IF(_xlfn.XLOOKUP($A300&amp;$B300&amp;$C300,盘货信息!$A:$A&amp;盘货信息!$B:$B&amp;盘货信息!$C:$C,盘货信息!$F:$F)&lt;1,"",_xlfn.XLOOKUP($A300&amp;$B300&amp;$C300,盘货信息!$A:$A&amp;盘货信息!$B:$B&amp;盘货信息!$C:$C,盘货信息!$F:$F)&amp;"元明卷"))</f>
        <v/>
      </c>
      <c r="N300" s="27" t="str">
        <f t="shared" si="9"/>
        <v/>
      </c>
      <c r="O300" s="27" t="str">
        <f>IF(I300="","","【消费券链接】"&amp;固定信息!$B$6)</f>
        <v/>
      </c>
    </row>
    <row r="301" customHeight="1" spans="1:15">
      <c r="A301" s="23" t="str">
        <f>IF(盘货信息!A301="","",盘货信息!A301)</f>
        <v/>
      </c>
      <c r="B301" s="26" t="str">
        <f>IF(盘货信息!B301="","",盘货信息!B301)</f>
        <v/>
      </c>
      <c r="C301" s="23" t="str">
        <f>IF(盘货信息!C301="","",盘货信息!C301)</f>
        <v/>
      </c>
      <c r="D301" s="27" t="str">
        <f t="shared" si="8"/>
        <v/>
      </c>
      <c r="E301" s="27" t="str" cm="1">
        <f t="array" ref="E301">IF($C301="","",IF(AND(OR(_xlfn.XLOOKUP($A301&amp;$B301&amp;$C301,盘货信息!$A:$A&amp;盘货信息!$B:$B&amp;盘货信息!$C:$C,盘货信息!$L:$L)="否",_xlfn.XLOOKUP($A301&amp;$B301&amp;$C301,盘货信息!$A:$A&amp;盘货信息!$B:$B&amp;盘货信息!$C:$C,盘货信息!$L:$L)=""),_xlfn.XLOOKUP($A301&amp;$B301&amp;$C301,盘货信息!$A:$A&amp;盘货信息!$B:$B&amp;盘货信息!$C:$C,盘货信息!$M:$M)="否"),"【预估到手价"&amp;_xlfn.XLOOKUP($A301&amp;$B301&amp;$C301,盘货信息!$A:$A&amp;盘货信息!$B:$B&amp;盘货信息!$C:$C,盘货信息!$D:$D)&amp;"元】",IF(AND(_xlfn.XLOOKUP($A301&amp;$B301&amp;$C301,盘货信息!$A:$A&amp;盘货信息!$B:$B&amp;盘货信息!$C:$C,盘货信息!$M:$M)="是",OR(_xlfn.XLOOKUP($A301&amp;$B301&amp;$C301,盘货信息!$A:$A&amp;盘货信息!$B:$B&amp;盘货信息!$C:$C,盘货信息!$L:$L)="否",_xlfn.XLOOKUP($A301&amp;$B301&amp;$C301,盘货信息!$A:$A&amp;盘货信息!$B:$B&amp;盘货信息!$C:$C,盘货信息!$L:$L)="")),"【预估到手价"&amp;_xlfn.XLOOKUP($A301&amp;$B301&amp;$C301,盘货信息!$A:$A&amp;盘货信息!$B:$B&amp;盘货信息!$C:$C,盘货信息!$D:$D)&amp;"元】"&amp;CHAR(10)&amp;"【焕新补贴预估价"&amp;ROUND(_xlfn.XLOOKUP($A301&amp;$B301&amp;$C301,盘货信息!$A:$A&amp;盘货信息!$B:$B&amp;盘货信息!$C:$C,盘货信息!$E:$E),0)&amp;"元】","【焕新补贴预估价"&amp;ROUND(_xlfn.XLOOKUP($A301&amp;$B301&amp;$C301,盘货信息!$A:$A&amp;盘货信息!$B:$B&amp;盘货信息!$C:$C,盘货信息!$E:$E),0)&amp;"元】")))</f>
        <v/>
      </c>
      <c r="F301" s="27" t="str" cm="1">
        <f t="array" ref="F301">IF($C301="","",_xlfn.XLOOKUP($A301&amp;$B301&amp;$C301,盘货信息!$A:$A&amp;盘货信息!$B:$B&amp;盘货信息!$C:$C,盘货信息!$D:$D)&amp;"元到手价")</f>
        <v/>
      </c>
      <c r="G301" s="27" t="str" cm="1">
        <f t="array" ref="G301">IF($C301="","",IF(_xlfn.XLOOKUP($A301&amp;$B301&amp;$C301,盘货信息!$A:$A&amp;盘货信息!$B:$B&amp;盘货信息!$C:$C,盘货信息!$G:$G)&lt;1,"",ROUND(_xlfn.XLOOKUP($A301&amp;$B301&amp;$C301,盘货信息!$A:$A&amp;盘货信息!$B:$B&amp;盘货信息!$C:$C,盘货信息!$G:$G),0)&amp;"元88VIP立减"))</f>
        <v/>
      </c>
      <c r="H301" s="27" t="str" cm="1">
        <f t="array" ref="H301">IF($C301="","",IF(_xlfn.XLOOKUP($A301&amp;$B301&amp;$C301,盘货信息!$A:$A&amp;盘货信息!$B:$B&amp;盘货信息!$C:$C,盘货信息!$I:$I)&lt;1,"",_xlfn.XLOOKUP($A301&amp;$B301&amp;$C301,盘货信息!$A:$A&amp;盘货信息!$B:$B&amp;盘货信息!$C:$C,盘货信息!$I:$I)&amp;"元惊喜立减"))</f>
        <v/>
      </c>
      <c r="I301" s="27" t="str" cm="1">
        <f t="array" ref="I301">IF($C301="","",IF(_xlfn.XLOOKUP($A301&amp;$B301&amp;$C301,盘货信息!$A:$A&amp;盘货信息!$B:$B&amp;盘货信息!$C:$C,盘货信息!$H:$H)&lt;1,"",ROUND(_xlfn.XLOOKUP($A301&amp;$B301&amp;$C301,盘货信息!$A:$A&amp;盘货信息!$B:$B&amp;盘货信息!$C:$C,盘货信息!$H:$H),0)&amp;"元消费券"))</f>
        <v/>
      </c>
      <c r="J301" s="27" t="str" cm="1">
        <f t="array" ref="J301">IF($C301="","",IF(_xlfn.XLOOKUP($A301&amp;$B301&amp;$C301,盘货信息!$A:$A&amp;盘货信息!$B:$B&amp;盘货信息!$C:$C,盘货信息!$J:$J)&lt;1,"",ROUND(_xlfn.XLOOKUP($A301&amp;$B301&amp;$C301,盘货信息!$A:$A&amp;盘货信息!$B:$B&amp;盘货信息!$C:$C,盘货信息!$J:$J),0)&amp;"元限时补贴"))</f>
        <v/>
      </c>
      <c r="K301" s="27" t="str" cm="1">
        <f t="array" ref="K301">IF($C301="","",IF(_xlfn.XLOOKUP($A301&amp;$B301&amp;$C301,盘货信息!$A:$A&amp;盘货信息!$B:$B&amp;盘货信息!$C:$C,盘货信息!$K:$K)&lt;1,"",ROUND(_xlfn.XLOOKUP($A301&amp;$B301&amp;$C301,盘货信息!$A:$A&amp;盘货信息!$B:$B&amp;盘货信息!$C:$C,盘货信息!$K:$K),0)&amp;"元预估焕新补贴"))</f>
        <v/>
      </c>
      <c r="L301" s="27" t="str" cm="1">
        <f t="array" ref="L301">IF($C301="","",IF(AND(_xlfn.XLOOKUP($A301&amp;$B301&amp;$C301,盘货信息!$A:$A&amp;盘货信息!$B:$B&amp;盘货信息!$C:$C,盘货信息!$L:$L)="是",_xlfn.XLOOKUP($A301&amp;$B301&amp;$C301,盘货信息!$A:$A&amp;盘货信息!$B:$B&amp;盘货信息!$C:$C,盘货信息!$M:$M)="是",_xlfn.XLOOKUP($A301&amp;$B301&amp;$C301,盘货信息!$A:$A&amp;盘货信息!$B:$B&amp;盘货信息!$C:$C,盘货信息!$K:$K)&gt;0),"【全民可用，不限地址】",IF(AND(OR(_xlfn.XLOOKUP($A301&amp;$B301&amp;$C301,盘货信息!$A:$A&amp;盘货信息!$B:$B&amp;盘货信息!$C:$C,盘货信息!$L:$L)="否",_xlfn.XLOOKUP($A301&amp;$B301&amp;$C301,盘货信息!$A:$A&amp;盘货信息!$B:$B&amp;盘货信息!$C:$C,盘货信息!$L:$L)=""),_xlfn.XLOOKUP($A301&amp;$B301&amp;$C301,盘货信息!$A:$A&amp;盘货信息!$B:$B&amp;盘货信息!$C:$C,盘货信息!$M:$M)="是",_xlfn.XLOOKUP($A301&amp;$B301&amp;$C301,盘货信息!$A:$A&amp;盘货信息!$B:$B&amp;盘货信息!$C:$C,盘货信息!$K:$K)&gt;0),"【详情页领取】","")))</f>
        <v/>
      </c>
      <c r="M301" s="27" t="str" cm="1">
        <f t="array" ref="M301">IF($C301="","",IF(_xlfn.XLOOKUP($A301&amp;$B301&amp;$C301,盘货信息!$A:$A&amp;盘货信息!$B:$B&amp;盘货信息!$C:$C,盘货信息!$F:$F)&lt;1,"",_xlfn.XLOOKUP($A301&amp;$B301&amp;$C301,盘货信息!$A:$A&amp;盘货信息!$B:$B&amp;盘货信息!$C:$C,盘货信息!$F:$F)&amp;"元明卷"))</f>
        <v/>
      </c>
      <c r="N301" s="27" t="str">
        <f t="shared" si="9"/>
        <v/>
      </c>
      <c r="O301" s="27" t="str">
        <f>IF(I301="","","【消费券链接】"&amp;固定信息!$B$6)</f>
        <v/>
      </c>
    </row>
    <row r="302" customHeight="1" spans="1:15">
      <c r="A302" s="23" t="str">
        <f>IF(盘货信息!A302="","",盘货信息!A302)</f>
        <v/>
      </c>
      <c r="B302" s="26" t="str">
        <f>IF(盘货信息!B302="","",盘货信息!B302)</f>
        <v/>
      </c>
      <c r="C302" s="23" t="str">
        <f>IF(盘货信息!C302="","",盘货信息!C302)</f>
        <v/>
      </c>
      <c r="D302" s="27" t="str">
        <f t="shared" si="8"/>
        <v/>
      </c>
      <c r="E302" s="27" t="str" cm="1">
        <f t="array" ref="E302">IF($C302="","",IF(AND(OR(_xlfn.XLOOKUP($A302&amp;$B302&amp;$C302,盘货信息!$A:$A&amp;盘货信息!$B:$B&amp;盘货信息!$C:$C,盘货信息!$L:$L)="否",_xlfn.XLOOKUP($A302&amp;$B302&amp;$C302,盘货信息!$A:$A&amp;盘货信息!$B:$B&amp;盘货信息!$C:$C,盘货信息!$L:$L)=""),_xlfn.XLOOKUP($A302&amp;$B302&amp;$C302,盘货信息!$A:$A&amp;盘货信息!$B:$B&amp;盘货信息!$C:$C,盘货信息!$M:$M)="否"),"【预估到手价"&amp;_xlfn.XLOOKUP($A302&amp;$B302&amp;$C302,盘货信息!$A:$A&amp;盘货信息!$B:$B&amp;盘货信息!$C:$C,盘货信息!$D:$D)&amp;"元】",IF(AND(_xlfn.XLOOKUP($A302&amp;$B302&amp;$C302,盘货信息!$A:$A&amp;盘货信息!$B:$B&amp;盘货信息!$C:$C,盘货信息!$M:$M)="是",OR(_xlfn.XLOOKUP($A302&amp;$B302&amp;$C302,盘货信息!$A:$A&amp;盘货信息!$B:$B&amp;盘货信息!$C:$C,盘货信息!$L:$L)="否",_xlfn.XLOOKUP($A302&amp;$B302&amp;$C302,盘货信息!$A:$A&amp;盘货信息!$B:$B&amp;盘货信息!$C:$C,盘货信息!$L:$L)="")),"【预估到手价"&amp;_xlfn.XLOOKUP($A302&amp;$B302&amp;$C302,盘货信息!$A:$A&amp;盘货信息!$B:$B&amp;盘货信息!$C:$C,盘货信息!$D:$D)&amp;"元】"&amp;CHAR(10)&amp;"【焕新补贴预估价"&amp;ROUND(_xlfn.XLOOKUP($A302&amp;$B302&amp;$C302,盘货信息!$A:$A&amp;盘货信息!$B:$B&amp;盘货信息!$C:$C,盘货信息!$E:$E),0)&amp;"元】","【焕新补贴预估价"&amp;ROUND(_xlfn.XLOOKUP($A302&amp;$B302&amp;$C302,盘货信息!$A:$A&amp;盘货信息!$B:$B&amp;盘货信息!$C:$C,盘货信息!$E:$E),0)&amp;"元】")))</f>
        <v/>
      </c>
      <c r="F302" s="27" t="str" cm="1">
        <f t="array" ref="F302">IF($C302="","",_xlfn.XLOOKUP($A302&amp;$B302&amp;$C302,盘货信息!$A:$A&amp;盘货信息!$B:$B&amp;盘货信息!$C:$C,盘货信息!$D:$D)&amp;"元到手价")</f>
        <v/>
      </c>
      <c r="G302" s="27" t="str" cm="1">
        <f t="array" ref="G302">IF($C302="","",IF(_xlfn.XLOOKUP($A302&amp;$B302&amp;$C302,盘货信息!$A:$A&amp;盘货信息!$B:$B&amp;盘货信息!$C:$C,盘货信息!$G:$G)&lt;1,"",ROUND(_xlfn.XLOOKUP($A302&amp;$B302&amp;$C302,盘货信息!$A:$A&amp;盘货信息!$B:$B&amp;盘货信息!$C:$C,盘货信息!$G:$G),0)&amp;"元88VIP立减"))</f>
        <v/>
      </c>
      <c r="H302" s="27" t="str" cm="1">
        <f t="array" ref="H302">IF($C302="","",IF(_xlfn.XLOOKUP($A302&amp;$B302&amp;$C302,盘货信息!$A:$A&amp;盘货信息!$B:$B&amp;盘货信息!$C:$C,盘货信息!$I:$I)&lt;1,"",_xlfn.XLOOKUP($A302&amp;$B302&amp;$C302,盘货信息!$A:$A&amp;盘货信息!$B:$B&amp;盘货信息!$C:$C,盘货信息!$I:$I)&amp;"元惊喜立减"))</f>
        <v/>
      </c>
      <c r="I302" s="27" t="str" cm="1">
        <f t="array" ref="I302">IF($C302="","",IF(_xlfn.XLOOKUP($A302&amp;$B302&amp;$C302,盘货信息!$A:$A&amp;盘货信息!$B:$B&amp;盘货信息!$C:$C,盘货信息!$H:$H)&lt;1,"",ROUND(_xlfn.XLOOKUP($A302&amp;$B302&amp;$C302,盘货信息!$A:$A&amp;盘货信息!$B:$B&amp;盘货信息!$C:$C,盘货信息!$H:$H),0)&amp;"元消费券"))</f>
        <v/>
      </c>
      <c r="J302" s="27" t="str" cm="1">
        <f t="array" ref="J302">IF($C302="","",IF(_xlfn.XLOOKUP($A302&amp;$B302&amp;$C302,盘货信息!$A:$A&amp;盘货信息!$B:$B&amp;盘货信息!$C:$C,盘货信息!$J:$J)&lt;1,"",ROUND(_xlfn.XLOOKUP($A302&amp;$B302&amp;$C302,盘货信息!$A:$A&amp;盘货信息!$B:$B&amp;盘货信息!$C:$C,盘货信息!$J:$J),0)&amp;"元限时补贴"))</f>
        <v/>
      </c>
      <c r="K302" s="27" t="str" cm="1">
        <f t="array" ref="K302">IF($C302="","",IF(_xlfn.XLOOKUP($A302&amp;$B302&amp;$C302,盘货信息!$A:$A&amp;盘货信息!$B:$B&amp;盘货信息!$C:$C,盘货信息!$K:$K)&lt;1,"",ROUND(_xlfn.XLOOKUP($A302&amp;$B302&amp;$C302,盘货信息!$A:$A&amp;盘货信息!$B:$B&amp;盘货信息!$C:$C,盘货信息!$K:$K),0)&amp;"元预估焕新补贴"))</f>
        <v/>
      </c>
      <c r="L302" s="27" t="str" cm="1">
        <f t="array" ref="L302">IF($C302="","",IF(AND(_xlfn.XLOOKUP($A302&amp;$B302&amp;$C302,盘货信息!$A:$A&amp;盘货信息!$B:$B&amp;盘货信息!$C:$C,盘货信息!$L:$L)="是",_xlfn.XLOOKUP($A302&amp;$B302&amp;$C302,盘货信息!$A:$A&amp;盘货信息!$B:$B&amp;盘货信息!$C:$C,盘货信息!$M:$M)="是",_xlfn.XLOOKUP($A302&amp;$B302&amp;$C302,盘货信息!$A:$A&amp;盘货信息!$B:$B&amp;盘货信息!$C:$C,盘货信息!$K:$K)&gt;0),"【全民可用，不限地址】",IF(AND(OR(_xlfn.XLOOKUP($A302&amp;$B302&amp;$C302,盘货信息!$A:$A&amp;盘货信息!$B:$B&amp;盘货信息!$C:$C,盘货信息!$L:$L)="否",_xlfn.XLOOKUP($A302&amp;$B302&amp;$C302,盘货信息!$A:$A&amp;盘货信息!$B:$B&amp;盘货信息!$C:$C,盘货信息!$L:$L)=""),_xlfn.XLOOKUP($A302&amp;$B302&amp;$C302,盘货信息!$A:$A&amp;盘货信息!$B:$B&amp;盘货信息!$C:$C,盘货信息!$M:$M)="是",_xlfn.XLOOKUP($A302&amp;$B302&amp;$C302,盘货信息!$A:$A&amp;盘货信息!$B:$B&amp;盘货信息!$C:$C,盘货信息!$K:$K)&gt;0),"【详情页领取】","")))</f>
        <v/>
      </c>
      <c r="M302" s="27" t="str" cm="1">
        <f t="array" ref="M302">IF($C302="","",IF(_xlfn.XLOOKUP($A302&amp;$B302&amp;$C302,盘货信息!$A:$A&amp;盘货信息!$B:$B&amp;盘货信息!$C:$C,盘货信息!$F:$F)&lt;1,"",_xlfn.XLOOKUP($A302&amp;$B302&amp;$C302,盘货信息!$A:$A&amp;盘货信息!$B:$B&amp;盘货信息!$C:$C,盘货信息!$F:$F)&amp;"元明卷"))</f>
        <v/>
      </c>
      <c r="N302" s="27" t="str">
        <f t="shared" si="9"/>
        <v/>
      </c>
      <c r="O302" s="27" t="str">
        <f>IF(I302="","","【消费券链接】"&amp;固定信息!$B$6)</f>
        <v/>
      </c>
    </row>
    <row r="303" customHeight="1" spans="1:15">
      <c r="A303" s="23" t="str">
        <f>IF(盘货信息!A303="","",盘货信息!A303)</f>
        <v/>
      </c>
      <c r="B303" s="26" t="str">
        <f>IF(盘货信息!B303="","",盘货信息!B303)</f>
        <v/>
      </c>
      <c r="C303" s="23" t="str">
        <f>IF(盘货信息!C303="","",盘货信息!C303)</f>
        <v/>
      </c>
      <c r="D303" s="27" t="str">
        <f t="shared" si="8"/>
        <v/>
      </c>
      <c r="E303" s="27" t="str" cm="1">
        <f t="array" ref="E303">IF($C303="","",IF(AND(OR(_xlfn.XLOOKUP($A303&amp;$B303&amp;$C303,盘货信息!$A:$A&amp;盘货信息!$B:$B&amp;盘货信息!$C:$C,盘货信息!$L:$L)="否",_xlfn.XLOOKUP($A303&amp;$B303&amp;$C303,盘货信息!$A:$A&amp;盘货信息!$B:$B&amp;盘货信息!$C:$C,盘货信息!$L:$L)=""),_xlfn.XLOOKUP($A303&amp;$B303&amp;$C303,盘货信息!$A:$A&amp;盘货信息!$B:$B&amp;盘货信息!$C:$C,盘货信息!$M:$M)="否"),"【预估到手价"&amp;_xlfn.XLOOKUP($A303&amp;$B303&amp;$C303,盘货信息!$A:$A&amp;盘货信息!$B:$B&amp;盘货信息!$C:$C,盘货信息!$D:$D)&amp;"元】",IF(AND(_xlfn.XLOOKUP($A303&amp;$B303&amp;$C303,盘货信息!$A:$A&amp;盘货信息!$B:$B&amp;盘货信息!$C:$C,盘货信息!$M:$M)="是",OR(_xlfn.XLOOKUP($A303&amp;$B303&amp;$C303,盘货信息!$A:$A&amp;盘货信息!$B:$B&amp;盘货信息!$C:$C,盘货信息!$L:$L)="否",_xlfn.XLOOKUP($A303&amp;$B303&amp;$C303,盘货信息!$A:$A&amp;盘货信息!$B:$B&amp;盘货信息!$C:$C,盘货信息!$L:$L)="")),"【预估到手价"&amp;_xlfn.XLOOKUP($A303&amp;$B303&amp;$C303,盘货信息!$A:$A&amp;盘货信息!$B:$B&amp;盘货信息!$C:$C,盘货信息!$D:$D)&amp;"元】"&amp;CHAR(10)&amp;"【焕新补贴预估价"&amp;ROUND(_xlfn.XLOOKUP($A303&amp;$B303&amp;$C303,盘货信息!$A:$A&amp;盘货信息!$B:$B&amp;盘货信息!$C:$C,盘货信息!$E:$E),0)&amp;"元】","【焕新补贴预估价"&amp;ROUND(_xlfn.XLOOKUP($A303&amp;$B303&amp;$C303,盘货信息!$A:$A&amp;盘货信息!$B:$B&amp;盘货信息!$C:$C,盘货信息!$E:$E),0)&amp;"元】")))</f>
        <v/>
      </c>
      <c r="F303" s="27" t="str" cm="1">
        <f t="array" ref="F303">IF($C303="","",_xlfn.XLOOKUP($A303&amp;$B303&amp;$C303,盘货信息!$A:$A&amp;盘货信息!$B:$B&amp;盘货信息!$C:$C,盘货信息!$D:$D)&amp;"元到手价")</f>
        <v/>
      </c>
      <c r="G303" s="27" t="str" cm="1">
        <f t="array" ref="G303">IF($C303="","",IF(_xlfn.XLOOKUP($A303&amp;$B303&amp;$C303,盘货信息!$A:$A&amp;盘货信息!$B:$B&amp;盘货信息!$C:$C,盘货信息!$G:$G)&lt;1,"",ROUND(_xlfn.XLOOKUP($A303&amp;$B303&amp;$C303,盘货信息!$A:$A&amp;盘货信息!$B:$B&amp;盘货信息!$C:$C,盘货信息!$G:$G),0)&amp;"元88VIP立减"))</f>
        <v/>
      </c>
      <c r="H303" s="27" t="str" cm="1">
        <f t="array" ref="H303">IF($C303="","",IF(_xlfn.XLOOKUP($A303&amp;$B303&amp;$C303,盘货信息!$A:$A&amp;盘货信息!$B:$B&amp;盘货信息!$C:$C,盘货信息!$I:$I)&lt;1,"",_xlfn.XLOOKUP($A303&amp;$B303&amp;$C303,盘货信息!$A:$A&amp;盘货信息!$B:$B&amp;盘货信息!$C:$C,盘货信息!$I:$I)&amp;"元惊喜立减"))</f>
        <v/>
      </c>
      <c r="I303" s="27" t="str" cm="1">
        <f t="array" ref="I303">IF($C303="","",IF(_xlfn.XLOOKUP($A303&amp;$B303&amp;$C303,盘货信息!$A:$A&amp;盘货信息!$B:$B&amp;盘货信息!$C:$C,盘货信息!$H:$H)&lt;1,"",ROUND(_xlfn.XLOOKUP($A303&amp;$B303&amp;$C303,盘货信息!$A:$A&amp;盘货信息!$B:$B&amp;盘货信息!$C:$C,盘货信息!$H:$H),0)&amp;"元消费券"))</f>
        <v/>
      </c>
      <c r="J303" s="27" t="str" cm="1">
        <f t="array" ref="J303">IF($C303="","",IF(_xlfn.XLOOKUP($A303&amp;$B303&amp;$C303,盘货信息!$A:$A&amp;盘货信息!$B:$B&amp;盘货信息!$C:$C,盘货信息!$J:$J)&lt;1,"",ROUND(_xlfn.XLOOKUP($A303&amp;$B303&amp;$C303,盘货信息!$A:$A&amp;盘货信息!$B:$B&amp;盘货信息!$C:$C,盘货信息!$J:$J),0)&amp;"元限时补贴"))</f>
        <v/>
      </c>
      <c r="K303" s="27" t="str" cm="1">
        <f t="array" ref="K303">IF($C303="","",IF(_xlfn.XLOOKUP($A303&amp;$B303&amp;$C303,盘货信息!$A:$A&amp;盘货信息!$B:$B&amp;盘货信息!$C:$C,盘货信息!$K:$K)&lt;1,"",ROUND(_xlfn.XLOOKUP($A303&amp;$B303&amp;$C303,盘货信息!$A:$A&amp;盘货信息!$B:$B&amp;盘货信息!$C:$C,盘货信息!$K:$K),0)&amp;"元预估焕新补贴"))</f>
        <v/>
      </c>
      <c r="L303" s="27" t="str" cm="1">
        <f t="array" ref="L303">IF($C303="","",IF(AND(_xlfn.XLOOKUP($A303&amp;$B303&amp;$C303,盘货信息!$A:$A&amp;盘货信息!$B:$B&amp;盘货信息!$C:$C,盘货信息!$L:$L)="是",_xlfn.XLOOKUP($A303&amp;$B303&amp;$C303,盘货信息!$A:$A&amp;盘货信息!$B:$B&amp;盘货信息!$C:$C,盘货信息!$M:$M)="是",_xlfn.XLOOKUP($A303&amp;$B303&amp;$C303,盘货信息!$A:$A&amp;盘货信息!$B:$B&amp;盘货信息!$C:$C,盘货信息!$K:$K)&gt;0),"【全民可用，不限地址】",IF(AND(OR(_xlfn.XLOOKUP($A303&amp;$B303&amp;$C303,盘货信息!$A:$A&amp;盘货信息!$B:$B&amp;盘货信息!$C:$C,盘货信息!$L:$L)="否",_xlfn.XLOOKUP($A303&amp;$B303&amp;$C303,盘货信息!$A:$A&amp;盘货信息!$B:$B&amp;盘货信息!$C:$C,盘货信息!$L:$L)=""),_xlfn.XLOOKUP($A303&amp;$B303&amp;$C303,盘货信息!$A:$A&amp;盘货信息!$B:$B&amp;盘货信息!$C:$C,盘货信息!$M:$M)="是",_xlfn.XLOOKUP($A303&amp;$B303&amp;$C303,盘货信息!$A:$A&amp;盘货信息!$B:$B&amp;盘货信息!$C:$C,盘货信息!$K:$K)&gt;0),"【详情页领取】","")))</f>
        <v/>
      </c>
      <c r="M303" s="27" t="str" cm="1">
        <f t="array" ref="M303">IF($C303="","",IF(_xlfn.XLOOKUP($A303&amp;$B303&amp;$C303,盘货信息!$A:$A&amp;盘货信息!$B:$B&amp;盘货信息!$C:$C,盘货信息!$F:$F)&lt;1,"",_xlfn.XLOOKUP($A303&amp;$B303&amp;$C303,盘货信息!$A:$A&amp;盘货信息!$B:$B&amp;盘货信息!$C:$C,盘货信息!$F:$F)&amp;"元明卷"))</f>
        <v/>
      </c>
      <c r="N303" s="27" t="str">
        <f t="shared" si="9"/>
        <v/>
      </c>
      <c r="O303" s="27" t="str">
        <f>IF(I303="","","【消费券链接】"&amp;固定信息!$B$6)</f>
        <v/>
      </c>
    </row>
    <row r="304" customHeight="1" spans="1:15">
      <c r="A304" s="23" t="str">
        <f>IF(盘货信息!A304="","",盘货信息!A304)</f>
        <v/>
      </c>
      <c r="B304" s="26" t="str">
        <f>IF(盘货信息!B304="","",盘货信息!B304)</f>
        <v/>
      </c>
      <c r="C304" s="23" t="str">
        <f>IF(盘货信息!C304="","",盘货信息!C304)</f>
        <v/>
      </c>
      <c r="D304" s="27" t="str">
        <f t="shared" si="8"/>
        <v/>
      </c>
      <c r="E304" s="27" t="str" cm="1">
        <f t="array" ref="E304">IF($C304="","",IF(AND(OR(_xlfn.XLOOKUP($A304&amp;$B304&amp;$C304,盘货信息!$A:$A&amp;盘货信息!$B:$B&amp;盘货信息!$C:$C,盘货信息!$L:$L)="否",_xlfn.XLOOKUP($A304&amp;$B304&amp;$C304,盘货信息!$A:$A&amp;盘货信息!$B:$B&amp;盘货信息!$C:$C,盘货信息!$L:$L)=""),_xlfn.XLOOKUP($A304&amp;$B304&amp;$C304,盘货信息!$A:$A&amp;盘货信息!$B:$B&amp;盘货信息!$C:$C,盘货信息!$M:$M)="否"),"【预估到手价"&amp;_xlfn.XLOOKUP($A304&amp;$B304&amp;$C304,盘货信息!$A:$A&amp;盘货信息!$B:$B&amp;盘货信息!$C:$C,盘货信息!$D:$D)&amp;"元】",IF(AND(_xlfn.XLOOKUP($A304&amp;$B304&amp;$C304,盘货信息!$A:$A&amp;盘货信息!$B:$B&amp;盘货信息!$C:$C,盘货信息!$M:$M)="是",OR(_xlfn.XLOOKUP($A304&amp;$B304&amp;$C304,盘货信息!$A:$A&amp;盘货信息!$B:$B&amp;盘货信息!$C:$C,盘货信息!$L:$L)="否",_xlfn.XLOOKUP($A304&amp;$B304&amp;$C304,盘货信息!$A:$A&amp;盘货信息!$B:$B&amp;盘货信息!$C:$C,盘货信息!$L:$L)="")),"【预估到手价"&amp;_xlfn.XLOOKUP($A304&amp;$B304&amp;$C304,盘货信息!$A:$A&amp;盘货信息!$B:$B&amp;盘货信息!$C:$C,盘货信息!$D:$D)&amp;"元】"&amp;CHAR(10)&amp;"【焕新补贴预估价"&amp;ROUND(_xlfn.XLOOKUP($A304&amp;$B304&amp;$C304,盘货信息!$A:$A&amp;盘货信息!$B:$B&amp;盘货信息!$C:$C,盘货信息!$E:$E),0)&amp;"元】","【焕新补贴预估价"&amp;ROUND(_xlfn.XLOOKUP($A304&amp;$B304&amp;$C304,盘货信息!$A:$A&amp;盘货信息!$B:$B&amp;盘货信息!$C:$C,盘货信息!$E:$E),0)&amp;"元】")))</f>
        <v/>
      </c>
      <c r="F304" s="27" t="str" cm="1">
        <f t="array" ref="F304">IF($C304="","",_xlfn.XLOOKUP($A304&amp;$B304&amp;$C304,盘货信息!$A:$A&amp;盘货信息!$B:$B&amp;盘货信息!$C:$C,盘货信息!$D:$D)&amp;"元到手价")</f>
        <v/>
      </c>
      <c r="G304" s="27" t="str" cm="1">
        <f t="array" ref="G304">IF($C304="","",IF(_xlfn.XLOOKUP($A304&amp;$B304&amp;$C304,盘货信息!$A:$A&amp;盘货信息!$B:$B&amp;盘货信息!$C:$C,盘货信息!$G:$G)&lt;1,"",ROUND(_xlfn.XLOOKUP($A304&amp;$B304&amp;$C304,盘货信息!$A:$A&amp;盘货信息!$B:$B&amp;盘货信息!$C:$C,盘货信息!$G:$G),0)&amp;"元88VIP立减"))</f>
        <v/>
      </c>
      <c r="H304" s="27" t="str" cm="1">
        <f t="array" ref="H304">IF($C304="","",IF(_xlfn.XLOOKUP($A304&amp;$B304&amp;$C304,盘货信息!$A:$A&amp;盘货信息!$B:$B&amp;盘货信息!$C:$C,盘货信息!$I:$I)&lt;1,"",_xlfn.XLOOKUP($A304&amp;$B304&amp;$C304,盘货信息!$A:$A&amp;盘货信息!$B:$B&amp;盘货信息!$C:$C,盘货信息!$I:$I)&amp;"元惊喜立减"))</f>
        <v/>
      </c>
      <c r="I304" s="27" t="str" cm="1">
        <f t="array" ref="I304">IF($C304="","",IF(_xlfn.XLOOKUP($A304&amp;$B304&amp;$C304,盘货信息!$A:$A&amp;盘货信息!$B:$B&amp;盘货信息!$C:$C,盘货信息!$H:$H)&lt;1,"",ROUND(_xlfn.XLOOKUP($A304&amp;$B304&amp;$C304,盘货信息!$A:$A&amp;盘货信息!$B:$B&amp;盘货信息!$C:$C,盘货信息!$H:$H),0)&amp;"元消费券"))</f>
        <v/>
      </c>
      <c r="J304" s="27" t="str" cm="1">
        <f t="array" ref="J304">IF($C304="","",IF(_xlfn.XLOOKUP($A304&amp;$B304&amp;$C304,盘货信息!$A:$A&amp;盘货信息!$B:$B&amp;盘货信息!$C:$C,盘货信息!$J:$J)&lt;1,"",ROUND(_xlfn.XLOOKUP($A304&amp;$B304&amp;$C304,盘货信息!$A:$A&amp;盘货信息!$B:$B&amp;盘货信息!$C:$C,盘货信息!$J:$J),0)&amp;"元限时补贴"))</f>
        <v/>
      </c>
      <c r="K304" s="27" t="str" cm="1">
        <f t="array" ref="K304">IF($C304="","",IF(_xlfn.XLOOKUP($A304&amp;$B304&amp;$C304,盘货信息!$A:$A&amp;盘货信息!$B:$B&amp;盘货信息!$C:$C,盘货信息!$K:$K)&lt;1,"",ROUND(_xlfn.XLOOKUP($A304&amp;$B304&amp;$C304,盘货信息!$A:$A&amp;盘货信息!$B:$B&amp;盘货信息!$C:$C,盘货信息!$K:$K),0)&amp;"元预估焕新补贴"))</f>
        <v/>
      </c>
      <c r="L304" s="27" t="str" cm="1">
        <f t="array" ref="L304">IF($C304="","",IF(AND(_xlfn.XLOOKUP($A304&amp;$B304&amp;$C304,盘货信息!$A:$A&amp;盘货信息!$B:$B&amp;盘货信息!$C:$C,盘货信息!$L:$L)="是",_xlfn.XLOOKUP($A304&amp;$B304&amp;$C304,盘货信息!$A:$A&amp;盘货信息!$B:$B&amp;盘货信息!$C:$C,盘货信息!$M:$M)="是",_xlfn.XLOOKUP($A304&amp;$B304&amp;$C304,盘货信息!$A:$A&amp;盘货信息!$B:$B&amp;盘货信息!$C:$C,盘货信息!$K:$K)&gt;0),"【全民可用，不限地址】",IF(AND(OR(_xlfn.XLOOKUP($A304&amp;$B304&amp;$C304,盘货信息!$A:$A&amp;盘货信息!$B:$B&amp;盘货信息!$C:$C,盘货信息!$L:$L)="否",_xlfn.XLOOKUP($A304&amp;$B304&amp;$C304,盘货信息!$A:$A&amp;盘货信息!$B:$B&amp;盘货信息!$C:$C,盘货信息!$L:$L)=""),_xlfn.XLOOKUP($A304&amp;$B304&amp;$C304,盘货信息!$A:$A&amp;盘货信息!$B:$B&amp;盘货信息!$C:$C,盘货信息!$M:$M)="是",_xlfn.XLOOKUP($A304&amp;$B304&amp;$C304,盘货信息!$A:$A&amp;盘货信息!$B:$B&amp;盘货信息!$C:$C,盘货信息!$K:$K)&gt;0),"【详情页领取】","")))</f>
        <v/>
      </c>
      <c r="M304" s="27" t="str" cm="1">
        <f t="array" ref="M304">IF($C304="","",IF(_xlfn.XLOOKUP($A304&amp;$B304&amp;$C304,盘货信息!$A:$A&amp;盘货信息!$B:$B&amp;盘货信息!$C:$C,盘货信息!$F:$F)&lt;1,"",_xlfn.XLOOKUP($A304&amp;$B304&amp;$C304,盘货信息!$A:$A&amp;盘货信息!$B:$B&amp;盘货信息!$C:$C,盘货信息!$F:$F)&amp;"元明卷"))</f>
        <v/>
      </c>
      <c r="N304" s="27" t="str">
        <f t="shared" si="9"/>
        <v/>
      </c>
      <c r="O304" s="27" t="str">
        <f>IF(I304="","","【消费券链接】"&amp;固定信息!$B$6)</f>
        <v/>
      </c>
    </row>
    <row r="305" customHeight="1" spans="1:15">
      <c r="A305" s="23" t="str">
        <f>IF(盘货信息!A305="","",盘货信息!A305)</f>
        <v/>
      </c>
      <c r="B305" s="26" t="str">
        <f>IF(盘货信息!B305="","",盘货信息!B305)</f>
        <v/>
      </c>
      <c r="C305" s="23" t="str">
        <f>IF(盘货信息!C305="","",盘货信息!C305)</f>
        <v/>
      </c>
      <c r="D305" s="27" t="str">
        <f t="shared" si="8"/>
        <v/>
      </c>
      <c r="E305" s="27" t="str" cm="1">
        <f t="array" ref="E305">IF($C305="","",IF(AND(OR(_xlfn.XLOOKUP($A305&amp;$B305&amp;$C305,盘货信息!$A:$A&amp;盘货信息!$B:$B&amp;盘货信息!$C:$C,盘货信息!$L:$L)="否",_xlfn.XLOOKUP($A305&amp;$B305&amp;$C305,盘货信息!$A:$A&amp;盘货信息!$B:$B&amp;盘货信息!$C:$C,盘货信息!$L:$L)=""),_xlfn.XLOOKUP($A305&amp;$B305&amp;$C305,盘货信息!$A:$A&amp;盘货信息!$B:$B&amp;盘货信息!$C:$C,盘货信息!$M:$M)="否"),"【预估到手价"&amp;_xlfn.XLOOKUP($A305&amp;$B305&amp;$C305,盘货信息!$A:$A&amp;盘货信息!$B:$B&amp;盘货信息!$C:$C,盘货信息!$D:$D)&amp;"元】",IF(AND(_xlfn.XLOOKUP($A305&amp;$B305&amp;$C305,盘货信息!$A:$A&amp;盘货信息!$B:$B&amp;盘货信息!$C:$C,盘货信息!$M:$M)="是",OR(_xlfn.XLOOKUP($A305&amp;$B305&amp;$C305,盘货信息!$A:$A&amp;盘货信息!$B:$B&amp;盘货信息!$C:$C,盘货信息!$L:$L)="否",_xlfn.XLOOKUP($A305&amp;$B305&amp;$C305,盘货信息!$A:$A&amp;盘货信息!$B:$B&amp;盘货信息!$C:$C,盘货信息!$L:$L)="")),"【预估到手价"&amp;_xlfn.XLOOKUP($A305&amp;$B305&amp;$C305,盘货信息!$A:$A&amp;盘货信息!$B:$B&amp;盘货信息!$C:$C,盘货信息!$D:$D)&amp;"元】"&amp;CHAR(10)&amp;"【焕新补贴预估价"&amp;ROUND(_xlfn.XLOOKUP($A305&amp;$B305&amp;$C305,盘货信息!$A:$A&amp;盘货信息!$B:$B&amp;盘货信息!$C:$C,盘货信息!$E:$E),0)&amp;"元】","【焕新补贴预估价"&amp;ROUND(_xlfn.XLOOKUP($A305&amp;$B305&amp;$C305,盘货信息!$A:$A&amp;盘货信息!$B:$B&amp;盘货信息!$C:$C,盘货信息!$E:$E),0)&amp;"元】")))</f>
        <v/>
      </c>
      <c r="F305" s="27" t="str" cm="1">
        <f t="array" ref="F305">IF($C305="","",_xlfn.XLOOKUP($A305&amp;$B305&amp;$C305,盘货信息!$A:$A&amp;盘货信息!$B:$B&amp;盘货信息!$C:$C,盘货信息!$D:$D)&amp;"元到手价")</f>
        <v/>
      </c>
      <c r="G305" s="27" t="str" cm="1">
        <f t="array" ref="G305">IF($C305="","",IF(_xlfn.XLOOKUP($A305&amp;$B305&amp;$C305,盘货信息!$A:$A&amp;盘货信息!$B:$B&amp;盘货信息!$C:$C,盘货信息!$G:$G)&lt;1,"",ROUND(_xlfn.XLOOKUP($A305&amp;$B305&amp;$C305,盘货信息!$A:$A&amp;盘货信息!$B:$B&amp;盘货信息!$C:$C,盘货信息!$G:$G),0)&amp;"元88VIP立减"))</f>
        <v/>
      </c>
      <c r="H305" s="27" t="str" cm="1">
        <f t="array" ref="H305">IF($C305="","",IF(_xlfn.XLOOKUP($A305&amp;$B305&amp;$C305,盘货信息!$A:$A&amp;盘货信息!$B:$B&amp;盘货信息!$C:$C,盘货信息!$I:$I)&lt;1,"",_xlfn.XLOOKUP($A305&amp;$B305&amp;$C305,盘货信息!$A:$A&amp;盘货信息!$B:$B&amp;盘货信息!$C:$C,盘货信息!$I:$I)&amp;"元惊喜立减"))</f>
        <v/>
      </c>
      <c r="I305" s="27" t="str" cm="1">
        <f t="array" ref="I305">IF($C305="","",IF(_xlfn.XLOOKUP($A305&amp;$B305&amp;$C305,盘货信息!$A:$A&amp;盘货信息!$B:$B&amp;盘货信息!$C:$C,盘货信息!$H:$H)&lt;1,"",ROUND(_xlfn.XLOOKUP($A305&amp;$B305&amp;$C305,盘货信息!$A:$A&amp;盘货信息!$B:$B&amp;盘货信息!$C:$C,盘货信息!$H:$H),0)&amp;"元消费券"))</f>
        <v/>
      </c>
      <c r="J305" s="27" t="str" cm="1">
        <f t="array" ref="J305">IF($C305="","",IF(_xlfn.XLOOKUP($A305&amp;$B305&amp;$C305,盘货信息!$A:$A&amp;盘货信息!$B:$B&amp;盘货信息!$C:$C,盘货信息!$J:$J)&lt;1,"",ROUND(_xlfn.XLOOKUP($A305&amp;$B305&amp;$C305,盘货信息!$A:$A&amp;盘货信息!$B:$B&amp;盘货信息!$C:$C,盘货信息!$J:$J),0)&amp;"元限时补贴"))</f>
        <v/>
      </c>
      <c r="K305" s="27" t="str" cm="1">
        <f t="array" ref="K305">IF($C305="","",IF(_xlfn.XLOOKUP($A305&amp;$B305&amp;$C305,盘货信息!$A:$A&amp;盘货信息!$B:$B&amp;盘货信息!$C:$C,盘货信息!$K:$K)&lt;1,"",ROUND(_xlfn.XLOOKUP($A305&amp;$B305&amp;$C305,盘货信息!$A:$A&amp;盘货信息!$B:$B&amp;盘货信息!$C:$C,盘货信息!$K:$K),0)&amp;"元预估焕新补贴"))</f>
        <v/>
      </c>
      <c r="L305" s="27" t="str" cm="1">
        <f t="array" ref="L305">IF($C305="","",IF(AND(_xlfn.XLOOKUP($A305&amp;$B305&amp;$C305,盘货信息!$A:$A&amp;盘货信息!$B:$B&amp;盘货信息!$C:$C,盘货信息!$L:$L)="是",_xlfn.XLOOKUP($A305&amp;$B305&amp;$C305,盘货信息!$A:$A&amp;盘货信息!$B:$B&amp;盘货信息!$C:$C,盘货信息!$M:$M)="是",_xlfn.XLOOKUP($A305&amp;$B305&amp;$C305,盘货信息!$A:$A&amp;盘货信息!$B:$B&amp;盘货信息!$C:$C,盘货信息!$K:$K)&gt;0),"【全民可用，不限地址】",IF(AND(OR(_xlfn.XLOOKUP($A305&amp;$B305&amp;$C305,盘货信息!$A:$A&amp;盘货信息!$B:$B&amp;盘货信息!$C:$C,盘货信息!$L:$L)="否",_xlfn.XLOOKUP($A305&amp;$B305&amp;$C305,盘货信息!$A:$A&amp;盘货信息!$B:$B&amp;盘货信息!$C:$C,盘货信息!$L:$L)=""),_xlfn.XLOOKUP($A305&amp;$B305&amp;$C305,盘货信息!$A:$A&amp;盘货信息!$B:$B&amp;盘货信息!$C:$C,盘货信息!$M:$M)="是",_xlfn.XLOOKUP($A305&amp;$B305&amp;$C305,盘货信息!$A:$A&amp;盘货信息!$B:$B&amp;盘货信息!$C:$C,盘货信息!$K:$K)&gt;0),"【详情页领取】","")))</f>
        <v/>
      </c>
      <c r="M305" s="27" t="str" cm="1">
        <f t="array" ref="M305">IF($C305="","",IF(_xlfn.XLOOKUP($A305&amp;$B305&amp;$C305,盘货信息!$A:$A&amp;盘货信息!$B:$B&amp;盘货信息!$C:$C,盘货信息!$F:$F)&lt;1,"",_xlfn.XLOOKUP($A305&amp;$B305&amp;$C305,盘货信息!$A:$A&amp;盘货信息!$B:$B&amp;盘货信息!$C:$C,盘货信息!$F:$F)&amp;"元明卷"))</f>
        <v/>
      </c>
      <c r="N305" s="27" t="str">
        <f t="shared" si="9"/>
        <v/>
      </c>
      <c r="O305" s="27" t="str">
        <f>IF(I305="","","【消费券链接】"&amp;固定信息!$B$6)</f>
        <v/>
      </c>
    </row>
    <row r="306" customHeight="1" spans="1:15">
      <c r="A306" s="23" t="str">
        <f>IF(盘货信息!A306="","",盘货信息!A306)</f>
        <v/>
      </c>
      <c r="B306" s="26" t="str">
        <f>IF(盘货信息!B306="","",盘货信息!B306)</f>
        <v/>
      </c>
      <c r="C306" s="23" t="str">
        <f>IF(盘货信息!C306="","",盘货信息!C306)</f>
        <v/>
      </c>
      <c r="D306" s="27" t="str">
        <f t="shared" si="8"/>
        <v/>
      </c>
      <c r="E306" s="27" t="str" cm="1">
        <f t="array" ref="E306">IF($C306="","",IF(AND(OR(_xlfn.XLOOKUP($A306&amp;$B306&amp;$C306,盘货信息!$A:$A&amp;盘货信息!$B:$B&amp;盘货信息!$C:$C,盘货信息!$L:$L)="否",_xlfn.XLOOKUP($A306&amp;$B306&amp;$C306,盘货信息!$A:$A&amp;盘货信息!$B:$B&amp;盘货信息!$C:$C,盘货信息!$L:$L)=""),_xlfn.XLOOKUP($A306&amp;$B306&amp;$C306,盘货信息!$A:$A&amp;盘货信息!$B:$B&amp;盘货信息!$C:$C,盘货信息!$M:$M)="否"),"【预估到手价"&amp;_xlfn.XLOOKUP($A306&amp;$B306&amp;$C306,盘货信息!$A:$A&amp;盘货信息!$B:$B&amp;盘货信息!$C:$C,盘货信息!$D:$D)&amp;"元】",IF(AND(_xlfn.XLOOKUP($A306&amp;$B306&amp;$C306,盘货信息!$A:$A&amp;盘货信息!$B:$B&amp;盘货信息!$C:$C,盘货信息!$M:$M)="是",OR(_xlfn.XLOOKUP($A306&amp;$B306&amp;$C306,盘货信息!$A:$A&amp;盘货信息!$B:$B&amp;盘货信息!$C:$C,盘货信息!$L:$L)="否",_xlfn.XLOOKUP($A306&amp;$B306&amp;$C306,盘货信息!$A:$A&amp;盘货信息!$B:$B&amp;盘货信息!$C:$C,盘货信息!$L:$L)="")),"【预估到手价"&amp;_xlfn.XLOOKUP($A306&amp;$B306&amp;$C306,盘货信息!$A:$A&amp;盘货信息!$B:$B&amp;盘货信息!$C:$C,盘货信息!$D:$D)&amp;"元】"&amp;CHAR(10)&amp;"【焕新补贴预估价"&amp;ROUND(_xlfn.XLOOKUP($A306&amp;$B306&amp;$C306,盘货信息!$A:$A&amp;盘货信息!$B:$B&amp;盘货信息!$C:$C,盘货信息!$E:$E),0)&amp;"元】","【焕新补贴预估价"&amp;ROUND(_xlfn.XLOOKUP($A306&amp;$B306&amp;$C306,盘货信息!$A:$A&amp;盘货信息!$B:$B&amp;盘货信息!$C:$C,盘货信息!$E:$E),0)&amp;"元】")))</f>
        <v/>
      </c>
      <c r="F306" s="27" t="str" cm="1">
        <f t="array" ref="F306">IF($C306="","",_xlfn.XLOOKUP($A306&amp;$B306&amp;$C306,盘货信息!$A:$A&amp;盘货信息!$B:$B&amp;盘货信息!$C:$C,盘货信息!$D:$D)&amp;"元到手价")</f>
        <v/>
      </c>
      <c r="G306" s="27" t="str" cm="1">
        <f t="array" ref="G306">IF($C306="","",IF(_xlfn.XLOOKUP($A306&amp;$B306&amp;$C306,盘货信息!$A:$A&amp;盘货信息!$B:$B&amp;盘货信息!$C:$C,盘货信息!$G:$G)&lt;1,"",ROUND(_xlfn.XLOOKUP($A306&amp;$B306&amp;$C306,盘货信息!$A:$A&amp;盘货信息!$B:$B&amp;盘货信息!$C:$C,盘货信息!$G:$G),0)&amp;"元88VIP立减"))</f>
        <v/>
      </c>
      <c r="H306" s="27" t="str" cm="1">
        <f t="array" ref="H306">IF($C306="","",IF(_xlfn.XLOOKUP($A306&amp;$B306&amp;$C306,盘货信息!$A:$A&amp;盘货信息!$B:$B&amp;盘货信息!$C:$C,盘货信息!$I:$I)&lt;1,"",_xlfn.XLOOKUP($A306&amp;$B306&amp;$C306,盘货信息!$A:$A&amp;盘货信息!$B:$B&amp;盘货信息!$C:$C,盘货信息!$I:$I)&amp;"元惊喜立减"))</f>
        <v/>
      </c>
      <c r="I306" s="27" t="str" cm="1">
        <f t="array" ref="I306">IF($C306="","",IF(_xlfn.XLOOKUP($A306&amp;$B306&amp;$C306,盘货信息!$A:$A&amp;盘货信息!$B:$B&amp;盘货信息!$C:$C,盘货信息!$H:$H)&lt;1,"",ROUND(_xlfn.XLOOKUP($A306&amp;$B306&amp;$C306,盘货信息!$A:$A&amp;盘货信息!$B:$B&amp;盘货信息!$C:$C,盘货信息!$H:$H),0)&amp;"元消费券"))</f>
        <v/>
      </c>
      <c r="J306" s="27" t="str" cm="1">
        <f t="array" ref="J306">IF($C306="","",IF(_xlfn.XLOOKUP($A306&amp;$B306&amp;$C306,盘货信息!$A:$A&amp;盘货信息!$B:$B&amp;盘货信息!$C:$C,盘货信息!$J:$J)&lt;1,"",ROUND(_xlfn.XLOOKUP($A306&amp;$B306&amp;$C306,盘货信息!$A:$A&amp;盘货信息!$B:$B&amp;盘货信息!$C:$C,盘货信息!$J:$J),0)&amp;"元限时补贴"))</f>
        <v/>
      </c>
      <c r="K306" s="27" t="str" cm="1">
        <f t="array" ref="K306">IF($C306="","",IF(_xlfn.XLOOKUP($A306&amp;$B306&amp;$C306,盘货信息!$A:$A&amp;盘货信息!$B:$B&amp;盘货信息!$C:$C,盘货信息!$K:$K)&lt;1,"",ROUND(_xlfn.XLOOKUP($A306&amp;$B306&amp;$C306,盘货信息!$A:$A&amp;盘货信息!$B:$B&amp;盘货信息!$C:$C,盘货信息!$K:$K),0)&amp;"元预估焕新补贴"))</f>
        <v/>
      </c>
      <c r="L306" s="27" t="str" cm="1">
        <f t="array" ref="L306">IF($C306="","",IF(AND(_xlfn.XLOOKUP($A306&amp;$B306&amp;$C306,盘货信息!$A:$A&amp;盘货信息!$B:$B&amp;盘货信息!$C:$C,盘货信息!$L:$L)="是",_xlfn.XLOOKUP($A306&amp;$B306&amp;$C306,盘货信息!$A:$A&amp;盘货信息!$B:$B&amp;盘货信息!$C:$C,盘货信息!$M:$M)="是",_xlfn.XLOOKUP($A306&amp;$B306&amp;$C306,盘货信息!$A:$A&amp;盘货信息!$B:$B&amp;盘货信息!$C:$C,盘货信息!$K:$K)&gt;0),"【全民可用，不限地址】",IF(AND(OR(_xlfn.XLOOKUP($A306&amp;$B306&amp;$C306,盘货信息!$A:$A&amp;盘货信息!$B:$B&amp;盘货信息!$C:$C,盘货信息!$L:$L)="否",_xlfn.XLOOKUP($A306&amp;$B306&amp;$C306,盘货信息!$A:$A&amp;盘货信息!$B:$B&amp;盘货信息!$C:$C,盘货信息!$L:$L)=""),_xlfn.XLOOKUP($A306&amp;$B306&amp;$C306,盘货信息!$A:$A&amp;盘货信息!$B:$B&amp;盘货信息!$C:$C,盘货信息!$M:$M)="是",_xlfn.XLOOKUP($A306&amp;$B306&amp;$C306,盘货信息!$A:$A&amp;盘货信息!$B:$B&amp;盘货信息!$C:$C,盘货信息!$K:$K)&gt;0),"【详情页领取】","")))</f>
        <v/>
      </c>
      <c r="M306" s="27" t="str" cm="1">
        <f t="array" ref="M306">IF($C306="","",IF(_xlfn.XLOOKUP($A306&amp;$B306&amp;$C306,盘货信息!$A:$A&amp;盘货信息!$B:$B&amp;盘货信息!$C:$C,盘货信息!$F:$F)&lt;1,"",_xlfn.XLOOKUP($A306&amp;$B306&amp;$C306,盘货信息!$A:$A&amp;盘货信息!$B:$B&amp;盘货信息!$C:$C,盘货信息!$F:$F)&amp;"元明卷"))</f>
        <v/>
      </c>
      <c r="N306" s="27" t="str">
        <f t="shared" si="9"/>
        <v/>
      </c>
      <c r="O306" s="27" t="str">
        <f>IF(I306="","","【消费券链接】"&amp;固定信息!$B$6)</f>
        <v/>
      </c>
    </row>
    <row r="307" customHeight="1" spans="1:15">
      <c r="A307" s="23" t="str">
        <f>IF(盘货信息!A307="","",盘货信息!A307)</f>
        <v/>
      </c>
      <c r="B307" s="26" t="str">
        <f>IF(盘货信息!B307="","",盘货信息!B307)</f>
        <v/>
      </c>
      <c r="C307" s="23" t="str">
        <f>IF(盘货信息!C307="","",盘货信息!C307)</f>
        <v/>
      </c>
      <c r="D307" s="27" t="str">
        <f t="shared" si="8"/>
        <v/>
      </c>
      <c r="E307" s="27" t="str" cm="1">
        <f t="array" ref="E307">IF($C307="","",IF(AND(OR(_xlfn.XLOOKUP($A307&amp;$B307&amp;$C307,盘货信息!$A:$A&amp;盘货信息!$B:$B&amp;盘货信息!$C:$C,盘货信息!$L:$L)="否",_xlfn.XLOOKUP($A307&amp;$B307&amp;$C307,盘货信息!$A:$A&amp;盘货信息!$B:$B&amp;盘货信息!$C:$C,盘货信息!$L:$L)=""),_xlfn.XLOOKUP($A307&amp;$B307&amp;$C307,盘货信息!$A:$A&amp;盘货信息!$B:$B&amp;盘货信息!$C:$C,盘货信息!$M:$M)="否"),"【预估到手价"&amp;_xlfn.XLOOKUP($A307&amp;$B307&amp;$C307,盘货信息!$A:$A&amp;盘货信息!$B:$B&amp;盘货信息!$C:$C,盘货信息!$D:$D)&amp;"元】",IF(AND(_xlfn.XLOOKUP($A307&amp;$B307&amp;$C307,盘货信息!$A:$A&amp;盘货信息!$B:$B&amp;盘货信息!$C:$C,盘货信息!$M:$M)="是",OR(_xlfn.XLOOKUP($A307&amp;$B307&amp;$C307,盘货信息!$A:$A&amp;盘货信息!$B:$B&amp;盘货信息!$C:$C,盘货信息!$L:$L)="否",_xlfn.XLOOKUP($A307&amp;$B307&amp;$C307,盘货信息!$A:$A&amp;盘货信息!$B:$B&amp;盘货信息!$C:$C,盘货信息!$L:$L)="")),"【预估到手价"&amp;_xlfn.XLOOKUP($A307&amp;$B307&amp;$C307,盘货信息!$A:$A&amp;盘货信息!$B:$B&amp;盘货信息!$C:$C,盘货信息!$D:$D)&amp;"元】"&amp;CHAR(10)&amp;"【焕新补贴预估价"&amp;ROUND(_xlfn.XLOOKUP($A307&amp;$B307&amp;$C307,盘货信息!$A:$A&amp;盘货信息!$B:$B&amp;盘货信息!$C:$C,盘货信息!$E:$E),0)&amp;"元】","【焕新补贴预估价"&amp;ROUND(_xlfn.XLOOKUP($A307&amp;$B307&amp;$C307,盘货信息!$A:$A&amp;盘货信息!$B:$B&amp;盘货信息!$C:$C,盘货信息!$E:$E),0)&amp;"元】")))</f>
        <v/>
      </c>
      <c r="F307" s="27" t="str" cm="1">
        <f t="array" ref="F307">IF($C307="","",_xlfn.XLOOKUP($A307&amp;$B307&amp;$C307,盘货信息!$A:$A&amp;盘货信息!$B:$B&amp;盘货信息!$C:$C,盘货信息!$D:$D)&amp;"元到手价")</f>
        <v/>
      </c>
      <c r="G307" s="27" t="str" cm="1">
        <f t="array" ref="G307">IF($C307="","",IF(_xlfn.XLOOKUP($A307&amp;$B307&amp;$C307,盘货信息!$A:$A&amp;盘货信息!$B:$B&amp;盘货信息!$C:$C,盘货信息!$G:$G)&lt;1,"",ROUND(_xlfn.XLOOKUP($A307&amp;$B307&amp;$C307,盘货信息!$A:$A&amp;盘货信息!$B:$B&amp;盘货信息!$C:$C,盘货信息!$G:$G),0)&amp;"元88VIP立减"))</f>
        <v/>
      </c>
      <c r="H307" s="27" t="str" cm="1">
        <f t="array" ref="H307">IF($C307="","",IF(_xlfn.XLOOKUP($A307&amp;$B307&amp;$C307,盘货信息!$A:$A&amp;盘货信息!$B:$B&amp;盘货信息!$C:$C,盘货信息!$I:$I)&lt;1,"",_xlfn.XLOOKUP($A307&amp;$B307&amp;$C307,盘货信息!$A:$A&amp;盘货信息!$B:$B&amp;盘货信息!$C:$C,盘货信息!$I:$I)&amp;"元惊喜立减"))</f>
        <v/>
      </c>
      <c r="I307" s="27" t="str" cm="1">
        <f t="array" ref="I307">IF($C307="","",IF(_xlfn.XLOOKUP($A307&amp;$B307&amp;$C307,盘货信息!$A:$A&amp;盘货信息!$B:$B&amp;盘货信息!$C:$C,盘货信息!$H:$H)&lt;1,"",ROUND(_xlfn.XLOOKUP($A307&amp;$B307&amp;$C307,盘货信息!$A:$A&amp;盘货信息!$B:$B&amp;盘货信息!$C:$C,盘货信息!$H:$H),0)&amp;"元消费券"))</f>
        <v/>
      </c>
      <c r="J307" s="27" t="str" cm="1">
        <f t="array" ref="J307">IF($C307="","",IF(_xlfn.XLOOKUP($A307&amp;$B307&amp;$C307,盘货信息!$A:$A&amp;盘货信息!$B:$B&amp;盘货信息!$C:$C,盘货信息!$J:$J)&lt;1,"",ROUND(_xlfn.XLOOKUP($A307&amp;$B307&amp;$C307,盘货信息!$A:$A&amp;盘货信息!$B:$B&amp;盘货信息!$C:$C,盘货信息!$J:$J),0)&amp;"元限时补贴"))</f>
        <v/>
      </c>
      <c r="K307" s="27" t="str" cm="1">
        <f t="array" ref="K307">IF($C307="","",IF(_xlfn.XLOOKUP($A307&amp;$B307&amp;$C307,盘货信息!$A:$A&amp;盘货信息!$B:$B&amp;盘货信息!$C:$C,盘货信息!$K:$K)&lt;1,"",ROUND(_xlfn.XLOOKUP($A307&amp;$B307&amp;$C307,盘货信息!$A:$A&amp;盘货信息!$B:$B&amp;盘货信息!$C:$C,盘货信息!$K:$K),0)&amp;"元预估焕新补贴"))</f>
        <v/>
      </c>
      <c r="L307" s="27" t="str" cm="1">
        <f t="array" ref="L307">IF($C307="","",IF(AND(_xlfn.XLOOKUP($A307&amp;$B307&amp;$C307,盘货信息!$A:$A&amp;盘货信息!$B:$B&amp;盘货信息!$C:$C,盘货信息!$L:$L)="是",_xlfn.XLOOKUP($A307&amp;$B307&amp;$C307,盘货信息!$A:$A&amp;盘货信息!$B:$B&amp;盘货信息!$C:$C,盘货信息!$M:$M)="是",_xlfn.XLOOKUP($A307&amp;$B307&amp;$C307,盘货信息!$A:$A&amp;盘货信息!$B:$B&amp;盘货信息!$C:$C,盘货信息!$K:$K)&gt;0),"【全民可用，不限地址】",IF(AND(OR(_xlfn.XLOOKUP($A307&amp;$B307&amp;$C307,盘货信息!$A:$A&amp;盘货信息!$B:$B&amp;盘货信息!$C:$C,盘货信息!$L:$L)="否",_xlfn.XLOOKUP($A307&amp;$B307&amp;$C307,盘货信息!$A:$A&amp;盘货信息!$B:$B&amp;盘货信息!$C:$C,盘货信息!$L:$L)=""),_xlfn.XLOOKUP($A307&amp;$B307&amp;$C307,盘货信息!$A:$A&amp;盘货信息!$B:$B&amp;盘货信息!$C:$C,盘货信息!$M:$M)="是",_xlfn.XLOOKUP($A307&amp;$B307&amp;$C307,盘货信息!$A:$A&amp;盘货信息!$B:$B&amp;盘货信息!$C:$C,盘货信息!$K:$K)&gt;0),"【详情页领取】","")))</f>
        <v/>
      </c>
      <c r="M307" s="27" t="str" cm="1">
        <f t="array" ref="M307">IF($C307="","",IF(_xlfn.XLOOKUP($A307&amp;$B307&amp;$C307,盘货信息!$A:$A&amp;盘货信息!$B:$B&amp;盘货信息!$C:$C,盘货信息!$F:$F)&lt;1,"",_xlfn.XLOOKUP($A307&amp;$B307&amp;$C307,盘货信息!$A:$A&amp;盘货信息!$B:$B&amp;盘货信息!$C:$C,盘货信息!$F:$F)&amp;"元明卷"))</f>
        <v/>
      </c>
      <c r="N307" s="27" t="str">
        <f t="shared" si="9"/>
        <v/>
      </c>
      <c r="O307" s="27" t="str">
        <f>IF(I307="","","【消费券链接】"&amp;固定信息!$B$6)</f>
        <v/>
      </c>
    </row>
    <row r="308" customHeight="1" spans="1:15">
      <c r="A308" s="23" t="str">
        <f>IF(盘货信息!A308="","",盘货信息!A308)</f>
        <v/>
      </c>
      <c r="B308" s="26" t="str">
        <f>IF(盘货信息!B308="","",盘货信息!B308)</f>
        <v/>
      </c>
      <c r="C308" s="23" t="str">
        <f>IF(盘货信息!C308="","",盘货信息!C308)</f>
        <v/>
      </c>
      <c r="D308" s="27" t="str">
        <f t="shared" si="8"/>
        <v/>
      </c>
      <c r="E308" s="27" t="str" cm="1">
        <f t="array" ref="E308">IF($C308="","",IF(AND(OR(_xlfn.XLOOKUP($A308&amp;$B308&amp;$C308,盘货信息!$A:$A&amp;盘货信息!$B:$B&amp;盘货信息!$C:$C,盘货信息!$L:$L)="否",_xlfn.XLOOKUP($A308&amp;$B308&amp;$C308,盘货信息!$A:$A&amp;盘货信息!$B:$B&amp;盘货信息!$C:$C,盘货信息!$L:$L)=""),_xlfn.XLOOKUP($A308&amp;$B308&amp;$C308,盘货信息!$A:$A&amp;盘货信息!$B:$B&amp;盘货信息!$C:$C,盘货信息!$M:$M)="否"),"【预估到手价"&amp;_xlfn.XLOOKUP($A308&amp;$B308&amp;$C308,盘货信息!$A:$A&amp;盘货信息!$B:$B&amp;盘货信息!$C:$C,盘货信息!$D:$D)&amp;"元】",IF(AND(_xlfn.XLOOKUP($A308&amp;$B308&amp;$C308,盘货信息!$A:$A&amp;盘货信息!$B:$B&amp;盘货信息!$C:$C,盘货信息!$M:$M)="是",OR(_xlfn.XLOOKUP($A308&amp;$B308&amp;$C308,盘货信息!$A:$A&amp;盘货信息!$B:$B&amp;盘货信息!$C:$C,盘货信息!$L:$L)="否",_xlfn.XLOOKUP($A308&amp;$B308&amp;$C308,盘货信息!$A:$A&amp;盘货信息!$B:$B&amp;盘货信息!$C:$C,盘货信息!$L:$L)="")),"【预估到手价"&amp;_xlfn.XLOOKUP($A308&amp;$B308&amp;$C308,盘货信息!$A:$A&amp;盘货信息!$B:$B&amp;盘货信息!$C:$C,盘货信息!$D:$D)&amp;"元】"&amp;CHAR(10)&amp;"【焕新补贴预估价"&amp;ROUND(_xlfn.XLOOKUP($A308&amp;$B308&amp;$C308,盘货信息!$A:$A&amp;盘货信息!$B:$B&amp;盘货信息!$C:$C,盘货信息!$E:$E),0)&amp;"元】","【焕新补贴预估价"&amp;ROUND(_xlfn.XLOOKUP($A308&amp;$B308&amp;$C308,盘货信息!$A:$A&amp;盘货信息!$B:$B&amp;盘货信息!$C:$C,盘货信息!$E:$E),0)&amp;"元】")))</f>
        <v/>
      </c>
      <c r="F308" s="27" t="str" cm="1">
        <f t="array" ref="F308">IF($C308="","",_xlfn.XLOOKUP($A308&amp;$B308&amp;$C308,盘货信息!$A:$A&amp;盘货信息!$B:$B&amp;盘货信息!$C:$C,盘货信息!$D:$D)&amp;"元到手价")</f>
        <v/>
      </c>
      <c r="G308" s="27" t="str" cm="1">
        <f t="array" ref="G308">IF($C308="","",IF(_xlfn.XLOOKUP($A308&amp;$B308&amp;$C308,盘货信息!$A:$A&amp;盘货信息!$B:$B&amp;盘货信息!$C:$C,盘货信息!$G:$G)&lt;1,"",ROUND(_xlfn.XLOOKUP($A308&amp;$B308&amp;$C308,盘货信息!$A:$A&amp;盘货信息!$B:$B&amp;盘货信息!$C:$C,盘货信息!$G:$G),0)&amp;"元88VIP立减"))</f>
        <v/>
      </c>
      <c r="H308" s="27" t="str" cm="1">
        <f t="array" ref="H308">IF($C308="","",IF(_xlfn.XLOOKUP($A308&amp;$B308&amp;$C308,盘货信息!$A:$A&amp;盘货信息!$B:$B&amp;盘货信息!$C:$C,盘货信息!$I:$I)&lt;1,"",_xlfn.XLOOKUP($A308&amp;$B308&amp;$C308,盘货信息!$A:$A&amp;盘货信息!$B:$B&amp;盘货信息!$C:$C,盘货信息!$I:$I)&amp;"元惊喜立减"))</f>
        <v/>
      </c>
      <c r="I308" s="27" t="str" cm="1">
        <f t="array" ref="I308">IF($C308="","",IF(_xlfn.XLOOKUP($A308&amp;$B308&amp;$C308,盘货信息!$A:$A&amp;盘货信息!$B:$B&amp;盘货信息!$C:$C,盘货信息!$H:$H)&lt;1,"",ROUND(_xlfn.XLOOKUP($A308&amp;$B308&amp;$C308,盘货信息!$A:$A&amp;盘货信息!$B:$B&amp;盘货信息!$C:$C,盘货信息!$H:$H),0)&amp;"元消费券"))</f>
        <v/>
      </c>
      <c r="J308" s="27" t="str" cm="1">
        <f t="array" ref="J308">IF($C308="","",IF(_xlfn.XLOOKUP($A308&amp;$B308&amp;$C308,盘货信息!$A:$A&amp;盘货信息!$B:$B&amp;盘货信息!$C:$C,盘货信息!$J:$J)&lt;1,"",ROUND(_xlfn.XLOOKUP($A308&amp;$B308&amp;$C308,盘货信息!$A:$A&amp;盘货信息!$B:$B&amp;盘货信息!$C:$C,盘货信息!$J:$J),0)&amp;"元限时补贴"))</f>
        <v/>
      </c>
      <c r="K308" s="27" t="str" cm="1">
        <f t="array" ref="K308">IF($C308="","",IF(_xlfn.XLOOKUP($A308&amp;$B308&amp;$C308,盘货信息!$A:$A&amp;盘货信息!$B:$B&amp;盘货信息!$C:$C,盘货信息!$K:$K)&lt;1,"",ROUND(_xlfn.XLOOKUP($A308&amp;$B308&amp;$C308,盘货信息!$A:$A&amp;盘货信息!$B:$B&amp;盘货信息!$C:$C,盘货信息!$K:$K),0)&amp;"元预估焕新补贴"))</f>
        <v/>
      </c>
      <c r="L308" s="27" t="str" cm="1">
        <f t="array" ref="L308">IF($C308="","",IF(AND(_xlfn.XLOOKUP($A308&amp;$B308&amp;$C308,盘货信息!$A:$A&amp;盘货信息!$B:$B&amp;盘货信息!$C:$C,盘货信息!$L:$L)="是",_xlfn.XLOOKUP($A308&amp;$B308&amp;$C308,盘货信息!$A:$A&amp;盘货信息!$B:$B&amp;盘货信息!$C:$C,盘货信息!$M:$M)="是",_xlfn.XLOOKUP($A308&amp;$B308&amp;$C308,盘货信息!$A:$A&amp;盘货信息!$B:$B&amp;盘货信息!$C:$C,盘货信息!$K:$K)&gt;0),"【全民可用，不限地址】",IF(AND(OR(_xlfn.XLOOKUP($A308&amp;$B308&amp;$C308,盘货信息!$A:$A&amp;盘货信息!$B:$B&amp;盘货信息!$C:$C,盘货信息!$L:$L)="否",_xlfn.XLOOKUP($A308&amp;$B308&amp;$C308,盘货信息!$A:$A&amp;盘货信息!$B:$B&amp;盘货信息!$C:$C,盘货信息!$L:$L)=""),_xlfn.XLOOKUP($A308&amp;$B308&amp;$C308,盘货信息!$A:$A&amp;盘货信息!$B:$B&amp;盘货信息!$C:$C,盘货信息!$M:$M)="是",_xlfn.XLOOKUP($A308&amp;$B308&amp;$C308,盘货信息!$A:$A&amp;盘货信息!$B:$B&amp;盘货信息!$C:$C,盘货信息!$K:$K)&gt;0),"【详情页领取】","")))</f>
        <v/>
      </c>
      <c r="M308" s="27" t="str" cm="1">
        <f t="array" ref="M308">IF($C308="","",IF(_xlfn.XLOOKUP($A308&amp;$B308&amp;$C308,盘货信息!$A:$A&amp;盘货信息!$B:$B&amp;盘货信息!$C:$C,盘货信息!$F:$F)&lt;1,"",_xlfn.XLOOKUP($A308&amp;$B308&amp;$C308,盘货信息!$A:$A&amp;盘货信息!$B:$B&amp;盘货信息!$C:$C,盘货信息!$F:$F)&amp;"元明卷"))</f>
        <v/>
      </c>
      <c r="N308" s="27" t="str">
        <f t="shared" si="9"/>
        <v/>
      </c>
      <c r="O308" s="27" t="str">
        <f>IF(I308="","","【消费券链接】"&amp;固定信息!$B$6)</f>
        <v/>
      </c>
    </row>
    <row r="309" customHeight="1" spans="1:15">
      <c r="A309" s="23" t="str">
        <f>IF(盘货信息!A309="","",盘货信息!A309)</f>
        <v/>
      </c>
      <c r="B309" s="26" t="str">
        <f>IF(盘货信息!B309="","",盘货信息!B309)</f>
        <v/>
      </c>
      <c r="C309" s="23" t="str">
        <f>IF(盘货信息!C309="","",盘货信息!C309)</f>
        <v/>
      </c>
      <c r="D309" s="27" t="str">
        <f t="shared" si="8"/>
        <v/>
      </c>
      <c r="E309" s="27" t="str" cm="1">
        <f t="array" ref="E309">IF($C309="","",IF(AND(OR(_xlfn.XLOOKUP($A309&amp;$B309&amp;$C309,盘货信息!$A:$A&amp;盘货信息!$B:$B&amp;盘货信息!$C:$C,盘货信息!$L:$L)="否",_xlfn.XLOOKUP($A309&amp;$B309&amp;$C309,盘货信息!$A:$A&amp;盘货信息!$B:$B&amp;盘货信息!$C:$C,盘货信息!$L:$L)=""),_xlfn.XLOOKUP($A309&amp;$B309&amp;$C309,盘货信息!$A:$A&amp;盘货信息!$B:$B&amp;盘货信息!$C:$C,盘货信息!$M:$M)="否"),"【预估到手价"&amp;_xlfn.XLOOKUP($A309&amp;$B309&amp;$C309,盘货信息!$A:$A&amp;盘货信息!$B:$B&amp;盘货信息!$C:$C,盘货信息!$D:$D)&amp;"元】",IF(AND(_xlfn.XLOOKUP($A309&amp;$B309&amp;$C309,盘货信息!$A:$A&amp;盘货信息!$B:$B&amp;盘货信息!$C:$C,盘货信息!$M:$M)="是",OR(_xlfn.XLOOKUP($A309&amp;$B309&amp;$C309,盘货信息!$A:$A&amp;盘货信息!$B:$B&amp;盘货信息!$C:$C,盘货信息!$L:$L)="否",_xlfn.XLOOKUP($A309&amp;$B309&amp;$C309,盘货信息!$A:$A&amp;盘货信息!$B:$B&amp;盘货信息!$C:$C,盘货信息!$L:$L)="")),"【预估到手价"&amp;_xlfn.XLOOKUP($A309&amp;$B309&amp;$C309,盘货信息!$A:$A&amp;盘货信息!$B:$B&amp;盘货信息!$C:$C,盘货信息!$D:$D)&amp;"元】"&amp;CHAR(10)&amp;"【焕新补贴预估价"&amp;ROUND(_xlfn.XLOOKUP($A309&amp;$B309&amp;$C309,盘货信息!$A:$A&amp;盘货信息!$B:$B&amp;盘货信息!$C:$C,盘货信息!$E:$E),0)&amp;"元】","【焕新补贴预估价"&amp;ROUND(_xlfn.XLOOKUP($A309&amp;$B309&amp;$C309,盘货信息!$A:$A&amp;盘货信息!$B:$B&amp;盘货信息!$C:$C,盘货信息!$E:$E),0)&amp;"元】")))</f>
        <v/>
      </c>
      <c r="F309" s="27" t="str" cm="1">
        <f t="array" ref="F309">IF($C309="","",_xlfn.XLOOKUP($A309&amp;$B309&amp;$C309,盘货信息!$A:$A&amp;盘货信息!$B:$B&amp;盘货信息!$C:$C,盘货信息!$D:$D)&amp;"元到手价")</f>
        <v/>
      </c>
      <c r="G309" s="27" t="str" cm="1">
        <f t="array" ref="G309">IF($C309="","",IF(_xlfn.XLOOKUP($A309&amp;$B309&amp;$C309,盘货信息!$A:$A&amp;盘货信息!$B:$B&amp;盘货信息!$C:$C,盘货信息!$G:$G)&lt;1,"",ROUND(_xlfn.XLOOKUP($A309&amp;$B309&amp;$C309,盘货信息!$A:$A&amp;盘货信息!$B:$B&amp;盘货信息!$C:$C,盘货信息!$G:$G),0)&amp;"元88VIP立减"))</f>
        <v/>
      </c>
      <c r="H309" s="27" t="str" cm="1">
        <f t="array" ref="H309">IF($C309="","",IF(_xlfn.XLOOKUP($A309&amp;$B309&amp;$C309,盘货信息!$A:$A&amp;盘货信息!$B:$B&amp;盘货信息!$C:$C,盘货信息!$I:$I)&lt;1,"",_xlfn.XLOOKUP($A309&amp;$B309&amp;$C309,盘货信息!$A:$A&amp;盘货信息!$B:$B&amp;盘货信息!$C:$C,盘货信息!$I:$I)&amp;"元惊喜立减"))</f>
        <v/>
      </c>
      <c r="I309" s="27" t="str" cm="1">
        <f t="array" ref="I309">IF($C309="","",IF(_xlfn.XLOOKUP($A309&amp;$B309&amp;$C309,盘货信息!$A:$A&amp;盘货信息!$B:$B&amp;盘货信息!$C:$C,盘货信息!$H:$H)&lt;1,"",ROUND(_xlfn.XLOOKUP($A309&amp;$B309&amp;$C309,盘货信息!$A:$A&amp;盘货信息!$B:$B&amp;盘货信息!$C:$C,盘货信息!$H:$H),0)&amp;"元消费券"))</f>
        <v/>
      </c>
      <c r="J309" s="27" t="str" cm="1">
        <f t="array" ref="J309">IF($C309="","",IF(_xlfn.XLOOKUP($A309&amp;$B309&amp;$C309,盘货信息!$A:$A&amp;盘货信息!$B:$B&amp;盘货信息!$C:$C,盘货信息!$J:$J)&lt;1,"",ROUND(_xlfn.XLOOKUP($A309&amp;$B309&amp;$C309,盘货信息!$A:$A&amp;盘货信息!$B:$B&amp;盘货信息!$C:$C,盘货信息!$J:$J),0)&amp;"元限时补贴"))</f>
        <v/>
      </c>
      <c r="K309" s="27" t="str" cm="1">
        <f t="array" ref="K309">IF($C309="","",IF(_xlfn.XLOOKUP($A309&amp;$B309&amp;$C309,盘货信息!$A:$A&amp;盘货信息!$B:$B&amp;盘货信息!$C:$C,盘货信息!$K:$K)&lt;1,"",ROUND(_xlfn.XLOOKUP($A309&amp;$B309&amp;$C309,盘货信息!$A:$A&amp;盘货信息!$B:$B&amp;盘货信息!$C:$C,盘货信息!$K:$K),0)&amp;"元预估焕新补贴"))</f>
        <v/>
      </c>
      <c r="L309" s="27" t="str" cm="1">
        <f t="array" ref="L309">IF($C309="","",IF(AND(_xlfn.XLOOKUP($A309&amp;$B309&amp;$C309,盘货信息!$A:$A&amp;盘货信息!$B:$B&amp;盘货信息!$C:$C,盘货信息!$L:$L)="是",_xlfn.XLOOKUP($A309&amp;$B309&amp;$C309,盘货信息!$A:$A&amp;盘货信息!$B:$B&amp;盘货信息!$C:$C,盘货信息!$M:$M)="是",_xlfn.XLOOKUP($A309&amp;$B309&amp;$C309,盘货信息!$A:$A&amp;盘货信息!$B:$B&amp;盘货信息!$C:$C,盘货信息!$K:$K)&gt;0),"【全民可用，不限地址】",IF(AND(OR(_xlfn.XLOOKUP($A309&amp;$B309&amp;$C309,盘货信息!$A:$A&amp;盘货信息!$B:$B&amp;盘货信息!$C:$C,盘货信息!$L:$L)="否",_xlfn.XLOOKUP($A309&amp;$B309&amp;$C309,盘货信息!$A:$A&amp;盘货信息!$B:$B&amp;盘货信息!$C:$C,盘货信息!$L:$L)=""),_xlfn.XLOOKUP($A309&amp;$B309&amp;$C309,盘货信息!$A:$A&amp;盘货信息!$B:$B&amp;盘货信息!$C:$C,盘货信息!$M:$M)="是",_xlfn.XLOOKUP($A309&amp;$B309&amp;$C309,盘货信息!$A:$A&amp;盘货信息!$B:$B&amp;盘货信息!$C:$C,盘货信息!$K:$K)&gt;0),"【详情页领取】","")))</f>
        <v/>
      </c>
      <c r="M309" s="27" t="str" cm="1">
        <f t="array" ref="M309">IF($C309="","",IF(_xlfn.XLOOKUP($A309&amp;$B309&amp;$C309,盘货信息!$A:$A&amp;盘货信息!$B:$B&amp;盘货信息!$C:$C,盘货信息!$F:$F)&lt;1,"",_xlfn.XLOOKUP($A309&amp;$B309&amp;$C309,盘货信息!$A:$A&amp;盘货信息!$B:$B&amp;盘货信息!$C:$C,盘货信息!$F:$F)&amp;"元明卷"))</f>
        <v/>
      </c>
      <c r="N309" s="27" t="str">
        <f t="shared" si="9"/>
        <v/>
      </c>
      <c r="O309" s="27" t="str">
        <f>IF(I309="","","【消费券链接】"&amp;固定信息!$B$6)</f>
        <v/>
      </c>
    </row>
    <row r="310" customHeight="1" spans="1:15">
      <c r="A310" s="23" t="str">
        <f>IF(盘货信息!A310="","",盘货信息!A310)</f>
        <v/>
      </c>
      <c r="B310" s="26" t="str">
        <f>IF(盘货信息!B310="","",盘货信息!B310)</f>
        <v/>
      </c>
      <c r="C310" s="23" t="str">
        <f>IF(盘货信息!C310="","",盘货信息!C310)</f>
        <v/>
      </c>
      <c r="D310" s="27" t="str">
        <f t="shared" si="8"/>
        <v/>
      </c>
      <c r="E310" s="27" t="str" cm="1">
        <f t="array" ref="E310">IF($C310="","",IF(AND(OR(_xlfn.XLOOKUP($A310&amp;$B310&amp;$C310,盘货信息!$A:$A&amp;盘货信息!$B:$B&amp;盘货信息!$C:$C,盘货信息!$L:$L)="否",_xlfn.XLOOKUP($A310&amp;$B310&amp;$C310,盘货信息!$A:$A&amp;盘货信息!$B:$B&amp;盘货信息!$C:$C,盘货信息!$L:$L)=""),_xlfn.XLOOKUP($A310&amp;$B310&amp;$C310,盘货信息!$A:$A&amp;盘货信息!$B:$B&amp;盘货信息!$C:$C,盘货信息!$M:$M)="否"),"【预估到手价"&amp;_xlfn.XLOOKUP($A310&amp;$B310&amp;$C310,盘货信息!$A:$A&amp;盘货信息!$B:$B&amp;盘货信息!$C:$C,盘货信息!$D:$D)&amp;"元】",IF(AND(_xlfn.XLOOKUP($A310&amp;$B310&amp;$C310,盘货信息!$A:$A&amp;盘货信息!$B:$B&amp;盘货信息!$C:$C,盘货信息!$M:$M)="是",OR(_xlfn.XLOOKUP($A310&amp;$B310&amp;$C310,盘货信息!$A:$A&amp;盘货信息!$B:$B&amp;盘货信息!$C:$C,盘货信息!$L:$L)="否",_xlfn.XLOOKUP($A310&amp;$B310&amp;$C310,盘货信息!$A:$A&amp;盘货信息!$B:$B&amp;盘货信息!$C:$C,盘货信息!$L:$L)="")),"【预估到手价"&amp;_xlfn.XLOOKUP($A310&amp;$B310&amp;$C310,盘货信息!$A:$A&amp;盘货信息!$B:$B&amp;盘货信息!$C:$C,盘货信息!$D:$D)&amp;"元】"&amp;CHAR(10)&amp;"【焕新补贴预估价"&amp;ROUND(_xlfn.XLOOKUP($A310&amp;$B310&amp;$C310,盘货信息!$A:$A&amp;盘货信息!$B:$B&amp;盘货信息!$C:$C,盘货信息!$E:$E),0)&amp;"元】","【焕新补贴预估价"&amp;ROUND(_xlfn.XLOOKUP($A310&amp;$B310&amp;$C310,盘货信息!$A:$A&amp;盘货信息!$B:$B&amp;盘货信息!$C:$C,盘货信息!$E:$E),0)&amp;"元】")))</f>
        <v/>
      </c>
      <c r="F310" s="27" t="str" cm="1">
        <f t="array" ref="F310">IF($C310="","",_xlfn.XLOOKUP($A310&amp;$B310&amp;$C310,盘货信息!$A:$A&amp;盘货信息!$B:$B&amp;盘货信息!$C:$C,盘货信息!$D:$D)&amp;"元到手价")</f>
        <v/>
      </c>
      <c r="G310" s="27" t="str" cm="1">
        <f t="array" ref="G310">IF($C310="","",IF(_xlfn.XLOOKUP($A310&amp;$B310&amp;$C310,盘货信息!$A:$A&amp;盘货信息!$B:$B&amp;盘货信息!$C:$C,盘货信息!$G:$G)&lt;1,"",ROUND(_xlfn.XLOOKUP($A310&amp;$B310&amp;$C310,盘货信息!$A:$A&amp;盘货信息!$B:$B&amp;盘货信息!$C:$C,盘货信息!$G:$G),0)&amp;"元88VIP立减"))</f>
        <v/>
      </c>
      <c r="H310" s="27" t="str" cm="1">
        <f t="array" ref="H310">IF($C310="","",IF(_xlfn.XLOOKUP($A310&amp;$B310&amp;$C310,盘货信息!$A:$A&amp;盘货信息!$B:$B&amp;盘货信息!$C:$C,盘货信息!$I:$I)&lt;1,"",_xlfn.XLOOKUP($A310&amp;$B310&amp;$C310,盘货信息!$A:$A&amp;盘货信息!$B:$B&amp;盘货信息!$C:$C,盘货信息!$I:$I)&amp;"元惊喜立减"))</f>
        <v/>
      </c>
      <c r="I310" s="27" t="str" cm="1">
        <f t="array" ref="I310">IF($C310="","",IF(_xlfn.XLOOKUP($A310&amp;$B310&amp;$C310,盘货信息!$A:$A&amp;盘货信息!$B:$B&amp;盘货信息!$C:$C,盘货信息!$H:$H)&lt;1,"",ROUND(_xlfn.XLOOKUP($A310&amp;$B310&amp;$C310,盘货信息!$A:$A&amp;盘货信息!$B:$B&amp;盘货信息!$C:$C,盘货信息!$H:$H),0)&amp;"元消费券"))</f>
        <v/>
      </c>
      <c r="J310" s="27" t="str" cm="1">
        <f t="array" ref="J310">IF($C310="","",IF(_xlfn.XLOOKUP($A310&amp;$B310&amp;$C310,盘货信息!$A:$A&amp;盘货信息!$B:$B&amp;盘货信息!$C:$C,盘货信息!$J:$J)&lt;1,"",ROUND(_xlfn.XLOOKUP($A310&amp;$B310&amp;$C310,盘货信息!$A:$A&amp;盘货信息!$B:$B&amp;盘货信息!$C:$C,盘货信息!$J:$J),0)&amp;"元限时补贴"))</f>
        <v/>
      </c>
      <c r="K310" s="27" t="str" cm="1">
        <f t="array" ref="K310">IF($C310="","",IF(_xlfn.XLOOKUP($A310&amp;$B310&amp;$C310,盘货信息!$A:$A&amp;盘货信息!$B:$B&amp;盘货信息!$C:$C,盘货信息!$K:$K)&lt;1,"",ROUND(_xlfn.XLOOKUP($A310&amp;$B310&amp;$C310,盘货信息!$A:$A&amp;盘货信息!$B:$B&amp;盘货信息!$C:$C,盘货信息!$K:$K),0)&amp;"元预估焕新补贴"))</f>
        <v/>
      </c>
      <c r="L310" s="27" t="str" cm="1">
        <f t="array" ref="L310">IF($C310="","",IF(AND(_xlfn.XLOOKUP($A310&amp;$B310&amp;$C310,盘货信息!$A:$A&amp;盘货信息!$B:$B&amp;盘货信息!$C:$C,盘货信息!$L:$L)="是",_xlfn.XLOOKUP($A310&amp;$B310&amp;$C310,盘货信息!$A:$A&amp;盘货信息!$B:$B&amp;盘货信息!$C:$C,盘货信息!$M:$M)="是",_xlfn.XLOOKUP($A310&amp;$B310&amp;$C310,盘货信息!$A:$A&amp;盘货信息!$B:$B&amp;盘货信息!$C:$C,盘货信息!$K:$K)&gt;0),"【全民可用，不限地址】",IF(AND(OR(_xlfn.XLOOKUP($A310&amp;$B310&amp;$C310,盘货信息!$A:$A&amp;盘货信息!$B:$B&amp;盘货信息!$C:$C,盘货信息!$L:$L)="否",_xlfn.XLOOKUP($A310&amp;$B310&amp;$C310,盘货信息!$A:$A&amp;盘货信息!$B:$B&amp;盘货信息!$C:$C,盘货信息!$L:$L)=""),_xlfn.XLOOKUP($A310&amp;$B310&amp;$C310,盘货信息!$A:$A&amp;盘货信息!$B:$B&amp;盘货信息!$C:$C,盘货信息!$M:$M)="是",_xlfn.XLOOKUP($A310&amp;$B310&amp;$C310,盘货信息!$A:$A&amp;盘货信息!$B:$B&amp;盘货信息!$C:$C,盘货信息!$K:$K)&gt;0),"【详情页领取】","")))</f>
        <v/>
      </c>
      <c r="M310" s="27" t="str" cm="1">
        <f t="array" ref="M310">IF($C310="","",IF(_xlfn.XLOOKUP($A310&amp;$B310&amp;$C310,盘货信息!$A:$A&amp;盘货信息!$B:$B&amp;盘货信息!$C:$C,盘货信息!$F:$F)&lt;1,"",_xlfn.XLOOKUP($A310&amp;$B310&amp;$C310,盘货信息!$A:$A&amp;盘货信息!$B:$B&amp;盘货信息!$C:$C,盘货信息!$F:$F)&amp;"元明卷"))</f>
        <v/>
      </c>
      <c r="N310" s="27" t="str">
        <f t="shared" si="9"/>
        <v/>
      </c>
      <c r="O310" s="27" t="str">
        <f>IF(I310="","","【消费券链接】"&amp;固定信息!$B$6)</f>
        <v/>
      </c>
    </row>
    <row r="311" customHeight="1" spans="1:15">
      <c r="A311" s="23" t="str">
        <f>IF(盘货信息!A311="","",盘货信息!A311)</f>
        <v/>
      </c>
      <c r="B311" s="26" t="str">
        <f>IF(盘货信息!B311="","",盘货信息!B311)</f>
        <v/>
      </c>
      <c r="C311" s="23" t="str">
        <f>IF(盘货信息!C311="","",盘货信息!C311)</f>
        <v/>
      </c>
      <c r="D311" s="27" t="str">
        <f t="shared" si="8"/>
        <v/>
      </c>
      <c r="E311" s="27" t="str" cm="1">
        <f t="array" ref="E311">IF($C311="","",IF(AND(OR(_xlfn.XLOOKUP($A311&amp;$B311&amp;$C311,盘货信息!$A:$A&amp;盘货信息!$B:$B&amp;盘货信息!$C:$C,盘货信息!$L:$L)="否",_xlfn.XLOOKUP($A311&amp;$B311&amp;$C311,盘货信息!$A:$A&amp;盘货信息!$B:$B&amp;盘货信息!$C:$C,盘货信息!$L:$L)=""),_xlfn.XLOOKUP($A311&amp;$B311&amp;$C311,盘货信息!$A:$A&amp;盘货信息!$B:$B&amp;盘货信息!$C:$C,盘货信息!$M:$M)="否"),"【预估到手价"&amp;_xlfn.XLOOKUP($A311&amp;$B311&amp;$C311,盘货信息!$A:$A&amp;盘货信息!$B:$B&amp;盘货信息!$C:$C,盘货信息!$D:$D)&amp;"元】",IF(AND(_xlfn.XLOOKUP($A311&amp;$B311&amp;$C311,盘货信息!$A:$A&amp;盘货信息!$B:$B&amp;盘货信息!$C:$C,盘货信息!$M:$M)="是",OR(_xlfn.XLOOKUP($A311&amp;$B311&amp;$C311,盘货信息!$A:$A&amp;盘货信息!$B:$B&amp;盘货信息!$C:$C,盘货信息!$L:$L)="否",_xlfn.XLOOKUP($A311&amp;$B311&amp;$C311,盘货信息!$A:$A&amp;盘货信息!$B:$B&amp;盘货信息!$C:$C,盘货信息!$L:$L)="")),"【预估到手价"&amp;_xlfn.XLOOKUP($A311&amp;$B311&amp;$C311,盘货信息!$A:$A&amp;盘货信息!$B:$B&amp;盘货信息!$C:$C,盘货信息!$D:$D)&amp;"元】"&amp;CHAR(10)&amp;"【焕新补贴预估价"&amp;ROUND(_xlfn.XLOOKUP($A311&amp;$B311&amp;$C311,盘货信息!$A:$A&amp;盘货信息!$B:$B&amp;盘货信息!$C:$C,盘货信息!$E:$E),0)&amp;"元】","【焕新补贴预估价"&amp;ROUND(_xlfn.XLOOKUP($A311&amp;$B311&amp;$C311,盘货信息!$A:$A&amp;盘货信息!$B:$B&amp;盘货信息!$C:$C,盘货信息!$E:$E),0)&amp;"元】")))</f>
        <v/>
      </c>
      <c r="F311" s="27" t="str" cm="1">
        <f t="array" ref="F311">IF($C311="","",_xlfn.XLOOKUP($A311&amp;$B311&amp;$C311,盘货信息!$A:$A&amp;盘货信息!$B:$B&amp;盘货信息!$C:$C,盘货信息!$D:$D)&amp;"元到手价")</f>
        <v/>
      </c>
      <c r="G311" s="27" t="str" cm="1">
        <f t="array" ref="G311">IF($C311="","",IF(_xlfn.XLOOKUP($A311&amp;$B311&amp;$C311,盘货信息!$A:$A&amp;盘货信息!$B:$B&amp;盘货信息!$C:$C,盘货信息!$G:$G)&lt;1,"",ROUND(_xlfn.XLOOKUP($A311&amp;$B311&amp;$C311,盘货信息!$A:$A&amp;盘货信息!$B:$B&amp;盘货信息!$C:$C,盘货信息!$G:$G),0)&amp;"元88VIP立减"))</f>
        <v/>
      </c>
      <c r="H311" s="27" t="str" cm="1">
        <f t="array" ref="H311">IF($C311="","",IF(_xlfn.XLOOKUP($A311&amp;$B311&amp;$C311,盘货信息!$A:$A&amp;盘货信息!$B:$B&amp;盘货信息!$C:$C,盘货信息!$I:$I)&lt;1,"",_xlfn.XLOOKUP($A311&amp;$B311&amp;$C311,盘货信息!$A:$A&amp;盘货信息!$B:$B&amp;盘货信息!$C:$C,盘货信息!$I:$I)&amp;"元惊喜立减"))</f>
        <v/>
      </c>
      <c r="I311" s="27" t="str" cm="1">
        <f t="array" ref="I311">IF($C311="","",IF(_xlfn.XLOOKUP($A311&amp;$B311&amp;$C311,盘货信息!$A:$A&amp;盘货信息!$B:$B&amp;盘货信息!$C:$C,盘货信息!$H:$H)&lt;1,"",ROUND(_xlfn.XLOOKUP($A311&amp;$B311&amp;$C311,盘货信息!$A:$A&amp;盘货信息!$B:$B&amp;盘货信息!$C:$C,盘货信息!$H:$H),0)&amp;"元消费券"))</f>
        <v/>
      </c>
      <c r="J311" s="27" t="str" cm="1">
        <f t="array" ref="J311">IF($C311="","",IF(_xlfn.XLOOKUP($A311&amp;$B311&amp;$C311,盘货信息!$A:$A&amp;盘货信息!$B:$B&amp;盘货信息!$C:$C,盘货信息!$J:$J)&lt;1,"",ROUND(_xlfn.XLOOKUP($A311&amp;$B311&amp;$C311,盘货信息!$A:$A&amp;盘货信息!$B:$B&amp;盘货信息!$C:$C,盘货信息!$J:$J),0)&amp;"元限时补贴"))</f>
        <v/>
      </c>
      <c r="K311" s="27" t="str" cm="1">
        <f t="array" ref="K311">IF($C311="","",IF(_xlfn.XLOOKUP($A311&amp;$B311&amp;$C311,盘货信息!$A:$A&amp;盘货信息!$B:$B&amp;盘货信息!$C:$C,盘货信息!$K:$K)&lt;1,"",ROUND(_xlfn.XLOOKUP($A311&amp;$B311&amp;$C311,盘货信息!$A:$A&amp;盘货信息!$B:$B&amp;盘货信息!$C:$C,盘货信息!$K:$K),0)&amp;"元预估焕新补贴"))</f>
        <v/>
      </c>
      <c r="L311" s="27" t="str" cm="1">
        <f t="array" ref="L311">IF($C311="","",IF(AND(_xlfn.XLOOKUP($A311&amp;$B311&amp;$C311,盘货信息!$A:$A&amp;盘货信息!$B:$B&amp;盘货信息!$C:$C,盘货信息!$L:$L)="是",_xlfn.XLOOKUP($A311&amp;$B311&amp;$C311,盘货信息!$A:$A&amp;盘货信息!$B:$B&amp;盘货信息!$C:$C,盘货信息!$M:$M)="是",_xlfn.XLOOKUP($A311&amp;$B311&amp;$C311,盘货信息!$A:$A&amp;盘货信息!$B:$B&amp;盘货信息!$C:$C,盘货信息!$K:$K)&gt;0),"【全民可用，不限地址】",IF(AND(OR(_xlfn.XLOOKUP($A311&amp;$B311&amp;$C311,盘货信息!$A:$A&amp;盘货信息!$B:$B&amp;盘货信息!$C:$C,盘货信息!$L:$L)="否",_xlfn.XLOOKUP($A311&amp;$B311&amp;$C311,盘货信息!$A:$A&amp;盘货信息!$B:$B&amp;盘货信息!$C:$C,盘货信息!$L:$L)=""),_xlfn.XLOOKUP($A311&amp;$B311&amp;$C311,盘货信息!$A:$A&amp;盘货信息!$B:$B&amp;盘货信息!$C:$C,盘货信息!$M:$M)="是",_xlfn.XLOOKUP($A311&amp;$B311&amp;$C311,盘货信息!$A:$A&amp;盘货信息!$B:$B&amp;盘货信息!$C:$C,盘货信息!$K:$K)&gt;0),"【详情页领取】","")))</f>
        <v/>
      </c>
      <c r="M311" s="27" t="str" cm="1">
        <f t="array" ref="M311">IF($C311="","",IF(_xlfn.XLOOKUP($A311&amp;$B311&amp;$C311,盘货信息!$A:$A&amp;盘货信息!$B:$B&amp;盘货信息!$C:$C,盘货信息!$F:$F)&lt;1,"",_xlfn.XLOOKUP($A311&amp;$B311&amp;$C311,盘货信息!$A:$A&amp;盘货信息!$B:$B&amp;盘货信息!$C:$C,盘货信息!$F:$F)&amp;"元明卷"))</f>
        <v/>
      </c>
      <c r="N311" s="27" t="str">
        <f t="shared" si="9"/>
        <v/>
      </c>
      <c r="O311" s="27" t="str">
        <f>IF(I311="","","【消费券链接】"&amp;固定信息!$B$6)</f>
        <v/>
      </c>
    </row>
    <row r="312" customHeight="1" spans="1:15">
      <c r="A312" s="23" t="str">
        <f>IF(盘货信息!A312="","",盘货信息!A312)</f>
        <v/>
      </c>
      <c r="B312" s="26" t="str">
        <f>IF(盘货信息!B312="","",盘货信息!B312)</f>
        <v/>
      </c>
      <c r="C312" s="23" t="str">
        <f>IF(盘货信息!C312="","",盘货信息!C312)</f>
        <v/>
      </c>
      <c r="D312" s="27" t="str">
        <f t="shared" si="8"/>
        <v/>
      </c>
      <c r="E312" s="27" t="str" cm="1">
        <f t="array" ref="E312">IF($C312="","",IF(AND(OR(_xlfn.XLOOKUP($A312&amp;$B312&amp;$C312,盘货信息!$A:$A&amp;盘货信息!$B:$B&amp;盘货信息!$C:$C,盘货信息!$L:$L)="否",_xlfn.XLOOKUP($A312&amp;$B312&amp;$C312,盘货信息!$A:$A&amp;盘货信息!$B:$B&amp;盘货信息!$C:$C,盘货信息!$L:$L)=""),_xlfn.XLOOKUP($A312&amp;$B312&amp;$C312,盘货信息!$A:$A&amp;盘货信息!$B:$B&amp;盘货信息!$C:$C,盘货信息!$M:$M)="否"),"【预估到手价"&amp;_xlfn.XLOOKUP($A312&amp;$B312&amp;$C312,盘货信息!$A:$A&amp;盘货信息!$B:$B&amp;盘货信息!$C:$C,盘货信息!$D:$D)&amp;"元】",IF(AND(_xlfn.XLOOKUP($A312&amp;$B312&amp;$C312,盘货信息!$A:$A&amp;盘货信息!$B:$B&amp;盘货信息!$C:$C,盘货信息!$M:$M)="是",OR(_xlfn.XLOOKUP($A312&amp;$B312&amp;$C312,盘货信息!$A:$A&amp;盘货信息!$B:$B&amp;盘货信息!$C:$C,盘货信息!$L:$L)="否",_xlfn.XLOOKUP($A312&amp;$B312&amp;$C312,盘货信息!$A:$A&amp;盘货信息!$B:$B&amp;盘货信息!$C:$C,盘货信息!$L:$L)="")),"【预估到手价"&amp;_xlfn.XLOOKUP($A312&amp;$B312&amp;$C312,盘货信息!$A:$A&amp;盘货信息!$B:$B&amp;盘货信息!$C:$C,盘货信息!$D:$D)&amp;"元】"&amp;CHAR(10)&amp;"【焕新补贴预估价"&amp;ROUND(_xlfn.XLOOKUP($A312&amp;$B312&amp;$C312,盘货信息!$A:$A&amp;盘货信息!$B:$B&amp;盘货信息!$C:$C,盘货信息!$E:$E),0)&amp;"元】","【焕新补贴预估价"&amp;ROUND(_xlfn.XLOOKUP($A312&amp;$B312&amp;$C312,盘货信息!$A:$A&amp;盘货信息!$B:$B&amp;盘货信息!$C:$C,盘货信息!$E:$E),0)&amp;"元】")))</f>
        <v/>
      </c>
      <c r="F312" s="27" t="str" cm="1">
        <f t="array" ref="F312">IF($C312="","",_xlfn.XLOOKUP($A312&amp;$B312&amp;$C312,盘货信息!$A:$A&amp;盘货信息!$B:$B&amp;盘货信息!$C:$C,盘货信息!$D:$D)&amp;"元到手价")</f>
        <v/>
      </c>
      <c r="G312" s="27" t="str" cm="1">
        <f t="array" ref="G312">IF($C312="","",IF(_xlfn.XLOOKUP($A312&amp;$B312&amp;$C312,盘货信息!$A:$A&amp;盘货信息!$B:$B&amp;盘货信息!$C:$C,盘货信息!$G:$G)&lt;1,"",ROUND(_xlfn.XLOOKUP($A312&amp;$B312&amp;$C312,盘货信息!$A:$A&amp;盘货信息!$B:$B&amp;盘货信息!$C:$C,盘货信息!$G:$G),0)&amp;"元88VIP立减"))</f>
        <v/>
      </c>
      <c r="H312" s="27" t="str" cm="1">
        <f t="array" ref="H312">IF($C312="","",IF(_xlfn.XLOOKUP($A312&amp;$B312&amp;$C312,盘货信息!$A:$A&amp;盘货信息!$B:$B&amp;盘货信息!$C:$C,盘货信息!$I:$I)&lt;1,"",_xlfn.XLOOKUP($A312&amp;$B312&amp;$C312,盘货信息!$A:$A&amp;盘货信息!$B:$B&amp;盘货信息!$C:$C,盘货信息!$I:$I)&amp;"元惊喜立减"))</f>
        <v/>
      </c>
      <c r="I312" s="27" t="str" cm="1">
        <f t="array" ref="I312">IF($C312="","",IF(_xlfn.XLOOKUP($A312&amp;$B312&amp;$C312,盘货信息!$A:$A&amp;盘货信息!$B:$B&amp;盘货信息!$C:$C,盘货信息!$H:$H)&lt;1,"",ROUND(_xlfn.XLOOKUP($A312&amp;$B312&amp;$C312,盘货信息!$A:$A&amp;盘货信息!$B:$B&amp;盘货信息!$C:$C,盘货信息!$H:$H),0)&amp;"元消费券"))</f>
        <v/>
      </c>
      <c r="J312" s="27" t="str" cm="1">
        <f t="array" ref="J312">IF($C312="","",IF(_xlfn.XLOOKUP($A312&amp;$B312&amp;$C312,盘货信息!$A:$A&amp;盘货信息!$B:$B&amp;盘货信息!$C:$C,盘货信息!$J:$J)&lt;1,"",ROUND(_xlfn.XLOOKUP($A312&amp;$B312&amp;$C312,盘货信息!$A:$A&amp;盘货信息!$B:$B&amp;盘货信息!$C:$C,盘货信息!$J:$J),0)&amp;"元限时补贴"))</f>
        <v/>
      </c>
      <c r="K312" s="27" t="str" cm="1">
        <f t="array" ref="K312">IF($C312="","",IF(_xlfn.XLOOKUP($A312&amp;$B312&amp;$C312,盘货信息!$A:$A&amp;盘货信息!$B:$B&amp;盘货信息!$C:$C,盘货信息!$K:$K)&lt;1,"",ROUND(_xlfn.XLOOKUP($A312&amp;$B312&amp;$C312,盘货信息!$A:$A&amp;盘货信息!$B:$B&amp;盘货信息!$C:$C,盘货信息!$K:$K),0)&amp;"元预估焕新补贴"))</f>
        <v/>
      </c>
      <c r="L312" s="27" t="str" cm="1">
        <f t="array" ref="L312">IF($C312="","",IF(AND(_xlfn.XLOOKUP($A312&amp;$B312&amp;$C312,盘货信息!$A:$A&amp;盘货信息!$B:$B&amp;盘货信息!$C:$C,盘货信息!$L:$L)="是",_xlfn.XLOOKUP($A312&amp;$B312&amp;$C312,盘货信息!$A:$A&amp;盘货信息!$B:$B&amp;盘货信息!$C:$C,盘货信息!$M:$M)="是",_xlfn.XLOOKUP($A312&amp;$B312&amp;$C312,盘货信息!$A:$A&amp;盘货信息!$B:$B&amp;盘货信息!$C:$C,盘货信息!$K:$K)&gt;0),"【全民可用，不限地址】",IF(AND(OR(_xlfn.XLOOKUP($A312&amp;$B312&amp;$C312,盘货信息!$A:$A&amp;盘货信息!$B:$B&amp;盘货信息!$C:$C,盘货信息!$L:$L)="否",_xlfn.XLOOKUP($A312&amp;$B312&amp;$C312,盘货信息!$A:$A&amp;盘货信息!$B:$B&amp;盘货信息!$C:$C,盘货信息!$L:$L)=""),_xlfn.XLOOKUP($A312&amp;$B312&amp;$C312,盘货信息!$A:$A&amp;盘货信息!$B:$B&amp;盘货信息!$C:$C,盘货信息!$M:$M)="是",_xlfn.XLOOKUP($A312&amp;$B312&amp;$C312,盘货信息!$A:$A&amp;盘货信息!$B:$B&amp;盘货信息!$C:$C,盘货信息!$K:$K)&gt;0),"【详情页领取】","")))</f>
        <v/>
      </c>
      <c r="M312" s="27" t="str" cm="1">
        <f t="array" ref="M312">IF($C312="","",IF(_xlfn.XLOOKUP($A312&amp;$B312&amp;$C312,盘货信息!$A:$A&amp;盘货信息!$B:$B&amp;盘货信息!$C:$C,盘货信息!$F:$F)&lt;1,"",_xlfn.XLOOKUP($A312&amp;$B312&amp;$C312,盘货信息!$A:$A&amp;盘货信息!$B:$B&amp;盘货信息!$C:$C,盘货信息!$F:$F)&amp;"元明卷"))</f>
        <v/>
      </c>
      <c r="N312" s="27" t="str">
        <f t="shared" si="9"/>
        <v/>
      </c>
      <c r="O312" s="27" t="str">
        <f>IF(I312="","","【消费券链接】"&amp;固定信息!$B$6)</f>
        <v/>
      </c>
    </row>
    <row r="313" customHeight="1" spans="1:15">
      <c r="A313" s="23" t="str">
        <f>IF(盘货信息!A313="","",盘货信息!A313)</f>
        <v/>
      </c>
      <c r="B313" s="26" t="str">
        <f>IF(盘货信息!B313="","",盘货信息!B313)</f>
        <v/>
      </c>
      <c r="C313" s="23" t="str">
        <f>IF(盘货信息!C313="","",盘货信息!C313)</f>
        <v/>
      </c>
      <c r="D313" s="27" t="str">
        <f t="shared" si="8"/>
        <v/>
      </c>
      <c r="E313" s="27" t="str" cm="1">
        <f t="array" ref="E313">IF($C313="","",IF(AND(OR(_xlfn.XLOOKUP($A313&amp;$B313&amp;$C313,盘货信息!$A:$A&amp;盘货信息!$B:$B&amp;盘货信息!$C:$C,盘货信息!$L:$L)="否",_xlfn.XLOOKUP($A313&amp;$B313&amp;$C313,盘货信息!$A:$A&amp;盘货信息!$B:$B&amp;盘货信息!$C:$C,盘货信息!$L:$L)=""),_xlfn.XLOOKUP($A313&amp;$B313&amp;$C313,盘货信息!$A:$A&amp;盘货信息!$B:$B&amp;盘货信息!$C:$C,盘货信息!$M:$M)="否"),"【预估到手价"&amp;_xlfn.XLOOKUP($A313&amp;$B313&amp;$C313,盘货信息!$A:$A&amp;盘货信息!$B:$B&amp;盘货信息!$C:$C,盘货信息!$D:$D)&amp;"元】",IF(AND(_xlfn.XLOOKUP($A313&amp;$B313&amp;$C313,盘货信息!$A:$A&amp;盘货信息!$B:$B&amp;盘货信息!$C:$C,盘货信息!$M:$M)="是",OR(_xlfn.XLOOKUP($A313&amp;$B313&amp;$C313,盘货信息!$A:$A&amp;盘货信息!$B:$B&amp;盘货信息!$C:$C,盘货信息!$L:$L)="否",_xlfn.XLOOKUP($A313&amp;$B313&amp;$C313,盘货信息!$A:$A&amp;盘货信息!$B:$B&amp;盘货信息!$C:$C,盘货信息!$L:$L)="")),"【预估到手价"&amp;_xlfn.XLOOKUP($A313&amp;$B313&amp;$C313,盘货信息!$A:$A&amp;盘货信息!$B:$B&amp;盘货信息!$C:$C,盘货信息!$D:$D)&amp;"元】"&amp;CHAR(10)&amp;"【焕新补贴预估价"&amp;ROUND(_xlfn.XLOOKUP($A313&amp;$B313&amp;$C313,盘货信息!$A:$A&amp;盘货信息!$B:$B&amp;盘货信息!$C:$C,盘货信息!$E:$E),0)&amp;"元】","【焕新补贴预估价"&amp;ROUND(_xlfn.XLOOKUP($A313&amp;$B313&amp;$C313,盘货信息!$A:$A&amp;盘货信息!$B:$B&amp;盘货信息!$C:$C,盘货信息!$E:$E),0)&amp;"元】")))</f>
        <v/>
      </c>
      <c r="F313" s="27" t="str" cm="1">
        <f t="array" ref="F313">IF($C313="","",_xlfn.XLOOKUP($A313&amp;$B313&amp;$C313,盘货信息!$A:$A&amp;盘货信息!$B:$B&amp;盘货信息!$C:$C,盘货信息!$D:$D)&amp;"元到手价")</f>
        <v/>
      </c>
      <c r="G313" s="27" t="str" cm="1">
        <f t="array" ref="G313">IF($C313="","",IF(_xlfn.XLOOKUP($A313&amp;$B313&amp;$C313,盘货信息!$A:$A&amp;盘货信息!$B:$B&amp;盘货信息!$C:$C,盘货信息!$G:$G)&lt;1,"",ROUND(_xlfn.XLOOKUP($A313&amp;$B313&amp;$C313,盘货信息!$A:$A&amp;盘货信息!$B:$B&amp;盘货信息!$C:$C,盘货信息!$G:$G),0)&amp;"元88VIP立减"))</f>
        <v/>
      </c>
      <c r="H313" s="27" t="str" cm="1">
        <f t="array" ref="H313">IF($C313="","",IF(_xlfn.XLOOKUP($A313&amp;$B313&amp;$C313,盘货信息!$A:$A&amp;盘货信息!$B:$B&amp;盘货信息!$C:$C,盘货信息!$I:$I)&lt;1,"",_xlfn.XLOOKUP($A313&amp;$B313&amp;$C313,盘货信息!$A:$A&amp;盘货信息!$B:$B&amp;盘货信息!$C:$C,盘货信息!$I:$I)&amp;"元惊喜立减"))</f>
        <v/>
      </c>
      <c r="I313" s="27" t="str" cm="1">
        <f t="array" ref="I313">IF($C313="","",IF(_xlfn.XLOOKUP($A313&amp;$B313&amp;$C313,盘货信息!$A:$A&amp;盘货信息!$B:$B&amp;盘货信息!$C:$C,盘货信息!$H:$H)&lt;1,"",ROUND(_xlfn.XLOOKUP($A313&amp;$B313&amp;$C313,盘货信息!$A:$A&amp;盘货信息!$B:$B&amp;盘货信息!$C:$C,盘货信息!$H:$H),0)&amp;"元消费券"))</f>
        <v/>
      </c>
      <c r="J313" s="27" t="str" cm="1">
        <f t="array" ref="J313">IF($C313="","",IF(_xlfn.XLOOKUP($A313&amp;$B313&amp;$C313,盘货信息!$A:$A&amp;盘货信息!$B:$B&amp;盘货信息!$C:$C,盘货信息!$J:$J)&lt;1,"",ROUND(_xlfn.XLOOKUP($A313&amp;$B313&amp;$C313,盘货信息!$A:$A&amp;盘货信息!$B:$B&amp;盘货信息!$C:$C,盘货信息!$J:$J),0)&amp;"元限时补贴"))</f>
        <v/>
      </c>
      <c r="K313" s="27" t="str" cm="1">
        <f t="array" ref="K313">IF($C313="","",IF(_xlfn.XLOOKUP($A313&amp;$B313&amp;$C313,盘货信息!$A:$A&amp;盘货信息!$B:$B&amp;盘货信息!$C:$C,盘货信息!$K:$K)&lt;1,"",ROUND(_xlfn.XLOOKUP($A313&amp;$B313&amp;$C313,盘货信息!$A:$A&amp;盘货信息!$B:$B&amp;盘货信息!$C:$C,盘货信息!$K:$K),0)&amp;"元预估焕新补贴"))</f>
        <v/>
      </c>
      <c r="L313" s="27" t="str" cm="1">
        <f t="array" ref="L313">IF($C313="","",IF(AND(_xlfn.XLOOKUP($A313&amp;$B313&amp;$C313,盘货信息!$A:$A&amp;盘货信息!$B:$B&amp;盘货信息!$C:$C,盘货信息!$L:$L)="是",_xlfn.XLOOKUP($A313&amp;$B313&amp;$C313,盘货信息!$A:$A&amp;盘货信息!$B:$B&amp;盘货信息!$C:$C,盘货信息!$M:$M)="是",_xlfn.XLOOKUP($A313&amp;$B313&amp;$C313,盘货信息!$A:$A&amp;盘货信息!$B:$B&amp;盘货信息!$C:$C,盘货信息!$K:$K)&gt;0),"【全民可用，不限地址】",IF(AND(OR(_xlfn.XLOOKUP($A313&amp;$B313&amp;$C313,盘货信息!$A:$A&amp;盘货信息!$B:$B&amp;盘货信息!$C:$C,盘货信息!$L:$L)="否",_xlfn.XLOOKUP($A313&amp;$B313&amp;$C313,盘货信息!$A:$A&amp;盘货信息!$B:$B&amp;盘货信息!$C:$C,盘货信息!$L:$L)=""),_xlfn.XLOOKUP($A313&amp;$B313&amp;$C313,盘货信息!$A:$A&amp;盘货信息!$B:$B&amp;盘货信息!$C:$C,盘货信息!$M:$M)="是",_xlfn.XLOOKUP($A313&amp;$B313&amp;$C313,盘货信息!$A:$A&amp;盘货信息!$B:$B&amp;盘货信息!$C:$C,盘货信息!$K:$K)&gt;0),"【详情页领取】","")))</f>
        <v/>
      </c>
      <c r="M313" s="27" t="str" cm="1">
        <f t="array" ref="M313">IF($C313="","",IF(_xlfn.XLOOKUP($A313&amp;$B313&amp;$C313,盘货信息!$A:$A&amp;盘货信息!$B:$B&amp;盘货信息!$C:$C,盘货信息!$F:$F)&lt;1,"",_xlfn.XLOOKUP($A313&amp;$B313&amp;$C313,盘货信息!$A:$A&amp;盘货信息!$B:$B&amp;盘货信息!$C:$C,盘货信息!$F:$F)&amp;"元明卷"))</f>
        <v/>
      </c>
      <c r="N313" s="27" t="str">
        <f t="shared" si="9"/>
        <v/>
      </c>
      <c r="O313" s="27" t="str">
        <f>IF(I313="","","【消费券链接】"&amp;固定信息!$B$6)</f>
        <v/>
      </c>
    </row>
    <row r="314" customHeight="1" spans="1:15">
      <c r="A314" s="23" t="str">
        <f>IF(盘货信息!A314="","",盘货信息!A314)</f>
        <v/>
      </c>
      <c r="B314" s="26" t="str">
        <f>IF(盘货信息!B314="","",盘货信息!B314)</f>
        <v/>
      </c>
      <c r="C314" s="23" t="str">
        <f>IF(盘货信息!C314="","",盘货信息!C314)</f>
        <v/>
      </c>
      <c r="D314" s="27" t="str">
        <f t="shared" si="8"/>
        <v/>
      </c>
      <c r="E314" s="27" t="str" cm="1">
        <f t="array" ref="E314">IF($C314="","",IF(AND(OR(_xlfn.XLOOKUP($A314&amp;$B314&amp;$C314,盘货信息!$A:$A&amp;盘货信息!$B:$B&amp;盘货信息!$C:$C,盘货信息!$L:$L)="否",_xlfn.XLOOKUP($A314&amp;$B314&amp;$C314,盘货信息!$A:$A&amp;盘货信息!$B:$B&amp;盘货信息!$C:$C,盘货信息!$L:$L)=""),_xlfn.XLOOKUP($A314&amp;$B314&amp;$C314,盘货信息!$A:$A&amp;盘货信息!$B:$B&amp;盘货信息!$C:$C,盘货信息!$M:$M)="否"),"【预估到手价"&amp;_xlfn.XLOOKUP($A314&amp;$B314&amp;$C314,盘货信息!$A:$A&amp;盘货信息!$B:$B&amp;盘货信息!$C:$C,盘货信息!$D:$D)&amp;"元】",IF(AND(_xlfn.XLOOKUP($A314&amp;$B314&amp;$C314,盘货信息!$A:$A&amp;盘货信息!$B:$B&amp;盘货信息!$C:$C,盘货信息!$M:$M)="是",OR(_xlfn.XLOOKUP($A314&amp;$B314&amp;$C314,盘货信息!$A:$A&amp;盘货信息!$B:$B&amp;盘货信息!$C:$C,盘货信息!$L:$L)="否",_xlfn.XLOOKUP($A314&amp;$B314&amp;$C314,盘货信息!$A:$A&amp;盘货信息!$B:$B&amp;盘货信息!$C:$C,盘货信息!$L:$L)="")),"【预估到手价"&amp;_xlfn.XLOOKUP($A314&amp;$B314&amp;$C314,盘货信息!$A:$A&amp;盘货信息!$B:$B&amp;盘货信息!$C:$C,盘货信息!$D:$D)&amp;"元】"&amp;CHAR(10)&amp;"【焕新补贴预估价"&amp;ROUND(_xlfn.XLOOKUP($A314&amp;$B314&amp;$C314,盘货信息!$A:$A&amp;盘货信息!$B:$B&amp;盘货信息!$C:$C,盘货信息!$E:$E),0)&amp;"元】","【焕新补贴预估价"&amp;ROUND(_xlfn.XLOOKUP($A314&amp;$B314&amp;$C314,盘货信息!$A:$A&amp;盘货信息!$B:$B&amp;盘货信息!$C:$C,盘货信息!$E:$E),0)&amp;"元】")))</f>
        <v/>
      </c>
      <c r="F314" s="27" t="str" cm="1">
        <f t="array" ref="F314">IF($C314="","",_xlfn.XLOOKUP($A314&amp;$B314&amp;$C314,盘货信息!$A:$A&amp;盘货信息!$B:$B&amp;盘货信息!$C:$C,盘货信息!$D:$D)&amp;"元到手价")</f>
        <v/>
      </c>
      <c r="G314" s="27" t="str" cm="1">
        <f t="array" ref="G314">IF($C314="","",IF(_xlfn.XLOOKUP($A314&amp;$B314&amp;$C314,盘货信息!$A:$A&amp;盘货信息!$B:$B&amp;盘货信息!$C:$C,盘货信息!$G:$G)&lt;1,"",ROUND(_xlfn.XLOOKUP($A314&amp;$B314&amp;$C314,盘货信息!$A:$A&amp;盘货信息!$B:$B&amp;盘货信息!$C:$C,盘货信息!$G:$G),0)&amp;"元88VIP立减"))</f>
        <v/>
      </c>
      <c r="H314" s="27" t="str" cm="1">
        <f t="array" ref="H314">IF($C314="","",IF(_xlfn.XLOOKUP($A314&amp;$B314&amp;$C314,盘货信息!$A:$A&amp;盘货信息!$B:$B&amp;盘货信息!$C:$C,盘货信息!$I:$I)&lt;1,"",_xlfn.XLOOKUP($A314&amp;$B314&amp;$C314,盘货信息!$A:$A&amp;盘货信息!$B:$B&amp;盘货信息!$C:$C,盘货信息!$I:$I)&amp;"元惊喜立减"))</f>
        <v/>
      </c>
      <c r="I314" s="27" t="str" cm="1">
        <f t="array" ref="I314">IF($C314="","",IF(_xlfn.XLOOKUP($A314&amp;$B314&amp;$C314,盘货信息!$A:$A&amp;盘货信息!$B:$B&amp;盘货信息!$C:$C,盘货信息!$H:$H)&lt;1,"",ROUND(_xlfn.XLOOKUP($A314&amp;$B314&amp;$C314,盘货信息!$A:$A&amp;盘货信息!$B:$B&amp;盘货信息!$C:$C,盘货信息!$H:$H),0)&amp;"元消费券"))</f>
        <v/>
      </c>
      <c r="J314" s="27" t="str" cm="1">
        <f t="array" ref="J314">IF($C314="","",IF(_xlfn.XLOOKUP($A314&amp;$B314&amp;$C314,盘货信息!$A:$A&amp;盘货信息!$B:$B&amp;盘货信息!$C:$C,盘货信息!$J:$J)&lt;1,"",ROUND(_xlfn.XLOOKUP($A314&amp;$B314&amp;$C314,盘货信息!$A:$A&amp;盘货信息!$B:$B&amp;盘货信息!$C:$C,盘货信息!$J:$J),0)&amp;"元限时补贴"))</f>
        <v/>
      </c>
      <c r="K314" s="27" t="str" cm="1">
        <f t="array" ref="K314">IF($C314="","",IF(_xlfn.XLOOKUP($A314&amp;$B314&amp;$C314,盘货信息!$A:$A&amp;盘货信息!$B:$B&amp;盘货信息!$C:$C,盘货信息!$K:$K)&lt;1,"",ROUND(_xlfn.XLOOKUP($A314&amp;$B314&amp;$C314,盘货信息!$A:$A&amp;盘货信息!$B:$B&amp;盘货信息!$C:$C,盘货信息!$K:$K),0)&amp;"元预估焕新补贴"))</f>
        <v/>
      </c>
      <c r="L314" s="27" t="str" cm="1">
        <f t="array" ref="L314">IF($C314="","",IF(AND(_xlfn.XLOOKUP($A314&amp;$B314&amp;$C314,盘货信息!$A:$A&amp;盘货信息!$B:$B&amp;盘货信息!$C:$C,盘货信息!$L:$L)="是",_xlfn.XLOOKUP($A314&amp;$B314&amp;$C314,盘货信息!$A:$A&amp;盘货信息!$B:$B&amp;盘货信息!$C:$C,盘货信息!$M:$M)="是",_xlfn.XLOOKUP($A314&amp;$B314&amp;$C314,盘货信息!$A:$A&amp;盘货信息!$B:$B&amp;盘货信息!$C:$C,盘货信息!$K:$K)&gt;0),"【全民可用，不限地址】",IF(AND(OR(_xlfn.XLOOKUP($A314&amp;$B314&amp;$C314,盘货信息!$A:$A&amp;盘货信息!$B:$B&amp;盘货信息!$C:$C,盘货信息!$L:$L)="否",_xlfn.XLOOKUP($A314&amp;$B314&amp;$C314,盘货信息!$A:$A&amp;盘货信息!$B:$B&amp;盘货信息!$C:$C,盘货信息!$L:$L)=""),_xlfn.XLOOKUP($A314&amp;$B314&amp;$C314,盘货信息!$A:$A&amp;盘货信息!$B:$B&amp;盘货信息!$C:$C,盘货信息!$M:$M)="是",_xlfn.XLOOKUP($A314&amp;$B314&amp;$C314,盘货信息!$A:$A&amp;盘货信息!$B:$B&amp;盘货信息!$C:$C,盘货信息!$K:$K)&gt;0),"【详情页领取】","")))</f>
        <v/>
      </c>
      <c r="M314" s="27" t="str" cm="1">
        <f t="array" ref="M314">IF($C314="","",IF(_xlfn.XLOOKUP($A314&amp;$B314&amp;$C314,盘货信息!$A:$A&amp;盘货信息!$B:$B&amp;盘货信息!$C:$C,盘货信息!$F:$F)&lt;1,"",_xlfn.XLOOKUP($A314&amp;$B314&amp;$C314,盘货信息!$A:$A&amp;盘货信息!$B:$B&amp;盘货信息!$C:$C,盘货信息!$F:$F)&amp;"元明卷"))</f>
        <v/>
      </c>
      <c r="N314" s="27" t="str">
        <f t="shared" si="9"/>
        <v/>
      </c>
      <c r="O314" s="27" t="str">
        <f>IF(I314="","","【消费券链接】"&amp;固定信息!$B$6)</f>
        <v/>
      </c>
    </row>
    <row r="315" customHeight="1" spans="1:15">
      <c r="A315" s="23" t="str">
        <f>IF(盘货信息!A315="","",盘货信息!A315)</f>
        <v/>
      </c>
      <c r="B315" s="26" t="str">
        <f>IF(盘货信息!B315="","",盘货信息!B315)</f>
        <v/>
      </c>
      <c r="C315" s="23" t="str">
        <f>IF(盘货信息!C315="","",盘货信息!C315)</f>
        <v/>
      </c>
      <c r="D315" s="27" t="str">
        <f t="shared" si="8"/>
        <v/>
      </c>
      <c r="E315" s="27" t="str" cm="1">
        <f t="array" ref="E315">IF($C315="","",IF(AND(OR(_xlfn.XLOOKUP($A315&amp;$B315&amp;$C315,盘货信息!$A:$A&amp;盘货信息!$B:$B&amp;盘货信息!$C:$C,盘货信息!$L:$L)="否",_xlfn.XLOOKUP($A315&amp;$B315&amp;$C315,盘货信息!$A:$A&amp;盘货信息!$B:$B&amp;盘货信息!$C:$C,盘货信息!$L:$L)=""),_xlfn.XLOOKUP($A315&amp;$B315&amp;$C315,盘货信息!$A:$A&amp;盘货信息!$B:$B&amp;盘货信息!$C:$C,盘货信息!$M:$M)="否"),"【预估到手价"&amp;_xlfn.XLOOKUP($A315&amp;$B315&amp;$C315,盘货信息!$A:$A&amp;盘货信息!$B:$B&amp;盘货信息!$C:$C,盘货信息!$D:$D)&amp;"元】",IF(AND(_xlfn.XLOOKUP($A315&amp;$B315&amp;$C315,盘货信息!$A:$A&amp;盘货信息!$B:$B&amp;盘货信息!$C:$C,盘货信息!$M:$M)="是",OR(_xlfn.XLOOKUP($A315&amp;$B315&amp;$C315,盘货信息!$A:$A&amp;盘货信息!$B:$B&amp;盘货信息!$C:$C,盘货信息!$L:$L)="否",_xlfn.XLOOKUP($A315&amp;$B315&amp;$C315,盘货信息!$A:$A&amp;盘货信息!$B:$B&amp;盘货信息!$C:$C,盘货信息!$L:$L)="")),"【预估到手价"&amp;_xlfn.XLOOKUP($A315&amp;$B315&amp;$C315,盘货信息!$A:$A&amp;盘货信息!$B:$B&amp;盘货信息!$C:$C,盘货信息!$D:$D)&amp;"元】"&amp;CHAR(10)&amp;"【焕新补贴预估价"&amp;ROUND(_xlfn.XLOOKUP($A315&amp;$B315&amp;$C315,盘货信息!$A:$A&amp;盘货信息!$B:$B&amp;盘货信息!$C:$C,盘货信息!$E:$E),0)&amp;"元】","【焕新补贴预估价"&amp;ROUND(_xlfn.XLOOKUP($A315&amp;$B315&amp;$C315,盘货信息!$A:$A&amp;盘货信息!$B:$B&amp;盘货信息!$C:$C,盘货信息!$E:$E),0)&amp;"元】")))</f>
        <v/>
      </c>
      <c r="F315" s="27" t="str" cm="1">
        <f t="array" ref="F315">IF($C315="","",_xlfn.XLOOKUP($A315&amp;$B315&amp;$C315,盘货信息!$A:$A&amp;盘货信息!$B:$B&amp;盘货信息!$C:$C,盘货信息!$D:$D)&amp;"元到手价")</f>
        <v/>
      </c>
      <c r="G315" s="27" t="str" cm="1">
        <f t="array" ref="G315">IF($C315="","",IF(_xlfn.XLOOKUP($A315&amp;$B315&amp;$C315,盘货信息!$A:$A&amp;盘货信息!$B:$B&amp;盘货信息!$C:$C,盘货信息!$G:$G)&lt;1,"",ROUND(_xlfn.XLOOKUP($A315&amp;$B315&amp;$C315,盘货信息!$A:$A&amp;盘货信息!$B:$B&amp;盘货信息!$C:$C,盘货信息!$G:$G),0)&amp;"元88VIP立减"))</f>
        <v/>
      </c>
      <c r="H315" s="27" t="str" cm="1">
        <f t="array" ref="H315">IF($C315="","",IF(_xlfn.XLOOKUP($A315&amp;$B315&amp;$C315,盘货信息!$A:$A&amp;盘货信息!$B:$B&amp;盘货信息!$C:$C,盘货信息!$I:$I)&lt;1,"",_xlfn.XLOOKUP($A315&amp;$B315&amp;$C315,盘货信息!$A:$A&amp;盘货信息!$B:$B&amp;盘货信息!$C:$C,盘货信息!$I:$I)&amp;"元惊喜立减"))</f>
        <v/>
      </c>
      <c r="I315" s="27" t="str" cm="1">
        <f t="array" ref="I315">IF($C315="","",IF(_xlfn.XLOOKUP($A315&amp;$B315&amp;$C315,盘货信息!$A:$A&amp;盘货信息!$B:$B&amp;盘货信息!$C:$C,盘货信息!$H:$H)&lt;1,"",ROUND(_xlfn.XLOOKUP($A315&amp;$B315&amp;$C315,盘货信息!$A:$A&amp;盘货信息!$B:$B&amp;盘货信息!$C:$C,盘货信息!$H:$H),0)&amp;"元消费券"))</f>
        <v/>
      </c>
      <c r="J315" s="27" t="str" cm="1">
        <f t="array" ref="J315">IF($C315="","",IF(_xlfn.XLOOKUP($A315&amp;$B315&amp;$C315,盘货信息!$A:$A&amp;盘货信息!$B:$B&amp;盘货信息!$C:$C,盘货信息!$J:$J)&lt;1,"",ROUND(_xlfn.XLOOKUP($A315&amp;$B315&amp;$C315,盘货信息!$A:$A&amp;盘货信息!$B:$B&amp;盘货信息!$C:$C,盘货信息!$J:$J),0)&amp;"元限时补贴"))</f>
        <v/>
      </c>
      <c r="K315" s="27" t="str" cm="1">
        <f t="array" ref="K315">IF($C315="","",IF(_xlfn.XLOOKUP($A315&amp;$B315&amp;$C315,盘货信息!$A:$A&amp;盘货信息!$B:$B&amp;盘货信息!$C:$C,盘货信息!$K:$K)&lt;1,"",ROUND(_xlfn.XLOOKUP($A315&amp;$B315&amp;$C315,盘货信息!$A:$A&amp;盘货信息!$B:$B&amp;盘货信息!$C:$C,盘货信息!$K:$K),0)&amp;"元预估焕新补贴"))</f>
        <v/>
      </c>
      <c r="L315" s="27" t="str" cm="1">
        <f t="array" ref="L315">IF($C315="","",IF(AND(_xlfn.XLOOKUP($A315&amp;$B315&amp;$C315,盘货信息!$A:$A&amp;盘货信息!$B:$B&amp;盘货信息!$C:$C,盘货信息!$L:$L)="是",_xlfn.XLOOKUP($A315&amp;$B315&amp;$C315,盘货信息!$A:$A&amp;盘货信息!$B:$B&amp;盘货信息!$C:$C,盘货信息!$M:$M)="是",_xlfn.XLOOKUP($A315&amp;$B315&amp;$C315,盘货信息!$A:$A&amp;盘货信息!$B:$B&amp;盘货信息!$C:$C,盘货信息!$K:$K)&gt;0),"【全民可用，不限地址】",IF(AND(OR(_xlfn.XLOOKUP($A315&amp;$B315&amp;$C315,盘货信息!$A:$A&amp;盘货信息!$B:$B&amp;盘货信息!$C:$C,盘货信息!$L:$L)="否",_xlfn.XLOOKUP($A315&amp;$B315&amp;$C315,盘货信息!$A:$A&amp;盘货信息!$B:$B&amp;盘货信息!$C:$C,盘货信息!$L:$L)=""),_xlfn.XLOOKUP($A315&amp;$B315&amp;$C315,盘货信息!$A:$A&amp;盘货信息!$B:$B&amp;盘货信息!$C:$C,盘货信息!$M:$M)="是",_xlfn.XLOOKUP($A315&amp;$B315&amp;$C315,盘货信息!$A:$A&amp;盘货信息!$B:$B&amp;盘货信息!$C:$C,盘货信息!$K:$K)&gt;0),"【详情页领取】","")))</f>
        <v/>
      </c>
      <c r="M315" s="27" t="str" cm="1">
        <f t="array" ref="M315">IF($C315="","",IF(_xlfn.XLOOKUP($A315&amp;$B315&amp;$C315,盘货信息!$A:$A&amp;盘货信息!$B:$B&amp;盘货信息!$C:$C,盘货信息!$F:$F)&lt;1,"",_xlfn.XLOOKUP($A315&amp;$B315&amp;$C315,盘货信息!$A:$A&amp;盘货信息!$B:$B&amp;盘货信息!$C:$C,盘货信息!$F:$F)&amp;"元明卷"))</f>
        <v/>
      </c>
      <c r="N315" s="27" t="str">
        <f t="shared" si="9"/>
        <v/>
      </c>
      <c r="O315" s="27" t="str">
        <f>IF(I315="","","【消费券链接】"&amp;固定信息!$B$6)</f>
        <v/>
      </c>
    </row>
    <row r="316" customHeight="1" spans="1:15">
      <c r="A316" s="23" t="str">
        <f>IF(盘货信息!A316="","",盘货信息!A316)</f>
        <v/>
      </c>
      <c r="B316" s="26" t="str">
        <f>IF(盘货信息!B316="","",盘货信息!B316)</f>
        <v/>
      </c>
      <c r="C316" s="23" t="str">
        <f>IF(盘货信息!C316="","",盘货信息!C316)</f>
        <v/>
      </c>
      <c r="D316" s="27" t="str">
        <f t="shared" si="8"/>
        <v/>
      </c>
      <c r="E316" s="27" t="str" cm="1">
        <f t="array" ref="E316">IF($C316="","",IF(AND(OR(_xlfn.XLOOKUP($A316&amp;$B316&amp;$C316,盘货信息!$A:$A&amp;盘货信息!$B:$B&amp;盘货信息!$C:$C,盘货信息!$L:$L)="否",_xlfn.XLOOKUP($A316&amp;$B316&amp;$C316,盘货信息!$A:$A&amp;盘货信息!$B:$B&amp;盘货信息!$C:$C,盘货信息!$L:$L)=""),_xlfn.XLOOKUP($A316&amp;$B316&amp;$C316,盘货信息!$A:$A&amp;盘货信息!$B:$B&amp;盘货信息!$C:$C,盘货信息!$M:$M)="否"),"【预估到手价"&amp;_xlfn.XLOOKUP($A316&amp;$B316&amp;$C316,盘货信息!$A:$A&amp;盘货信息!$B:$B&amp;盘货信息!$C:$C,盘货信息!$D:$D)&amp;"元】",IF(AND(_xlfn.XLOOKUP($A316&amp;$B316&amp;$C316,盘货信息!$A:$A&amp;盘货信息!$B:$B&amp;盘货信息!$C:$C,盘货信息!$M:$M)="是",OR(_xlfn.XLOOKUP($A316&amp;$B316&amp;$C316,盘货信息!$A:$A&amp;盘货信息!$B:$B&amp;盘货信息!$C:$C,盘货信息!$L:$L)="否",_xlfn.XLOOKUP($A316&amp;$B316&amp;$C316,盘货信息!$A:$A&amp;盘货信息!$B:$B&amp;盘货信息!$C:$C,盘货信息!$L:$L)="")),"【预估到手价"&amp;_xlfn.XLOOKUP($A316&amp;$B316&amp;$C316,盘货信息!$A:$A&amp;盘货信息!$B:$B&amp;盘货信息!$C:$C,盘货信息!$D:$D)&amp;"元】"&amp;CHAR(10)&amp;"【焕新补贴预估价"&amp;ROUND(_xlfn.XLOOKUP($A316&amp;$B316&amp;$C316,盘货信息!$A:$A&amp;盘货信息!$B:$B&amp;盘货信息!$C:$C,盘货信息!$E:$E),0)&amp;"元】","【焕新补贴预估价"&amp;ROUND(_xlfn.XLOOKUP($A316&amp;$B316&amp;$C316,盘货信息!$A:$A&amp;盘货信息!$B:$B&amp;盘货信息!$C:$C,盘货信息!$E:$E),0)&amp;"元】")))</f>
        <v/>
      </c>
      <c r="F316" s="27" t="str" cm="1">
        <f t="array" ref="F316">IF($C316="","",_xlfn.XLOOKUP($A316&amp;$B316&amp;$C316,盘货信息!$A:$A&amp;盘货信息!$B:$B&amp;盘货信息!$C:$C,盘货信息!$D:$D)&amp;"元到手价")</f>
        <v/>
      </c>
      <c r="G316" s="27" t="str" cm="1">
        <f t="array" ref="G316">IF($C316="","",IF(_xlfn.XLOOKUP($A316&amp;$B316&amp;$C316,盘货信息!$A:$A&amp;盘货信息!$B:$B&amp;盘货信息!$C:$C,盘货信息!$G:$G)&lt;1,"",ROUND(_xlfn.XLOOKUP($A316&amp;$B316&amp;$C316,盘货信息!$A:$A&amp;盘货信息!$B:$B&amp;盘货信息!$C:$C,盘货信息!$G:$G),0)&amp;"元88VIP立减"))</f>
        <v/>
      </c>
      <c r="H316" s="27" t="str" cm="1">
        <f t="array" ref="H316">IF($C316="","",IF(_xlfn.XLOOKUP($A316&amp;$B316&amp;$C316,盘货信息!$A:$A&amp;盘货信息!$B:$B&amp;盘货信息!$C:$C,盘货信息!$I:$I)&lt;1,"",_xlfn.XLOOKUP($A316&amp;$B316&amp;$C316,盘货信息!$A:$A&amp;盘货信息!$B:$B&amp;盘货信息!$C:$C,盘货信息!$I:$I)&amp;"元惊喜立减"))</f>
        <v/>
      </c>
      <c r="I316" s="27" t="str" cm="1">
        <f t="array" ref="I316">IF($C316="","",IF(_xlfn.XLOOKUP($A316&amp;$B316&amp;$C316,盘货信息!$A:$A&amp;盘货信息!$B:$B&amp;盘货信息!$C:$C,盘货信息!$H:$H)&lt;1,"",ROUND(_xlfn.XLOOKUP($A316&amp;$B316&amp;$C316,盘货信息!$A:$A&amp;盘货信息!$B:$B&amp;盘货信息!$C:$C,盘货信息!$H:$H),0)&amp;"元消费券"))</f>
        <v/>
      </c>
      <c r="J316" s="27" t="str" cm="1">
        <f t="array" ref="J316">IF($C316="","",IF(_xlfn.XLOOKUP($A316&amp;$B316&amp;$C316,盘货信息!$A:$A&amp;盘货信息!$B:$B&amp;盘货信息!$C:$C,盘货信息!$J:$J)&lt;1,"",ROUND(_xlfn.XLOOKUP($A316&amp;$B316&amp;$C316,盘货信息!$A:$A&amp;盘货信息!$B:$B&amp;盘货信息!$C:$C,盘货信息!$J:$J),0)&amp;"元限时补贴"))</f>
        <v/>
      </c>
      <c r="K316" s="27" t="str" cm="1">
        <f t="array" ref="K316">IF($C316="","",IF(_xlfn.XLOOKUP($A316&amp;$B316&amp;$C316,盘货信息!$A:$A&amp;盘货信息!$B:$B&amp;盘货信息!$C:$C,盘货信息!$K:$K)&lt;1,"",ROUND(_xlfn.XLOOKUP($A316&amp;$B316&amp;$C316,盘货信息!$A:$A&amp;盘货信息!$B:$B&amp;盘货信息!$C:$C,盘货信息!$K:$K),0)&amp;"元预估焕新补贴"))</f>
        <v/>
      </c>
      <c r="L316" s="27" t="str" cm="1">
        <f t="array" ref="L316">IF($C316="","",IF(AND(_xlfn.XLOOKUP($A316&amp;$B316&amp;$C316,盘货信息!$A:$A&amp;盘货信息!$B:$B&amp;盘货信息!$C:$C,盘货信息!$L:$L)="是",_xlfn.XLOOKUP($A316&amp;$B316&amp;$C316,盘货信息!$A:$A&amp;盘货信息!$B:$B&amp;盘货信息!$C:$C,盘货信息!$M:$M)="是",_xlfn.XLOOKUP($A316&amp;$B316&amp;$C316,盘货信息!$A:$A&amp;盘货信息!$B:$B&amp;盘货信息!$C:$C,盘货信息!$K:$K)&gt;0),"【全民可用，不限地址】",IF(AND(OR(_xlfn.XLOOKUP($A316&amp;$B316&amp;$C316,盘货信息!$A:$A&amp;盘货信息!$B:$B&amp;盘货信息!$C:$C,盘货信息!$L:$L)="否",_xlfn.XLOOKUP($A316&amp;$B316&amp;$C316,盘货信息!$A:$A&amp;盘货信息!$B:$B&amp;盘货信息!$C:$C,盘货信息!$L:$L)=""),_xlfn.XLOOKUP($A316&amp;$B316&amp;$C316,盘货信息!$A:$A&amp;盘货信息!$B:$B&amp;盘货信息!$C:$C,盘货信息!$M:$M)="是",_xlfn.XLOOKUP($A316&amp;$B316&amp;$C316,盘货信息!$A:$A&amp;盘货信息!$B:$B&amp;盘货信息!$C:$C,盘货信息!$K:$K)&gt;0),"【详情页领取】","")))</f>
        <v/>
      </c>
      <c r="M316" s="27" t="str" cm="1">
        <f t="array" ref="M316">IF($C316="","",IF(_xlfn.XLOOKUP($A316&amp;$B316&amp;$C316,盘货信息!$A:$A&amp;盘货信息!$B:$B&amp;盘货信息!$C:$C,盘货信息!$F:$F)&lt;1,"",_xlfn.XLOOKUP($A316&amp;$B316&amp;$C316,盘货信息!$A:$A&amp;盘货信息!$B:$B&amp;盘货信息!$C:$C,盘货信息!$F:$F)&amp;"元明卷"))</f>
        <v/>
      </c>
      <c r="N316" s="27" t="str">
        <f t="shared" si="9"/>
        <v/>
      </c>
      <c r="O316" s="27" t="str">
        <f>IF(I316="","","【消费券链接】"&amp;固定信息!$B$6)</f>
        <v/>
      </c>
    </row>
    <row r="317" customHeight="1" spans="1:15">
      <c r="A317" s="23" t="str">
        <f>IF(盘货信息!A317="","",盘货信息!A317)</f>
        <v/>
      </c>
      <c r="B317" s="26" t="str">
        <f>IF(盘货信息!B317="","",盘货信息!B317)</f>
        <v/>
      </c>
      <c r="C317" s="23" t="str">
        <f>IF(盘货信息!C317="","",盘货信息!C317)</f>
        <v/>
      </c>
      <c r="D317" s="27" t="str">
        <f t="shared" si="8"/>
        <v/>
      </c>
      <c r="E317" s="27" t="str" cm="1">
        <f t="array" ref="E317">IF($C317="","",IF(AND(OR(_xlfn.XLOOKUP($A317&amp;$B317&amp;$C317,盘货信息!$A:$A&amp;盘货信息!$B:$B&amp;盘货信息!$C:$C,盘货信息!$L:$L)="否",_xlfn.XLOOKUP($A317&amp;$B317&amp;$C317,盘货信息!$A:$A&amp;盘货信息!$B:$B&amp;盘货信息!$C:$C,盘货信息!$L:$L)=""),_xlfn.XLOOKUP($A317&amp;$B317&amp;$C317,盘货信息!$A:$A&amp;盘货信息!$B:$B&amp;盘货信息!$C:$C,盘货信息!$M:$M)="否"),"【预估到手价"&amp;_xlfn.XLOOKUP($A317&amp;$B317&amp;$C317,盘货信息!$A:$A&amp;盘货信息!$B:$B&amp;盘货信息!$C:$C,盘货信息!$D:$D)&amp;"元】",IF(AND(_xlfn.XLOOKUP($A317&amp;$B317&amp;$C317,盘货信息!$A:$A&amp;盘货信息!$B:$B&amp;盘货信息!$C:$C,盘货信息!$M:$M)="是",OR(_xlfn.XLOOKUP($A317&amp;$B317&amp;$C317,盘货信息!$A:$A&amp;盘货信息!$B:$B&amp;盘货信息!$C:$C,盘货信息!$L:$L)="否",_xlfn.XLOOKUP($A317&amp;$B317&amp;$C317,盘货信息!$A:$A&amp;盘货信息!$B:$B&amp;盘货信息!$C:$C,盘货信息!$L:$L)="")),"【预估到手价"&amp;_xlfn.XLOOKUP($A317&amp;$B317&amp;$C317,盘货信息!$A:$A&amp;盘货信息!$B:$B&amp;盘货信息!$C:$C,盘货信息!$D:$D)&amp;"元】"&amp;CHAR(10)&amp;"【焕新补贴预估价"&amp;ROUND(_xlfn.XLOOKUP($A317&amp;$B317&amp;$C317,盘货信息!$A:$A&amp;盘货信息!$B:$B&amp;盘货信息!$C:$C,盘货信息!$E:$E),0)&amp;"元】","【焕新补贴预估价"&amp;ROUND(_xlfn.XLOOKUP($A317&amp;$B317&amp;$C317,盘货信息!$A:$A&amp;盘货信息!$B:$B&amp;盘货信息!$C:$C,盘货信息!$E:$E),0)&amp;"元】")))</f>
        <v/>
      </c>
      <c r="F317" s="27" t="str" cm="1">
        <f t="array" ref="F317">IF($C317="","",_xlfn.XLOOKUP($A317&amp;$B317&amp;$C317,盘货信息!$A:$A&amp;盘货信息!$B:$B&amp;盘货信息!$C:$C,盘货信息!$D:$D)&amp;"元到手价")</f>
        <v/>
      </c>
      <c r="G317" s="27" t="str" cm="1">
        <f t="array" ref="G317">IF($C317="","",IF(_xlfn.XLOOKUP($A317&amp;$B317&amp;$C317,盘货信息!$A:$A&amp;盘货信息!$B:$B&amp;盘货信息!$C:$C,盘货信息!$G:$G)&lt;1,"",ROUND(_xlfn.XLOOKUP($A317&amp;$B317&amp;$C317,盘货信息!$A:$A&amp;盘货信息!$B:$B&amp;盘货信息!$C:$C,盘货信息!$G:$G),0)&amp;"元88VIP立减"))</f>
        <v/>
      </c>
      <c r="H317" s="27" t="str" cm="1">
        <f t="array" ref="H317">IF($C317="","",IF(_xlfn.XLOOKUP($A317&amp;$B317&amp;$C317,盘货信息!$A:$A&amp;盘货信息!$B:$B&amp;盘货信息!$C:$C,盘货信息!$I:$I)&lt;1,"",_xlfn.XLOOKUP($A317&amp;$B317&amp;$C317,盘货信息!$A:$A&amp;盘货信息!$B:$B&amp;盘货信息!$C:$C,盘货信息!$I:$I)&amp;"元惊喜立减"))</f>
        <v/>
      </c>
      <c r="I317" s="27" t="str" cm="1">
        <f t="array" ref="I317">IF($C317="","",IF(_xlfn.XLOOKUP($A317&amp;$B317&amp;$C317,盘货信息!$A:$A&amp;盘货信息!$B:$B&amp;盘货信息!$C:$C,盘货信息!$H:$H)&lt;1,"",ROUND(_xlfn.XLOOKUP($A317&amp;$B317&amp;$C317,盘货信息!$A:$A&amp;盘货信息!$B:$B&amp;盘货信息!$C:$C,盘货信息!$H:$H),0)&amp;"元消费券"))</f>
        <v/>
      </c>
      <c r="J317" s="27" t="str" cm="1">
        <f t="array" ref="J317">IF($C317="","",IF(_xlfn.XLOOKUP($A317&amp;$B317&amp;$C317,盘货信息!$A:$A&amp;盘货信息!$B:$B&amp;盘货信息!$C:$C,盘货信息!$J:$J)&lt;1,"",ROUND(_xlfn.XLOOKUP($A317&amp;$B317&amp;$C317,盘货信息!$A:$A&amp;盘货信息!$B:$B&amp;盘货信息!$C:$C,盘货信息!$J:$J),0)&amp;"元限时补贴"))</f>
        <v/>
      </c>
      <c r="K317" s="27" t="str" cm="1">
        <f t="array" ref="K317">IF($C317="","",IF(_xlfn.XLOOKUP($A317&amp;$B317&amp;$C317,盘货信息!$A:$A&amp;盘货信息!$B:$B&amp;盘货信息!$C:$C,盘货信息!$K:$K)&lt;1,"",ROUND(_xlfn.XLOOKUP($A317&amp;$B317&amp;$C317,盘货信息!$A:$A&amp;盘货信息!$B:$B&amp;盘货信息!$C:$C,盘货信息!$K:$K),0)&amp;"元预估焕新补贴"))</f>
        <v/>
      </c>
      <c r="L317" s="27" t="str" cm="1">
        <f t="array" ref="L317">IF($C317="","",IF(AND(_xlfn.XLOOKUP($A317&amp;$B317&amp;$C317,盘货信息!$A:$A&amp;盘货信息!$B:$B&amp;盘货信息!$C:$C,盘货信息!$L:$L)="是",_xlfn.XLOOKUP($A317&amp;$B317&amp;$C317,盘货信息!$A:$A&amp;盘货信息!$B:$B&amp;盘货信息!$C:$C,盘货信息!$M:$M)="是",_xlfn.XLOOKUP($A317&amp;$B317&amp;$C317,盘货信息!$A:$A&amp;盘货信息!$B:$B&amp;盘货信息!$C:$C,盘货信息!$K:$K)&gt;0),"【全民可用，不限地址】",IF(AND(OR(_xlfn.XLOOKUP($A317&amp;$B317&amp;$C317,盘货信息!$A:$A&amp;盘货信息!$B:$B&amp;盘货信息!$C:$C,盘货信息!$L:$L)="否",_xlfn.XLOOKUP($A317&amp;$B317&amp;$C317,盘货信息!$A:$A&amp;盘货信息!$B:$B&amp;盘货信息!$C:$C,盘货信息!$L:$L)=""),_xlfn.XLOOKUP($A317&amp;$B317&amp;$C317,盘货信息!$A:$A&amp;盘货信息!$B:$B&amp;盘货信息!$C:$C,盘货信息!$M:$M)="是",_xlfn.XLOOKUP($A317&amp;$B317&amp;$C317,盘货信息!$A:$A&amp;盘货信息!$B:$B&amp;盘货信息!$C:$C,盘货信息!$K:$K)&gt;0),"【详情页领取】","")))</f>
        <v/>
      </c>
      <c r="M317" s="27" t="str" cm="1">
        <f t="array" ref="M317">IF($C317="","",IF(_xlfn.XLOOKUP($A317&amp;$B317&amp;$C317,盘货信息!$A:$A&amp;盘货信息!$B:$B&amp;盘货信息!$C:$C,盘货信息!$F:$F)&lt;1,"",_xlfn.XLOOKUP($A317&amp;$B317&amp;$C317,盘货信息!$A:$A&amp;盘货信息!$B:$B&amp;盘货信息!$C:$C,盘货信息!$F:$F)&amp;"元明卷"))</f>
        <v/>
      </c>
      <c r="N317" s="27" t="str">
        <f t="shared" si="9"/>
        <v/>
      </c>
      <c r="O317" s="27" t="str">
        <f>IF(I317="","","【消费券链接】"&amp;固定信息!$B$6)</f>
        <v/>
      </c>
    </row>
    <row r="318" customHeight="1" spans="1:15">
      <c r="A318" s="23" t="str">
        <f>IF(盘货信息!A318="","",盘货信息!A318)</f>
        <v/>
      </c>
      <c r="B318" s="26" t="str">
        <f>IF(盘货信息!B318="","",盘货信息!B318)</f>
        <v/>
      </c>
      <c r="C318" s="23" t="str">
        <f>IF(盘货信息!C318="","",盘货信息!C318)</f>
        <v/>
      </c>
      <c r="D318" s="27" t="str">
        <f t="shared" si="8"/>
        <v/>
      </c>
      <c r="E318" s="27" t="str" cm="1">
        <f t="array" ref="E318">IF($C318="","",IF(AND(OR(_xlfn.XLOOKUP($A318&amp;$B318&amp;$C318,盘货信息!$A:$A&amp;盘货信息!$B:$B&amp;盘货信息!$C:$C,盘货信息!$L:$L)="否",_xlfn.XLOOKUP($A318&amp;$B318&amp;$C318,盘货信息!$A:$A&amp;盘货信息!$B:$B&amp;盘货信息!$C:$C,盘货信息!$L:$L)=""),_xlfn.XLOOKUP($A318&amp;$B318&amp;$C318,盘货信息!$A:$A&amp;盘货信息!$B:$B&amp;盘货信息!$C:$C,盘货信息!$M:$M)="否"),"【预估到手价"&amp;_xlfn.XLOOKUP($A318&amp;$B318&amp;$C318,盘货信息!$A:$A&amp;盘货信息!$B:$B&amp;盘货信息!$C:$C,盘货信息!$D:$D)&amp;"元】",IF(AND(_xlfn.XLOOKUP($A318&amp;$B318&amp;$C318,盘货信息!$A:$A&amp;盘货信息!$B:$B&amp;盘货信息!$C:$C,盘货信息!$M:$M)="是",OR(_xlfn.XLOOKUP($A318&amp;$B318&amp;$C318,盘货信息!$A:$A&amp;盘货信息!$B:$B&amp;盘货信息!$C:$C,盘货信息!$L:$L)="否",_xlfn.XLOOKUP($A318&amp;$B318&amp;$C318,盘货信息!$A:$A&amp;盘货信息!$B:$B&amp;盘货信息!$C:$C,盘货信息!$L:$L)="")),"【预估到手价"&amp;_xlfn.XLOOKUP($A318&amp;$B318&amp;$C318,盘货信息!$A:$A&amp;盘货信息!$B:$B&amp;盘货信息!$C:$C,盘货信息!$D:$D)&amp;"元】"&amp;CHAR(10)&amp;"【焕新补贴预估价"&amp;ROUND(_xlfn.XLOOKUP($A318&amp;$B318&amp;$C318,盘货信息!$A:$A&amp;盘货信息!$B:$B&amp;盘货信息!$C:$C,盘货信息!$E:$E),0)&amp;"元】","【焕新补贴预估价"&amp;ROUND(_xlfn.XLOOKUP($A318&amp;$B318&amp;$C318,盘货信息!$A:$A&amp;盘货信息!$B:$B&amp;盘货信息!$C:$C,盘货信息!$E:$E),0)&amp;"元】")))</f>
        <v/>
      </c>
      <c r="F318" s="27" t="str" cm="1">
        <f t="array" ref="F318">IF($C318="","",_xlfn.XLOOKUP($A318&amp;$B318&amp;$C318,盘货信息!$A:$A&amp;盘货信息!$B:$B&amp;盘货信息!$C:$C,盘货信息!$D:$D)&amp;"元到手价")</f>
        <v/>
      </c>
      <c r="G318" s="27" t="str" cm="1">
        <f t="array" ref="G318">IF($C318="","",IF(_xlfn.XLOOKUP($A318&amp;$B318&amp;$C318,盘货信息!$A:$A&amp;盘货信息!$B:$B&amp;盘货信息!$C:$C,盘货信息!$G:$G)&lt;1,"",ROUND(_xlfn.XLOOKUP($A318&amp;$B318&amp;$C318,盘货信息!$A:$A&amp;盘货信息!$B:$B&amp;盘货信息!$C:$C,盘货信息!$G:$G),0)&amp;"元88VIP立减"))</f>
        <v/>
      </c>
      <c r="H318" s="27" t="str" cm="1">
        <f t="array" ref="H318">IF($C318="","",IF(_xlfn.XLOOKUP($A318&amp;$B318&amp;$C318,盘货信息!$A:$A&amp;盘货信息!$B:$B&amp;盘货信息!$C:$C,盘货信息!$I:$I)&lt;1,"",_xlfn.XLOOKUP($A318&amp;$B318&amp;$C318,盘货信息!$A:$A&amp;盘货信息!$B:$B&amp;盘货信息!$C:$C,盘货信息!$I:$I)&amp;"元惊喜立减"))</f>
        <v/>
      </c>
      <c r="I318" s="27" t="str" cm="1">
        <f t="array" ref="I318">IF($C318="","",IF(_xlfn.XLOOKUP($A318&amp;$B318&amp;$C318,盘货信息!$A:$A&amp;盘货信息!$B:$B&amp;盘货信息!$C:$C,盘货信息!$H:$H)&lt;1,"",ROUND(_xlfn.XLOOKUP($A318&amp;$B318&amp;$C318,盘货信息!$A:$A&amp;盘货信息!$B:$B&amp;盘货信息!$C:$C,盘货信息!$H:$H),0)&amp;"元消费券"))</f>
        <v/>
      </c>
      <c r="J318" s="27" t="str" cm="1">
        <f t="array" ref="J318">IF($C318="","",IF(_xlfn.XLOOKUP($A318&amp;$B318&amp;$C318,盘货信息!$A:$A&amp;盘货信息!$B:$B&amp;盘货信息!$C:$C,盘货信息!$J:$J)&lt;1,"",ROUND(_xlfn.XLOOKUP($A318&amp;$B318&amp;$C318,盘货信息!$A:$A&amp;盘货信息!$B:$B&amp;盘货信息!$C:$C,盘货信息!$J:$J),0)&amp;"元限时补贴"))</f>
        <v/>
      </c>
      <c r="K318" s="27" t="str" cm="1">
        <f t="array" ref="K318">IF($C318="","",IF(_xlfn.XLOOKUP($A318&amp;$B318&amp;$C318,盘货信息!$A:$A&amp;盘货信息!$B:$B&amp;盘货信息!$C:$C,盘货信息!$K:$K)&lt;1,"",ROUND(_xlfn.XLOOKUP($A318&amp;$B318&amp;$C318,盘货信息!$A:$A&amp;盘货信息!$B:$B&amp;盘货信息!$C:$C,盘货信息!$K:$K),0)&amp;"元预估焕新补贴"))</f>
        <v/>
      </c>
      <c r="L318" s="27" t="str" cm="1">
        <f t="array" ref="L318">IF($C318="","",IF(AND(_xlfn.XLOOKUP($A318&amp;$B318&amp;$C318,盘货信息!$A:$A&amp;盘货信息!$B:$B&amp;盘货信息!$C:$C,盘货信息!$L:$L)="是",_xlfn.XLOOKUP($A318&amp;$B318&amp;$C318,盘货信息!$A:$A&amp;盘货信息!$B:$B&amp;盘货信息!$C:$C,盘货信息!$M:$M)="是",_xlfn.XLOOKUP($A318&amp;$B318&amp;$C318,盘货信息!$A:$A&amp;盘货信息!$B:$B&amp;盘货信息!$C:$C,盘货信息!$K:$K)&gt;0),"【全民可用，不限地址】",IF(AND(OR(_xlfn.XLOOKUP($A318&amp;$B318&amp;$C318,盘货信息!$A:$A&amp;盘货信息!$B:$B&amp;盘货信息!$C:$C,盘货信息!$L:$L)="否",_xlfn.XLOOKUP($A318&amp;$B318&amp;$C318,盘货信息!$A:$A&amp;盘货信息!$B:$B&amp;盘货信息!$C:$C,盘货信息!$L:$L)=""),_xlfn.XLOOKUP($A318&amp;$B318&amp;$C318,盘货信息!$A:$A&amp;盘货信息!$B:$B&amp;盘货信息!$C:$C,盘货信息!$M:$M)="是",_xlfn.XLOOKUP($A318&amp;$B318&amp;$C318,盘货信息!$A:$A&amp;盘货信息!$B:$B&amp;盘货信息!$C:$C,盘货信息!$K:$K)&gt;0),"【详情页领取】","")))</f>
        <v/>
      </c>
      <c r="M318" s="27" t="str" cm="1">
        <f t="array" ref="M318">IF($C318="","",IF(_xlfn.XLOOKUP($A318&amp;$B318&amp;$C318,盘货信息!$A:$A&amp;盘货信息!$B:$B&amp;盘货信息!$C:$C,盘货信息!$F:$F)&lt;1,"",_xlfn.XLOOKUP($A318&amp;$B318&amp;$C318,盘货信息!$A:$A&amp;盘货信息!$B:$B&amp;盘货信息!$C:$C,盘货信息!$F:$F)&amp;"元明卷"))</f>
        <v/>
      </c>
      <c r="N318" s="27" t="str">
        <f t="shared" si="9"/>
        <v/>
      </c>
      <c r="O318" s="27" t="str">
        <f>IF(I318="","","【消费券链接】"&amp;固定信息!$B$6)</f>
        <v/>
      </c>
    </row>
    <row r="319" customHeight="1" spans="1:15">
      <c r="A319" s="23" t="str">
        <f>IF(盘货信息!A319="","",盘货信息!A319)</f>
        <v/>
      </c>
      <c r="B319" s="26" t="str">
        <f>IF(盘货信息!B319="","",盘货信息!B319)</f>
        <v/>
      </c>
      <c r="C319" s="23" t="str">
        <f>IF(盘货信息!C319="","",盘货信息!C319)</f>
        <v/>
      </c>
      <c r="D319" s="27" t="str">
        <f t="shared" si="8"/>
        <v/>
      </c>
      <c r="E319" s="27" t="str" cm="1">
        <f t="array" ref="E319">IF($C319="","",IF(AND(OR(_xlfn.XLOOKUP($A319&amp;$B319&amp;$C319,盘货信息!$A:$A&amp;盘货信息!$B:$B&amp;盘货信息!$C:$C,盘货信息!$L:$L)="否",_xlfn.XLOOKUP($A319&amp;$B319&amp;$C319,盘货信息!$A:$A&amp;盘货信息!$B:$B&amp;盘货信息!$C:$C,盘货信息!$L:$L)=""),_xlfn.XLOOKUP($A319&amp;$B319&amp;$C319,盘货信息!$A:$A&amp;盘货信息!$B:$B&amp;盘货信息!$C:$C,盘货信息!$M:$M)="否"),"【预估到手价"&amp;_xlfn.XLOOKUP($A319&amp;$B319&amp;$C319,盘货信息!$A:$A&amp;盘货信息!$B:$B&amp;盘货信息!$C:$C,盘货信息!$D:$D)&amp;"元】",IF(AND(_xlfn.XLOOKUP($A319&amp;$B319&amp;$C319,盘货信息!$A:$A&amp;盘货信息!$B:$B&amp;盘货信息!$C:$C,盘货信息!$M:$M)="是",OR(_xlfn.XLOOKUP($A319&amp;$B319&amp;$C319,盘货信息!$A:$A&amp;盘货信息!$B:$B&amp;盘货信息!$C:$C,盘货信息!$L:$L)="否",_xlfn.XLOOKUP($A319&amp;$B319&amp;$C319,盘货信息!$A:$A&amp;盘货信息!$B:$B&amp;盘货信息!$C:$C,盘货信息!$L:$L)="")),"【预估到手价"&amp;_xlfn.XLOOKUP($A319&amp;$B319&amp;$C319,盘货信息!$A:$A&amp;盘货信息!$B:$B&amp;盘货信息!$C:$C,盘货信息!$D:$D)&amp;"元】"&amp;CHAR(10)&amp;"【焕新补贴预估价"&amp;ROUND(_xlfn.XLOOKUP($A319&amp;$B319&amp;$C319,盘货信息!$A:$A&amp;盘货信息!$B:$B&amp;盘货信息!$C:$C,盘货信息!$E:$E),0)&amp;"元】","【焕新补贴预估价"&amp;ROUND(_xlfn.XLOOKUP($A319&amp;$B319&amp;$C319,盘货信息!$A:$A&amp;盘货信息!$B:$B&amp;盘货信息!$C:$C,盘货信息!$E:$E),0)&amp;"元】")))</f>
        <v/>
      </c>
      <c r="F319" s="27" t="str" cm="1">
        <f t="array" ref="F319">IF($C319="","",_xlfn.XLOOKUP($A319&amp;$B319&amp;$C319,盘货信息!$A:$A&amp;盘货信息!$B:$B&amp;盘货信息!$C:$C,盘货信息!$D:$D)&amp;"元到手价")</f>
        <v/>
      </c>
      <c r="G319" s="27" t="str" cm="1">
        <f t="array" ref="G319">IF($C319="","",IF(_xlfn.XLOOKUP($A319&amp;$B319&amp;$C319,盘货信息!$A:$A&amp;盘货信息!$B:$B&amp;盘货信息!$C:$C,盘货信息!$G:$G)&lt;1,"",ROUND(_xlfn.XLOOKUP($A319&amp;$B319&amp;$C319,盘货信息!$A:$A&amp;盘货信息!$B:$B&amp;盘货信息!$C:$C,盘货信息!$G:$G),0)&amp;"元88VIP立减"))</f>
        <v/>
      </c>
      <c r="H319" s="27" t="str" cm="1">
        <f t="array" ref="H319">IF($C319="","",IF(_xlfn.XLOOKUP($A319&amp;$B319&amp;$C319,盘货信息!$A:$A&amp;盘货信息!$B:$B&amp;盘货信息!$C:$C,盘货信息!$I:$I)&lt;1,"",_xlfn.XLOOKUP($A319&amp;$B319&amp;$C319,盘货信息!$A:$A&amp;盘货信息!$B:$B&amp;盘货信息!$C:$C,盘货信息!$I:$I)&amp;"元惊喜立减"))</f>
        <v/>
      </c>
      <c r="I319" s="27" t="str" cm="1">
        <f t="array" ref="I319">IF($C319="","",IF(_xlfn.XLOOKUP($A319&amp;$B319&amp;$C319,盘货信息!$A:$A&amp;盘货信息!$B:$B&amp;盘货信息!$C:$C,盘货信息!$H:$H)&lt;1,"",ROUND(_xlfn.XLOOKUP($A319&amp;$B319&amp;$C319,盘货信息!$A:$A&amp;盘货信息!$B:$B&amp;盘货信息!$C:$C,盘货信息!$H:$H),0)&amp;"元消费券"))</f>
        <v/>
      </c>
      <c r="J319" s="27" t="str" cm="1">
        <f t="array" ref="J319">IF($C319="","",IF(_xlfn.XLOOKUP($A319&amp;$B319&amp;$C319,盘货信息!$A:$A&amp;盘货信息!$B:$B&amp;盘货信息!$C:$C,盘货信息!$J:$J)&lt;1,"",ROUND(_xlfn.XLOOKUP($A319&amp;$B319&amp;$C319,盘货信息!$A:$A&amp;盘货信息!$B:$B&amp;盘货信息!$C:$C,盘货信息!$J:$J),0)&amp;"元限时补贴"))</f>
        <v/>
      </c>
      <c r="K319" s="27" t="str" cm="1">
        <f t="array" ref="K319">IF($C319="","",IF(_xlfn.XLOOKUP($A319&amp;$B319&amp;$C319,盘货信息!$A:$A&amp;盘货信息!$B:$B&amp;盘货信息!$C:$C,盘货信息!$K:$K)&lt;1,"",ROUND(_xlfn.XLOOKUP($A319&amp;$B319&amp;$C319,盘货信息!$A:$A&amp;盘货信息!$B:$B&amp;盘货信息!$C:$C,盘货信息!$K:$K),0)&amp;"元预估焕新补贴"))</f>
        <v/>
      </c>
      <c r="L319" s="27" t="str" cm="1">
        <f t="array" ref="L319">IF($C319="","",IF(AND(_xlfn.XLOOKUP($A319&amp;$B319&amp;$C319,盘货信息!$A:$A&amp;盘货信息!$B:$B&amp;盘货信息!$C:$C,盘货信息!$L:$L)="是",_xlfn.XLOOKUP($A319&amp;$B319&amp;$C319,盘货信息!$A:$A&amp;盘货信息!$B:$B&amp;盘货信息!$C:$C,盘货信息!$M:$M)="是",_xlfn.XLOOKUP($A319&amp;$B319&amp;$C319,盘货信息!$A:$A&amp;盘货信息!$B:$B&amp;盘货信息!$C:$C,盘货信息!$K:$K)&gt;0),"【全民可用，不限地址】",IF(AND(OR(_xlfn.XLOOKUP($A319&amp;$B319&amp;$C319,盘货信息!$A:$A&amp;盘货信息!$B:$B&amp;盘货信息!$C:$C,盘货信息!$L:$L)="否",_xlfn.XLOOKUP($A319&amp;$B319&amp;$C319,盘货信息!$A:$A&amp;盘货信息!$B:$B&amp;盘货信息!$C:$C,盘货信息!$L:$L)=""),_xlfn.XLOOKUP($A319&amp;$B319&amp;$C319,盘货信息!$A:$A&amp;盘货信息!$B:$B&amp;盘货信息!$C:$C,盘货信息!$M:$M)="是",_xlfn.XLOOKUP($A319&amp;$B319&amp;$C319,盘货信息!$A:$A&amp;盘货信息!$B:$B&amp;盘货信息!$C:$C,盘货信息!$K:$K)&gt;0),"【详情页领取】","")))</f>
        <v/>
      </c>
      <c r="M319" s="27" t="str" cm="1">
        <f t="array" ref="M319">IF($C319="","",IF(_xlfn.XLOOKUP($A319&amp;$B319&amp;$C319,盘货信息!$A:$A&amp;盘货信息!$B:$B&amp;盘货信息!$C:$C,盘货信息!$F:$F)&lt;1,"",_xlfn.XLOOKUP($A319&amp;$B319&amp;$C319,盘货信息!$A:$A&amp;盘货信息!$B:$B&amp;盘货信息!$C:$C,盘货信息!$F:$F)&amp;"元明卷"))</f>
        <v/>
      </c>
      <c r="N319" s="27" t="str">
        <f t="shared" si="9"/>
        <v/>
      </c>
      <c r="O319" s="27" t="str">
        <f>IF(I319="","","【消费券链接】"&amp;固定信息!$B$6)</f>
        <v/>
      </c>
    </row>
    <row r="320" customHeight="1" spans="1:15">
      <c r="A320" s="23" t="str">
        <f>IF(盘货信息!A320="","",盘货信息!A320)</f>
        <v/>
      </c>
      <c r="B320" s="26" t="str">
        <f>IF(盘货信息!B320="","",盘货信息!B320)</f>
        <v/>
      </c>
      <c r="C320" s="23" t="str">
        <f>IF(盘货信息!C320="","",盘货信息!C320)</f>
        <v/>
      </c>
      <c r="D320" s="27" t="str">
        <f t="shared" si="8"/>
        <v/>
      </c>
      <c r="E320" s="27" t="str" cm="1">
        <f t="array" ref="E320">IF($C320="","",IF(AND(OR(_xlfn.XLOOKUP($A320&amp;$B320&amp;$C320,盘货信息!$A:$A&amp;盘货信息!$B:$B&amp;盘货信息!$C:$C,盘货信息!$L:$L)="否",_xlfn.XLOOKUP($A320&amp;$B320&amp;$C320,盘货信息!$A:$A&amp;盘货信息!$B:$B&amp;盘货信息!$C:$C,盘货信息!$L:$L)=""),_xlfn.XLOOKUP($A320&amp;$B320&amp;$C320,盘货信息!$A:$A&amp;盘货信息!$B:$B&amp;盘货信息!$C:$C,盘货信息!$M:$M)="否"),"【预估到手价"&amp;_xlfn.XLOOKUP($A320&amp;$B320&amp;$C320,盘货信息!$A:$A&amp;盘货信息!$B:$B&amp;盘货信息!$C:$C,盘货信息!$D:$D)&amp;"元】",IF(AND(_xlfn.XLOOKUP($A320&amp;$B320&amp;$C320,盘货信息!$A:$A&amp;盘货信息!$B:$B&amp;盘货信息!$C:$C,盘货信息!$M:$M)="是",OR(_xlfn.XLOOKUP($A320&amp;$B320&amp;$C320,盘货信息!$A:$A&amp;盘货信息!$B:$B&amp;盘货信息!$C:$C,盘货信息!$L:$L)="否",_xlfn.XLOOKUP($A320&amp;$B320&amp;$C320,盘货信息!$A:$A&amp;盘货信息!$B:$B&amp;盘货信息!$C:$C,盘货信息!$L:$L)="")),"【预估到手价"&amp;_xlfn.XLOOKUP($A320&amp;$B320&amp;$C320,盘货信息!$A:$A&amp;盘货信息!$B:$B&amp;盘货信息!$C:$C,盘货信息!$D:$D)&amp;"元】"&amp;CHAR(10)&amp;"【焕新补贴预估价"&amp;ROUND(_xlfn.XLOOKUP($A320&amp;$B320&amp;$C320,盘货信息!$A:$A&amp;盘货信息!$B:$B&amp;盘货信息!$C:$C,盘货信息!$E:$E),0)&amp;"元】","【焕新补贴预估价"&amp;ROUND(_xlfn.XLOOKUP($A320&amp;$B320&amp;$C320,盘货信息!$A:$A&amp;盘货信息!$B:$B&amp;盘货信息!$C:$C,盘货信息!$E:$E),0)&amp;"元】")))</f>
        <v/>
      </c>
      <c r="F320" s="27" t="str" cm="1">
        <f t="array" ref="F320">IF($C320="","",_xlfn.XLOOKUP($A320&amp;$B320&amp;$C320,盘货信息!$A:$A&amp;盘货信息!$B:$B&amp;盘货信息!$C:$C,盘货信息!$D:$D)&amp;"元到手价")</f>
        <v/>
      </c>
      <c r="G320" s="27" t="str" cm="1">
        <f t="array" ref="G320">IF($C320="","",IF(_xlfn.XLOOKUP($A320&amp;$B320&amp;$C320,盘货信息!$A:$A&amp;盘货信息!$B:$B&amp;盘货信息!$C:$C,盘货信息!$G:$G)&lt;1,"",ROUND(_xlfn.XLOOKUP($A320&amp;$B320&amp;$C320,盘货信息!$A:$A&amp;盘货信息!$B:$B&amp;盘货信息!$C:$C,盘货信息!$G:$G),0)&amp;"元88VIP立减"))</f>
        <v/>
      </c>
      <c r="H320" s="27" t="str" cm="1">
        <f t="array" ref="H320">IF($C320="","",IF(_xlfn.XLOOKUP($A320&amp;$B320&amp;$C320,盘货信息!$A:$A&amp;盘货信息!$B:$B&amp;盘货信息!$C:$C,盘货信息!$I:$I)&lt;1,"",_xlfn.XLOOKUP($A320&amp;$B320&amp;$C320,盘货信息!$A:$A&amp;盘货信息!$B:$B&amp;盘货信息!$C:$C,盘货信息!$I:$I)&amp;"元惊喜立减"))</f>
        <v/>
      </c>
      <c r="I320" s="27" t="str" cm="1">
        <f t="array" ref="I320">IF($C320="","",IF(_xlfn.XLOOKUP($A320&amp;$B320&amp;$C320,盘货信息!$A:$A&amp;盘货信息!$B:$B&amp;盘货信息!$C:$C,盘货信息!$H:$H)&lt;1,"",ROUND(_xlfn.XLOOKUP($A320&amp;$B320&amp;$C320,盘货信息!$A:$A&amp;盘货信息!$B:$B&amp;盘货信息!$C:$C,盘货信息!$H:$H),0)&amp;"元消费券"))</f>
        <v/>
      </c>
      <c r="J320" s="27" t="str" cm="1">
        <f t="array" ref="J320">IF($C320="","",IF(_xlfn.XLOOKUP($A320&amp;$B320&amp;$C320,盘货信息!$A:$A&amp;盘货信息!$B:$B&amp;盘货信息!$C:$C,盘货信息!$J:$J)&lt;1,"",ROUND(_xlfn.XLOOKUP($A320&amp;$B320&amp;$C320,盘货信息!$A:$A&amp;盘货信息!$B:$B&amp;盘货信息!$C:$C,盘货信息!$J:$J),0)&amp;"元限时补贴"))</f>
        <v/>
      </c>
      <c r="K320" s="27" t="str" cm="1">
        <f t="array" ref="K320">IF($C320="","",IF(_xlfn.XLOOKUP($A320&amp;$B320&amp;$C320,盘货信息!$A:$A&amp;盘货信息!$B:$B&amp;盘货信息!$C:$C,盘货信息!$K:$K)&lt;1,"",ROUND(_xlfn.XLOOKUP($A320&amp;$B320&amp;$C320,盘货信息!$A:$A&amp;盘货信息!$B:$B&amp;盘货信息!$C:$C,盘货信息!$K:$K),0)&amp;"元预估焕新补贴"))</f>
        <v/>
      </c>
      <c r="L320" s="27" t="str" cm="1">
        <f t="array" ref="L320">IF($C320="","",IF(AND(_xlfn.XLOOKUP($A320&amp;$B320&amp;$C320,盘货信息!$A:$A&amp;盘货信息!$B:$B&amp;盘货信息!$C:$C,盘货信息!$L:$L)="是",_xlfn.XLOOKUP($A320&amp;$B320&amp;$C320,盘货信息!$A:$A&amp;盘货信息!$B:$B&amp;盘货信息!$C:$C,盘货信息!$M:$M)="是",_xlfn.XLOOKUP($A320&amp;$B320&amp;$C320,盘货信息!$A:$A&amp;盘货信息!$B:$B&amp;盘货信息!$C:$C,盘货信息!$K:$K)&gt;0),"【全民可用，不限地址】",IF(AND(OR(_xlfn.XLOOKUP($A320&amp;$B320&amp;$C320,盘货信息!$A:$A&amp;盘货信息!$B:$B&amp;盘货信息!$C:$C,盘货信息!$L:$L)="否",_xlfn.XLOOKUP($A320&amp;$B320&amp;$C320,盘货信息!$A:$A&amp;盘货信息!$B:$B&amp;盘货信息!$C:$C,盘货信息!$L:$L)=""),_xlfn.XLOOKUP($A320&amp;$B320&amp;$C320,盘货信息!$A:$A&amp;盘货信息!$B:$B&amp;盘货信息!$C:$C,盘货信息!$M:$M)="是",_xlfn.XLOOKUP($A320&amp;$B320&amp;$C320,盘货信息!$A:$A&amp;盘货信息!$B:$B&amp;盘货信息!$C:$C,盘货信息!$K:$K)&gt;0),"【详情页领取】","")))</f>
        <v/>
      </c>
      <c r="M320" s="27" t="str" cm="1">
        <f t="array" ref="M320">IF($C320="","",IF(_xlfn.XLOOKUP($A320&amp;$B320&amp;$C320,盘货信息!$A:$A&amp;盘货信息!$B:$B&amp;盘货信息!$C:$C,盘货信息!$F:$F)&lt;1,"",_xlfn.XLOOKUP($A320&amp;$B320&amp;$C320,盘货信息!$A:$A&amp;盘货信息!$B:$B&amp;盘货信息!$C:$C,盘货信息!$F:$F)&amp;"元明卷"))</f>
        <v/>
      </c>
      <c r="N320" s="27" t="str">
        <f t="shared" si="9"/>
        <v/>
      </c>
      <c r="O320" s="27" t="str">
        <f>IF(I320="","","【消费券链接】"&amp;固定信息!$B$6)</f>
        <v/>
      </c>
    </row>
    <row r="321" customHeight="1" spans="1:15">
      <c r="A321" s="23" t="str">
        <f>IF(盘货信息!A321="","",盘货信息!A321)</f>
        <v/>
      </c>
      <c r="B321" s="26" t="str">
        <f>IF(盘货信息!B321="","",盘货信息!B321)</f>
        <v/>
      </c>
      <c r="C321" s="23" t="str">
        <f>IF(盘货信息!C321="","",盘货信息!C321)</f>
        <v/>
      </c>
      <c r="D321" s="27" t="str">
        <f t="shared" si="8"/>
        <v/>
      </c>
      <c r="E321" s="27" t="str" cm="1">
        <f t="array" ref="E321">IF($C321="","",IF(AND(OR(_xlfn.XLOOKUP($A321&amp;$B321&amp;$C321,盘货信息!$A:$A&amp;盘货信息!$B:$B&amp;盘货信息!$C:$C,盘货信息!$L:$L)="否",_xlfn.XLOOKUP($A321&amp;$B321&amp;$C321,盘货信息!$A:$A&amp;盘货信息!$B:$B&amp;盘货信息!$C:$C,盘货信息!$L:$L)=""),_xlfn.XLOOKUP($A321&amp;$B321&amp;$C321,盘货信息!$A:$A&amp;盘货信息!$B:$B&amp;盘货信息!$C:$C,盘货信息!$M:$M)="否"),"【预估到手价"&amp;_xlfn.XLOOKUP($A321&amp;$B321&amp;$C321,盘货信息!$A:$A&amp;盘货信息!$B:$B&amp;盘货信息!$C:$C,盘货信息!$D:$D)&amp;"元】",IF(AND(_xlfn.XLOOKUP($A321&amp;$B321&amp;$C321,盘货信息!$A:$A&amp;盘货信息!$B:$B&amp;盘货信息!$C:$C,盘货信息!$M:$M)="是",OR(_xlfn.XLOOKUP($A321&amp;$B321&amp;$C321,盘货信息!$A:$A&amp;盘货信息!$B:$B&amp;盘货信息!$C:$C,盘货信息!$L:$L)="否",_xlfn.XLOOKUP($A321&amp;$B321&amp;$C321,盘货信息!$A:$A&amp;盘货信息!$B:$B&amp;盘货信息!$C:$C,盘货信息!$L:$L)="")),"【预估到手价"&amp;_xlfn.XLOOKUP($A321&amp;$B321&amp;$C321,盘货信息!$A:$A&amp;盘货信息!$B:$B&amp;盘货信息!$C:$C,盘货信息!$D:$D)&amp;"元】"&amp;CHAR(10)&amp;"【焕新补贴预估价"&amp;ROUND(_xlfn.XLOOKUP($A321&amp;$B321&amp;$C321,盘货信息!$A:$A&amp;盘货信息!$B:$B&amp;盘货信息!$C:$C,盘货信息!$E:$E),0)&amp;"元】","【焕新补贴预估价"&amp;ROUND(_xlfn.XLOOKUP($A321&amp;$B321&amp;$C321,盘货信息!$A:$A&amp;盘货信息!$B:$B&amp;盘货信息!$C:$C,盘货信息!$E:$E),0)&amp;"元】")))</f>
        <v/>
      </c>
      <c r="F321" s="27" t="str" cm="1">
        <f t="array" ref="F321">IF($C321="","",_xlfn.XLOOKUP($A321&amp;$B321&amp;$C321,盘货信息!$A:$A&amp;盘货信息!$B:$B&amp;盘货信息!$C:$C,盘货信息!$D:$D)&amp;"元到手价")</f>
        <v/>
      </c>
      <c r="G321" s="27" t="str" cm="1">
        <f t="array" ref="G321">IF($C321="","",IF(_xlfn.XLOOKUP($A321&amp;$B321&amp;$C321,盘货信息!$A:$A&amp;盘货信息!$B:$B&amp;盘货信息!$C:$C,盘货信息!$G:$G)&lt;1,"",ROUND(_xlfn.XLOOKUP($A321&amp;$B321&amp;$C321,盘货信息!$A:$A&amp;盘货信息!$B:$B&amp;盘货信息!$C:$C,盘货信息!$G:$G),0)&amp;"元88VIP立减"))</f>
        <v/>
      </c>
      <c r="H321" s="27" t="str" cm="1">
        <f t="array" ref="H321">IF($C321="","",IF(_xlfn.XLOOKUP($A321&amp;$B321&amp;$C321,盘货信息!$A:$A&amp;盘货信息!$B:$B&amp;盘货信息!$C:$C,盘货信息!$I:$I)&lt;1,"",_xlfn.XLOOKUP($A321&amp;$B321&amp;$C321,盘货信息!$A:$A&amp;盘货信息!$B:$B&amp;盘货信息!$C:$C,盘货信息!$I:$I)&amp;"元惊喜立减"))</f>
        <v/>
      </c>
      <c r="I321" s="27" t="str" cm="1">
        <f t="array" ref="I321">IF($C321="","",IF(_xlfn.XLOOKUP($A321&amp;$B321&amp;$C321,盘货信息!$A:$A&amp;盘货信息!$B:$B&amp;盘货信息!$C:$C,盘货信息!$H:$H)&lt;1,"",ROUND(_xlfn.XLOOKUP($A321&amp;$B321&amp;$C321,盘货信息!$A:$A&amp;盘货信息!$B:$B&amp;盘货信息!$C:$C,盘货信息!$H:$H),0)&amp;"元消费券"))</f>
        <v/>
      </c>
      <c r="J321" s="27" t="str" cm="1">
        <f t="array" ref="J321">IF($C321="","",IF(_xlfn.XLOOKUP($A321&amp;$B321&amp;$C321,盘货信息!$A:$A&amp;盘货信息!$B:$B&amp;盘货信息!$C:$C,盘货信息!$J:$J)&lt;1,"",ROUND(_xlfn.XLOOKUP($A321&amp;$B321&amp;$C321,盘货信息!$A:$A&amp;盘货信息!$B:$B&amp;盘货信息!$C:$C,盘货信息!$J:$J),0)&amp;"元限时补贴"))</f>
        <v/>
      </c>
      <c r="K321" s="27" t="str" cm="1">
        <f t="array" ref="K321">IF($C321="","",IF(_xlfn.XLOOKUP($A321&amp;$B321&amp;$C321,盘货信息!$A:$A&amp;盘货信息!$B:$B&amp;盘货信息!$C:$C,盘货信息!$K:$K)&lt;1,"",ROUND(_xlfn.XLOOKUP($A321&amp;$B321&amp;$C321,盘货信息!$A:$A&amp;盘货信息!$B:$B&amp;盘货信息!$C:$C,盘货信息!$K:$K),0)&amp;"元预估焕新补贴"))</f>
        <v/>
      </c>
      <c r="L321" s="27" t="str" cm="1">
        <f t="array" ref="L321">IF($C321="","",IF(AND(_xlfn.XLOOKUP($A321&amp;$B321&amp;$C321,盘货信息!$A:$A&amp;盘货信息!$B:$B&amp;盘货信息!$C:$C,盘货信息!$L:$L)="是",_xlfn.XLOOKUP($A321&amp;$B321&amp;$C321,盘货信息!$A:$A&amp;盘货信息!$B:$B&amp;盘货信息!$C:$C,盘货信息!$M:$M)="是",_xlfn.XLOOKUP($A321&amp;$B321&amp;$C321,盘货信息!$A:$A&amp;盘货信息!$B:$B&amp;盘货信息!$C:$C,盘货信息!$K:$K)&gt;0),"【全民可用，不限地址】",IF(AND(OR(_xlfn.XLOOKUP($A321&amp;$B321&amp;$C321,盘货信息!$A:$A&amp;盘货信息!$B:$B&amp;盘货信息!$C:$C,盘货信息!$L:$L)="否",_xlfn.XLOOKUP($A321&amp;$B321&amp;$C321,盘货信息!$A:$A&amp;盘货信息!$B:$B&amp;盘货信息!$C:$C,盘货信息!$L:$L)=""),_xlfn.XLOOKUP($A321&amp;$B321&amp;$C321,盘货信息!$A:$A&amp;盘货信息!$B:$B&amp;盘货信息!$C:$C,盘货信息!$M:$M)="是",_xlfn.XLOOKUP($A321&amp;$B321&amp;$C321,盘货信息!$A:$A&amp;盘货信息!$B:$B&amp;盘货信息!$C:$C,盘货信息!$K:$K)&gt;0),"【详情页领取】","")))</f>
        <v/>
      </c>
      <c r="M321" s="27" t="str" cm="1">
        <f t="array" ref="M321">IF($C321="","",IF(_xlfn.XLOOKUP($A321&amp;$B321&amp;$C321,盘货信息!$A:$A&amp;盘货信息!$B:$B&amp;盘货信息!$C:$C,盘货信息!$F:$F)&lt;1,"",_xlfn.XLOOKUP($A321&amp;$B321&amp;$C321,盘货信息!$A:$A&amp;盘货信息!$B:$B&amp;盘货信息!$C:$C,盘货信息!$F:$F)&amp;"元明卷"))</f>
        <v/>
      </c>
      <c r="N321" s="27" t="str">
        <f t="shared" si="9"/>
        <v/>
      </c>
      <c r="O321" s="27" t="str">
        <f>IF(I321="","","【消费券链接】"&amp;固定信息!$B$6)</f>
        <v/>
      </c>
    </row>
    <row r="322" customHeight="1" spans="1:15">
      <c r="A322" s="23" t="str">
        <f>IF(盘货信息!A322="","",盘货信息!A322)</f>
        <v/>
      </c>
      <c r="B322" s="26" t="str">
        <f>IF(盘货信息!B322="","",盘货信息!B322)</f>
        <v/>
      </c>
      <c r="C322" s="23" t="str">
        <f>IF(盘货信息!C322="","",盘货信息!C322)</f>
        <v/>
      </c>
      <c r="D322" s="27" t="str">
        <f t="shared" si="8"/>
        <v/>
      </c>
      <c r="E322" s="27" t="str" cm="1">
        <f t="array" ref="E322">IF($C322="","",IF(AND(OR(_xlfn.XLOOKUP($A322&amp;$B322&amp;$C322,盘货信息!$A:$A&amp;盘货信息!$B:$B&amp;盘货信息!$C:$C,盘货信息!$L:$L)="否",_xlfn.XLOOKUP($A322&amp;$B322&amp;$C322,盘货信息!$A:$A&amp;盘货信息!$B:$B&amp;盘货信息!$C:$C,盘货信息!$L:$L)=""),_xlfn.XLOOKUP($A322&amp;$B322&amp;$C322,盘货信息!$A:$A&amp;盘货信息!$B:$B&amp;盘货信息!$C:$C,盘货信息!$M:$M)="否"),"【预估到手价"&amp;_xlfn.XLOOKUP($A322&amp;$B322&amp;$C322,盘货信息!$A:$A&amp;盘货信息!$B:$B&amp;盘货信息!$C:$C,盘货信息!$D:$D)&amp;"元】",IF(AND(_xlfn.XLOOKUP($A322&amp;$B322&amp;$C322,盘货信息!$A:$A&amp;盘货信息!$B:$B&amp;盘货信息!$C:$C,盘货信息!$M:$M)="是",OR(_xlfn.XLOOKUP($A322&amp;$B322&amp;$C322,盘货信息!$A:$A&amp;盘货信息!$B:$B&amp;盘货信息!$C:$C,盘货信息!$L:$L)="否",_xlfn.XLOOKUP($A322&amp;$B322&amp;$C322,盘货信息!$A:$A&amp;盘货信息!$B:$B&amp;盘货信息!$C:$C,盘货信息!$L:$L)="")),"【预估到手价"&amp;_xlfn.XLOOKUP($A322&amp;$B322&amp;$C322,盘货信息!$A:$A&amp;盘货信息!$B:$B&amp;盘货信息!$C:$C,盘货信息!$D:$D)&amp;"元】"&amp;CHAR(10)&amp;"【焕新补贴预估价"&amp;ROUND(_xlfn.XLOOKUP($A322&amp;$B322&amp;$C322,盘货信息!$A:$A&amp;盘货信息!$B:$B&amp;盘货信息!$C:$C,盘货信息!$E:$E),0)&amp;"元】","【焕新补贴预估价"&amp;ROUND(_xlfn.XLOOKUP($A322&amp;$B322&amp;$C322,盘货信息!$A:$A&amp;盘货信息!$B:$B&amp;盘货信息!$C:$C,盘货信息!$E:$E),0)&amp;"元】")))</f>
        <v/>
      </c>
      <c r="F322" s="27" t="str" cm="1">
        <f t="array" ref="F322">IF($C322="","",_xlfn.XLOOKUP($A322&amp;$B322&amp;$C322,盘货信息!$A:$A&amp;盘货信息!$B:$B&amp;盘货信息!$C:$C,盘货信息!$D:$D)&amp;"元到手价")</f>
        <v/>
      </c>
      <c r="G322" s="27" t="str" cm="1">
        <f t="array" ref="G322">IF($C322="","",IF(_xlfn.XLOOKUP($A322&amp;$B322&amp;$C322,盘货信息!$A:$A&amp;盘货信息!$B:$B&amp;盘货信息!$C:$C,盘货信息!$G:$G)&lt;1,"",ROUND(_xlfn.XLOOKUP($A322&amp;$B322&amp;$C322,盘货信息!$A:$A&amp;盘货信息!$B:$B&amp;盘货信息!$C:$C,盘货信息!$G:$G),0)&amp;"元88VIP立减"))</f>
        <v/>
      </c>
      <c r="H322" s="27" t="str" cm="1">
        <f t="array" ref="H322">IF($C322="","",IF(_xlfn.XLOOKUP($A322&amp;$B322&amp;$C322,盘货信息!$A:$A&amp;盘货信息!$B:$B&amp;盘货信息!$C:$C,盘货信息!$I:$I)&lt;1,"",_xlfn.XLOOKUP($A322&amp;$B322&amp;$C322,盘货信息!$A:$A&amp;盘货信息!$B:$B&amp;盘货信息!$C:$C,盘货信息!$I:$I)&amp;"元惊喜立减"))</f>
        <v/>
      </c>
      <c r="I322" s="27" t="str" cm="1">
        <f t="array" ref="I322">IF($C322="","",IF(_xlfn.XLOOKUP($A322&amp;$B322&amp;$C322,盘货信息!$A:$A&amp;盘货信息!$B:$B&amp;盘货信息!$C:$C,盘货信息!$H:$H)&lt;1,"",ROUND(_xlfn.XLOOKUP($A322&amp;$B322&amp;$C322,盘货信息!$A:$A&amp;盘货信息!$B:$B&amp;盘货信息!$C:$C,盘货信息!$H:$H),0)&amp;"元消费券"))</f>
        <v/>
      </c>
      <c r="J322" s="27" t="str" cm="1">
        <f t="array" ref="J322">IF($C322="","",IF(_xlfn.XLOOKUP($A322&amp;$B322&amp;$C322,盘货信息!$A:$A&amp;盘货信息!$B:$B&amp;盘货信息!$C:$C,盘货信息!$J:$J)&lt;1,"",ROUND(_xlfn.XLOOKUP($A322&amp;$B322&amp;$C322,盘货信息!$A:$A&amp;盘货信息!$B:$B&amp;盘货信息!$C:$C,盘货信息!$J:$J),0)&amp;"元限时补贴"))</f>
        <v/>
      </c>
      <c r="K322" s="27" t="str" cm="1">
        <f t="array" ref="K322">IF($C322="","",IF(_xlfn.XLOOKUP($A322&amp;$B322&amp;$C322,盘货信息!$A:$A&amp;盘货信息!$B:$B&amp;盘货信息!$C:$C,盘货信息!$K:$K)&lt;1,"",ROUND(_xlfn.XLOOKUP($A322&amp;$B322&amp;$C322,盘货信息!$A:$A&amp;盘货信息!$B:$B&amp;盘货信息!$C:$C,盘货信息!$K:$K),0)&amp;"元预估焕新补贴"))</f>
        <v/>
      </c>
      <c r="L322" s="27" t="str" cm="1">
        <f t="array" ref="L322">IF($C322="","",IF(AND(_xlfn.XLOOKUP($A322&amp;$B322&amp;$C322,盘货信息!$A:$A&amp;盘货信息!$B:$B&amp;盘货信息!$C:$C,盘货信息!$L:$L)="是",_xlfn.XLOOKUP($A322&amp;$B322&amp;$C322,盘货信息!$A:$A&amp;盘货信息!$B:$B&amp;盘货信息!$C:$C,盘货信息!$M:$M)="是",_xlfn.XLOOKUP($A322&amp;$B322&amp;$C322,盘货信息!$A:$A&amp;盘货信息!$B:$B&amp;盘货信息!$C:$C,盘货信息!$K:$K)&gt;0),"【全民可用，不限地址】",IF(AND(OR(_xlfn.XLOOKUP($A322&amp;$B322&amp;$C322,盘货信息!$A:$A&amp;盘货信息!$B:$B&amp;盘货信息!$C:$C,盘货信息!$L:$L)="否",_xlfn.XLOOKUP($A322&amp;$B322&amp;$C322,盘货信息!$A:$A&amp;盘货信息!$B:$B&amp;盘货信息!$C:$C,盘货信息!$L:$L)=""),_xlfn.XLOOKUP($A322&amp;$B322&amp;$C322,盘货信息!$A:$A&amp;盘货信息!$B:$B&amp;盘货信息!$C:$C,盘货信息!$M:$M)="是",_xlfn.XLOOKUP($A322&amp;$B322&amp;$C322,盘货信息!$A:$A&amp;盘货信息!$B:$B&amp;盘货信息!$C:$C,盘货信息!$K:$K)&gt;0),"【详情页领取】","")))</f>
        <v/>
      </c>
      <c r="M322" s="27" t="str" cm="1">
        <f t="array" ref="M322">IF($C322="","",IF(_xlfn.XLOOKUP($A322&amp;$B322&amp;$C322,盘货信息!$A:$A&amp;盘货信息!$B:$B&amp;盘货信息!$C:$C,盘货信息!$F:$F)&lt;1,"",_xlfn.XLOOKUP($A322&amp;$B322&amp;$C322,盘货信息!$A:$A&amp;盘货信息!$B:$B&amp;盘货信息!$C:$C,盘货信息!$F:$F)&amp;"元明卷"))</f>
        <v/>
      </c>
      <c r="N322" s="27" t="str">
        <f t="shared" si="9"/>
        <v/>
      </c>
      <c r="O322" s="27" t="str">
        <f>IF(I322="","","【消费券链接】"&amp;固定信息!$B$6)</f>
        <v/>
      </c>
    </row>
    <row r="323" customHeight="1" spans="1:15">
      <c r="A323" s="23" t="str">
        <f>IF(盘货信息!A323="","",盘货信息!A323)</f>
        <v/>
      </c>
      <c r="B323" s="26" t="str">
        <f>IF(盘货信息!B323="","",盘货信息!B323)</f>
        <v/>
      </c>
      <c r="C323" s="23" t="str">
        <f>IF(盘货信息!C323="","",盘货信息!C323)</f>
        <v/>
      </c>
      <c r="D323" s="27" t="str">
        <f t="shared" ref="D323:D386" si="10">IF($C323="","",_xlfn.TEXTJOIN(CHAR(10),TRUE,N323:O323))</f>
        <v/>
      </c>
      <c r="E323" s="27" t="str" cm="1">
        <f t="array" ref="E323">IF($C323="","",IF(AND(OR(_xlfn.XLOOKUP($A323&amp;$B323&amp;$C323,盘货信息!$A:$A&amp;盘货信息!$B:$B&amp;盘货信息!$C:$C,盘货信息!$L:$L)="否",_xlfn.XLOOKUP($A323&amp;$B323&amp;$C323,盘货信息!$A:$A&amp;盘货信息!$B:$B&amp;盘货信息!$C:$C,盘货信息!$L:$L)=""),_xlfn.XLOOKUP($A323&amp;$B323&amp;$C323,盘货信息!$A:$A&amp;盘货信息!$B:$B&amp;盘货信息!$C:$C,盘货信息!$M:$M)="否"),"【预估到手价"&amp;_xlfn.XLOOKUP($A323&amp;$B323&amp;$C323,盘货信息!$A:$A&amp;盘货信息!$B:$B&amp;盘货信息!$C:$C,盘货信息!$D:$D)&amp;"元】",IF(AND(_xlfn.XLOOKUP($A323&amp;$B323&amp;$C323,盘货信息!$A:$A&amp;盘货信息!$B:$B&amp;盘货信息!$C:$C,盘货信息!$M:$M)="是",OR(_xlfn.XLOOKUP($A323&amp;$B323&amp;$C323,盘货信息!$A:$A&amp;盘货信息!$B:$B&amp;盘货信息!$C:$C,盘货信息!$L:$L)="否",_xlfn.XLOOKUP($A323&amp;$B323&amp;$C323,盘货信息!$A:$A&amp;盘货信息!$B:$B&amp;盘货信息!$C:$C,盘货信息!$L:$L)="")),"【预估到手价"&amp;_xlfn.XLOOKUP($A323&amp;$B323&amp;$C323,盘货信息!$A:$A&amp;盘货信息!$B:$B&amp;盘货信息!$C:$C,盘货信息!$D:$D)&amp;"元】"&amp;CHAR(10)&amp;"【焕新补贴预估价"&amp;ROUND(_xlfn.XLOOKUP($A323&amp;$B323&amp;$C323,盘货信息!$A:$A&amp;盘货信息!$B:$B&amp;盘货信息!$C:$C,盘货信息!$E:$E),0)&amp;"元】","【焕新补贴预估价"&amp;ROUND(_xlfn.XLOOKUP($A323&amp;$B323&amp;$C323,盘货信息!$A:$A&amp;盘货信息!$B:$B&amp;盘货信息!$C:$C,盘货信息!$E:$E),0)&amp;"元】")))</f>
        <v/>
      </c>
      <c r="F323" s="27" t="str" cm="1">
        <f t="array" ref="F323">IF($C323="","",_xlfn.XLOOKUP($A323&amp;$B323&amp;$C323,盘货信息!$A:$A&amp;盘货信息!$B:$B&amp;盘货信息!$C:$C,盘货信息!$D:$D)&amp;"元到手价")</f>
        <v/>
      </c>
      <c r="G323" s="27" t="str" cm="1">
        <f t="array" ref="G323">IF($C323="","",IF(_xlfn.XLOOKUP($A323&amp;$B323&amp;$C323,盘货信息!$A:$A&amp;盘货信息!$B:$B&amp;盘货信息!$C:$C,盘货信息!$G:$G)&lt;1,"",ROUND(_xlfn.XLOOKUP($A323&amp;$B323&amp;$C323,盘货信息!$A:$A&amp;盘货信息!$B:$B&amp;盘货信息!$C:$C,盘货信息!$G:$G),0)&amp;"元88VIP立减"))</f>
        <v/>
      </c>
      <c r="H323" s="27" t="str" cm="1">
        <f t="array" ref="H323">IF($C323="","",IF(_xlfn.XLOOKUP($A323&amp;$B323&amp;$C323,盘货信息!$A:$A&amp;盘货信息!$B:$B&amp;盘货信息!$C:$C,盘货信息!$I:$I)&lt;1,"",_xlfn.XLOOKUP($A323&amp;$B323&amp;$C323,盘货信息!$A:$A&amp;盘货信息!$B:$B&amp;盘货信息!$C:$C,盘货信息!$I:$I)&amp;"元惊喜立减"))</f>
        <v/>
      </c>
      <c r="I323" s="27" t="str" cm="1">
        <f t="array" ref="I323">IF($C323="","",IF(_xlfn.XLOOKUP($A323&amp;$B323&amp;$C323,盘货信息!$A:$A&amp;盘货信息!$B:$B&amp;盘货信息!$C:$C,盘货信息!$H:$H)&lt;1,"",ROUND(_xlfn.XLOOKUP($A323&amp;$B323&amp;$C323,盘货信息!$A:$A&amp;盘货信息!$B:$B&amp;盘货信息!$C:$C,盘货信息!$H:$H),0)&amp;"元消费券"))</f>
        <v/>
      </c>
      <c r="J323" s="27" t="str" cm="1">
        <f t="array" ref="J323">IF($C323="","",IF(_xlfn.XLOOKUP($A323&amp;$B323&amp;$C323,盘货信息!$A:$A&amp;盘货信息!$B:$B&amp;盘货信息!$C:$C,盘货信息!$J:$J)&lt;1,"",ROUND(_xlfn.XLOOKUP($A323&amp;$B323&amp;$C323,盘货信息!$A:$A&amp;盘货信息!$B:$B&amp;盘货信息!$C:$C,盘货信息!$J:$J),0)&amp;"元限时补贴"))</f>
        <v/>
      </c>
      <c r="K323" s="27" t="str" cm="1">
        <f t="array" ref="K323">IF($C323="","",IF(_xlfn.XLOOKUP($A323&amp;$B323&amp;$C323,盘货信息!$A:$A&amp;盘货信息!$B:$B&amp;盘货信息!$C:$C,盘货信息!$K:$K)&lt;1,"",ROUND(_xlfn.XLOOKUP($A323&amp;$B323&amp;$C323,盘货信息!$A:$A&amp;盘货信息!$B:$B&amp;盘货信息!$C:$C,盘货信息!$K:$K),0)&amp;"元预估焕新补贴"))</f>
        <v/>
      </c>
      <c r="L323" s="27" t="str" cm="1">
        <f t="array" ref="L323">IF($C323="","",IF(AND(_xlfn.XLOOKUP($A323&amp;$B323&amp;$C323,盘货信息!$A:$A&amp;盘货信息!$B:$B&amp;盘货信息!$C:$C,盘货信息!$L:$L)="是",_xlfn.XLOOKUP($A323&amp;$B323&amp;$C323,盘货信息!$A:$A&amp;盘货信息!$B:$B&amp;盘货信息!$C:$C,盘货信息!$M:$M)="是",_xlfn.XLOOKUP($A323&amp;$B323&amp;$C323,盘货信息!$A:$A&amp;盘货信息!$B:$B&amp;盘货信息!$C:$C,盘货信息!$K:$K)&gt;0),"【全民可用，不限地址】",IF(AND(OR(_xlfn.XLOOKUP($A323&amp;$B323&amp;$C323,盘货信息!$A:$A&amp;盘货信息!$B:$B&amp;盘货信息!$C:$C,盘货信息!$L:$L)="否",_xlfn.XLOOKUP($A323&amp;$B323&amp;$C323,盘货信息!$A:$A&amp;盘货信息!$B:$B&amp;盘货信息!$C:$C,盘货信息!$L:$L)=""),_xlfn.XLOOKUP($A323&amp;$B323&amp;$C323,盘货信息!$A:$A&amp;盘货信息!$B:$B&amp;盘货信息!$C:$C,盘货信息!$M:$M)="是",_xlfn.XLOOKUP($A323&amp;$B323&amp;$C323,盘货信息!$A:$A&amp;盘货信息!$B:$B&amp;盘货信息!$C:$C,盘货信息!$K:$K)&gt;0),"【详情页领取】","")))</f>
        <v/>
      </c>
      <c r="M323" s="27" t="str" cm="1">
        <f t="array" ref="M323">IF($C323="","",IF(_xlfn.XLOOKUP($A323&amp;$B323&amp;$C323,盘货信息!$A:$A&amp;盘货信息!$B:$B&amp;盘货信息!$C:$C,盘货信息!$F:$F)&lt;1,"",_xlfn.XLOOKUP($A323&amp;$B323&amp;$C323,盘货信息!$A:$A&amp;盘货信息!$B:$B&amp;盘货信息!$C:$C,盘货信息!$F:$F)&amp;"元明卷"))</f>
        <v/>
      </c>
      <c r="N323" s="27" t="str">
        <f t="shared" ref="N323:N386" si="11">IF(C323="","",E323&amp;"="&amp;F323&amp;IF(G323="","","-"&amp;G323)&amp;IF(H323="","","-"&amp;H323)&amp;IF(I323="","","-"&amp;I323)&amp;IF(J323="","","-"&amp;J323)&amp;IF(K323="","","-"&amp;K323&amp;L323))</f>
        <v/>
      </c>
      <c r="O323" s="27" t="str">
        <f>IF(I323="","","【消费券链接】"&amp;固定信息!$B$6)</f>
        <v/>
      </c>
    </row>
    <row r="324" customHeight="1" spans="1:15">
      <c r="A324" s="23" t="str">
        <f>IF(盘货信息!A324="","",盘货信息!A324)</f>
        <v/>
      </c>
      <c r="B324" s="26" t="str">
        <f>IF(盘货信息!B324="","",盘货信息!B324)</f>
        <v/>
      </c>
      <c r="C324" s="23" t="str">
        <f>IF(盘货信息!C324="","",盘货信息!C324)</f>
        <v/>
      </c>
      <c r="D324" s="27" t="str">
        <f t="shared" si="10"/>
        <v/>
      </c>
      <c r="E324" s="27" t="str" cm="1">
        <f t="array" ref="E324">IF($C324="","",IF(AND(OR(_xlfn.XLOOKUP($A324&amp;$B324&amp;$C324,盘货信息!$A:$A&amp;盘货信息!$B:$B&amp;盘货信息!$C:$C,盘货信息!$L:$L)="否",_xlfn.XLOOKUP($A324&amp;$B324&amp;$C324,盘货信息!$A:$A&amp;盘货信息!$B:$B&amp;盘货信息!$C:$C,盘货信息!$L:$L)=""),_xlfn.XLOOKUP($A324&amp;$B324&amp;$C324,盘货信息!$A:$A&amp;盘货信息!$B:$B&amp;盘货信息!$C:$C,盘货信息!$M:$M)="否"),"【预估到手价"&amp;_xlfn.XLOOKUP($A324&amp;$B324&amp;$C324,盘货信息!$A:$A&amp;盘货信息!$B:$B&amp;盘货信息!$C:$C,盘货信息!$D:$D)&amp;"元】",IF(AND(_xlfn.XLOOKUP($A324&amp;$B324&amp;$C324,盘货信息!$A:$A&amp;盘货信息!$B:$B&amp;盘货信息!$C:$C,盘货信息!$M:$M)="是",OR(_xlfn.XLOOKUP($A324&amp;$B324&amp;$C324,盘货信息!$A:$A&amp;盘货信息!$B:$B&amp;盘货信息!$C:$C,盘货信息!$L:$L)="否",_xlfn.XLOOKUP($A324&amp;$B324&amp;$C324,盘货信息!$A:$A&amp;盘货信息!$B:$B&amp;盘货信息!$C:$C,盘货信息!$L:$L)="")),"【预估到手价"&amp;_xlfn.XLOOKUP($A324&amp;$B324&amp;$C324,盘货信息!$A:$A&amp;盘货信息!$B:$B&amp;盘货信息!$C:$C,盘货信息!$D:$D)&amp;"元】"&amp;CHAR(10)&amp;"【焕新补贴预估价"&amp;ROUND(_xlfn.XLOOKUP($A324&amp;$B324&amp;$C324,盘货信息!$A:$A&amp;盘货信息!$B:$B&amp;盘货信息!$C:$C,盘货信息!$E:$E),0)&amp;"元】","【焕新补贴预估价"&amp;ROUND(_xlfn.XLOOKUP($A324&amp;$B324&amp;$C324,盘货信息!$A:$A&amp;盘货信息!$B:$B&amp;盘货信息!$C:$C,盘货信息!$E:$E),0)&amp;"元】")))</f>
        <v/>
      </c>
      <c r="F324" s="27" t="str" cm="1">
        <f t="array" ref="F324">IF($C324="","",_xlfn.XLOOKUP($A324&amp;$B324&amp;$C324,盘货信息!$A:$A&amp;盘货信息!$B:$B&amp;盘货信息!$C:$C,盘货信息!$D:$D)&amp;"元到手价")</f>
        <v/>
      </c>
      <c r="G324" s="27" t="str" cm="1">
        <f t="array" ref="G324">IF($C324="","",IF(_xlfn.XLOOKUP($A324&amp;$B324&amp;$C324,盘货信息!$A:$A&amp;盘货信息!$B:$B&amp;盘货信息!$C:$C,盘货信息!$G:$G)&lt;1,"",ROUND(_xlfn.XLOOKUP($A324&amp;$B324&amp;$C324,盘货信息!$A:$A&amp;盘货信息!$B:$B&amp;盘货信息!$C:$C,盘货信息!$G:$G),0)&amp;"元88VIP立减"))</f>
        <v/>
      </c>
      <c r="H324" s="27" t="str" cm="1">
        <f t="array" ref="H324">IF($C324="","",IF(_xlfn.XLOOKUP($A324&amp;$B324&amp;$C324,盘货信息!$A:$A&amp;盘货信息!$B:$B&amp;盘货信息!$C:$C,盘货信息!$I:$I)&lt;1,"",_xlfn.XLOOKUP($A324&amp;$B324&amp;$C324,盘货信息!$A:$A&amp;盘货信息!$B:$B&amp;盘货信息!$C:$C,盘货信息!$I:$I)&amp;"元惊喜立减"))</f>
        <v/>
      </c>
      <c r="I324" s="27" t="str" cm="1">
        <f t="array" ref="I324">IF($C324="","",IF(_xlfn.XLOOKUP($A324&amp;$B324&amp;$C324,盘货信息!$A:$A&amp;盘货信息!$B:$B&amp;盘货信息!$C:$C,盘货信息!$H:$H)&lt;1,"",ROUND(_xlfn.XLOOKUP($A324&amp;$B324&amp;$C324,盘货信息!$A:$A&amp;盘货信息!$B:$B&amp;盘货信息!$C:$C,盘货信息!$H:$H),0)&amp;"元消费券"))</f>
        <v/>
      </c>
      <c r="J324" s="27" t="str" cm="1">
        <f t="array" ref="J324">IF($C324="","",IF(_xlfn.XLOOKUP($A324&amp;$B324&amp;$C324,盘货信息!$A:$A&amp;盘货信息!$B:$B&amp;盘货信息!$C:$C,盘货信息!$J:$J)&lt;1,"",ROUND(_xlfn.XLOOKUP($A324&amp;$B324&amp;$C324,盘货信息!$A:$A&amp;盘货信息!$B:$B&amp;盘货信息!$C:$C,盘货信息!$J:$J),0)&amp;"元限时补贴"))</f>
        <v/>
      </c>
      <c r="K324" s="27" t="str" cm="1">
        <f t="array" ref="K324">IF($C324="","",IF(_xlfn.XLOOKUP($A324&amp;$B324&amp;$C324,盘货信息!$A:$A&amp;盘货信息!$B:$B&amp;盘货信息!$C:$C,盘货信息!$K:$K)&lt;1,"",ROUND(_xlfn.XLOOKUP($A324&amp;$B324&amp;$C324,盘货信息!$A:$A&amp;盘货信息!$B:$B&amp;盘货信息!$C:$C,盘货信息!$K:$K),0)&amp;"元预估焕新补贴"))</f>
        <v/>
      </c>
      <c r="L324" s="27" t="str" cm="1">
        <f t="array" ref="L324">IF($C324="","",IF(AND(_xlfn.XLOOKUP($A324&amp;$B324&amp;$C324,盘货信息!$A:$A&amp;盘货信息!$B:$B&amp;盘货信息!$C:$C,盘货信息!$L:$L)="是",_xlfn.XLOOKUP($A324&amp;$B324&amp;$C324,盘货信息!$A:$A&amp;盘货信息!$B:$B&amp;盘货信息!$C:$C,盘货信息!$M:$M)="是",_xlfn.XLOOKUP($A324&amp;$B324&amp;$C324,盘货信息!$A:$A&amp;盘货信息!$B:$B&amp;盘货信息!$C:$C,盘货信息!$K:$K)&gt;0),"【全民可用，不限地址】",IF(AND(OR(_xlfn.XLOOKUP($A324&amp;$B324&amp;$C324,盘货信息!$A:$A&amp;盘货信息!$B:$B&amp;盘货信息!$C:$C,盘货信息!$L:$L)="否",_xlfn.XLOOKUP($A324&amp;$B324&amp;$C324,盘货信息!$A:$A&amp;盘货信息!$B:$B&amp;盘货信息!$C:$C,盘货信息!$L:$L)=""),_xlfn.XLOOKUP($A324&amp;$B324&amp;$C324,盘货信息!$A:$A&amp;盘货信息!$B:$B&amp;盘货信息!$C:$C,盘货信息!$M:$M)="是",_xlfn.XLOOKUP($A324&amp;$B324&amp;$C324,盘货信息!$A:$A&amp;盘货信息!$B:$B&amp;盘货信息!$C:$C,盘货信息!$K:$K)&gt;0),"【详情页领取】","")))</f>
        <v/>
      </c>
      <c r="M324" s="27" t="str" cm="1">
        <f t="array" ref="M324">IF($C324="","",IF(_xlfn.XLOOKUP($A324&amp;$B324&amp;$C324,盘货信息!$A:$A&amp;盘货信息!$B:$B&amp;盘货信息!$C:$C,盘货信息!$F:$F)&lt;1,"",_xlfn.XLOOKUP($A324&amp;$B324&amp;$C324,盘货信息!$A:$A&amp;盘货信息!$B:$B&amp;盘货信息!$C:$C,盘货信息!$F:$F)&amp;"元明卷"))</f>
        <v/>
      </c>
      <c r="N324" s="27" t="str">
        <f t="shared" si="11"/>
        <v/>
      </c>
      <c r="O324" s="27" t="str">
        <f>IF(I324="","","【消费券链接】"&amp;固定信息!$B$6)</f>
        <v/>
      </c>
    </row>
    <row r="325" customHeight="1" spans="1:15">
      <c r="A325" s="23" t="str">
        <f>IF(盘货信息!A325="","",盘货信息!A325)</f>
        <v/>
      </c>
      <c r="B325" s="26" t="str">
        <f>IF(盘货信息!B325="","",盘货信息!B325)</f>
        <v/>
      </c>
      <c r="C325" s="23" t="str">
        <f>IF(盘货信息!C325="","",盘货信息!C325)</f>
        <v/>
      </c>
      <c r="D325" s="27" t="str">
        <f t="shared" si="10"/>
        <v/>
      </c>
      <c r="E325" s="27" t="str" cm="1">
        <f t="array" ref="E325">IF($C325="","",IF(AND(OR(_xlfn.XLOOKUP($A325&amp;$B325&amp;$C325,盘货信息!$A:$A&amp;盘货信息!$B:$B&amp;盘货信息!$C:$C,盘货信息!$L:$L)="否",_xlfn.XLOOKUP($A325&amp;$B325&amp;$C325,盘货信息!$A:$A&amp;盘货信息!$B:$B&amp;盘货信息!$C:$C,盘货信息!$L:$L)=""),_xlfn.XLOOKUP($A325&amp;$B325&amp;$C325,盘货信息!$A:$A&amp;盘货信息!$B:$B&amp;盘货信息!$C:$C,盘货信息!$M:$M)="否"),"【预估到手价"&amp;_xlfn.XLOOKUP($A325&amp;$B325&amp;$C325,盘货信息!$A:$A&amp;盘货信息!$B:$B&amp;盘货信息!$C:$C,盘货信息!$D:$D)&amp;"元】",IF(AND(_xlfn.XLOOKUP($A325&amp;$B325&amp;$C325,盘货信息!$A:$A&amp;盘货信息!$B:$B&amp;盘货信息!$C:$C,盘货信息!$M:$M)="是",OR(_xlfn.XLOOKUP($A325&amp;$B325&amp;$C325,盘货信息!$A:$A&amp;盘货信息!$B:$B&amp;盘货信息!$C:$C,盘货信息!$L:$L)="否",_xlfn.XLOOKUP($A325&amp;$B325&amp;$C325,盘货信息!$A:$A&amp;盘货信息!$B:$B&amp;盘货信息!$C:$C,盘货信息!$L:$L)="")),"【预估到手价"&amp;_xlfn.XLOOKUP($A325&amp;$B325&amp;$C325,盘货信息!$A:$A&amp;盘货信息!$B:$B&amp;盘货信息!$C:$C,盘货信息!$D:$D)&amp;"元】"&amp;CHAR(10)&amp;"【焕新补贴预估价"&amp;ROUND(_xlfn.XLOOKUP($A325&amp;$B325&amp;$C325,盘货信息!$A:$A&amp;盘货信息!$B:$B&amp;盘货信息!$C:$C,盘货信息!$E:$E),0)&amp;"元】","【焕新补贴预估价"&amp;ROUND(_xlfn.XLOOKUP($A325&amp;$B325&amp;$C325,盘货信息!$A:$A&amp;盘货信息!$B:$B&amp;盘货信息!$C:$C,盘货信息!$E:$E),0)&amp;"元】")))</f>
        <v/>
      </c>
      <c r="F325" s="27" t="str" cm="1">
        <f t="array" ref="F325">IF($C325="","",_xlfn.XLOOKUP($A325&amp;$B325&amp;$C325,盘货信息!$A:$A&amp;盘货信息!$B:$B&amp;盘货信息!$C:$C,盘货信息!$D:$D)&amp;"元到手价")</f>
        <v/>
      </c>
      <c r="G325" s="27" t="str" cm="1">
        <f t="array" ref="G325">IF($C325="","",IF(_xlfn.XLOOKUP($A325&amp;$B325&amp;$C325,盘货信息!$A:$A&amp;盘货信息!$B:$B&amp;盘货信息!$C:$C,盘货信息!$G:$G)&lt;1,"",ROUND(_xlfn.XLOOKUP($A325&amp;$B325&amp;$C325,盘货信息!$A:$A&amp;盘货信息!$B:$B&amp;盘货信息!$C:$C,盘货信息!$G:$G),0)&amp;"元88VIP立减"))</f>
        <v/>
      </c>
      <c r="H325" s="27" t="str" cm="1">
        <f t="array" ref="H325">IF($C325="","",IF(_xlfn.XLOOKUP($A325&amp;$B325&amp;$C325,盘货信息!$A:$A&amp;盘货信息!$B:$B&amp;盘货信息!$C:$C,盘货信息!$I:$I)&lt;1,"",_xlfn.XLOOKUP($A325&amp;$B325&amp;$C325,盘货信息!$A:$A&amp;盘货信息!$B:$B&amp;盘货信息!$C:$C,盘货信息!$I:$I)&amp;"元惊喜立减"))</f>
        <v/>
      </c>
      <c r="I325" s="27" t="str" cm="1">
        <f t="array" ref="I325">IF($C325="","",IF(_xlfn.XLOOKUP($A325&amp;$B325&amp;$C325,盘货信息!$A:$A&amp;盘货信息!$B:$B&amp;盘货信息!$C:$C,盘货信息!$H:$H)&lt;1,"",ROUND(_xlfn.XLOOKUP($A325&amp;$B325&amp;$C325,盘货信息!$A:$A&amp;盘货信息!$B:$B&amp;盘货信息!$C:$C,盘货信息!$H:$H),0)&amp;"元消费券"))</f>
        <v/>
      </c>
      <c r="J325" s="27" t="str" cm="1">
        <f t="array" ref="J325">IF($C325="","",IF(_xlfn.XLOOKUP($A325&amp;$B325&amp;$C325,盘货信息!$A:$A&amp;盘货信息!$B:$B&amp;盘货信息!$C:$C,盘货信息!$J:$J)&lt;1,"",ROUND(_xlfn.XLOOKUP($A325&amp;$B325&amp;$C325,盘货信息!$A:$A&amp;盘货信息!$B:$B&amp;盘货信息!$C:$C,盘货信息!$J:$J),0)&amp;"元限时补贴"))</f>
        <v/>
      </c>
      <c r="K325" s="27" t="str" cm="1">
        <f t="array" ref="K325">IF($C325="","",IF(_xlfn.XLOOKUP($A325&amp;$B325&amp;$C325,盘货信息!$A:$A&amp;盘货信息!$B:$B&amp;盘货信息!$C:$C,盘货信息!$K:$K)&lt;1,"",ROUND(_xlfn.XLOOKUP($A325&amp;$B325&amp;$C325,盘货信息!$A:$A&amp;盘货信息!$B:$B&amp;盘货信息!$C:$C,盘货信息!$K:$K),0)&amp;"元预估焕新补贴"))</f>
        <v/>
      </c>
      <c r="L325" s="27" t="str" cm="1">
        <f t="array" ref="L325">IF($C325="","",IF(AND(_xlfn.XLOOKUP($A325&amp;$B325&amp;$C325,盘货信息!$A:$A&amp;盘货信息!$B:$B&amp;盘货信息!$C:$C,盘货信息!$L:$L)="是",_xlfn.XLOOKUP($A325&amp;$B325&amp;$C325,盘货信息!$A:$A&amp;盘货信息!$B:$B&amp;盘货信息!$C:$C,盘货信息!$M:$M)="是",_xlfn.XLOOKUP($A325&amp;$B325&amp;$C325,盘货信息!$A:$A&amp;盘货信息!$B:$B&amp;盘货信息!$C:$C,盘货信息!$K:$K)&gt;0),"【全民可用，不限地址】",IF(AND(OR(_xlfn.XLOOKUP($A325&amp;$B325&amp;$C325,盘货信息!$A:$A&amp;盘货信息!$B:$B&amp;盘货信息!$C:$C,盘货信息!$L:$L)="否",_xlfn.XLOOKUP($A325&amp;$B325&amp;$C325,盘货信息!$A:$A&amp;盘货信息!$B:$B&amp;盘货信息!$C:$C,盘货信息!$L:$L)=""),_xlfn.XLOOKUP($A325&amp;$B325&amp;$C325,盘货信息!$A:$A&amp;盘货信息!$B:$B&amp;盘货信息!$C:$C,盘货信息!$M:$M)="是",_xlfn.XLOOKUP($A325&amp;$B325&amp;$C325,盘货信息!$A:$A&amp;盘货信息!$B:$B&amp;盘货信息!$C:$C,盘货信息!$K:$K)&gt;0),"【详情页领取】","")))</f>
        <v/>
      </c>
      <c r="M325" s="27" t="str" cm="1">
        <f t="array" ref="M325">IF($C325="","",IF(_xlfn.XLOOKUP($A325&amp;$B325&amp;$C325,盘货信息!$A:$A&amp;盘货信息!$B:$B&amp;盘货信息!$C:$C,盘货信息!$F:$F)&lt;1,"",_xlfn.XLOOKUP($A325&amp;$B325&amp;$C325,盘货信息!$A:$A&amp;盘货信息!$B:$B&amp;盘货信息!$C:$C,盘货信息!$F:$F)&amp;"元明卷"))</f>
        <v/>
      </c>
      <c r="N325" s="27" t="str">
        <f t="shared" si="11"/>
        <v/>
      </c>
      <c r="O325" s="27" t="str">
        <f>IF(I325="","","【消费券链接】"&amp;固定信息!$B$6)</f>
        <v/>
      </c>
    </row>
    <row r="326" customHeight="1" spans="1:15">
      <c r="A326" s="23" t="str">
        <f>IF(盘货信息!A326="","",盘货信息!A326)</f>
        <v/>
      </c>
      <c r="B326" s="26" t="str">
        <f>IF(盘货信息!B326="","",盘货信息!B326)</f>
        <v/>
      </c>
      <c r="C326" s="23" t="str">
        <f>IF(盘货信息!C326="","",盘货信息!C326)</f>
        <v/>
      </c>
      <c r="D326" s="27" t="str">
        <f t="shared" si="10"/>
        <v/>
      </c>
      <c r="E326" s="27" t="str" cm="1">
        <f t="array" ref="E326">IF($C326="","",IF(AND(OR(_xlfn.XLOOKUP($A326&amp;$B326&amp;$C326,盘货信息!$A:$A&amp;盘货信息!$B:$B&amp;盘货信息!$C:$C,盘货信息!$L:$L)="否",_xlfn.XLOOKUP($A326&amp;$B326&amp;$C326,盘货信息!$A:$A&amp;盘货信息!$B:$B&amp;盘货信息!$C:$C,盘货信息!$L:$L)=""),_xlfn.XLOOKUP($A326&amp;$B326&amp;$C326,盘货信息!$A:$A&amp;盘货信息!$B:$B&amp;盘货信息!$C:$C,盘货信息!$M:$M)="否"),"【预估到手价"&amp;_xlfn.XLOOKUP($A326&amp;$B326&amp;$C326,盘货信息!$A:$A&amp;盘货信息!$B:$B&amp;盘货信息!$C:$C,盘货信息!$D:$D)&amp;"元】",IF(AND(_xlfn.XLOOKUP($A326&amp;$B326&amp;$C326,盘货信息!$A:$A&amp;盘货信息!$B:$B&amp;盘货信息!$C:$C,盘货信息!$M:$M)="是",OR(_xlfn.XLOOKUP($A326&amp;$B326&amp;$C326,盘货信息!$A:$A&amp;盘货信息!$B:$B&amp;盘货信息!$C:$C,盘货信息!$L:$L)="否",_xlfn.XLOOKUP($A326&amp;$B326&amp;$C326,盘货信息!$A:$A&amp;盘货信息!$B:$B&amp;盘货信息!$C:$C,盘货信息!$L:$L)="")),"【预估到手价"&amp;_xlfn.XLOOKUP($A326&amp;$B326&amp;$C326,盘货信息!$A:$A&amp;盘货信息!$B:$B&amp;盘货信息!$C:$C,盘货信息!$D:$D)&amp;"元】"&amp;CHAR(10)&amp;"【焕新补贴预估价"&amp;ROUND(_xlfn.XLOOKUP($A326&amp;$B326&amp;$C326,盘货信息!$A:$A&amp;盘货信息!$B:$B&amp;盘货信息!$C:$C,盘货信息!$E:$E),0)&amp;"元】","【焕新补贴预估价"&amp;ROUND(_xlfn.XLOOKUP($A326&amp;$B326&amp;$C326,盘货信息!$A:$A&amp;盘货信息!$B:$B&amp;盘货信息!$C:$C,盘货信息!$E:$E),0)&amp;"元】")))</f>
        <v/>
      </c>
      <c r="F326" s="27" t="str" cm="1">
        <f t="array" ref="F326">IF($C326="","",_xlfn.XLOOKUP($A326&amp;$B326&amp;$C326,盘货信息!$A:$A&amp;盘货信息!$B:$B&amp;盘货信息!$C:$C,盘货信息!$D:$D)&amp;"元到手价")</f>
        <v/>
      </c>
      <c r="G326" s="27" t="str" cm="1">
        <f t="array" ref="G326">IF($C326="","",IF(_xlfn.XLOOKUP($A326&amp;$B326&amp;$C326,盘货信息!$A:$A&amp;盘货信息!$B:$B&amp;盘货信息!$C:$C,盘货信息!$G:$G)&lt;1,"",ROUND(_xlfn.XLOOKUP($A326&amp;$B326&amp;$C326,盘货信息!$A:$A&amp;盘货信息!$B:$B&amp;盘货信息!$C:$C,盘货信息!$G:$G),0)&amp;"元88VIP立减"))</f>
        <v/>
      </c>
      <c r="H326" s="27" t="str" cm="1">
        <f t="array" ref="H326">IF($C326="","",IF(_xlfn.XLOOKUP($A326&amp;$B326&amp;$C326,盘货信息!$A:$A&amp;盘货信息!$B:$B&amp;盘货信息!$C:$C,盘货信息!$I:$I)&lt;1,"",_xlfn.XLOOKUP($A326&amp;$B326&amp;$C326,盘货信息!$A:$A&amp;盘货信息!$B:$B&amp;盘货信息!$C:$C,盘货信息!$I:$I)&amp;"元惊喜立减"))</f>
        <v/>
      </c>
      <c r="I326" s="27" t="str" cm="1">
        <f t="array" ref="I326">IF($C326="","",IF(_xlfn.XLOOKUP($A326&amp;$B326&amp;$C326,盘货信息!$A:$A&amp;盘货信息!$B:$B&amp;盘货信息!$C:$C,盘货信息!$H:$H)&lt;1,"",ROUND(_xlfn.XLOOKUP($A326&amp;$B326&amp;$C326,盘货信息!$A:$A&amp;盘货信息!$B:$B&amp;盘货信息!$C:$C,盘货信息!$H:$H),0)&amp;"元消费券"))</f>
        <v/>
      </c>
      <c r="J326" s="27" t="str" cm="1">
        <f t="array" ref="J326">IF($C326="","",IF(_xlfn.XLOOKUP($A326&amp;$B326&amp;$C326,盘货信息!$A:$A&amp;盘货信息!$B:$B&amp;盘货信息!$C:$C,盘货信息!$J:$J)&lt;1,"",ROUND(_xlfn.XLOOKUP($A326&amp;$B326&amp;$C326,盘货信息!$A:$A&amp;盘货信息!$B:$B&amp;盘货信息!$C:$C,盘货信息!$J:$J),0)&amp;"元限时补贴"))</f>
        <v/>
      </c>
      <c r="K326" s="27" t="str" cm="1">
        <f t="array" ref="K326">IF($C326="","",IF(_xlfn.XLOOKUP($A326&amp;$B326&amp;$C326,盘货信息!$A:$A&amp;盘货信息!$B:$B&amp;盘货信息!$C:$C,盘货信息!$K:$K)&lt;1,"",ROUND(_xlfn.XLOOKUP($A326&amp;$B326&amp;$C326,盘货信息!$A:$A&amp;盘货信息!$B:$B&amp;盘货信息!$C:$C,盘货信息!$K:$K),0)&amp;"元预估焕新补贴"))</f>
        <v/>
      </c>
      <c r="L326" s="27" t="str" cm="1">
        <f t="array" ref="L326">IF($C326="","",IF(AND(_xlfn.XLOOKUP($A326&amp;$B326&amp;$C326,盘货信息!$A:$A&amp;盘货信息!$B:$B&amp;盘货信息!$C:$C,盘货信息!$L:$L)="是",_xlfn.XLOOKUP($A326&amp;$B326&amp;$C326,盘货信息!$A:$A&amp;盘货信息!$B:$B&amp;盘货信息!$C:$C,盘货信息!$M:$M)="是",_xlfn.XLOOKUP($A326&amp;$B326&amp;$C326,盘货信息!$A:$A&amp;盘货信息!$B:$B&amp;盘货信息!$C:$C,盘货信息!$K:$K)&gt;0),"【全民可用，不限地址】",IF(AND(OR(_xlfn.XLOOKUP($A326&amp;$B326&amp;$C326,盘货信息!$A:$A&amp;盘货信息!$B:$B&amp;盘货信息!$C:$C,盘货信息!$L:$L)="否",_xlfn.XLOOKUP($A326&amp;$B326&amp;$C326,盘货信息!$A:$A&amp;盘货信息!$B:$B&amp;盘货信息!$C:$C,盘货信息!$L:$L)=""),_xlfn.XLOOKUP($A326&amp;$B326&amp;$C326,盘货信息!$A:$A&amp;盘货信息!$B:$B&amp;盘货信息!$C:$C,盘货信息!$M:$M)="是",_xlfn.XLOOKUP($A326&amp;$B326&amp;$C326,盘货信息!$A:$A&amp;盘货信息!$B:$B&amp;盘货信息!$C:$C,盘货信息!$K:$K)&gt;0),"【详情页领取】","")))</f>
        <v/>
      </c>
      <c r="M326" s="27" t="str" cm="1">
        <f t="array" ref="M326">IF($C326="","",IF(_xlfn.XLOOKUP($A326&amp;$B326&amp;$C326,盘货信息!$A:$A&amp;盘货信息!$B:$B&amp;盘货信息!$C:$C,盘货信息!$F:$F)&lt;1,"",_xlfn.XLOOKUP($A326&amp;$B326&amp;$C326,盘货信息!$A:$A&amp;盘货信息!$B:$B&amp;盘货信息!$C:$C,盘货信息!$F:$F)&amp;"元明卷"))</f>
        <v/>
      </c>
      <c r="N326" s="27" t="str">
        <f t="shared" si="11"/>
        <v/>
      </c>
      <c r="O326" s="27" t="str">
        <f>IF(I326="","","【消费券链接】"&amp;固定信息!$B$6)</f>
        <v/>
      </c>
    </row>
    <row r="327" customHeight="1" spans="1:15">
      <c r="A327" s="23" t="str">
        <f>IF(盘货信息!A327="","",盘货信息!A327)</f>
        <v/>
      </c>
      <c r="B327" s="26" t="str">
        <f>IF(盘货信息!B327="","",盘货信息!B327)</f>
        <v/>
      </c>
      <c r="C327" s="23" t="str">
        <f>IF(盘货信息!C327="","",盘货信息!C327)</f>
        <v/>
      </c>
      <c r="D327" s="27" t="str">
        <f t="shared" si="10"/>
        <v/>
      </c>
      <c r="E327" s="27" t="str" cm="1">
        <f t="array" ref="E327">IF($C327="","",IF(AND(OR(_xlfn.XLOOKUP($A327&amp;$B327&amp;$C327,盘货信息!$A:$A&amp;盘货信息!$B:$B&amp;盘货信息!$C:$C,盘货信息!$L:$L)="否",_xlfn.XLOOKUP($A327&amp;$B327&amp;$C327,盘货信息!$A:$A&amp;盘货信息!$B:$B&amp;盘货信息!$C:$C,盘货信息!$L:$L)=""),_xlfn.XLOOKUP($A327&amp;$B327&amp;$C327,盘货信息!$A:$A&amp;盘货信息!$B:$B&amp;盘货信息!$C:$C,盘货信息!$M:$M)="否"),"【预估到手价"&amp;_xlfn.XLOOKUP($A327&amp;$B327&amp;$C327,盘货信息!$A:$A&amp;盘货信息!$B:$B&amp;盘货信息!$C:$C,盘货信息!$D:$D)&amp;"元】",IF(AND(_xlfn.XLOOKUP($A327&amp;$B327&amp;$C327,盘货信息!$A:$A&amp;盘货信息!$B:$B&amp;盘货信息!$C:$C,盘货信息!$M:$M)="是",OR(_xlfn.XLOOKUP($A327&amp;$B327&amp;$C327,盘货信息!$A:$A&amp;盘货信息!$B:$B&amp;盘货信息!$C:$C,盘货信息!$L:$L)="否",_xlfn.XLOOKUP($A327&amp;$B327&amp;$C327,盘货信息!$A:$A&amp;盘货信息!$B:$B&amp;盘货信息!$C:$C,盘货信息!$L:$L)="")),"【预估到手价"&amp;_xlfn.XLOOKUP($A327&amp;$B327&amp;$C327,盘货信息!$A:$A&amp;盘货信息!$B:$B&amp;盘货信息!$C:$C,盘货信息!$D:$D)&amp;"元】"&amp;CHAR(10)&amp;"【焕新补贴预估价"&amp;ROUND(_xlfn.XLOOKUP($A327&amp;$B327&amp;$C327,盘货信息!$A:$A&amp;盘货信息!$B:$B&amp;盘货信息!$C:$C,盘货信息!$E:$E),0)&amp;"元】","【焕新补贴预估价"&amp;ROUND(_xlfn.XLOOKUP($A327&amp;$B327&amp;$C327,盘货信息!$A:$A&amp;盘货信息!$B:$B&amp;盘货信息!$C:$C,盘货信息!$E:$E),0)&amp;"元】")))</f>
        <v/>
      </c>
      <c r="F327" s="27" t="str" cm="1">
        <f t="array" ref="F327">IF($C327="","",_xlfn.XLOOKUP($A327&amp;$B327&amp;$C327,盘货信息!$A:$A&amp;盘货信息!$B:$B&amp;盘货信息!$C:$C,盘货信息!$D:$D)&amp;"元到手价")</f>
        <v/>
      </c>
      <c r="G327" s="27" t="str" cm="1">
        <f t="array" ref="G327">IF($C327="","",IF(_xlfn.XLOOKUP($A327&amp;$B327&amp;$C327,盘货信息!$A:$A&amp;盘货信息!$B:$B&amp;盘货信息!$C:$C,盘货信息!$G:$G)&lt;1,"",ROUND(_xlfn.XLOOKUP($A327&amp;$B327&amp;$C327,盘货信息!$A:$A&amp;盘货信息!$B:$B&amp;盘货信息!$C:$C,盘货信息!$G:$G),0)&amp;"元88VIP立减"))</f>
        <v/>
      </c>
      <c r="H327" s="27" t="str" cm="1">
        <f t="array" ref="H327">IF($C327="","",IF(_xlfn.XLOOKUP($A327&amp;$B327&amp;$C327,盘货信息!$A:$A&amp;盘货信息!$B:$B&amp;盘货信息!$C:$C,盘货信息!$I:$I)&lt;1,"",_xlfn.XLOOKUP($A327&amp;$B327&amp;$C327,盘货信息!$A:$A&amp;盘货信息!$B:$B&amp;盘货信息!$C:$C,盘货信息!$I:$I)&amp;"元惊喜立减"))</f>
        <v/>
      </c>
      <c r="I327" s="27" t="str" cm="1">
        <f t="array" ref="I327">IF($C327="","",IF(_xlfn.XLOOKUP($A327&amp;$B327&amp;$C327,盘货信息!$A:$A&amp;盘货信息!$B:$B&amp;盘货信息!$C:$C,盘货信息!$H:$H)&lt;1,"",ROUND(_xlfn.XLOOKUP($A327&amp;$B327&amp;$C327,盘货信息!$A:$A&amp;盘货信息!$B:$B&amp;盘货信息!$C:$C,盘货信息!$H:$H),0)&amp;"元消费券"))</f>
        <v/>
      </c>
      <c r="J327" s="27" t="str" cm="1">
        <f t="array" ref="J327">IF($C327="","",IF(_xlfn.XLOOKUP($A327&amp;$B327&amp;$C327,盘货信息!$A:$A&amp;盘货信息!$B:$B&amp;盘货信息!$C:$C,盘货信息!$J:$J)&lt;1,"",ROUND(_xlfn.XLOOKUP($A327&amp;$B327&amp;$C327,盘货信息!$A:$A&amp;盘货信息!$B:$B&amp;盘货信息!$C:$C,盘货信息!$J:$J),0)&amp;"元限时补贴"))</f>
        <v/>
      </c>
      <c r="K327" s="27" t="str" cm="1">
        <f t="array" ref="K327">IF($C327="","",IF(_xlfn.XLOOKUP($A327&amp;$B327&amp;$C327,盘货信息!$A:$A&amp;盘货信息!$B:$B&amp;盘货信息!$C:$C,盘货信息!$K:$K)&lt;1,"",ROUND(_xlfn.XLOOKUP($A327&amp;$B327&amp;$C327,盘货信息!$A:$A&amp;盘货信息!$B:$B&amp;盘货信息!$C:$C,盘货信息!$K:$K),0)&amp;"元预估焕新补贴"))</f>
        <v/>
      </c>
      <c r="L327" s="27" t="str" cm="1">
        <f t="array" ref="L327">IF($C327="","",IF(AND(_xlfn.XLOOKUP($A327&amp;$B327&amp;$C327,盘货信息!$A:$A&amp;盘货信息!$B:$B&amp;盘货信息!$C:$C,盘货信息!$L:$L)="是",_xlfn.XLOOKUP($A327&amp;$B327&amp;$C327,盘货信息!$A:$A&amp;盘货信息!$B:$B&amp;盘货信息!$C:$C,盘货信息!$M:$M)="是",_xlfn.XLOOKUP($A327&amp;$B327&amp;$C327,盘货信息!$A:$A&amp;盘货信息!$B:$B&amp;盘货信息!$C:$C,盘货信息!$K:$K)&gt;0),"【全民可用，不限地址】",IF(AND(OR(_xlfn.XLOOKUP($A327&amp;$B327&amp;$C327,盘货信息!$A:$A&amp;盘货信息!$B:$B&amp;盘货信息!$C:$C,盘货信息!$L:$L)="否",_xlfn.XLOOKUP($A327&amp;$B327&amp;$C327,盘货信息!$A:$A&amp;盘货信息!$B:$B&amp;盘货信息!$C:$C,盘货信息!$L:$L)=""),_xlfn.XLOOKUP($A327&amp;$B327&amp;$C327,盘货信息!$A:$A&amp;盘货信息!$B:$B&amp;盘货信息!$C:$C,盘货信息!$M:$M)="是",_xlfn.XLOOKUP($A327&amp;$B327&amp;$C327,盘货信息!$A:$A&amp;盘货信息!$B:$B&amp;盘货信息!$C:$C,盘货信息!$K:$K)&gt;0),"【详情页领取】","")))</f>
        <v/>
      </c>
      <c r="M327" s="27" t="str" cm="1">
        <f t="array" ref="M327">IF($C327="","",IF(_xlfn.XLOOKUP($A327&amp;$B327&amp;$C327,盘货信息!$A:$A&amp;盘货信息!$B:$B&amp;盘货信息!$C:$C,盘货信息!$F:$F)&lt;1,"",_xlfn.XLOOKUP($A327&amp;$B327&amp;$C327,盘货信息!$A:$A&amp;盘货信息!$B:$B&amp;盘货信息!$C:$C,盘货信息!$F:$F)&amp;"元明卷"))</f>
        <v/>
      </c>
      <c r="N327" s="27" t="str">
        <f t="shared" si="11"/>
        <v/>
      </c>
      <c r="O327" s="27" t="str">
        <f>IF(I327="","","【消费券链接】"&amp;固定信息!$B$6)</f>
        <v/>
      </c>
    </row>
    <row r="328" customHeight="1" spans="1:15">
      <c r="A328" s="23" t="str">
        <f>IF(盘货信息!A328="","",盘货信息!A328)</f>
        <v/>
      </c>
      <c r="B328" s="26" t="str">
        <f>IF(盘货信息!B328="","",盘货信息!B328)</f>
        <v/>
      </c>
      <c r="C328" s="23" t="str">
        <f>IF(盘货信息!C328="","",盘货信息!C328)</f>
        <v/>
      </c>
      <c r="D328" s="27" t="str">
        <f t="shared" si="10"/>
        <v/>
      </c>
      <c r="E328" s="27" t="str" cm="1">
        <f t="array" ref="E328">IF($C328="","",IF(AND(OR(_xlfn.XLOOKUP($A328&amp;$B328&amp;$C328,盘货信息!$A:$A&amp;盘货信息!$B:$B&amp;盘货信息!$C:$C,盘货信息!$L:$L)="否",_xlfn.XLOOKUP($A328&amp;$B328&amp;$C328,盘货信息!$A:$A&amp;盘货信息!$B:$B&amp;盘货信息!$C:$C,盘货信息!$L:$L)=""),_xlfn.XLOOKUP($A328&amp;$B328&amp;$C328,盘货信息!$A:$A&amp;盘货信息!$B:$B&amp;盘货信息!$C:$C,盘货信息!$M:$M)="否"),"【预估到手价"&amp;_xlfn.XLOOKUP($A328&amp;$B328&amp;$C328,盘货信息!$A:$A&amp;盘货信息!$B:$B&amp;盘货信息!$C:$C,盘货信息!$D:$D)&amp;"元】",IF(AND(_xlfn.XLOOKUP($A328&amp;$B328&amp;$C328,盘货信息!$A:$A&amp;盘货信息!$B:$B&amp;盘货信息!$C:$C,盘货信息!$M:$M)="是",OR(_xlfn.XLOOKUP($A328&amp;$B328&amp;$C328,盘货信息!$A:$A&amp;盘货信息!$B:$B&amp;盘货信息!$C:$C,盘货信息!$L:$L)="否",_xlfn.XLOOKUP($A328&amp;$B328&amp;$C328,盘货信息!$A:$A&amp;盘货信息!$B:$B&amp;盘货信息!$C:$C,盘货信息!$L:$L)="")),"【预估到手价"&amp;_xlfn.XLOOKUP($A328&amp;$B328&amp;$C328,盘货信息!$A:$A&amp;盘货信息!$B:$B&amp;盘货信息!$C:$C,盘货信息!$D:$D)&amp;"元】"&amp;CHAR(10)&amp;"【焕新补贴预估价"&amp;ROUND(_xlfn.XLOOKUP($A328&amp;$B328&amp;$C328,盘货信息!$A:$A&amp;盘货信息!$B:$B&amp;盘货信息!$C:$C,盘货信息!$E:$E),0)&amp;"元】","【焕新补贴预估价"&amp;ROUND(_xlfn.XLOOKUP($A328&amp;$B328&amp;$C328,盘货信息!$A:$A&amp;盘货信息!$B:$B&amp;盘货信息!$C:$C,盘货信息!$E:$E),0)&amp;"元】")))</f>
        <v/>
      </c>
      <c r="F328" s="27" t="str" cm="1">
        <f t="array" ref="F328">IF($C328="","",_xlfn.XLOOKUP($A328&amp;$B328&amp;$C328,盘货信息!$A:$A&amp;盘货信息!$B:$B&amp;盘货信息!$C:$C,盘货信息!$D:$D)&amp;"元到手价")</f>
        <v/>
      </c>
      <c r="G328" s="27" t="str" cm="1">
        <f t="array" ref="G328">IF($C328="","",IF(_xlfn.XLOOKUP($A328&amp;$B328&amp;$C328,盘货信息!$A:$A&amp;盘货信息!$B:$B&amp;盘货信息!$C:$C,盘货信息!$G:$G)&lt;1,"",ROUND(_xlfn.XLOOKUP($A328&amp;$B328&amp;$C328,盘货信息!$A:$A&amp;盘货信息!$B:$B&amp;盘货信息!$C:$C,盘货信息!$G:$G),0)&amp;"元88VIP立减"))</f>
        <v/>
      </c>
      <c r="H328" s="27" t="str" cm="1">
        <f t="array" ref="H328">IF($C328="","",IF(_xlfn.XLOOKUP($A328&amp;$B328&amp;$C328,盘货信息!$A:$A&amp;盘货信息!$B:$B&amp;盘货信息!$C:$C,盘货信息!$I:$I)&lt;1,"",_xlfn.XLOOKUP($A328&amp;$B328&amp;$C328,盘货信息!$A:$A&amp;盘货信息!$B:$B&amp;盘货信息!$C:$C,盘货信息!$I:$I)&amp;"元惊喜立减"))</f>
        <v/>
      </c>
      <c r="I328" s="27" t="str" cm="1">
        <f t="array" ref="I328">IF($C328="","",IF(_xlfn.XLOOKUP($A328&amp;$B328&amp;$C328,盘货信息!$A:$A&amp;盘货信息!$B:$B&amp;盘货信息!$C:$C,盘货信息!$H:$H)&lt;1,"",ROUND(_xlfn.XLOOKUP($A328&amp;$B328&amp;$C328,盘货信息!$A:$A&amp;盘货信息!$B:$B&amp;盘货信息!$C:$C,盘货信息!$H:$H),0)&amp;"元消费券"))</f>
        <v/>
      </c>
      <c r="J328" s="27" t="str" cm="1">
        <f t="array" ref="J328">IF($C328="","",IF(_xlfn.XLOOKUP($A328&amp;$B328&amp;$C328,盘货信息!$A:$A&amp;盘货信息!$B:$B&amp;盘货信息!$C:$C,盘货信息!$J:$J)&lt;1,"",ROUND(_xlfn.XLOOKUP($A328&amp;$B328&amp;$C328,盘货信息!$A:$A&amp;盘货信息!$B:$B&amp;盘货信息!$C:$C,盘货信息!$J:$J),0)&amp;"元限时补贴"))</f>
        <v/>
      </c>
      <c r="K328" s="27" t="str" cm="1">
        <f t="array" ref="K328">IF($C328="","",IF(_xlfn.XLOOKUP($A328&amp;$B328&amp;$C328,盘货信息!$A:$A&amp;盘货信息!$B:$B&amp;盘货信息!$C:$C,盘货信息!$K:$K)&lt;1,"",ROUND(_xlfn.XLOOKUP($A328&amp;$B328&amp;$C328,盘货信息!$A:$A&amp;盘货信息!$B:$B&amp;盘货信息!$C:$C,盘货信息!$K:$K),0)&amp;"元预估焕新补贴"))</f>
        <v/>
      </c>
      <c r="L328" s="27" t="str" cm="1">
        <f t="array" ref="L328">IF($C328="","",IF(AND(_xlfn.XLOOKUP($A328&amp;$B328&amp;$C328,盘货信息!$A:$A&amp;盘货信息!$B:$B&amp;盘货信息!$C:$C,盘货信息!$L:$L)="是",_xlfn.XLOOKUP($A328&amp;$B328&amp;$C328,盘货信息!$A:$A&amp;盘货信息!$B:$B&amp;盘货信息!$C:$C,盘货信息!$M:$M)="是",_xlfn.XLOOKUP($A328&amp;$B328&amp;$C328,盘货信息!$A:$A&amp;盘货信息!$B:$B&amp;盘货信息!$C:$C,盘货信息!$K:$K)&gt;0),"【全民可用，不限地址】",IF(AND(OR(_xlfn.XLOOKUP($A328&amp;$B328&amp;$C328,盘货信息!$A:$A&amp;盘货信息!$B:$B&amp;盘货信息!$C:$C,盘货信息!$L:$L)="否",_xlfn.XLOOKUP($A328&amp;$B328&amp;$C328,盘货信息!$A:$A&amp;盘货信息!$B:$B&amp;盘货信息!$C:$C,盘货信息!$L:$L)=""),_xlfn.XLOOKUP($A328&amp;$B328&amp;$C328,盘货信息!$A:$A&amp;盘货信息!$B:$B&amp;盘货信息!$C:$C,盘货信息!$M:$M)="是",_xlfn.XLOOKUP($A328&amp;$B328&amp;$C328,盘货信息!$A:$A&amp;盘货信息!$B:$B&amp;盘货信息!$C:$C,盘货信息!$K:$K)&gt;0),"【详情页领取】","")))</f>
        <v/>
      </c>
      <c r="M328" s="27" t="str" cm="1">
        <f t="array" ref="M328">IF($C328="","",IF(_xlfn.XLOOKUP($A328&amp;$B328&amp;$C328,盘货信息!$A:$A&amp;盘货信息!$B:$B&amp;盘货信息!$C:$C,盘货信息!$F:$F)&lt;1,"",_xlfn.XLOOKUP($A328&amp;$B328&amp;$C328,盘货信息!$A:$A&amp;盘货信息!$B:$B&amp;盘货信息!$C:$C,盘货信息!$F:$F)&amp;"元明卷"))</f>
        <v/>
      </c>
      <c r="N328" s="27" t="str">
        <f t="shared" si="11"/>
        <v/>
      </c>
      <c r="O328" s="27" t="str">
        <f>IF(I328="","","【消费券链接】"&amp;固定信息!$B$6)</f>
        <v/>
      </c>
    </row>
    <row r="329" customHeight="1" spans="1:15">
      <c r="A329" s="23" t="str">
        <f>IF(盘货信息!A329="","",盘货信息!A329)</f>
        <v/>
      </c>
      <c r="B329" s="26" t="str">
        <f>IF(盘货信息!B329="","",盘货信息!B329)</f>
        <v/>
      </c>
      <c r="C329" s="23" t="str">
        <f>IF(盘货信息!C329="","",盘货信息!C329)</f>
        <v/>
      </c>
      <c r="D329" s="27" t="str">
        <f t="shared" si="10"/>
        <v/>
      </c>
      <c r="E329" s="27" t="str" cm="1">
        <f t="array" ref="E329">IF($C329="","",IF(AND(OR(_xlfn.XLOOKUP($A329&amp;$B329&amp;$C329,盘货信息!$A:$A&amp;盘货信息!$B:$B&amp;盘货信息!$C:$C,盘货信息!$L:$L)="否",_xlfn.XLOOKUP($A329&amp;$B329&amp;$C329,盘货信息!$A:$A&amp;盘货信息!$B:$B&amp;盘货信息!$C:$C,盘货信息!$L:$L)=""),_xlfn.XLOOKUP($A329&amp;$B329&amp;$C329,盘货信息!$A:$A&amp;盘货信息!$B:$B&amp;盘货信息!$C:$C,盘货信息!$M:$M)="否"),"【预估到手价"&amp;_xlfn.XLOOKUP($A329&amp;$B329&amp;$C329,盘货信息!$A:$A&amp;盘货信息!$B:$B&amp;盘货信息!$C:$C,盘货信息!$D:$D)&amp;"元】",IF(AND(_xlfn.XLOOKUP($A329&amp;$B329&amp;$C329,盘货信息!$A:$A&amp;盘货信息!$B:$B&amp;盘货信息!$C:$C,盘货信息!$M:$M)="是",OR(_xlfn.XLOOKUP($A329&amp;$B329&amp;$C329,盘货信息!$A:$A&amp;盘货信息!$B:$B&amp;盘货信息!$C:$C,盘货信息!$L:$L)="否",_xlfn.XLOOKUP($A329&amp;$B329&amp;$C329,盘货信息!$A:$A&amp;盘货信息!$B:$B&amp;盘货信息!$C:$C,盘货信息!$L:$L)="")),"【预估到手价"&amp;_xlfn.XLOOKUP($A329&amp;$B329&amp;$C329,盘货信息!$A:$A&amp;盘货信息!$B:$B&amp;盘货信息!$C:$C,盘货信息!$D:$D)&amp;"元】"&amp;CHAR(10)&amp;"【焕新补贴预估价"&amp;ROUND(_xlfn.XLOOKUP($A329&amp;$B329&amp;$C329,盘货信息!$A:$A&amp;盘货信息!$B:$B&amp;盘货信息!$C:$C,盘货信息!$E:$E),0)&amp;"元】","【焕新补贴预估价"&amp;ROUND(_xlfn.XLOOKUP($A329&amp;$B329&amp;$C329,盘货信息!$A:$A&amp;盘货信息!$B:$B&amp;盘货信息!$C:$C,盘货信息!$E:$E),0)&amp;"元】")))</f>
        <v/>
      </c>
      <c r="F329" s="27" t="str" cm="1">
        <f t="array" ref="F329">IF($C329="","",_xlfn.XLOOKUP($A329&amp;$B329&amp;$C329,盘货信息!$A:$A&amp;盘货信息!$B:$B&amp;盘货信息!$C:$C,盘货信息!$D:$D)&amp;"元到手价")</f>
        <v/>
      </c>
      <c r="G329" s="27" t="str" cm="1">
        <f t="array" ref="G329">IF($C329="","",IF(_xlfn.XLOOKUP($A329&amp;$B329&amp;$C329,盘货信息!$A:$A&amp;盘货信息!$B:$B&amp;盘货信息!$C:$C,盘货信息!$G:$G)&lt;1,"",ROUND(_xlfn.XLOOKUP($A329&amp;$B329&amp;$C329,盘货信息!$A:$A&amp;盘货信息!$B:$B&amp;盘货信息!$C:$C,盘货信息!$G:$G),0)&amp;"元88VIP立减"))</f>
        <v/>
      </c>
      <c r="H329" s="27" t="str" cm="1">
        <f t="array" ref="H329">IF($C329="","",IF(_xlfn.XLOOKUP($A329&amp;$B329&amp;$C329,盘货信息!$A:$A&amp;盘货信息!$B:$B&amp;盘货信息!$C:$C,盘货信息!$I:$I)&lt;1,"",_xlfn.XLOOKUP($A329&amp;$B329&amp;$C329,盘货信息!$A:$A&amp;盘货信息!$B:$B&amp;盘货信息!$C:$C,盘货信息!$I:$I)&amp;"元惊喜立减"))</f>
        <v/>
      </c>
      <c r="I329" s="27" t="str" cm="1">
        <f t="array" ref="I329">IF($C329="","",IF(_xlfn.XLOOKUP($A329&amp;$B329&amp;$C329,盘货信息!$A:$A&amp;盘货信息!$B:$B&amp;盘货信息!$C:$C,盘货信息!$H:$H)&lt;1,"",ROUND(_xlfn.XLOOKUP($A329&amp;$B329&amp;$C329,盘货信息!$A:$A&amp;盘货信息!$B:$B&amp;盘货信息!$C:$C,盘货信息!$H:$H),0)&amp;"元消费券"))</f>
        <v/>
      </c>
      <c r="J329" s="27" t="str" cm="1">
        <f t="array" ref="J329">IF($C329="","",IF(_xlfn.XLOOKUP($A329&amp;$B329&amp;$C329,盘货信息!$A:$A&amp;盘货信息!$B:$B&amp;盘货信息!$C:$C,盘货信息!$J:$J)&lt;1,"",ROUND(_xlfn.XLOOKUP($A329&amp;$B329&amp;$C329,盘货信息!$A:$A&amp;盘货信息!$B:$B&amp;盘货信息!$C:$C,盘货信息!$J:$J),0)&amp;"元限时补贴"))</f>
        <v/>
      </c>
      <c r="K329" s="27" t="str" cm="1">
        <f t="array" ref="K329">IF($C329="","",IF(_xlfn.XLOOKUP($A329&amp;$B329&amp;$C329,盘货信息!$A:$A&amp;盘货信息!$B:$B&amp;盘货信息!$C:$C,盘货信息!$K:$K)&lt;1,"",ROUND(_xlfn.XLOOKUP($A329&amp;$B329&amp;$C329,盘货信息!$A:$A&amp;盘货信息!$B:$B&amp;盘货信息!$C:$C,盘货信息!$K:$K),0)&amp;"元预估焕新补贴"))</f>
        <v/>
      </c>
      <c r="L329" s="27" t="str" cm="1">
        <f t="array" ref="L329">IF($C329="","",IF(AND(_xlfn.XLOOKUP($A329&amp;$B329&amp;$C329,盘货信息!$A:$A&amp;盘货信息!$B:$B&amp;盘货信息!$C:$C,盘货信息!$L:$L)="是",_xlfn.XLOOKUP($A329&amp;$B329&amp;$C329,盘货信息!$A:$A&amp;盘货信息!$B:$B&amp;盘货信息!$C:$C,盘货信息!$M:$M)="是",_xlfn.XLOOKUP($A329&amp;$B329&amp;$C329,盘货信息!$A:$A&amp;盘货信息!$B:$B&amp;盘货信息!$C:$C,盘货信息!$K:$K)&gt;0),"【全民可用，不限地址】",IF(AND(OR(_xlfn.XLOOKUP($A329&amp;$B329&amp;$C329,盘货信息!$A:$A&amp;盘货信息!$B:$B&amp;盘货信息!$C:$C,盘货信息!$L:$L)="否",_xlfn.XLOOKUP($A329&amp;$B329&amp;$C329,盘货信息!$A:$A&amp;盘货信息!$B:$B&amp;盘货信息!$C:$C,盘货信息!$L:$L)=""),_xlfn.XLOOKUP($A329&amp;$B329&amp;$C329,盘货信息!$A:$A&amp;盘货信息!$B:$B&amp;盘货信息!$C:$C,盘货信息!$M:$M)="是",_xlfn.XLOOKUP($A329&amp;$B329&amp;$C329,盘货信息!$A:$A&amp;盘货信息!$B:$B&amp;盘货信息!$C:$C,盘货信息!$K:$K)&gt;0),"【详情页领取】","")))</f>
        <v/>
      </c>
      <c r="M329" s="27" t="str" cm="1">
        <f t="array" ref="M329">IF($C329="","",IF(_xlfn.XLOOKUP($A329&amp;$B329&amp;$C329,盘货信息!$A:$A&amp;盘货信息!$B:$B&amp;盘货信息!$C:$C,盘货信息!$F:$F)&lt;1,"",_xlfn.XLOOKUP($A329&amp;$B329&amp;$C329,盘货信息!$A:$A&amp;盘货信息!$B:$B&amp;盘货信息!$C:$C,盘货信息!$F:$F)&amp;"元明卷"))</f>
        <v/>
      </c>
      <c r="N329" s="27" t="str">
        <f t="shared" si="11"/>
        <v/>
      </c>
      <c r="O329" s="27" t="str">
        <f>IF(I329="","","【消费券链接】"&amp;固定信息!$B$6)</f>
        <v/>
      </c>
    </row>
    <row r="330" customHeight="1" spans="1:15">
      <c r="A330" s="23" t="str">
        <f>IF(盘货信息!A330="","",盘货信息!A330)</f>
        <v/>
      </c>
      <c r="B330" s="26" t="str">
        <f>IF(盘货信息!B330="","",盘货信息!B330)</f>
        <v/>
      </c>
      <c r="C330" s="23" t="str">
        <f>IF(盘货信息!C330="","",盘货信息!C330)</f>
        <v/>
      </c>
      <c r="D330" s="27" t="str">
        <f t="shared" si="10"/>
        <v/>
      </c>
      <c r="E330" s="27" t="str" cm="1">
        <f t="array" ref="E330">IF($C330="","",IF(AND(OR(_xlfn.XLOOKUP($A330&amp;$B330&amp;$C330,盘货信息!$A:$A&amp;盘货信息!$B:$B&amp;盘货信息!$C:$C,盘货信息!$L:$L)="否",_xlfn.XLOOKUP($A330&amp;$B330&amp;$C330,盘货信息!$A:$A&amp;盘货信息!$B:$B&amp;盘货信息!$C:$C,盘货信息!$L:$L)=""),_xlfn.XLOOKUP($A330&amp;$B330&amp;$C330,盘货信息!$A:$A&amp;盘货信息!$B:$B&amp;盘货信息!$C:$C,盘货信息!$M:$M)="否"),"【预估到手价"&amp;_xlfn.XLOOKUP($A330&amp;$B330&amp;$C330,盘货信息!$A:$A&amp;盘货信息!$B:$B&amp;盘货信息!$C:$C,盘货信息!$D:$D)&amp;"元】",IF(AND(_xlfn.XLOOKUP($A330&amp;$B330&amp;$C330,盘货信息!$A:$A&amp;盘货信息!$B:$B&amp;盘货信息!$C:$C,盘货信息!$M:$M)="是",OR(_xlfn.XLOOKUP($A330&amp;$B330&amp;$C330,盘货信息!$A:$A&amp;盘货信息!$B:$B&amp;盘货信息!$C:$C,盘货信息!$L:$L)="否",_xlfn.XLOOKUP($A330&amp;$B330&amp;$C330,盘货信息!$A:$A&amp;盘货信息!$B:$B&amp;盘货信息!$C:$C,盘货信息!$L:$L)="")),"【预估到手价"&amp;_xlfn.XLOOKUP($A330&amp;$B330&amp;$C330,盘货信息!$A:$A&amp;盘货信息!$B:$B&amp;盘货信息!$C:$C,盘货信息!$D:$D)&amp;"元】"&amp;CHAR(10)&amp;"【焕新补贴预估价"&amp;ROUND(_xlfn.XLOOKUP($A330&amp;$B330&amp;$C330,盘货信息!$A:$A&amp;盘货信息!$B:$B&amp;盘货信息!$C:$C,盘货信息!$E:$E),0)&amp;"元】","【焕新补贴预估价"&amp;ROUND(_xlfn.XLOOKUP($A330&amp;$B330&amp;$C330,盘货信息!$A:$A&amp;盘货信息!$B:$B&amp;盘货信息!$C:$C,盘货信息!$E:$E),0)&amp;"元】")))</f>
        <v/>
      </c>
      <c r="F330" s="27" t="str" cm="1">
        <f t="array" ref="F330">IF($C330="","",_xlfn.XLOOKUP($A330&amp;$B330&amp;$C330,盘货信息!$A:$A&amp;盘货信息!$B:$B&amp;盘货信息!$C:$C,盘货信息!$D:$D)&amp;"元到手价")</f>
        <v/>
      </c>
      <c r="G330" s="27" t="str" cm="1">
        <f t="array" ref="G330">IF($C330="","",IF(_xlfn.XLOOKUP($A330&amp;$B330&amp;$C330,盘货信息!$A:$A&amp;盘货信息!$B:$B&amp;盘货信息!$C:$C,盘货信息!$G:$G)&lt;1,"",ROUND(_xlfn.XLOOKUP($A330&amp;$B330&amp;$C330,盘货信息!$A:$A&amp;盘货信息!$B:$B&amp;盘货信息!$C:$C,盘货信息!$G:$G),0)&amp;"元88VIP立减"))</f>
        <v/>
      </c>
      <c r="H330" s="27" t="str" cm="1">
        <f t="array" ref="H330">IF($C330="","",IF(_xlfn.XLOOKUP($A330&amp;$B330&amp;$C330,盘货信息!$A:$A&amp;盘货信息!$B:$B&amp;盘货信息!$C:$C,盘货信息!$I:$I)&lt;1,"",_xlfn.XLOOKUP($A330&amp;$B330&amp;$C330,盘货信息!$A:$A&amp;盘货信息!$B:$B&amp;盘货信息!$C:$C,盘货信息!$I:$I)&amp;"元惊喜立减"))</f>
        <v/>
      </c>
      <c r="I330" s="27" t="str" cm="1">
        <f t="array" ref="I330">IF($C330="","",IF(_xlfn.XLOOKUP($A330&amp;$B330&amp;$C330,盘货信息!$A:$A&amp;盘货信息!$B:$B&amp;盘货信息!$C:$C,盘货信息!$H:$H)&lt;1,"",ROUND(_xlfn.XLOOKUP($A330&amp;$B330&amp;$C330,盘货信息!$A:$A&amp;盘货信息!$B:$B&amp;盘货信息!$C:$C,盘货信息!$H:$H),0)&amp;"元消费券"))</f>
        <v/>
      </c>
      <c r="J330" s="27" t="str" cm="1">
        <f t="array" ref="J330">IF($C330="","",IF(_xlfn.XLOOKUP($A330&amp;$B330&amp;$C330,盘货信息!$A:$A&amp;盘货信息!$B:$B&amp;盘货信息!$C:$C,盘货信息!$J:$J)&lt;1,"",ROUND(_xlfn.XLOOKUP($A330&amp;$B330&amp;$C330,盘货信息!$A:$A&amp;盘货信息!$B:$B&amp;盘货信息!$C:$C,盘货信息!$J:$J),0)&amp;"元限时补贴"))</f>
        <v/>
      </c>
      <c r="K330" s="27" t="str" cm="1">
        <f t="array" ref="K330">IF($C330="","",IF(_xlfn.XLOOKUP($A330&amp;$B330&amp;$C330,盘货信息!$A:$A&amp;盘货信息!$B:$B&amp;盘货信息!$C:$C,盘货信息!$K:$K)&lt;1,"",ROUND(_xlfn.XLOOKUP($A330&amp;$B330&amp;$C330,盘货信息!$A:$A&amp;盘货信息!$B:$B&amp;盘货信息!$C:$C,盘货信息!$K:$K),0)&amp;"元预估焕新补贴"))</f>
        <v/>
      </c>
      <c r="L330" s="27" t="str" cm="1">
        <f t="array" ref="L330">IF($C330="","",IF(AND(_xlfn.XLOOKUP($A330&amp;$B330&amp;$C330,盘货信息!$A:$A&amp;盘货信息!$B:$B&amp;盘货信息!$C:$C,盘货信息!$L:$L)="是",_xlfn.XLOOKUP($A330&amp;$B330&amp;$C330,盘货信息!$A:$A&amp;盘货信息!$B:$B&amp;盘货信息!$C:$C,盘货信息!$M:$M)="是",_xlfn.XLOOKUP($A330&amp;$B330&amp;$C330,盘货信息!$A:$A&amp;盘货信息!$B:$B&amp;盘货信息!$C:$C,盘货信息!$K:$K)&gt;0),"【全民可用，不限地址】",IF(AND(OR(_xlfn.XLOOKUP($A330&amp;$B330&amp;$C330,盘货信息!$A:$A&amp;盘货信息!$B:$B&amp;盘货信息!$C:$C,盘货信息!$L:$L)="否",_xlfn.XLOOKUP($A330&amp;$B330&amp;$C330,盘货信息!$A:$A&amp;盘货信息!$B:$B&amp;盘货信息!$C:$C,盘货信息!$L:$L)=""),_xlfn.XLOOKUP($A330&amp;$B330&amp;$C330,盘货信息!$A:$A&amp;盘货信息!$B:$B&amp;盘货信息!$C:$C,盘货信息!$M:$M)="是",_xlfn.XLOOKUP($A330&amp;$B330&amp;$C330,盘货信息!$A:$A&amp;盘货信息!$B:$B&amp;盘货信息!$C:$C,盘货信息!$K:$K)&gt;0),"【详情页领取】","")))</f>
        <v/>
      </c>
      <c r="M330" s="27" t="str" cm="1">
        <f t="array" ref="M330">IF($C330="","",IF(_xlfn.XLOOKUP($A330&amp;$B330&amp;$C330,盘货信息!$A:$A&amp;盘货信息!$B:$B&amp;盘货信息!$C:$C,盘货信息!$F:$F)&lt;1,"",_xlfn.XLOOKUP($A330&amp;$B330&amp;$C330,盘货信息!$A:$A&amp;盘货信息!$B:$B&amp;盘货信息!$C:$C,盘货信息!$F:$F)&amp;"元明卷"))</f>
        <v/>
      </c>
      <c r="N330" s="27" t="str">
        <f t="shared" si="11"/>
        <v/>
      </c>
      <c r="O330" s="27" t="str">
        <f>IF(I330="","","【消费券链接】"&amp;固定信息!$B$6)</f>
        <v/>
      </c>
    </row>
    <row r="331" customHeight="1" spans="1:15">
      <c r="A331" s="23" t="str">
        <f>IF(盘货信息!A331="","",盘货信息!A331)</f>
        <v/>
      </c>
      <c r="B331" s="26" t="str">
        <f>IF(盘货信息!B331="","",盘货信息!B331)</f>
        <v/>
      </c>
      <c r="C331" s="23" t="str">
        <f>IF(盘货信息!C331="","",盘货信息!C331)</f>
        <v/>
      </c>
      <c r="D331" s="27" t="str">
        <f t="shared" si="10"/>
        <v/>
      </c>
      <c r="E331" s="27" t="str" cm="1">
        <f t="array" ref="E331">IF($C331="","",IF(AND(OR(_xlfn.XLOOKUP($A331&amp;$B331&amp;$C331,盘货信息!$A:$A&amp;盘货信息!$B:$B&amp;盘货信息!$C:$C,盘货信息!$L:$L)="否",_xlfn.XLOOKUP($A331&amp;$B331&amp;$C331,盘货信息!$A:$A&amp;盘货信息!$B:$B&amp;盘货信息!$C:$C,盘货信息!$L:$L)=""),_xlfn.XLOOKUP($A331&amp;$B331&amp;$C331,盘货信息!$A:$A&amp;盘货信息!$B:$B&amp;盘货信息!$C:$C,盘货信息!$M:$M)="否"),"【预估到手价"&amp;_xlfn.XLOOKUP($A331&amp;$B331&amp;$C331,盘货信息!$A:$A&amp;盘货信息!$B:$B&amp;盘货信息!$C:$C,盘货信息!$D:$D)&amp;"元】",IF(AND(_xlfn.XLOOKUP($A331&amp;$B331&amp;$C331,盘货信息!$A:$A&amp;盘货信息!$B:$B&amp;盘货信息!$C:$C,盘货信息!$M:$M)="是",OR(_xlfn.XLOOKUP($A331&amp;$B331&amp;$C331,盘货信息!$A:$A&amp;盘货信息!$B:$B&amp;盘货信息!$C:$C,盘货信息!$L:$L)="否",_xlfn.XLOOKUP($A331&amp;$B331&amp;$C331,盘货信息!$A:$A&amp;盘货信息!$B:$B&amp;盘货信息!$C:$C,盘货信息!$L:$L)="")),"【预估到手价"&amp;_xlfn.XLOOKUP($A331&amp;$B331&amp;$C331,盘货信息!$A:$A&amp;盘货信息!$B:$B&amp;盘货信息!$C:$C,盘货信息!$D:$D)&amp;"元】"&amp;CHAR(10)&amp;"【焕新补贴预估价"&amp;ROUND(_xlfn.XLOOKUP($A331&amp;$B331&amp;$C331,盘货信息!$A:$A&amp;盘货信息!$B:$B&amp;盘货信息!$C:$C,盘货信息!$E:$E),0)&amp;"元】","【焕新补贴预估价"&amp;ROUND(_xlfn.XLOOKUP($A331&amp;$B331&amp;$C331,盘货信息!$A:$A&amp;盘货信息!$B:$B&amp;盘货信息!$C:$C,盘货信息!$E:$E),0)&amp;"元】")))</f>
        <v/>
      </c>
      <c r="F331" s="27" t="str" cm="1">
        <f t="array" ref="F331">IF($C331="","",_xlfn.XLOOKUP($A331&amp;$B331&amp;$C331,盘货信息!$A:$A&amp;盘货信息!$B:$B&amp;盘货信息!$C:$C,盘货信息!$D:$D)&amp;"元到手价")</f>
        <v/>
      </c>
      <c r="G331" s="27" t="str" cm="1">
        <f t="array" ref="G331">IF($C331="","",IF(_xlfn.XLOOKUP($A331&amp;$B331&amp;$C331,盘货信息!$A:$A&amp;盘货信息!$B:$B&amp;盘货信息!$C:$C,盘货信息!$G:$G)&lt;1,"",ROUND(_xlfn.XLOOKUP($A331&amp;$B331&amp;$C331,盘货信息!$A:$A&amp;盘货信息!$B:$B&amp;盘货信息!$C:$C,盘货信息!$G:$G),0)&amp;"元88VIP立减"))</f>
        <v/>
      </c>
      <c r="H331" s="27" t="str" cm="1">
        <f t="array" ref="H331">IF($C331="","",IF(_xlfn.XLOOKUP($A331&amp;$B331&amp;$C331,盘货信息!$A:$A&amp;盘货信息!$B:$B&amp;盘货信息!$C:$C,盘货信息!$I:$I)&lt;1,"",_xlfn.XLOOKUP($A331&amp;$B331&amp;$C331,盘货信息!$A:$A&amp;盘货信息!$B:$B&amp;盘货信息!$C:$C,盘货信息!$I:$I)&amp;"元惊喜立减"))</f>
        <v/>
      </c>
      <c r="I331" s="27" t="str" cm="1">
        <f t="array" ref="I331">IF($C331="","",IF(_xlfn.XLOOKUP($A331&amp;$B331&amp;$C331,盘货信息!$A:$A&amp;盘货信息!$B:$B&amp;盘货信息!$C:$C,盘货信息!$H:$H)&lt;1,"",ROUND(_xlfn.XLOOKUP($A331&amp;$B331&amp;$C331,盘货信息!$A:$A&amp;盘货信息!$B:$B&amp;盘货信息!$C:$C,盘货信息!$H:$H),0)&amp;"元消费券"))</f>
        <v/>
      </c>
      <c r="J331" s="27" t="str" cm="1">
        <f t="array" ref="J331">IF($C331="","",IF(_xlfn.XLOOKUP($A331&amp;$B331&amp;$C331,盘货信息!$A:$A&amp;盘货信息!$B:$B&amp;盘货信息!$C:$C,盘货信息!$J:$J)&lt;1,"",ROUND(_xlfn.XLOOKUP($A331&amp;$B331&amp;$C331,盘货信息!$A:$A&amp;盘货信息!$B:$B&amp;盘货信息!$C:$C,盘货信息!$J:$J),0)&amp;"元限时补贴"))</f>
        <v/>
      </c>
      <c r="K331" s="27" t="str" cm="1">
        <f t="array" ref="K331">IF($C331="","",IF(_xlfn.XLOOKUP($A331&amp;$B331&amp;$C331,盘货信息!$A:$A&amp;盘货信息!$B:$B&amp;盘货信息!$C:$C,盘货信息!$K:$K)&lt;1,"",ROUND(_xlfn.XLOOKUP($A331&amp;$B331&amp;$C331,盘货信息!$A:$A&amp;盘货信息!$B:$B&amp;盘货信息!$C:$C,盘货信息!$K:$K),0)&amp;"元预估焕新补贴"))</f>
        <v/>
      </c>
      <c r="L331" s="27" t="str" cm="1">
        <f t="array" ref="L331">IF($C331="","",IF(AND(_xlfn.XLOOKUP($A331&amp;$B331&amp;$C331,盘货信息!$A:$A&amp;盘货信息!$B:$B&amp;盘货信息!$C:$C,盘货信息!$L:$L)="是",_xlfn.XLOOKUP($A331&amp;$B331&amp;$C331,盘货信息!$A:$A&amp;盘货信息!$B:$B&amp;盘货信息!$C:$C,盘货信息!$M:$M)="是",_xlfn.XLOOKUP($A331&amp;$B331&amp;$C331,盘货信息!$A:$A&amp;盘货信息!$B:$B&amp;盘货信息!$C:$C,盘货信息!$K:$K)&gt;0),"【全民可用，不限地址】",IF(AND(OR(_xlfn.XLOOKUP($A331&amp;$B331&amp;$C331,盘货信息!$A:$A&amp;盘货信息!$B:$B&amp;盘货信息!$C:$C,盘货信息!$L:$L)="否",_xlfn.XLOOKUP($A331&amp;$B331&amp;$C331,盘货信息!$A:$A&amp;盘货信息!$B:$B&amp;盘货信息!$C:$C,盘货信息!$L:$L)=""),_xlfn.XLOOKUP($A331&amp;$B331&amp;$C331,盘货信息!$A:$A&amp;盘货信息!$B:$B&amp;盘货信息!$C:$C,盘货信息!$M:$M)="是",_xlfn.XLOOKUP($A331&amp;$B331&amp;$C331,盘货信息!$A:$A&amp;盘货信息!$B:$B&amp;盘货信息!$C:$C,盘货信息!$K:$K)&gt;0),"【详情页领取】","")))</f>
        <v/>
      </c>
      <c r="M331" s="27" t="str" cm="1">
        <f t="array" ref="M331">IF($C331="","",IF(_xlfn.XLOOKUP($A331&amp;$B331&amp;$C331,盘货信息!$A:$A&amp;盘货信息!$B:$B&amp;盘货信息!$C:$C,盘货信息!$F:$F)&lt;1,"",_xlfn.XLOOKUP($A331&amp;$B331&amp;$C331,盘货信息!$A:$A&amp;盘货信息!$B:$B&amp;盘货信息!$C:$C,盘货信息!$F:$F)&amp;"元明卷"))</f>
        <v/>
      </c>
      <c r="N331" s="27" t="str">
        <f t="shared" si="11"/>
        <v/>
      </c>
      <c r="O331" s="27" t="str">
        <f>IF(I331="","","【消费券链接】"&amp;固定信息!$B$6)</f>
        <v/>
      </c>
    </row>
    <row r="332" customHeight="1" spans="1:15">
      <c r="A332" s="23" t="str">
        <f>IF(盘货信息!A332="","",盘货信息!A332)</f>
        <v/>
      </c>
      <c r="B332" s="26" t="str">
        <f>IF(盘货信息!B332="","",盘货信息!B332)</f>
        <v/>
      </c>
      <c r="C332" s="23" t="str">
        <f>IF(盘货信息!C332="","",盘货信息!C332)</f>
        <v/>
      </c>
      <c r="D332" s="27" t="str">
        <f t="shared" si="10"/>
        <v/>
      </c>
      <c r="E332" s="27" t="str" cm="1">
        <f t="array" ref="E332">IF($C332="","",IF(AND(OR(_xlfn.XLOOKUP($A332&amp;$B332&amp;$C332,盘货信息!$A:$A&amp;盘货信息!$B:$B&amp;盘货信息!$C:$C,盘货信息!$L:$L)="否",_xlfn.XLOOKUP($A332&amp;$B332&amp;$C332,盘货信息!$A:$A&amp;盘货信息!$B:$B&amp;盘货信息!$C:$C,盘货信息!$L:$L)=""),_xlfn.XLOOKUP($A332&amp;$B332&amp;$C332,盘货信息!$A:$A&amp;盘货信息!$B:$B&amp;盘货信息!$C:$C,盘货信息!$M:$M)="否"),"【预估到手价"&amp;_xlfn.XLOOKUP($A332&amp;$B332&amp;$C332,盘货信息!$A:$A&amp;盘货信息!$B:$B&amp;盘货信息!$C:$C,盘货信息!$D:$D)&amp;"元】",IF(AND(_xlfn.XLOOKUP($A332&amp;$B332&amp;$C332,盘货信息!$A:$A&amp;盘货信息!$B:$B&amp;盘货信息!$C:$C,盘货信息!$M:$M)="是",OR(_xlfn.XLOOKUP($A332&amp;$B332&amp;$C332,盘货信息!$A:$A&amp;盘货信息!$B:$B&amp;盘货信息!$C:$C,盘货信息!$L:$L)="否",_xlfn.XLOOKUP($A332&amp;$B332&amp;$C332,盘货信息!$A:$A&amp;盘货信息!$B:$B&amp;盘货信息!$C:$C,盘货信息!$L:$L)="")),"【预估到手价"&amp;_xlfn.XLOOKUP($A332&amp;$B332&amp;$C332,盘货信息!$A:$A&amp;盘货信息!$B:$B&amp;盘货信息!$C:$C,盘货信息!$D:$D)&amp;"元】"&amp;CHAR(10)&amp;"【焕新补贴预估价"&amp;ROUND(_xlfn.XLOOKUP($A332&amp;$B332&amp;$C332,盘货信息!$A:$A&amp;盘货信息!$B:$B&amp;盘货信息!$C:$C,盘货信息!$E:$E),0)&amp;"元】","【焕新补贴预估价"&amp;ROUND(_xlfn.XLOOKUP($A332&amp;$B332&amp;$C332,盘货信息!$A:$A&amp;盘货信息!$B:$B&amp;盘货信息!$C:$C,盘货信息!$E:$E),0)&amp;"元】")))</f>
        <v/>
      </c>
      <c r="F332" s="27" t="str" cm="1">
        <f t="array" ref="F332">IF($C332="","",_xlfn.XLOOKUP($A332&amp;$B332&amp;$C332,盘货信息!$A:$A&amp;盘货信息!$B:$B&amp;盘货信息!$C:$C,盘货信息!$D:$D)&amp;"元到手价")</f>
        <v/>
      </c>
      <c r="G332" s="27" t="str" cm="1">
        <f t="array" ref="G332">IF($C332="","",IF(_xlfn.XLOOKUP($A332&amp;$B332&amp;$C332,盘货信息!$A:$A&amp;盘货信息!$B:$B&amp;盘货信息!$C:$C,盘货信息!$G:$G)&lt;1,"",ROUND(_xlfn.XLOOKUP($A332&amp;$B332&amp;$C332,盘货信息!$A:$A&amp;盘货信息!$B:$B&amp;盘货信息!$C:$C,盘货信息!$G:$G),0)&amp;"元88VIP立减"))</f>
        <v/>
      </c>
      <c r="H332" s="27" t="str" cm="1">
        <f t="array" ref="H332">IF($C332="","",IF(_xlfn.XLOOKUP($A332&amp;$B332&amp;$C332,盘货信息!$A:$A&amp;盘货信息!$B:$B&amp;盘货信息!$C:$C,盘货信息!$I:$I)&lt;1,"",_xlfn.XLOOKUP($A332&amp;$B332&amp;$C332,盘货信息!$A:$A&amp;盘货信息!$B:$B&amp;盘货信息!$C:$C,盘货信息!$I:$I)&amp;"元惊喜立减"))</f>
        <v/>
      </c>
      <c r="I332" s="27" t="str" cm="1">
        <f t="array" ref="I332">IF($C332="","",IF(_xlfn.XLOOKUP($A332&amp;$B332&amp;$C332,盘货信息!$A:$A&amp;盘货信息!$B:$B&amp;盘货信息!$C:$C,盘货信息!$H:$H)&lt;1,"",ROUND(_xlfn.XLOOKUP($A332&amp;$B332&amp;$C332,盘货信息!$A:$A&amp;盘货信息!$B:$B&amp;盘货信息!$C:$C,盘货信息!$H:$H),0)&amp;"元消费券"))</f>
        <v/>
      </c>
      <c r="J332" s="27" t="str" cm="1">
        <f t="array" ref="J332">IF($C332="","",IF(_xlfn.XLOOKUP($A332&amp;$B332&amp;$C332,盘货信息!$A:$A&amp;盘货信息!$B:$B&amp;盘货信息!$C:$C,盘货信息!$J:$J)&lt;1,"",ROUND(_xlfn.XLOOKUP($A332&amp;$B332&amp;$C332,盘货信息!$A:$A&amp;盘货信息!$B:$B&amp;盘货信息!$C:$C,盘货信息!$J:$J),0)&amp;"元限时补贴"))</f>
        <v/>
      </c>
      <c r="K332" s="27" t="str" cm="1">
        <f t="array" ref="K332">IF($C332="","",IF(_xlfn.XLOOKUP($A332&amp;$B332&amp;$C332,盘货信息!$A:$A&amp;盘货信息!$B:$B&amp;盘货信息!$C:$C,盘货信息!$K:$K)&lt;1,"",ROUND(_xlfn.XLOOKUP($A332&amp;$B332&amp;$C332,盘货信息!$A:$A&amp;盘货信息!$B:$B&amp;盘货信息!$C:$C,盘货信息!$K:$K),0)&amp;"元预估焕新补贴"))</f>
        <v/>
      </c>
      <c r="L332" s="27" t="str" cm="1">
        <f t="array" ref="L332">IF($C332="","",IF(AND(_xlfn.XLOOKUP($A332&amp;$B332&amp;$C332,盘货信息!$A:$A&amp;盘货信息!$B:$B&amp;盘货信息!$C:$C,盘货信息!$L:$L)="是",_xlfn.XLOOKUP($A332&amp;$B332&amp;$C332,盘货信息!$A:$A&amp;盘货信息!$B:$B&amp;盘货信息!$C:$C,盘货信息!$M:$M)="是",_xlfn.XLOOKUP($A332&amp;$B332&amp;$C332,盘货信息!$A:$A&amp;盘货信息!$B:$B&amp;盘货信息!$C:$C,盘货信息!$K:$K)&gt;0),"【全民可用，不限地址】",IF(AND(OR(_xlfn.XLOOKUP($A332&amp;$B332&amp;$C332,盘货信息!$A:$A&amp;盘货信息!$B:$B&amp;盘货信息!$C:$C,盘货信息!$L:$L)="否",_xlfn.XLOOKUP($A332&amp;$B332&amp;$C332,盘货信息!$A:$A&amp;盘货信息!$B:$B&amp;盘货信息!$C:$C,盘货信息!$L:$L)=""),_xlfn.XLOOKUP($A332&amp;$B332&amp;$C332,盘货信息!$A:$A&amp;盘货信息!$B:$B&amp;盘货信息!$C:$C,盘货信息!$M:$M)="是",_xlfn.XLOOKUP($A332&amp;$B332&amp;$C332,盘货信息!$A:$A&amp;盘货信息!$B:$B&amp;盘货信息!$C:$C,盘货信息!$K:$K)&gt;0),"【详情页领取】","")))</f>
        <v/>
      </c>
      <c r="M332" s="27" t="str" cm="1">
        <f t="array" ref="M332">IF($C332="","",IF(_xlfn.XLOOKUP($A332&amp;$B332&amp;$C332,盘货信息!$A:$A&amp;盘货信息!$B:$B&amp;盘货信息!$C:$C,盘货信息!$F:$F)&lt;1,"",_xlfn.XLOOKUP($A332&amp;$B332&amp;$C332,盘货信息!$A:$A&amp;盘货信息!$B:$B&amp;盘货信息!$C:$C,盘货信息!$F:$F)&amp;"元明卷"))</f>
        <v/>
      </c>
      <c r="N332" s="27" t="str">
        <f t="shared" si="11"/>
        <v/>
      </c>
      <c r="O332" s="27" t="str">
        <f>IF(I332="","","【消费券链接】"&amp;固定信息!$B$6)</f>
        <v/>
      </c>
    </row>
    <row r="333" customHeight="1" spans="1:15">
      <c r="A333" s="23" t="str">
        <f>IF(盘货信息!A333="","",盘货信息!A333)</f>
        <v/>
      </c>
      <c r="B333" s="26" t="str">
        <f>IF(盘货信息!B333="","",盘货信息!B333)</f>
        <v/>
      </c>
      <c r="C333" s="23" t="str">
        <f>IF(盘货信息!C333="","",盘货信息!C333)</f>
        <v/>
      </c>
      <c r="D333" s="27" t="str">
        <f t="shared" si="10"/>
        <v/>
      </c>
      <c r="E333" s="27" t="str" cm="1">
        <f t="array" ref="E333">IF($C333="","",IF(AND(OR(_xlfn.XLOOKUP($A333&amp;$B333&amp;$C333,盘货信息!$A:$A&amp;盘货信息!$B:$B&amp;盘货信息!$C:$C,盘货信息!$L:$L)="否",_xlfn.XLOOKUP($A333&amp;$B333&amp;$C333,盘货信息!$A:$A&amp;盘货信息!$B:$B&amp;盘货信息!$C:$C,盘货信息!$L:$L)=""),_xlfn.XLOOKUP($A333&amp;$B333&amp;$C333,盘货信息!$A:$A&amp;盘货信息!$B:$B&amp;盘货信息!$C:$C,盘货信息!$M:$M)="否"),"【预估到手价"&amp;_xlfn.XLOOKUP($A333&amp;$B333&amp;$C333,盘货信息!$A:$A&amp;盘货信息!$B:$B&amp;盘货信息!$C:$C,盘货信息!$D:$D)&amp;"元】",IF(AND(_xlfn.XLOOKUP($A333&amp;$B333&amp;$C333,盘货信息!$A:$A&amp;盘货信息!$B:$B&amp;盘货信息!$C:$C,盘货信息!$M:$M)="是",OR(_xlfn.XLOOKUP($A333&amp;$B333&amp;$C333,盘货信息!$A:$A&amp;盘货信息!$B:$B&amp;盘货信息!$C:$C,盘货信息!$L:$L)="否",_xlfn.XLOOKUP($A333&amp;$B333&amp;$C333,盘货信息!$A:$A&amp;盘货信息!$B:$B&amp;盘货信息!$C:$C,盘货信息!$L:$L)="")),"【预估到手价"&amp;_xlfn.XLOOKUP($A333&amp;$B333&amp;$C333,盘货信息!$A:$A&amp;盘货信息!$B:$B&amp;盘货信息!$C:$C,盘货信息!$D:$D)&amp;"元】"&amp;CHAR(10)&amp;"【焕新补贴预估价"&amp;ROUND(_xlfn.XLOOKUP($A333&amp;$B333&amp;$C333,盘货信息!$A:$A&amp;盘货信息!$B:$B&amp;盘货信息!$C:$C,盘货信息!$E:$E),0)&amp;"元】","【焕新补贴预估价"&amp;ROUND(_xlfn.XLOOKUP($A333&amp;$B333&amp;$C333,盘货信息!$A:$A&amp;盘货信息!$B:$B&amp;盘货信息!$C:$C,盘货信息!$E:$E),0)&amp;"元】")))</f>
        <v/>
      </c>
      <c r="F333" s="27" t="str" cm="1">
        <f t="array" ref="F333">IF($C333="","",_xlfn.XLOOKUP($A333&amp;$B333&amp;$C333,盘货信息!$A:$A&amp;盘货信息!$B:$B&amp;盘货信息!$C:$C,盘货信息!$D:$D)&amp;"元到手价")</f>
        <v/>
      </c>
      <c r="G333" s="27" t="str" cm="1">
        <f t="array" ref="G333">IF($C333="","",IF(_xlfn.XLOOKUP($A333&amp;$B333&amp;$C333,盘货信息!$A:$A&amp;盘货信息!$B:$B&amp;盘货信息!$C:$C,盘货信息!$G:$G)&lt;1,"",ROUND(_xlfn.XLOOKUP($A333&amp;$B333&amp;$C333,盘货信息!$A:$A&amp;盘货信息!$B:$B&amp;盘货信息!$C:$C,盘货信息!$G:$G),0)&amp;"元88VIP立减"))</f>
        <v/>
      </c>
      <c r="H333" s="27" t="str" cm="1">
        <f t="array" ref="H333">IF($C333="","",IF(_xlfn.XLOOKUP($A333&amp;$B333&amp;$C333,盘货信息!$A:$A&amp;盘货信息!$B:$B&amp;盘货信息!$C:$C,盘货信息!$I:$I)&lt;1,"",_xlfn.XLOOKUP($A333&amp;$B333&amp;$C333,盘货信息!$A:$A&amp;盘货信息!$B:$B&amp;盘货信息!$C:$C,盘货信息!$I:$I)&amp;"元惊喜立减"))</f>
        <v/>
      </c>
      <c r="I333" s="27" t="str" cm="1">
        <f t="array" ref="I333">IF($C333="","",IF(_xlfn.XLOOKUP($A333&amp;$B333&amp;$C333,盘货信息!$A:$A&amp;盘货信息!$B:$B&amp;盘货信息!$C:$C,盘货信息!$H:$H)&lt;1,"",ROUND(_xlfn.XLOOKUP($A333&amp;$B333&amp;$C333,盘货信息!$A:$A&amp;盘货信息!$B:$B&amp;盘货信息!$C:$C,盘货信息!$H:$H),0)&amp;"元消费券"))</f>
        <v/>
      </c>
      <c r="J333" s="27" t="str" cm="1">
        <f t="array" ref="J333">IF($C333="","",IF(_xlfn.XLOOKUP($A333&amp;$B333&amp;$C333,盘货信息!$A:$A&amp;盘货信息!$B:$B&amp;盘货信息!$C:$C,盘货信息!$J:$J)&lt;1,"",ROUND(_xlfn.XLOOKUP($A333&amp;$B333&amp;$C333,盘货信息!$A:$A&amp;盘货信息!$B:$B&amp;盘货信息!$C:$C,盘货信息!$J:$J),0)&amp;"元限时补贴"))</f>
        <v/>
      </c>
      <c r="K333" s="27" t="str" cm="1">
        <f t="array" ref="K333">IF($C333="","",IF(_xlfn.XLOOKUP($A333&amp;$B333&amp;$C333,盘货信息!$A:$A&amp;盘货信息!$B:$B&amp;盘货信息!$C:$C,盘货信息!$K:$K)&lt;1,"",ROUND(_xlfn.XLOOKUP($A333&amp;$B333&amp;$C333,盘货信息!$A:$A&amp;盘货信息!$B:$B&amp;盘货信息!$C:$C,盘货信息!$K:$K),0)&amp;"元预估焕新补贴"))</f>
        <v/>
      </c>
      <c r="L333" s="27" t="str" cm="1">
        <f t="array" ref="L333">IF($C333="","",IF(AND(_xlfn.XLOOKUP($A333&amp;$B333&amp;$C333,盘货信息!$A:$A&amp;盘货信息!$B:$B&amp;盘货信息!$C:$C,盘货信息!$L:$L)="是",_xlfn.XLOOKUP($A333&amp;$B333&amp;$C333,盘货信息!$A:$A&amp;盘货信息!$B:$B&amp;盘货信息!$C:$C,盘货信息!$M:$M)="是",_xlfn.XLOOKUP($A333&amp;$B333&amp;$C333,盘货信息!$A:$A&amp;盘货信息!$B:$B&amp;盘货信息!$C:$C,盘货信息!$K:$K)&gt;0),"【全民可用，不限地址】",IF(AND(OR(_xlfn.XLOOKUP($A333&amp;$B333&amp;$C333,盘货信息!$A:$A&amp;盘货信息!$B:$B&amp;盘货信息!$C:$C,盘货信息!$L:$L)="否",_xlfn.XLOOKUP($A333&amp;$B333&amp;$C333,盘货信息!$A:$A&amp;盘货信息!$B:$B&amp;盘货信息!$C:$C,盘货信息!$L:$L)=""),_xlfn.XLOOKUP($A333&amp;$B333&amp;$C333,盘货信息!$A:$A&amp;盘货信息!$B:$B&amp;盘货信息!$C:$C,盘货信息!$M:$M)="是",_xlfn.XLOOKUP($A333&amp;$B333&amp;$C333,盘货信息!$A:$A&amp;盘货信息!$B:$B&amp;盘货信息!$C:$C,盘货信息!$K:$K)&gt;0),"【详情页领取】","")))</f>
        <v/>
      </c>
      <c r="M333" s="27" t="str" cm="1">
        <f t="array" ref="M333">IF($C333="","",IF(_xlfn.XLOOKUP($A333&amp;$B333&amp;$C333,盘货信息!$A:$A&amp;盘货信息!$B:$B&amp;盘货信息!$C:$C,盘货信息!$F:$F)&lt;1,"",_xlfn.XLOOKUP($A333&amp;$B333&amp;$C333,盘货信息!$A:$A&amp;盘货信息!$B:$B&amp;盘货信息!$C:$C,盘货信息!$F:$F)&amp;"元明卷"))</f>
        <v/>
      </c>
      <c r="N333" s="27" t="str">
        <f t="shared" si="11"/>
        <v/>
      </c>
      <c r="O333" s="27" t="str">
        <f>IF(I333="","","【消费券链接】"&amp;固定信息!$B$6)</f>
        <v/>
      </c>
    </row>
    <row r="334" customHeight="1" spans="1:15">
      <c r="A334" s="23" t="str">
        <f>IF(盘货信息!A334="","",盘货信息!A334)</f>
        <v/>
      </c>
      <c r="B334" s="26" t="str">
        <f>IF(盘货信息!B334="","",盘货信息!B334)</f>
        <v/>
      </c>
      <c r="C334" s="23" t="str">
        <f>IF(盘货信息!C334="","",盘货信息!C334)</f>
        <v/>
      </c>
      <c r="D334" s="27" t="str">
        <f t="shared" si="10"/>
        <v/>
      </c>
      <c r="E334" s="27" t="str" cm="1">
        <f t="array" ref="E334">IF($C334="","",IF(AND(OR(_xlfn.XLOOKUP($A334&amp;$B334&amp;$C334,盘货信息!$A:$A&amp;盘货信息!$B:$B&amp;盘货信息!$C:$C,盘货信息!$L:$L)="否",_xlfn.XLOOKUP($A334&amp;$B334&amp;$C334,盘货信息!$A:$A&amp;盘货信息!$B:$B&amp;盘货信息!$C:$C,盘货信息!$L:$L)=""),_xlfn.XLOOKUP($A334&amp;$B334&amp;$C334,盘货信息!$A:$A&amp;盘货信息!$B:$B&amp;盘货信息!$C:$C,盘货信息!$M:$M)="否"),"【预估到手价"&amp;_xlfn.XLOOKUP($A334&amp;$B334&amp;$C334,盘货信息!$A:$A&amp;盘货信息!$B:$B&amp;盘货信息!$C:$C,盘货信息!$D:$D)&amp;"元】",IF(AND(_xlfn.XLOOKUP($A334&amp;$B334&amp;$C334,盘货信息!$A:$A&amp;盘货信息!$B:$B&amp;盘货信息!$C:$C,盘货信息!$M:$M)="是",OR(_xlfn.XLOOKUP($A334&amp;$B334&amp;$C334,盘货信息!$A:$A&amp;盘货信息!$B:$B&amp;盘货信息!$C:$C,盘货信息!$L:$L)="否",_xlfn.XLOOKUP($A334&amp;$B334&amp;$C334,盘货信息!$A:$A&amp;盘货信息!$B:$B&amp;盘货信息!$C:$C,盘货信息!$L:$L)="")),"【预估到手价"&amp;_xlfn.XLOOKUP($A334&amp;$B334&amp;$C334,盘货信息!$A:$A&amp;盘货信息!$B:$B&amp;盘货信息!$C:$C,盘货信息!$D:$D)&amp;"元】"&amp;CHAR(10)&amp;"【焕新补贴预估价"&amp;ROUND(_xlfn.XLOOKUP($A334&amp;$B334&amp;$C334,盘货信息!$A:$A&amp;盘货信息!$B:$B&amp;盘货信息!$C:$C,盘货信息!$E:$E),0)&amp;"元】","【焕新补贴预估价"&amp;ROUND(_xlfn.XLOOKUP($A334&amp;$B334&amp;$C334,盘货信息!$A:$A&amp;盘货信息!$B:$B&amp;盘货信息!$C:$C,盘货信息!$E:$E),0)&amp;"元】")))</f>
        <v/>
      </c>
      <c r="F334" s="27" t="str" cm="1">
        <f t="array" ref="F334">IF($C334="","",_xlfn.XLOOKUP($A334&amp;$B334&amp;$C334,盘货信息!$A:$A&amp;盘货信息!$B:$B&amp;盘货信息!$C:$C,盘货信息!$D:$D)&amp;"元到手价")</f>
        <v/>
      </c>
      <c r="G334" s="27" t="str" cm="1">
        <f t="array" ref="G334">IF($C334="","",IF(_xlfn.XLOOKUP($A334&amp;$B334&amp;$C334,盘货信息!$A:$A&amp;盘货信息!$B:$B&amp;盘货信息!$C:$C,盘货信息!$G:$G)&lt;1,"",ROUND(_xlfn.XLOOKUP($A334&amp;$B334&amp;$C334,盘货信息!$A:$A&amp;盘货信息!$B:$B&amp;盘货信息!$C:$C,盘货信息!$G:$G),0)&amp;"元88VIP立减"))</f>
        <v/>
      </c>
      <c r="H334" s="27" t="str" cm="1">
        <f t="array" ref="H334">IF($C334="","",IF(_xlfn.XLOOKUP($A334&amp;$B334&amp;$C334,盘货信息!$A:$A&amp;盘货信息!$B:$B&amp;盘货信息!$C:$C,盘货信息!$I:$I)&lt;1,"",_xlfn.XLOOKUP($A334&amp;$B334&amp;$C334,盘货信息!$A:$A&amp;盘货信息!$B:$B&amp;盘货信息!$C:$C,盘货信息!$I:$I)&amp;"元惊喜立减"))</f>
        <v/>
      </c>
      <c r="I334" s="27" t="str" cm="1">
        <f t="array" ref="I334">IF($C334="","",IF(_xlfn.XLOOKUP($A334&amp;$B334&amp;$C334,盘货信息!$A:$A&amp;盘货信息!$B:$B&amp;盘货信息!$C:$C,盘货信息!$H:$H)&lt;1,"",ROUND(_xlfn.XLOOKUP($A334&amp;$B334&amp;$C334,盘货信息!$A:$A&amp;盘货信息!$B:$B&amp;盘货信息!$C:$C,盘货信息!$H:$H),0)&amp;"元消费券"))</f>
        <v/>
      </c>
      <c r="J334" s="27" t="str" cm="1">
        <f t="array" ref="J334">IF($C334="","",IF(_xlfn.XLOOKUP($A334&amp;$B334&amp;$C334,盘货信息!$A:$A&amp;盘货信息!$B:$B&amp;盘货信息!$C:$C,盘货信息!$J:$J)&lt;1,"",ROUND(_xlfn.XLOOKUP($A334&amp;$B334&amp;$C334,盘货信息!$A:$A&amp;盘货信息!$B:$B&amp;盘货信息!$C:$C,盘货信息!$J:$J),0)&amp;"元限时补贴"))</f>
        <v/>
      </c>
      <c r="K334" s="27" t="str" cm="1">
        <f t="array" ref="K334">IF($C334="","",IF(_xlfn.XLOOKUP($A334&amp;$B334&amp;$C334,盘货信息!$A:$A&amp;盘货信息!$B:$B&amp;盘货信息!$C:$C,盘货信息!$K:$K)&lt;1,"",ROUND(_xlfn.XLOOKUP($A334&amp;$B334&amp;$C334,盘货信息!$A:$A&amp;盘货信息!$B:$B&amp;盘货信息!$C:$C,盘货信息!$K:$K),0)&amp;"元预估焕新补贴"))</f>
        <v/>
      </c>
      <c r="L334" s="27" t="str" cm="1">
        <f t="array" ref="L334">IF($C334="","",IF(AND(_xlfn.XLOOKUP($A334&amp;$B334&amp;$C334,盘货信息!$A:$A&amp;盘货信息!$B:$B&amp;盘货信息!$C:$C,盘货信息!$L:$L)="是",_xlfn.XLOOKUP($A334&amp;$B334&amp;$C334,盘货信息!$A:$A&amp;盘货信息!$B:$B&amp;盘货信息!$C:$C,盘货信息!$M:$M)="是",_xlfn.XLOOKUP($A334&amp;$B334&amp;$C334,盘货信息!$A:$A&amp;盘货信息!$B:$B&amp;盘货信息!$C:$C,盘货信息!$K:$K)&gt;0),"【全民可用，不限地址】",IF(AND(OR(_xlfn.XLOOKUP($A334&amp;$B334&amp;$C334,盘货信息!$A:$A&amp;盘货信息!$B:$B&amp;盘货信息!$C:$C,盘货信息!$L:$L)="否",_xlfn.XLOOKUP($A334&amp;$B334&amp;$C334,盘货信息!$A:$A&amp;盘货信息!$B:$B&amp;盘货信息!$C:$C,盘货信息!$L:$L)=""),_xlfn.XLOOKUP($A334&amp;$B334&amp;$C334,盘货信息!$A:$A&amp;盘货信息!$B:$B&amp;盘货信息!$C:$C,盘货信息!$M:$M)="是",_xlfn.XLOOKUP($A334&amp;$B334&amp;$C334,盘货信息!$A:$A&amp;盘货信息!$B:$B&amp;盘货信息!$C:$C,盘货信息!$K:$K)&gt;0),"【详情页领取】","")))</f>
        <v/>
      </c>
      <c r="M334" s="27" t="str" cm="1">
        <f t="array" ref="M334">IF($C334="","",IF(_xlfn.XLOOKUP($A334&amp;$B334&amp;$C334,盘货信息!$A:$A&amp;盘货信息!$B:$B&amp;盘货信息!$C:$C,盘货信息!$F:$F)&lt;1,"",_xlfn.XLOOKUP($A334&amp;$B334&amp;$C334,盘货信息!$A:$A&amp;盘货信息!$B:$B&amp;盘货信息!$C:$C,盘货信息!$F:$F)&amp;"元明卷"))</f>
        <v/>
      </c>
      <c r="N334" s="27" t="str">
        <f t="shared" si="11"/>
        <v/>
      </c>
      <c r="O334" s="27" t="str">
        <f>IF(I334="","","【消费券链接】"&amp;固定信息!$B$6)</f>
        <v/>
      </c>
    </row>
    <row r="335" customHeight="1" spans="1:15">
      <c r="A335" s="23" t="str">
        <f>IF(盘货信息!A335="","",盘货信息!A335)</f>
        <v/>
      </c>
      <c r="B335" s="26" t="str">
        <f>IF(盘货信息!B335="","",盘货信息!B335)</f>
        <v/>
      </c>
      <c r="C335" s="23" t="str">
        <f>IF(盘货信息!C335="","",盘货信息!C335)</f>
        <v/>
      </c>
      <c r="D335" s="27" t="str">
        <f t="shared" si="10"/>
        <v/>
      </c>
      <c r="E335" s="27" t="str" cm="1">
        <f t="array" ref="E335">IF($C335="","",IF(AND(OR(_xlfn.XLOOKUP($A335&amp;$B335&amp;$C335,盘货信息!$A:$A&amp;盘货信息!$B:$B&amp;盘货信息!$C:$C,盘货信息!$L:$L)="否",_xlfn.XLOOKUP($A335&amp;$B335&amp;$C335,盘货信息!$A:$A&amp;盘货信息!$B:$B&amp;盘货信息!$C:$C,盘货信息!$L:$L)=""),_xlfn.XLOOKUP($A335&amp;$B335&amp;$C335,盘货信息!$A:$A&amp;盘货信息!$B:$B&amp;盘货信息!$C:$C,盘货信息!$M:$M)="否"),"【预估到手价"&amp;_xlfn.XLOOKUP($A335&amp;$B335&amp;$C335,盘货信息!$A:$A&amp;盘货信息!$B:$B&amp;盘货信息!$C:$C,盘货信息!$D:$D)&amp;"元】",IF(AND(_xlfn.XLOOKUP($A335&amp;$B335&amp;$C335,盘货信息!$A:$A&amp;盘货信息!$B:$B&amp;盘货信息!$C:$C,盘货信息!$M:$M)="是",OR(_xlfn.XLOOKUP($A335&amp;$B335&amp;$C335,盘货信息!$A:$A&amp;盘货信息!$B:$B&amp;盘货信息!$C:$C,盘货信息!$L:$L)="否",_xlfn.XLOOKUP($A335&amp;$B335&amp;$C335,盘货信息!$A:$A&amp;盘货信息!$B:$B&amp;盘货信息!$C:$C,盘货信息!$L:$L)="")),"【预估到手价"&amp;_xlfn.XLOOKUP($A335&amp;$B335&amp;$C335,盘货信息!$A:$A&amp;盘货信息!$B:$B&amp;盘货信息!$C:$C,盘货信息!$D:$D)&amp;"元】"&amp;CHAR(10)&amp;"【焕新补贴预估价"&amp;ROUND(_xlfn.XLOOKUP($A335&amp;$B335&amp;$C335,盘货信息!$A:$A&amp;盘货信息!$B:$B&amp;盘货信息!$C:$C,盘货信息!$E:$E),0)&amp;"元】","【焕新补贴预估价"&amp;ROUND(_xlfn.XLOOKUP($A335&amp;$B335&amp;$C335,盘货信息!$A:$A&amp;盘货信息!$B:$B&amp;盘货信息!$C:$C,盘货信息!$E:$E),0)&amp;"元】")))</f>
        <v/>
      </c>
      <c r="F335" s="27" t="str" cm="1">
        <f t="array" ref="F335">IF($C335="","",_xlfn.XLOOKUP($A335&amp;$B335&amp;$C335,盘货信息!$A:$A&amp;盘货信息!$B:$B&amp;盘货信息!$C:$C,盘货信息!$D:$D)&amp;"元到手价")</f>
        <v/>
      </c>
      <c r="G335" s="27" t="str" cm="1">
        <f t="array" ref="G335">IF($C335="","",IF(_xlfn.XLOOKUP($A335&amp;$B335&amp;$C335,盘货信息!$A:$A&amp;盘货信息!$B:$B&amp;盘货信息!$C:$C,盘货信息!$G:$G)&lt;1,"",ROUND(_xlfn.XLOOKUP($A335&amp;$B335&amp;$C335,盘货信息!$A:$A&amp;盘货信息!$B:$B&amp;盘货信息!$C:$C,盘货信息!$G:$G),0)&amp;"元88VIP立减"))</f>
        <v/>
      </c>
      <c r="H335" s="27" t="str" cm="1">
        <f t="array" ref="H335">IF($C335="","",IF(_xlfn.XLOOKUP($A335&amp;$B335&amp;$C335,盘货信息!$A:$A&amp;盘货信息!$B:$B&amp;盘货信息!$C:$C,盘货信息!$I:$I)&lt;1,"",_xlfn.XLOOKUP($A335&amp;$B335&amp;$C335,盘货信息!$A:$A&amp;盘货信息!$B:$B&amp;盘货信息!$C:$C,盘货信息!$I:$I)&amp;"元惊喜立减"))</f>
        <v/>
      </c>
      <c r="I335" s="27" t="str" cm="1">
        <f t="array" ref="I335">IF($C335="","",IF(_xlfn.XLOOKUP($A335&amp;$B335&amp;$C335,盘货信息!$A:$A&amp;盘货信息!$B:$B&amp;盘货信息!$C:$C,盘货信息!$H:$H)&lt;1,"",ROUND(_xlfn.XLOOKUP($A335&amp;$B335&amp;$C335,盘货信息!$A:$A&amp;盘货信息!$B:$B&amp;盘货信息!$C:$C,盘货信息!$H:$H),0)&amp;"元消费券"))</f>
        <v/>
      </c>
      <c r="J335" s="27" t="str" cm="1">
        <f t="array" ref="J335">IF($C335="","",IF(_xlfn.XLOOKUP($A335&amp;$B335&amp;$C335,盘货信息!$A:$A&amp;盘货信息!$B:$B&amp;盘货信息!$C:$C,盘货信息!$J:$J)&lt;1,"",ROUND(_xlfn.XLOOKUP($A335&amp;$B335&amp;$C335,盘货信息!$A:$A&amp;盘货信息!$B:$B&amp;盘货信息!$C:$C,盘货信息!$J:$J),0)&amp;"元限时补贴"))</f>
        <v/>
      </c>
      <c r="K335" s="27" t="str" cm="1">
        <f t="array" ref="K335">IF($C335="","",IF(_xlfn.XLOOKUP($A335&amp;$B335&amp;$C335,盘货信息!$A:$A&amp;盘货信息!$B:$B&amp;盘货信息!$C:$C,盘货信息!$K:$K)&lt;1,"",ROUND(_xlfn.XLOOKUP($A335&amp;$B335&amp;$C335,盘货信息!$A:$A&amp;盘货信息!$B:$B&amp;盘货信息!$C:$C,盘货信息!$K:$K),0)&amp;"元预估焕新补贴"))</f>
        <v/>
      </c>
      <c r="L335" s="27" t="str" cm="1">
        <f t="array" ref="L335">IF($C335="","",IF(AND(_xlfn.XLOOKUP($A335&amp;$B335&amp;$C335,盘货信息!$A:$A&amp;盘货信息!$B:$B&amp;盘货信息!$C:$C,盘货信息!$L:$L)="是",_xlfn.XLOOKUP($A335&amp;$B335&amp;$C335,盘货信息!$A:$A&amp;盘货信息!$B:$B&amp;盘货信息!$C:$C,盘货信息!$M:$M)="是",_xlfn.XLOOKUP($A335&amp;$B335&amp;$C335,盘货信息!$A:$A&amp;盘货信息!$B:$B&amp;盘货信息!$C:$C,盘货信息!$K:$K)&gt;0),"【全民可用，不限地址】",IF(AND(OR(_xlfn.XLOOKUP($A335&amp;$B335&amp;$C335,盘货信息!$A:$A&amp;盘货信息!$B:$B&amp;盘货信息!$C:$C,盘货信息!$L:$L)="否",_xlfn.XLOOKUP($A335&amp;$B335&amp;$C335,盘货信息!$A:$A&amp;盘货信息!$B:$B&amp;盘货信息!$C:$C,盘货信息!$L:$L)=""),_xlfn.XLOOKUP($A335&amp;$B335&amp;$C335,盘货信息!$A:$A&amp;盘货信息!$B:$B&amp;盘货信息!$C:$C,盘货信息!$M:$M)="是",_xlfn.XLOOKUP($A335&amp;$B335&amp;$C335,盘货信息!$A:$A&amp;盘货信息!$B:$B&amp;盘货信息!$C:$C,盘货信息!$K:$K)&gt;0),"【详情页领取】","")))</f>
        <v/>
      </c>
      <c r="M335" s="27" t="str" cm="1">
        <f t="array" ref="M335">IF($C335="","",IF(_xlfn.XLOOKUP($A335&amp;$B335&amp;$C335,盘货信息!$A:$A&amp;盘货信息!$B:$B&amp;盘货信息!$C:$C,盘货信息!$F:$F)&lt;1,"",_xlfn.XLOOKUP($A335&amp;$B335&amp;$C335,盘货信息!$A:$A&amp;盘货信息!$B:$B&amp;盘货信息!$C:$C,盘货信息!$F:$F)&amp;"元明卷"))</f>
        <v/>
      </c>
      <c r="N335" s="27" t="str">
        <f t="shared" si="11"/>
        <v/>
      </c>
      <c r="O335" s="27" t="str">
        <f>IF(I335="","","【消费券链接】"&amp;固定信息!$B$6)</f>
        <v/>
      </c>
    </row>
    <row r="336" customHeight="1" spans="1:15">
      <c r="A336" s="23" t="str">
        <f>IF(盘货信息!A336="","",盘货信息!A336)</f>
        <v/>
      </c>
      <c r="B336" s="26" t="str">
        <f>IF(盘货信息!B336="","",盘货信息!B336)</f>
        <v/>
      </c>
      <c r="C336" s="23" t="str">
        <f>IF(盘货信息!C336="","",盘货信息!C336)</f>
        <v/>
      </c>
      <c r="D336" s="27" t="str">
        <f t="shared" si="10"/>
        <v/>
      </c>
      <c r="E336" s="27" t="str" cm="1">
        <f t="array" ref="E336">IF($C336="","",IF(AND(OR(_xlfn.XLOOKUP($A336&amp;$B336&amp;$C336,盘货信息!$A:$A&amp;盘货信息!$B:$B&amp;盘货信息!$C:$C,盘货信息!$L:$L)="否",_xlfn.XLOOKUP($A336&amp;$B336&amp;$C336,盘货信息!$A:$A&amp;盘货信息!$B:$B&amp;盘货信息!$C:$C,盘货信息!$L:$L)=""),_xlfn.XLOOKUP($A336&amp;$B336&amp;$C336,盘货信息!$A:$A&amp;盘货信息!$B:$B&amp;盘货信息!$C:$C,盘货信息!$M:$M)="否"),"【预估到手价"&amp;_xlfn.XLOOKUP($A336&amp;$B336&amp;$C336,盘货信息!$A:$A&amp;盘货信息!$B:$B&amp;盘货信息!$C:$C,盘货信息!$D:$D)&amp;"元】",IF(AND(_xlfn.XLOOKUP($A336&amp;$B336&amp;$C336,盘货信息!$A:$A&amp;盘货信息!$B:$B&amp;盘货信息!$C:$C,盘货信息!$M:$M)="是",OR(_xlfn.XLOOKUP($A336&amp;$B336&amp;$C336,盘货信息!$A:$A&amp;盘货信息!$B:$B&amp;盘货信息!$C:$C,盘货信息!$L:$L)="否",_xlfn.XLOOKUP($A336&amp;$B336&amp;$C336,盘货信息!$A:$A&amp;盘货信息!$B:$B&amp;盘货信息!$C:$C,盘货信息!$L:$L)="")),"【预估到手价"&amp;_xlfn.XLOOKUP($A336&amp;$B336&amp;$C336,盘货信息!$A:$A&amp;盘货信息!$B:$B&amp;盘货信息!$C:$C,盘货信息!$D:$D)&amp;"元】"&amp;CHAR(10)&amp;"【焕新补贴预估价"&amp;ROUND(_xlfn.XLOOKUP($A336&amp;$B336&amp;$C336,盘货信息!$A:$A&amp;盘货信息!$B:$B&amp;盘货信息!$C:$C,盘货信息!$E:$E),0)&amp;"元】","【焕新补贴预估价"&amp;ROUND(_xlfn.XLOOKUP($A336&amp;$B336&amp;$C336,盘货信息!$A:$A&amp;盘货信息!$B:$B&amp;盘货信息!$C:$C,盘货信息!$E:$E),0)&amp;"元】")))</f>
        <v/>
      </c>
      <c r="F336" s="27" t="str" cm="1">
        <f t="array" ref="F336">IF($C336="","",_xlfn.XLOOKUP($A336&amp;$B336&amp;$C336,盘货信息!$A:$A&amp;盘货信息!$B:$B&amp;盘货信息!$C:$C,盘货信息!$D:$D)&amp;"元到手价")</f>
        <v/>
      </c>
      <c r="G336" s="27" t="str" cm="1">
        <f t="array" ref="G336">IF($C336="","",IF(_xlfn.XLOOKUP($A336&amp;$B336&amp;$C336,盘货信息!$A:$A&amp;盘货信息!$B:$B&amp;盘货信息!$C:$C,盘货信息!$G:$G)&lt;1,"",ROUND(_xlfn.XLOOKUP($A336&amp;$B336&amp;$C336,盘货信息!$A:$A&amp;盘货信息!$B:$B&amp;盘货信息!$C:$C,盘货信息!$G:$G),0)&amp;"元88VIP立减"))</f>
        <v/>
      </c>
      <c r="H336" s="27" t="str" cm="1">
        <f t="array" ref="H336">IF($C336="","",IF(_xlfn.XLOOKUP($A336&amp;$B336&amp;$C336,盘货信息!$A:$A&amp;盘货信息!$B:$B&amp;盘货信息!$C:$C,盘货信息!$I:$I)&lt;1,"",_xlfn.XLOOKUP($A336&amp;$B336&amp;$C336,盘货信息!$A:$A&amp;盘货信息!$B:$B&amp;盘货信息!$C:$C,盘货信息!$I:$I)&amp;"元惊喜立减"))</f>
        <v/>
      </c>
      <c r="I336" s="27" t="str" cm="1">
        <f t="array" ref="I336">IF($C336="","",IF(_xlfn.XLOOKUP($A336&amp;$B336&amp;$C336,盘货信息!$A:$A&amp;盘货信息!$B:$B&amp;盘货信息!$C:$C,盘货信息!$H:$H)&lt;1,"",ROUND(_xlfn.XLOOKUP($A336&amp;$B336&amp;$C336,盘货信息!$A:$A&amp;盘货信息!$B:$B&amp;盘货信息!$C:$C,盘货信息!$H:$H),0)&amp;"元消费券"))</f>
        <v/>
      </c>
      <c r="J336" s="27" t="str" cm="1">
        <f t="array" ref="J336">IF($C336="","",IF(_xlfn.XLOOKUP($A336&amp;$B336&amp;$C336,盘货信息!$A:$A&amp;盘货信息!$B:$B&amp;盘货信息!$C:$C,盘货信息!$J:$J)&lt;1,"",ROUND(_xlfn.XLOOKUP($A336&amp;$B336&amp;$C336,盘货信息!$A:$A&amp;盘货信息!$B:$B&amp;盘货信息!$C:$C,盘货信息!$J:$J),0)&amp;"元限时补贴"))</f>
        <v/>
      </c>
      <c r="K336" s="27" t="str" cm="1">
        <f t="array" ref="K336">IF($C336="","",IF(_xlfn.XLOOKUP($A336&amp;$B336&amp;$C336,盘货信息!$A:$A&amp;盘货信息!$B:$B&amp;盘货信息!$C:$C,盘货信息!$K:$K)&lt;1,"",ROUND(_xlfn.XLOOKUP($A336&amp;$B336&amp;$C336,盘货信息!$A:$A&amp;盘货信息!$B:$B&amp;盘货信息!$C:$C,盘货信息!$K:$K),0)&amp;"元预估焕新补贴"))</f>
        <v/>
      </c>
      <c r="L336" s="27" t="str" cm="1">
        <f t="array" ref="L336">IF($C336="","",IF(AND(_xlfn.XLOOKUP($A336&amp;$B336&amp;$C336,盘货信息!$A:$A&amp;盘货信息!$B:$B&amp;盘货信息!$C:$C,盘货信息!$L:$L)="是",_xlfn.XLOOKUP($A336&amp;$B336&amp;$C336,盘货信息!$A:$A&amp;盘货信息!$B:$B&amp;盘货信息!$C:$C,盘货信息!$M:$M)="是",_xlfn.XLOOKUP($A336&amp;$B336&amp;$C336,盘货信息!$A:$A&amp;盘货信息!$B:$B&amp;盘货信息!$C:$C,盘货信息!$K:$K)&gt;0),"【全民可用，不限地址】",IF(AND(OR(_xlfn.XLOOKUP($A336&amp;$B336&amp;$C336,盘货信息!$A:$A&amp;盘货信息!$B:$B&amp;盘货信息!$C:$C,盘货信息!$L:$L)="否",_xlfn.XLOOKUP($A336&amp;$B336&amp;$C336,盘货信息!$A:$A&amp;盘货信息!$B:$B&amp;盘货信息!$C:$C,盘货信息!$L:$L)=""),_xlfn.XLOOKUP($A336&amp;$B336&amp;$C336,盘货信息!$A:$A&amp;盘货信息!$B:$B&amp;盘货信息!$C:$C,盘货信息!$M:$M)="是",_xlfn.XLOOKUP($A336&amp;$B336&amp;$C336,盘货信息!$A:$A&amp;盘货信息!$B:$B&amp;盘货信息!$C:$C,盘货信息!$K:$K)&gt;0),"【详情页领取】","")))</f>
        <v/>
      </c>
      <c r="M336" s="27" t="str" cm="1">
        <f t="array" ref="M336">IF($C336="","",IF(_xlfn.XLOOKUP($A336&amp;$B336&amp;$C336,盘货信息!$A:$A&amp;盘货信息!$B:$B&amp;盘货信息!$C:$C,盘货信息!$F:$F)&lt;1,"",_xlfn.XLOOKUP($A336&amp;$B336&amp;$C336,盘货信息!$A:$A&amp;盘货信息!$B:$B&amp;盘货信息!$C:$C,盘货信息!$F:$F)&amp;"元明卷"))</f>
        <v/>
      </c>
      <c r="N336" s="27" t="str">
        <f t="shared" si="11"/>
        <v/>
      </c>
      <c r="O336" s="27" t="str">
        <f>IF(I336="","","【消费券链接】"&amp;固定信息!$B$6)</f>
        <v/>
      </c>
    </row>
    <row r="337" customHeight="1" spans="1:15">
      <c r="A337" s="23" t="str">
        <f>IF(盘货信息!A337="","",盘货信息!A337)</f>
        <v/>
      </c>
      <c r="B337" s="26" t="str">
        <f>IF(盘货信息!B337="","",盘货信息!B337)</f>
        <v/>
      </c>
      <c r="C337" s="23" t="str">
        <f>IF(盘货信息!C337="","",盘货信息!C337)</f>
        <v/>
      </c>
      <c r="D337" s="27" t="str">
        <f t="shared" si="10"/>
        <v/>
      </c>
      <c r="E337" s="27" t="str" cm="1">
        <f t="array" ref="E337">IF($C337="","",IF(AND(OR(_xlfn.XLOOKUP($A337&amp;$B337&amp;$C337,盘货信息!$A:$A&amp;盘货信息!$B:$B&amp;盘货信息!$C:$C,盘货信息!$L:$L)="否",_xlfn.XLOOKUP($A337&amp;$B337&amp;$C337,盘货信息!$A:$A&amp;盘货信息!$B:$B&amp;盘货信息!$C:$C,盘货信息!$L:$L)=""),_xlfn.XLOOKUP($A337&amp;$B337&amp;$C337,盘货信息!$A:$A&amp;盘货信息!$B:$B&amp;盘货信息!$C:$C,盘货信息!$M:$M)="否"),"【预估到手价"&amp;_xlfn.XLOOKUP($A337&amp;$B337&amp;$C337,盘货信息!$A:$A&amp;盘货信息!$B:$B&amp;盘货信息!$C:$C,盘货信息!$D:$D)&amp;"元】",IF(AND(_xlfn.XLOOKUP($A337&amp;$B337&amp;$C337,盘货信息!$A:$A&amp;盘货信息!$B:$B&amp;盘货信息!$C:$C,盘货信息!$M:$M)="是",OR(_xlfn.XLOOKUP($A337&amp;$B337&amp;$C337,盘货信息!$A:$A&amp;盘货信息!$B:$B&amp;盘货信息!$C:$C,盘货信息!$L:$L)="否",_xlfn.XLOOKUP($A337&amp;$B337&amp;$C337,盘货信息!$A:$A&amp;盘货信息!$B:$B&amp;盘货信息!$C:$C,盘货信息!$L:$L)="")),"【预估到手价"&amp;_xlfn.XLOOKUP($A337&amp;$B337&amp;$C337,盘货信息!$A:$A&amp;盘货信息!$B:$B&amp;盘货信息!$C:$C,盘货信息!$D:$D)&amp;"元】"&amp;CHAR(10)&amp;"【焕新补贴预估价"&amp;ROUND(_xlfn.XLOOKUP($A337&amp;$B337&amp;$C337,盘货信息!$A:$A&amp;盘货信息!$B:$B&amp;盘货信息!$C:$C,盘货信息!$E:$E),0)&amp;"元】","【焕新补贴预估价"&amp;ROUND(_xlfn.XLOOKUP($A337&amp;$B337&amp;$C337,盘货信息!$A:$A&amp;盘货信息!$B:$B&amp;盘货信息!$C:$C,盘货信息!$E:$E),0)&amp;"元】")))</f>
        <v/>
      </c>
      <c r="F337" s="27" t="str" cm="1">
        <f t="array" ref="F337">IF($C337="","",_xlfn.XLOOKUP($A337&amp;$B337&amp;$C337,盘货信息!$A:$A&amp;盘货信息!$B:$B&amp;盘货信息!$C:$C,盘货信息!$D:$D)&amp;"元到手价")</f>
        <v/>
      </c>
      <c r="G337" s="27" t="str" cm="1">
        <f t="array" ref="G337">IF($C337="","",IF(_xlfn.XLOOKUP($A337&amp;$B337&amp;$C337,盘货信息!$A:$A&amp;盘货信息!$B:$B&amp;盘货信息!$C:$C,盘货信息!$G:$G)&lt;1,"",ROUND(_xlfn.XLOOKUP($A337&amp;$B337&amp;$C337,盘货信息!$A:$A&amp;盘货信息!$B:$B&amp;盘货信息!$C:$C,盘货信息!$G:$G),0)&amp;"元88VIP立减"))</f>
        <v/>
      </c>
      <c r="H337" s="27" t="str" cm="1">
        <f t="array" ref="H337">IF($C337="","",IF(_xlfn.XLOOKUP($A337&amp;$B337&amp;$C337,盘货信息!$A:$A&amp;盘货信息!$B:$B&amp;盘货信息!$C:$C,盘货信息!$I:$I)&lt;1,"",_xlfn.XLOOKUP($A337&amp;$B337&amp;$C337,盘货信息!$A:$A&amp;盘货信息!$B:$B&amp;盘货信息!$C:$C,盘货信息!$I:$I)&amp;"元惊喜立减"))</f>
        <v/>
      </c>
      <c r="I337" s="27" t="str" cm="1">
        <f t="array" ref="I337">IF($C337="","",IF(_xlfn.XLOOKUP($A337&amp;$B337&amp;$C337,盘货信息!$A:$A&amp;盘货信息!$B:$B&amp;盘货信息!$C:$C,盘货信息!$H:$H)&lt;1,"",ROUND(_xlfn.XLOOKUP($A337&amp;$B337&amp;$C337,盘货信息!$A:$A&amp;盘货信息!$B:$B&amp;盘货信息!$C:$C,盘货信息!$H:$H),0)&amp;"元消费券"))</f>
        <v/>
      </c>
      <c r="J337" s="27" t="str" cm="1">
        <f t="array" ref="J337">IF($C337="","",IF(_xlfn.XLOOKUP($A337&amp;$B337&amp;$C337,盘货信息!$A:$A&amp;盘货信息!$B:$B&amp;盘货信息!$C:$C,盘货信息!$J:$J)&lt;1,"",ROUND(_xlfn.XLOOKUP($A337&amp;$B337&amp;$C337,盘货信息!$A:$A&amp;盘货信息!$B:$B&amp;盘货信息!$C:$C,盘货信息!$J:$J),0)&amp;"元限时补贴"))</f>
        <v/>
      </c>
      <c r="K337" s="27" t="str" cm="1">
        <f t="array" ref="K337">IF($C337="","",IF(_xlfn.XLOOKUP($A337&amp;$B337&amp;$C337,盘货信息!$A:$A&amp;盘货信息!$B:$B&amp;盘货信息!$C:$C,盘货信息!$K:$K)&lt;1,"",ROUND(_xlfn.XLOOKUP($A337&amp;$B337&amp;$C337,盘货信息!$A:$A&amp;盘货信息!$B:$B&amp;盘货信息!$C:$C,盘货信息!$K:$K),0)&amp;"元预估焕新补贴"))</f>
        <v/>
      </c>
      <c r="L337" s="27" t="str" cm="1">
        <f t="array" ref="L337">IF($C337="","",IF(AND(_xlfn.XLOOKUP($A337&amp;$B337&amp;$C337,盘货信息!$A:$A&amp;盘货信息!$B:$B&amp;盘货信息!$C:$C,盘货信息!$L:$L)="是",_xlfn.XLOOKUP($A337&amp;$B337&amp;$C337,盘货信息!$A:$A&amp;盘货信息!$B:$B&amp;盘货信息!$C:$C,盘货信息!$M:$M)="是",_xlfn.XLOOKUP($A337&amp;$B337&amp;$C337,盘货信息!$A:$A&amp;盘货信息!$B:$B&amp;盘货信息!$C:$C,盘货信息!$K:$K)&gt;0),"【全民可用，不限地址】",IF(AND(OR(_xlfn.XLOOKUP($A337&amp;$B337&amp;$C337,盘货信息!$A:$A&amp;盘货信息!$B:$B&amp;盘货信息!$C:$C,盘货信息!$L:$L)="否",_xlfn.XLOOKUP($A337&amp;$B337&amp;$C337,盘货信息!$A:$A&amp;盘货信息!$B:$B&amp;盘货信息!$C:$C,盘货信息!$L:$L)=""),_xlfn.XLOOKUP($A337&amp;$B337&amp;$C337,盘货信息!$A:$A&amp;盘货信息!$B:$B&amp;盘货信息!$C:$C,盘货信息!$M:$M)="是",_xlfn.XLOOKUP($A337&amp;$B337&amp;$C337,盘货信息!$A:$A&amp;盘货信息!$B:$B&amp;盘货信息!$C:$C,盘货信息!$K:$K)&gt;0),"【详情页领取】","")))</f>
        <v/>
      </c>
      <c r="M337" s="27" t="str" cm="1">
        <f t="array" ref="M337">IF($C337="","",IF(_xlfn.XLOOKUP($A337&amp;$B337&amp;$C337,盘货信息!$A:$A&amp;盘货信息!$B:$B&amp;盘货信息!$C:$C,盘货信息!$F:$F)&lt;1,"",_xlfn.XLOOKUP($A337&amp;$B337&amp;$C337,盘货信息!$A:$A&amp;盘货信息!$B:$B&amp;盘货信息!$C:$C,盘货信息!$F:$F)&amp;"元明卷"))</f>
        <v/>
      </c>
      <c r="N337" s="27" t="str">
        <f t="shared" si="11"/>
        <v/>
      </c>
      <c r="O337" s="27" t="str">
        <f>IF(I337="","","【消费券链接】"&amp;固定信息!$B$6)</f>
        <v/>
      </c>
    </row>
    <row r="338" customHeight="1" spans="1:15">
      <c r="A338" s="23" t="str">
        <f>IF(盘货信息!A338="","",盘货信息!A338)</f>
        <v/>
      </c>
      <c r="B338" s="26" t="str">
        <f>IF(盘货信息!B338="","",盘货信息!B338)</f>
        <v/>
      </c>
      <c r="C338" s="23" t="str">
        <f>IF(盘货信息!C338="","",盘货信息!C338)</f>
        <v/>
      </c>
      <c r="D338" s="27" t="str">
        <f t="shared" si="10"/>
        <v/>
      </c>
      <c r="E338" s="27" t="str" cm="1">
        <f t="array" ref="E338">IF($C338="","",IF(AND(OR(_xlfn.XLOOKUP($A338&amp;$B338&amp;$C338,盘货信息!$A:$A&amp;盘货信息!$B:$B&amp;盘货信息!$C:$C,盘货信息!$L:$L)="否",_xlfn.XLOOKUP($A338&amp;$B338&amp;$C338,盘货信息!$A:$A&amp;盘货信息!$B:$B&amp;盘货信息!$C:$C,盘货信息!$L:$L)=""),_xlfn.XLOOKUP($A338&amp;$B338&amp;$C338,盘货信息!$A:$A&amp;盘货信息!$B:$B&amp;盘货信息!$C:$C,盘货信息!$M:$M)="否"),"【预估到手价"&amp;_xlfn.XLOOKUP($A338&amp;$B338&amp;$C338,盘货信息!$A:$A&amp;盘货信息!$B:$B&amp;盘货信息!$C:$C,盘货信息!$D:$D)&amp;"元】",IF(AND(_xlfn.XLOOKUP($A338&amp;$B338&amp;$C338,盘货信息!$A:$A&amp;盘货信息!$B:$B&amp;盘货信息!$C:$C,盘货信息!$M:$M)="是",OR(_xlfn.XLOOKUP($A338&amp;$B338&amp;$C338,盘货信息!$A:$A&amp;盘货信息!$B:$B&amp;盘货信息!$C:$C,盘货信息!$L:$L)="否",_xlfn.XLOOKUP($A338&amp;$B338&amp;$C338,盘货信息!$A:$A&amp;盘货信息!$B:$B&amp;盘货信息!$C:$C,盘货信息!$L:$L)="")),"【预估到手价"&amp;_xlfn.XLOOKUP($A338&amp;$B338&amp;$C338,盘货信息!$A:$A&amp;盘货信息!$B:$B&amp;盘货信息!$C:$C,盘货信息!$D:$D)&amp;"元】"&amp;CHAR(10)&amp;"【焕新补贴预估价"&amp;ROUND(_xlfn.XLOOKUP($A338&amp;$B338&amp;$C338,盘货信息!$A:$A&amp;盘货信息!$B:$B&amp;盘货信息!$C:$C,盘货信息!$E:$E),0)&amp;"元】","【焕新补贴预估价"&amp;ROUND(_xlfn.XLOOKUP($A338&amp;$B338&amp;$C338,盘货信息!$A:$A&amp;盘货信息!$B:$B&amp;盘货信息!$C:$C,盘货信息!$E:$E),0)&amp;"元】")))</f>
        <v/>
      </c>
      <c r="F338" s="27" t="str" cm="1">
        <f t="array" ref="F338">IF($C338="","",_xlfn.XLOOKUP($A338&amp;$B338&amp;$C338,盘货信息!$A:$A&amp;盘货信息!$B:$B&amp;盘货信息!$C:$C,盘货信息!$D:$D)&amp;"元到手价")</f>
        <v/>
      </c>
      <c r="G338" s="27" t="str" cm="1">
        <f t="array" ref="G338">IF($C338="","",IF(_xlfn.XLOOKUP($A338&amp;$B338&amp;$C338,盘货信息!$A:$A&amp;盘货信息!$B:$B&amp;盘货信息!$C:$C,盘货信息!$G:$G)&lt;1,"",ROUND(_xlfn.XLOOKUP($A338&amp;$B338&amp;$C338,盘货信息!$A:$A&amp;盘货信息!$B:$B&amp;盘货信息!$C:$C,盘货信息!$G:$G),0)&amp;"元88VIP立减"))</f>
        <v/>
      </c>
      <c r="H338" s="27" t="str" cm="1">
        <f t="array" ref="H338">IF($C338="","",IF(_xlfn.XLOOKUP($A338&amp;$B338&amp;$C338,盘货信息!$A:$A&amp;盘货信息!$B:$B&amp;盘货信息!$C:$C,盘货信息!$I:$I)&lt;1,"",_xlfn.XLOOKUP($A338&amp;$B338&amp;$C338,盘货信息!$A:$A&amp;盘货信息!$B:$B&amp;盘货信息!$C:$C,盘货信息!$I:$I)&amp;"元惊喜立减"))</f>
        <v/>
      </c>
      <c r="I338" s="27" t="str" cm="1">
        <f t="array" ref="I338">IF($C338="","",IF(_xlfn.XLOOKUP($A338&amp;$B338&amp;$C338,盘货信息!$A:$A&amp;盘货信息!$B:$B&amp;盘货信息!$C:$C,盘货信息!$H:$H)&lt;1,"",ROUND(_xlfn.XLOOKUP($A338&amp;$B338&amp;$C338,盘货信息!$A:$A&amp;盘货信息!$B:$B&amp;盘货信息!$C:$C,盘货信息!$H:$H),0)&amp;"元消费券"))</f>
        <v/>
      </c>
      <c r="J338" s="27" t="str" cm="1">
        <f t="array" ref="J338">IF($C338="","",IF(_xlfn.XLOOKUP($A338&amp;$B338&amp;$C338,盘货信息!$A:$A&amp;盘货信息!$B:$B&amp;盘货信息!$C:$C,盘货信息!$J:$J)&lt;1,"",ROUND(_xlfn.XLOOKUP($A338&amp;$B338&amp;$C338,盘货信息!$A:$A&amp;盘货信息!$B:$B&amp;盘货信息!$C:$C,盘货信息!$J:$J),0)&amp;"元限时补贴"))</f>
        <v/>
      </c>
      <c r="K338" s="27" t="str" cm="1">
        <f t="array" ref="K338">IF($C338="","",IF(_xlfn.XLOOKUP($A338&amp;$B338&amp;$C338,盘货信息!$A:$A&amp;盘货信息!$B:$B&amp;盘货信息!$C:$C,盘货信息!$K:$K)&lt;1,"",ROUND(_xlfn.XLOOKUP($A338&amp;$B338&amp;$C338,盘货信息!$A:$A&amp;盘货信息!$B:$B&amp;盘货信息!$C:$C,盘货信息!$K:$K),0)&amp;"元预估焕新补贴"))</f>
        <v/>
      </c>
      <c r="L338" s="27" t="str" cm="1">
        <f t="array" ref="L338">IF($C338="","",IF(AND(_xlfn.XLOOKUP($A338&amp;$B338&amp;$C338,盘货信息!$A:$A&amp;盘货信息!$B:$B&amp;盘货信息!$C:$C,盘货信息!$L:$L)="是",_xlfn.XLOOKUP($A338&amp;$B338&amp;$C338,盘货信息!$A:$A&amp;盘货信息!$B:$B&amp;盘货信息!$C:$C,盘货信息!$M:$M)="是",_xlfn.XLOOKUP($A338&amp;$B338&amp;$C338,盘货信息!$A:$A&amp;盘货信息!$B:$B&amp;盘货信息!$C:$C,盘货信息!$K:$K)&gt;0),"【全民可用，不限地址】",IF(AND(OR(_xlfn.XLOOKUP($A338&amp;$B338&amp;$C338,盘货信息!$A:$A&amp;盘货信息!$B:$B&amp;盘货信息!$C:$C,盘货信息!$L:$L)="否",_xlfn.XLOOKUP($A338&amp;$B338&amp;$C338,盘货信息!$A:$A&amp;盘货信息!$B:$B&amp;盘货信息!$C:$C,盘货信息!$L:$L)=""),_xlfn.XLOOKUP($A338&amp;$B338&amp;$C338,盘货信息!$A:$A&amp;盘货信息!$B:$B&amp;盘货信息!$C:$C,盘货信息!$M:$M)="是",_xlfn.XLOOKUP($A338&amp;$B338&amp;$C338,盘货信息!$A:$A&amp;盘货信息!$B:$B&amp;盘货信息!$C:$C,盘货信息!$K:$K)&gt;0),"【详情页领取】","")))</f>
        <v/>
      </c>
      <c r="M338" s="27" t="str" cm="1">
        <f t="array" ref="M338">IF($C338="","",IF(_xlfn.XLOOKUP($A338&amp;$B338&amp;$C338,盘货信息!$A:$A&amp;盘货信息!$B:$B&amp;盘货信息!$C:$C,盘货信息!$F:$F)&lt;1,"",_xlfn.XLOOKUP($A338&amp;$B338&amp;$C338,盘货信息!$A:$A&amp;盘货信息!$B:$B&amp;盘货信息!$C:$C,盘货信息!$F:$F)&amp;"元明卷"))</f>
        <v/>
      </c>
      <c r="N338" s="27" t="str">
        <f t="shared" si="11"/>
        <v/>
      </c>
      <c r="O338" s="27" t="str">
        <f>IF(I338="","","【消费券链接】"&amp;固定信息!$B$6)</f>
        <v/>
      </c>
    </row>
    <row r="339" customHeight="1" spans="1:15">
      <c r="A339" s="23" t="str">
        <f>IF(盘货信息!A339="","",盘货信息!A339)</f>
        <v/>
      </c>
      <c r="B339" s="26" t="str">
        <f>IF(盘货信息!B339="","",盘货信息!B339)</f>
        <v/>
      </c>
      <c r="C339" s="23" t="str">
        <f>IF(盘货信息!C339="","",盘货信息!C339)</f>
        <v/>
      </c>
      <c r="D339" s="27" t="str">
        <f t="shared" si="10"/>
        <v/>
      </c>
      <c r="E339" s="27" t="str" cm="1">
        <f t="array" ref="E339">IF($C339="","",IF(AND(OR(_xlfn.XLOOKUP($A339&amp;$B339&amp;$C339,盘货信息!$A:$A&amp;盘货信息!$B:$B&amp;盘货信息!$C:$C,盘货信息!$L:$L)="否",_xlfn.XLOOKUP($A339&amp;$B339&amp;$C339,盘货信息!$A:$A&amp;盘货信息!$B:$B&amp;盘货信息!$C:$C,盘货信息!$L:$L)=""),_xlfn.XLOOKUP($A339&amp;$B339&amp;$C339,盘货信息!$A:$A&amp;盘货信息!$B:$B&amp;盘货信息!$C:$C,盘货信息!$M:$M)="否"),"【预估到手价"&amp;_xlfn.XLOOKUP($A339&amp;$B339&amp;$C339,盘货信息!$A:$A&amp;盘货信息!$B:$B&amp;盘货信息!$C:$C,盘货信息!$D:$D)&amp;"元】",IF(AND(_xlfn.XLOOKUP($A339&amp;$B339&amp;$C339,盘货信息!$A:$A&amp;盘货信息!$B:$B&amp;盘货信息!$C:$C,盘货信息!$M:$M)="是",OR(_xlfn.XLOOKUP($A339&amp;$B339&amp;$C339,盘货信息!$A:$A&amp;盘货信息!$B:$B&amp;盘货信息!$C:$C,盘货信息!$L:$L)="否",_xlfn.XLOOKUP($A339&amp;$B339&amp;$C339,盘货信息!$A:$A&amp;盘货信息!$B:$B&amp;盘货信息!$C:$C,盘货信息!$L:$L)="")),"【预估到手价"&amp;_xlfn.XLOOKUP($A339&amp;$B339&amp;$C339,盘货信息!$A:$A&amp;盘货信息!$B:$B&amp;盘货信息!$C:$C,盘货信息!$D:$D)&amp;"元】"&amp;CHAR(10)&amp;"【焕新补贴预估价"&amp;ROUND(_xlfn.XLOOKUP($A339&amp;$B339&amp;$C339,盘货信息!$A:$A&amp;盘货信息!$B:$B&amp;盘货信息!$C:$C,盘货信息!$E:$E),0)&amp;"元】","【焕新补贴预估价"&amp;ROUND(_xlfn.XLOOKUP($A339&amp;$B339&amp;$C339,盘货信息!$A:$A&amp;盘货信息!$B:$B&amp;盘货信息!$C:$C,盘货信息!$E:$E),0)&amp;"元】")))</f>
        <v/>
      </c>
      <c r="F339" s="27" t="str" cm="1">
        <f t="array" ref="F339">IF($C339="","",_xlfn.XLOOKUP($A339&amp;$B339&amp;$C339,盘货信息!$A:$A&amp;盘货信息!$B:$B&amp;盘货信息!$C:$C,盘货信息!$D:$D)&amp;"元到手价")</f>
        <v/>
      </c>
      <c r="G339" s="27" t="str" cm="1">
        <f t="array" ref="G339">IF($C339="","",IF(_xlfn.XLOOKUP($A339&amp;$B339&amp;$C339,盘货信息!$A:$A&amp;盘货信息!$B:$B&amp;盘货信息!$C:$C,盘货信息!$G:$G)&lt;1,"",ROUND(_xlfn.XLOOKUP($A339&amp;$B339&amp;$C339,盘货信息!$A:$A&amp;盘货信息!$B:$B&amp;盘货信息!$C:$C,盘货信息!$G:$G),0)&amp;"元88VIP立减"))</f>
        <v/>
      </c>
      <c r="H339" s="27" t="str" cm="1">
        <f t="array" ref="H339">IF($C339="","",IF(_xlfn.XLOOKUP($A339&amp;$B339&amp;$C339,盘货信息!$A:$A&amp;盘货信息!$B:$B&amp;盘货信息!$C:$C,盘货信息!$I:$I)&lt;1,"",_xlfn.XLOOKUP($A339&amp;$B339&amp;$C339,盘货信息!$A:$A&amp;盘货信息!$B:$B&amp;盘货信息!$C:$C,盘货信息!$I:$I)&amp;"元惊喜立减"))</f>
        <v/>
      </c>
      <c r="I339" s="27" t="str" cm="1">
        <f t="array" ref="I339">IF($C339="","",IF(_xlfn.XLOOKUP($A339&amp;$B339&amp;$C339,盘货信息!$A:$A&amp;盘货信息!$B:$B&amp;盘货信息!$C:$C,盘货信息!$H:$H)&lt;1,"",ROUND(_xlfn.XLOOKUP($A339&amp;$B339&amp;$C339,盘货信息!$A:$A&amp;盘货信息!$B:$B&amp;盘货信息!$C:$C,盘货信息!$H:$H),0)&amp;"元消费券"))</f>
        <v/>
      </c>
      <c r="J339" s="27" t="str" cm="1">
        <f t="array" ref="J339">IF($C339="","",IF(_xlfn.XLOOKUP($A339&amp;$B339&amp;$C339,盘货信息!$A:$A&amp;盘货信息!$B:$B&amp;盘货信息!$C:$C,盘货信息!$J:$J)&lt;1,"",ROUND(_xlfn.XLOOKUP($A339&amp;$B339&amp;$C339,盘货信息!$A:$A&amp;盘货信息!$B:$B&amp;盘货信息!$C:$C,盘货信息!$J:$J),0)&amp;"元限时补贴"))</f>
        <v/>
      </c>
      <c r="K339" s="27" t="str" cm="1">
        <f t="array" ref="K339">IF($C339="","",IF(_xlfn.XLOOKUP($A339&amp;$B339&amp;$C339,盘货信息!$A:$A&amp;盘货信息!$B:$B&amp;盘货信息!$C:$C,盘货信息!$K:$K)&lt;1,"",ROUND(_xlfn.XLOOKUP($A339&amp;$B339&amp;$C339,盘货信息!$A:$A&amp;盘货信息!$B:$B&amp;盘货信息!$C:$C,盘货信息!$K:$K),0)&amp;"元预估焕新补贴"))</f>
        <v/>
      </c>
      <c r="L339" s="27" t="str" cm="1">
        <f t="array" ref="L339">IF($C339="","",IF(AND(_xlfn.XLOOKUP($A339&amp;$B339&amp;$C339,盘货信息!$A:$A&amp;盘货信息!$B:$B&amp;盘货信息!$C:$C,盘货信息!$L:$L)="是",_xlfn.XLOOKUP($A339&amp;$B339&amp;$C339,盘货信息!$A:$A&amp;盘货信息!$B:$B&amp;盘货信息!$C:$C,盘货信息!$M:$M)="是",_xlfn.XLOOKUP($A339&amp;$B339&amp;$C339,盘货信息!$A:$A&amp;盘货信息!$B:$B&amp;盘货信息!$C:$C,盘货信息!$K:$K)&gt;0),"【全民可用，不限地址】",IF(AND(OR(_xlfn.XLOOKUP($A339&amp;$B339&amp;$C339,盘货信息!$A:$A&amp;盘货信息!$B:$B&amp;盘货信息!$C:$C,盘货信息!$L:$L)="否",_xlfn.XLOOKUP($A339&amp;$B339&amp;$C339,盘货信息!$A:$A&amp;盘货信息!$B:$B&amp;盘货信息!$C:$C,盘货信息!$L:$L)=""),_xlfn.XLOOKUP($A339&amp;$B339&amp;$C339,盘货信息!$A:$A&amp;盘货信息!$B:$B&amp;盘货信息!$C:$C,盘货信息!$M:$M)="是",_xlfn.XLOOKUP($A339&amp;$B339&amp;$C339,盘货信息!$A:$A&amp;盘货信息!$B:$B&amp;盘货信息!$C:$C,盘货信息!$K:$K)&gt;0),"【详情页领取】","")))</f>
        <v/>
      </c>
      <c r="M339" s="27" t="str" cm="1">
        <f t="array" ref="M339">IF($C339="","",IF(_xlfn.XLOOKUP($A339&amp;$B339&amp;$C339,盘货信息!$A:$A&amp;盘货信息!$B:$B&amp;盘货信息!$C:$C,盘货信息!$F:$F)&lt;1,"",_xlfn.XLOOKUP($A339&amp;$B339&amp;$C339,盘货信息!$A:$A&amp;盘货信息!$B:$B&amp;盘货信息!$C:$C,盘货信息!$F:$F)&amp;"元明卷"))</f>
        <v/>
      </c>
      <c r="N339" s="27" t="str">
        <f t="shared" si="11"/>
        <v/>
      </c>
      <c r="O339" s="27" t="str">
        <f>IF(I339="","","【消费券链接】"&amp;固定信息!$B$6)</f>
        <v/>
      </c>
    </row>
    <row r="340" customHeight="1" spans="1:15">
      <c r="A340" s="23" t="str">
        <f>IF(盘货信息!A340="","",盘货信息!A340)</f>
        <v/>
      </c>
      <c r="B340" s="26" t="str">
        <f>IF(盘货信息!B340="","",盘货信息!B340)</f>
        <v/>
      </c>
      <c r="C340" s="23" t="str">
        <f>IF(盘货信息!C340="","",盘货信息!C340)</f>
        <v/>
      </c>
      <c r="D340" s="27" t="str">
        <f t="shared" si="10"/>
        <v/>
      </c>
      <c r="E340" s="27" t="str" cm="1">
        <f t="array" ref="E340">IF($C340="","",IF(AND(OR(_xlfn.XLOOKUP($A340&amp;$B340&amp;$C340,盘货信息!$A:$A&amp;盘货信息!$B:$B&amp;盘货信息!$C:$C,盘货信息!$L:$L)="否",_xlfn.XLOOKUP($A340&amp;$B340&amp;$C340,盘货信息!$A:$A&amp;盘货信息!$B:$B&amp;盘货信息!$C:$C,盘货信息!$L:$L)=""),_xlfn.XLOOKUP($A340&amp;$B340&amp;$C340,盘货信息!$A:$A&amp;盘货信息!$B:$B&amp;盘货信息!$C:$C,盘货信息!$M:$M)="否"),"【预估到手价"&amp;_xlfn.XLOOKUP($A340&amp;$B340&amp;$C340,盘货信息!$A:$A&amp;盘货信息!$B:$B&amp;盘货信息!$C:$C,盘货信息!$D:$D)&amp;"元】",IF(AND(_xlfn.XLOOKUP($A340&amp;$B340&amp;$C340,盘货信息!$A:$A&amp;盘货信息!$B:$B&amp;盘货信息!$C:$C,盘货信息!$M:$M)="是",OR(_xlfn.XLOOKUP($A340&amp;$B340&amp;$C340,盘货信息!$A:$A&amp;盘货信息!$B:$B&amp;盘货信息!$C:$C,盘货信息!$L:$L)="否",_xlfn.XLOOKUP($A340&amp;$B340&amp;$C340,盘货信息!$A:$A&amp;盘货信息!$B:$B&amp;盘货信息!$C:$C,盘货信息!$L:$L)="")),"【预估到手价"&amp;_xlfn.XLOOKUP($A340&amp;$B340&amp;$C340,盘货信息!$A:$A&amp;盘货信息!$B:$B&amp;盘货信息!$C:$C,盘货信息!$D:$D)&amp;"元】"&amp;CHAR(10)&amp;"【焕新补贴预估价"&amp;ROUND(_xlfn.XLOOKUP($A340&amp;$B340&amp;$C340,盘货信息!$A:$A&amp;盘货信息!$B:$B&amp;盘货信息!$C:$C,盘货信息!$E:$E),0)&amp;"元】","【焕新补贴预估价"&amp;ROUND(_xlfn.XLOOKUP($A340&amp;$B340&amp;$C340,盘货信息!$A:$A&amp;盘货信息!$B:$B&amp;盘货信息!$C:$C,盘货信息!$E:$E),0)&amp;"元】")))</f>
        <v/>
      </c>
      <c r="F340" s="27" t="str" cm="1">
        <f t="array" ref="F340">IF($C340="","",_xlfn.XLOOKUP($A340&amp;$B340&amp;$C340,盘货信息!$A:$A&amp;盘货信息!$B:$B&amp;盘货信息!$C:$C,盘货信息!$D:$D)&amp;"元到手价")</f>
        <v/>
      </c>
      <c r="G340" s="27" t="str" cm="1">
        <f t="array" ref="G340">IF($C340="","",IF(_xlfn.XLOOKUP($A340&amp;$B340&amp;$C340,盘货信息!$A:$A&amp;盘货信息!$B:$B&amp;盘货信息!$C:$C,盘货信息!$G:$G)&lt;1,"",ROUND(_xlfn.XLOOKUP($A340&amp;$B340&amp;$C340,盘货信息!$A:$A&amp;盘货信息!$B:$B&amp;盘货信息!$C:$C,盘货信息!$G:$G),0)&amp;"元88VIP立减"))</f>
        <v/>
      </c>
      <c r="H340" s="27" t="str" cm="1">
        <f t="array" ref="H340">IF($C340="","",IF(_xlfn.XLOOKUP($A340&amp;$B340&amp;$C340,盘货信息!$A:$A&amp;盘货信息!$B:$B&amp;盘货信息!$C:$C,盘货信息!$I:$I)&lt;1,"",_xlfn.XLOOKUP($A340&amp;$B340&amp;$C340,盘货信息!$A:$A&amp;盘货信息!$B:$B&amp;盘货信息!$C:$C,盘货信息!$I:$I)&amp;"元惊喜立减"))</f>
        <v/>
      </c>
      <c r="I340" s="27" t="str" cm="1">
        <f t="array" ref="I340">IF($C340="","",IF(_xlfn.XLOOKUP($A340&amp;$B340&amp;$C340,盘货信息!$A:$A&amp;盘货信息!$B:$B&amp;盘货信息!$C:$C,盘货信息!$H:$H)&lt;1,"",ROUND(_xlfn.XLOOKUP($A340&amp;$B340&amp;$C340,盘货信息!$A:$A&amp;盘货信息!$B:$B&amp;盘货信息!$C:$C,盘货信息!$H:$H),0)&amp;"元消费券"))</f>
        <v/>
      </c>
      <c r="J340" s="27" t="str" cm="1">
        <f t="array" ref="J340">IF($C340="","",IF(_xlfn.XLOOKUP($A340&amp;$B340&amp;$C340,盘货信息!$A:$A&amp;盘货信息!$B:$B&amp;盘货信息!$C:$C,盘货信息!$J:$J)&lt;1,"",ROUND(_xlfn.XLOOKUP($A340&amp;$B340&amp;$C340,盘货信息!$A:$A&amp;盘货信息!$B:$B&amp;盘货信息!$C:$C,盘货信息!$J:$J),0)&amp;"元限时补贴"))</f>
        <v/>
      </c>
      <c r="K340" s="27" t="str" cm="1">
        <f t="array" ref="K340">IF($C340="","",IF(_xlfn.XLOOKUP($A340&amp;$B340&amp;$C340,盘货信息!$A:$A&amp;盘货信息!$B:$B&amp;盘货信息!$C:$C,盘货信息!$K:$K)&lt;1,"",ROUND(_xlfn.XLOOKUP($A340&amp;$B340&amp;$C340,盘货信息!$A:$A&amp;盘货信息!$B:$B&amp;盘货信息!$C:$C,盘货信息!$K:$K),0)&amp;"元预估焕新补贴"))</f>
        <v/>
      </c>
      <c r="L340" s="27" t="str" cm="1">
        <f t="array" ref="L340">IF($C340="","",IF(AND(_xlfn.XLOOKUP($A340&amp;$B340&amp;$C340,盘货信息!$A:$A&amp;盘货信息!$B:$B&amp;盘货信息!$C:$C,盘货信息!$L:$L)="是",_xlfn.XLOOKUP($A340&amp;$B340&amp;$C340,盘货信息!$A:$A&amp;盘货信息!$B:$B&amp;盘货信息!$C:$C,盘货信息!$M:$M)="是",_xlfn.XLOOKUP($A340&amp;$B340&amp;$C340,盘货信息!$A:$A&amp;盘货信息!$B:$B&amp;盘货信息!$C:$C,盘货信息!$K:$K)&gt;0),"【全民可用，不限地址】",IF(AND(OR(_xlfn.XLOOKUP($A340&amp;$B340&amp;$C340,盘货信息!$A:$A&amp;盘货信息!$B:$B&amp;盘货信息!$C:$C,盘货信息!$L:$L)="否",_xlfn.XLOOKUP($A340&amp;$B340&amp;$C340,盘货信息!$A:$A&amp;盘货信息!$B:$B&amp;盘货信息!$C:$C,盘货信息!$L:$L)=""),_xlfn.XLOOKUP($A340&amp;$B340&amp;$C340,盘货信息!$A:$A&amp;盘货信息!$B:$B&amp;盘货信息!$C:$C,盘货信息!$M:$M)="是",_xlfn.XLOOKUP($A340&amp;$B340&amp;$C340,盘货信息!$A:$A&amp;盘货信息!$B:$B&amp;盘货信息!$C:$C,盘货信息!$K:$K)&gt;0),"【详情页领取】","")))</f>
        <v/>
      </c>
      <c r="M340" s="27" t="str" cm="1">
        <f t="array" ref="M340">IF($C340="","",IF(_xlfn.XLOOKUP($A340&amp;$B340&amp;$C340,盘货信息!$A:$A&amp;盘货信息!$B:$B&amp;盘货信息!$C:$C,盘货信息!$F:$F)&lt;1,"",_xlfn.XLOOKUP($A340&amp;$B340&amp;$C340,盘货信息!$A:$A&amp;盘货信息!$B:$B&amp;盘货信息!$C:$C,盘货信息!$F:$F)&amp;"元明卷"))</f>
        <v/>
      </c>
      <c r="N340" s="27" t="str">
        <f t="shared" si="11"/>
        <v/>
      </c>
      <c r="O340" s="27" t="str">
        <f>IF(I340="","","【消费券链接】"&amp;固定信息!$B$6)</f>
        <v/>
      </c>
    </row>
    <row r="341" customHeight="1" spans="1:15">
      <c r="A341" s="23" t="str">
        <f>IF(盘货信息!A341="","",盘货信息!A341)</f>
        <v/>
      </c>
      <c r="B341" s="26" t="str">
        <f>IF(盘货信息!B341="","",盘货信息!B341)</f>
        <v/>
      </c>
      <c r="C341" s="23" t="str">
        <f>IF(盘货信息!C341="","",盘货信息!C341)</f>
        <v/>
      </c>
      <c r="D341" s="27" t="str">
        <f t="shared" si="10"/>
        <v/>
      </c>
      <c r="E341" s="27" t="str" cm="1">
        <f t="array" ref="E341">IF($C341="","",IF(AND(OR(_xlfn.XLOOKUP($A341&amp;$B341&amp;$C341,盘货信息!$A:$A&amp;盘货信息!$B:$B&amp;盘货信息!$C:$C,盘货信息!$L:$L)="否",_xlfn.XLOOKUP($A341&amp;$B341&amp;$C341,盘货信息!$A:$A&amp;盘货信息!$B:$B&amp;盘货信息!$C:$C,盘货信息!$L:$L)=""),_xlfn.XLOOKUP($A341&amp;$B341&amp;$C341,盘货信息!$A:$A&amp;盘货信息!$B:$B&amp;盘货信息!$C:$C,盘货信息!$M:$M)="否"),"【预估到手价"&amp;_xlfn.XLOOKUP($A341&amp;$B341&amp;$C341,盘货信息!$A:$A&amp;盘货信息!$B:$B&amp;盘货信息!$C:$C,盘货信息!$D:$D)&amp;"元】",IF(AND(_xlfn.XLOOKUP($A341&amp;$B341&amp;$C341,盘货信息!$A:$A&amp;盘货信息!$B:$B&amp;盘货信息!$C:$C,盘货信息!$M:$M)="是",OR(_xlfn.XLOOKUP($A341&amp;$B341&amp;$C341,盘货信息!$A:$A&amp;盘货信息!$B:$B&amp;盘货信息!$C:$C,盘货信息!$L:$L)="否",_xlfn.XLOOKUP($A341&amp;$B341&amp;$C341,盘货信息!$A:$A&amp;盘货信息!$B:$B&amp;盘货信息!$C:$C,盘货信息!$L:$L)="")),"【预估到手价"&amp;_xlfn.XLOOKUP($A341&amp;$B341&amp;$C341,盘货信息!$A:$A&amp;盘货信息!$B:$B&amp;盘货信息!$C:$C,盘货信息!$D:$D)&amp;"元】"&amp;CHAR(10)&amp;"【焕新补贴预估价"&amp;ROUND(_xlfn.XLOOKUP($A341&amp;$B341&amp;$C341,盘货信息!$A:$A&amp;盘货信息!$B:$B&amp;盘货信息!$C:$C,盘货信息!$E:$E),0)&amp;"元】","【焕新补贴预估价"&amp;ROUND(_xlfn.XLOOKUP($A341&amp;$B341&amp;$C341,盘货信息!$A:$A&amp;盘货信息!$B:$B&amp;盘货信息!$C:$C,盘货信息!$E:$E),0)&amp;"元】")))</f>
        <v/>
      </c>
      <c r="F341" s="27" t="str" cm="1">
        <f t="array" ref="F341">IF($C341="","",_xlfn.XLOOKUP($A341&amp;$B341&amp;$C341,盘货信息!$A:$A&amp;盘货信息!$B:$B&amp;盘货信息!$C:$C,盘货信息!$D:$D)&amp;"元到手价")</f>
        <v/>
      </c>
      <c r="G341" s="27" t="str" cm="1">
        <f t="array" ref="G341">IF($C341="","",IF(_xlfn.XLOOKUP($A341&amp;$B341&amp;$C341,盘货信息!$A:$A&amp;盘货信息!$B:$B&amp;盘货信息!$C:$C,盘货信息!$G:$G)&lt;1,"",ROUND(_xlfn.XLOOKUP($A341&amp;$B341&amp;$C341,盘货信息!$A:$A&amp;盘货信息!$B:$B&amp;盘货信息!$C:$C,盘货信息!$G:$G),0)&amp;"元88VIP立减"))</f>
        <v/>
      </c>
      <c r="H341" s="27" t="str" cm="1">
        <f t="array" ref="H341">IF($C341="","",IF(_xlfn.XLOOKUP($A341&amp;$B341&amp;$C341,盘货信息!$A:$A&amp;盘货信息!$B:$B&amp;盘货信息!$C:$C,盘货信息!$I:$I)&lt;1,"",_xlfn.XLOOKUP($A341&amp;$B341&amp;$C341,盘货信息!$A:$A&amp;盘货信息!$B:$B&amp;盘货信息!$C:$C,盘货信息!$I:$I)&amp;"元惊喜立减"))</f>
        <v/>
      </c>
      <c r="I341" s="27" t="str" cm="1">
        <f t="array" ref="I341">IF($C341="","",IF(_xlfn.XLOOKUP($A341&amp;$B341&amp;$C341,盘货信息!$A:$A&amp;盘货信息!$B:$B&amp;盘货信息!$C:$C,盘货信息!$H:$H)&lt;1,"",ROUND(_xlfn.XLOOKUP($A341&amp;$B341&amp;$C341,盘货信息!$A:$A&amp;盘货信息!$B:$B&amp;盘货信息!$C:$C,盘货信息!$H:$H),0)&amp;"元消费券"))</f>
        <v/>
      </c>
      <c r="J341" s="27" t="str" cm="1">
        <f t="array" ref="J341">IF($C341="","",IF(_xlfn.XLOOKUP($A341&amp;$B341&amp;$C341,盘货信息!$A:$A&amp;盘货信息!$B:$B&amp;盘货信息!$C:$C,盘货信息!$J:$J)&lt;1,"",ROUND(_xlfn.XLOOKUP($A341&amp;$B341&amp;$C341,盘货信息!$A:$A&amp;盘货信息!$B:$B&amp;盘货信息!$C:$C,盘货信息!$J:$J),0)&amp;"元限时补贴"))</f>
        <v/>
      </c>
      <c r="K341" s="27" t="str" cm="1">
        <f t="array" ref="K341">IF($C341="","",IF(_xlfn.XLOOKUP($A341&amp;$B341&amp;$C341,盘货信息!$A:$A&amp;盘货信息!$B:$B&amp;盘货信息!$C:$C,盘货信息!$K:$K)&lt;1,"",ROUND(_xlfn.XLOOKUP($A341&amp;$B341&amp;$C341,盘货信息!$A:$A&amp;盘货信息!$B:$B&amp;盘货信息!$C:$C,盘货信息!$K:$K),0)&amp;"元预估焕新补贴"))</f>
        <v/>
      </c>
      <c r="L341" s="27" t="str" cm="1">
        <f t="array" ref="L341">IF($C341="","",IF(AND(_xlfn.XLOOKUP($A341&amp;$B341&amp;$C341,盘货信息!$A:$A&amp;盘货信息!$B:$B&amp;盘货信息!$C:$C,盘货信息!$L:$L)="是",_xlfn.XLOOKUP($A341&amp;$B341&amp;$C341,盘货信息!$A:$A&amp;盘货信息!$B:$B&amp;盘货信息!$C:$C,盘货信息!$M:$M)="是",_xlfn.XLOOKUP($A341&amp;$B341&amp;$C341,盘货信息!$A:$A&amp;盘货信息!$B:$B&amp;盘货信息!$C:$C,盘货信息!$K:$K)&gt;0),"【全民可用，不限地址】",IF(AND(OR(_xlfn.XLOOKUP($A341&amp;$B341&amp;$C341,盘货信息!$A:$A&amp;盘货信息!$B:$B&amp;盘货信息!$C:$C,盘货信息!$L:$L)="否",_xlfn.XLOOKUP($A341&amp;$B341&amp;$C341,盘货信息!$A:$A&amp;盘货信息!$B:$B&amp;盘货信息!$C:$C,盘货信息!$L:$L)=""),_xlfn.XLOOKUP($A341&amp;$B341&amp;$C341,盘货信息!$A:$A&amp;盘货信息!$B:$B&amp;盘货信息!$C:$C,盘货信息!$M:$M)="是",_xlfn.XLOOKUP($A341&amp;$B341&amp;$C341,盘货信息!$A:$A&amp;盘货信息!$B:$B&amp;盘货信息!$C:$C,盘货信息!$K:$K)&gt;0),"【详情页领取】","")))</f>
        <v/>
      </c>
      <c r="M341" s="27" t="str" cm="1">
        <f t="array" ref="M341">IF($C341="","",IF(_xlfn.XLOOKUP($A341&amp;$B341&amp;$C341,盘货信息!$A:$A&amp;盘货信息!$B:$B&amp;盘货信息!$C:$C,盘货信息!$F:$F)&lt;1,"",_xlfn.XLOOKUP($A341&amp;$B341&amp;$C341,盘货信息!$A:$A&amp;盘货信息!$B:$B&amp;盘货信息!$C:$C,盘货信息!$F:$F)&amp;"元明卷"))</f>
        <v/>
      </c>
      <c r="N341" s="27" t="str">
        <f t="shared" si="11"/>
        <v/>
      </c>
      <c r="O341" s="27" t="str">
        <f>IF(I341="","","【消费券链接】"&amp;固定信息!$B$6)</f>
        <v/>
      </c>
    </row>
    <row r="342" customHeight="1" spans="1:15">
      <c r="A342" s="23" t="str">
        <f>IF(盘货信息!A342="","",盘货信息!A342)</f>
        <v/>
      </c>
      <c r="B342" s="26" t="str">
        <f>IF(盘货信息!B342="","",盘货信息!B342)</f>
        <v/>
      </c>
      <c r="C342" s="23" t="str">
        <f>IF(盘货信息!C342="","",盘货信息!C342)</f>
        <v/>
      </c>
      <c r="D342" s="27" t="str">
        <f t="shared" si="10"/>
        <v/>
      </c>
      <c r="E342" s="27" t="str" cm="1">
        <f t="array" ref="E342">IF($C342="","",IF(AND(OR(_xlfn.XLOOKUP($A342&amp;$B342&amp;$C342,盘货信息!$A:$A&amp;盘货信息!$B:$B&amp;盘货信息!$C:$C,盘货信息!$L:$L)="否",_xlfn.XLOOKUP($A342&amp;$B342&amp;$C342,盘货信息!$A:$A&amp;盘货信息!$B:$B&amp;盘货信息!$C:$C,盘货信息!$L:$L)=""),_xlfn.XLOOKUP($A342&amp;$B342&amp;$C342,盘货信息!$A:$A&amp;盘货信息!$B:$B&amp;盘货信息!$C:$C,盘货信息!$M:$M)="否"),"【预估到手价"&amp;_xlfn.XLOOKUP($A342&amp;$B342&amp;$C342,盘货信息!$A:$A&amp;盘货信息!$B:$B&amp;盘货信息!$C:$C,盘货信息!$D:$D)&amp;"元】",IF(AND(_xlfn.XLOOKUP($A342&amp;$B342&amp;$C342,盘货信息!$A:$A&amp;盘货信息!$B:$B&amp;盘货信息!$C:$C,盘货信息!$M:$M)="是",OR(_xlfn.XLOOKUP($A342&amp;$B342&amp;$C342,盘货信息!$A:$A&amp;盘货信息!$B:$B&amp;盘货信息!$C:$C,盘货信息!$L:$L)="否",_xlfn.XLOOKUP($A342&amp;$B342&amp;$C342,盘货信息!$A:$A&amp;盘货信息!$B:$B&amp;盘货信息!$C:$C,盘货信息!$L:$L)="")),"【预估到手价"&amp;_xlfn.XLOOKUP($A342&amp;$B342&amp;$C342,盘货信息!$A:$A&amp;盘货信息!$B:$B&amp;盘货信息!$C:$C,盘货信息!$D:$D)&amp;"元】"&amp;CHAR(10)&amp;"【焕新补贴预估价"&amp;ROUND(_xlfn.XLOOKUP($A342&amp;$B342&amp;$C342,盘货信息!$A:$A&amp;盘货信息!$B:$B&amp;盘货信息!$C:$C,盘货信息!$E:$E),0)&amp;"元】","【焕新补贴预估价"&amp;ROUND(_xlfn.XLOOKUP($A342&amp;$B342&amp;$C342,盘货信息!$A:$A&amp;盘货信息!$B:$B&amp;盘货信息!$C:$C,盘货信息!$E:$E),0)&amp;"元】")))</f>
        <v/>
      </c>
      <c r="F342" s="27" t="str" cm="1">
        <f t="array" ref="F342">IF($C342="","",_xlfn.XLOOKUP($A342&amp;$B342&amp;$C342,盘货信息!$A:$A&amp;盘货信息!$B:$B&amp;盘货信息!$C:$C,盘货信息!$D:$D)&amp;"元到手价")</f>
        <v/>
      </c>
      <c r="G342" s="27" t="str" cm="1">
        <f t="array" ref="G342">IF($C342="","",IF(_xlfn.XLOOKUP($A342&amp;$B342&amp;$C342,盘货信息!$A:$A&amp;盘货信息!$B:$B&amp;盘货信息!$C:$C,盘货信息!$G:$G)&lt;1,"",ROUND(_xlfn.XLOOKUP($A342&amp;$B342&amp;$C342,盘货信息!$A:$A&amp;盘货信息!$B:$B&amp;盘货信息!$C:$C,盘货信息!$G:$G),0)&amp;"元88VIP立减"))</f>
        <v/>
      </c>
      <c r="H342" s="27" t="str" cm="1">
        <f t="array" ref="H342">IF($C342="","",IF(_xlfn.XLOOKUP($A342&amp;$B342&amp;$C342,盘货信息!$A:$A&amp;盘货信息!$B:$B&amp;盘货信息!$C:$C,盘货信息!$I:$I)&lt;1,"",_xlfn.XLOOKUP($A342&amp;$B342&amp;$C342,盘货信息!$A:$A&amp;盘货信息!$B:$B&amp;盘货信息!$C:$C,盘货信息!$I:$I)&amp;"元惊喜立减"))</f>
        <v/>
      </c>
      <c r="I342" s="27" t="str" cm="1">
        <f t="array" ref="I342">IF($C342="","",IF(_xlfn.XLOOKUP($A342&amp;$B342&amp;$C342,盘货信息!$A:$A&amp;盘货信息!$B:$B&amp;盘货信息!$C:$C,盘货信息!$H:$H)&lt;1,"",ROUND(_xlfn.XLOOKUP($A342&amp;$B342&amp;$C342,盘货信息!$A:$A&amp;盘货信息!$B:$B&amp;盘货信息!$C:$C,盘货信息!$H:$H),0)&amp;"元消费券"))</f>
        <v/>
      </c>
      <c r="J342" s="27" t="str" cm="1">
        <f t="array" ref="J342">IF($C342="","",IF(_xlfn.XLOOKUP($A342&amp;$B342&amp;$C342,盘货信息!$A:$A&amp;盘货信息!$B:$B&amp;盘货信息!$C:$C,盘货信息!$J:$J)&lt;1,"",ROUND(_xlfn.XLOOKUP($A342&amp;$B342&amp;$C342,盘货信息!$A:$A&amp;盘货信息!$B:$B&amp;盘货信息!$C:$C,盘货信息!$J:$J),0)&amp;"元限时补贴"))</f>
        <v/>
      </c>
      <c r="K342" s="27" t="str" cm="1">
        <f t="array" ref="K342">IF($C342="","",IF(_xlfn.XLOOKUP($A342&amp;$B342&amp;$C342,盘货信息!$A:$A&amp;盘货信息!$B:$B&amp;盘货信息!$C:$C,盘货信息!$K:$K)&lt;1,"",ROUND(_xlfn.XLOOKUP($A342&amp;$B342&amp;$C342,盘货信息!$A:$A&amp;盘货信息!$B:$B&amp;盘货信息!$C:$C,盘货信息!$K:$K),0)&amp;"元预估焕新补贴"))</f>
        <v/>
      </c>
      <c r="L342" s="27" t="str" cm="1">
        <f t="array" ref="L342">IF($C342="","",IF(AND(_xlfn.XLOOKUP($A342&amp;$B342&amp;$C342,盘货信息!$A:$A&amp;盘货信息!$B:$B&amp;盘货信息!$C:$C,盘货信息!$L:$L)="是",_xlfn.XLOOKUP($A342&amp;$B342&amp;$C342,盘货信息!$A:$A&amp;盘货信息!$B:$B&amp;盘货信息!$C:$C,盘货信息!$M:$M)="是",_xlfn.XLOOKUP($A342&amp;$B342&amp;$C342,盘货信息!$A:$A&amp;盘货信息!$B:$B&amp;盘货信息!$C:$C,盘货信息!$K:$K)&gt;0),"【全民可用，不限地址】",IF(AND(OR(_xlfn.XLOOKUP($A342&amp;$B342&amp;$C342,盘货信息!$A:$A&amp;盘货信息!$B:$B&amp;盘货信息!$C:$C,盘货信息!$L:$L)="否",_xlfn.XLOOKUP($A342&amp;$B342&amp;$C342,盘货信息!$A:$A&amp;盘货信息!$B:$B&amp;盘货信息!$C:$C,盘货信息!$L:$L)=""),_xlfn.XLOOKUP($A342&amp;$B342&amp;$C342,盘货信息!$A:$A&amp;盘货信息!$B:$B&amp;盘货信息!$C:$C,盘货信息!$M:$M)="是",_xlfn.XLOOKUP($A342&amp;$B342&amp;$C342,盘货信息!$A:$A&amp;盘货信息!$B:$B&amp;盘货信息!$C:$C,盘货信息!$K:$K)&gt;0),"【详情页领取】","")))</f>
        <v/>
      </c>
      <c r="M342" s="27" t="str" cm="1">
        <f t="array" ref="M342">IF($C342="","",IF(_xlfn.XLOOKUP($A342&amp;$B342&amp;$C342,盘货信息!$A:$A&amp;盘货信息!$B:$B&amp;盘货信息!$C:$C,盘货信息!$F:$F)&lt;1,"",_xlfn.XLOOKUP($A342&amp;$B342&amp;$C342,盘货信息!$A:$A&amp;盘货信息!$B:$B&amp;盘货信息!$C:$C,盘货信息!$F:$F)&amp;"元明卷"))</f>
        <v/>
      </c>
      <c r="N342" s="27" t="str">
        <f t="shared" si="11"/>
        <v/>
      </c>
      <c r="O342" s="27" t="str">
        <f>IF(I342="","","【消费券链接】"&amp;固定信息!$B$6)</f>
        <v/>
      </c>
    </row>
    <row r="343" customHeight="1" spans="1:15">
      <c r="A343" s="23" t="str">
        <f>IF(盘货信息!A343="","",盘货信息!A343)</f>
        <v/>
      </c>
      <c r="B343" s="26" t="str">
        <f>IF(盘货信息!B343="","",盘货信息!B343)</f>
        <v/>
      </c>
      <c r="C343" s="23" t="str">
        <f>IF(盘货信息!C343="","",盘货信息!C343)</f>
        <v/>
      </c>
      <c r="D343" s="27" t="str">
        <f t="shared" si="10"/>
        <v/>
      </c>
      <c r="E343" s="27" t="str" cm="1">
        <f t="array" ref="E343">IF($C343="","",IF(AND(OR(_xlfn.XLOOKUP($A343&amp;$B343&amp;$C343,盘货信息!$A:$A&amp;盘货信息!$B:$B&amp;盘货信息!$C:$C,盘货信息!$L:$L)="否",_xlfn.XLOOKUP($A343&amp;$B343&amp;$C343,盘货信息!$A:$A&amp;盘货信息!$B:$B&amp;盘货信息!$C:$C,盘货信息!$L:$L)=""),_xlfn.XLOOKUP($A343&amp;$B343&amp;$C343,盘货信息!$A:$A&amp;盘货信息!$B:$B&amp;盘货信息!$C:$C,盘货信息!$M:$M)="否"),"【预估到手价"&amp;_xlfn.XLOOKUP($A343&amp;$B343&amp;$C343,盘货信息!$A:$A&amp;盘货信息!$B:$B&amp;盘货信息!$C:$C,盘货信息!$D:$D)&amp;"元】",IF(AND(_xlfn.XLOOKUP($A343&amp;$B343&amp;$C343,盘货信息!$A:$A&amp;盘货信息!$B:$B&amp;盘货信息!$C:$C,盘货信息!$M:$M)="是",OR(_xlfn.XLOOKUP($A343&amp;$B343&amp;$C343,盘货信息!$A:$A&amp;盘货信息!$B:$B&amp;盘货信息!$C:$C,盘货信息!$L:$L)="否",_xlfn.XLOOKUP($A343&amp;$B343&amp;$C343,盘货信息!$A:$A&amp;盘货信息!$B:$B&amp;盘货信息!$C:$C,盘货信息!$L:$L)="")),"【预估到手价"&amp;_xlfn.XLOOKUP($A343&amp;$B343&amp;$C343,盘货信息!$A:$A&amp;盘货信息!$B:$B&amp;盘货信息!$C:$C,盘货信息!$D:$D)&amp;"元】"&amp;CHAR(10)&amp;"【焕新补贴预估价"&amp;ROUND(_xlfn.XLOOKUP($A343&amp;$B343&amp;$C343,盘货信息!$A:$A&amp;盘货信息!$B:$B&amp;盘货信息!$C:$C,盘货信息!$E:$E),0)&amp;"元】","【焕新补贴预估价"&amp;ROUND(_xlfn.XLOOKUP($A343&amp;$B343&amp;$C343,盘货信息!$A:$A&amp;盘货信息!$B:$B&amp;盘货信息!$C:$C,盘货信息!$E:$E),0)&amp;"元】")))</f>
        <v/>
      </c>
      <c r="F343" s="27" t="str" cm="1">
        <f t="array" ref="F343">IF($C343="","",_xlfn.XLOOKUP($A343&amp;$B343&amp;$C343,盘货信息!$A:$A&amp;盘货信息!$B:$B&amp;盘货信息!$C:$C,盘货信息!$D:$D)&amp;"元到手价")</f>
        <v/>
      </c>
      <c r="G343" s="27" t="str" cm="1">
        <f t="array" ref="G343">IF($C343="","",IF(_xlfn.XLOOKUP($A343&amp;$B343&amp;$C343,盘货信息!$A:$A&amp;盘货信息!$B:$B&amp;盘货信息!$C:$C,盘货信息!$G:$G)&lt;1,"",ROUND(_xlfn.XLOOKUP($A343&amp;$B343&amp;$C343,盘货信息!$A:$A&amp;盘货信息!$B:$B&amp;盘货信息!$C:$C,盘货信息!$G:$G),0)&amp;"元88VIP立减"))</f>
        <v/>
      </c>
      <c r="H343" s="27" t="str" cm="1">
        <f t="array" ref="H343">IF($C343="","",IF(_xlfn.XLOOKUP($A343&amp;$B343&amp;$C343,盘货信息!$A:$A&amp;盘货信息!$B:$B&amp;盘货信息!$C:$C,盘货信息!$I:$I)&lt;1,"",_xlfn.XLOOKUP($A343&amp;$B343&amp;$C343,盘货信息!$A:$A&amp;盘货信息!$B:$B&amp;盘货信息!$C:$C,盘货信息!$I:$I)&amp;"元惊喜立减"))</f>
        <v/>
      </c>
      <c r="I343" s="27" t="str" cm="1">
        <f t="array" ref="I343">IF($C343="","",IF(_xlfn.XLOOKUP($A343&amp;$B343&amp;$C343,盘货信息!$A:$A&amp;盘货信息!$B:$B&amp;盘货信息!$C:$C,盘货信息!$H:$H)&lt;1,"",ROUND(_xlfn.XLOOKUP($A343&amp;$B343&amp;$C343,盘货信息!$A:$A&amp;盘货信息!$B:$B&amp;盘货信息!$C:$C,盘货信息!$H:$H),0)&amp;"元消费券"))</f>
        <v/>
      </c>
      <c r="J343" s="27" t="str" cm="1">
        <f t="array" ref="J343">IF($C343="","",IF(_xlfn.XLOOKUP($A343&amp;$B343&amp;$C343,盘货信息!$A:$A&amp;盘货信息!$B:$B&amp;盘货信息!$C:$C,盘货信息!$J:$J)&lt;1,"",ROUND(_xlfn.XLOOKUP($A343&amp;$B343&amp;$C343,盘货信息!$A:$A&amp;盘货信息!$B:$B&amp;盘货信息!$C:$C,盘货信息!$J:$J),0)&amp;"元限时补贴"))</f>
        <v/>
      </c>
      <c r="K343" s="27" t="str" cm="1">
        <f t="array" ref="K343">IF($C343="","",IF(_xlfn.XLOOKUP($A343&amp;$B343&amp;$C343,盘货信息!$A:$A&amp;盘货信息!$B:$B&amp;盘货信息!$C:$C,盘货信息!$K:$K)&lt;1,"",ROUND(_xlfn.XLOOKUP($A343&amp;$B343&amp;$C343,盘货信息!$A:$A&amp;盘货信息!$B:$B&amp;盘货信息!$C:$C,盘货信息!$K:$K),0)&amp;"元预估焕新补贴"))</f>
        <v/>
      </c>
      <c r="L343" s="27" t="str" cm="1">
        <f t="array" ref="L343">IF($C343="","",IF(AND(_xlfn.XLOOKUP($A343&amp;$B343&amp;$C343,盘货信息!$A:$A&amp;盘货信息!$B:$B&amp;盘货信息!$C:$C,盘货信息!$L:$L)="是",_xlfn.XLOOKUP($A343&amp;$B343&amp;$C343,盘货信息!$A:$A&amp;盘货信息!$B:$B&amp;盘货信息!$C:$C,盘货信息!$M:$M)="是",_xlfn.XLOOKUP($A343&amp;$B343&amp;$C343,盘货信息!$A:$A&amp;盘货信息!$B:$B&amp;盘货信息!$C:$C,盘货信息!$K:$K)&gt;0),"【全民可用，不限地址】",IF(AND(OR(_xlfn.XLOOKUP($A343&amp;$B343&amp;$C343,盘货信息!$A:$A&amp;盘货信息!$B:$B&amp;盘货信息!$C:$C,盘货信息!$L:$L)="否",_xlfn.XLOOKUP($A343&amp;$B343&amp;$C343,盘货信息!$A:$A&amp;盘货信息!$B:$B&amp;盘货信息!$C:$C,盘货信息!$L:$L)=""),_xlfn.XLOOKUP($A343&amp;$B343&amp;$C343,盘货信息!$A:$A&amp;盘货信息!$B:$B&amp;盘货信息!$C:$C,盘货信息!$M:$M)="是",_xlfn.XLOOKUP($A343&amp;$B343&amp;$C343,盘货信息!$A:$A&amp;盘货信息!$B:$B&amp;盘货信息!$C:$C,盘货信息!$K:$K)&gt;0),"【详情页领取】","")))</f>
        <v/>
      </c>
      <c r="M343" s="27" t="str" cm="1">
        <f t="array" ref="M343">IF($C343="","",IF(_xlfn.XLOOKUP($A343&amp;$B343&amp;$C343,盘货信息!$A:$A&amp;盘货信息!$B:$B&amp;盘货信息!$C:$C,盘货信息!$F:$F)&lt;1,"",_xlfn.XLOOKUP($A343&amp;$B343&amp;$C343,盘货信息!$A:$A&amp;盘货信息!$B:$B&amp;盘货信息!$C:$C,盘货信息!$F:$F)&amp;"元明卷"))</f>
        <v/>
      </c>
      <c r="N343" s="27" t="str">
        <f t="shared" si="11"/>
        <v/>
      </c>
      <c r="O343" s="27" t="str">
        <f>IF(I343="","","【消费券链接】"&amp;固定信息!$B$6)</f>
        <v/>
      </c>
    </row>
    <row r="344" customHeight="1" spans="1:15">
      <c r="A344" s="23" t="str">
        <f>IF(盘货信息!A344="","",盘货信息!A344)</f>
        <v/>
      </c>
      <c r="B344" s="26" t="str">
        <f>IF(盘货信息!B344="","",盘货信息!B344)</f>
        <v/>
      </c>
      <c r="C344" s="23" t="str">
        <f>IF(盘货信息!C344="","",盘货信息!C344)</f>
        <v/>
      </c>
      <c r="D344" s="27" t="str">
        <f t="shared" si="10"/>
        <v/>
      </c>
      <c r="E344" s="27" t="str" cm="1">
        <f t="array" ref="E344">IF($C344="","",IF(AND(OR(_xlfn.XLOOKUP($A344&amp;$B344&amp;$C344,盘货信息!$A:$A&amp;盘货信息!$B:$B&amp;盘货信息!$C:$C,盘货信息!$L:$L)="否",_xlfn.XLOOKUP($A344&amp;$B344&amp;$C344,盘货信息!$A:$A&amp;盘货信息!$B:$B&amp;盘货信息!$C:$C,盘货信息!$L:$L)=""),_xlfn.XLOOKUP($A344&amp;$B344&amp;$C344,盘货信息!$A:$A&amp;盘货信息!$B:$B&amp;盘货信息!$C:$C,盘货信息!$M:$M)="否"),"【预估到手价"&amp;_xlfn.XLOOKUP($A344&amp;$B344&amp;$C344,盘货信息!$A:$A&amp;盘货信息!$B:$B&amp;盘货信息!$C:$C,盘货信息!$D:$D)&amp;"元】",IF(AND(_xlfn.XLOOKUP($A344&amp;$B344&amp;$C344,盘货信息!$A:$A&amp;盘货信息!$B:$B&amp;盘货信息!$C:$C,盘货信息!$M:$M)="是",OR(_xlfn.XLOOKUP($A344&amp;$B344&amp;$C344,盘货信息!$A:$A&amp;盘货信息!$B:$B&amp;盘货信息!$C:$C,盘货信息!$L:$L)="否",_xlfn.XLOOKUP($A344&amp;$B344&amp;$C344,盘货信息!$A:$A&amp;盘货信息!$B:$B&amp;盘货信息!$C:$C,盘货信息!$L:$L)="")),"【预估到手价"&amp;_xlfn.XLOOKUP($A344&amp;$B344&amp;$C344,盘货信息!$A:$A&amp;盘货信息!$B:$B&amp;盘货信息!$C:$C,盘货信息!$D:$D)&amp;"元】"&amp;CHAR(10)&amp;"【焕新补贴预估价"&amp;ROUND(_xlfn.XLOOKUP($A344&amp;$B344&amp;$C344,盘货信息!$A:$A&amp;盘货信息!$B:$B&amp;盘货信息!$C:$C,盘货信息!$E:$E),0)&amp;"元】","【焕新补贴预估价"&amp;ROUND(_xlfn.XLOOKUP($A344&amp;$B344&amp;$C344,盘货信息!$A:$A&amp;盘货信息!$B:$B&amp;盘货信息!$C:$C,盘货信息!$E:$E),0)&amp;"元】")))</f>
        <v/>
      </c>
      <c r="F344" s="27" t="str" cm="1">
        <f t="array" ref="F344">IF($C344="","",_xlfn.XLOOKUP($A344&amp;$B344&amp;$C344,盘货信息!$A:$A&amp;盘货信息!$B:$B&amp;盘货信息!$C:$C,盘货信息!$D:$D)&amp;"元到手价")</f>
        <v/>
      </c>
      <c r="G344" s="27" t="str" cm="1">
        <f t="array" ref="G344">IF($C344="","",IF(_xlfn.XLOOKUP($A344&amp;$B344&amp;$C344,盘货信息!$A:$A&amp;盘货信息!$B:$B&amp;盘货信息!$C:$C,盘货信息!$G:$G)&lt;1,"",ROUND(_xlfn.XLOOKUP($A344&amp;$B344&amp;$C344,盘货信息!$A:$A&amp;盘货信息!$B:$B&amp;盘货信息!$C:$C,盘货信息!$G:$G),0)&amp;"元88VIP立减"))</f>
        <v/>
      </c>
      <c r="H344" s="27" t="str" cm="1">
        <f t="array" ref="H344">IF($C344="","",IF(_xlfn.XLOOKUP($A344&amp;$B344&amp;$C344,盘货信息!$A:$A&amp;盘货信息!$B:$B&amp;盘货信息!$C:$C,盘货信息!$I:$I)&lt;1,"",_xlfn.XLOOKUP($A344&amp;$B344&amp;$C344,盘货信息!$A:$A&amp;盘货信息!$B:$B&amp;盘货信息!$C:$C,盘货信息!$I:$I)&amp;"元惊喜立减"))</f>
        <v/>
      </c>
      <c r="I344" s="27" t="str" cm="1">
        <f t="array" ref="I344">IF($C344="","",IF(_xlfn.XLOOKUP($A344&amp;$B344&amp;$C344,盘货信息!$A:$A&amp;盘货信息!$B:$B&amp;盘货信息!$C:$C,盘货信息!$H:$H)&lt;1,"",ROUND(_xlfn.XLOOKUP($A344&amp;$B344&amp;$C344,盘货信息!$A:$A&amp;盘货信息!$B:$B&amp;盘货信息!$C:$C,盘货信息!$H:$H),0)&amp;"元消费券"))</f>
        <v/>
      </c>
      <c r="J344" s="27" t="str" cm="1">
        <f t="array" ref="J344">IF($C344="","",IF(_xlfn.XLOOKUP($A344&amp;$B344&amp;$C344,盘货信息!$A:$A&amp;盘货信息!$B:$B&amp;盘货信息!$C:$C,盘货信息!$J:$J)&lt;1,"",ROUND(_xlfn.XLOOKUP($A344&amp;$B344&amp;$C344,盘货信息!$A:$A&amp;盘货信息!$B:$B&amp;盘货信息!$C:$C,盘货信息!$J:$J),0)&amp;"元限时补贴"))</f>
        <v/>
      </c>
      <c r="K344" s="27" t="str" cm="1">
        <f t="array" ref="K344">IF($C344="","",IF(_xlfn.XLOOKUP($A344&amp;$B344&amp;$C344,盘货信息!$A:$A&amp;盘货信息!$B:$B&amp;盘货信息!$C:$C,盘货信息!$K:$K)&lt;1,"",ROUND(_xlfn.XLOOKUP($A344&amp;$B344&amp;$C344,盘货信息!$A:$A&amp;盘货信息!$B:$B&amp;盘货信息!$C:$C,盘货信息!$K:$K),0)&amp;"元预估焕新补贴"))</f>
        <v/>
      </c>
      <c r="L344" s="27" t="str" cm="1">
        <f t="array" ref="L344">IF($C344="","",IF(AND(_xlfn.XLOOKUP($A344&amp;$B344&amp;$C344,盘货信息!$A:$A&amp;盘货信息!$B:$B&amp;盘货信息!$C:$C,盘货信息!$L:$L)="是",_xlfn.XLOOKUP($A344&amp;$B344&amp;$C344,盘货信息!$A:$A&amp;盘货信息!$B:$B&amp;盘货信息!$C:$C,盘货信息!$M:$M)="是",_xlfn.XLOOKUP($A344&amp;$B344&amp;$C344,盘货信息!$A:$A&amp;盘货信息!$B:$B&amp;盘货信息!$C:$C,盘货信息!$K:$K)&gt;0),"【全民可用，不限地址】",IF(AND(OR(_xlfn.XLOOKUP($A344&amp;$B344&amp;$C344,盘货信息!$A:$A&amp;盘货信息!$B:$B&amp;盘货信息!$C:$C,盘货信息!$L:$L)="否",_xlfn.XLOOKUP($A344&amp;$B344&amp;$C344,盘货信息!$A:$A&amp;盘货信息!$B:$B&amp;盘货信息!$C:$C,盘货信息!$L:$L)=""),_xlfn.XLOOKUP($A344&amp;$B344&amp;$C344,盘货信息!$A:$A&amp;盘货信息!$B:$B&amp;盘货信息!$C:$C,盘货信息!$M:$M)="是",_xlfn.XLOOKUP($A344&amp;$B344&amp;$C344,盘货信息!$A:$A&amp;盘货信息!$B:$B&amp;盘货信息!$C:$C,盘货信息!$K:$K)&gt;0),"【详情页领取】","")))</f>
        <v/>
      </c>
      <c r="M344" s="27" t="str" cm="1">
        <f t="array" ref="M344">IF($C344="","",IF(_xlfn.XLOOKUP($A344&amp;$B344&amp;$C344,盘货信息!$A:$A&amp;盘货信息!$B:$B&amp;盘货信息!$C:$C,盘货信息!$F:$F)&lt;1,"",_xlfn.XLOOKUP($A344&amp;$B344&amp;$C344,盘货信息!$A:$A&amp;盘货信息!$B:$B&amp;盘货信息!$C:$C,盘货信息!$F:$F)&amp;"元明卷"))</f>
        <v/>
      </c>
      <c r="N344" s="27" t="str">
        <f t="shared" si="11"/>
        <v/>
      </c>
      <c r="O344" s="27" t="str">
        <f>IF(I344="","","【消费券链接】"&amp;固定信息!$B$6)</f>
        <v/>
      </c>
    </row>
    <row r="345" customHeight="1" spans="1:15">
      <c r="A345" s="23" t="str">
        <f>IF(盘货信息!A345="","",盘货信息!A345)</f>
        <v/>
      </c>
      <c r="B345" s="26" t="str">
        <f>IF(盘货信息!B345="","",盘货信息!B345)</f>
        <v/>
      </c>
      <c r="C345" s="23" t="str">
        <f>IF(盘货信息!C345="","",盘货信息!C345)</f>
        <v/>
      </c>
      <c r="D345" s="27" t="str">
        <f t="shared" si="10"/>
        <v/>
      </c>
      <c r="E345" s="27" t="str" cm="1">
        <f t="array" ref="E345">IF($C345="","",IF(AND(OR(_xlfn.XLOOKUP($A345&amp;$B345&amp;$C345,盘货信息!$A:$A&amp;盘货信息!$B:$B&amp;盘货信息!$C:$C,盘货信息!$L:$L)="否",_xlfn.XLOOKUP($A345&amp;$B345&amp;$C345,盘货信息!$A:$A&amp;盘货信息!$B:$B&amp;盘货信息!$C:$C,盘货信息!$L:$L)=""),_xlfn.XLOOKUP($A345&amp;$B345&amp;$C345,盘货信息!$A:$A&amp;盘货信息!$B:$B&amp;盘货信息!$C:$C,盘货信息!$M:$M)="否"),"【预估到手价"&amp;_xlfn.XLOOKUP($A345&amp;$B345&amp;$C345,盘货信息!$A:$A&amp;盘货信息!$B:$B&amp;盘货信息!$C:$C,盘货信息!$D:$D)&amp;"元】",IF(AND(_xlfn.XLOOKUP($A345&amp;$B345&amp;$C345,盘货信息!$A:$A&amp;盘货信息!$B:$B&amp;盘货信息!$C:$C,盘货信息!$M:$M)="是",OR(_xlfn.XLOOKUP($A345&amp;$B345&amp;$C345,盘货信息!$A:$A&amp;盘货信息!$B:$B&amp;盘货信息!$C:$C,盘货信息!$L:$L)="否",_xlfn.XLOOKUP($A345&amp;$B345&amp;$C345,盘货信息!$A:$A&amp;盘货信息!$B:$B&amp;盘货信息!$C:$C,盘货信息!$L:$L)="")),"【预估到手价"&amp;_xlfn.XLOOKUP($A345&amp;$B345&amp;$C345,盘货信息!$A:$A&amp;盘货信息!$B:$B&amp;盘货信息!$C:$C,盘货信息!$D:$D)&amp;"元】"&amp;CHAR(10)&amp;"【焕新补贴预估价"&amp;ROUND(_xlfn.XLOOKUP($A345&amp;$B345&amp;$C345,盘货信息!$A:$A&amp;盘货信息!$B:$B&amp;盘货信息!$C:$C,盘货信息!$E:$E),0)&amp;"元】","【焕新补贴预估价"&amp;ROUND(_xlfn.XLOOKUP($A345&amp;$B345&amp;$C345,盘货信息!$A:$A&amp;盘货信息!$B:$B&amp;盘货信息!$C:$C,盘货信息!$E:$E),0)&amp;"元】")))</f>
        <v/>
      </c>
      <c r="F345" s="27" t="str" cm="1">
        <f t="array" ref="F345">IF($C345="","",_xlfn.XLOOKUP($A345&amp;$B345&amp;$C345,盘货信息!$A:$A&amp;盘货信息!$B:$B&amp;盘货信息!$C:$C,盘货信息!$D:$D)&amp;"元到手价")</f>
        <v/>
      </c>
      <c r="G345" s="27" t="str" cm="1">
        <f t="array" ref="G345">IF($C345="","",IF(_xlfn.XLOOKUP($A345&amp;$B345&amp;$C345,盘货信息!$A:$A&amp;盘货信息!$B:$B&amp;盘货信息!$C:$C,盘货信息!$G:$G)&lt;1,"",ROUND(_xlfn.XLOOKUP($A345&amp;$B345&amp;$C345,盘货信息!$A:$A&amp;盘货信息!$B:$B&amp;盘货信息!$C:$C,盘货信息!$G:$G),0)&amp;"元88VIP立减"))</f>
        <v/>
      </c>
      <c r="H345" s="27" t="str" cm="1">
        <f t="array" ref="H345">IF($C345="","",IF(_xlfn.XLOOKUP($A345&amp;$B345&amp;$C345,盘货信息!$A:$A&amp;盘货信息!$B:$B&amp;盘货信息!$C:$C,盘货信息!$I:$I)&lt;1,"",_xlfn.XLOOKUP($A345&amp;$B345&amp;$C345,盘货信息!$A:$A&amp;盘货信息!$B:$B&amp;盘货信息!$C:$C,盘货信息!$I:$I)&amp;"元惊喜立减"))</f>
        <v/>
      </c>
      <c r="I345" s="27" t="str" cm="1">
        <f t="array" ref="I345">IF($C345="","",IF(_xlfn.XLOOKUP($A345&amp;$B345&amp;$C345,盘货信息!$A:$A&amp;盘货信息!$B:$B&amp;盘货信息!$C:$C,盘货信息!$H:$H)&lt;1,"",ROUND(_xlfn.XLOOKUP($A345&amp;$B345&amp;$C345,盘货信息!$A:$A&amp;盘货信息!$B:$B&amp;盘货信息!$C:$C,盘货信息!$H:$H),0)&amp;"元消费券"))</f>
        <v/>
      </c>
      <c r="J345" s="27" t="str" cm="1">
        <f t="array" ref="J345">IF($C345="","",IF(_xlfn.XLOOKUP($A345&amp;$B345&amp;$C345,盘货信息!$A:$A&amp;盘货信息!$B:$B&amp;盘货信息!$C:$C,盘货信息!$J:$J)&lt;1,"",ROUND(_xlfn.XLOOKUP($A345&amp;$B345&amp;$C345,盘货信息!$A:$A&amp;盘货信息!$B:$B&amp;盘货信息!$C:$C,盘货信息!$J:$J),0)&amp;"元限时补贴"))</f>
        <v/>
      </c>
      <c r="K345" s="27" t="str" cm="1">
        <f t="array" ref="K345">IF($C345="","",IF(_xlfn.XLOOKUP($A345&amp;$B345&amp;$C345,盘货信息!$A:$A&amp;盘货信息!$B:$B&amp;盘货信息!$C:$C,盘货信息!$K:$K)&lt;1,"",ROUND(_xlfn.XLOOKUP($A345&amp;$B345&amp;$C345,盘货信息!$A:$A&amp;盘货信息!$B:$B&amp;盘货信息!$C:$C,盘货信息!$K:$K),0)&amp;"元预估焕新补贴"))</f>
        <v/>
      </c>
      <c r="L345" s="27" t="str" cm="1">
        <f t="array" ref="L345">IF($C345="","",IF(AND(_xlfn.XLOOKUP($A345&amp;$B345&amp;$C345,盘货信息!$A:$A&amp;盘货信息!$B:$B&amp;盘货信息!$C:$C,盘货信息!$L:$L)="是",_xlfn.XLOOKUP($A345&amp;$B345&amp;$C345,盘货信息!$A:$A&amp;盘货信息!$B:$B&amp;盘货信息!$C:$C,盘货信息!$M:$M)="是",_xlfn.XLOOKUP($A345&amp;$B345&amp;$C345,盘货信息!$A:$A&amp;盘货信息!$B:$B&amp;盘货信息!$C:$C,盘货信息!$K:$K)&gt;0),"【全民可用，不限地址】",IF(AND(OR(_xlfn.XLOOKUP($A345&amp;$B345&amp;$C345,盘货信息!$A:$A&amp;盘货信息!$B:$B&amp;盘货信息!$C:$C,盘货信息!$L:$L)="否",_xlfn.XLOOKUP($A345&amp;$B345&amp;$C345,盘货信息!$A:$A&amp;盘货信息!$B:$B&amp;盘货信息!$C:$C,盘货信息!$L:$L)=""),_xlfn.XLOOKUP($A345&amp;$B345&amp;$C345,盘货信息!$A:$A&amp;盘货信息!$B:$B&amp;盘货信息!$C:$C,盘货信息!$M:$M)="是",_xlfn.XLOOKUP($A345&amp;$B345&amp;$C345,盘货信息!$A:$A&amp;盘货信息!$B:$B&amp;盘货信息!$C:$C,盘货信息!$K:$K)&gt;0),"【详情页领取】","")))</f>
        <v/>
      </c>
      <c r="M345" s="27" t="str" cm="1">
        <f t="array" ref="M345">IF($C345="","",IF(_xlfn.XLOOKUP($A345&amp;$B345&amp;$C345,盘货信息!$A:$A&amp;盘货信息!$B:$B&amp;盘货信息!$C:$C,盘货信息!$F:$F)&lt;1,"",_xlfn.XLOOKUP($A345&amp;$B345&amp;$C345,盘货信息!$A:$A&amp;盘货信息!$B:$B&amp;盘货信息!$C:$C,盘货信息!$F:$F)&amp;"元明卷"))</f>
        <v/>
      </c>
      <c r="N345" s="27" t="str">
        <f t="shared" si="11"/>
        <v/>
      </c>
      <c r="O345" s="27" t="str">
        <f>IF(I345="","","【消费券链接】"&amp;固定信息!$B$6)</f>
        <v/>
      </c>
    </row>
    <row r="346" customHeight="1" spans="1:15">
      <c r="A346" s="23" t="str">
        <f>IF(盘货信息!A346="","",盘货信息!A346)</f>
        <v/>
      </c>
      <c r="B346" s="26" t="str">
        <f>IF(盘货信息!B346="","",盘货信息!B346)</f>
        <v/>
      </c>
      <c r="C346" s="23" t="str">
        <f>IF(盘货信息!C346="","",盘货信息!C346)</f>
        <v/>
      </c>
      <c r="D346" s="27" t="str">
        <f t="shared" si="10"/>
        <v/>
      </c>
      <c r="E346" s="27" t="str" cm="1">
        <f t="array" ref="E346">IF($C346="","",IF(AND(OR(_xlfn.XLOOKUP($A346&amp;$B346&amp;$C346,盘货信息!$A:$A&amp;盘货信息!$B:$B&amp;盘货信息!$C:$C,盘货信息!$L:$L)="否",_xlfn.XLOOKUP($A346&amp;$B346&amp;$C346,盘货信息!$A:$A&amp;盘货信息!$B:$B&amp;盘货信息!$C:$C,盘货信息!$L:$L)=""),_xlfn.XLOOKUP($A346&amp;$B346&amp;$C346,盘货信息!$A:$A&amp;盘货信息!$B:$B&amp;盘货信息!$C:$C,盘货信息!$M:$M)="否"),"【预估到手价"&amp;_xlfn.XLOOKUP($A346&amp;$B346&amp;$C346,盘货信息!$A:$A&amp;盘货信息!$B:$B&amp;盘货信息!$C:$C,盘货信息!$D:$D)&amp;"元】",IF(AND(_xlfn.XLOOKUP($A346&amp;$B346&amp;$C346,盘货信息!$A:$A&amp;盘货信息!$B:$B&amp;盘货信息!$C:$C,盘货信息!$M:$M)="是",OR(_xlfn.XLOOKUP($A346&amp;$B346&amp;$C346,盘货信息!$A:$A&amp;盘货信息!$B:$B&amp;盘货信息!$C:$C,盘货信息!$L:$L)="否",_xlfn.XLOOKUP($A346&amp;$B346&amp;$C346,盘货信息!$A:$A&amp;盘货信息!$B:$B&amp;盘货信息!$C:$C,盘货信息!$L:$L)="")),"【预估到手价"&amp;_xlfn.XLOOKUP($A346&amp;$B346&amp;$C346,盘货信息!$A:$A&amp;盘货信息!$B:$B&amp;盘货信息!$C:$C,盘货信息!$D:$D)&amp;"元】"&amp;CHAR(10)&amp;"【焕新补贴预估价"&amp;ROUND(_xlfn.XLOOKUP($A346&amp;$B346&amp;$C346,盘货信息!$A:$A&amp;盘货信息!$B:$B&amp;盘货信息!$C:$C,盘货信息!$E:$E),0)&amp;"元】","【焕新补贴预估价"&amp;ROUND(_xlfn.XLOOKUP($A346&amp;$B346&amp;$C346,盘货信息!$A:$A&amp;盘货信息!$B:$B&amp;盘货信息!$C:$C,盘货信息!$E:$E),0)&amp;"元】")))</f>
        <v/>
      </c>
      <c r="F346" s="27" t="str" cm="1">
        <f t="array" ref="F346">IF($C346="","",_xlfn.XLOOKUP($A346&amp;$B346&amp;$C346,盘货信息!$A:$A&amp;盘货信息!$B:$B&amp;盘货信息!$C:$C,盘货信息!$D:$D)&amp;"元到手价")</f>
        <v/>
      </c>
      <c r="G346" s="27" t="str" cm="1">
        <f t="array" ref="G346">IF($C346="","",IF(_xlfn.XLOOKUP($A346&amp;$B346&amp;$C346,盘货信息!$A:$A&amp;盘货信息!$B:$B&amp;盘货信息!$C:$C,盘货信息!$G:$G)&lt;1,"",ROUND(_xlfn.XLOOKUP($A346&amp;$B346&amp;$C346,盘货信息!$A:$A&amp;盘货信息!$B:$B&amp;盘货信息!$C:$C,盘货信息!$G:$G),0)&amp;"元88VIP立减"))</f>
        <v/>
      </c>
      <c r="H346" s="27" t="str" cm="1">
        <f t="array" ref="H346">IF($C346="","",IF(_xlfn.XLOOKUP($A346&amp;$B346&amp;$C346,盘货信息!$A:$A&amp;盘货信息!$B:$B&amp;盘货信息!$C:$C,盘货信息!$I:$I)&lt;1,"",_xlfn.XLOOKUP($A346&amp;$B346&amp;$C346,盘货信息!$A:$A&amp;盘货信息!$B:$B&amp;盘货信息!$C:$C,盘货信息!$I:$I)&amp;"元惊喜立减"))</f>
        <v/>
      </c>
      <c r="I346" s="27" t="str" cm="1">
        <f t="array" ref="I346">IF($C346="","",IF(_xlfn.XLOOKUP($A346&amp;$B346&amp;$C346,盘货信息!$A:$A&amp;盘货信息!$B:$B&amp;盘货信息!$C:$C,盘货信息!$H:$H)&lt;1,"",ROUND(_xlfn.XLOOKUP($A346&amp;$B346&amp;$C346,盘货信息!$A:$A&amp;盘货信息!$B:$B&amp;盘货信息!$C:$C,盘货信息!$H:$H),0)&amp;"元消费券"))</f>
        <v/>
      </c>
      <c r="J346" s="27" t="str" cm="1">
        <f t="array" ref="J346">IF($C346="","",IF(_xlfn.XLOOKUP($A346&amp;$B346&amp;$C346,盘货信息!$A:$A&amp;盘货信息!$B:$B&amp;盘货信息!$C:$C,盘货信息!$J:$J)&lt;1,"",ROUND(_xlfn.XLOOKUP($A346&amp;$B346&amp;$C346,盘货信息!$A:$A&amp;盘货信息!$B:$B&amp;盘货信息!$C:$C,盘货信息!$J:$J),0)&amp;"元限时补贴"))</f>
        <v/>
      </c>
      <c r="K346" s="27" t="str" cm="1">
        <f t="array" ref="K346">IF($C346="","",IF(_xlfn.XLOOKUP($A346&amp;$B346&amp;$C346,盘货信息!$A:$A&amp;盘货信息!$B:$B&amp;盘货信息!$C:$C,盘货信息!$K:$K)&lt;1,"",ROUND(_xlfn.XLOOKUP($A346&amp;$B346&amp;$C346,盘货信息!$A:$A&amp;盘货信息!$B:$B&amp;盘货信息!$C:$C,盘货信息!$K:$K),0)&amp;"元预估焕新补贴"))</f>
        <v/>
      </c>
      <c r="L346" s="27" t="str" cm="1">
        <f t="array" ref="L346">IF($C346="","",IF(AND(_xlfn.XLOOKUP($A346&amp;$B346&amp;$C346,盘货信息!$A:$A&amp;盘货信息!$B:$B&amp;盘货信息!$C:$C,盘货信息!$L:$L)="是",_xlfn.XLOOKUP($A346&amp;$B346&amp;$C346,盘货信息!$A:$A&amp;盘货信息!$B:$B&amp;盘货信息!$C:$C,盘货信息!$M:$M)="是",_xlfn.XLOOKUP($A346&amp;$B346&amp;$C346,盘货信息!$A:$A&amp;盘货信息!$B:$B&amp;盘货信息!$C:$C,盘货信息!$K:$K)&gt;0),"【全民可用，不限地址】",IF(AND(OR(_xlfn.XLOOKUP($A346&amp;$B346&amp;$C346,盘货信息!$A:$A&amp;盘货信息!$B:$B&amp;盘货信息!$C:$C,盘货信息!$L:$L)="否",_xlfn.XLOOKUP($A346&amp;$B346&amp;$C346,盘货信息!$A:$A&amp;盘货信息!$B:$B&amp;盘货信息!$C:$C,盘货信息!$L:$L)=""),_xlfn.XLOOKUP($A346&amp;$B346&amp;$C346,盘货信息!$A:$A&amp;盘货信息!$B:$B&amp;盘货信息!$C:$C,盘货信息!$M:$M)="是",_xlfn.XLOOKUP($A346&amp;$B346&amp;$C346,盘货信息!$A:$A&amp;盘货信息!$B:$B&amp;盘货信息!$C:$C,盘货信息!$K:$K)&gt;0),"【详情页领取】","")))</f>
        <v/>
      </c>
      <c r="M346" s="27" t="str" cm="1">
        <f t="array" ref="M346">IF($C346="","",IF(_xlfn.XLOOKUP($A346&amp;$B346&amp;$C346,盘货信息!$A:$A&amp;盘货信息!$B:$B&amp;盘货信息!$C:$C,盘货信息!$F:$F)&lt;1,"",_xlfn.XLOOKUP($A346&amp;$B346&amp;$C346,盘货信息!$A:$A&amp;盘货信息!$B:$B&amp;盘货信息!$C:$C,盘货信息!$F:$F)&amp;"元明卷"))</f>
        <v/>
      </c>
      <c r="N346" s="27" t="str">
        <f t="shared" si="11"/>
        <v/>
      </c>
      <c r="O346" s="27" t="str">
        <f>IF(I346="","","【消费券链接】"&amp;固定信息!$B$6)</f>
        <v/>
      </c>
    </row>
    <row r="347" customHeight="1" spans="1:15">
      <c r="A347" s="23" t="str">
        <f>IF(盘货信息!A347="","",盘货信息!A347)</f>
        <v/>
      </c>
      <c r="B347" s="26" t="str">
        <f>IF(盘货信息!B347="","",盘货信息!B347)</f>
        <v/>
      </c>
      <c r="C347" s="23" t="str">
        <f>IF(盘货信息!C347="","",盘货信息!C347)</f>
        <v/>
      </c>
      <c r="D347" s="27" t="str">
        <f t="shared" si="10"/>
        <v/>
      </c>
      <c r="E347" s="27" t="str" cm="1">
        <f t="array" ref="E347">IF($C347="","",IF(AND(OR(_xlfn.XLOOKUP($A347&amp;$B347&amp;$C347,盘货信息!$A:$A&amp;盘货信息!$B:$B&amp;盘货信息!$C:$C,盘货信息!$L:$L)="否",_xlfn.XLOOKUP($A347&amp;$B347&amp;$C347,盘货信息!$A:$A&amp;盘货信息!$B:$B&amp;盘货信息!$C:$C,盘货信息!$L:$L)=""),_xlfn.XLOOKUP($A347&amp;$B347&amp;$C347,盘货信息!$A:$A&amp;盘货信息!$B:$B&amp;盘货信息!$C:$C,盘货信息!$M:$M)="否"),"【预估到手价"&amp;_xlfn.XLOOKUP($A347&amp;$B347&amp;$C347,盘货信息!$A:$A&amp;盘货信息!$B:$B&amp;盘货信息!$C:$C,盘货信息!$D:$D)&amp;"元】",IF(AND(_xlfn.XLOOKUP($A347&amp;$B347&amp;$C347,盘货信息!$A:$A&amp;盘货信息!$B:$B&amp;盘货信息!$C:$C,盘货信息!$M:$M)="是",OR(_xlfn.XLOOKUP($A347&amp;$B347&amp;$C347,盘货信息!$A:$A&amp;盘货信息!$B:$B&amp;盘货信息!$C:$C,盘货信息!$L:$L)="否",_xlfn.XLOOKUP($A347&amp;$B347&amp;$C347,盘货信息!$A:$A&amp;盘货信息!$B:$B&amp;盘货信息!$C:$C,盘货信息!$L:$L)="")),"【预估到手价"&amp;_xlfn.XLOOKUP($A347&amp;$B347&amp;$C347,盘货信息!$A:$A&amp;盘货信息!$B:$B&amp;盘货信息!$C:$C,盘货信息!$D:$D)&amp;"元】"&amp;CHAR(10)&amp;"【焕新补贴预估价"&amp;ROUND(_xlfn.XLOOKUP($A347&amp;$B347&amp;$C347,盘货信息!$A:$A&amp;盘货信息!$B:$B&amp;盘货信息!$C:$C,盘货信息!$E:$E),0)&amp;"元】","【焕新补贴预估价"&amp;ROUND(_xlfn.XLOOKUP($A347&amp;$B347&amp;$C347,盘货信息!$A:$A&amp;盘货信息!$B:$B&amp;盘货信息!$C:$C,盘货信息!$E:$E),0)&amp;"元】")))</f>
        <v/>
      </c>
      <c r="F347" s="27" t="str" cm="1">
        <f t="array" ref="F347">IF($C347="","",_xlfn.XLOOKUP($A347&amp;$B347&amp;$C347,盘货信息!$A:$A&amp;盘货信息!$B:$B&amp;盘货信息!$C:$C,盘货信息!$D:$D)&amp;"元到手价")</f>
        <v/>
      </c>
      <c r="G347" s="27" t="str" cm="1">
        <f t="array" ref="G347">IF($C347="","",IF(_xlfn.XLOOKUP($A347&amp;$B347&amp;$C347,盘货信息!$A:$A&amp;盘货信息!$B:$B&amp;盘货信息!$C:$C,盘货信息!$G:$G)&lt;1,"",ROUND(_xlfn.XLOOKUP($A347&amp;$B347&amp;$C347,盘货信息!$A:$A&amp;盘货信息!$B:$B&amp;盘货信息!$C:$C,盘货信息!$G:$G),0)&amp;"元88VIP立减"))</f>
        <v/>
      </c>
      <c r="H347" s="27" t="str" cm="1">
        <f t="array" ref="H347">IF($C347="","",IF(_xlfn.XLOOKUP($A347&amp;$B347&amp;$C347,盘货信息!$A:$A&amp;盘货信息!$B:$B&amp;盘货信息!$C:$C,盘货信息!$I:$I)&lt;1,"",_xlfn.XLOOKUP($A347&amp;$B347&amp;$C347,盘货信息!$A:$A&amp;盘货信息!$B:$B&amp;盘货信息!$C:$C,盘货信息!$I:$I)&amp;"元惊喜立减"))</f>
        <v/>
      </c>
      <c r="I347" s="27" t="str" cm="1">
        <f t="array" ref="I347">IF($C347="","",IF(_xlfn.XLOOKUP($A347&amp;$B347&amp;$C347,盘货信息!$A:$A&amp;盘货信息!$B:$B&amp;盘货信息!$C:$C,盘货信息!$H:$H)&lt;1,"",ROUND(_xlfn.XLOOKUP($A347&amp;$B347&amp;$C347,盘货信息!$A:$A&amp;盘货信息!$B:$B&amp;盘货信息!$C:$C,盘货信息!$H:$H),0)&amp;"元消费券"))</f>
        <v/>
      </c>
      <c r="J347" s="27" t="str" cm="1">
        <f t="array" ref="J347">IF($C347="","",IF(_xlfn.XLOOKUP($A347&amp;$B347&amp;$C347,盘货信息!$A:$A&amp;盘货信息!$B:$B&amp;盘货信息!$C:$C,盘货信息!$J:$J)&lt;1,"",ROUND(_xlfn.XLOOKUP($A347&amp;$B347&amp;$C347,盘货信息!$A:$A&amp;盘货信息!$B:$B&amp;盘货信息!$C:$C,盘货信息!$J:$J),0)&amp;"元限时补贴"))</f>
        <v/>
      </c>
      <c r="K347" s="27" t="str" cm="1">
        <f t="array" ref="K347">IF($C347="","",IF(_xlfn.XLOOKUP($A347&amp;$B347&amp;$C347,盘货信息!$A:$A&amp;盘货信息!$B:$B&amp;盘货信息!$C:$C,盘货信息!$K:$K)&lt;1,"",ROUND(_xlfn.XLOOKUP($A347&amp;$B347&amp;$C347,盘货信息!$A:$A&amp;盘货信息!$B:$B&amp;盘货信息!$C:$C,盘货信息!$K:$K),0)&amp;"元预估焕新补贴"))</f>
        <v/>
      </c>
      <c r="L347" s="27" t="str" cm="1">
        <f t="array" ref="L347">IF($C347="","",IF(AND(_xlfn.XLOOKUP($A347&amp;$B347&amp;$C347,盘货信息!$A:$A&amp;盘货信息!$B:$B&amp;盘货信息!$C:$C,盘货信息!$L:$L)="是",_xlfn.XLOOKUP($A347&amp;$B347&amp;$C347,盘货信息!$A:$A&amp;盘货信息!$B:$B&amp;盘货信息!$C:$C,盘货信息!$M:$M)="是",_xlfn.XLOOKUP($A347&amp;$B347&amp;$C347,盘货信息!$A:$A&amp;盘货信息!$B:$B&amp;盘货信息!$C:$C,盘货信息!$K:$K)&gt;0),"【全民可用，不限地址】",IF(AND(OR(_xlfn.XLOOKUP($A347&amp;$B347&amp;$C347,盘货信息!$A:$A&amp;盘货信息!$B:$B&amp;盘货信息!$C:$C,盘货信息!$L:$L)="否",_xlfn.XLOOKUP($A347&amp;$B347&amp;$C347,盘货信息!$A:$A&amp;盘货信息!$B:$B&amp;盘货信息!$C:$C,盘货信息!$L:$L)=""),_xlfn.XLOOKUP($A347&amp;$B347&amp;$C347,盘货信息!$A:$A&amp;盘货信息!$B:$B&amp;盘货信息!$C:$C,盘货信息!$M:$M)="是",_xlfn.XLOOKUP($A347&amp;$B347&amp;$C347,盘货信息!$A:$A&amp;盘货信息!$B:$B&amp;盘货信息!$C:$C,盘货信息!$K:$K)&gt;0),"【详情页领取】","")))</f>
        <v/>
      </c>
      <c r="M347" s="27" t="str" cm="1">
        <f t="array" ref="M347">IF($C347="","",IF(_xlfn.XLOOKUP($A347&amp;$B347&amp;$C347,盘货信息!$A:$A&amp;盘货信息!$B:$B&amp;盘货信息!$C:$C,盘货信息!$F:$F)&lt;1,"",_xlfn.XLOOKUP($A347&amp;$B347&amp;$C347,盘货信息!$A:$A&amp;盘货信息!$B:$B&amp;盘货信息!$C:$C,盘货信息!$F:$F)&amp;"元明卷"))</f>
        <v/>
      </c>
      <c r="N347" s="27" t="str">
        <f t="shared" si="11"/>
        <v/>
      </c>
      <c r="O347" s="27" t="str">
        <f>IF(I347="","","【消费券链接】"&amp;固定信息!$B$6)</f>
        <v/>
      </c>
    </row>
    <row r="348" customHeight="1" spans="1:15">
      <c r="A348" s="23" t="str">
        <f>IF(盘货信息!A348="","",盘货信息!A348)</f>
        <v/>
      </c>
      <c r="B348" s="26" t="str">
        <f>IF(盘货信息!B348="","",盘货信息!B348)</f>
        <v/>
      </c>
      <c r="C348" s="23" t="str">
        <f>IF(盘货信息!C348="","",盘货信息!C348)</f>
        <v/>
      </c>
      <c r="D348" s="27" t="str">
        <f t="shared" si="10"/>
        <v/>
      </c>
      <c r="E348" s="27" t="str" cm="1">
        <f t="array" ref="E348">IF($C348="","",IF(AND(OR(_xlfn.XLOOKUP($A348&amp;$B348&amp;$C348,盘货信息!$A:$A&amp;盘货信息!$B:$B&amp;盘货信息!$C:$C,盘货信息!$L:$L)="否",_xlfn.XLOOKUP($A348&amp;$B348&amp;$C348,盘货信息!$A:$A&amp;盘货信息!$B:$B&amp;盘货信息!$C:$C,盘货信息!$L:$L)=""),_xlfn.XLOOKUP($A348&amp;$B348&amp;$C348,盘货信息!$A:$A&amp;盘货信息!$B:$B&amp;盘货信息!$C:$C,盘货信息!$M:$M)="否"),"【预估到手价"&amp;_xlfn.XLOOKUP($A348&amp;$B348&amp;$C348,盘货信息!$A:$A&amp;盘货信息!$B:$B&amp;盘货信息!$C:$C,盘货信息!$D:$D)&amp;"元】",IF(AND(_xlfn.XLOOKUP($A348&amp;$B348&amp;$C348,盘货信息!$A:$A&amp;盘货信息!$B:$B&amp;盘货信息!$C:$C,盘货信息!$M:$M)="是",OR(_xlfn.XLOOKUP($A348&amp;$B348&amp;$C348,盘货信息!$A:$A&amp;盘货信息!$B:$B&amp;盘货信息!$C:$C,盘货信息!$L:$L)="否",_xlfn.XLOOKUP($A348&amp;$B348&amp;$C348,盘货信息!$A:$A&amp;盘货信息!$B:$B&amp;盘货信息!$C:$C,盘货信息!$L:$L)="")),"【预估到手价"&amp;_xlfn.XLOOKUP($A348&amp;$B348&amp;$C348,盘货信息!$A:$A&amp;盘货信息!$B:$B&amp;盘货信息!$C:$C,盘货信息!$D:$D)&amp;"元】"&amp;CHAR(10)&amp;"【焕新补贴预估价"&amp;ROUND(_xlfn.XLOOKUP($A348&amp;$B348&amp;$C348,盘货信息!$A:$A&amp;盘货信息!$B:$B&amp;盘货信息!$C:$C,盘货信息!$E:$E),0)&amp;"元】","【焕新补贴预估价"&amp;ROUND(_xlfn.XLOOKUP($A348&amp;$B348&amp;$C348,盘货信息!$A:$A&amp;盘货信息!$B:$B&amp;盘货信息!$C:$C,盘货信息!$E:$E),0)&amp;"元】")))</f>
        <v/>
      </c>
      <c r="F348" s="27" t="str" cm="1">
        <f t="array" ref="F348">IF($C348="","",_xlfn.XLOOKUP($A348&amp;$B348&amp;$C348,盘货信息!$A:$A&amp;盘货信息!$B:$B&amp;盘货信息!$C:$C,盘货信息!$D:$D)&amp;"元到手价")</f>
        <v/>
      </c>
      <c r="G348" s="27" t="str" cm="1">
        <f t="array" ref="G348">IF($C348="","",IF(_xlfn.XLOOKUP($A348&amp;$B348&amp;$C348,盘货信息!$A:$A&amp;盘货信息!$B:$B&amp;盘货信息!$C:$C,盘货信息!$G:$G)&lt;1,"",ROUND(_xlfn.XLOOKUP($A348&amp;$B348&amp;$C348,盘货信息!$A:$A&amp;盘货信息!$B:$B&amp;盘货信息!$C:$C,盘货信息!$G:$G),0)&amp;"元88VIP立减"))</f>
        <v/>
      </c>
      <c r="H348" s="27" t="str" cm="1">
        <f t="array" ref="H348">IF($C348="","",IF(_xlfn.XLOOKUP($A348&amp;$B348&amp;$C348,盘货信息!$A:$A&amp;盘货信息!$B:$B&amp;盘货信息!$C:$C,盘货信息!$I:$I)&lt;1,"",_xlfn.XLOOKUP($A348&amp;$B348&amp;$C348,盘货信息!$A:$A&amp;盘货信息!$B:$B&amp;盘货信息!$C:$C,盘货信息!$I:$I)&amp;"元惊喜立减"))</f>
        <v/>
      </c>
      <c r="I348" s="27" t="str" cm="1">
        <f t="array" ref="I348">IF($C348="","",IF(_xlfn.XLOOKUP($A348&amp;$B348&amp;$C348,盘货信息!$A:$A&amp;盘货信息!$B:$B&amp;盘货信息!$C:$C,盘货信息!$H:$H)&lt;1,"",ROUND(_xlfn.XLOOKUP($A348&amp;$B348&amp;$C348,盘货信息!$A:$A&amp;盘货信息!$B:$B&amp;盘货信息!$C:$C,盘货信息!$H:$H),0)&amp;"元消费券"))</f>
        <v/>
      </c>
      <c r="J348" s="27" t="str" cm="1">
        <f t="array" ref="J348">IF($C348="","",IF(_xlfn.XLOOKUP($A348&amp;$B348&amp;$C348,盘货信息!$A:$A&amp;盘货信息!$B:$B&amp;盘货信息!$C:$C,盘货信息!$J:$J)&lt;1,"",ROUND(_xlfn.XLOOKUP($A348&amp;$B348&amp;$C348,盘货信息!$A:$A&amp;盘货信息!$B:$B&amp;盘货信息!$C:$C,盘货信息!$J:$J),0)&amp;"元限时补贴"))</f>
        <v/>
      </c>
      <c r="K348" s="27" t="str" cm="1">
        <f t="array" ref="K348">IF($C348="","",IF(_xlfn.XLOOKUP($A348&amp;$B348&amp;$C348,盘货信息!$A:$A&amp;盘货信息!$B:$B&amp;盘货信息!$C:$C,盘货信息!$K:$K)&lt;1,"",ROUND(_xlfn.XLOOKUP($A348&amp;$B348&amp;$C348,盘货信息!$A:$A&amp;盘货信息!$B:$B&amp;盘货信息!$C:$C,盘货信息!$K:$K),0)&amp;"元预估焕新补贴"))</f>
        <v/>
      </c>
      <c r="L348" s="27" t="str" cm="1">
        <f t="array" ref="L348">IF($C348="","",IF(AND(_xlfn.XLOOKUP($A348&amp;$B348&amp;$C348,盘货信息!$A:$A&amp;盘货信息!$B:$B&amp;盘货信息!$C:$C,盘货信息!$L:$L)="是",_xlfn.XLOOKUP($A348&amp;$B348&amp;$C348,盘货信息!$A:$A&amp;盘货信息!$B:$B&amp;盘货信息!$C:$C,盘货信息!$M:$M)="是",_xlfn.XLOOKUP($A348&amp;$B348&amp;$C348,盘货信息!$A:$A&amp;盘货信息!$B:$B&amp;盘货信息!$C:$C,盘货信息!$K:$K)&gt;0),"【全民可用，不限地址】",IF(AND(OR(_xlfn.XLOOKUP($A348&amp;$B348&amp;$C348,盘货信息!$A:$A&amp;盘货信息!$B:$B&amp;盘货信息!$C:$C,盘货信息!$L:$L)="否",_xlfn.XLOOKUP($A348&amp;$B348&amp;$C348,盘货信息!$A:$A&amp;盘货信息!$B:$B&amp;盘货信息!$C:$C,盘货信息!$L:$L)=""),_xlfn.XLOOKUP($A348&amp;$B348&amp;$C348,盘货信息!$A:$A&amp;盘货信息!$B:$B&amp;盘货信息!$C:$C,盘货信息!$M:$M)="是",_xlfn.XLOOKUP($A348&amp;$B348&amp;$C348,盘货信息!$A:$A&amp;盘货信息!$B:$B&amp;盘货信息!$C:$C,盘货信息!$K:$K)&gt;0),"【详情页领取】","")))</f>
        <v/>
      </c>
      <c r="M348" s="27" t="str" cm="1">
        <f t="array" ref="M348">IF($C348="","",IF(_xlfn.XLOOKUP($A348&amp;$B348&amp;$C348,盘货信息!$A:$A&amp;盘货信息!$B:$B&amp;盘货信息!$C:$C,盘货信息!$F:$F)&lt;1,"",_xlfn.XLOOKUP($A348&amp;$B348&amp;$C348,盘货信息!$A:$A&amp;盘货信息!$B:$B&amp;盘货信息!$C:$C,盘货信息!$F:$F)&amp;"元明卷"))</f>
        <v/>
      </c>
      <c r="N348" s="27" t="str">
        <f t="shared" si="11"/>
        <v/>
      </c>
      <c r="O348" s="27" t="str">
        <f>IF(I348="","","【消费券链接】"&amp;固定信息!$B$6)</f>
        <v/>
      </c>
    </row>
    <row r="349" customHeight="1" spans="1:15">
      <c r="A349" s="23" t="str">
        <f>IF(盘货信息!A349="","",盘货信息!A349)</f>
        <v/>
      </c>
      <c r="B349" s="26" t="str">
        <f>IF(盘货信息!B349="","",盘货信息!B349)</f>
        <v/>
      </c>
      <c r="C349" s="23" t="str">
        <f>IF(盘货信息!C349="","",盘货信息!C349)</f>
        <v/>
      </c>
      <c r="D349" s="27" t="str">
        <f t="shared" si="10"/>
        <v/>
      </c>
      <c r="E349" s="27" t="str" cm="1">
        <f t="array" ref="E349">IF($C349="","",IF(AND(OR(_xlfn.XLOOKUP($A349&amp;$B349&amp;$C349,盘货信息!$A:$A&amp;盘货信息!$B:$B&amp;盘货信息!$C:$C,盘货信息!$L:$L)="否",_xlfn.XLOOKUP($A349&amp;$B349&amp;$C349,盘货信息!$A:$A&amp;盘货信息!$B:$B&amp;盘货信息!$C:$C,盘货信息!$L:$L)=""),_xlfn.XLOOKUP($A349&amp;$B349&amp;$C349,盘货信息!$A:$A&amp;盘货信息!$B:$B&amp;盘货信息!$C:$C,盘货信息!$M:$M)="否"),"【预估到手价"&amp;_xlfn.XLOOKUP($A349&amp;$B349&amp;$C349,盘货信息!$A:$A&amp;盘货信息!$B:$B&amp;盘货信息!$C:$C,盘货信息!$D:$D)&amp;"元】",IF(AND(_xlfn.XLOOKUP($A349&amp;$B349&amp;$C349,盘货信息!$A:$A&amp;盘货信息!$B:$B&amp;盘货信息!$C:$C,盘货信息!$M:$M)="是",OR(_xlfn.XLOOKUP($A349&amp;$B349&amp;$C349,盘货信息!$A:$A&amp;盘货信息!$B:$B&amp;盘货信息!$C:$C,盘货信息!$L:$L)="否",_xlfn.XLOOKUP($A349&amp;$B349&amp;$C349,盘货信息!$A:$A&amp;盘货信息!$B:$B&amp;盘货信息!$C:$C,盘货信息!$L:$L)="")),"【预估到手价"&amp;_xlfn.XLOOKUP($A349&amp;$B349&amp;$C349,盘货信息!$A:$A&amp;盘货信息!$B:$B&amp;盘货信息!$C:$C,盘货信息!$D:$D)&amp;"元】"&amp;CHAR(10)&amp;"【焕新补贴预估价"&amp;ROUND(_xlfn.XLOOKUP($A349&amp;$B349&amp;$C349,盘货信息!$A:$A&amp;盘货信息!$B:$B&amp;盘货信息!$C:$C,盘货信息!$E:$E),0)&amp;"元】","【焕新补贴预估价"&amp;ROUND(_xlfn.XLOOKUP($A349&amp;$B349&amp;$C349,盘货信息!$A:$A&amp;盘货信息!$B:$B&amp;盘货信息!$C:$C,盘货信息!$E:$E),0)&amp;"元】")))</f>
        <v/>
      </c>
      <c r="F349" s="27" t="str" cm="1">
        <f t="array" ref="F349">IF($C349="","",_xlfn.XLOOKUP($A349&amp;$B349&amp;$C349,盘货信息!$A:$A&amp;盘货信息!$B:$B&amp;盘货信息!$C:$C,盘货信息!$D:$D)&amp;"元到手价")</f>
        <v/>
      </c>
      <c r="G349" s="27" t="str" cm="1">
        <f t="array" ref="G349">IF($C349="","",IF(_xlfn.XLOOKUP($A349&amp;$B349&amp;$C349,盘货信息!$A:$A&amp;盘货信息!$B:$B&amp;盘货信息!$C:$C,盘货信息!$G:$G)&lt;1,"",ROUND(_xlfn.XLOOKUP($A349&amp;$B349&amp;$C349,盘货信息!$A:$A&amp;盘货信息!$B:$B&amp;盘货信息!$C:$C,盘货信息!$G:$G),0)&amp;"元88VIP立减"))</f>
        <v/>
      </c>
      <c r="H349" s="27" t="str" cm="1">
        <f t="array" ref="H349">IF($C349="","",IF(_xlfn.XLOOKUP($A349&amp;$B349&amp;$C349,盘货信息!$A:$A&amp;盘货信息!$B:$B&amp;盘货信息!$C:$C,盘货信息!$I:$I)&lt;1,"",_xlfn.XLOOKUP($A349&amp;$B349&amp;$C349,盘货信息!$A:$A&amp;盘货信息!$B:$B&amp;盘货信息!$C:$C,盘货信息!$I:$I)&amp;"元惊喜立减"))</f>
        <v/>
      </c>
      <c r="I349" s="27" t="str" cm="1">
        <f t="array" ref="I349">IF($C349="","",IF(_xlfn.XLOOKUP($A349&amp;$B349&amp;$C349,盘货信息!$A:$A&amp;盘货信息!$B:$B&amp;盘货信息!$C:$C,盘货信息!$H:$H)&lt;1,"",ROUND(_xlfn.XLOOKUP($A349&amp;$B349&amp;$C349,盘货信息!$A:$A&amp;盘货信息!$B:$B&amp;盘货信息!$C:$C,盘货信息!$H:$H),0)&amp;"元消费券"))</f>
        <v/>
      </c>
      <c r="J349" s="27" t="str" cm="1">
        <f t="array" ref="J349">IF($C349="","",IF(_xlfn.XLOOKUP($A349&amp;$B349&amp;$C349,盘货信息!$A:$A&amp;盘货信息!$B:$B&amp;盘货信息!$C:$C,盘货信息!$J:$J)&lt;1,"",ROUND(_xlfn.XLOOKUP($A349&amp;$B349&amp;$C349,盘货信息!$A:$A&amp;盘货信息!$B:$B&amp;盘货信息!$C:$C,盘货信息!$J:$J),0)&amp;"元限时补贴"))</f>
        <v/>
      </c>
      <c r="K349" s="27" t="str" cm="1">
        <f t="array" ref="K349">IF($C349="","",IF(_xlfn.XLOOKUP($A349&amp;$B349&amp;$C349,盘货信息!$A:$A&amp;盘货信息!$B:$B&amp;盘货信息!$C:$C,盘货信息!$K:$K)&lt;1,"",ROUND(_xlfn.XLOOKUP($A349&amp;$B349&amp;$C349,盘货信息!$A:$A&amp;盘货信息!$B:$B&amp;盘货信息!$C:$C,盘货信息!$K:$K),0)&amp;"元预估焕新补贴"))</f>
        <v/>
      </c>
      <c r="L349" s="27" t="str" cm="1">
        <f t="array" ref="L349">IF($C349="","",IF(AND(_xlfn.XLOOKUP($A349&amp;$B349&amp;$C349,盘货信息!$A:$A&amp;盘货信息!$B:$B&amp;盘货信息!$C:$C,盘货信息!$L:$L)="是",_xlfn.XLOOKUP($A349&amp;$B349&amp;$C349,盘货信息!$A:$A&amp;盘货信息!$B:$B&amp;盘货信息!$C:$C,盘货信息!$M:$M)="是",_xlfn.XLOOKUP($A349&amp;$B349&amp;$C349,盘货信息!$A:$A&amp;盘货信息!$B:$B&amp;盘货信息!$C:$C,盘货信息!$K:$K)&gt;0),"【全民可用，不限地址】",IF(AND(OR(_xlfn.XLOOKUP($A349&amp;$B349&amp;$C349,盘货信息!$A:$A&amp;盘货信息!$B:$B&amp;盘货信息!$C:$C,盘货信息!$L:$L)="否",_xlfn.XLOOKUP($A349&amp;$B349&amp;$C349,盘货信息!$A:$A&amp;盘货信息!$B:$B&amp;盘货信息!$C:$C,盘货信息!$L:$L)=""),_xlfn.XLOOKUP($A349&amp;$B349&amp;$C349,盘货信息!$A:$A&amp;盘货信息!$B:$B&amp;盘货信息!$C:$C,盘货信息!$M:$M)="是",_xlfn.XLOOKUP($A349&amp;$B349&amp;$C349,盘货信息!$A:$A&amp;盘货信息!$B:$B&amp;盘货信息!$C:$C,盘货信息!$K:$K)&gt;0),"【详情页领取】","")))</f>
        <v/>
      </c>
      <c r="M349" s="27" t="str" cm="1">
        <f t="array" ref="M349">IF($C349="","",IF(_xlfn.XLOOKUP($A349&amp;$B349&amp;$C349,盘货信息!$A:$A&amp;盘货信息!$B:$B&amp;盘货信息!$C:$C,盘货信息!$F:$F)&lt;1,"",_xlfn.XLOOKUP($A349&amp;$B349&amp;$C349,盘货信息!$A:$A&amp;盘货信息!$B:$B&amp;盘货信息!$C:$C,盘货信息!$F:$F)&amp;"元明卷"))</f>
        <v/>
      </c>
      <c r="N349" s="27" t="str">
        <f t="shared" si="11"/>
        <v/>
      </c>
      <c r="O349" s="27" t="str">
        <f>IF(I349="","","【消费券链接】"&amp;固定信息!$B$6)</f>
        <v/>
      </c>
    </row>
    <row r="350" customHeight="1" spans="1:15">
      <c r="A350" s="23" t="str">
        <f>IF(盘货信息!A350="","",盘货信息!A350)</f>
        <v/>
      </c>
      <c r="B350" s="26" t="str">
        <f>IF(盘货信息!B350="","",盘货信息!B350)</f>
        <v/>
      </c>
      <c r="C350" s="23" t="str">
        <f>IF(盘货信息!C350="","",盘货信息!C350)</f>
        <v/>
      </c>
      <c r="D350" s="27" t="str">
        <f t="shared" si="10"/>
        <v/>
      </c>
      <c r="E350" s="27" t="str" cm="1">
        <f t="array" ref="E350">IF($C350="","",IF(AND(OR(_xlfn.XLOOKUP($A350&amp;$B350&amp;$C350,盘货信息!$A:$A&amp;盘货信息!$B:$B&amp;盘货信息!$C:$C,盘货信息!$L:$L)="否",_xlfn.XLOOKUP($A350&amp;$B350&amp;$C350,盘货信息!$A:$A&amp;盘货信息!$B:$B&amp;盘货信息!$C:$C,盘货信息!$L:$L)=""),_xlfn.XLOOKUP($A350&amp;$B350&amp;$C350,盘货信息!$A:$A&amp;盘货信息!$B:$B&amp;盘货信息!$C:$C,盘货信息!$M:$M)="否"),"【预估到手价"&amp;_xlfn.XLOOKUP($A350&amp;$B350&amp;$C350,盘货信息!$A:$A&amp;盘货信息!$B:$B&amp;盘货信息!$C:$C,盘货信息!$D:$D)&amp;"元】",IF(AND(_xlfn.XLOOKUP($A350&amp;$B350&amp;$C350,盘货信息!$A:$A&amp;盘货信息!$B:$B&amp;盘货信息!$C:$C,盘货信息!$M:$M)="是",OR(_xlfn.XLOOKUP($A350&amp;$B350&amp;$C350,盘货信息!$A:$A&amp;盘货信息!$B:$B&amp;盘货信息!$C:$C,盘货信息!$L:$L)="否",_xlfn.XLOOKUP($A350&amp;$B350&amp;$C350,盘货信息!$A:$A&amp;盘货信息!$B:$B&amp;盘货信息!$C:$C,盘货信息!$L:$L)="")),"【预估到手价"&amp;_xlfn.XLOOKUP($A350&amp;$B350&amp;$C350,盘货信息!$A:$A&amp;盘货信息!$B:$B&amp;盘货信息!$C:$C,盘货信息!$D:$D)&amp;"元】"&amp;CHAR(10)&amp;"【焕新补贴预估价"&amp;ROUND(_xlfn.XLOOKUP($A350&amp;$B350&amp;$C350,盘货信息!$A:$A&amp;盘货信息!$B:$B&amp;盘货信息!$C:$C,盘货信息!$E:$E),0)&amp;"元】","【焕新补贴预估价"&amp;ROUND(_xlfn.XLOOKUP($A350&amp;$B350&amp;$C350,盘货信息!$A:$A&amp;盘货信息!$B:$B&amp;盘货信息!$C:$C,盘货信息!$E:$E),0)&amp;"元】")))</f>
        <v/>
      </c>
      <c r="F350" s="27" t="str" cm="1">
        <f t="array" ref="F350">IF($C350="","",_xlfn.XLOOKUP($A350&amp;$B350&amp;$C350,盘货信息!$A:$A&amp;盘货信息!$B:$B&amp;盘货信息!$C:$C,盘货信息!$D:$D)&amp;"元到手价")</f>
        <v/>
      </c>
      <c r="G350" s="27" t="str" cm="1">
        <f t="array" ref="G350">IF($C350="","",IF(_xlfn.XLOOKUP($A350&amp;$B350&amp;$C350,盘货信息!$A:$A&amp;盘货信息!$B:$B&amp;盘货信息!$C:$C,盘货信息!$G:$G)&lt;1,"",ROUND(_xlfn.XLOOKUP($A350&amp;$B350&amp;$C350,盘货信息!$A:$A&amp;盘货信息!$B:$B&amp;盘货信息!$C:$C,盘货信息!$G:$G),0)&amp;"元88VIP立减"))</f>
        <v/>
      </c>
      <c r="H350" s="27" t="str" cm="1">
        <f t="array" ref="H350">IF($C350="","",IF(_xlfn.XLOOKUP($A350&amp;$B350&amp;$C350,盘货信息!$A:$A&amp;盘货信息!$B:$B&amp;盘货信息!$C:$C,盘货信息!$I:$I)&lt;1,"",_xlfn.XLOOKUP($A350&amp;$B350&amp;$C350,盘货信息!$A:$A&amp;盘货信息!$B:$B&amp;盘货信息!$C:$C,盘货信息!$I:$I)&amp;"元惊喜立减"))</f>
        <v/>
      </c>
      <c r="I350" s="27" t="str" cm="1">
        <f t="array" ref="I350">IF($C350="","",IF(_xlfn.XLOOKUP($A350&amp;$B350&amp;$C350,盘货信息!$A:$A&amp;盘货信息!$B:$B&amp;盘货信息!$C:$C,盘货信息!$H:$H)&lt;1,"",ROUND(_xlfn.XLOOKUP($A350&amp;$B350&amp;$C350,盘货信息!$A:$A&amp;盘货信息!$B:$B&amp;盘货信息!$C:$C,盘货信息!$H:$H),0)&amp;"元消费券"))</f>
        <v/>
      </c>
      <c r="J350" s="27" t="str" cm="1">
        <f t="array" ref="J350">IF($C350="","",IF(_xlfn.XLOOKUP($A350&amp;$B350&amp;$C350,盘货信息!$A:$A&amp;盘货信息!$B:$B&amp;盘货信息!$C:$C,盘货信息!$J:$J)&lt;1,"",ROUND(_xlfn.XLOOKUP($A350&amp;$B350&amp;$C350,盘货信息!$A:$A&amp;盘货信息!$B:$B&amp;盘货信息!$C:$C,盘货信息!$J:$J),0)&amp;"元限时补贴"))</f>
        <v/>
      </c>
      <c r="K350" s="27" t="str" cm="1">
        <f t="array" ref="K350">IF($C350="","",IF(_xlfn.XLOOKUP($A350&amp;$B350&amp;$C350,盘货信息!$A:$A&amp;盘货信息!$B:$B&amp;盘货信息!$C:$C,盘货信息!$K:$K)&lt;1,"",ROUND(_xlfn.XLOOKUP($A350&amp;$B350&amp;$C350,盘货信息!$A:$A&amp;盘货信息!$B:$B&amp;盘货信息!$C:$C,盘货信息!$K:$K),0)&amp;"元预估焕新补贴"))</f>
        <v/>
      </c>
      <c r="L350" s="27" t="str" cm="1">
        <f t="array" ref="L350">IF($C350="","",IF(AND(_xlfn.XLOOKUP($A350&amp;$B350&amp;$C350,盘货信息!$A:$A&amp;盘货信息!$B:$B&amp;盘货信息!$C:$C,盘货信息!$L:$L)="是",_xlfn.XLOOKUP($A350&amp;$B350&amp;$C350,盘货信息!$A:$A&amp;盘货信息!$B:$B&amp;盘货信息!$C:$C,盘货信息!$M:$M)="是",_xlfn.XLOOKUP($A350&amp;$B350&amp;$C350,盘货信息!$A:$A&amp;盘货信息!$B:$B&amp;盘货信息!$C:$C,盘货信息!$K:$K)&gt;0),"【全民可用，不限地址】",IF(AND(OR(_xlfn.XLOOKUP($A350&amp;$B350&amp;$C350,盘货信息!$A:$A&amp;盘货信息!$B:$B&amp;盘货信息!$C:$C,盘货信息!$L:$L)="否",_xlfn.XLOOKUP($A350&amp;$B350&amp;$C350,盘货信息!$A:$A&amp;盘货信息!$B:$B&amp;盘货信息!$C:$C,盘货信息!$L:$L)=""),_xlfn.XLOOKUP($A350&amp;$B350&amp;$C350,盘货信息!$A:$A&amp;盘货信息!$B:$B&amp;盘货信息!$C:$C,盘货信息!$M:$M)="是",_xlfn.XLOOKUP($A350&amp;$B350&amp;$C350,盘货信息!$A:$A&amp;盘货信息!$B:$B&amp;盘货信息!$C:$C,盘货信息!$K:$K)&gt;0),"【详情页领取】","")))</f>
        <v/>
      </c>
      <c r="M350" s="27" t="str" cm="1">
        <f t="array" ref="M350">IF($C350="","",IF(_xlfn.XLOOKUP($A350&amp;$B350&amp;$C350,盘货信息!$A:$A&amp;盘货信息!$B:$B&amp;盘货信息!$C:$C,盘货信息!$F:$F)&lt;1,"",_xlfn.XLOOKUP($A350&amp;$B350&amp;$C350,盘货信息!$A:$A&amp;盘货信息!$B:$B&amp;盘货信息!$C:$C,盘货信息!$F:$F)&amp;"元明卷"))</f>
        <v/>
      </c>
      <c r="N350" s="27" t="str">
        <f t="shared" si="11"/>
        <v/>
      </c>
      <c r="O350" s="27" t="str">
        <f>IF(I350="","","【消费券链接】"&amp;固定信息!$B$6)</f>
        <v/>
      </c>
    </row>
    <row r="351" customHeight="1" spans="1:15">
      <c r="A351" s="23" t="str">
        <f>IF(盘货信息!A351="","",盘货信息!A351)</f>
        <v/>
      </c>
      <c r="B351" s="26" t="str">
        <f>IF(盘货信息!B351="","",盘货信息!B351)</f>
        <v/>
      </c>
      <c r="C351" s="23" t="str">
        <f>IF(盘货信息!C351="","",盘货信息!C351)</f>
        <v/>
      </c>
      <c r="D351" s="27" t="str">
        <f t="shared" si="10"/>
        <v/>
      </c>
      <c r="E351" s="27" t="str" cm="1">
        <f t="array" ref="E351">IF($C351="","",IF(AND(OR(_xlfn.XLOOKUP($A351&amp;$B351&amp;$C351,盘货信息!$A:$A&amp;盘货信息!$B:$B&amp;盘货信息!$C:$C,盘货信息!$L:$L)="否",_xlfn.XLOOKUP($A351&amp;$B351&amp;$C351,盘货信息!$A:$A&amp;盘货信息!$B:$B&amp;盘货信息!$C:$C,盘货信息!$L:$L)=""),_xlfn.XLOOKUP($A351&amp;$B351&amp;$C351,盘货信息!$A:$A&amp;盘货信息!$B:$B&amp;盘货信息!$C:$C,盘货信息!$M:$M)="否"),"【预估到手价"&amp;_xlfn.XLOOKUP($A351&amp;$B351&amp;$C351,盘货信息!$A:$A&amp;盘货信息!$B:$B&amp;盘货信息!$C:$C,盘货信息!$D:$D)&amp;"元】",IF(AND(_xlfn.XLOOKUP($A351&amp;$B351&amp;$C351,盘货信息!$A:$A&amp;盘货信息!$B:$B&amp;盘货信息!$C:$C,盘货信息!$M:$M)="是",OR(_xlfn.XLOOKUP($A351&amp;$B351&amp;$C351,盘货信息!$A:$A&amp;盘货信息!$B:$B&amp;盘货信息!$C:$C,盘货信息!$L:$L)="否",_xlfn.XLOOKUP($A351&amp;$B351&amp;$C351,盘货信息!$A:$A&amp;盘货信息!$B:$B&amp;盘货信息!$C:$C,盘货信息!$L:$L)="")),"【预估到手价"&amp;_xlfn.XLOOKUP($A351&amp;$B351&amp;$C351,盘货信息!$A:$A&amp;盘货信息!$B:$B&amp;盘货信息!$C:$C,盘货信息!$D:$D)&amp;"元】"&amp;CHAR(10)&amp;"【焕新补贴预估价"&amp;ROUND(_xlfn.XLOOKUP($A351&amp;$B351&amp;$C351,盘货信息!$A:$A&amp;盘货信息!$B:$B&amp;盘货信息!$C:$C,盘货信息!$E:$E),0)&amp;"元】","【焕新补贴预估价"&amp;ROUND(_xlfn.XLOOKUP($A351&amp;$B351&amp;$C351,盘货信息!$A:$A&amp;盘货信息!$B:$B&amp;盘货信息!$C:$C,盘货信息!$E:$E),0)&amp;"元】")))</f>
        <v/>
      </c>
      <c r="F351" s="27" t="str" cm="1">
        <f t="array" ref="F351">IF($C351="","",_xlfn.XLOOKUP($A351&amp;$B351&amp;$C351,盘货信息!$A:$A&amp;盘货信息!$B:$B&amp;盘货信息!$C:$C,盘货信息!$D:$D)&amp;"元到手价")</f>
        <v/>
      </c>
      <c r="G351" s="27" t="str" cm="1">
        <f t="array" ref="G351">IF($C351="","",IF(_xlfn.XLOOKUP($A351&amp;$B351&amp;$C351,盘货信息!$A:$A&amp;盘货信息!$B:$B&amp;盘货信息!$C:$C,盘货信息!$G:$G)&lt;1,"",ROUND(_xlfn.XLOOKUP($A351&amp;$B351&amp;$C351,盘货信息!$A:$A&amp;盘货信息!$B:$B&amp;盘货信息!$C:$C,盘货信息!$G:$G),0)&amp;"元88VIP立减"))</f>
        <v/>
      </c>
      <c r="H351" s="27" t="str" cm="1">
        <f t="array" ref="H351">IF($C351="","",IF(_xlfn.XLOOKUP($A351&amp;$B351&amp;$C351,盘货信息!$A:$A&amp;盘货信息!$B:$B&amp;盘货信息!$C:$C,盘货信息!$I:$I)&lt;1,"",_xlfn.XLOOKUP($A351&amp;$B351&amp;$C351,盘货信息!$A:$A&amp;盘货信息!$B:$B&amp;盘货信息!$C:$C,盘货信息!$I:$I)&amp;"元惊喜立减"))</f>
        <v/>
      </c>
      <c r="I351" s="27" t="str" cm="1">
        <f t="array" ref="I351">IF($C351="","",IF(_xlfn.XLOOKUP($A351&amp;$B351&amp;$C351,盘货信息!$A:$A&amp;盘货信息!$B:$B&amp;盘货信息!$C:$C,盘货信息!$H:$H)&lt;1,"",ROUND(_xlfn.XLOOKUP($A351&amp;$B351&amp;$C351,盘货信息!$A:$A&amp;盘货信息!$B:$B&amp;盘货信息!$C:$C,盘货信息!$H:$H),0)&amp;"元消费券"))</f>
        <v/>
      </c>
      <c r="J351" s="27" t="str" cm="1">
        <f t="array" ref="J351">IF($C351="","",IF(_xlfn.XLOOKUP($A351&amp;$B351&amp;$C351,盘货信息!$A:$A&amp;盘货信息!$B:$B&amp;盘货信息!$C:$C,盘货信息!$J:$J)&lt;1,"",ROUND(_xlfn.XLOOKUP($A351&amp;$B351&amp;$C351,盘货信息!$A:$A&amp;盘货信息!$B:$B&amp;盘货信息!$C:$C,盘货信息!$J:$J),0)&amp;"元限时补贴"))</f>
        <v/>
      </c>
      <c r="K351" s="27" t="str" cm="1">
        <f t="array" ref="K351">IF($C351="","",IF(_xlfn.XLOOKUP($A351&amp;$B351&amp;$C351,盘货信息!$A:$A&amp;盘货信息!$B:$B&amp;盘货信息!$C:$C,盘货信息!$K:$K)&lt;1,"",ROUND(_xlfn.XLOOKUP($A351&amp;$B351&amp;$C351,盘货信息!$A:$A&amp;盘货信息!$B:$B&amp;盘货信息!$C:$C,盘货信息!$K:$K),0)&amp;"元预估焕新补贴"))</f>
        <v/>
      </c>
      <c r="L351" s="27" t="str" cm="1">
        <f t="array" ref="L351">IF($C351="","",IF(AND(_xlfn.XLOOKUP($A351&amp;$B351&amp;$C351,盘货信息!$A:$A&amp;盘货信息!$B:$B&amp;盘货信息!$C:$C,盘货信息!$L:$L)="是",_xlfn.XLOOKUP($A351&amp;$B351&amp;$C351,盘货信息!$A:$A&amp;盘货信息!$B:$B&amp;盘货信息!$C:$C,盘货信息!$M:$M)="是",_xlfn.XLOOKUP($A351&amp;$B351&amp;$C351,盘货信息!$A:$A&amp;盘货信息!$B:$B&amp;盘货信息!$C:$C,盘货信息!$K:$K)&gt;0),"【全民可用，不限地址】",IF(AND(OR(_xlfn.XLOOKUP($A351&amp;$B351&amp;$C351,盘货信息!$A:$A&amp;盘货信息!$B:$B&amp;盘货信息!$C:$C,盘货信息!$L:$L)="否",_xlfn.XLOOKUP($A351&amp;$B351&amp;$C351,盘货信息!$A:$A&amp;盘货信息!$B:$B&amp;盘货信息!$C:$C,盘货信息!$L:$L)=""),_xlfn.XLOOKUP($A351&amp;$B351&amp;$C351,盘货信息!$A:$A&amp;盘货信息!$B:$B&amp;盘货信息!$C:$C,盘货信息!$M:$M)="是",_xlfn.XLOOKUP($A351&amp;$B351&amp;$C351,盘货信息!$A:$A&amp;盘货信息!$B:$B&amp;盘货信息!$C:$C,盘货信息!$K:$K)&gt;0),"【详情页领取】","")))</f>
        <v/>
      </c>
      <c r="M351" s="27" t="str" cm="1">
        <f t="array" ref="M351">IF($C351="","",IF(_xlfn.XLOOKUP($A351&amp;$B351&amp;$C351,盘货信息!$A:$A&amp;盘货信息!$B:$B&amp;盘货信息!$C:$C,盘货信息!$F:$F)&lt;1,"",_xlfn.XLOOKUP($A351&amp;$B351&amp;$C351,盘货信息!$A:$A&amp;盘货信息!$B:$B&amp;盘货信息!$C:$C,盘货信息!$F:$F)&amp;"元明卷"))</f>
        <v/>
      </c>
      <c r="N351" s="27" t="str">
        <f t="shared" si="11"/>
        <v/>
      </c>
      <c r="O351" s="27" t="str">
        <f>IF(I351="","","【消费券链接】"&amp;固定信息!$B$6)</f>
        <v/>
      </c>
    </row>
    <row r="352" customHeight="1" spans="1:15">
      <c r="A352" s="23" t="str">
        <f>IF(盘货信息!A352="","",盘货信息!A352)</f>
        <v/>
      </c>
      <c r="B352" s="26" t="str">
        <f>IF(盘货信息!B352="","",盘货信息!B352)</f>
        <v/>
      </c>
      <c r="C352" s="23" t="str">
        <f>IF(盘货信息!C352="","",盘货信息!C352)</f>
        <v/>
      </c>
      <c r="D352" s="27" t="str">
        <f t="shared" si="10"/>
        <v/>
      </c>
      <c r="E352" s="27" t="str" cm="1">
        <f t="array" ref="E352">IF($C352="","",IF(AND(OR(_xlfn.XLOOKUP($A352&amp;$B352&amp;$C352,盘货信息!$A:$A&amp;盘货信息!$B:$B&amp;盘货信息!$C:$C,盘货信息!$L:$L)="否",_xlfn.XLOOKUP($A352&amp;$B352&amp;$C352,盘货信息!$A:$A&amp;盘货信息!$B:$B&amp;盘货信息!$C:$C,盘货信息!$L:$L)=""),_xlfn.XLOOKUP($A352&amp;$B352&amp;$C352,盘货信息!$A:$A&amp;盘货信息!$B:$B&amp;盘货信息!$C:$C,盘货信息!$M:$M)="否"),"【预估到手价"&amp;_xlfn.XLOOKUP($A352&amp;$B352&amp;$C352,盘货信息!$A:$A&amp;盘货信息!$B:$B&amp;盘货信息!$C:$C,盘货信息!$D:$D)&amp;"元】",IF(AND(_xlfn.XLOOKUP($A352&amp;$B352&amp;$C352,盘货信息!$A:$A&amp;盘货信息!$B:$B&amp;盘货信息!$C:$C,盘货信息!$M:$M)="是",OR(_xlfn.XLOOKUP($A352&amp;$B352&amp;$C352,盘货信息!$A:$A&amp;盘货信息!$B:$B&amp;盘货信息!$C:$C,盘货信息!$L:$L)="否",_xlfn.XLOOKUP($A352&amp;$B352&amp;$C352,盘货信息!$A:$A&amp;盘货信息!$B:$B&amp;盘货信息!$C:$C,盘货信息!$L:$L)="")),"【预估到手价"&amp;_xlfn.XLOOKUP($A352&amp;$B352&amp;$C352,盘货信息!$A:$A&amp;盘货信息!$B:$B&amp;盘货信息!$C:$C,盘货信息!$D:$D)&amp;"元】"&amp;CHAR(10)&amp;"【焕新补贴预估价"&amp;ROUND(_xlfn.XLOOKUP($A352&amp;$B352&amp;$C352,盘货信息!$A:$A&amp;盘货信息!$B:$B&amp;盘货信息!$C:$C,盘货信息!$E:$E),0)&amp;"元】","【焕新补贴预估价"&amp;ROUND(_xlfn.XLOOKUP($A352&amp;$B352&amp;$C352,盘货信息!$A:$A&amp;盘货信息!$B:$B&amp;盘货信息!$C:$C,盘货信息!$E:$E),0)&amp;"元】")))</f>
        <v/>
      </c>
      <c r="F352" s="27" t="str" cm="1">
        <f t="array" ref="F352">IF($C352="","",_xlfn.XLOOKUP($A352&amp;$B352&amp;$C352,盘货信息!$A:$A&amp;盘货信息!$B:$B&amp;盘货信息!$C:$C,盘货信息!$D:$D)&amp;"元到手价")</f>
        <v/>
      </c>
      <c r="G352" s="27" t="str" cm="1">
        <f t="array" ref="G352">IF($C352="","",IF(_xlfn.XLOOKUP($A352&amp;$B352&amp;$C352,盘货信息!$A:$A&amp;盘货信息!$B:$B&amp;盘货信息!$C:$C,盘货信息!$G:$G)&lt;1,"",ROUND(_xlfn.XLOOKUP($A352&amp;$B352&amp;$C352,盘货信息!$A:$A&amp;盘货信息!$B:$B&amp;盘货信息!$C:$C,盘货信息!$G:$G),0)&amp;"元88VIP立减"))</f>
        <v/>
      </c>
      <c r="H352" s="27" t="str" cm="1">
        <f t="array" ref="H352">IF($C352="","",IF(_xlfn.XLOOKUP($A352&amp;$B352&amp;$C352,盘货信息!$A:$A&amp;盘货信息!$B:$B&amp;盘货信息!$C:$C,盘货信息!$I:$I)&lt;1,"",_xlfn.XLOOKUP($A352&amp;$B352&amp;$C352,盘货信息!$A:$A&amp;盘货信息!$B:$B&amp;盘货信息!$C:$C,盘货信息!$I:$I)&amp;"元惊喜立减"))</f>
        <v/>
      </c>
      <c r="I352" s="27" t="str" cm="1">
        <f t="array" ref="I352">IF($C352="","",IF(_xlfn.XLOOKUP($A352&amp;$B352&amp;$C352,盘货信息!$A:$A&amp;盘货信息!$B:$B&amp;盘货信息!$C:$C,盘货信息!$H:$H)&lt;1,"",ROUND(_xlfn.XLOOKUP($A352&amp;$B352&amp;$C352,盘货信息!$A:$A&amp;盘货信息!$B:$B&amp;盘货信息!$C:$C,盘货信息!$H:$H),0)&amp;"元消费券"))</f>
        <v/>
      </c>
      <c r="J352" s="27" t="str" cm="1">
        <f t="array" ref="J352">IF($C352="","",IF(_xlfn.XLOOKUP($A352&amp;$B352&amp;$C352,盘货信息!$A:$A&amp;盘货信息!$B:$B&amp;盘货信息!$C:$C,盘货信息!$J:$J)&lt;1,"",ROUND(_xlfn.XLOOKUP($A352&amp;$B352&amp;$C352,盘货信息!$A:$A&amp;盘货信息!$B:$B&amp;盘货信息!$C:$C,盘货信息!$J:$J),0)&amp;"元限时补贴"))</f>
        <v/>
      </c>
      <c r="K352" s="27" t="str" cm="1">
        <f t="array" ref="K352">IF($C352="","",IF(_xlfn.XLOOKUP($A352&amp;$B352&amp;$C352,盘货信息!$A:$A&amp;盘货信息!$B:$B&amp;盘货信息!$C:$C,盘货信息!$K:$K)&lt;1,"",ROUND(_xlfn.XLOOKUP($A352&amp;$B352&amp;$C352,盘货信息!$A:$A&amp;盘货信息!$B:$B&amp;盘货信息!$C:$C,盘货信息!$K:$K),0)&amp;"元预估焕新补贴"))</f>
        <v/>
      </c>
      <c r="L352" s="27" t="str" cm="1">
        <f t="array" ref="L352">IF($C352="","",IF(AND(_xlfn.XLOOKUP($A352&amp;$B352&amp;$C352,盘货信息!$A:$A&amp;盘货信息!$B:$B&amp;盘货信息!$C:$C,盘货信息!$L:$L)="是",_xlfn.XLOOKUP($A352&amp;$B352&amp;$C352,盘货信息!$A:$A&amp;盘货信息!$B:$B&amp;盘货信息!$C:$C,盘货信息!$M:$M)="是",_xlfn.XLOOKUP($A352&amp;$B352&amp;$C352,盘货信息!$A:$A&amp;盘货信息!$B:$B&amp;盘货信息!$C:$C,盘货信息!$K:$K)&gt;0),"【全民可用，不限地址】",IF(AND(OR(_xlfn.XLOOKUP($A352&amp;$B352&amp;$C352,盘货信息!$A:$A&amp;盘货信息!$B:$B&amp;盘货信息!$C:$C,盘货信息!$L:$L)="否",_xlfn.XLOOKUP($A352&amp;$B352&amp;$C352,盘货信息!$A:$A&amp;盘货信息!$B:$B&amp;盘货信息!$C:$C,盘货信息!$L:$L)=""),_xlfn.XLOOKUP($A352&amp;$B352&amp;$C352,盘货信息!$A:$A&amp;盘货信息!$B:$B&amp;盘货信息!$C:$C,盘货信息!$M:$M)="是",_xlfn.XLOOKUP($A352&amp;$B352&amp;$C352,盘货信息!$A:$A&amp;盘货信息!$B:$B&amp;盘货信息!$C:$C,盘货信息!$K:$K)&gt;0),"【详情页领取】","")))</f>
        <v/>
      </c>
      <c r="M352" s="27" t="str" cm="1">
        <f t="array" ref="M352">IF($C352="","",IF(_xlfn.XLOOKUP($A352&amp;$B352&amp;$C352,盘货信息!$A:$A&amp;盘货信息!$B:$B&amp;盘货信息!$C:$C,盘货信息!$F:$F)&lt;1,"",_xlfn.XLOOKUP($A352&amp;$B352&amp;$C352,盘货信息!$A:$A&amp;盘货信息!$B:$B&amp;盘货信息!$C:$C,盘货信息!$F:$F)&amp;"元明卷"))</f>
        <v/>
      </c>
      <c r="N352" s="27" t="str">
        <f t="shared" si="11"/>
        <v/>
      </c>
      <c r="O352" s="27" t="str">
        <f>IF(I352="","","【消费券链接】"&amp;固定信息!$B$6)</f>
        <v/>
      </c>
    </row>
    <row r="353" customHeight="1" spans="1:15">
      <c r="A353" s="23" t="str">
        <f>IF(盘货信息!A353="","",盘货信息!A353)</f>
        <v/>
      </c>
      <c r="B353" s="26" t="str">
        <f>IF(盘货信息!B353="","",盘货信息!B353)</f>
        <v/>
      </c>
      <c r="C353" s="23" t="str">
        <f>IF(盘货信息!C353="","",盘货信息!C353)</f>
        <v/>
      </c>
      <c r="D353" s="27" t="str">
        <f t="shared" si="10"/>
        <v/>
      </c>
      <c r="E353" s="27" t="str" cm="1">
        <f t="array" ref="E353">IF($C353="","",IF(AND(OR(_xlfn.XLOOKUP($A353&amp;$B353&amp;$C353,盘货信息!$A:$A&amp;盘货信息!$B:$B&amp;盘货信息!$C:$C,盘货信息!$L:$L)="否",_xlfn.XLOOKUP($A353&amp;$B353&amp;$C353,盘货信息!$A:$A&amp;盘货信息!$B:$B&amp;盘货信息!$C:$C,盘货信息!$L:$L)=""),_xlfn.XLOOKUP($A353&amp;$B353&amp;$C353,盘货信息!$A:$A&amp;盘货信息!$B:$B&amp;盘货信息!$C:$C,盘货信息!$M:$M)="否"),"【预估到手价"&amp;_xlfn.XLOOKUP($A353&amp;$B353&amp;$C353,盘货信息!$A:$A&amp;盘货信息!$B:$B&amp;盘货信息!$C:$C,盘货信息!$D:$D)&amp;"元】",IF(AND(_xlfn.XLOOKUP($A353&amp;$B353&amp;$C353,盘货信息!$A:$A&amp;盘货信息!$B:$B&amp;盘货信息!$C:$C,盘货信息!$M:$M)="是",OR(_xlfn.XLOOKUP($A353&amp;$B353&amp;$C353,盘货信息!$A:$A&amp;盘货信息!$B:$B&amp;盘货信息!$C:$C,盘货信息!$L:$L)="否",_xlfn.XLOOKUP($A353&amp;$B353&amp;$C353,盘货信息!$A:$A&amp;盘货信息!$B:$B&amp;盘货信息!$C:$C,盘货信息!$L:$L)="")),"【预估到手价"&amp;_xlfn.XLOOKUP($A353&amp;$B353&amp;$C353,盘货信息!$A:$A&amp;盘货信息!$B:$B&amp;盘货信息!$C:$C,盘货信息!$D:$D)&amp;"元】"&amp;CHAR(10)&amp;"【焕新补贴预估价"&amp;ROUND(_xlfn.XLOOKUP($A353&amp;$B353&amp;$C353,盘货信息!$A:$A&amp;盘货信息!$B:$B&amp;盘货信息!$C:$C,盘货信息!$E:$E),0)&amp;"元】","【焕新补贴预估价"&amp;ROUND(_xlfn.XLOOKUP($A353&amp;$B353&amp;$C353,盘货信息!$A:$A&amp;盘货信息!$B:$B&amp;盘货信息!$C:$C,盘货信息!$E:$E),0)&amp;"元】")))</f>
        <v/>
      </c>
      <c r="F353" s="27" t="str" cm="1">
        <f t="array" ref="F353">IF($C353="","",_xlfn.XLOOKUP($A353&amp;$B353&amp;$C353,盘货信息!$A:$A&amp;盘货信息!$B:$B&amp;盘货信息!$C:$C,盘货信息!$D:$D)&amp;"元到手价")</f>
        <v/>
      </c>
      <c r="G353" s="27" t="str" cm="1">
        <f t="array" ref="G353">IF($C353="","",IF(_xlfn.XLOOKUP($A353&amp;$B353&amp;$C353,盘货信息!$A:$A&amp;盘货信息!$B:$B&amp;盘货信息!$C:$C,盘货信息!$G:$G)&lt;1,"",ROUND(_xlfn.XLOOKUP($A353&amp;$B353&amp;$C353,盘货信息!$A:$A&amp;盘货信息!$B:$B&amp;盘货信息!$C:$C,盘货信息!$G:$G),0)&amp;"元88VIP立减"))</f>
        <v/>
      </c>
      <c r="H353" s="27" t="str" cm="1">
        <f t="array" ref="H353">IF($C353="","",IF(_xlfn.XLOOKUP($A353&amp;$B353&amp;$C353,盘货信息!$A:$A&amp;盘货信息!$B:$B&amp;盘货信息!$C:$C,盘货信息!$I:$I)&lt;1,"",_xlfn.XLOOKUP($A353&amp;$B353&amp;$C353,盘货信息!$A:$A&amp;盘货信息!$B:$B&amp;盘货信息!$C:$C,盘货信息!$I:$I)&amp;"元惊喜立减"))</f>
        <v/>
      </c>
      <c r="I353" s="27" t="str" cm="1">
        <f t="array" ref="I353">IF($C353="","",IF(_xlfn.XLOOKUP($A353&amp;$B353&amp;$C353,盘货信息!$A:$A&amp;盘货信息!$B:$B&amp;盘货信息!$C:$C,盘货信息!$H:$H)&lt;1,"",ROUND(_xlfn.XLOOKUP($A353&amp;$B353&amp;$C353,盘货信息!$A:$A&amp;盘货信息!$B:$B&amp;盘货信息!$C:$C,盘货信息!$H:$H),0)&amp;"元消费券"))</f>
        <v/>
      </c>
      <c r="J353" s="27" t="str" cm="1">
        <f t="array" ref="J353">IF($C353="","",IF(_xlfn.XLOOKUP($A353&amp;$B353&amp;$C353,盘货信息!$A:$A&amp;盘货信息!$B:$B&amp;盘货信息!$C:$C,盘货信息!$J:$J)&lt;1,"",ROUND(_xlfn.XLOOKUP($A353&amp;$B353&amp;$C353,盘货信息!$A:$A&amp;盘货信息!$B:$B&amp;盘货信息!$C:$C,盘货信息!$J:$J),0)&amp;"元限时补贴"))</f>
        <v/>
      </c>
      <c r="K353" s="27" t="str" cm="1">
        <f t="array" ref="K353">IF($C353="","",IF(_xlfn.XLOOKUP($A353&amp;$B353&amp;$C353,盘货信息!$A:$A&amp;盘货信息!$B:$B&amp;盘货信息!$C:$C,盘货信息!$K:$K)&lt;1,"",ROUND(_xlfn.XLOOKUP($A353&amp;$B353&amp;$C353,盘货信息!$A:$A&amp;盘货信息!$B:$B&amp;盘货信息!$C:$C,盘货信息!$K:$K),0)&amp;"元预估焕新补贴"))</f>
        <v/>
      </c>
      <c r="L353" s="27" t="str" cm="1">
        <f t="array" ref="L353">IF($C353="","",IF(AND(_xlfn.XLOOKUP($A353&amp;$B353&amp;$C353,盘货信息!$A:$A&amp;盘货信息!$B:$B&amp;盘货信息!$C:$C,盘货信息!$L:$L)="是",_xlfn.XLOOKUP($A353&amp;$B353&amp;$C353,盘货信息!$A:$A&amp;盘货信息!$B:$B&amp;盘货信息!$C:$C,盘货信息!$M:$M)="是",_xlfn.XLOOKUP($A353&amp;$B353&amp;$C353,盘货信息!$A:$A&amp;盘货信息!$B:$B&amp;盘货信息!$C:$C,盘货信息!$K:$K)&gt;0),"【全民可用，不限地址】",IF(AND(OR(_xlfn.XLOOKUP($A353&amp;$B353&amp;$C353,盘货信息!$A:$A&amp;盘货信息!$B:$B&amp;盘货信息!$C:$C,盘货信息!$L:$L)="否",_xlfn.XLOOKUP($A353&amp;$B353&amp;$C353,盘货信息!$A:$A&amp;盘货信息!$B:$B&amp;盘货信息!$C:$C,盘货信息!$L:$L)=""),_xlfn.XLOOKUP($A353&amp;$B353&amp;$C353,盘货信息!$A:$A&amp;盘货信息!$B:$B&amp;盘货信息!$C:$C,盘货信息!$M:$M)="是",_xlfn.XLOOKUP($A353&amp;$B353&amp;$C353,盘货信息!$A:$A&amp;盘货信息!$B:$B&amp;盘货信息!$C:$C,盘货信息!$K:$K)&gt;0),"【详情页领取】","")))</f>
        <v/>
      </c>
      <c r="M353" s="27" t="str" cm="1">
        <f t="array" ref="M353">IF($C353="","",IF(_xlfn.XLOOKUP($A353&amp;$B353&amp;$C353,盘货信息!$A:$A&amp;盘货信息!$B:$B&amp;盘货信息!$C:$C,盘货信息!$F:$F)&lt;1,"",_xlfn.XLOOKUP($A353&amp;$B353&amp;$C353,盘货信息!$A:$A&amp;盘货信息!$B:$B&amp;盘货信息!$C:$C,盘货信息!$F:$F)&amp;"元明卷"))</f>
        <v/>
      </c>
      <c r="N353" s="27" t="str">
        <f t="shared" si="11"/>
        <v/>
      </c>
      <c r="O353" s="27" t="str">
        <f>IF(I353="","","【消费券链接】"&amp;固定信息!$B$6)</f>
        <v/>
      </c>
    </row>
    <row r="354" customHeight="1" spans="1:15">
      <c r="A354" s="23" t="str">
        <f>IF(盘货信息!A354="","",盘货信息!A354)</f>
        <v/>
      </c>
      <c r="B354" s="26" t="str">
        <f>IF(盘货信息!B354="","",盘货信息!B354)</f>
        <v/>
      </c>
      <c r="C354" s="23" t="str">
        <f>IF(盘货信息!C354="","",盘货信息!C354)</f>
        <v/>
      </c>
      <c r="D354" s="27" t="str">
        <f t="shared" si="10"/>
        <v/>
      </c>
      <c r="E354" s="27" t="str" cm="1">
        <f t="array" ref="E354">IF($C354="","",IF(AND(OR(_xlfn.XLOOKUP($A354&amp;$B354&amp;$C354,盘货信息!$A:$A&amp;盘货信息!$B:$B&amp;盘货信息!$C:$C,盘货信息!$L:$L)="否",_xlfn.XLOOKUP($A354&amp;$B354&amp;$C354,盘货信息!$A:$A&amp;盘货信息!$B:$B&amp;盘货信息!$C:$C,盘货信息!$L:$L)=""),_xlfn.XLOOKUP($A354&amp;$B354&amp;$C354,盘货信息!$A:$A&amp;盘货信息!$B:$B&amp;盘货信息!$C:$C,盘货信息!$M:$M)="否"),"【预估到手价"&amp;_xlfn.XLOOKUP($A354&amp;$B354&amp;$C354,盘货信息!$A:$A&amp;盘货信息!$B:$B&amp;盘货信息!$C:$C,盘货信息!$D:$D)&amp;"元】",IF(AND(_xlfn.XLOOKUP($A354&amp;$B354&amp;$C354,盘货信息!$A:$A&amp;盘货信息!$B:$B&amp;盘货信息!$C:$C,盘货信息!$M:$M)="是",OR(_xlfn.XLOOKUP($A354&amp;$B354&amp;$C354,盘货信息!$A:$A&amp;盘货信息!$B:$B&amp;盘货信息!$C:$C,盘货信息!$L:$L)="否",_xlfn.XLOOKUP($A354&amp;$B354&amp;$C354,盘货信息!$A:$A&amp;盘货信息!$B:$B&amp;盘货信息!$C:$C,盘货信息!$L:$L)="")),"【预估到手价"&amp;_xlfn.XLOOKUP($A354&amp;$B354&amp;$C354,盘货信息!$A:$A&amp;盘货信息!$B:$B&amp;盘货信息!$C:$C,盘货信息!$D:$D)&amp;"元】"&amp;CHAR(10)&amp;"【焕新补贴预估价"&amp;ROUND(_xlfn.XLOOKUP($A354&amp;$B354&amp;$C354,盘货信息!$A:$A&amp;盘货信息!$B:$B&amp;盘货信息!$C:$C,盘货信息!$E:$E),0)&amp;"元】","【焕新补贴预估价"&amp;ROUND(_xlfn.XLOOKUP($A354&amp;$B354&amp;$C354,盘货信息!$A:$A&amp;盘货信息!$B:$B&amp;盘货信息!$C:$C,盘货信息!$E:$E),0)&amp;"元】")))</f>
        <v/>
      </c>
      <c r="F354" s="27" t="str" cm="1">
        <f t="array" ref="F354">IF($C354="","",_xlfn.XLOOKUP($A354&amp;$B354&amp;$C354,盘货信息!$A:$A&amp;盘货信息!$B:$B&amp;盘货信息!$C:$C,盘货信息!$D:$D)&amp;"元到手价")</f>
        <v/>
      </c>
      <c r="G354" s="27" t="str" cm="1">
        <f t="array" ref="G354">IF($C354="","",IF(_xlfn.XLOOKUP($A354&amp;$B354&amp;$C354,盘货信息!$A:$A&amp;盘货信息!$B:$B&amp;盘货信息!$C:$C,盘货信息!$G:$G)&lt;1,"",ROUND(_xlfn.XLOOKUP($A354&amp;$B354&amp;$C354,盘货信息!$A:$A&amp;盘货信息!$B:$B&amp;盘货信息!$C:$C,盘货信息!$G:$G),0)&amp;"元88VIP立减"))</f>
        <v/>
      </c>
      <c r="H354" s="27" t="str" cm="1">
        <f t="array" ref="H354">IF($C354="","",IF(_xlfn.XLOOKUP($A354&amp;$B354&amp;$C354,盘货信息!$A:$A&amp;盘货信息!$B:$B&amp;盘货信息!$C:$C,盘货信息!$I:$I)&lt;1,"",_xlfn.XLOOKUP($A354&amp;$B354&amp;$C354,盘货信息!$A:$A&amp;盘货信息!$B:$B&amp;盘货信息!$C:$C,盘货信息!$I:$I)&amp;"元惊喜立减"))</f>
        <v/>
      </c>
      <c r="I354" s="27" t="str" cm="1">
        <f t="array" ref="I354">IF($C354="","",IF(_xlfn.XLOOKUP($A354&amp;$B354&amp;$C354,盘货信息!$A:$A&amp;盘货信息!$B:$B&amp;盘货信息!$C:$C,盘货信息!$H:$H)&lt;1,"",ROUND(_xlfn.XLOOKUP($A354&amp;$B354&amp;$C354,盘货信息!$A:$A&amp;盘货信息!$B:$B&amp;盘货信息!$C:$C,盘货信息!$H:$H),0)&amp;"元消费券"))</f>
        <v/>
      </c>
      <c r="J354" s="27" t="str" cm="1">
        <f t="array" ref="J354">IF($C354="","",IF(_xlfn.XLOOKUP($A354&amp;$B354&amp;$C354,盘货信息!$A:$A&amp;盘货信息!$B:$B&amp;盘货信息!$C:$C,盘货信息!$J:$J)&lt;1,"",ROUND(_xlfn.XLOOKUP($A354&amp;$B354&amp;$C354,盘货信息!$A:$A&amp;盘货信息!$B:$B&amp;盘货信息!$C:$C,盘货信息!$J:$J),0)&amp;"元限时补贴"))</f>
        <v/>
      </c>
      <c r="K354" s="27" t="str" cm="1">
        <f t="array" ref="K354">IF($C354="","",IF(_xlfn.XLOOKUP($A354&amp;$B354&amp;$C354,盘货信息!$A:$A&amp;盘货信息!$B:$B&amp;盘货信息!$C:$C,盘货信息!$K:$K)&lt;1,"",ROUND(_xlfn.XLOOKUP($A354&amp;$B354&amp;$C354,盘货信息!$A:$A&amp;盘货信息!$B:$B&amp;盘货信息!$C:$C,盘货信息!$K:$K),0)&amp;"元预估焕新补贴"))</f>
        <v/>
      </c>
      <c r="L354" s="27" t="str" cm="1">
        <f t="array" ref="L354">IF($C354="","",IF(AND(_xlfn.XLOOKUP($A354&amp;$B354&amp;$C354,盘货信息!$A:$A&amp;盘货信息!$B:$B&amp;盘货信息!$C:$C,盘货信息!$L:$L)="是",_xlfn.XLOOKUP($A354&amp;$B354&amp;$C354,盘货信息!$A:$A&amp;盘货信息!$B:$B&amp;盘货信息!$C:$C,盘货信息!$M:$M)="是",_xlfn.XLOOKUP($A354&amp;$B354&amp;$C354,盘货信息!$A:$A&amp;盘货信息!$B:$B&amp;盘货信息!$C:$C,盘货信息!$K:$K)&gt;0),"【全民可用，不限地址】",IF(AND(OR(_xlfn.XLOOKUP($A354&amp;$B354&amp;$C354,盘货信息!$A:$A&amp;盘货信息!$B:$B&amp;盘货信息!$C:$C,盘货信息!$L:$L)="否",_xlfn.XLOOKUP($A354&amp;$B354&amp;$C354,盘货信息!$A:$A&amp;盘货信息!$B:$B&amp;盘货信息!$C:$C,盘货信息!$L:$L)=""),_xlfn.XLOOKUP($A354&amp;$B354&amp;$C354,盘货信息!$A:$A&amp;盘货信息!$B:$B&amp;盘货信息!$C:$C,盘货信息!$M:$M)="是",_xlfn.XLOOKUP($A354&amp;$B354&amp;$C354,盘货信息!$A:$A&amp;盘货信息!$B:$B&amp;盘货信息!$C:$C,盘货信息!$K:$K)&gt;0),"【详情页领取】","")))</f>
        <v/>
      </c>
      <c r="M354" s="27" t="str" cm="1">
        <f t="array" ref="M354">IF($C354="","",IF(_xlfn.XLOOKUP($A354&amp;$B354&amp;$C354,盘货信息!$A:$A&amp;盘货信息!$B:$B&amp;盘货信息!$C:$C,盘货信息!$F:$F)&lt;1,"",_xlfn.XLOOKUP($A354&amp;$B354&amp;$C354,盘货信息!$A:$A&amp;盘货信息!$B:$B&amp;盘货信息!$C:$C,盘货信息!$F:$F)&amp;"元明卷"))</f>
        <v/>
      </c>
      <c r="N354" s="27" t="str">
        <f t="shared" si="11"/>
        <v/>
      </c>
      <c r="O354" s="27" t="str">
        <f>IF(I354="","","【消费券链接】"&amp;固定信息!$B$6)</f>
        <v/>
      </c>
    </row>
    <row r="355" customHeight="1" spans="1:15">
      <c r="A355" s="23" t="str">
        <f>IF(盘货信息!A355="","",盘货信息!A355)</f>
        <v/>
      </c>
      <c r="B355" s="26" t="str">
        <f>IF(盘货信息!B355="","",盘货信息!B355)</f>
        <v/>
      </c>
      <c r="C355" s="23" t="str">
        <f>IF(盘货信息!C355="","",盘货信息!C355)</f>
        <v/>
      </c>
      <c r="D355" s="27" t="str">
        <f t="shared" si="10"/>
        <v/>
      </c>
      <c r="E355" s="27" t="str" cm="1">
        <f t="array" ref="E355">IF($C355="","",IF(AND(OR(_xlfn.XLOOKUP($A355&amp;$B355&amp;$C355,盘货信息!$A:$A&amp;盘货信息!$B:$B&amp;盘货信息!$C:$C,盘货信息!$L:$L)="否",_xlfn.XLOOKUP($A355&amp;$B355&amp;$C355,盘货信息!$A:$A&amp;盘货信息!$B:$B&amp;盘货信息!$C:$C,盘货信息!$L:$L)=""),_xlfn.XLOOKUP($A355&amp;$B355&amp;$C355,盘货信息!$A:$A&amp;盘货信息!$B:$B&amp;盘货信息!$C:$C,盘货信息!$M:$M)="否"),"【预估到手价"&amp;_xlfn.XLOOKUP($A355&amp;$B355&amp;$C355,盘货信息!$A:$A&amp;盘货信息!$B:$B&amp;盘货信息!$C:$C,盘货信息!$D:$D)&amp;"元】",IF(AND(_xlfn.XLOOKUP($A355&amp;$B355&amp;$C355,盘货信息!$A:$A&amp;盘货信息!$B:$B&amp;盘货信息!$C:$C,盘货信息!$M:$M)="是",OR(_xlfn.XLOOKUP($A355&amp;$B355&amp;$C355,盘货信息!$A:$A&amp;盘货信息!$B:$B&amp;盘货信息!$C:$C,盘货信息!$L:$L)="否",_xlfn.XLOOKUP($A355&amp;$B355&amp;$C355,盘货信息!$A:$A&amp;盘货信息!$B:$B&amp;盘货信息!$C:$C,盘货信息!$L:$L)="")),"【预估到手价"&amp;_xlfn.XLOOKUP($A355&amp;$B355&amp;$C355,盘货信息!$A:$A&amp;盘货信息!$B:$B&amp;盘货信息!$C:$C,盘货信息!$D:$D)&amp;"元】"&amp;CHAR(10)&amp;"【焕新补贴预估价"&amp;ROUND(_xlfn.XLOOKUP($A355&amp;$B355&amp;$C355,盘货信息!$A:$A&amp;盘货信息!$B:$B&amp;盘货信息!$C:$C,盘货信息!$E:$E),0)&amp;"元】","【焕新补贴预估价"&amp;ROUND(_xlfn.XLOOKUP($A355&amp;$B355&amp;$C355,盘货信息!$A:$A&amp;盘货信息!$B:$B&amp;盘货信息!$C:$C,盘货信息!$E:$E),0)&amp;"元】")))</f>
        <v/>
      </c>
      <c r="F355" s="27" t="str" cm="1">
        <f t="array" ref="F355">IF($C355="","",_xlfn.XLOOKUP($A355&amp;$B355&amp;$C355,盘货信息!$A:$A&amp;盘货信息!$B:$B&amp;盘货信息!$C:$C,盘货信息!$D:$D)&amp;"元到手价")</f>
        <v/>
      </c>
      <c r="G355" s="27" t="str" cm="1">
        <f t="array" ref="G355">IF($C355="","",IF(_xlfn.XLOOKUP($A355&amp;$B355&amp;$C355,盘货信息!$A:$A&amp;盘货信息!$B:$B&amp;盘货信息!$C:$C,盘货信息!$G:$G)&lt;1,"",ROUND(_xlfn.XLOOKUP($A355&amp;$B355&amp;$C355,盘货信息!$A:$A&amp;盘货信息!$B:$B&amp;盘货信息!$C:$C,盘货信息!$G:$G),0)&amp;"元88VIP立减"))</f>
        <v/>
      </c>
      <c r="H355" s="27" t="str" cm="1">
        <f t="array" ref="H355">IF($C355="","",IF(_xlfn.XLOOKUP($A355&amp;$B355&amp;$C355,盘货信息!$A:$A&amp;盘货信息!$B:$B&amp;盘货信息!$C:$C,盘货信息!$I:$I)&lt;1,"",_xlfn.XLOOKUP($A355&amp;$B355&amp;$C355,盘货信息!$A:$A&amp;盘货信息!$B:$B&amp;盘货信息!$C:$C,盘货信息!$I:$I)&amp;"元惊喜立减"))</f>
        <v/>
      </c>
      <c r="I355" s="27" t="str" cm="1">
        <f t="array" ref="I355">IF($C355="","",IF(_xlfn.XLOOKUP($A355&amp;$B355&amp;$C355,盘货信息!$A:$A&amp;盘货信息!$B:$B&amp;盘货信息!$C:$C,盘货信息!$H:$H)&lt;1,"",ROUND(_xlfn.XLOOKUP($A355&amp;$B355&amp;$C355,盘货信息!$A:$A&amp;盘货信息!$B:$B&amp;盘货信息!$C:$C,盘货信息!$H:$H),0)&amp;"元消费券"))</f>
        <v/>
      </c>
      <c r="J355" s="27" t="str" cm="1">
        <f t="array" ref="J355">IF($C355="","",IF(_xlfn.XLOOKUP($A355&amp;$B355&amp;$C355,盘货信息!$A:$A&amp;盘货信息!$B:$B&amp;盘货信息!$C:$C,盘货信息!$J:$J)&lt;1,"",ROUND(_xlfn.XLOOKUP($A355&amp;$B355&amp;$C355,盘货信息!$A:$A&amp;盘货信息!$B:$B&amp;盘货信息!$C:$C,盘货信息!$J:$J),0)&amp;"元限时补贴"))</f>
        <v/>
      </c>
      <c r="K355" s="27" t="str" cm="1">
        <f t="array" ref="K355">IF($C355="","",IF(_xlfn.XLOOKUP($A355&amp;$B355&amp;$C355,盘货信息!$A:$A&amp;盘货信息!$B:$B&amp;盘货信息!$C:$C,盘货信息!$K:$K)&lt;1,"",ROUND(_xlfn.XLOOKUP($A355&amp;$B355&amp;$C355,盘货信息!$A:$A&amp;盘货信息!$B:$B&amp;盘货信息!$C:$C,盘货信息!$K:$K),0)&amp;"元预估焕新补贴"))</f>
        <v/>
      </c>
      <c r="L355" s="27" t="str" cm="1">
        <f t="array" ref="L355">IF($C355="","",IF(AND(_xlfn.XLOOKUP($A355&amp;$B355&amp;$C355,盘货信息!$A:$A&amp;盘货信息!$B:$B&amp;盘货信息!$C:$C,盘货信息!$L:$L)="是",_xlfn.XLOOKUP($A355&amp;$B355&amp;$C355,盘货信息!$A:$A&amp;盘货信息!$B:$B&amp;盘货信息!$C:$C,盘货信息!$M:$M)="是",_xlfn.XLOOKUP($A355&amp;$B355&amp;$C355,盘货信息!$A:$A&amp;盘货信息!$B:$B&amp;盘货信息!$C:$C,盘货信息!$K:$K)&gt;0),"【全民可用，不限地址】",IF(AND(OR(_xlfn.XLOOKUP($A355&amp;$B355&amp;$C355,盘货信息!$A:$A&amp;盘货信息!$B:$B&amp;盘货信息!$C:$C,盘货信息!$L:$L)="否",_xlfn.XLOOKUP($A355&amp;$B355&amp;$C355,盘货信息!$A:$A&amp;盘货信息!$B:$B&amp;盘货信息!$C:$C,盘货信息!$L:$L)=""),_xlfn.XLOOKUP($A355&amp;$B355&amp;$C355,盘货信息!$A:$A&amp;盘货信息!$B:$B&amp;盘货信息!$C:$C,盘货信息!$M:$M)="是",_xlfn.XLOOKUP($A355&amp;$B355&amp;$C355,盘货信息!$A:$A&amp;盘货信息!$B:$B&amp;盘货信息!$C:$C,盘货信息!$K:$K)&gt;0),"【详情页领取】","")))</f>
        <v/>
      </c>
      <c r="M355" s="27" t="str" cm="1">
        <f t="array" ref="M355">IF($C355="","",IF(_xlfn.XLOOKUP($A355&amp;$B355&amp;$C355,盘货信息!$A:$A&amp;盘货信息!$B:$B&amp;盘货信息!$C:$C,盘货信息!$F:$F)&lt;1,"",_xlfn.XLOOKUP($A355&amp;$B355&amp;$C355,盘货信息!$A:$A&amp;盘货信息!$B:$B&amp;盘货信息!$C:$C,盘货信息!$F:$F)&amp;"元明卷"))</f>
        <v/>
      </c>
      <c r="N355" s="27" t="str">
        <f t="shared" si="11"/>
        <v/>
      </c>
      <c r="O355" s="27" t="str">
        <f>IF(I355="","","【消费券链接】"&amp;固定信息!$B$6)</f>
        <v/>
      </c>
    </row>
    <row r="356" customHeight="1" spans="1:15">
      <c r="A356" s="23" t="str">
        <f>IF(盘货信息!A356="","",盘货信息!A356)</f>
        <v/>
      </c>
      <c r="B356" s="26" t="str">
        <f>IF(盘货信息!B356="","",盘货信息!B356)</f>
        <v/>
      </c>
      <c r="C356" s="23" t="str">
        <f>IF(盘货信息!C356="","",盘货信息!C356)</f>
        <v/>
      </c>
      <c r="D356" s="27" t="str">
        <f t="shared" si="10"/>
        <v/>
      </c>
      <c r="E356" s="27" t="str" cm="1">
        <f t="array" ref="E356">IF($C356="","",IF(AND(OR(_xlfn.XLOOKUP($A356&amp;$B356&amp;$C356,盘货信息!$A:$A&amp;盘货信息!$B:$B&amp;盘货信息!$C:$C,盘货信息!$L:$L)="否",_xlfn.XLOOKUP($A356&amp;$B356&amp;$C356,盘货信息!$A:$A&amp;盘货信息!$B:$B&amp;盘货信息!$C:$C,盘货信息!$L:$L)=""),_xlfn.XLOOKUP($A356&amp;$B356&amp;$C356,盘货信息!$A:$A&amp;盘货信息!$B:$B&amp;盘货信息!$C:$C,盘货信息!$M:$M)="否"),"【预估到手价"&amp;_xlfn.XLOOKUP($A356&amp;$B356&amp;$C356,盘货信息!$A:$A&amp;盘货信息!$B:$B&amp;盘货信息!$C:$C,盘货信息!$D:$D)&amp;"元】",IF(AND(_xlfn.XLOOKUP($A356&amp;$B356&amp;$C356,盘货信息!$A:$A&amp;盘货信息!$B:$B&amp;盘货信息!$C:$C,盘货信息!$M:$M)="是",OR(_xlfn.XLOOKUP($A356&amp;$B356&amp;$C356,盘货信息!$A:$A&amp;盘货信息!$B:$B&amp;盘货信息!$C:$C,盘货信息!$L:$L)="否",_xlfn.XLOOKUP($A356&amp;$B356&amp;$C356,盘货信息!$A:$A&amp;盘货信息!$B:$B&amp;盘货信息!$C:$C,盘货信息!$L:$L)="")),"【预估到手价"&amp;_xlfn.XLOOKUP($A356&amp;$B356&amp;$C356,盘货信息!$A:$A&amp;盘货信息!$B:$B&amp;盘货信息!$C:$C,盘货信息!$D:$D)&amp;"元】"&amp;CHAR(10)&amp;"【焕新补贴预估价"&amp;ROUND(_xlfn.XLOOKUP($A356&amp;$B356&amp;$C356,盘货信息!$A:$A&amp;盘货信息!$B:$B&amp;盘货信息!$C:$C,盘货信息!$E:$E),0)&amp;"元】","【焕新补贴预估价"&amp;ROUND(_xlfn.XLOOKUP($A356&amp;$B356&amp;$C356,盘货信息!$A:$A&amp;盘货信息!$B:$B&amp;盘货信息!$C:$C,盘货信息!$E:$E),0)&amp;"元】")))</f>
        <v/>
      </c>
      <c r="F356" s="27" t="str" cm="1">
        <f t="array" ref="F356">IF($C356="","",_xlfn.XLOOKUP($A356&amp;$B356&amp;$C356,盘货信息!$A:$A&amp;盘货信息!$B:$B&amp;盘货信息!$C:$C,盘货信息!$D:$D)&amp;"元到手价")</f>
        <v/>
      </c>
      <c r="G356" s="27" t="str" cm="1">
        <f t="array" ref="G356">IF($C356="","",IF(_xlfn.XLOOKUP($A356&amp;$B356&amp;$C356,盘货信息!$A:$A&amp;盘货信息!$B:$B&amp;盘货信息!$C:$C,盘货信息!$G:$G)&lt;1,"",ROUND(_xlfn.XLOOKUP($A356&amp;$B356&amp;$C356,盘货信息!$A:$A&amp;盘货信息!$B:$B&amp;盘货信息!$C:$C,盘货信息!$G:$G),0)&amp;"元88VIP立减"))</f>
        <v/>
      </c>
      <c r="H356" s="27" t="str" cm="1">
        <f t="array" ref="H356">IF($C356="","",IF(_xlfn.XLOOKUP($A356&amp;$B356&amp;$C356,盘货信息!$A:$A&amp;盘货信息!$B:$B&amp;盘货信息!$C:$C,盘货信息!$I:$I)&lt;1,"",_xlfn.XLOOKUP($A356&amp;$B356&amp;$C356,盘货信息!$A:$A&amp;盘货信息!$B:$B&amp;盘货信息!$C:$C,盘货信息!$I:$I)&amp;"元惊喜立减"))</f>
        <v/>
      </c>
      <c r="I356" s="27" t="str" cm="1">
        <f t="array" ref="I356">IF($C356="","",IF(_xlfn.XLOOKUP($A356&amp;$B356&amp;$C356,盘货信息!$A:$A&amp;盘货信息!$B:$B&amp;盘货信息!$C:$C,盘货信息!$H:$H)&lt;1,"",ROUND(_xlfn.XLOOKUP($A356&amp;$B356&amp;$C356,盘货信息!$A:$A&amp;盘货信息!$B:$B&amp;盘货信息!$C:$C,盘货信息!$H:$H),0)&amp;"元消费券"))</f>
        <v/>
      </c>
      <c r="J356" s="27" t="str" cm="1">
        <f t="array" ref="J356">IF($C356="","",IF(_xlfn.XLOOKUP($A356&amp;$B356&amp;$C356,盘货信息!$A:$A&amp;盘货信息!$B:$B&amp;盘货信息!$C:$C,盘货信息!$J:$J)&lt;1,"",ROUND(_xlfn.XLOOKUP($A356&amp;$B356&amp;$C356,盘货信息!$A:$A&amp;盘货信息!$B:$B&amp;盘货信息!$C:$C,盘货信息!$J:$J),0)&amp;"元限时补贴"))</f>
        <v/>
      </c>
      <c r="K356" s="27" t="str" cm="1">
        <f t="array" ref="K356">IF($C356="","",IF(_xlfn.XLOOKUP($A356&amp;$B356&amp;$C356,盘货信息!$A:$A&amp;盘货信息!$B:$B&amp;盘货信息!$C:$C,盘货信息!$K:$K)&lt;1,"",ROUND(_xlfn.XLOOKUP($A356&amp;$B356&amp;$C356,盘货信息!$A:$A&amp;盘货信息!$B:$B&amp;盘货信息!$C:$C,盘货信息!$K:$K),0)&amp;"元预估焕新补贴"))</f>
        <v/>
      </c>
      <c r="L356" s="27" t="str" cm="1">
        <f t="array" ref="L356">IF($C356="","",IF(AND(_xlfn.XLOOKUP($A356&amp;$B356&amp;$C356,盘货信息!$A:$A&amp;盘货信息!$B:$B&amp;盘货信息!$C:$C,盘货信息!$L:$L)="是",_xlfn.XLOOKUP($A356&amp;$B356&amp;$C356,盘货信息!$A:$A&amp;盘货信息!$B:$B&amp;盘货信息!$C:$C,盘货信息!$M:$M)="是",_xlfn.XLOOKUP($A356&amp;$B356&amp;$C356,盘货信息!$A:$A&amp;盘货信息!$B:$B&amp;盘货信息!$C:$C,盘货信息!$K:$K)&gt;0),"【全民可用，不限地址】",IF(AND(OR(_xlfn.XLOOKUP($A356&amp;$B356&amp;$C356,盘货信息!$A:$A&amp;盘货信息!$B:$B&amp;盘货信息!$C:$C,盘货信息!$L:$L)="否",_xlfn.XLOOKUP($A356&amp;$B356&amp;$C356,盘货信息!$A:$A&amp;盘货信息!$B:$B&amp;盘货信息!$C:$C,盘货信息!$L:$L)=""),_xlfn.XLOOKUP($A356&amp;$B356&amp;$C356,盘货信息!$A:$A&amp;盘货信息!$B:$B&amp;盘货信息!$C:$C,盘货信息!$M:$M)="是",_xlfn.XLOOKUP($A356&amp;$B356&amp;$C356,盘货信息!$A:$A&amp;盘货信息!$B:$B&amp;盘货信息!$C:$C,盘货信息!$K:$K)&gt;0),"【详情页领取】","")))</f>
        <v/>
      </c>
      <c r="M356" s="27" t="str" cm="1">
        <f t="array" ref="M356">IF($C356="","",IF(_xlfn.XLOOKUP($A356&amp;$B356&amp;$C356,盘货信息!$A:$A&amp;盘货信息!$B:$B&amp;盘货信息!$C:$C,盘货信息!$F:$F)&lt;1,"",_xlfn.XLOOKUP($A356&amp;$B356&amp;$C356,盘货信息!$A:$A&amp;盘货信息!$B:$B&amp;盘货信息!$C:$C,盘货信息!$F:$F)&amp;"元明卷"))</f>
        <v/>
      </c>
      <c r="N356" s="27" t="str">
        <f t="shared" si="11"/>
        <v/>
      </c>
      <c r="O356" s="27" t="str">
        <f>IF(I356="","","【消费券链接】"&amp;固定信息!$B$6)</f>
        <v/>
      </c>
    </row>
    <row r="357" customHeight="1" spans="1:15">
      <c r="A357" s="23" t="str">
        <f>IF(盘货信息!A357="","",盘货信息!A357)</f>
        <v/>
      </c>
      <c r="B357" s="26" t="str">
        <f>IF(盘货信息!B357="","",盘货信息!B357)</f>
        <v/>
      </c>
      <c r="C357" s="23" t="str">
        <f>IF(盘货信息!C357="","",盘货信息!C357)</f>
        <v/>
      </c>
      <c r="D357" s="27" t="str">
        <f t="shared" si="10"/>
        <v/>
      </c>
      <c r="E357" s="27" t="str" cm="1">
        <f t="array" ref="E357">IF($C357="","",IF(AND(OR(_xlfn.XLOOKUP($A357&amp;$B357&amp;$C357,盘货信息!$A:$A&amp;盘货信息!$B:$B&amp;盘货信息!$C:$C,盘货信息!$L:$L)="否",_xlfn.XLOOKUP($A357&amp;$B357&amp;$C357,盘货信息!$A:$A&amp;盘货信息!$B:$B&amp;盘货信息!$C:$C,盘货信息!$L:$L)=""),_xlfn.XLOOKUP($A357&amp;$B357&amp;$C357,盘货信息!$A:$A&amp;盘货信息!$B:$B&amp;盘货信息!$C:$C,盘货信息!$M:$M)="否"),"【预估到手价"&amp;_xlfn.XLOOKUP($A357&amp;$B357&amp;$C357,盘货信息!$A:$A&amp;盘货信息!$B:$B&amp;盘货信息!$C:$C,盘货信息!$D:$D)&amp;"元】",IF(AND(_xlfn.XLOOKUP($A357&amp;$B357&amp;$C357,盘货信息!$A:$A&amp;盘货信息!$B:$B&amp;盘货信息!$C:$C,盘货信息!$M:$M)="是",OR(_xlfn.XLOOKUP($A357&amp;$B357&amp;$C357,盘货信息!$A:$A&amp;盘货信息!$B:$B&amp;盘货信息!$C:$C,盘货信息!$L:$L)="否",_xlfn.XLOOKUP($A357&amp;$B357&amp;$C357,盘货信息!$A:$A&amp;盘货信息!$B:$B&amp;盘货信息!$C:$C,盘货信息!$L:$L)="")),"【预估到手价"&amp;_xlfn.XLOOKUP($A357&amp;$B357&amp;$C357,盘货信息!$A:$A&amp;盘货信息!$B:$B&amp;盘货信息!$C:$C,盘货信息!$D:$D)&amp;"元】"&amp;CHAR(10)&amp;"【焕新补贴预估价"&amp;ROUND(_xlfn.XLOOKUP($A357&amp;$B357&amp;$C357,盘货信息!$A:$A&amp;盘货信息!$B:$B&amp;盘货信息!$C:$C,盘货信息!$E:$E),0)&amp;"元】","【焕新补贴预估价"&amp;ROUND(_xlfn.XLOOKUP($A357&amp;$B357&amp;$C357,盘货信息!$A:$A&amp;盘货信息!$B:$B&amp;盘货信息!$C:$C,盘货信息!$E:$E),0)&amp;"元】")))</f>
        <v/>
      </c>
      <c r="F357" s="27" t="str" cm="1">
        <f t="array" ref="F357">IF($C357="","",_xlfn.XLOOKUP($A357&amp;$B357&amp;$C357,盘货信息!$A:$A&amp;盘货信息!$B:$B&amp;盘货信息!$C:$C,盘货信息!$D:$D)&amp;"元到手价")</f>
        <v/>
      </c>
      <c r="G357" s="27" t="str" cm="1">
        <f t="array" ref="G357">IF($C357="","",IF(_xlfn.XLOOKUP($A357&amp;$B357&amp;$C357,盘货信息!$A:$A&amp;盘货信息!$B:$B&amp;盘货信息!$C:$C,盘货信息!$G:$G)&lt;1,"",ROUND(_xlfn.XLOOKUP($A357&amp;$B357&amp;$C357,盘货信息!$A:$A&amp;盘货信息!$B:$B&amp;盘货信息!$C:$C,盘货信息!$G:$G),0)&amp;"元88VIP立减"))</f>
        <v/>
      </c>
      <c r="H357" s="27" t="str" cm="1">
        <f t="array" ref="H357">IF($C357="","",IF(_xlfn.XLOOKUP($A357&amp;$B357&amp;$C357,盘货信息!$A:$A&amp;盘货信息!$B:$B&amp;盘货信息!$C:$C,盘货信息!$I:$I)&lt;1,"",_xlfn.XLOOKUP($A357&amp;$B357&amp;$C357,盘货信息!$A:$A&amp;盘货信息!$B:$B&amp;盘货信息!$C:$C,盘货信息!$I:$I)&amp;"元惊喜立减"))</f>
        <v/>
      </c>
      <c r="I357" s="27" t="str" cm="1">
        <f t="array" ref="I357">IF($C357="","",IF(_xlfn.XLOOKUP($A357&amp;$B357&amp;$C357,盘货信息!$A:$A&amp;盘货信息!$B:$B&amp;盘货信息!$C:$C,盘货信息!$H:$H)&lt;1,"",ROUND(_xlfn.XLOOKUP($A357&amp;$B357&amp;$C357,盘货信息!$A:$A&amp;盘货信息!$B:$B&amp;盘货信息!$C:$C,盘货信息!$H:$H),0)&amp;"元消费券"))</f>
        <v/>
      </c>
      <c r="J357" s="27" t="str" cm="1">
        <f t="array" ref="J357">IF($C357="","",IF(_xlfn.XLOOKUP($A357&amp;$B357&amp;$C357,盘货信息!$A:$A&amp;盘货信息!$B:$B&amp;盘货信息!$C:$C,盘货信息!$J:$J)&lt;1,"",ROUND(_xlfn.XLOOKUP($A357&amp;$B357&amp;$C357,盘货信息!$A:$A&amp;盘货信息!$B:$B&amp;盘货信息!$C:$C,盘货信息!$J:$J),0)&amp;"元限时补贴"))</f>
        <v/>
      </c>
      <c r="K357" s="27" t="str" cm="1">
        <f t="array" ref="K357">IF($C357="","",IF(_xlfn.XLOOKUP($A357&amp;$B357&amp;$C357,盘货信息!$A:$A&amp;盘货信息!$B:$B&amp;盘货信息!$C:$C,盘货信息!$K:$K)&lt;1,"",ROUND(_xlfn.XLOOKUP($A357&amp;$B357&amp;$C357,盘货信息!$A:$A&amp;盘货信息!$B:$B&amp;盘货信息!$C:$C,盘货信息!$K:$K),0)&amp;"元预估焕新补贴"))</f>
        <v/>
      </c>
      <c r="L357" s="27" t="str" cm="1">
        <f t="array" ref="L357">IF($C357="","",IF(AND(_xlfn.XLOOKUP($A357&amp;$B357&amp;$C357,盘货信息!$A:$A&amp;盘货信息!$B:$B&amp;盘货信息!$C:$C,盘货信息!$L:$L)="是",_xlfn.XLOOKUP($A357&amp;$B357&amp;$C357,盘货信息!$A:$A&amp;盘货信息!$B:$B&amp;盘货信息!$C:$C,盘货信息!$M:$M)="是",_xlfn.XLOOKUP($A357&amp;$B357&amp;$C357,盘货信息!$A:$A&amp;盘货信息!$B:$B&amp;盘货信息!$C:$C,盘货信息!$K:$K)&gt;0),"【全民可用，不限地址】",IF(AND(OR(_xlfn.XLOOKUP($A357&amp;$B357&amp;$C357,盘货信息!$A:$A&amp;盘货信息!$B:$B&amp;盘货信息!$C:$C,盘货信息!$L:$L)="否",_xlfn.XLOOKUP($A357&amp;$B357&amp;$C357,盘货信息!$A:$A&amp;盘货信息!$B:$B&amp;盘货信息!$C:$C,盘货信息!$L:$L)=""),_xlfn.XLOOKUP($A357&amp;$B357&amp;$C357,盘货信息!$A:$A&amp;盘货信息!$B:$B&amp;盘货信息!$C:$C,盘货信息!$M:$M)="是",_xlfn.XLOOKUP($A357&amp;$B357&amp;$C357,盘货信息!$A:$A&amp;盘货信息!$B:$B&amp;盘货信息!$C:$C,盘货信息!$K:$K)&gt;0),"【详情页领取】","")))</f>
        <v/>
      </c>
      <c r="M357" s="27" t="str" cm="1">
        <f t="array" ref="M357">IF($C357="","",IF(_xlfn.XLOOKUP($A357&amp;$B357&amp;$C357,盘货信息!$A:$A&amp;盘货信息!$B:$B&amp;盘货信息!$C:$C,盘货信息!$F:$F)&lt;1,"",_xlfn.XLOOKUP($A357&amp;$B357&amp;$C357,盘货信息!$A:$A&amp;盘货信息!$B:$B&amp;盘货信息!$C:$C,盘货信息!$F:$F)&amp;"元明卷"))</f>
        <v/>
      </c>
      <c r="N357" s="27" t="str">
        <f t="shared" si="11"/>
        <v/>
      </c>
      <c r="O357" s="27" t="str">
        <f>IF(I357="","","【消费券链接】"&amp;固定信息!$B$6)</f>
        <v/>
      </c>
    </row>
    <row r="358" customHeight="1" spans="1:15">
      <c r="A358" s="23" t="str">
        <f>IF(盘货信息!A358="","",盘货信息!A358)</f>
        <v/>
      </c>
      <c r="B358" s="26" t="str">
        <f>IF(盘货信息!B358="","",盘货信息!B358)</f>
        <v/>
      </c>
      <c r="C358" s="23" t="str">
        <f>IF(盘货信息!C358="","",盘货信息!C358)</f>
        <v/>
      </c>
      <c r="D358" s="27" t="str">
        <f t="shared" si="10"/>
        <v/>
      </c>
      <c r="E358" s="27" t="str" cm="1">
        <f t="array" ref="E358">IF($C358="","",IF(AND(OR(_xlfn.XLOOKUP($A358&amp;$B358&amp;$C358,盘货信息!$A:$A&amp;盘货信息!$B:$B&amp;盘货信息!$C:$C,盘货信息!$L:$L)="否",_xlfn.XLOOKUP($A358&amp;$B358&amp;$C358,盘货信息!$A:$A&amp;盘货信息!$B:$B&amp;盘货信息!$C:$C,盘货信息!$L:$L)=""),_xlfn.XLOOKUP($A358&amp;$B358&amp;$C358,盘货信息!$A:$A&amp;盘货信息!$B:$B&amp;盘货信息!$C:$C,盘货信息!$M:$M)="否"),"【预估到手价"&amp;_xlfn.XLOOKUP($A358&amp;$B358&amp;$C358,盘货信息!$A:$A&amp;盘货信息!$B:$B&amp;盘货信息!$C:$C,盘货信息!$D:$D)&amp;"元】",IF(AND(_xlfn.XLOOKUP($A358&amp;$B358&amp;$C358,盘货信息!$A:$A&amp;盘货信息!$B:$B&amp;盘货信息!$C:$C,盘货信息!$M:$M)="是",OR(_xlfn.XLOOKUP($A358&amp;$B358&amp;$C358,盘货信息!$A:$A&amp;盘货信息!$B:$B&amp;盘货信息!$C:$C,盘货信息!$L:$L)="否",_xlfn.XLOOKUP($A358&amp;$B358&amp;$C358,盘货信息!$A:$A&amp;盘货信息!$B:$B&amp;盘货信息!$C:$C,盘货信息!$L:$L)="")),"【预估到手价"&amp;_xlfn.XLOOKUP($A358&amp;$B358&amp;$C358,盘货信息!$A:$A&amp;盘货信息!$B:$B&amp;盘货信息!$C:$C,盘货信息!$D:$D)&amp;"元】"&amp;CHAR(10)&amp;"【焕新补贴预估价"&amp;ROUND(_xlfn.XLOOKUP($A358&amp;$B358&amp;$C358,盘货信息!$A:$A&amp;盘货信息!$B:$B&amp;盘货信息!$C:$C,盘货信息!$E:$E),0)&amp;"元】","【焕新补贴预估价"&amp;ROUND(_xlfn.XLOOKUP($A358&amp;$B358&amp;$C358,盘货信息!$A:$A&amp;盘货信息!$B:$B&amp;盘货信息!$C:$C,盘货信息!$E:$E),0)&amp;"元】")))</f>
        <v/>
      </c>
      <c r="F358" s="27" t="str" cm="1">
        <f t="array" ref="F358">IF($C358="","",_xlfn.XLOOKUP($A358&amp;$B358&amp;$C358,盘货信息!$A:$A&amp;盘货信息!$B:$B&amp;盘货信息!$C:$C,盘货信息!$D:$D)&amp;"元到手价")</f>
        <v/>
      </c>
      <c r="G358" s="27" t="str" cm="1">
        <f t="array" ref="G358">IF($C358="","",IF(_xlfn.XLOOKUP($A358&amp;$B358&amp;$C358,盘货信息!$A:$A&amp;盘货信息!$B:$B&amp;盘货信息!$C:$C,盘货信息!$G:$G)&lt;1,"",ROUND(_xlfn.XLOOKUP($A358&amp;$B358&amp;$C358,盘货信息!$A:$A&amp;盘货信息!$B:$B&amp;盘货信息!$C:$C,盘货信息!$G:$G),0)&amp;"元88VIP立减"))</f>
        <v/>
      </c>
      <c r="H358" s="27" t="str" cm="1">
        <f t="array" ref="H358">IF($C358="","",IF(_xlfn.XLOOKUP($A358&amp;$B358&amp;$C358,盘货信息!$A:$A&amp;盘货信息!$B:$B&amp;盘货信息!$C:$C,盘货信息!$I:$I)&lt;1,"",_xlfn.XLOOKUP($A358&amp;$B358&amp;$C358,盘货信息!$A:$A&amp;盘货信息!$B:$B&amp;盘货信息!$C:$C,盘货信息!$I:$I)&amp;"元惊喜立减"))</f>
        <v/>
      </c>
      <c r="I358" s="27" t="str" cm="1">
        <f t="array" ref="I358">IF($C358="","",IF(_xlfn.XLOOKUP($A358&amp;$B358&amp;$C358,盘货信息!$A:$A&amp;盘货信息!$B:$B&amp;盘货信息!$C:$C,盘货信息!$H:$H)&lt;1,"",ROUND(_xlfn.XLOOKUP($A358&amp;$B358&amp;$C358,盘货信息!$A:$A&amp;盘货信息!$B:$B&amp;盘货信息!$C:$C,盘货信息!$H:$H),0)&amp;"元消费券"))</f>
        <v/>
      </c>
      <c r="J358" s="27" t="str" cm="1">
        <f t="array" ref="J358">IF($C358="","",IF(_xlfn.XLOOKUP($A358&amp;$B358&amp;$C358,盘货信息!$A:$A&amp;盘货信息!$B:$B&amp;盘货信息!$C:$C,盘货信息!$J:$J)&lt;1,"",ROUND(_xlfn.XLOOKUP($A358&amp;$B358&amp;$C358,盘货信息!$A:$A&amp;盘货信息!$B:$B&amp;盘货信息!$C:$C,盘货信息!$J:$J),0)&amp;"元限时补贴"))</f>
        <v/>
      </c>
      <c r="K358" s="27" t="str" cm="1">
        <f t="array" ref="K358">IF($C358="","",IF(_xlfn.XLOOKUP($A358&amp;$B358&amp;$C358,盘货信息!$A:$A&amp;盘货信息!$B:$B&amp;盘货信息!$C:$C,盘货信息!$K:$K)&lt;1,"",ROUND(_xlfn.XLOOKUP($A358&amp;$B358&amp;$C358,盘货信息!$A:$A&amp;盘货信息!$B:$B&amp;盘货信息!$C:$C,盘货信息!$K:$K),0)&amp;"元预估焕新补贴"))</f>
        <v/>
      </c>
      <c r="L358" s="27" t="str" cm="1">
        <f t="array" ref="L358">IF($C358="","",IF(AND(_xlfn.XLOOKUP($A358&amp;$B358&amp;$C358,盘货信息!$A:$A&amp;盘货信息!$B:$B&amp;盘货信息!$C:$C,盘货信息!$L:$L)="是",_xlfn.XLOOKUP($A358&amp;$B358&amp;$C358,盘货信息!$A:$A&amp;盘货信息!$B:$B&amp;盘货信息!$C:$C,盘货信息!$M:$M)="是",_xlfn.XLOOKUP($A358&amp;$B358&amp;$C358,盘货信息!$A:$A&amp;盘货信息!$B:$B&amp;盘货信息!$C:$C,盘货信息!$K:$K)&gt;0),"【全民可用，不限地址】",IF(AND(OR(_xlfn.XLOOKUP($A358&amp;$B358&amp;$C358,盘货信息!$A:$A&amp;盘货信息!$B:$B&amp;盘货信息!$C:$C,盘货信息!$L:$L)="否",_xlfn.XLOOKUP($A358&amp;$B358&amp;$C358,盘货信息!$A:$A&amp;盘货信息!$B:$B&amp;盘货信息!$C:$C,盘货信息!$L:$L)=""),_xlfn.XLOOKUP($A358&amp;$B358&amp;$C358,盘货信息!$A:$A&amp;盘货信息!$B:$B&amp;盘货信息!$C:$C,盘货信息!$M:$M)="是",_xlfn.XLOOKUP($A358&amp;$B358&amp;$C358,盘货信息!$A:$A&amp;盘货信息!$B:$B&amp;盘货信息!$C:$C,盘货信息!$K:$K)&gt;0),"【详情页领取】","")))</f>
        <v/>
      </c>
      <c r="M358" s="27" t="str" cm="1">
        <f t="array" ref="M358">IF($C358="","",IF(_xlfn.XLOOKUP($A358&amp;$B358&amp;$C358,盘货信息!$A:$A&amp;盘货信息!$B:$B&amp;盘货信息!$C:$C,盘货信息!$F:$F)&lt;1,"",_xlfn.XLOOKUP($A358&amp;$B358&amp;$C358,盘货信息!$A:$A&amp;盘货信息!$B:$B&amp;盘货信息!$C:$C,盘货信息!$F:$F)&amp;"元明卷"))</f>
        <v/>
      </c>
      <c r="N358" s="27" t="str">
        <f t="shared" si="11"/>
        <v/>
      </c>
      <c r="O358" s="27" t="str">
        <f>IF(I358="","","【消费券链接】"&amp;固定信息!$B$6)</f>
        <v/>
      </c>
    </row>
    <row r="359" customHeight="1" spans="1:15">
      <c r="A359" s="23" t="str">
        <f>IF(盘货信息!A359="","",盘货信息!A359)</f>
        <v/>
      </c>
      <c r="B359" s="26" t="str">
        <f>IF(盘货信息!B359="","",盘货信息!B359)</f>
        <v/>
      </c>
      <c r="C359" s="23" t="str">
        <f>IF(盘货信息!C359="","",盘货信息!C359)</f>
        <v/>
      </c>
      <c r="D359" s="27" t="str">
        <f t="shared" si="10"/>
        <v/>
      </c>
      <c r="E359" s="27" t="str" cm="1">
        <f t="array" ref="E359">IF($C359="","",IF(AND(OR(_xlfn.XLOOKUP($A359&amp;$B359&amp;$C359,盘货信息!$A:$A&amp;盘货信息!$B:$B&amp;盘货信息!$C:$C,盘货信息!$L:$L)="否",_xlfn.XLOOKUP($A359&amp;$B359&amp;$C359,盘货信息!$A:$A&amp;盘货信息!$B:$B&amp;盘货信息!$C:$C,盘货信息!$L:$L)=""),_xlfn.XLOOKUP($A359&amp;$B359&amp;$C359,盘货信息!$A:$A&amp;盘货信息!$B:$B&amp;盘货信息!$C:$C,盘货信息!$M:$M)="否"),"【预估到手价"&amp;_xlfn.XLOOKUP($A359&amp;$B359&amp;$C359,盘货信息!$A:$A&amp;盘货信息!$B:$B&amp;盘货信息!$C:$C,盘货信息!$D:$D)&amp;"元】",IF(AND(_xlfn.XLOOKUP($A359&amp;$B359&amp;$C359,盘货信息!$A:$A&amp;盘货信息!$B:$B&amp;盘货信息!$C:$C,盘货信息!$M:$M)="是",OR(_xlfn.XLOOKUP($A359&amp;$B359&amp;$C359,盘货信息!$A:$A&amp;盘货信息!$B:$B&amp;盘货信息!$C:$C,盘货信息!$L:$L)="否",_xlfn.XLOOKUP($A359&amp;$B359&amp;$C359,盘货信息!$A:$A&amp;盘货信息!$B:$B&amp;盘货信息!$C:$C,盘货信息!$L:$L)="")),"【预估到手价"&amp;_xlfn.XLOOKUP($A359&amp;$B359&amp;$C359,盘货信息!$A:$A&amp;盘货信息!$B:$B&amp;盘货信息!$C:$C,盘货信息!$D:$D)&amp;"元】"&amp;CHAR(10)&amp;"【焕新补贴预估价"&amp;ROUND(_xlfn.XLOOKUP($A359&amp;$B359&amp;$C359,盘货信息!$A:$A&amp;盘货信息!$B:$B&amp;盘货信息!$C:$C,盘货信息!$E:$E),0)&amp;"元】","【焕新补贴预估价"&amp;ROUND(_xlfn.XLOOKUP($A359&amp;$B359&amp;$C359,盘货信息!$A:$A&amp;盘货信息!$B:$B&amp;盘货信息!$C:$C,盘货信息!$E:$E),0)&amp;"元】")))</f>
        <v/>
      </c>
      <c r="F359" s="27" t="str" cm="1">
        <f t="array" ref="F359">IF($C359="","",_xlfn.XLOOKUP($A359&amp;$B359&amp;$C359,盘货信息!$A:$A&amp;盘货信息!$B:$B&amp;盘货信息!$C:$C,盘货信息!$D:$D)&amp;"元到手价")</f>
        <v/>
      </c>
      <c r="G359" s="27" t="str" cm="1">
        <f t="array" ref="G359">IF($C359="","",IF(_xlfn.XLOOKUP($A359&amp;$B359&amp;$C359,盘货信息!$A:$A&amp;盘货信息!$B:$B&amp;盘货信息!$C:$C,盘货信息!$G:$G)&lt;1,"",ROUND(_xlfn.XLOOKUP($A359&amp;$B359&amp;$C359,盘货信息!$A:$A&amp;盘货信息!$B:$B&amp;盘货信息!$C:$C,盘货信息!$G:$G),0)&amp;"元88VIP立减"))</f>
        <v/>
      </c>
      <c r="H359" s="27" t="str" cm="1">
        <f t="array" ref="H359">IF($C359="","",IF(_xlfn.XLOOKUP($A359&amp;$B359&amp;$C359,盘货信息!$A:$A&amp;盘货信息!$B:$B&amp;盘货信息!$C:$C,盘货信息!$I:$I)&lt;1,"",_xlfn.XLOOKUP($A359&amp;$B359&amp;$C359,盘货信息!$A:$A&amp;盘货信息!$B:$B&amp;盘货信息!$C:$C,盘货信息!$I:$I)&amp;"元惊喜立减"))</f>
        <v/>
      </c>
      <c r="I359" s="27" t="str" cm="1">
        <f t="array" ref="I359">IF($C359="","",IF(_xlfn.XLOOKUP($A359&amp;$B359&amp;$C359,盘货信息!$A:$A&amp;盘货信息!$B:$B&amp;盘货信息!$C:$C,盘货信息!$H:$H)&lt;1,"",ROUND(_xlfn.XLOOKUP($A359&amp;$B359&amp;$C359,盘货信息!$A:$A&amp;盘货信息!$B:$B&amp;盘货信息!$C:$C,盘货信息!$H:$H),0)&amp;"元消费券"))</f>
        <v/>
      </c>
      <c r="J359" s="27" t="str" cm="1">
        <f t="array" ref="J359">IF($C359="","",IF(_xlfn.XLOOKUP($A359&amp;$B359&amp;$C359,盘货信息!$A:$A&amp;盘货信息!$B:$B&amp;盘货信息!$C:$C,盘货信息!$J:$J)&lt;1,"",ROUND(_xlfn.XLOOKUP($A359&amp;$B359&amp;$C359,盘货信息!$A:$A&amp;盘货信息!$B:$B&amp;盘货信息!$C:$C,盘货信息!$J:$J),0)&amp;"元限时补贴"))</f>
        <v/>
      </c>
      <c r="K359" s="27" t="str" cm="1">
        <f t="array" ref="K359">IF($C359="","",IF(_xlfn.XLOOKUP($A359&amp;$B359&amp;$C359,盘货信息!$A:$A&amp;盘货信息!$B:$B&amp;盘货信息!$C:$C,盘货信息!$K:$K)&lt;1,"",ROUND(_xlfn.XLOOKUP($A359&amp;$B359&amp;$C359,盘货信息!$A:$A&amp;盘货信息!$B:$B&amp;盘货信息!$C:$C,盘货信息!$K:$K),0)&amp;"元预估焕新补贴"))</f>
        <v/>
      </c>
      <c r="L359" s="27" t="str" cm="1">
        <f t="array" ref="L359">IF($C359="","",IF(AND(_xlfn.XLOOKUP($A359&amp;$B359&amp;$C359,盘货信息!$A:$A&amp;盘货信息!$B:$B&amp;盘货信息!$C:$C,盘货信息!$L:$L)="是",_xlfn.XLOOKUP($A359&amp;$B359&amp;$C359,盘货信息!$A:$A&amp;盘货信息!$B:$B&amp;盘货信息!$C:$C,盘货信息!$M:$M)="是",_xlfn.XLOOKUP($A359&amp;$B359&amp;$C359,盘货信息!$A:$A&amp;盘货信息!$B:$B&amp;盘货信息!$C:$C,盘货信息!$K:$K)&gt;0),"【全民可用，不限地址】",IF(AND(OR(_xlfn.XLOOKUP($A359&amp;$B359&amp;$C359,盘货信息!$A:$A&amp;盘货信息!$B:$B&amp;盘货信息!$C:$C,盘货信息!$L:$L)="否",_xlfn.XLOOKUP($A359&amp;$B359&amp;$C359,盘货信息!$A:$A&amp;盘货信息!$B:$B&amp;盘货信息!$C:$C,盘货信息!$L:$L)=""),_xlfn.XLOOKUP($A359&amp;$B359&amp;$C359,盘货信息!$A:$A&amp;盘货信息!$B:$B&amp;盘货信息!$C:$C,盘货信息!$M:$M)="是",_xlfn.XLOOKUP($A359&amp;$B359&amp;$C359,盘货信息!$A:$A&amp;盘货信息!$B:$B&amp;盘货信息!$C:$C,盘货信息!$K:$K)&gt;0),"【详情页领取】","")))</f>
        <v/>
      </c>
      <c r="M359" s="27" t="str" cm="1">
        <f t="array" ref="M359">IF($C359="","",IF(_xlfn.XLOOKUP($A359&amp;$B359&amp;$C359,盘货信息!$A:$A&amp;盘货信息!$B:$B&amp;盘货信息!$C:$C,盘货信息!$F:$F)&lt;1,"",_xlfn.XLOOKUP($A359&amp;$B359&amp;$C359,盘货信息!$A:$A&amp;盘货信息!$B:$B&amp;盘货信息!$C:$C,盘货信息!$F:$F)&amp;"元明卷"))</f>
        <v/>
      </c>
      <c r="N359" s="27" t="str">
        <f t="shared" si="11"/>
        <v/>
      </c>
      <c r="O359" s="27" t="str">
        <f>IF(I359="","","【消费券链接】"&amp;固定信息!$B$6)</f>
        <v/>
      </c>
    </row>
    <row r="360" customHeight="1" spans="1:15">
      <c r="A360" s="23" t="str">
        <f>IF(盘货信息!A360="","",盘货信息!A360)</f>
        <v/>
      </c>
      <c r="B360" s="26" t="str">
        <f>IF(盘货信息!B360="","",盘货信息!B360)</f>
        <v/>
      </c>
      <c r="C360" s="23" t="str">
        <f>IF(盘货信息!C360="","",盘货信息!C360)</f>
        <v/>
      </c>
      <c r="D360" s="27" t="str">
        <f t="shared" si="10"/>
        <v/>
      </c>
      <c r="E360" s="27" t="str" cm="1">
        <f t="array" ref="E360">IF($C360="","",IF(AND(OR(_xlfn.XLOOKUP($A360&amp;$B360&amp;$C360,盘货信息!$A:$A&amp;盘货信息!$B:$B&amp;盘货信息!$C:$C,盘货信息!$L:$L)="否",_xlfn.XLOOKUP($A360&amp;$B360&amp;$C360,盘货信息!$A:$A&amp;盘货信息!$B:$B&amp;盘货信息!$C:$C,盘货信息!$L:$L)=""),_xlfn.XLOOKUP($A360&amp;$B360&amp;$C360,盘货信息!$A:$A&amp;盘货信息!$B:$B&amp;盘货信息!$C:$C,盘货信息!$M:$M)="否"),"【预估到手价"&amp;_xlfn.XLOOKUP($A360&amp;$B360&amp;$C360,盘货信息!$A:$A&amp;盘货信息!$B:$B&amp;盘货信息!$C:$C,盘货信息!$D:$D)&amp;"元】",IF(AND(_xlfn.XLOOKUP($A360&amp;$B360&amp;$C360,盘货信息!$A:$A&amp;盘货信息!$B:$B&amp;盘货信息!$C:$C,盘货信息!$M:$M)="是",OR(_xlfn.XLOOKUP($A360&amp;$B360&amp;$C360,盘货信息!$A:$A&amp;盘货信息!$B:$B&amp;盘货信息!$C:$C,盘货信息!$L:$L)="否",_xlfn.XLOOKUP($A360&amp;$B360&amp;$C360,盘货信息!$A:$A&amp;盘货信息!$B:$B&amp;盘货信息!$C:$C,盘货信息!$L:$L)="")),"【预估到手价"&amp;_xlfn.XLOOKUP($A360&amp;$B360&amp;$C360,盘货信息!$A:$A&amp;盘货信息!$B:$B&amp;盘货信息!$C:$C,盘货信息!$D:$D)&amp;"元】"&amp;CHAR(10)&amp;"【焕新补贴预估价"&amp;ROUND(_xlfn.XLOOKUP($A360&amp;$B360&amp;$C360,盘货信息!$A:$A&amp;盘货信息!$B:$B&amp;盘货信息!$C:$C,盘货信息!$E:$E),0)&amp;"元】","【焕新补贴预估价"&amp;ROUND(_xlfn.XLOOKUP($A360&amp;$B360&amp;$C360,盘货信息!$A:$A&amp;盘货信息!$B:$B&amp;盘货信息!$C:$C,盘货信息!$E:$E),0)&amp;"元】")))</f>
        <v/>
      </c>
      <c r="F360" s="27" t="str" cm="1">
        <f t="array" ref="F360">IF($C360="","",_xlfn.XLOOKUP($A360&amp;$B360&amp;$C360,盘货信息!$A:$A&amp;盘货信息!$B:$B&amp;盘货信息!$C:$C,盘货信息!$D:$D)&amp;"元到手价")</f>
        <v/>
      </c>
      <c r="G360" s="27" t="str" cm="1">
        <f t="array" ref="G360">IF($C360="","",IF(_xlfn.XLOOKUP($A360&amp;$B360&amp;$C360,盘货信息!$A:$A&amp;盘货信息!$B:$B&amp;盘货信息!$C:$C,盘货信息!$G:$G)&lt;1,"",ROUND(_xlfn.XLOOKUP($A360&amp;$B360&amp;$C360,盘货信息!$A:$A&amp;盘货信息!$B:$B&amp;盘货信息!$C:$C,盘货信息!$G:$G),0)&amp;"元88VIP立减"))</f>
        <v/>
      </c>
      <c r="H360" s="27" t="str" cm="1">
        <f t="array" ref="H360">IF($C360="","",IF(_xlfn.XLOOKUP($A360&amp;$B360&amp;$C360,盘货信息!$A:$A&amp;盘货信息!$B:$B&amp;盘货信息!$C:$C,盘货信息!$I:$I)&lt;1,"",_xlfn.XLOOKUP($A360&amp;$B360&amp;$C360,盘货信息!$A:$A&amp;盘货信息!$B:$B&amp;盘货信息!$C:$C,盘货信息!$I:$I)&amp;"元惊喜立减"))</f>
        <v/>
      </c>
      <c r="I360" s="27" t="str" cm="1">
        <f t="array" ref="I360">IF($C360="","",IF(_xlfn.XLOOKUP($A360&amp;$B360&amp;$C360,盘货信息!$A:$A&amp;盘货信息!$B:$B&amp;盘货信息!$C:$C,盘货信息!$H:$H)&lt;1,"",ROUND(_xlfn.XLOOKUP($A360&amp;$B360&amp;$C360,盘货信息!$A:$A&amp;盘货信息!$B:$B&amp;盘货信息!$C:$C,盘货信息!$H:$H),0)&amp;"元消费券"))</f>
        <v/>
      </c>
      <c r="J360" s="27" t="str" cm="1">
        <f t="array" ref="J360">IF($C360="","",IF(_xlfn.XLOOKUP($A360&amp;$B360&amp;$C360,盘货信息!$A:$A&amp;盘货信息!$B:$B&amp;盘货信息!$C:$C,盘货信息!$J:$J)&lt;1,"",ROUND(_xlfn.XLOOKUP($A360&amp;$B360&amp;$C360,盘货信息!$A:$A&amp;盘货信息!$B:$B&amp;盘货信息!$C:$C,盘货信息!$J:$J),0)&amp;"元限时补贴"))</f>
        <v/>
      </c>
      <c r="K360" s="27" t="str" cm="1">
        <f t="array" ref="K360">IF($C360="","",IF(_xlfn.XLOOKUP($A360&amp;$B360&amp;$C360,盘货信息!$A:$A&amp;盘货信息!$B:$B&amp;盘货信息!$C:$C,盘货信息!$K:$K)&lt;1,"",ROUND(_xlfn.XLOOKUP($A360&amp;$B360&amp;$C360,盘货信息!$A:$A&amp;盘货信息!$B:$B&amp;盘货信息!$C:$C,盘货信息!$K:$K),0)&amp;"元预估焕新补贴"))</f>
        <v/>
      </c>
      <c r="L360" s="27" t="str" cm="1">
        <f t="array" ref="L360">IF($C360="","",IF(AND(_xlfn.XLOOKUP($A360&amp;$B360&amp;$C360,盘货信息!$A:$A&amp;盘货信息!$B:$B&amp;盘货信息!$C:$C,盘货信息!$L:$L)="是",_xlfn.XLOOKUP($A360&amp;$B360&amp;$C360,盘货信息!$A:$A&amp;盘货信息!$B:$B&amp;盘货信息!$C:$C,盘货信息!$M:$M)="是",_xlfn.XLOOKUP($A360&amp;$B360&amp;$C360,盘货信息!$A:$A&amp;盘货信息!$B:$B&amp;盘货信息!$C:$C,盘货信息!$K:$K)&gt;0),"【全民可用，不限地址】",IF(AND(OR(_xlfn.XLOOKUP($A360&amp;$B360&amp;$C360,盘货信息!$A:$A&amp;盘货信息!$B:$B&amp;盘货信息!$C:$C,盘货信息!$L:$L)="否",_xlfn.XLOOKUP($A360&amp;$B360&amp;$C360,盘货信息!$A:$A&amp;盘货信息!$B:$B&amp;盘货信息!$C:$C,盘货信息!$L:$L)=""),_xlfn.XLOOKUP($A360&amp;$B360&amp;$C360,盘货信息!$A:$A&amp;盘货信息!$B:$B&amp;盘货信息!$C:$C,盘货信息!$M:$M)="是",_xlfn.XLOOKUP($A360&amp;$B360&amp;$C360,盘货信息!$A:$A&amp;盘货信息!$B:$B&amp;盘货信息!$C:$C,盘货信息!$K:$K)&gt;0),"【详情页领取】","")))</f>
        <v/>
      </c>
      <c r="M360" s="27" t="str" cm="1">
        <f t="array" ref="M360">IF($C360="","",IF(_xlfn.XLOOKUP($A360&amp;$B360&amp;$C360,盘货信息!$A:$A&amp;盘货信息!$B:$B&amp;盘货信息!$C:$C,盘货信息!$F:$F)&lt;1,"",_xlfn.XLOOKUP($A360&amp;$B360&amp;$C360,盘货信息!$A:$A&amp;盘货信息!$B:$B&amp;盘货信息!$C:$C,盘货信息!$F:$F)&amp;"元明卷"))</f>
        <v/>
      </c>
      <c r="N360" s="27" t="str">
        <f t="shared" si="11"/>
        <v/>
      </c>
      <c r="O360" s="27" t="str">
        <f>IF(I360="","","【消费券链接】"&amp;固定信息!$B$6)</f>
        <v/>
      </c>
    </row>
    <row r="361" customHeight="1" spans="1:15">
      <c r="A361" s="23" t="str">
        <f>IF(盘货信息!A361="","",盘货信息!A361)</f>
        <v/>
      </c>
      <c r="B361" s="26" t="str">
        <f>IF(盘货信息!B361="","",盘货信息!B361)</f>
        <v/>
      </c>
      <c r="C361" s="23" t="str">
        <f>IF(盘货信息!C361="","",盘货信息!C361)</f>
        <v/>
      </c>
      <c r="D361" s="27" t="str">
        <f t="shared" si="10"/>
        <v/>
      </c>
      <c r="E361" s="27" t="str" cm="1">
        <f t="array" ref="E361">IF($C361="","",IF(AND(OR(_xlfn.XLOOKUP($A361&amp;$B361&amp;$C361,盘货信息!$A:$A&amp;盘货信息!$B:$B&amp;盘货信息!$C:$C,盘货信息!$L:$L)="否",_xlfn.XLOOKUP($A361&amp;$B361&amp;$C361,盘货信息!$A:$A&amp;盘货信息!$B:$B&amp;盘货信息!$C:$C,盘货信息!$L:$L)=""),_xlfn.XLOOKUP($A361&amp;$B361&amp;$C361,盘货信息!$A:$A&amp;盘货信息!$B:$B&amp;盘货信息!$C:$C,盘货信息!$M:$M)="否"),"【预估到手价"&amp;_xlfn.XLOOKUP($A361&amp;$B361&amp;$C361,盘货信息!$A:$A&amp;盘货信息!$B:$B&amp;盘货信息!$C:$C,盘货信息!$D:$D)&amp;"元】",IF(AND(_xlfn.XLOOKUP($A361&amp;$B361&amp;$C361,盘货信息!$A:$A&amp;盘货信息!$B:$B&amp;盘货信息!$C:$C,盘货信息!$M:$M)="是",OR(_xlfn.XLOOKUP($A361&amp;$B361&amp;$C361,盘货信息!$A:$A&amp;盘货信息!$B:$B&amp;盘货信息!$C:$C,盘货信息!$L:$L)="否",_xlfn.XLOOKUP($A361&amp;$B361&amp;$C361,盘货信息!$A:$A&amp;盘货信息!$B:$B&amp;盘货信息!$C:$C,盘货信息!$L:$L)="")),"【预估到手价"&amp;_xlfn.XLOOKUP($A361&amp;$B361&amp;$C361,盘货信息!$A:$A&amp;盘货信息!$B:$B&amp;盘货信息!$C:$C,盘货信息!$D:$D)&amp;"元】"&amp;CHAR(10)&amp;"【焕新补贴预估价"&amp;ROUND(_xlfn.XLOOKUP($A361&amp;$B361&amp;$C361,盘货信息!$A:$A&amp;盘货信息!$B:$B&amp;盘货信息!$C:$C,盘货信息!$E:$E),0)&amp;"元】","【焕新补贴预估价"&amp;ROUND(_xlfn.XLOOKUP($A361&amp;$B361&amp;$C361,盘货信息!$A:$A&amp;盘货信息!$B:$B&amp;盘货信息!$C:$C,盘货信息!$E:$E),0)&amp;"元】")))</f>
        <v/>
      </c>
      <c r="F361" s="27" t="str" cm="1">
        <f t="array" ref="F361">IF($C361="","",_xlfn.XLOOKUP($A361&amp;$B361&amp;$C361,盘货信息!$A:$A&amp;盘货信息!$B:$B&amp;盘货信息!$C:$C,盘货信息!$D:$D)&amp;"元到手价")</f>
        <v/>
      </c>
      <c r="G361" s="27" t="str" cm="1">
        <f t="array" ref="G361">IF($C361="","",IF(_xlfn.XLOOKUP($A361&amp;$B361&amp;$C361,盘货信息!$A:$A&amp;盘货信息!$B:$B&amp;盘货信息!$C:$C,盘货信息!$G:$G)&lt;1,"",ROUND(_xlfn.XLOOKUP($A361&amp;$B361&amp;$C361,盘货信息!$A:$A&amp;盘货信息!$B:$B&amp;盘货信息!$C:$C,盘货信息!$G:$G),0)&amp;"元88VIP立减"))</f>
        <v/>
      </c>
      <c r="H361" s="27" t="str" cm="1">
        <f t="array" ref="H361">IF($C361="","",IF(_xlfn.XLOOKUP($A361&amp;$B361&amp;$C361,盘货信息!$A:$A&amp;盘货信息!$B:$B&amp;盘货信息!$C:$C,盘货信息!$I:$I)&lt;1,"",_xlfn.XLOOKUP($A361&amp;$B361&amp;$C361,盘货信息!$A:$A&amp;盘货信息!$B:$B&amp;盘货信息!$C:$C,盘货信息!$I:$I)&amp;"元惊喜立减"))</f>
        <v/>
      </c>
      <c r="I361" s="27" t="str" cm="1">
        <f t="array" ref="I361">IF($C361="","",IF(_xlfn.XLOOKUP($A361&amp;$B361&amp;$C361,盘货信息!$A:$A&amp;盘货信息!$B:$B&amp;盘货信息!$C:$C,盘货信息!$H:$H)&lt;1,"",ROUND(_xlfn.XLOOKUP($A361&amp;$B361&amp;$C361,盘货信息!$A:$A&amp;盘货信息!$B:$B&amp;盘货信息!$C:$C,盘货信息!$H:$H),0)&amp;"元消费券"))</f>
        <v/>
      </c>
      <c r="J361" s="27" t="str" cm="1">
        <f t="array" ref="J361">IF($C361="","",IF(_xlfn.XLOOKUP($A361&amp;$B361&amp;$C361,盘货信息!$A:$A&amp;盘货信息!$B:$B&amp;盘货信息!$C:$C,盘货信息!$J:$J)&lt;1,"",ROUND(_xlfn.XLOOKUP($A361&amp;$B361&amp;$C361,盘货信息!$A:$A&amp;盘货信息!$B:$B&amp;盘货信息!$C:$C,盘货信息!$J:$J),0)&amp;"元限时补贴"))</f>
        <v/>
      </c>
      <c r="K361" s="27" t="str" cm="1">
        <f t="array" ref="K361">IF($C361="","",IF(_xlfn.XLOOKUP($A361&amp;$B361&amp;$C361,盘货信息!$A:$A&amp;盘货信息!$B:$B&amp;盘货信息!$C:$C,盘货信息!$K:$K)&lt;1,"",ROUND(_xlfn.XLOOKUP($A361&amp;$B361&amp;$C361,盘货信息!$A:$A&amp;盘货信息!$B:$B&amp;盘货信息!$C:$C,盘货信息!$K:$K),0)&amp;"元预估焕新补贴"))</f>
        <v/>
      </c>
      <c r="L361" s="27" t="str" cm="1">
        <f t="array" ref="L361">IF($C361="","",IF(AND(_xlfn.XLOOKUP($A361&amp;$B361&amp;$C361,盘货信息!$A:$A&amp;盘货信息!$B:$B&amp;盘货信息!$C:$C,盘货信息!$L:$L)="是",_xlfn.XLOOKUP($A361&amp;$B361&amp;$C361,盘货信息!$A:$A&amp;盘货信息!$B:$B&amp;盘货信息!$C:$C,盘货信息!$M:$M)="是",_xlfn.XLOOKUP($A361&amp;$B361&amp;$C361,盘货信息!$A:$A&amp;盘货信息!$B:$B&amp;盘货信息!$C:$C,盘货信息!$K:$K)&gt;0),"【全民可用，不限地址】",IF(AND(OR(_xlfn.XLOOKUP($A361&amp;$B361&amp;$C361,盘货信息!$A:$A&amp;盘货信息!$B:$B&amp;盘货信息!$C:$C,盘货信息!$L:$L)="否",_xlfn.XLOOKUP($A361&amp;$B361&amp;$C361,盘货信息!$A:$A&amp;盘货信息!$B:$B&amp;盘货信息!$C:$C,盘货信息!$L:$L)=""),_xlfn.XLOOKUP($A361&amp;$B361&amp;$C361,盘货信息!$A:$A&amp;盘货信息!$B:$B&amp;盘货信息!$C:$C,盘货信息!$M:$M)="是",_xlfn.XLOOKUP($A361&amp;$B361&amp;$C361,盘货信息!$A:$A&amp;盘货信息!$B:$B&amp;盘货信息!$C:$C,盘货信息!$K:$K)&gt;0),"【详情页领取】","")))</f>
        <v/>
      </c>
      <c r="M361" s="27" t="str" cm="1">
        <f t="array" ref="M361">IF($C361="","",IF(_xlfn.XLOOKUP($A361&amp;$B361&amp;$C361,盘货信息!$A:$A&amp;盘货信息!$B:$B&amp;盘货信息!$C:$C,盘货信息!$F:$F)&lt;1,"",_xlfn.XLOOKUP($A361&amp;$B361&amp;$C361,盘货信息!$A:$A&amp;盘货信息!$B:$B&amp;盘货信息!$C:$C,盘货信息!$F:$F)&amp;"元明卷"))</f>
        <v/>
      </c>
      <c r="N361" s="27" t="str">
        <f t="shared" si="11"/>
        <v/>
      </c>
      <c r="O361" s="27" t="str">
        <f>IF(I361="","","【消费券链接】"&amp;固定信息!$B$6)</f>
        <v/>
      </c>
    </row>
    <row r="362" customHeight="1" spans="1:15">
      <c r="A362" s="23" t="str">
        <f>IF(盘货信息!A362="","",盘货信息!A362)</f>
        <v/>
      </c>
      <c r="B362" s="26" t="str">
        <f>IF(盘货信息!B362="","",盘货信息!B362)</f>
        <v/>
      </c>
      <c r="C362" s="23" t="str">
        <f>IF(盘货信息!C362="","",盘货信息!C362)</f>
        <v/>
      </c>
      <c r="D362" s="27" t="str">
        <f t="shared" si="10"/>
        <v/>
      </c>
      <c r="E362" s="27" t="str" cm="1">
        <f t="array" ref="E362">IF($C362="","",IF(AND(OR(_xlfn.XLOOKUP($A362&amp;$B362&amp;$C362,盘货信息!$A:$A&amp;盘货信息!$B:$B&amp;盘货信息!$C:$C,盘货信息!$L:$L)="否",_xlfn.XLOOKUP($A362&amp;$B362&amp;$C362,盘货信息!$A:$A&amp;盘货信息!$B:$B&amp;盘货信息!$C:$C,盘货信息!$L:$L)=""),_xlfn.XLOOKUP($A362&amp;$B362&amp;$C362,盘货信息!$A:$A&amp;盘货信息!$B:$B&amp;盘货信息!$C:$C,盘货信息!$M:$M)="否"),"【预估到手价"&amp;_xlfn.XLOOKUP($A362&amp;$B362&amp;$C362,盘货信息!$A:$A&amp;盘货信息!$B:$B&amp;盘货信息!$C:$C,盘货信息!$D:$D)&amp;"元】",IF(AND(_xlfn.XLOOKUP($A362&amp;$B362&amp;$C362,盘货信息!$A:$A&amp;盘货信息!$B:$B&amp;盘货信息!$C:$C,盘货信息!$M:$M)="是",OR(_xlfn.XLOOKUP($A362&amp;$B362&amp;$C362,盘货信息!$A:$A&amp;盘货信息!$B:$B&amp;盘货信息!$C:$C,盘货信息!$L:$L)="否",_xlfn.XLOOKUP($A362&amp;$B362&amp;$C362,盘货信息!$A:$A&amp;盘货信息!$B:$B&amp;盘货信息!$C:$C,盘货信息!$L:$L)="")),"【预估到手价"&amp;_xlfn.XLOOKUP($A362&amp;$B362&amp;$C362,盘货信息!$A:$A&amp;盘货信息!$B:$B&amp;盘货信息!$C:$C,盘货信息!$D:$D)&amp;"元】"&amp;CHAR(10)&amp;"【焕新补贴预估价"&amp;ROUND(_xlfn.XLOOKUP($A362&amp;$B362&amp;$C362,盘货信息!$A:$A&amp;盘货信息!$B:$B&amp;盘货信息!$C:$C,盘货信息!$E:$E),0)&amp;"元】","【焕新补贴预估价"&amp;ROUND(_xlfn.XLOOKUP($A362&amp;$B362&amp;$C362,盘货信息!$A:$A&amp;盘货信息!$B:$B&amp;盘货信息!$C:$C,盘货信息!$E:$E),0)&amp;"元】")))</f>
        <v/>
      </c>
      <c r="F362" s="27" t="str" cm="1">
        <f t="array" ref="F362">IF($C362="","",_xlfn.XLOOKUP($A362&amp;$B362&amp;$C362,盘货信息!$A:$A&amp;盘货信息!$B:$B&amp;盘货信息!$C:$C,盘货信息!$D:$D)&amp;"元到手价")</f>
        <v/>
      </c>
      <c r="G362" s="27" t="str" cm="1">
        <f t="array" ref="G362">IF($C362="","",IF(_xlfn.XLOOKUP($A362&amp;$B362&amp;$C362,盘货信息!$A:$A&amp;盘货信息!$B:$B&amp;盘货信息!$C:$C,盘货信息!$G:$G)&lt;1,"",ROUND(_xlfn.XLOOKUP($A362&amp;$B362&amp;$C362,盘货信息!$A:$A&amp;盘货信息!$B:$B&amp;盘货信息!$C:$C,盘货信息!$G:$G),0)&amp;"元88VIP立减"))</f>
        <v/>
      </c>
      <c r="H362" s="27" t="str" cm="1">
        <f t="array" ref="H362">IF($C362="","",IF(_xlfn.XLOOKUP($A362&amp;$B362&amp;$C362,盘货信息!$A:$A&amp;盘货信息!$B:$B&amp;盘货信息!$C:$C,盘货信息!$I:$I)&lt;1,"",_xlfn.XLOOKUP($A362&amp;$B362&amp;$C362,盘货信息!$A:$A&amp;盘货信息!$B:$B&amp;盘货信息!$C:$C,盘货信息!$I:$I)&amp;"元惊喜立减"))</f>
        <v/>
      </c>
      <c r="I362" s="27" t="str" cm="1">
        <f t="array" ref="I362">IF($C362="","",IF(_xlfn.XLOOKUP($A362&amp;$B362&amp;$C362,盘货信息!$A:$A&amp;盘货信息!$B:$B&amp;盘货信息!$C:$C,盘货信息!$H:$H)&lt;1,"",ROUND(_xlfn.XLOOKUP($A362&amp;$B362&amp;$C362,盘货信息!$A:$A&amp;盘货信息!$B:$B&amp;盘货信息!$C:$C,盘货信息!$H:$H),0)&amp;"元消费券"))</f>
        <v/>
      </c>
      <c r="J362" s="27" t="str" cm="1">
        <f t="array" ref="J362">IF($C362="","",IF(_xlfn.XLOOKUP($A362&amp;$B362&amp;$C362,盘货信息!$A:$A&amp;盘货信息!$B:$B&amp;盘货信息!$C:$C,盘货信息!$J:$J)&lt;1,"",ROUND(_xlfn.XLOOKUP($A362&amp;$B362&amp;$C362,盘货信息!$A:$A&amp;盘货信息!$B:$B&amp;盘货信息!$C:$C,盘货信息!$J:$J),0)&amp;"元限时补贴"))</f>
        <v/>
      </c>
      <c r="K362" s="27" t="str" cm="1">
        <f t="array" ref="K362">IF($C362="","",IF(_xlfn.XLOOKUP($A362&amp;$B362&amp;$C362,盘货信息!$A:$A&amp;盘货信息!$B:$B&amp;盘货信息!$C:$C,盘货信息!$K:$K)&lt;1,"",ROUND(_xlfn.XLOOKUP($A362&amp;$B362&amp;$C362,盘货信息!$A:$A&amp;盘货信息!$B:$B&amp;盘货信息!$C:$C,盘货信息!$K:$K),0)&amp;"元预估焕新补贴"))</f>
        <v/>
      </c>
      <c r="L362" s="27" t="str" cm="1">
        <f t="array" ref="L362">IF($C362="","",IF(AND(_xlfn.XLOOKUP($A362&amp;$B362&amp;$C362,盘货信息!$A:$A&amp;盘货信息!$B:$B&amp;盘货信息!$C:$C,盘货信息!$L:$L)="是",_xlfn.XLOOKUP($A362&amp;$B362&amp;$C362,盘货信息!$A:$A&amp;盘货信息!$B:$B&amp;盘货信息!$C:$C,盘货信息!$M:$M)="是",_xlfn.XLOOKUP($A362&amp;$B362&amp;$C362,盘货信息!$A:$A&amp;盘货信息!$B:$B&amp;盘货信息!$C:$C,盘货信息!$K:$K)&gt;0),"【全民可用，不限地址】",IF(AND(OR(_xlfn.XLOOKUP($A362&amp;$B362&amp;$C362,盘货信息!$A:$A&amp;盘货信息!$B:$B&amp;盘货信息!$C:$C,盘货信息!$L:$L)="否",_xlfn.XLOOKUP($A362&amp;$B362&amp;$C362,盘货信息!$A:$A&amp;盘货信息!$B:$B&amp;盘货信息!$C:$C,盘货信息!$L:$L)=""),_xlfn.XLOOKUP($A362&amp;$B362&amp;$C362,盘货信息!$A:$A&amp;盘货信息!$B:$B&amp;盘货信息!$C:$C,盘货信息!$M:$M)="是",_xlfn.XLOOKUP($A362&amp;$B362&amp;$C362,盘货信息!$A:$A&amp;盘货信息!$B:$B&amp;盘货信息!$C:$C,盘货信息!$K:$K)&gt;0),"【详情页领取】","")))</f>
        <v/>
      </c>
      <c r="M362" s="27" t="str" cm="1">
        <f t="array" ref="M362">IF($C362="","",IF(_xlfn.XLOOKUP($A362&amp;$B362&amp;$C362,盘货信息!$A:$A&amp;盘货信息!$B:$B&amp;盘货信息!$C:$C,盘货信息!$F:$F)&lt;1,"",_xlfn.XLOOKUP($A362&amp;$B362&amp;$C362,盘货信息!$A:$A&amp;盘货信息!$B:$B&amp;盘货信息!$C:$C,盘货信息!$F:$F)&amp;"元明卷"))</f>
        <v/>
      </c>
      <c r="N362" s="27" t="str">
        <f t="shared" si="11"/>
        <v/>
      </c>
      <c r="O362" s="27" t="str">
        <f>IF(I362="","","【消费券链接】"&amp;固定信息!$B$6)</f>
        <v/>
      </c>
    </row>
    <row r="363" customHeight="1" spans="1:15">
      <c r="A363" s="23" t="str">
        <f>IF(盘货信息!A363="","",盘货信息!A363)</f>
        <v/>
      </c>
      <c r="B363" s="26" t="str">
        <f>IF(盘货信息!B363="","",盘货信息!B363)</f>
        <v/>
      </c>
      <c r="C363" s="23" t="str">
        <f>IF(盘货信息!C363="","",盘货信息!C363)</f>
        <v/>
      </c>
      <c r="D363" s="27" t="str">
        <f t="shared" si="10"/>
        <v/>
      </c>
      <c r="E363" s="27" t="str" cm="1">
        <f t="array" ref="E363">IF($C363="","",IF(AND(OR(_xlfn.XLOOKUP($A363&amp;$B363&amp;$C363,盘货信息!$A:$A&amp;盘货信息!$B:$B&amp;盘货信息!$C:$C,盘货信息!$L:$L)="否",_xlfn.XLOOKUP($A363&amp;$B363&amp;$C363,盘货信息!$A:$A&amp;盘货信息!$B:$B&amp;盘货信息!$C:$C,盘货信息!$L:$L)=""),_xlfn.XLOOKUP($A363&amp;$B363&amp;$C363,盘货信息!$A:$A&amp;盘货信息!$B:$B&amp;盘货信息!$C:$C,盘货信息!$M:$M)="否"),"【预估到手价"&amp;_xlfn.XLOOKUP($A363&amp;$B363&amp;$C363,盘货信息!$A:$A&amp;盘货信息!$B:$B&amp;盘货信息!$C:$C,盘货信息!$D:$D)&amp;"元】",IF(AND(_xlfn.XLOOKUP($A363&amp;$B363&amp;$C363,盘货信息!$A:$A&amp;盘货信息!$B:$B&amp;盘货信息!$C:$C,盘货信息!$M:$M)="是",OR(_xlfn.XLOOKUP($A363&amp;$B363&amp;$C363,盘货信息!$A:$A&amp;盘货信息!$B:$B&amp;盘货信息!$C:$C,盘货信息!$L:$L)="否",_xlfn.XLOOKUP($A363&amp;$B363&amp;$C363,盘货信息!$A:$A&amp;盘货信息!$B:$B&amp;盘货信息!$C:$C,盘货信息!$L:$L)="")),"【预估到手价"&amp;_xlfn.XLOOKUP($A363&amp;$B363&amp;$C363,盘货信息!$A:$A&amp;盘货信息!$B:$B&amp;盘货信息!$C:$C,盘货信息!$D:$D)&amp;"元】"&amp;CHAR(10)&amp;"【焕新补贴预估价"&amp;ROUND(_xlfn.XLOOKUP($A363&amp;$B363&amp;$C363,盘货信息!$A:$A&amp;盘货信息!$B:$B&amp;盘货信息!$C:$C,盘货信息!$E:$E),0)&amp;"元】","【焕新补贴预估价"&amp;ROUND(_xlfn.XLOOKUP($A363&amp;$B363&amp;$C363,盘货信息!$A:$A&amp;盘货信息!$B:$B&amp;盘货信息!$C:$C,盘货信息!$E:$E),0)&amp;"元】")))</f>
        <v/>
      </c>
      <c r="F363" s="27" t="str" cm="1">
        <f t="array" ref="F363">IF($C363="","",_xlfn.XLOOKUP($A363&amp;$B363&amp;$C363,盘货信息!$A:$A&amp;盘货信息!$B:$B&amp;盘货信息!$C:$C,盘货信息!$D:$D)&amp;"元到手价")</f>
        <v/>
      </c>
      <c r="G363" s="27" t="str" cm="1">
        <f t="array" ref="G363">IF($C363="","",IF(_xlfn.XLOOKUP($A363&amp;$B363&amp;$C363,盘货信息!$A:$A&amp;盘货信息!$B:$B&amp;盘货信息!$C:$C,盘货信息!$G:$G)&lt;1,"",ROUND(_xlfn.XLOOKUP($A363&amp;$B363&amp;$C363,盘货信息!$A:$A&amp;盘货信息!$B:$B&amp;盘货信息!$C:$C,盘货信息!$G:$G),0)&amp;"元88VIP立减"))</f>
        <v/>
      </c>
      <c r="H363" s="27" t="str" cm="1">
        <f t="array" ref="H363">IF($C363="","",IF(_xlfn.XLOOKUP($A363&amp;$B363&amp;$C363,盘货信息!$A:$A&amp;盘货信息!$B:$B&amp;盘货信息!$C:$C,盘货信息!$I:$I)&lt;1,"",_xlfn.XLOOKUP($A363&amp;$B363&amp;$C363,盘货信息!$A:$A&amp;盘货信息!$B:$B&amp;盘货信息!$C:$C,盘货信息!$I:$I)&amp;"元惊喜立减"))</f>
        <v/>
      </c>
      <c r="I363" s="27" t="str" cm="1">
        <f t="array" ref="I363">IF($C363="","",IF(_xlfn.XLOOKUP($A363&amp;$B363&amp;$C363,盘货信息!$A:$A&amp;盘货信息!$B:$B&amp;盘货信息!$C:$C,盘货信息!$H:$H)&lt;1,"",ROUND(_xlfn.XLOOKUP($A363&amp;$B363&amp;$C363,盘货信息!$A:$A&amp;盘货信息!$B:$B&amp;盘货信息!$C:$C,盘货信息!$H:$H),0)&amp;"元消费券"))</f>
        <v/>
      </c>
      <c r="J363" s="27" t="str" cm="1">
        <f t="array" ref="J363">IF($C363="","",IF(_xlfn.XLOOKUP($A363&amp;$B363&amp;$C363,盘货信息!$A:$A&amp;盘货信息!$B:$B&amp;盘货信息!$C:$C,盘货信息!$J:$J)&lt;1,"",ROUND(_xlfn.XLOOKUP($A363&amp;$B363&amp;$C363,盘货信息!$A:$A&amp;盘货信息!$B:$B&amp;盘货信息!$C:$C,盘货信息!$J:$J),0)&amp;"元限时补贴"))</f>
        <v/>
      </c>
      <c r="K363" s="27" t="str" cm="1">
        <f t="array" ref="K363">IF($C363="","",IF(_xlfn.XLOOKUP($A363&amp;$B363&amp;$C363,盘货信息!$A:$A&amp;盘货信息!$B:$B&amp;盘货信息!$C:$C,盘货信息!$K:$K)&lt;1,"",ROUND(_xlfn.XLOOKUP($A363&amp;$B363&amp;$C363,盘货信息!$A:$A&amp;盘货信息!$B:$B&amp;盘货信息!$C:$C,盘货信息!$K:$K),0)&amp;"元预估焕新补贴"))</f>
        <v/>
      </c>
      <c r="L363" s="27" t="str" cm="1">
        <f t="array" ref="L363">IF($C363="","",IF(AND(_xlfn.XLOOKUP($A363&amp;$B363&amp;$C363,盘货信息!$A:$A&amp;盘货信息!$B:$B&amp;盘货信息!$C:$C,盘货信息!$L:$L)="是",_xlfn.XLOOKUP($A363&amp;$B363&amp;$C363,盘货信息!$A:$A&amp;盘货信息!$B:$B&amp;盘货信息!$C:$C,盘货信息!$M:$M)="是",_xlfn.XLOOKUP($A363&amp;$B363&amp;$C363,盘货信息!$A:$A&amp;盘货信息!$B:$B&amp;盘货信息!$C:$C,盘货信息!$K:$K)&gt;0),"【全民可用，不限地址】",IF(AND(OR(_xlfn.XLOOKUP($A363&amp;$B363&amp;$C363,盘货信息!$A:$A&amp;盘货信息!$B:$B&amp;盘货信息!$C:$C,盘货信息!$L:$L)="否",_xlfn.XLOOKUP($A363&amp;$B363&amp;$C363,盘货信息!$A:$A&amp;盘货信息!$B:$B&amp;盘货信息!$C:$C,盘货信息!$L:$L)=""),_xlfn.XLOOKUP($A363&amp;$B363&amp;$C363,盘货信息!$A:$A&amp;盘货信息!$B:$B&amp;盘货信息!$C:$C,盘货信息!$M:$M)="是",_xlfn.XLOOKUP($A363&amp;$B363&amp;$C363,盘货信息!$A:$A&amp;盘货信息!$B:$B&amp;盘货信息!$C:$C,盘货信息!$K:$K)&gt;0),"【详情页领取】","")))</f>
        <v/>
      </c>
      <c r="M363" s="27" t="str" cm="1">
        <f t="array" ref="M363">IF($C363="","",IF(_xlfn.XLOOKUP($A363&amp;$B363&amp;$C363,盘货信息!$A:$A&amp;盘货信息!$B:$B&amp;盘货信息!$C:$C,盘货信息!$F:$F)&lt;1,"",_xlfn.XLOOKUP($A363&amp;$B363&amp;$C363,盘货信息!$A:$A&amp;盘货信息!$B:$B&amp;盘货信息!$C:$C,盘货信息!$F:$F)&amp;"元明卷"))</f>
        <v/>
      </c>
      <c r="N363" s="27" t="str">
        <f t="shared" si="11"/>
        <v/>
      </c>
      <c r="O363" s="27" t="str">
        <f>IF(I363="","","【消费券链接】"&amp;固定信息!$B$6)</f>
        <v/>
      </c>
    </row>
    <row r="364" customHeight="1" spans="1:15">
      <c r="A364" s="23" t="str">
        <f>IF(盘货信息!A364="","",盘货信息!A364)</f>
        <v/>
      </c>
      <c r="B364" s="26" t="str">
        <f>IF(盘货信息!B364="","",盘货信息!B364)</f>
        <v/>
      </c>
      <c r="C364" s="23" t="str">
        <f>IF(盘货信息!C364="","",盘货信息!C364)</f>
        <v/>
      </c>
      <c r="D364" s="27" t="str">
        <f t="shared" si="10"/>
        <v/>
      </c>
      <c r="E364" s="27" t="str" cm="1">
        <f t="array" ref="E364">IF($C364="","",IF(AND(OR(_xlfn.XLOOKUP($A364&amp;$B364&amp;$C364,盘货信息!$A:$A&amp;盘货信息!$B:$B&amp;盘货信息!$C:$C,盘货信息!$L:$L)="否",_xlfn.XLOOKUP($A364&amp;$B364&amp;$C364,盘货信息!$A:$A&amp;盘货信息!$B:$B&amp;盘货信息!$C:$C,盘货信息!$L:$L)=""),_xlfn.XLOOKUP($A364&amp;$B364&amp;$C364,盘货信息!$A:$A&amp;盘货信息!$B:$B&amp;盘货信息!$C:$C,盘货信息!$M:$M)="否"),"【预估到手价"&amp;_xlfn.XLOOKUP($A364&amp;$B364&amp;$C364,盘货信息!$A:$A&amp;盘货信息!$B:$B&amp;盘货信息!$C:$C,盘货信息!$D:$D)&amp;"元】",IF(AND(_xlfn.XLOOKUP($A364&amp;$B364&amp;$C364,盘货信息!$A:$A&amp;盘货信息!$B:$B&amp;盘货信息!$C:$C,盘货信息!$M:$M)="是",OR(_xlfn.XLOOKUP($A364&amp;$B364&amp;$C364,盘货信息!$A:$A&amp;盘货信息!$B:$B&amp;盘货信息!$C:$C,盘货信息!$L:$L)="否",_xlfn.XLOOKUP($A364&amp;$B364&amp;$C364,盘货信息!$A:$A&amp;盘货信息!$B:$B&amp;盘货信息!$C:$C,盘货信息!$L:$L)="")),"【预估到手价"&amp;_xlfn.XLOOKUP($A364&amp;$B364&amp;$C364,盘货信息!$A:$A&amp;盘货信息!$B:$B&amp;盘货信息!$C:$C,盘货信息!$D:$D)&amp;"元】"&amp;CHAR(10)&amp;"【焕新补贴预估价"&amp;ROUND(_xlfn.XLOOKUP($A364&amp;$B364&amp;$C364,盘货信息!$A:$A&amp;盘货信息!$B:$B&amp;盘货信息!$C:$C,盘货信息!$E:$E),0)&amp;"元】","【焕新补贴预估价"&amp;ROUND(_xlfn.XLOOKUP($A364&amp;$B364&amp;$C364,盘货信息!$A:$A&amp;盘货信息!$B:$B&amp;盘货信息!$C:$C,盘货信息!$E:$E),0)&amp;"元】")))</f>
        <v/>
      </c>
      <c r="F364" s="27" t="str" cm="1">
        <f t="array" ref="F364">IF($C364="","",_xlfn.XLOOKUP($A364&amp;$B364&amp;$C364,盘货信息!$A:$A&amp;盘货信息!$B:$B&amp;盘货信息!$C:$C,盘货信息!$D:$D)&amp;"元到手价")</f>
        <v/>
      </c>
      <c r="G364" s="27" t="str" cm="1">
        <f t="array" ref="G364">IF($C364="","",IF(_xlfn.XLOOKUP($A364&amp;$B364&amp;$C364,盘货信息!$A:$A&amp;盘货信息!$B:$B&amp;盘货信息!$C:$C,盘货信息!$G:$G)&lt;1,"",ROUND(_xlfn.XLOOKUP($A364&amp;$B364&amp;$C364,盘货信息!$A:$A&amp;盘货信息!$B:$B&amp;盘货信息!$C:$C,盘货信息!$G:$G),0)&amp;"元88VIP立减"))</f>
        <v/>
      </c>
      <c r="H364" s="27" t="str" cm="1">
        <f t="array" ref="H364">IF($C364="","",IF(_xlfn.XLOOKUP($A364&amp;$B364&amp;$C364,盘货信息!$A:$A&amp;盘货信息!$B:$B&amp;盘货信息!$C:$C,盘货信息!$I:$I)&lt;1,"",_xlfn.XLOOKUP($A364&amp;$B364&amp;$C364,盘货信息!$A:$A&amp;盘货信息!$B:$B&amp;盘货信息!$C:$C,盘货信息!$I:$I)&amp;"元惊喜立减"))</f>
        <v/>
      </c>
      <c r="I364" s="27" t="str" cm="1">
        <f t="array" ref="I364">IF($C364="","",IF(_xlfn.XLOOKUP($A364&amp;$B364&amp;$C364,盘货信息!$A:$A&amp;盘货信息!$B:$B&amp;盘货信息!$C:$C,盘货信息!$H:$H)&lt;1,"",ROUND(_xlfn.XLOOKUP($A364&amp;$B364&amp;$C364,盘货信息!$A:$A&amp;盘货信息!$B:$B&amp;盘货信息!$C:$C,盘货信息!$H:$H),0)&amp;"元消费券"))</f>
        <v/>
      </c>
      <c r="J364" s="27" t="str" cm="1">
        <f t="array" ref="J364">IF($C364="","",IF(_xlfn.XLOOKUP($A364&amp;$B364&amp;$C364,盘货信息!$A:$A&amp;盘货信息!$B:$B&amp;盘货信息!$C:$C,盘货信息!$J:$J)&lt;1,"",ROUND(_xlfn.XLOOKUP($A364&amp;$B364&amp;$C364,盘货信息!$A:$A&amp;盘货信息!$B:$B&amp;盘货信息!$C:$C,盘货信息!$J:$J),0)&amp;"元限时补贴"))</f>
        <v/>
      </c>
      <c r="K364" s="27" t="str" cm="1">
        <f t="array" ref="K364">IF($C364="","",IF(_xlfn.XLOOKUP($A364&amp;$B364&amp;$C364,盘货信息!$A:$A&amp;盘货信息!$B:$B&amp;盘货信息!$C:$C,盘货信息!$K:$K)&lt;1,"",ROUND(_xlfn.XLOOKUP($A364&amp;$B364&amp;$C364,盘货信息!$A:$A&amp;盘货信息!$B:$B&amp;盘货信息!$C:$C,盘货信息!$K:$K),0)&amp;"元预估焕新补贴"))</f>
        <v/>
      </c>
      <c r="L364" s="27" t="str" cm="1">
        <f t="array" ref="L364">IF($C364="","",IF(AND(_xlfn.XLOOKUP($A364&amp;$B364&amp;$C364,盘货信息!$A:$A&amp;盘货信息!$B:$B&amp;盘货信息!$C:$C,盘货信息!$L:$L)="是",_xlfn.XLOOKUP($A364&amp;$B364&amp;$C364,盘货信息!$A:$A&amp;盘货信息!$B:$B&amp;盘货信息!$C:$C,盘货信息!$M:$M)="是",_xlfn.XLOOKUP($A364&amp;$B364&amp;$C364,盘货信息!$A:$A&amp;盘货信息!$B:$B&amp;盘货信息!$C:$C,盘货信息!$K:$K)&gt;0),"【全民可用，不限地址】",IF(AND(OR(_xlfn.XLOOKUP($A364&amp;$B364&amp;$C364,盘货信息!$A:$A&amp;盘货信息!$B:$B&amp;盘货信息!$C:$C,盘货信息!$L:$L)="否",_xlfn.XLOOKUP($A364&amp;$B364&amp;$C364,盘货信息!$A:$A&amp;盘货信息!$B:$B&amp;盘货信息!$C:$C,盘货信息!$L:$L)=""),_xlfn.XLOOKUP($A364&amp;$B364&amp;$C364,盘货信息!$A:$A&amp;盘货信息!$B:$B&amp;盘货信息!$C:$C,盘货信息!$M:$M)="是",_xlfn.XLOOKUP($A364&amp;$B364&amp;$C364,盘货信息!$A:$A&amp;盘货信息!$B:$B&amp;盘货信息!$C:$C,盘货信息!$K:$K)&gt;0),"【详情页领取】","")))</f>
        <v/>
      </c>
      <c r="M364" s="27" t="str" cm="1">
        <f t="array" ref="M364">IF($C364="","",IF(_xlfn.XLOOKUP($A364&amp;$B364&amp;$C364,盘货信息!$A:$A&amp;盘货信息!$B:$B&amp;盘货信息!$C:$C,盘货信息!$F:$F)&lt;1,"",_xlfn.XLOOKUP($A364&amp;$B364&amp;$C364,盘货信息!$A:$A&amp;盘货信息!$B:$B&amp;盘货信息!$C:$C,盘货信息!$F:$F)&amp;"元明卷"))</f>
        <v/>
      </c>
      <c r="N364" s="27" t="str">
        <f t="shared" si="11"/>
        <v/>
      </c>
      <c r="O364" s="27" t="str">
        <f>IF(I364="","","【消费券链接】"&amp;固定信息!$B$6)</f>
        <v/>
      </c>
    </row>
    <row r="365" customHeight="1" spans="1:15">
      <c r="A365" s="23" t="str">
        <f>IF(盘货信息!A365="","",盘货信息!A365)</f>
        <v/>
      </c>
      <c r="B365" s="26" t="str">
        <f>IF(盘货信息!B365="","",盘货信息!B365)</f>
        <v/>
      </c>
      <c r="C365" s="23" t="str">
        <f>IF(盘货信息!C365="","",盘货信息!C365)</f>
        <v/>
      </c>
      <c r="D365" s="27" t="str">
        <f t="shared" si="10"/>
        <v/>
      </c>
      <c r="E365" s="27" t="str" cm="1">
        <f t="array" ref="E365">IF($C365="","",IF(AND(OR(_xlfn.XLOOKUP($A365&amp;$B365&amp;$C365,盘货信息!$A:$A&amp;盘货信息!$B:$B&amp;盘货信息!$C:$C,盘货信息!$L:$L)="否",_xlfn.XLOOKUP($A365&amp;$B365&amp;$C365,盘货信息!$A:$A&amp;盘货信息!$B:$B&amp;盘货信息!$C:$C,盘货信息!$L:$L)=""),_xlfn.XLOOKUP($A365&amp;$B365&amp;$C365,盘货信息!$A:$A&amp;盘货信息!$B:$B&amp;盘货信息!$C:$C,盘货信息!$M:$M)="否"),"【预估到手价"&amp;_xlfn.XLOOKUP($A365&amp;$B365&amp;$C365,盘货信息!$A:$A&amp;盘货信息!$B:$B&amp;盘货信息!$C:$C,盘货信息!$D:$D)&amp;"元】",IF(AND(_xlfn.XLOOKUP($A365&amp;$B365&amp;$C365,盘货信息!$A:$A&amp;盘货信息!$B:$B&amp;盘货信息!$C:$C,盘货信息!$M:$M)="是",OR(_xlfn.XLOOKUP($A365&amp;$B365&amp;$C365,盘货信息!$A:$A&amp;盘货信息!$B:$B&amp;盘货信息!$C:$C,盘货信息!$L:$L)="否",_xlfn.XLOOKUP($A365&amp;$B365&amp;$C365,盘货信息!$A:$A&amp;盘货信息!$B:$B&amp;盘货信息!$C:$C,盘货信息!$L:$L)="")),"【预估到手价"&amp;_xlfn.XLOOKUP($A365&amp;$B365&amp;$C365,盘货信息!$A:$A&amp;盘货信息!$B:$B&amp;盘货信息!$C:$C,盘货信息!$D:$D)&amp;"元】"&amp;CHAR(10)&amp;"【焕新补贴预估价"&amp;ROUND(_xlfn.XLOOKUP($A365&amp;$B365&amp;$C365,盘货信息!$A:$A&amp;盘货信息!$B:$B&amp;盘货信息!$C:$C,盘货信息!$E:$E),0)&amp;"元】","【焕新补贴预估价"&amp;ROUND(_xlfn.XLOOKUP($A365&amp;$B365&amp;$C365,盘货信息!$A:$A&amp;盘货信息!$B:$B&amp;盘货信息!$C:$C,盘货信息!$E:$E),0)&amp;"元】")))</f>
        <v/>
      </c>
      <c r="F365" s="27" t="str" cm="1">
        <f t="array" ref="F365">IF($C365="","",_xlfn.XLOOKUP($A365&amp;$B365&amp;$C365,盘货信息!$A:$A&amp;盘货信息!$B:$B&amp;盘货信息!$C:$C,盘货信息!$D:$D)&amp;"元到手价")</f>
        <v/>
      </c>
      <c r="G365" s="27" t="str" cm="1">
        <f t="array" ref="G365">IF($C365="","",IF(_xlfn.XLOOKUP($A365&amp;$B365&amp;$C365,盘货信息!$A:$A&amp;盘货信息!$B:$B&amp;盘货信息!$C:$C,盘货信息!$G:$G)&lt;1,"",ROUND(_xlfn.XLOOKUP($A365&amp;$B365&amp;$C365,盘货信息!$A:$A&amp;盘货信息!$B:$B&amp;盘货信息!$C:$C,盘货信息!$G:$G),0)&amp;"元88VIP立减"))</f>
        <v/>
      </c>
      <c r="H365" s="27" t="str" cm="1">
        <f t="array" ref="H365">IF($C365="","",IF(_xlfn.XLOOKUP($A365&amp;$B365&amp;$C365,盘货信息!$A:$A&amp;盘货信息!$B:$B&amp;盘货信息!$C:$C,盘货信息!$I:$I)&lt;1,"",_xlfn.XLOOKUP($A365&amp;$B365&amp;$C365,盘货信息!$A:$A&amp;盘货信息!$B:$B&amp;盘货信息!$C:$C,盘货信息!$I:$I)&amp;"元惊喜立减"))</f>
        <v/>
      </c>
      <c r="I365" s="27" t="str" cm="1">
        <f t="array" ref="I365">IF($C365="","",IF(_xlfn.XLOOKUP($A365&amp;$B365&amp;$C365,盘货信息!$A:$A&amp;盘货信息!$B:$B&amp;盘货信息!$C:$C,盘货信息!$H:$H)&lt;1,"",ROUND(_xlfn.XLOOKUP($A365&amp;$B365&amp;$C365,盘货信息!$A:$A&amp;盘货信息!$B:$B&amp;盘货信息!$C:$C,盘货信息!$H:$H),0)&amp;"元消费券"))</f>
        <v/>
      </c>
      <c r="J365" s="27" t="str" cm="1">
        <f t="array" ref="J365">IF($C365="","",IF(_xlfn.XLOOKUP($A365&amp;$B365&amp;$C365,盘货信息!$A:$A&amp;盘货信息!$B:$B&amp;盘货信息!$C:$C,盘货信息!$J:$J)&lt;1,"",ROUND(_xlfn.XLOOKUP($A365&amp;$B365&amp;$C365,盘货信息!$A:$A&amp;盘货信息!$B:$B&amp;盘货信息!$C:$C,盘货信息!$J:$J),0)&amp;"元限时补贴"))</f>
        <v/>
      </c>
      <c r="K365" s="27" t="str" cm="1">
        <f t="array" ref="K365">IF($C365="","",IF(_xlfn.XLOOKUP($A365&amp;$B365&amp;$C365,盘货信息!$A:$A&amp;盘货信息!$B:$B&amp;盘货信息!$C:$C,盘货信息!$K:$K)&lt;1,"",ROUND(_xlfn.XLOOKUP($A365&amp;$B365&amp;$C365,盘货信息!$A:$A&amp;盘货信息!$B:$B&amp;盘货信息!$C:$C,盘货信息!$K:$K),0)&amp;"元预估焕新补贴"))</f>
        <v/>
      </c>
      <c r="L365" s="27" t="str" cm="1">
        <f t="array" ref="L365">IF($C365="","",IF(AND(_xlfn.XLOOKUP($A365&amp;$B365&amp;$C365,盘货信息!$A:$A&amp;盘货信息!$B:$B&amp;盘货信息!$C:$C,盘货信息!$L:$L)="是",_xlfn.XLOOKUP($A365&amp;$B365&amp;$C365,盘货信息!$A:$A&amp;盘货信息!$B:$B&amp;盘货信息!$C:$C,盘货信息!$M:$M)="是",_xlfn.XLOOKUP($A365&amp;$B365&amp;$C365,盘货信息!$A:$A&amp;盘货信息!$B:$B&amp;盘货信息!$C:$C,盘货信息!$K:$K)&gt;0),"【全民可用，不限地址】",IF(AND(OR(_xlfn.XLOOKUP($A365&amp;$B365&amp;$C365,盘货信息!$A:$A&amp;盘货信息!$B:$B&amp;盘货信息!$C:$C,盘货信息!$L:$L)="否",_xlfn.XLOOKUP($A365&amp;$B365&amp;$C365,盘货信息!$A:$A&amp;盘货信息!$B:$B&amp;盘货信息!$C:$C,盘货信息!$L:$L)=""),_xlfn.XLOOKUP($A365&amp;$B365&amp;$C365,盘货信息!$A:$A&amp;盘货信息!$B:$B&amp;盘货信息!$C:$C,盘货信息!$M:$M)="是",_xlfn.XLOOKUP($A365&amp;$B365&amp;$C365,盘货信息!$A:$A&amp;盘货信息!$B:$B&amp;盘货信息!$C:$C,盘货信息!$K:$K)&gt;0),"【详情页领取】","")))</f>
        <v/>
      </c>
      <c r="M365" s="27" t="str" cm="1">
        <f t="array" ref="M365">IF($C365="","",IF(_xlfn.XLOOKUP($A365&amp;$B365&amp;$C365,盘货信息!$A:$A&amp;盘货信息!$B:$B&amp;盘货信息!$C:$C,盘货信息!$F:$F)&lt;1,"",_xlfn.XLOOKUP($A365&amp;$B365&amp;$C365,盘货信息!$A:$A&amp;盘货信息!$B:$B&amp;盘货信息!$C:$C,盘货信息!$F:$F)&amp;"元明卷"))</f>
        <v/>
      </c>
      <c r="N365" s="27" t="str">
        <f t="shared" si="11"/>
        <v/>
      </c>
      <c r="O365" s="27" t="str">
        <f>IF(I365="","","【消费券链接】"&amp;固定信息!$B$6)</f>
        <v/>
      </c>
    </row>
    <row r="366" customHeight="1" spans="1:15">
      <c r="A366" s="23" t="str">
        <f>IF(盘货信息!A366="","",盘货信息!A366)</f>
        <v/>
      </c>
      <c r="B366" s="26" t="str">
        <f>IF(盘货信息!B366="","",盘货信息!B366)</f>
        <v/>
      </c>
      <c r="C366" s="23" t="str">
        <f>IF(盘货信息!C366="","",盘货信息!C366)</f>
        <v/>
      </c>
      <c r="D366" s="27" t="str">
        <f t="shared" si="10"/>
        <v/>
      </c>
      <c r="E366" s="27" t="str" cm="1">
        <f t="array" ref="E366">IF($C366="","",IF(AND(OR(_xlfn.XLOOKUP($A366&amp;$B366&amp;$C366,盘货信息!$A:$A&amp;盘货信息!$B:$B&amp;盘货信息!$C:$C,盘货信息!$L:$L)="否",_xlfn.XLOOKUP($A366&amp;$B366&amp;$C366,盘货信息!$A:$A&amp;盘货信息!$B:$B&amp;盘货信息!$C:$C,盘货信息!$L:$L)=""),_xlfn.XLOOKUP($A366&amp;$B366&amp;$C366,盘货信息!$A:$A&amp;盘货信息!$B:$B&amp;盘货信息!$C:$C,盘货信息!$M:$M)="否"),"【预估到手价"&amp;_xlfn.XLOOKUP($A366&amp;$B366&amp;$C366,盘货信息!$A:$A&amp;盘货信息!$B:$B&amp;盘货信息!$C:$C,盘货信息!$D:$D)&amp;"元】",IF(AND(_xlfn.XLOOKUP($A366&amp;$B366&amp;$C366,盘货信息!$A:$A&amp;盘货信息!$B:$B&amp;盘货信息!$C:$C,盘货信息!$M:$M)="是",OR(_xlfn.XLOOKUP($A366&amp;$B366&amp;$C366,盘货信息!$A:$A&amp;盘货信息!$B:$B&amp;盘货信息!$C:$C,盘货信息!$L:$L)="否",_xlfn.XLOOKUP($A366&amp;$B366&amp;$C366,盘货信息!$A:$A&amp;盘货信息!$B:$B&amp;盘货信息!$C:$C,盘货信息!$L:$L)="")),"【预估到手价"&amp;_xlfn.XLOOKUP($A366&amp;$B366&amp;$C366,盘货信息!$A:$A&amp;盘货信息!$B:$B&amp;盘货信息!$C:$C,盘货信息!$D:$D)&amp;"元】"&amp;CHAR(10)&amp;"【焕新补贴预估价"&amp;ROUND(_xlfn.XLOOKUP($A366&amp;$B366&amp;$C366,盘货信息!$A:$A&amp;盘货信息!$B:$B&amp;盘货信息!$C:$C,盘货信息!$E:$E),0)&amp;"元】","【焕新补贴预估价"&amp;ROUND(_xlfn.XLOOKUP($A366&amp;$B366&amp;$C366,盘货信息!$A:$A&amp;盘货信息!$B:$B&amp;盘货信息!$C:$C,盘货信息!$E:$E),0)&amp;"元】")))</f>
        <v/>
      </c>
      <c r="F366" s="27" t="str" cm="1">
        <f t="array" ref="F366">IF($C366="","",_xlfn.XLOOKUP($A366&amp;$B366&amp;$C366,盘货信息!$A:$A&amp;盘货信息!$B:$B&amp;盘货信息!$C:$C,盘货信息!$D:$D)&amp;"元到手价")</f>
        <v/>
      </c>
      <c r="G366" s="27" t="str" cm="1">
        <f t="array" ref="G366">IF($C366="","",IF(_xlfn.XLOOKUP($A366&amp;$B366&amp;$C366,盘货信息!$A:$A&amp;盘货信息!$B:$B&amp;盘货信息!$C:$C,盘货信息!$G:$G)&lt;1,"",ROUND(_xlfn.XLOOKUP($A366&amp;$B366&amp;$C366,盘货信息!$A:$A&amp;盘货信息!$B:$B&amp;盘货信息!$C:$C,盘货信息!$G:$G),0)&amp;"元88VIP立减"))</f>
        <v/>
      </c>
      <c r="H366" s="27" t="str" cm="1">
        <f t="array" ref="H366">IF($C366="","",IF(_xlfn.XLOOKUP($A366&amp;$B366&amp;$C366,盘货信息!$A:$A&amp;盘货信息!$B:$B&amp;盘货信息!$C:$C,盘货信息!$I:$I)&lt;1,"",_xlfn.XLOOKUP($A366&amp;$B366&amp;$C366,盘货信息!$A:$A&amp;盘货信息!$B:$B&amp;盘货信息!$C:$C,盘货信息!$I:$I)&amp;"元惊喜立减"))</f>
        <v/>
      </c>
      <c r="I366" s="27" t="str" cm="1">
        <f t="array" ref="I366">IF($C366="","",IF(_xlfn.XLOOKUP($A366&amp;$B366&amp;$C366,盘货信息!$A:$A&amp;盘货信息!$B:$B&amp;盘货信息!$C:$C,盘货信息!$H:$H)&lt;1,"",ROUND(_xlfn.XLOOKUP($A366&amp;$B366&amp;$C366,盘货信息!$A:$A&amp;盘货信息!$B:$B&amp;盘货信息!$C:$C,盘货信息!$H:$H),0)&amp;"元消费券"))</f>
        <v/>
      </c>
      <c r="J366" s="27" t="str" cm="1">
        <f t="array" ref="J366">IF($C366="","",IF(_xlfn.XLOOKUP($A366&amp;$B366&amp;$C366,盘货信息!$A:$A&amp;盘货信息!$B:$B&amp;盘货信息!$C:$C,盘货信息!$J:$J)&lt;1,"",ROUND(_xlfn.XLOOKUP($A366&amp;$B366&amp;$C366,盘货信息!$A:$A&amp;盘货信息!$B:$B&amp;盘货信息!$C:$C,盘货信息!$J:$J),0)&amp;"元限时补贴"))</f>
        <v/>
      </c>
      <c r="K366" s="27" t="str" cm="1">
        <f t="array" ref="K366">IF($C366="","",IF(_xlfn.XLOOKUP($A366&amp;$B366&amp;$C366,盘货信息!$A:$A&amp;盘货信息!$B:$B&amp;盘货信息!$C:$C,盘货信息!$K:$K)&lt;1,"",ROUND(_xlfn.XLOOKUP($A366&amp;$B366&amp;$C366,盘货信息!$A:$A&amp;盘货信息!$B:$B&amp;盘货信息!$C:$C,盘货信息!$K:$K),0)&amp;"元预估焕新补贴"))</f>
        <v/>
      </c>
      <c r="L366" s="27" t="str" cm="1">
        <f t="array" ref="L366">IF($C366="","",IF(AND(_xlfn.XLOOKUP($A366&amp;$B366&amp;$C366,盘货信息!$A:$A&amp;盘货信息!$B:$B&amp;盘货信息!$C:$C,盘货信息!$L:$L)="是",_xlfn.XLOOKUP($A366&amp;$B366&amp;$C366,盘货信息!$A:$A&amp;盘货信息!$B:$B&amp;盘货信息!$C:$C,盘货信息!$M:$M)="是",_xlfn.XLOOKUP($A366&amp;$B366&amp;$C366,盘货信息!$A:$A&amp;盘货信息!$B:$B&amp;盘货信息!$C:$C,盘货信息!$K:$K)&gt;0),"【全民可用，不限地址】",IF(AND(OR(_xlfn.XLOOKUP($A366&amp;$B366&amp;$C366,盘货信息!$A:$A&amp;盘货信息!$B:$B&amp;盘货信息!$C:$C,盘货信息!$L:$L)="否",_xlfn.XLOOKUP($A366&amp;$B366&amp;$C366,盘货信息!$A:$A&amp;盘货信息!$B:$B&amp;盘货信息!$C:$C,盘货信息!$L:$L)=""),_xlfn.XLOOKUP($A366&amp;$B366&amp;$C366,盘货信息!$A:$A&amp;盘货信息!$B:$B&amp;盘货信息!$C:$C,盘货信息!$M:$M)="是",_xlfn.XLOOKUP($A366&amp;$B366&amp;$C366,盘货信息!$A:$A&amp;盘货信息!$B:$B&amp;盘货信息!$C:$C,盘货信息!$K:$K)&gt;0),"【详情页领取】","")))</f>
        <v/>
      </c>
      <c r="M366" s="27" t="str" cm="1">
        <f t="array" ref="M366">IF($C366="","",IF(_xlfn.XLOOKUP($A366&amp;$B366&amp;$C366,盘货信息!$A:$A&amp;盘货信息!$B:$B&amp;盘货信息!$C:$C,盘货信息!$F:$F)&lt;1,"",_xlfn.XLOOKUP($A366&amp;$B366&amp;$C366,盘货信息!$A:$A&amp;盘货信息!$B:$B&amp;盘货信息!$C:$C,盘货信息!$F:$F)&amp;"元明卷"))</f>
        <v/>
      </c>
      <c r="N366" s="27" t="str">
        <f t="shared" si="11"/>
        <v/>
      </c>
      <c r="O366" s="27" t="str">
        <f>IF(I366="","","【消费券链接】"&amp;固定信息!$B$6)</f>
        <v/>
      </c>
    </row>
    <row r="367" customHeight="1" spans="1:15">
      <c r="A367" s="23" t="str">
        <f>IF(盘货信息!A367="","",盘货信息!A367)</f>
        <v/>
      </c>
      <c r="B367" s="26" t="str">
        <f>IF(盘货信息!B367="","",盘货信息!B367)</f>
        <v/>
      </c>
      <c r="C367" s="23" t="str">
        <f>IF(盘货信息!C367="","",盘货信息!C367)</f>
        <v/>
      </c>
      <c r="D367" s="27" t="str">
        <f t="shared" si="10"/>
        <v/>
      </c>
      <c r="E367" s="27" t="str" cm="1">
        <f t="array" ref="E367">IF($C367="","",IF(AND(OR(_xlfn.XLOOKUP($A367&amp;$B367&amp;$C367,盘货信息!$A:$A&amp;盘货信息!$B:$B&amp;盘货信息!$C:$C,盘货信息!$L:$L)="否",_xlfn.XLOOKUP($A367&amp;$B367&amp;$C367,盘货信息!$A:$A&amp;盘货信息!$B:$B&amp;盘货信息!$C:$C,盘货信息!$L:$L)=""),_xlfn.XLOOKUP($A367&amp;$B367&amp;$C367,盘货信息!$A:$A&amp;盘货信息!$B:$B&amp;盘货信息!$C:$C,盘货信息!$M:$M)="否"),"【预估到手价"&amp;_xlfn.XLOOKUP($A367&amp;$B367&amp;$C367,盘货信息!$A:$A&amp;盘货信息!$B:$B&amp;盘货信息!$C:$C,盘货信息!$D:$D)&amp;"元】",IF(AND(_xlfn.XLOOKUP($A367&amp;$B367&amp;$C367,盘货信息!$A:$A&amp;盘货信息!$B:$B&amp;盘货信息!$C:$C,盘货信息!$M:$M)="是",OR(_xlfn.XLOOKUP($A367&amp;$B367&amp;$C367,盘货信息!$A:$A&amp;盘货信息!$B:$B&amp;盘货信息!$C:$C,盘货信息!$L:$L)="否",_xlfn.XLOOKUP($A367&amp;$B367&amp;$C367,盘货信息!$A:$A&amp;盘货信息!$B:$B&amp;盘货信息!$C:$C,盘货信息!$L:$L)="")),"【预估到手价"&amp;_xlfn.XLOOKUP($A367&amp;$B367&amp;$C367,盘货信息!$A:$A&amp;盘货信息!$B:$B&amp;盘货信息!$C:$C,盘货信息!$D:$D)&amp;"元】"&amp;CHAR(10)&amp;"【焕新补贴预估价"&amp;ROUND(_xlfn.XLOOKUP($A367&amp;$B367&amp;$C367,盘货信息!$A:$A&amp;盘货信息!$B:$B&amp;盘货信息!$C:$C,盘货信息!$E:$E),0)&amp;"元】","【焕新补贴预估价"&amp;ROUND(_xlfn.XLOOKUP($A367&amp;$B367&amp;$C367,盘货信息!$A:$A&amp;盘货信息!$B:$B&amp;盘货信息!$C:$C,盘货信息!$E:$E),0)&amp;"元】")))</f>
        <v/>
      </c>
      <c r="F367" s="27" t="str" cm="1">
        <f t="array" ref="F367">IF($C367="","",_xlfn.XLOOKUP($A367&amp;$B367&amp;$C367,盘货信息!$A:$A&amp;盘货信息!$B:$B&amp;盘货信息!$C:$C,盘货信息!$D:$D)&amp;"元到手价")</f>
        <v/>
      </c>
      <c r="G367" s="27" t="str" cm="1">
        <f t="array" ref="G367">IF($C367="","",IF(_xlfn.XLOOKUP($A367&amp;$B367&amp;$C367,盘货信息!$A:$A&amp;盘货信息!$B:$B&amp;盘货信息!$C:$C,盘货信息!$G:$G)&lt;1,"",ROUND(_xlfn.XLOOKUP($A367&amp;$B367&amp;$C367,盘货信息!$A:$A&amp;盘货信息!$B:$B&amp;盘货信息!$C:$C,盘货信息!$G:$G),0)&amp;"元88VIP立减"))</f>
        <v/>
      </c>
      <c r="H367" s="27" t="str" cm="1">
        <f t="array" ref="H367">IF($C367="","",IF(_xlfn.XLOOKUP($A367&amp;$B367&amp;$C367,盘货信息!$A:$A&amp;盘货信息!$B:$B&amp;盘货信息!$C:$C,盘货信息!$I:$I)&lt;1,"",_xlfn.XLOOKUP($A367&amp;$B367&amp;$C367,盘货信息!$A:$A&amp;盘货信息!$B:$B&amp;盘货信息!$C:$C,盘货信息!$I:$I)&amp;"元惊喜立减"))</f>
        <v/>
      </c>
      <c r="I367" s="27" t="str" cm="1">
        <f t="array" ref="I367">IF($C367="","",IF(_xlfn.XLOOKUP($A367&amp;$B367&amp;$C367,盘货信息!$A:$A&amp;盘货信息!$B:$B&amp;盘货信息!$C:$C,盘货信息!$H:$H)&lt;1,"",ROUND(_xlfn.XLOOKUP($A367&amp;$B367&amp;$C367,盘货信息!$A:$A&amp;盘货信息!$B:$B&amp;盘货信息!$C:$C,盘货信息!$H:$H),0)&amp;"元消费券"))</f>
        <v/>
      </c>
      <c r="J367" s="27" t="str" cm="1">
        <f t="array" ref="J367">IF($C367="","",IF(_xlfn.XLOOKUP($A367&amp;$B367&amp;$C367,盘货信息!$A:$A&amp;盘货信息!$B:$B&amp;盘货信息!$C:$C,盘货信息!$J:$J)&lt;1,"",ROUND(_xlfn.XLOOKUP($A367&amp;$B367&amp;$C367,盘货信息!$A:$A&amp;盘货信息!$B:$B&amp;盘货信息!$C:$C,盘货信息!$J:$J),0)&amp;"元限时补贴"))</f>
        <v/>
      </c>
      <c r="K367" s="27" t="str" cm="1">
        <f t="array" ref="K367">IF($C367="","",IF(_xlfn.XLOOKUP($A367&amp;$B367&amp;$C367,盘货信息!$A:$A&amp;盘货信息!$B:$B&amp;盘货信息!$C:$C,盘货信息!$K:$K)&lt;1,"",ROUND(_xlfn.XLOOKUP($A367&amp;$B367&amp;$C367,盘货信息!$A:$A&amp;盘货信息!$B:$B&amp;盘货信息!$C:$C,盘货信息!$K:$K),0)&amp;"元预估焕新补贴"))</f>
        <v/>
      </c>
      <c r="L367" s="27" t="str" cm="1">
        <f t="array" ref="L367">IF($C367="","",IF(AND(_xlfn.XLOOKUP($A367&amp;$B367&amp;$C367,盘货信息!$A:$A&amp;盘货信息!$B:$B&amp;盘货信息!$C:$C,盘货信息!$L:$L)="是",_xlfn.XLOOKUP($A367&amp;$B367&amp;$C367,盘货信息!$A:$A&amp;盘货信息!$B:$B&amp;盘货信息!$C:$C,盘货信息!$M:$M)="是",_xlfn.XLOOKUP($A367&amp;$B367&amp;$C367,盘货信息!$A:$A&amp;盘货信息!$B:$B&amp;盘货信息!$C:$C,盘货信息!$K:$K)&gt;0),"【全民可用，不限地址】",IF(AND(OR(_xlfn.XLOOKUP($A367&amp;$B367&amp;$C367,盘货信息!$A:$A&amp;盘货信息!$B:$B&amp;盘货信息!$C:$C,盘货信息!$L:$L)="否",_xlfn.XLOOKUP($A367&amp;$B367&amp;$C367,盘货信息!$A:$A&amp;盘货信息!$B:$B&amp;盘货信息!$C:$C,盘货信息!$L:$L)=""),_xlfn.XLOOKUP($A367&amp;$B367&amp;$C367,盘货信息!$A:$A&amp;盘货信息!$B:$B&amp;盘货信息!$C:$C,盘货信息!$M:$M)="是",_xlfn.XLOOKUP($A367&amp;$B367&amp;$C367,盘货信息!$A:$A&amp;盘货信息!$B:$B&amp;盘货信息!$C:$C,盘货信息!$K:$K)&gt;0),"【详情页领取】","")))</f>
        <v/>
      </c>
      <c r="M367" s="27" t="str" cm="1">
        <f t="array" ref="M367">IF($C367="","",IF(_xlfn.XLOOKUP($A367&amp;$B367&amp;$C367,盘货信息!$A:$A&amp;盘货信息!$B:$B&amp;盘货信息!$C:$C,盘货信息!$F:$F)&lt;1,"",_xlfn.XLOOKUP($A367&amp;$B367&amp;$C367,盘货信息!$A:$A&amp;盘货信息!$B:$B&amp;盘货信息!$C:$C,盘货信息!$F:$F)&amp;"元明卷"))</f>
        <v/>
      </c>
      <c r="N367" s="27" t="str">
        <f t="shared" si="11"/>
        <v/>
      </c>
      <c r="O367" s="27" t="str">
        <f>IF(I367="","","【消费券链接】"&amp;固定信息!$B$6)</f>
        <v/>
      </c>
    </row>
    <row r="368" customHeight="1" spans="1:15">
      <c r="A368" s="23" t="str">
        <f>IF(盘货信息!A368="","",盘货信息!A368)</f>
        <v/>
      </c>
      <c r="B368" s="26" t="str">
        <f>IF(盘货信息!B368="","",盘货信息!B368)</f>
        <v/>
      </c>
      <c r="C368" s="23" t="str">
        <f>IF(盘货信息!C368="","",盘货信息!C368)</f>
        <v/>
      </c>
      <c r="D368" s="27" t="str">
        <f t="shared" si="10"/>
        <v/>
      </c>
      <c r="E368" s="27" t="str" cm="1">
        <f t="array" ref="E368">IF($C368="","",IF(AND(OR(_xlfn.XLOOKUP($A368&amp;$B368&amp;$C368,盘货信息!$A:$A&amp;盘货信息!$B:$B&amp;盘货信息!$C:$C,盘货信息!$L:$L)="否",_xlfn.XLOOKUP($A368&amp;$B368&amp;$C368,盘货信息!$A:$A&amp;盘货信息!$B:$B&amp;盘货信息!$C:$C,盘货信息!$L:$L)=""),_xlfn.XLOOKUP($A368&amp;$B368&amp;$C368,盘货信息!$A:$A&amp;盘货信息!$B:$B&amp;盘货信息!$C:$C,盘货信息!$M:$M)="否"),"【预估到手价"&amp;_xlfn.XLOOKUP($A368&amp;$B368&amp;$C368,盘货信息!$A:$A&amp;盘货信息!$B:$B&amp;盘货信息!$C:$C,盘货信息!$D:$D)&amp;"元】",IF(AND(_xlfn.XLOOKUP($A368&amp;$B368&amp;$C368,盘货信息!$A:$A&amp;盘货信息!$B:$B&amp;盘货信息!$C:$C,盘货信息!$M:$M)="是",OR(_xlfn.XLOOKUP($A368&amp;$B368&amp;$C368,盘货信息!$A:$A&amp;盘货信息!$B:$B&amp;盘货信息!$C:$C,盘货信息!$L:$L)="否",_xlfn.XLOOKUP($A368&amp;$B368&amp;$C368,盘货信息!$A:$A&amp;盘货信息!$B:$B&amp;盘货信息!$C:$C,盘货信息!$L:$L)="")),"【预估到手价"&amp;_xlfn.XLOOKUP($A368&amp;$B368&amp;$C368,盘货信息!$A:$A&amp;盘货信息!$B:$B&amp;盘货信息!$C:$C,盘货信息!$D:$D)&amp;"元】"&amp;CHAR(10)&amp;"【焕新补贴预估价"&amp;ROUND(_xlfn.XLOOKUP($A368&amp;$B368&amp;$C368,盘货信息!$A:$A&amp;盘货信息!$B:$B&amp;盘货信息!$C:$C,盘货信息!$E:$E),0)&amp;"元】","【焕新补贴预估价"&amp;ROUND(_xlfn.XLOOKUP($A368&amp;$B368&amp;$C368,盘货信息!$A:$A&amp;盘货信息!$B:$B&amp;盘货信息!$C:$C,盘货信息!$E:$E),0)&amp;"元】")))</f>
        <v/>
      </c>
      <c r="F368" s="27" t="str" cm="1">
        <f t="array" ref="F368">IF($C368="","",_xlfn.XLOOKUP($A368&amp;$B368&amp;$C368,盘货信息!$A:$A&amp;盘货信息!$B:$B&amp;盘货信息!$C:$C,盘货信息!$D:$D)&amp;"元到手价")</f>
        <v/>
      </c>
      <c r="G368" s="27" t="str" cm="1">
        <f t="array" ref="G368">IF($C368="","",IF(_xlfn.XLOOKUP($A368&amp;$B368&amp;$C368,盘货信息!$A:$A&amp;盘货信息!$B:$B&amp;盘货信息!$C:$C,盘货信息!$G:$G)&lt;1,"",ROUND(_xlfn.XLOOKUP($A368&amp;$B368&amp;$C368,盘货信息!$A:$A&amp;盘货信息!$B:$B&amp;盘货信息!$C:$C,盘货信息!$G:$G),0)&amp;"元88VIP立减"))</f>
        <v/>
      </c>
      <c r="H368" s="27" t="str" cm="1">
        <f t="array" ref="H368">IF($C368="","",IF(_xlfn.XLOOKUP($A368&amp;$B368&amp;$C368,盘货信息!$A:$A&amp;盘货信息!$B:$B&amp;盘货信息!$C:$C,盘货信息!$I:$I)&lt;1,"",_xlfn.XLOOKUP($A368&amp;$B368&amp;$C368,盘货信息!$A:$A&amp;盘货信息!$B:$B&amp;盘货信息!$C:$C,盘货信息!$I:$I)&amp;"元惊喜立减"))</f>
        <v/>
      </c>
      <c r="I368" s="27" t="str" cm="1">
        <f t="array" ref="I368">IF($C368="","",IF(_xlfn.XLOOKUP($A368&amp;$B368&amp;$C368,盘货信息!$A:$A&amp;盘货信息!$B:$B&amp;盘货信息!$C:$C,盘货信息!$H:$H)&lt;1,"",ROUND(_xlfn.XLOOKUP($A368&amp;$B368&amp;$C368,盘货信息!$A:$A&amp;盘货信息!$B:$B&amp;盘货信息!$C:$C,盘货信息!$H:$H),0)&amp;"元消费券"))</f>
        <v/>
      </c>
      <c r="J368" s="27" t="str" cm="1">
        <f t="array" ref="J368">IF($C368="","",IF(_xlfn.XLOOKUP($A368&amp;$B368&amp;$C368,盘货信息!$A:$A&amp;盘货信息!$B:$B&amp;盘货信息!$C:$C,盘货信息!$J:$J)&lt;1,"",ROUND(_xlfn.XLOOKUP($A368&amp;$B368&amp;$C368,盘货信息!$A:$A&amp;盘货信息!$B:$B&amp;盘货信息!$C:$C,盘货信息!$J:$J),0)&amp;"元限时补贴"))</f>
        <v/>
      </c>
      <c r="K368" s="27" t="str" cm="1">
        <f t="array" ref="K368">IF($C368="","",IF(_xlfn.XLOOKUP($A368&amp;$B368&amp;$C368,盘货信息!$A:$A&amp;盘货信息!$B:$B&amp;盘货信息!$C:$C,盘货信息!$K:$K)&lt;1,"",ROUND(_xlfn.XLOOKUP($A368&amp;$B368&amp;$C368,盘货信息!$A:$A&amp;盘货信息!$B:$B&amp;盘货信息!$C:$C,盘货信息!$K:$K),0)&amp;"元预估焕新补贴"))</f>
        <v/>
      </c>
      <c r="L368" s="27" t="str" cm="1">
        <f t="array" ref="L368">IF($C368="","",IF(AND(_xlfn.XLOOKUP($A368&amp;$B368&amp;$C368,盘货信息!$A:$A&amp;盘货信息!$B:$B&amp;盘货信息!$C:$C,盘货信息!$L:$L)="是",_xlfn.XLOOKUP($A368&amp;$B368&amp;$C368,盘货信息!$A:$A&amp;盘货信息!$B:$B&amp;盘货信息!$C:$C,盘货信息!$M:$M)="是",_xlfn.XLOOKUP($A368&amp;$B368&amp;$C368,盘货信息!$A:$A&amp;盘货信息!$B:$B&amp;盘货信息!$C:$C,盘货信息!$K:$K)&gt;0),"【全民可用，不限地址】",IF(AND(OR(_xlfn.XLOOKUP($A368&amp;$B368&amp;$C368,盘货信息!$A:$A&amp;盘货信息!$B:$B&amp;盘货信息!$C:$C,盘货信息!$L:$L)="否",_xlfn.XLOOKUP($A368&amp;$B368&amp;$C368,盘货信息!$A:$A&amp;盘货信息!$B:$B&amp;盘货信息!$C:$C,盘货信息!$L:$L)=""),_xlfn.XLOOKUP($A368&amp;$B368&amp;$C368,盘货信息!$A:$A&amp;盘货信息!$B:$B&amp;盘货信息!$C:$C,盘货信息!$M:$M)="是",_xlfn.XLOOKUP($A368&amp;$B368&amp;$C368,盘货信息!$A:$A&amp;盘货信息!$B:$B&amp;盘货信息!$C:$C,盘货信息!$K:$K)&gt;0),"【详情页领取】","")))</f>
        <v/>
      </c>
      <c r="M368" s="27" t="str" cm="1">
        <f t="array" ref="M368">IF($C368="","",IF(_xlfn.XLOOKUP($A368&amp;$B368&amp;$C368,盘货信息!$A:$A&amp;盘货信息!$B:$B&amp;盘货信息!$C:$C,盘货信息!$F:$F)&lt;1,"",_xlfn.XLOOKUP($A368&amp;$B368&amp;$C368,盘货信息!$A:$A&amp;盘货信息!$B:$B&amp;盘货信息!$C:$C,盘货信息!$F:$F)&amp;"元明卷"))</f>
        <v/>
      </c>
      <c r="N368" s="27" t="str">
        <f t="shared" si="11"/>
        <v/>
      </c>
      <c r="O368" s="27" t="str">
        <f>IF(I368="","","【消费券链接】"&amp;固定信息!$B$6)</f>
        <v/>
      </c>
    </row>
    <row r="369" customHeight="1" spans="1:15">
      <c r="A369" s="23" t="str">
        <f>IF(盘货信息!A369="","",盘货信息!A369)</f>
        <v/>
      </c>
      <c r="B369" s="26" t="str">
        <f>IF(盘货信息!B369="","",盘货信息!B369)</f>
        <v/>
      </c>
      <c r="C369" s="23" t="str">
        <f>IF(盘货信息!C369="","",盘货信息!C369)</f>
        <v/>
      </c>
      <c r="D369" s="27" t="str">
        <f t="shared" si="10"/>
        <v/>
      </c>
      <c r="E369" s="27" t="str" cm="1">
        <f t="array" ref="E369">IF($C369="","",IF(AND(OR(_xlfn.XLOOKUP($A369&amp;$B369&amp;$C369,盘货信息!$A:$A&amp;盘货信息!$B:$B&amp;盘货信息!$C:$C,盘货信息!$L:$L)="否",_xlfn.XLOOKUP($A369&amp;$B369&amp;$C369,盘货信息!$A:$A&amp;盘货信息!$B:$B&amp;盘货信息!$C:$C,盘货信息!$L:$L)=""),_xlfn.XLOOKUP($A369&amp;$B369&amp;$C369,盘货信息!$A:$A&amp;盘货信息!$B:$B&amp;盘货信息!$C:$C,盘货信息!$M:$M)="否"),"【预估到手价"&amp;_xlfn.XLOOKUP($A369&amp;$B369&amp;$C369,盘货信息!$A:$A&amp;盘货信息!$B:$B&amp;盘货信息!$C:$C,盘货信息!$D:$D)&amp;"元】",IF(AND(_xlfn.XLOOKUP($A369&amp;$B369&amp;$C369,盘货信息!$A:$A&amp;盘货信息!$B:$B&amp;盘货信息!$C:$C,盘货信息!$M:$M)="是",OR(_xlfn.XLOOKUP($A369&amp;$B369&amp;$C369,盘货信息!$A:$A&amp;盘货信息!$B:$B&amp;盘货信息!$C:$C,盘货信息!$L:$L)="否",_xlfn.XLOOKUP($A369&amp;$B369&amp;$C369,盘货信息!$A:$A&amp;盘货信息!$B:$B&amp;盘货信息!$C:$C,盘货信息!$L:$L)="")),"【预估到手价"&amp;_xlfn.XLOOKUP($A369&amp;$B369&amp;$C369,盘货信息!$A:$A&amp;盘货信息!$B:$B&amp;盘货信息!$C:$C,盘货信息!$D:$D)&amp;"元】"&amp;CHAR(10)&amp;"【焕新补贴预估价"&amp;ROUND(_xlfn.XLOOKUP($A369&amp;$B369&amp;$C369,盘货信息!$A:$A&amp;盘货信息!$B:$B&amp;盘货信息!$C:$C,盘货信息!$E:$E),0)&amp;"元】","【焕新补贴预估价"&amp;ROUND(_xlfn.XLOOKUP($A369&amp;$B369&amp;$C369,盘货信息!$A:$A&amp;盘货信息!$B:$B&amp;盘货信息!$C:$C,盘货信息!$E:$E),0)&amp;"元】")))</f>
        <v/>
      </c>
      <c r="F369" s="27" t="str" cm="1">
        <f t="array" ref="F369">IF($C369="","",_xlfn.XLOOKUP($A369&amp;$B369&amp;$C369,盘货信息!$A:$A&amp;盘货信息!$B:$B&amp;盘货信息!$C:$C,盘货信息!$D:$D)&amp;"元到手价")</f>
        <v/>
      </c>
      <c r="G369" s="27" t="str" cm="1">
        <f t="array" ref="G369">IF($C369="","",IF(_xlfn.XLOOKUP($A369&amp;$B369&amp;$C369,盘货信息!$A:$A&amp;盘货信息!$B:$B&amp;盘货信息!$C:$C,盘货信息!$G:$G)&lt;1,"",ROUND(_xlfn.XLOOKUP($A369&amp;$B369&amp;$C369,盘货信息!$A:$A&amp;盘货信息!$B:$B&amp;盘货信息!$C:$C,盘货信息!$G:$G),0)&amp;"元88VIP立减"))</f>
        <v/>
      </c>
      <c r="H369" s="27" t="str" cm="1">
        <f t="array" ref="H369">IF($C369="","",IF(_xlfn.XLOOKUP($A369&amp;$B369&amp;$C369,盘货信息!$A:$A&amp;盘货信息!$B:$B&amp;盘货信息!$C:$C,盘货信息!$I:$I)&lt;1,"",_xlfn.XLOOKUP($A369&amp;$B369&amp;$C369,盘货信息!$A:$A&amp;盘货信息!$B:$B&amp;盘货信息!$C:$C,盘货信息!$I:$I)&amp;"元惊喜立减"))</f>
        <v/>
      </c>
      <c r="I369" s="27" t="str" cm="1">
        <f t="array" ref="I369">IF($C369="","",IF(_xlfn.XLOOKUP($A369&amp;$B369&amp;$C369,盘货信息!$A:$A&amp;盘货信息!$B:$B&amp;盘货信息!$C:$C,盘货信息!$H:$H)&lt;1,"",ROUND(_xlfn.XLOOKUP($A369&amp;$B369&amp;$C369,盘货信息!$A:$A&amp;盘货信息!$B:$B&amp;盘货信息!$C:$C,盘货信息!$H:$H),0)&amp;"元消费券"))</f>
        <v/>
      </c>
      <c r="J369" s="27" t="str" cm="1">
        <f t="array" ref="J369">IF($C369="","",IF(_xlfn.XLOOKUP($A369&amp;$B369&amp;$C369,盘货信息!$A:$A&amp;盘货信息!$B:$B&amp;盘货信息!$C:$C,盘货信息!$J:$J)&lt;1,"",ROUND(_xlfn.XLOOKUP($A369&amp;$B369&amp;$C369,盘货信息!$A:$A&amp;盘货信息!$B:$B&amp;盘货信息!$C:$C,盘货信息!$J:$J),0)&amp;"元限时补贴"))</f>
        <v/>
      </c>
      <c r="K369" s="27" t="str" cm="1">
        <f t="array" ref="K369">IF($C369="","",IF(_xlfn.XLOOKUP($A369&amp;$B369&amp;$C369,盘货信息!$A:$A&amp;盘货信息!$B:$B&amp;盘货信息!$C:$C,盘货信息!$K:$K)&lt;1,"",ROUND(_xlfn.XLOOKUP($A369&amp;$B369&amp;$C369,盘货信息!$A:$A&amp;盘货信息!$B:$B&amp;盘货信息!$C:$C,盘货信息!$K:$K),0)&amp;"元预估焕新补贴"))</f>
        <v/>
      </c>
      <c r="L369" s="27" t="str" cm="1">
        <f t="array" ref="L369">IF($C369="","",IF(AND(_xlfn.XLOOKUP($A369&amp;$B369&amp;$C369,盘货信息!$A:$A&amp;盘货信息!$B:$B&amp;盘货信息!$C:$C,盘货信息!$L:$L)="是",_xlfn.XLOOKUP($A369&amp;$B369&amp;$C369,盘货信息!$A:$A&amp;盘货信息!$B:$B&amp;盘货信息!$C:$C,盘货信息!$M:$M)="是",_xlfn.XLOOKUP($A369&amp;$B369&amp;$C369,盘货信息!$A:$A&amp;盘货信息!$B:$B&amp;盘货信息!$C:$C,盘货信息!$K:$K)&gt;0),"【全民可用，不限地址】",IF(AND(OR(_xlfn.XLOOKUP($A369&amp;$B369&amp;$C369,盘货信息!$A:$A&amp;盘货信息!$B:$B&amp;盘货信息!$C:$C,盘货信息!$L:$L)="否",_xlfn.XLOOKUP($A369&amp;$B369&amp;$C369,盘货信息!$A:$A&amp;盘货信息!$B:$B&amp;盘货信息!$C:$C,盘货信息!$L:$L)=""),_xlfn.XLOOKUP($A369&amp;$B369&amp;$C369,盘货信息!$A:$A&amp;盘货信息!$B:$B&amp;盘货信息!$C:$C,盘货信息!$M:$M)="是",_xlfn.XLOOKUP($A369&amp;$B369&amp;$C369,盘货信息!$A:$A&amp;盘货信息!$B:$B&amp;盘货信息!$C:$C,盘货信息!$K:$K)&gt;0),"【详情页领取】","")))</f>
        <v/>
      </c>
      <c r="M369" s="27" t="str" cm="1">
        <f t="array" ref="M369">IF($C369="","",IF(_xlfn.XLOOKUP($A369&amp;$B369&amp;$C369,盘货信息!$A:$A&amp;盘货信息!$B:$B&amp;盘货信息!$C:$C,盘货信息!$F:$F)&lt;1,"",_xlfn.XLOOKUP($A369&amp;$B369&amp;$C369,盘货信息!$A:$A&amp;盘货信息!$B:$B&amp;盘货信息!$C:$C,盘货信息!$F:$F)&amp;"元明卷"))</f>
        <v/>
      </c>
      <c r="N369" s="27" t="str">
        <f t="shared" si="11"/>
        <v/>
      </c>
      <c r="O369" s="27" t="str">
        <f>IF(I369="","","【消费券链接】"&amp;固定信息!$B$6)</f>
        <v/>
      </c>
    </row>
    <row r="370" customHeight="1" spans="1:15">
      <c r="A370" s="23" t="str">
        <f>IF(盘货信息!A370="","",盘货信息!A370)</f>
        <v/>
      </c>
      <c r="B370" s="26" t="str">
        <f>IF(盘货信息!B370="","",盘货信息!B370)</f>
        <v/>
      </c>
      <c r="C370" s="23" t="str">
        <f>IF(盘货信息!C370="","",盘货信息!C370)</f>
        <v/>
      </c>
      <c r="D370" s="27" t="str">
        <f t="shared" si="10"/>
        <v/>
      </c>
      <c r="E370" s="27" t="str" cm="1">
        <f t="array" ref="E370">IF($C370="","",IF(AND(OR(_xlfn.XLOOKUP($A370&amp;$B370&amp;$C370,盘货信息!$A:$A&amp;盘货信息!$B:$B&amp;盘货信息!$C:$C,盘货信息!$L:$L)="否",_xlfn.XLOOKUP($A370&amp;$B370&amp;$C370,盘货信息!$A:$A&amp;盘货信息!$B:$B&amp;盘货信息!$C:$C,盘货信息!$L:$L)=""),_xlfn.XLOOKUP($A370&amp;$B370&amp;$C370,盘货信息!$A:$A&amp;盘货信息!$B:$B&amp;盘货信息!$C:$C,盘货信息!$M:$M)="否"),"【预估到手价"&amp;_xlfn.XLOOKUP($A370&amp;$B370&amp;$C370,盘货信息!$A:$A&amp;盘货信息!$B:$B&amp;盘货信息!$C:$C,盘货信息!$D:$D)&amp;"元】",IF(AND(_xlfn.XLOOKUP($A370&amp;$B370&amp;$C370,盘货信息!$A:$A&amp;盘货信息!$B:$B&amp;盘货信息!$C:$C,盘货信息!$M:$M)="是",OR(_xlfn.XLOOKUP($A370&amp;$B370&amp;$C370,盘货信息!$A:$A&amp;盘货信息!$B:$B&amp;盘货信息!$C:$C,盘货信息!$L:$L)="否",_xlfn.XLOOKUP($A370&amp;$B370&amp;$C370,盘货信息!$A:$A&amp;盘货信息!$B:$B&amp;盘货信息!$C:$C,盘货信息!$L:$L)="")),"【预估到手价"&amp;_xlfn.XLOOKUP($A370&amp;$B370&amp;$C370,盘货信息!$A:$A&amp;盘货信息!$B:$B&amp;盘货信息!$C:$C,盘货信息!$D:$D)&amp;"元】"&amp;CHAR(10)&amp;"【焕新补贴预估价"&amp;ROUND(_xlfn.XLOOKUP($A370&amp;$B370&amp;$C370,盘货信息!$A:$A&amp;盘货信息!$B:$B&amp;盘货信息!$C:$C,盘货信息!$E:$E),0)&amp;"元】","【焕新补贴预估价"&amp;ROUND(_xlfn.XLOOKUP($A370&amp;$B370&amp;$C370,盘货信息!$A:$A&amp;盘货信息!$B:$B&amp;盘货信息!$C:$C,盘货信息!$E:$E),0)&amp;"元】")))</f>
        <v/>
      </c>
      <c r="F370" s="27" t="str" cm="1">
        <f t="array" ref="F370">IF($C370="","",_xlfn.XLOOKUP($A370&amp;$B370&amp;$C370,盘货信息!$A:$A&amp;盘货信息!$B:$B&amp;盘货信息!$C:$C,盘货信息!$D:$D)&amp;"元到手价")</f>
        <v/>
      </c>
      <c r="G370" s="27" t="str" cm="1">
        <f t="array" ref="G370">IF($C370="","",IF(_xlfn.XLOOKUP($A370&amp;$B370&amp;$C370,盘货信息!$A:$A&amp;盘货信息!$B:$B&amp;盘货信息!$C:$C,盘货信息!$G:$G)&lt;1,"",ROUND(_xlfn.XLOOKUP($A370&amp;$B370&amp;$C370,盘货信息!$A:$A&amp;盘货信息!$B:$B&amp;盘货信息!$C:$C,盘货信息!$G:$G),0)&amp;"元88VIP立减"))</f>
        <v/>
      </c>
      <c r="H370" s="27" t="str" cm="1">
        <f t="array" ref="H370">IF($C370="","",IF(_xlfn.XLOOKUP($A370&amp;$B370&amp;$C370,盘货信息!$A:$A&amp;盘货信息!$B:$B&amp;盘货信息!$C:$C,盘货信息!$I:$I)&lt;1,"",_xlfn.XLOOKUP($A370&amp;$B370&amp;$C370,盘货信息!$A:$A&amp;盘货信息!$B:$B&amp;盘货信息!$C:$C,盘货信息!$I:$I)&amp;"元惊喜立减"))</f>
        <v/>
      </c>
      <c r="I370" s="27" t="str" cm="1">
        <f t="array" ref="I370">IF($C370="","",IF(_xlfn.XLOOKUP($A370&amp;$B370&amp;$C370,盘货信息!$A:$A&amp;盘货信息!$B:$B&amp;盘货信息!$C:$C,盘货信息!$H:$H)&lt;1,"",ROUND(_xlfn.XLOOKUP($A370&amp;$B370&amp;$C370,盘货信息!$A:$A&amp;盘货信息!$B:$B&amp;盘货信息!$C:$C,盘货信息!$H:$H),0)&amp;"元消费券"))</f>
        <v/>
      </c>
      <c r="J370" s="27" t="str" cm="1">
        <f t="array" ref="J370">IF($C370="","",IF(_xlfn.XLOOKUP($A370&amp;$B370&amp;$C370,盘货信息!$A:$A&amp;盘货信息!$B:$B&amp;盘货信息!$C:$C,盘货信息!$J:$J)&lt;1,"",ROUND(_xlfn.XLOOKUP($A370&amp;$B370&amp;$C370,盘货信息!$A:$A&amp;盘货信息!$B:$B&amp;盘货信息!$C:$C,盘货信息!$J:$J),0)&amp;"元限时补贴"))</f>
        <v/>
      </c>
      <c r="K370" s="27" t="str" cm="1">
        <f t="array" ref="K370">IF($C370="","",IF(_xlfn.XLOOKUP($A370&amp;$B370&amp;$C370,盘货信息!$A:$A&amp;盘货信息!$B:$B&amp;盘货信息!$C:$C,盘货信息!$K:$K)&lt;1,"",ROUND(_xlfn.XLOOKUP($A370&amp;$B370&amp;$C370,盘货信息!$A:$A&amp;盘货信息!$B:$B&amp;盘货信息!$C:$C,盘货信息!$K:$K),0)&amp;"元预估焕新补贴"))</f>
        <v/>
      </c>
      <c r="L370" s="27" t="str" cm="1">
        <f t="array" ref="L370">IF($C370="","",IF(AND(_xlfn.XLOOKUP($A370&amp;$B370&amp;$C370,盘货信息!$A:$A&amp;盘货信息!$B:$B&amp;盘货信息!$C:$C,盘货信息!$L:$L)="是",_xlfn.XLOOKUP($A370&amp;$B370&amp;$C370,盘货信息!$A:$A&amp;盘货信息!$B:$B&amp;盘货信息!$C:$C,盘货信息!$M:$M)="是",_xlfn.XLOOKUP($A370&amp;$B370&amp;$C370,盘货信息!$A:$A&amp;盘货信息!$B:$B&amp;盘货信息!$C:$C,盘货信息!$K:$K)&gt;0),"【全民可用，不限地址】",IF(AND(OR(_xlfn.XLOOKUP($A370&amp;$B370&amp;$C370,盘货信息!$A:$A&amp;盘货信息!$B:$B&amp;盘货信息!$C:$C,盘货信息!$L:$L)="否",_xlfn.XLOOKUP($A370&amp;$B370&amp;$C370,盘货信息!$A:$A&amp;盘货信息!$B:$B&amp;盘货信息!$C:$C,盘货信息!$L:$L)=""),_xlfn.XLOOKUP($A370&amp;$B370&amp;$C370,盘货信息!$A:$A&amp;盘货信息!$B:$B&amp;盘货信息!$C:$C,盘货信息!$M:$M)="是",_xlfn.XLOOKUP($A370&amp;$B370&amp;$C370,盘货信息!$A:$A&amp;盘货信息!$B:$B&amp;盘货信息!$C:$C,盘货信息!$K:$K)&gt;0),"【详情页领取】","")))</f>
        <v/>
      </c>
      <c r="M370" s="27" t="str" cm="1">
        <f t="array" ref="M370">IF($C370="","",IF(_xlfn.XLOOKUP($A370&amp;$B370&amp;$C370,盘货信息!$A:$A&amp;盘货信息!$B:$B&amp;盘货信息!$C:$C,盘货信息!$F:$F)&lt;1,"",_xlfn.XLOOKUP($A370&amp;$B370&amp;$C370,盘货信息!$A:$A&amp;盘货信息!$B:$B&amp;盘货信息!$C:$C,盘货信息!$F:$F)&amp;"元明卷"))</f>
        <v/>
      </c>
      <c r="N370" s="27" t="str">
        <f t="shared" si="11"/>
        <v/>
      </c>
      <c r="O370" s="27" t="str">
        <f>IF(I370="","","【消费券链接】"&amp;固定信息!$B$6)</f>
        <v/>
      </c>
    </row>
    <row r="371" customHeight="1" spans="1:15">
      <c r="A371" s="23" t="str">
        <f>IF(盘货信息!A371="","",盘货信息!A371)</f>
        <v/>
      </c>
      <c r="B371" s="26" t="str">
        <f>IF(盘货信息!B371="","",盘货信息!B371)</f>
        <v/>
      </c>
      <c r="C371" s="23" t="str">
        <f>IF(盘货信息!C371="","",盘货信息!C371)</f>
        <v/>
      </c>
      <c r="D371" s="27" t="str">
        <f t="shared" si="10"/>
        <v/>
      </c>
      <c r="E371" s="27" t="str" cm="1">
        <f t="array" ref="E371">IF($C371="","",IF(AND(OR(_xlfn.XLOOKUP($A371&amp;$B371&amp;$C371,盘货信息!$A:$A&amp;盘货信息!$B:$B&amp;盘货信息!$C:$C,盘货信息!$L:$L)="否",_xlfn.XLOOKUP($A371&amp;$B371&amp;$C371,盘货信息!$A:$A&amp;盘货信息!$B:$B&amp;盘货信息!$C:$C,盘货信息!$L:$L)=""),_xlfn.XLOOKUP($A371&amp;$B371&amp;$C371,盘货信息!$A:$A&amp;盘货信息!$B:$B&amp;盘货信息!$C:$C,盘货信息!$M:$M)="否"),"【预估到手价"&amp;_xlfn.XLOOKUP($A371&amp;$B371&amp;$C371,盘货信息!$A:$A&amp;盘货信息!$B:$B&amp;盘货信息!$C:$C,盘货信息!$D:$D)&amp;"元】",IF(AND(_xlfn.XLOOKUP($A371&amp;$B371&amp;$C371,盘货信息!$A:$A&amp;盘货信息!$B:$B&amp;盘货信息!$C:$C,盘货信息!$M:$M)="是",OR(_xlfn.XLOOKUP($A371&amp;$B371&amp;$C371,盘货信息!$A:$A&amp;盘货信息!$B:$B&amp;盘货信息!$C:$C,盘货信息!$L:$L)="否",_xlfn.XLOOKUP($A371&amp;$B371&amp;$C371,盘货信息!$A:$A&amp;盘货信息!$B:$B&amp;盘货信息!$C:$C,盘货信息!$L:$L)="")),"【预估到手价"&amp;_xlfn.XLOOKUP($A371&amp;$B371&amp;$C371,盘货信息!$A:$A&amp;盘货信息!$B:$B&amp;盘货信息!$C:$C,盘货信息!$D:$D)&amp;"元】"&amp;CHAR(10)&amp;"【焕新补贴预估价"&amp;ROUND(_xlfn.XLOOKUP($A371&amp;$B371&amp;$C371,盘货信息!$A:$A&amp;盘货信息!$B:$B&amp;盘货信息!$C:$C,盘货信息!$E:$E),0)&amp;"元】","【焕新补贴预估价"&amp;ROUND(_xlfn.XLOOKUP($A371&amp;$B371&amp;$C371,盘货信息!$A:$A&amp;盘货信息!$B:$B&amp;盘货信息!$C:$C,盘货信息!$E:$E),0)&amp;"元】")))</f>
        <v/>
      </c>
      <c r="F371" s="27" t="str" cm="1">
        <f t="array" ref="F371">IF($C371="","",_xlfn.XLOOKUP($A371&amp;$B371&amp;$C371,盘货信息!$A:$A&amp;盘货信息!$B:$B&amp;盘货信息!$C:$C,盘货信息!$D:$D)&amp;"元到手价")</f>
        <v/>
      </c>
      <c r="G371" s="27" t="str" cm="1">
        <f t="array" ref="G371">IF($C371="","",IF(_xlfn.XLOOKUP($A371&amp;$B371&amp;$C371,盘货信息!$A:$A&amp;盘货信息!$B:$B&amp;盘货信息!$C:$C,盘货信息!$G:$G)&lt;1,"",ROUND(_xlfn.XLOOKUP($A371&amp;$B371&amp;$C371,盘货信息!$A:$A&amp;盘货信息!$B:$B&amp;盘货信息!$C:$C,盘货信息!$G:$G),0)&amp;"元88VIP立减"))</f>
        <v/>
      </c>
      <c r="H371" s="27" t="str" cm="1">
        <f t="array" ref="H371">IF($C371="","",IF(_xlfn.XLOOKUP($A371&amp;$B371&amp;$C371,盘货信息!$A:$A&amp;盘货信息!$B:$B&amp;盘货信息!$C:$C,盘货信息!$I:$I)&lt;1,"",_xlfn.XLOOKUP($A371&amp;$B371&amp;$C371,盘货信息!$A:$A&amp;盘货信息!$B:$B&amp;盘货信息!$C:$C,盘货信息!$I:$I)&amp;"元惊喜立减"))</f>
        <v/>
      </c>
      <c r="I371" s="27" t="str" cm="1">
        <f t="array" ref="I371">IF($C371="","",IF(_xlfn.XLOOKUP($A371&amp;$B371&amp;$C371,盘货信息!$A:$A&amp;盘货信息!$B:$B&amp;盘货信息!$C:$C,盘货信息!$H:$H)&lt;1,"",ROUND(_xlfn.XLOOKUP($A371&amp;$B371&amp;$C371,盘货信息!$A:$A&amp;盘货信息!$B:$B&amp;盘货信息!$C:$C,盘货信息!$H:$H),0)&amp;"元消费券"))</f>
        <v/>
      </c>
      <c r="J371" s="27" t="str" cm="1">
        <f t="array" ref="J371">IF($C371="","",IF(_xlfn.XLOOKUP($A371&amp;$B371&amp;$C371,盘货信息!$A:$A&amp;盘货信息!$B:$B&amp;盘货信息!$C:$C,盘货信息!$J:$J)&lt;1,"",ROUND(_xlfn.XLOOKUP($A371&amp;$B371&amp;$C371,盘货信息!$A:$A&amp;盘货信息!$B:$B&amp;盘货信息!$C:$C,盘货信息!$J:$J),0)&amp;"元限时补贴"))</f>
        <v/>
      </c>
      <c r="K371" s="27" t="str" cm="1">
        <f t="array" ref="K371">IF($C371="","",IF(_xlfn.XLOOKUP($A371&amp;$B371&amp;$C371,盘货信息!$A:$A&amp;盘货信息!$B:$B&amp;盘货信息!$C:$C,盘货信息!$K:$K)&lt;1,"",ROUND(_xlfn.XLOOKUP($A371&amp;$B371&amp;$C371,盘货信息!$A:$A&amp;盘货信息!$B:$B&amp;盘货信息!$C:$C,盘货信息!$K:$K),0)&amp;"元预估焕新补贴"))</f>
        <v/>
      </c>
      <c r="L371" s="27" t="str" cm="1">
        <f t="array" ref="L371">IF($C371="","",IF(AND(_xlfn.XLOOKUP($A371&amp;$B371&amp;$C371,盘货信息!$A:$A&amp;盘货信息!$B:$B&amp;盘货信息!$C:$C,盘货信息!$L:$L)="是",_xlfn.XLOOKUP($A371&amp;$B371&amp;$C371,盘货信息!$A:$A&amp;盘货信息!$B:$B&amp;盘货信息!$C:$C,盘货信息!$M:$M)="是",_xlfn.XLOOKUP($A371&amp;$B371&amp;$C371,盘货信息!$A:$A&amp;盘货信息!$B:$B&amp;盘货信息!$C:$C,盘货信息!$K:$K)&gt;0),"【全民可用，不限地址】",IF(AND(OR(_xlfn.XLOOKUP($A371&amp;$B371&amp;$C371,盘货信息!$A:$A&amp;盘货信息!$B:$B&amp;盘货信息!$C:$C,盘货信息!$L:$L)="否",_xlfn.XLOOKUP($A371&amp;$B371&amp;$C371,盘货信息!$A:$A&amp;盘货信息!$B:$B&amp;盘货信息!$C:$C,盘货信息!$L:$L)=""),_xlfn.XLOOKUP($A371&amp;$B371&amp;$C371,盘货信息!$A:$A&amp;盘货信息!$B:$B&amp;盘货信息!$C:$C,盘货信息!$M:$M)="是",_xlfn.XLOOKUP($A371&amp;$B371&amp;$C371,盘货信息!$A:$A&amp;盘货信息!$B:$B&amp;盘货信息!$C:$C,盘货信息!$K:$K)&gt;0),"【详情页领取】","")))</f>
        <v/>
      </c>
      <c r="M371" s="27" t="str" cm="1">
        <f t="array" ref="M371">IF($C371="","",IF(_xlfn.XLOOKUP($A371&amp;$B371&amp;$C371,盘货信息!$A:$A&amp;盘货信息!$B:$B&amp;盘货信息!$C:$C,盘货信息!$F:$F)&lt;1,"",_xlfn.XLOOKUP($A371&amp;$B371&amp;$C371,盘货信息!$A:$A&amp;盘货信息!$B:$B&amp;盘货信息!$C:$C,盘货信息!$F:$F)&amp;"元明卷"))</f>
        <v/>
      </c>
      <c r="N371" s="27" t="str">
        <f t="shared" si="11"/>
        <v/>
      </c>
      <c r="O371" s="27" t="str">
        <f>IF(I371="","","【消费券链接】"&amp;固定信息!$B$6)</f>
        <v/>
      </c>
    </row>
    <row r="372" customHeight="1" spans="1:15">
      <c r="A372" s="23" t="str">
        <f>IF(盘货信息!A372="","",盘货信息!A372)</f>
        <v/>
      </c>
      <c r="B372" s="26" t="str">
        <f>IF(盘货信息!B372="","",盘货信息!B372)</f>
        <v/>
      </c>
      <c r="C372" s="23" t="str">
        <f>IF(盘货信息!C372="","",盘货信息!C372)</f>
        <v/>
      </c>
      <c r="D372" s="27" t="str">
        <f t="shared" si="10"/>
        <v/>
      </c>
      <c r="E372" s="27" t="str" cm="1">
        <f t="array" ref="E372">IF($C372="","",IF(AND(OR(_xlfn.XLOOKUP($A372&amp;$B372&amp;$C372,盘货信息!$A:$A&amp;盘货信息!$B:$B&amp;盘货信息!$C:$C,盘货信息!$L:$L)="否",_xlfn.XLOOKUP($A372&amp;$B372&amp;$C372,盘货信息!$A:$A&amp;盘货信息!$B:$B&amp;盘货信息!$C:$C,盘货信息!$L:$L)=""),_xlfn.XLOOKUP($A372&amp;$B372&amp;$C372,盘货信息!$A:$A&amp;盘货信息!$B:$B&amp;盘货信息!$C:$C,盘货信息!$M:$M)="否"),"【预估到手价"&amp;_xlfn.XLOOKUP($A372&amp;$B372&amp;$C372,盘货信息!$A:$A&amp;盘货信息!$B:$B&amp;盘货信息!$C:$C,盘货信息!$D:$D)&amp;"元】",IF(AND(_xlfn.XLOOKUP($A372&amp;$B372&amp;$C372,盘货信息!$A:$A&amp;盘货信息!$B:$B&amp;盘货信息!$C:$C,盘货信息!$M:$M)="是",OR(_xlfn.XLOOKUP($A372&amp;$B372&amp;$C372,盘货信息!$A:$A&amp;盘货信息!$B:$B&amp;盘货信息!$C:$C,盘货信息!$L:$L)="否",_xlfn.XLOOKUP($A372&amp;$B372&amp;$C372,盘货信息!$A:$A&amp;盘货信息!$B:$B&amp;盘货信息!$C:$C,盘货信息!$L:$L)="")),"【预估到手价"&amp;_xlfn.XLOOKUP($A372&amp;$B372&amp;$C372,盘货信息!$A:$A&amp;盘货信息!$B:$B&amp;盘货信息!$C:$C,盘货信息!$D:$D)&amp;"元】"&amp;CHAR(10)&amp;"【焕新补贴预估价"&amp;ROUND(_xlfn.XLOOKUP($A372&amp;$B372&amp;$C372,盘货信息!$A:$A&amp;盘货信息!$B:$B&amp;盘货信息!$C:$C,盘货信息!$E:$E),0)&amp;"元】","【焕新补贴预估价"&amp;ROUND(_xlfn.XLOOKUP($A372&amp;$B372&amp;$C372,盘货信息!$A:$A&amp;盘货信息!$B:$B&amp;盘货信息!$C:$C,盘货信息!$E:$E),0)&amp;"元】")))</f>
        <v/>
      </c>
      <c r="F372" s="27" t="str" cm="1">
        <f t="array" ref="F372">IF($C372="","",_xlfn.XLOOKUP($A372&amp;$B372&amp;$C372,盘货信息!$A:$A&amp;盘货信息!$B:$B&amp;盘货信息!$C:$C,盘货信息!$D:$D)&amp;"元到手价")</f>
        <v/>
      </c>
      <c r="G372" s="27" t="str" cm="1">
        <f t="array" ref="G372">IF($C372="","",IF(_xlfn.XLOOKUP($A372&amp;$B372&amp;$C372,盘货信息!$A:$A&amp;盘货信息!$B:$B&amp;盘货信息!$C:$C,盘货信息!$G:$G)&lt;1,"",ROUND(_xlfn.XLOOKUP($A372&amp;$B372&amp;$C372,盘货信息!$A:$A&amp;盘货信息!$B:$B&amp;盘货信息!$C:$C,盘货信息!$G:$G),0)&amp;"元88VIP立减"))</f>
        <v/>
      </c>
      <c r="H372" s="27" t="str" cm="1">
        <f t="array" ref="H372">IF($C372="","",IF(_xlfn.XLOOKUP($A372&amp;$B372&amp;$C372,盘货信息!$A:$A&amp;盘货信息!$B:$B&amp;盘货信息!$C:$C,盘货信息!$I:$I)&lt;1,"",_xlfn.XLOOKUP($A372&amp;$B372&amp;$C372,盘货信息!$A:$A&amp;盘货信息!$B:$B&amp;盘货信息!$C:$C,盘货信息!$I:$I)&amp;"元惊喜立减"))</f>
        <v/>
      </c>
      <c r="I372" s="27" t="str" cm="1">
        <f t="array" ref="I372">IF($C372="","",IF(_xlfn.XLOOKUP($A372&amp;$B372&amp;$C372,盘货信息!$A:$A&amp;盘货信息!$B:$B&amp;盘货信息!$C:$C,盘货信息!$H:$H)&lt;1,"",ROUND(_xlfn.XLOOKUP($A372&amp;$B372&amp;$C372,盘货信息!$A:$A&amp;盘货信息!$B:$B&amp;盘货信息!$C:$C,盘货信息!$H:$H),0)&amp;"元消费券"))</f>
        <v/>
      </c>
      <c r="J372" s="27" t="str" cm="1">
        <f t="array" ref="J372">IF($C372="","",IF(_xlfn.XLOOKUP($A372&amp;$B372&amp;$C372,盘货信息!$A:$A&amp;盘货信息!$B:$B&amp;盘货信息!$C:$C,盘货信息!$J:$J)&lt;1,"",ROUND(_xlfn.XLOOKUP($A372&amp;$B372&amp;$C372,盘货信息!$A:$A&amp;盘货信息!$B:$B&amp;盘货信息!$C:$C,盘货信息!$J:$J),0)&amp;"元限时补贴"))</f>
        <v/>
      </c>
      <c r="K372" s="27" t="str" cm="1">
        <f t="array" ref="K372">IF($C372="","",IF(_xlfn.XLOOKUP($A372&amp;$B372&amp;$C372,盘货信息!$A:$A&amp;盘货信息!$B:$B&amp;盘货信息!$C:$C,盘货信息!$K:$K)&lt;1,"",ROUND(_xlfn.XLOOKUP($A372&amp;$B372&amp;$C372,盘货信息!$A:$A&amp;盘货信息!$B:$B&amp;盘货信息!$C:$C,盘货信息!$K:$K),0)&amp;"元预估焕新补贴"))</f>
        <v/>
      </c>
      <c r="L372" s="27" t="str" cm="1">
        <f t="array" ref="L372">IF($C372="","",IF(AND(_xlfn.XLOOKUP($A372&amp;$B372&amp;$C372,盘货信息!$A:$A&amp;盘货信息!$B:$B&amp;盘货信息!$C:$C,盘货信息!$L:$L)="是",_xlfn.XLOOKUP($A372&amp;$B372&amp;$C372,盘货信息!$A:$A&amp;盘货信息!$B:$B&amp;盘货信息!$C:$C,盘货信息!$M:$M)="是",_xlfn.XLOOKUP($A372&amp;$B372&amp;$C372,盘货信息!$A:$A&amp;盘货信息!$B:$B&amp;盘货信息!$C:$C,盘货信息!$K:$K)&gt;0),"【全民可用，不限地址】",IF(AND(OR(_xlfn.XLOOKUP($A372&amp;$B372&amp;$C372,盘货信息!$A:$A&amp;盘货信息!$B:$B&amp;盘货信息!$C:$C,盘货信息!$L:$L)="否",_xlfn.XLOOKUP($A372&amp;$B372&amp;$C372,盘货信息!$A:$A&amp;盘货信息!$B:$B&amp;盘货信息!$C:$C,盘货信息!$L:$L)=""),_xlfn.XLOOKUP($A372&amp;$B372&amp;$C372,盘货信息!$A:$A&amp;盘货信息!$B:$B&amp;盘货信息!$C:$C,盘货信息!$M:$M)="是",_xlfn.XLOOKUP($A372&amp;$B372&amp;$C372,盘货信息!$A:$A&amp;盘货信息!$B:$B&amp;盘货信息!$C:$C,盘货信息!$K:$K)&gt;0),"【详情页领取】","")))</f>
        <v/>
      </c>
      <c r="M372" s="27" t="str" cm="1">
        <f t="array" ref="M372">IF($C372="","",IF(_xlfn.XLOOKUP($A372&amp;$B372&amp;$C372,盘货信息!$A:$A&amp;盘货信息!$B:$B&amp;盘货信息!$C:$C,盘货信息!$F:$F)&lt;1,"",_xlfn.XLOOKUP($A372&amp;$B372&amp;$C372,盘货信息!$A:$A&amp;盘货信息!$B:$B&amp;盘货信息!$C:$C,盘货信息!$F:$F)&amp;"元明卷"))</f>
        <v/>
      </c>
      <c r="N372" s="27" t="str">
        <f t="shared" si="11"/>
        <v/>
      </c>
      <c r="O372" s="27" t="str">
        <f>IF(I372="","","【消费券链接】"&amp;固定信息!$B$6)</f>
        <v/>
      </c>
    </row>
    <row r="373" customHeight="1" spans="1:15">
      <c r="A373" s="23" t="str">
        <f>IF(盘货信息!A373="","",盘货信息!A373)</f>
        <v/>
      </c>
      <c r="B373" s="26" t="str">
        <f>IF(盘货信息!B373="","",盘货信息!B373)</f>
        <v/>
      </c>
      <c r="C373" s="23" t="str">
        <f>IF(盘货信息!C373="","",盘货信息!C373)</f>
        <v/>
      </c>
      <c r="D373" s="27" t="str">
        <f t="shared" si="10"/>
        <v/>
      </c>
      <c r="E373" s="27" t="str" cm="1">
        <f t="array" ref="E373">IF($C373="","",IF(AND(OR(_xlfn.XLOOKUP($A373&amp;$B373&amp;$C373,盘货信息!$A:$A&amp;盘货信息!$B:$B&amp;盘货信息!$C:$C,盘货信息!$L:$L)="否",_xlfn.XLOOKUP($A373&amp;$B373&amp;$C373,盘货信息!$A:$A&amp;盘货信息!$B:$B&amp;盘货信息!$C:$C,盘货信息!$L:$L)=""),_xlfn.XLOOKUP($A373&amp;$B373&amp;$C373,盘货信息!$A:$A&amp;盘货信息!$B:$B&amp;盘货信息!$C:$C,盘货信息!$M:$M)="否"),"【预估到手价"&amp;_xlfn.XLOOKUP($A373&amp;$B373&amp;$C373,盘货信息!$A:$A&amp;盘货信息!$B:$B&amp;盘货信息!$C:$C,盘货信息!$D:$D)&amp;"元】",IF(AND(_xlfn.XLOOKUP($A373&amp;$B373&amp;$C373,盘货信息!$A:$A&amp;盘货信息!$B:$B&amp;盘货信息!$C:$C,盘货信息!$M:$M)="是",OR(_xlfn.XLOOKUP($A373&amp;$B373&amp;$C373,盘货信息!$A:$A&amp;盘货信息!$B:$B&amp;盘货信息!$C:$C,盘货信息!$L:$L)="否",_xlfn.XLOOKUP($A373&amp;$B373&amp;$C373,盘货信息!$A:$A&amp;盘货信息!$B:$B&amp;盘货信息!$C:$C,盘货信息!$L:$L)="")),"【预估到手价"&amp;_xlfn.XLOOKUP($A373&amp;$B373&amp;$C373,盘货信息!$A:$A&amp;盘货信息!$B:$B&amp;盘货信息!$C:$C,盘货信息!$D:$D)&amp;"元】"&amp;CHAR(10)&amp;"【焕新补贴预估价"&amp;ROUND(_xlfn.XLOOKUP($A373&amp;$B373&amp;$C373,盘货信息!$A:$A&amp;盘货信息!$B:$B&amp;盘货信息!$C:$C,盘货信息!$E:$E),0)&amp;"元】","【焕新补贴预估价"&amp;ROUND(_xlfn.XLOOKUP($A373&amp;$B373&amp;$C373,盘货信息!$A:$A&amp;盘货信息!$B:$B&amp;盘货信息!$C:$C,盘货信息!$E:$E),0)&amp;"元】")))</f>
        <v/>
      </c>
      <c r="F373" s="27" t="str" cm="1">
        <f t="array" ref="F373">IF($C373="","",_xlfn.XLOOKUP($A373&amp;$B373&amp;$C373,盘货信息!$A:$A&amp;盘货信息!$B:$B&amp;盘货信息!$C:$C,盘货信息!$D:$D)&amp;"元到手价")</f>
        <v/>
      </c>
      <c r="G373" s="27" t="str" cm="1">
        <f t="array" ref="G373">IF($C373="","",IF(_xlfn.XLOOKUP($A373&amp;$B373&amp;$C373,盘货信息!$A:$A&amp;盘货信息!$B:$B&amp;盘货信息!$C:$C,盘货信息!$G:$G)&lt;1,"",ROUND(_xlfn.XLOOKUP($A373&amp;$B373&amp;$C373,盘货信息!$A:$A&amp;盘货信息!$B:$B&amp;盘货信息!$C:$C,盘货信息!$G:$G),0)&amp;"元88VIP立减"))</f>
        <v/>
      </c>
      <c r="H373" s="27" t="str" cm="1">
        <f t="array" ref="H373">IF($C373="","",IF(_xlfn.XLOOKUP($A373&amp;$B373&amp;$C373,盘货信息!$A:$A&amp;盘货信息!$B:$B&amp;盘货信息!$C:$C,盘货信息!$I:$I)&lt;1,"",_xlfn.XLOOKUP($A373&amp;$B373&amp;$C373,盘货信息!$A:$A&amp;盘货信息!$B:$B&amp;盘货信息!$C:$C,盘货信息!$I:$I)&amp;"元惊喜立减"))</f>
        <v/>
      </c>
      <c r="I373" s="27" t="str" cm="1">
        <f t="array" ref="I373">IF($C373="","",IF(_xlfn.XLOOKUP($A373&amp;$B373&amp;$C373,盘货信息!$A:$A&amp;盘货信息!$B:$B&amp;盘货信息!$C:$C,盘货信息!$H:$H)&lt;1,"",ROUND(_xlfn.XLOOKUP($A373&amp;$B373&amp;$C373,盘货信息!$A:$A&amp;盘货信息!$B:$B&amp;盘货信息!$C:$C,盘货信息!$H:$H),0)&amp;"元消费券"))</f>
        <v/>
      </c>
      <c r="J373" s="27" t="str" cm="1">
        <f t="array" ref="J373">IF($C373="","",IF(_xlfn.XLOOKUP($A373&amp;$B373&amp;$C373,盘货信息!$A:$A&amp;盘货信息!$B:$B&amp;盘货信息!$C:$C,盘货信息!$J:$J)&lt;1,"",ROUND(_xlfn.XLOOKUP($A373&amp;$B373&amp;$C373,盘货信息!$A:$A&amp;盘货信息!$B:$B&amp;盘货信息!$C:$C,盘货信息!$J:$J),0)&amp;"元限时补贴"))</f>
        <v/>
      </c>
      <c r="K373" s="27" t="str" cm="1">
        <f t="array" ref="K373">IF($C373="","",IF(_xlfn.XLOOKUP($A373&amp;$B373&amp;$C373,盘货信息!$A:$A&amp;盘货信息!$B:$B&amp;盘货信息!$C:$C,盘货信息!$K:$K)&lt;1,"",ROUND(_xlfn.XLOOKUP($A373&amp;$B373&amp;$C373,盘货信息!$A:$A&amp;盘货信息!$B:$B&amp;盘货信息!$C:$C,盘货信息!$K:$K),0)&amp;"元预估焕新补贴"))</f>
        <v/>
      </c>
      <c r="L373" s="27" t="str" cm="1">
        <f t="array" ref="L373">IF($C373="","",IF(AND(_xlfn.XLOOKUP($A373&amp;$B373&amp;$C373,盘货信息!$A:$A&amp;盘货信息!$B:$B&amp;盘货信息!$C:$C,盘货信息!$L:$L)="是",_xlfn.XLOOKUP($A373&amp;$B373&amp;$C373,盘货信息!$A:$A&amp;盘货信息!$B:$B&amp;盘货信息!$C:$C,盘货信息!$M:$M)="是",_xlfn.XLOOKUP($A373&amp;$B373&amp;$C373,盘货信息!$A:$A&amp;盘货信息!$B:$B&amp;盘货信息!$C:$C,盘货信息!$K:$K)&gt;0),"【全民可用，不限地址】",IF(AND(OR(_xlfn.XLOOKUP($A373&amp;$B373&amp;$C373,盘货信息!$A:$A&amp;盘货信息!$B:$B&amp;盘货信息!$C:$C,盘货信息!$L:$L)="否",_xlfn.XLOOKUP($A373&amp;$B373&amp;$C373,盘货信息!$A:$A&amp;盘货信息!$B:$B&amp;盘货信息!$C:$C,盘货信息!$L:$L)=""),_xlfn.XLOOKUP($A373&amp;$B373&amp;$C373,盘货信息!$A:$A&amp;盘货信息!$B:$B&amp;盘货信息!$C:$C,盘货信息!$M:$M)="是",_xlfn.XLOOKUP($A373&amp;$B373&amp;$C373,盘货信息!$A:$A&amp;盘货信息!$B:$B&amp;盘货信息!$C:$C,盘货信息!$K:$K)&gt;0),"【详情页领取】","")))</f>
        <v/>
      </c>
      <c r="M373" s="27" t="str" cm="1">
        <f t="array" ref="M373">IF($C373="","",IF(_xlfn.XLOOKUP($A373&amp;$B373&amp;$C373,盘货信息!$A:$A&amp;盘货信息!$B:$B&amp;盘货信息!$C:$C,盘货信息!$F:$F)&lt;1,"",_xlfn.XLOOKUP($A373&amp;$B373&amp;$C373,盘货信息!$A:$A&amp;盘货信息!$B:$B&amp;盘货信息!$C:$C,盘货信息!$F:$F)&amp;"元明卷"))</f>
        <v/>
      </c>
      <c r="N373" s="27" t="str">
        <f t="shared" si="11"/>
        <v/>
      </c>
      <c r="O373" s="27" t="str">
        <f>IF(I373="","","【消费券链接】"&amp;固定信息!$B$6)</f>
        <v/>
      </c>
    </row>
    <row r="374" customHeight="1" spans="1:15">
      <c r="A374" s="23" t="str">
        <f>IF(盘货信息!A374="","",盘货信息!A374)</f>
        <v/>
      </c>
      <c r="B374" s="26" t="str">
        <f>IF(盘货信息!B374="","",盘货信息!B374)</f>
        <v/>
      </c>
      <c r="C374" s="23" t="str">
        <f>IF(盘货信息!C374="","",盘货信息!C374)</f>
        <v/>
      </c>
      <c r="D374" s="27" t="str">
        <f t="shared" si="10"/>
        <v/>
      </c>
      <c r="E374" s="27" t="str" cm="1">
        <f t="array" ref="E374">IF($C374="","",IF(AND(OR(_xlfn.XLOOKUP($A374&amp;$B374&amp;$C374,盘货信息!$A:$A&amp;盘货信息!$B:$B&amp;盘货信息!$C:$C,盘货信息!$L:$L)="否",_xlfn.XLOOKUP($A374&amp;$B374&amp;$C374,盘货信息!$A:$A&amp;盘货信息!$B:$B&amp;盘货信息!$C:$C,盘货信息!$L:$L)=""),_xlfn.XLOOKUP($A374&amp;$B374&amp;$C374,盘货信息!$A:$A&amp;盘货信息!$B:$B&amp;盘货信息!$C:$C,盘货信息!$M:$M)="否"),"【预估到手价"&amp;_xlfn.XLOOKUP($A374&amp;$B374&amp;$C374,盘货信息!$A:$A&amp;盘货信息!$B:$B&amp;盘货信息!$C:$C,盘货信息!$D:$D)&amp;"元】",IF(AND(_xlfn.XLOOKUP($A374&amp;$B374&amp;$C374,盘货信息!$A:$A&amp;盘货信息!$B:$B&amp;盘货信息!$C:$C,盘货信息!$M:$M)="是",OR(_xlfn.XLOOKUP($A374&amp;$B374&amp;$C374,盘货信息!$A:$A&amp;盘货信息!$B:$B&amp;盘货信息!$C:$C,盘货信息!$L:$L)="否",_xlfn.XLOOKUP($A374&amp;$B374&amp;$C374,盘货信息!$A:$A&amp;盘货信息!$B:$B&amp;盘货信息!$C:$C,盘货信息!$L:$L)="")),"【预估到手价"&amp;_xlfn.XLOOKUP($A374&amp;$B374&amp;$C374,盘货信息!$A:$A&amp;盘货信息!$B:$B&amp;盘货信息!$C:$C,盘货信息!$D:$D)&amp;"元】"&amp;CHAR(10)&amp;"【焕新补贴预估价"&amp;ROUND(_xlfn.XLOOKUP($A374&amp;$B374&amp;$C374,盘货信息!$A:$A&amp;盘货信息!$B:$B&amp;盘货信息!$C:$C,盘货信息!$E:$E),0)&amp;"元】","【焕新补贴预估价"&amp;ROUND(_xlfn.XLOOKUP($A374&amp;$B374&amp;$C374,盘货信息!$A:$A&amp;盘货信息!$B:$B&amp;盘货信息!$C:$C,盘货信息!$E:$E),0)&amp;"元】")))</f>
        <v/>
      </c>
      <c r="F374" s="27" t="str" cm="1">
        <f t="array" ref="F374">IF($C374="","",_xlfn.XLOOKUP($A374&amp;$B374&amp;$C374,盘货信息!$A:$A&amp;盘货信息!$B:$B&amp;盘货信息!$C:$C,盘货信息!$D:$D)&amp;"元到手价")</f>
        <v/>
      </c>
      <c r="G374" s="27" t="str" cm="1">
        <f t="array" ref="G374">IF($C374="","",IF(_xlfn.XLOOKUP($A374&amp;$B374&amp;$C374,盘货信息!$A:$A&amp;盘货信息!$B:$B&amp;盘货信息!$C:$C,盘货信息!$G:$G)&lt;1,"",ROUND(_xlfn.XLOOKUP($A374&amp;$B374&amp;$C374,盘货信息!$A:$A&amp;盘货信息!$B:$B&amp;盘货信息!$C:$C,盘货信息!$G:$G),0)&amp;"元88VIP立减"))</f>
        <v/>
      </c>
      <c r="H374" s="27" t="str" cm="1">
        <f t="array" ref="H374">IF($C374="","",IF(_xlfn.XLOOKUP($A374&amp;$B374&amp;$C374,盘货信息!$A:$A&amp;盘货信息!$B:$B&amp;盘货信息!$C:$C,盘货信息!$I:$I)&lt;1,"",_xlfn.XLOOKUP($A374&amp;$B374&amp;$C374,盘货信息!$A:$A&amp;盘货信息!$B:$B&amp;盘货信息!$C:$C,盘货信息!$I:$I)&amp;"元惊喜立减"))</f>
        <v/>
      </c>
      <c r="I374" s="27" t="str" cm="1">
        <f t="array" ref="I374">IF($C374="","",IF(_xlfn.XLOOKUP($A374&amp;$B374&amp;$C374,盘货信息!$A:$A&amp;盘货信息!$B:$B&amp;盘货信息!$C:$C,盘货信息!$H:$H)&lt;1,"",ROUND(_xlfn.XLOOKUP($A374&amp;$B374&amp;$C374,盘货信息!$A:$A&amp;盘货信息!$B:$B&amp;盘货信息!$C:$C,盘货信息!$H:$H),0)&amp;"元消费券"))</f>
        <v/>
      </c>
      <c r="J374" s="27" t="str" cm="1">
        <f t="array" ref="J374">IF($C374="","",IF(_xlfn.XLOOKUP($A374&amp;$B374&amp;$C374,盘货信息!$A:$A&amp;盘货信息!$B:$B&amp;盘货信息!$C:$C,盘货信息!$J:$J)&lt;1,"",ROUND(_xlfn.XLOOKUP($A374&amp;$B374&amp;$C374,盘货信息!$A:$A&amp;盘货信息!$B:$B&amp;盘货信息!$C:$C,盘货信息!$J:$J),0)&amp;"元限时补贴"))</f>
        <v/>
      </c>
      <c r="K374" s="27" t="str" cm="1">
        <f t="array" ref="K374">IF($C374="","",IF(_xlfn.XLOOKUP($A374&amp;$B374&amp;$C374,盘货信息!$A:$A&amp;盘货信息!$B:$B&amp;盘货信息!$C:$C,盘货信息!$K:$K)&lt;1,"",ROUND(_xlfn.XLOOKUP($A374&amp;$B374&amp;$C374,盘货信息!$A:$A&amp;盘货信息!$B:$B&amp;盘货信息!$C:$C,盘货信息!$K:$K),0)&amp;"元预估焕新补贴"))</f>
        <v/>
      </c>
      <c r="L374" s="27" t="str" cm="1">
        <f t="array" ref="L374">IF($C374="","",IF(AND(_xlfn.XLOOKUP($A374&amp;$B374&amp;$C374,盘货信息!$A:$A&amp;盘货信息!$B:$B&amp;盘货信息!$C:$C,盘货信息!$L:$L)="是",_xlfn.XLOOKUP($A374&amp;$B374&amp;$C374,盘货信息!$A:$A&amp;盘货信息!$B:$B&amp;盘货信息!$C:$C,盘货信息!$M:$M)="是",_xlfn.XLOOKUP($A374&amp;$B374&amp;$C374,盘货信息!$A:$A&amp;盘货信息!$B:$B&amp;盘货信息!$C:$C,盘货信息!$K:$K)&gt;0),"【全民可用，不限地址】",IF(AND(OR(_xlfn.XLOOKUP($A374&amp;$B374&amp;$C374,盘货信息!$A:$A&amp;盘货信息!$B:$B&amp;盘货信息!$C:$C,盘货信息!$L:$L)="否",_xlfn.XLOOKUP($A374&amp;$B374&amp;$C374,盘货信息!$A:$A&amp;盘货信息!$B:$B&amp;盘货信息!$C:$C,盘货信息!$L:$L)=""),_xlfn.XLOOKUP($A374&amp;$B374&amp;$C374,盘货信息!$A:$A&amp;盘货信息!$B:$B&amp;盘货信息!$C:$C,盘货信息!$M:$M)="是",_xlfn.XLOOKUP($A374&amp;$B374&amp;$C374,盘货信息!$A:$A&amp;盘货信息!$B:$B&amp;盘货信息!$C:$C,盘货信息!$K:$K)&gt;0),"【详情页领取】","")))</f>
        <v/>
      </c>
      <c r="M374" s="27" t="str" cm="1">
        <f t="array" ref="M374">IF($C374="","",IF(_xlfn.XLOOKUP($A374&amp;$B374&amp;$C374,盘货信息!$A:$A&amp;盘货信息!$B:$B&amp;盘货信息!$C:$C,盘货信息!$F:$F)&lt;1,"",_xlfn.XLOOKUP($A374&amp;$B374&amp;$C374,盘货信息!$A:$A&amp;盘货信息!$B:$B&amp;盘货信息!$C:$C,盘货信息!$F:$F)&amp;"元明卷"))</f>
        <v/>
      </c>
      <c r="N374" s="27" t="str">
        <f t="shared" si="11"/>
        <v/>
      </c>
      <c r="O374" s="27" t="str">
        <f>IF(I374="","","【消费券链接】"&amp;固定信息!$B$6)</f>
        <v/>
      </c>
    </row>
    <row r="375" customHeight="1" spans="1:15">
      <c r="A375" s="23" t="str">
        <f>IF(盘货信息!A375="","",盘货信息!A375)</f>
        <v/>
      </c>
      <c r="B375" s="26" t="str">
        <f>IF(盘货信息!B375="","",盘货信息!B375)</f>
        <v/>
      </c>
      <c r="C375" s="23" t="str">
        <f>IF(盘货信息!C375="","",盘货信息!C375)</f>
        <v/>
      </c>
      <c r="D375" s="27" t="str">
        <f t="shared" si="10"/>
        <v/>
      </c>
      <c r="E375" s="27" t="str" cm="1">
        <f t="array" ref="E375">IF($C375="","",IF(AND(OR(_xlfn.XLOOKUP($A375&amp;$B375&amp;$C375,盘货信息!$A:$A&amp;盘货信息!$B:$B&amp;盘货信息!$C:$C,盘货信息!$L:$L)="否",_xlfn.XLOOKUP($A375&amp;$B375&amp;$C375,盘货信息!$A:$A&amp;盘货信息!$B:$B&amp;盘货信息!$C:$C,盘货信息!$L:$L)=""),_xlfn.XLOOKUP($A375&amp;$B375&amp;$C375,盘货信息!$A:$A&amp;盘货信息!$B:$B&amp;盘货信息!$C:$C,盘货信息!$M:$M)="否"),"【预估到手价"&amp;_xlfn.XLOOKUP($A375&amp;$B375&amp;$C375,盘货信息!$A:$A&amp;盘货信息!$B:$B&amp;盘货信息!$C:$C,盘货信息!$D:$D)&amp;"元】",IF(AND(_xlfn.XLOOKUP($A375&amp;$B375&amp;$C375,盘货信息!$A:$A&amp;盘货信息!$B:$B&amp;盘货信息!$C:$C,盘货信息!$M:$M)="是",OR(_xlfn.XLOOKUP($A375&amp;$B375&amp;$C375,盘货信息!$A:$A&amp;盘货信息!$B:$B&amp;盘货信息!$C:$C,盘货信息!$L:$L)="否",_xlfn.XLOOKUP($A375&amp;$B375&amp;$C375,盘货信息!$A:$A&amp;盘货信息!$B:$B&amp;盘货信息!$C:$C,盘货信息!$L:$L)="")),"【预估到手价"&amp;_xlfn.XLOOKUP($A375&amp;$B375&amp;$C375,盘货信息!$A:$A&amp;盘货信息!$B:$B&amp;盘货信息!$C:$C,盘货信息!$D:$D)&amp;"元】"&amp;CHAR(10)&amp;"【焕新补贴预估价"&amp;ROUND(_xlfn.XLOOKUP($A375&amp;$B375&amp;$C375,盘货信息!$A:$A&amp;盘货信息!$B:$B&amp;盘货信息!$C:$C,盘货信息!$E:$E),0)&amp;"元】","【焕新补贴预估价"&amp;ROUND(_xlfn.XLOOKUP($A375&amp;$B375&amp;$C375,盘货信息!$A:$A&amp;盘货信息!$B:$B&amp;盘货信息!$C:$C,盘货信息!$E:$E),0)&amp;"元】")))</f>
        <v/>
      </c>
      <c r="F375" s="27" t="str" cm="1">
        <f t="array" ref="F375">IF($C375="","",_xlfn.XLOOKUP($A375&amp;$B375&amp;$C375,盘货信息!$A:$A&amp;盘货信息!$B:$B&amp;盘货信息!$C:$C,盘货信息!$D:$D)&amp;"元到手价")</f>
        <v/>
      </c>
      <c r="G375" s="27" t="str" cm="1">
        <f t="array" ref="G375">IF($C375="","",IF(_xlfn.XLOOKUP($A375&amp;$B375&amp;$C375,盘货信息!$A:$A&amp;盘货信息!$B:$B&amp;盘货信息!$C:$C,盘货信息!$G:$G)&lt;1,"",ROUND(_xlfn.XLOOKUP($A375&amp;$B375&amp;$C375,盘货信息!$A:$A&amp;盘货信息!$B:$B&amp;盘货信息!$C:$C,盘货信息!$G:$G),0)&amp;"元88VIP立减"))</f>
        <v/>
      </c>
      <c r="H375" s="27" t="str" cm="1">
        <f t="array" ref="H375">IF($C375="","",IF(_xlfn.XLOOKUP($A375&amp;$B375&amp;$C375,盘货信息!$A:$A&amp;盘货信息!$B:$B&amp;盘货信息!$C:$C,盘货信息!$I:$I)&lt;1,"",_xlfn.XLOOKUP($A375&amp;$B375&amp;$C375,盘货信息!$A:$A&amp;盘货信息!$B:$B&amp;盘货信息!$C:$C,盘货信息!$I:$I)&amp;"元惊喜立减"))</f>
        <v/>
      </c>
      <c r="I375" s="27" t="str" cm="1">
        <f t="array" ref="I375">IF($C375="","",IF(_xlfn.XLOOKUP($A375&amp;$B375&amp;$C375,盘货信息!$A:$A&amp;盘货信息!$B:$B&amp;盘货信息!$C:$C,盘货信息!$H:$H)&lt;1,"",ROUND(_xlfn.XLOOKUP($A375&amp;$B375&amp;$C375,盘货信息!$A:$A&amp;盘货信息!$B:$B&amp;盘货信息!$C:$C,盘货信息!$H:$H),0)&amp;"元消费券"))</f>
        <v/>
      </c>
      <c r="J375" s="27" t="str" cm="1">
        <f t="array" ref="J375">IF($C375="","",IF(_xlfn.XLOOKUP($A375&amp;$B375&amp;$C375,盘货信息!$A:$A&amp;盘货信息!$B:$B&amp;盘货信息!$C:$C,盘货信息!$J:$J)&lt;1,"",ROUND(_xlfn.XLOOKUP($A375&amp;$B375&amp;$C375,盘货信息!$A:$A&amp;盘货信息!$B:$B&amp;盘货信息!$C:$C,盘货信息!$J:$J),0)&amp;"元限时补贴"))</f>
        <v/>
      </c>
      <c r="K375" s="27" t="str" cm="1">
        <f t="array" ref="K375">IF($C375="","",IF(_xlfn.XLOOKUP($A375&amp;$B375&amp;$C375,盘货信息!$A:$A&amp;盘货信息!$B:$B&amp;盘货信息!$C:$C,盘货信息!$K:$K)&lt;1,"",ROUND(_xlfn.XLOOKUP($A375&amp;$B375&amp;$C375,盘货信息!$A:$A&amp;盘货信息!$B:$B&amp;盘货信息!$C:$C,盘货信息!$K:$K),0)&amp;"元预估焕新补贴"))</f>
        <v/>
      </c>
      <c r="L375" s="27" t="str" cm="1">
        <f t="array" ref="L375">IF($C375="","",IF(AND(_xlfn.XLOOKUP($A375&amp;$B375&amp;$C375,盘货信息!$A:$A&amp;盘货信息!$B:$B&amp;盘货信息!$C:$C,盘货信息!$L:$L)="是",_xlfn.XLOOKUP($A375&amp;$B375&amp;$C375,盘货信息!$A:$A&amp;盘货信息!$B:$B&amp;盘货信息!$C:$C,盘货信息!$M:$M)="是",_xlfn.XLOOKUP($A375&amp;$B375&amp;$C375,盘货信息!$A:$A&amp;盘货信息!$B:$B&amp;盘货信息!$C:$C,盘货信息!$K:$K)&gt;0),"【全民可用，不限地址】",IF(AND(OR(_xlfn.XLOOKUP($A375&amp;$B375&amp;$C375,盘货信息!$A:$A&amp;盘货信息!$B:$B&amp;盘货信息!$C:$C,盘货信息!$L:$L)="否",_xlfn.XLOOKUP($A375&amp;$B375&amp;$C375,盘货信息!$A:$A&amp;盘货信息!$B:$B&amp;盘货信息!$C:$C,盘货信息!$L:$L)=""),_xlfn.XLOOKUP($A375&amp;$B375&amp;$C375,盘货信息!$A:$A&amp;盘货信息!$B:$B&amp;盘货信息!$C:$C,盘货信息!$M:$M)="是",_xlfn.XLOOKUP($A375&amp;$B375&amp;$C375,盘货信息!$A:$A&amp;盘货信息!$B:$B&amp;盘货信息!$C:$C,盘货信息!$K:$K)&gt;0),"【详情页领取】","")))</f>
        <v/>
      </c>
      <c r="M375" s="27" t="str" cm="1">
        <f t="array" ref="M375">IF($C375="","",IF(_xlfn.XLOOKUP($A375&amp;$B375&amp;$C375,盘货信息!$A:$A&amp;盘货信息!$B:$B&amp;盘货信息!$C:$C,盘货信息!$F:$F)&lt;1,"",_xlfn.XLOOKUP($A375&amp;$B375&amp;$C375,盘货信息!$A:$A&amp;盘货信息!$B:$B&amp;盘货信息!$C:$C,盘货信息!$F:$F)&amp;"元明卷"))</f>
        <v/>
      </c>
      <c r="N375" s="27" t="str">
        <f t="shared" si="11"/>
        <v/>
      </c>
      <c r="O375" s="27" t="str">
        <f>IF(I375="","","【消费券链接】"&amp;固定信息!$B$6)</f>
        <v/>
      </c>
    </row>
    <row r="376" customHeight="1" spans="1:15">
      <c r="A376" s="23" t="str">
        <f>IF(盘货信息!A376="","",盘货信息!A376)</f>
        <v/>
      </c>
      <c r="B376" s="26" t="str">
        <f>IF(盘货信息!B376="","",盘货信息!B376)</f>
        <v/>
      </c>
      <c r="C376" s="23" t="str">
        <f>IF(盘货信息!C376="","",盘货信息!C376)</f>
        <v/>
      </c>
      <c r="D376" s="27" t="str">
        <f t="shared" si="10"/>
        <v/>
      </c>
      <c r="E376" s="27" t="str" cm="1">
        <f t="array" ref="E376">IF($C376="","",IF(AND(OR(_xlfn.XLOOKUP($A376&amp;$B376&amp;$C376,盘货信息!$A:$A&amp;盘货信息!$B:$B&amp;盘货信息!$C:$C,盘货信息!$L:$L)="否",_xlfn.XLOOKUP($A376&amp;$B376&amp;$C376,盘货信息!$A:$A&amp;盘货信息!$B:$B&amp;盘货信息!$C:$C,盘货信息!$L:$L)=""),_xlfn.XLOOKUP($A376&amp;$B376&amp;$C376,盘货信息!$A:$A&amp;盘货信息!$B:$B&amp;盘货信息!$C:$C,盘货信息!$M:$M)="否"),"【预估到手价"&amp;_xlfn.XLOOKUP($A376&amp;$B376&amp;$C376,盘货信息!$A:$A&amp;盘货信息!$B:$B&amp;盘货信息!$C:$C,盘货信息!$D:$D)&amp;"元】",IF(AND(_xlfn.XLOOKUP($A376&amp;$B376&amp;$C376,盘货信息!$A:$A&amp;盘货信息!$B:$B&amp;盘货信息!$C:$C,盘货信息!$M:$M)="是",OR(_xlfn.XLOOKUP($A376&amp;$B376&amp;$C376,盘货信息!$A:$A&amp;盘货信息!$B:$B&amp;盘货信息!$C:$C,盘货信息!$L:$L)="否",_xlfn.XLOOKUP($A376&amp;$B376&amp;$C376,盘货信息!$A:$A&amp;盘货信息!$B:$B&amp;盘货信息!$C:$C,盘货信息!$L:$L)="")),"【预估到手价"&amp;_xlfn.XLOOKUP($A376&amp;$B376&amp;$C376,盘货信息!$A:$A&amp;盘货信息!$B:$B&amp;盘货信息!$C:$C,盘货信息!$D:$D)&amp;"元】"&amp;CHAR(10)&amp;"【焕新补贴预估价"&amp;ROUND(_xlfn.XLOOKUP($A376&amp;$B376&amp;$C376,盘货信息!$A:$A&amp;盘货信息!$B:$B&amp;盘货信息!$C:$C,盘货信息!$E:$E),0)&amp;"元】","【焕新补贴预估价"&amp;ROUND(_xlfn.XLOOKUP($A376&amp;$B376&amp;$C376,盘货信息!$A:$A&amp;盘货信息!$B:$B&amp;盘货信息!$C:$C,盘货信息!$E:$E),0)&amp;"元】")))</f>
        <v/>
      </c>
      <c r="F376" s="27" t="str" cm="1">
        <f t="array" ref="F376">IF($C376="","",_xlfn.XLOOKUP($A376&amp;$B376&amp;$C376,盘货信息!$A:$A&amp;盘货信息!$B:$B&amp;盘货信息!$C:$C,盘货信息!$D:$D)&amp;"元到手价")</f>
        <v/>
      </c>
      <c r="G376" s="27" t="str" cm="1">
        <f t="array" ref="G376">IF($C376="","",IF(_xlfn.XLOOKUP($A376&amp;$B376&amp;$C376,盘货信息!$A:$A&amp;盘货信息!$B:$B&amp;盘货信息!$C:$C,盘货信息!$G:$G)&lt;1,"",ROUND(_xlfn.XLOOKUP($A376&amp;$B376&amp;$C376,盘货信息!$A:$A&amp;盘货信息!$B:$B&amp;盘货信息!$C:$C,盘货信息!$G:$G),0)&amp;"元88VIP立减"))</f>
        <v/>
      </c>
      <c r="H376" s="27" t="str" cm="1">
        <f t="array" ref="H376">IF($C376="","",IF(_xlfn.XLOOKUP($A376&amp;$B376&amp;$C376,盘货信息!$A:$A&amp;盘货信息!$B:$B&amp;盘货信息!$C:$C,盘货信息!$I:$I)&lt;1,"",_xlfn.XLOOKUP($A376&amp;$B376&amp;$C376,盘货信息!$A:$A&amp;盘货信息!$B:$B&amp;盘货信息!$C:$C,盘货信息!$I:$I)&amp;"元惊喜立减"))</f>
        <v/>
      </c>
      <c r="I376" s="27" t="str" cm="1">
        <f t="array" ref="I376">IF($C376="","",IF(_xlfn.XLOOKUP($A376&amp;$B376&amp;$C376,盘货信息!$A:$A&amp;盘货信息!$B:$B&amp;盘货信息!$C:$C,盘货信息!$H:$H)&lt;1,"",ROUND(_xlfn.XLOOKUP($A376&amp;$B376&amp;$C376,盘货信息!$A:$A&amp;盘货信息!$B:$B&amp;盘货信息!$C:$C,盘货信息!$H:$H),0)&amp;"元消费券"))</f>
        <v/>
      </c>
      <c r="J376" s="27" t="str" cm="1">
        <f t="array" ref="J376">IF($C376="","",IF(_xlfn.XLOOKUP($A376&amp;$B376&amp;$C376,盘货信息!$A:$A&amp;盘货信息!$B:$B&amp;盘货信息!$C:$C,盘货信息!$J:$J)&lt;1,"",ROUND(_xlfn.XLOOKUP($A376&amp;$B376&amp;$C376,盘货信息!$A:$A&amp;盘货信息!$B:$B&amp;盘货信息!$C:$C,盘货信息!$J:$J),0)&amp;"元限时补贴"))</f>
        <v/>
      </c>
      <c r="K376" s="27" t="str" cm="1">
        <f t="array" ref="K376">IF($C376="","",IF(_xlfn.XLOOKUP($A376&amp;$B376&amp;$C376,盘货信息!$A:$A&amp;盘货信息!$B:$B&amp;盘货信息!$C:$C,盘货信息!$K:$K)&lt;1,"",ROUND(_xlfn.XLOOKUP($A376&amp;$B376&amp;$C376,盘货信息!$A:$A&amp;盘货信息!$B:$B&amp;盘货信息!$C:$C,盘货信息!$K:$K),0)&amp;"元预估焕新补贴"))</f>
        <v/>
      </c>
      <c r="L376" s="27" t="str" cm="1">
        <f t="array" ref="L376">IF($C376="","",IF(AND(_xlfn.XLOOKUP($A376&amp;$B376&amp;$C376,盘货信息!$A:$A&amp;盘货信息!$B:$B&amp;盘货信息!$C:$C,盘货信息!$L:$L)="是",_xlfn.XLOOKUP($A376&amp;$B376&amp;$C376,盘货信息!$A:$A&amp;盘货信息!$B:$B&amp;盘货信息!$C:$C,盘货信息!$M:$M)="是",_xlfn.XLOOKUP($A376&amp;$B376&amp;$C376,盘货信息!$A:$A&amp;盘货信息!$B:$B&amp;盘货信息!$C:$C,盘货信息!$K:$K)&gt;0),"【全民可用，不限地址】",IF(AND(OR(_xlfn.XLOOKUP($A376&amp;$B376&amp;$C376,盘货信息!$A:$A&amp;盘货信息!$B:$B&amp;盘货信息!$C:$C,盘货信息!$L:$L)="否",_xlfn.XLOOKUP($A376&amp;$B376&amp;$C376,盘货信息!$A:$A&amp;盘货信息!$B:$B&amp;盘货信息!$C:$C,盘货信息!$L:$L)=""),_xlfn.XLOOKUP($A376&amp;$B376&amp;$C376,盘货信息!$A:$A&amp;盘货信息!$B:$B&amp;盘货信息!$C:$C,盘货信息!$M:$M)="是",_xlfn.XLOOKUP($A376&amp;$B376&amp;$C376,盘货信息!$A:$A&amp;盘货信息!$B:$B&amp;盘货信息!$C:$C,盘货信息!$K:$K)&gt;0),"【详情页领取】","")))</f>
        <v/>
      </c>
      <c r="M376" s="27" t="str" cm="1">
        <f t="array" ref="M376">IF($C376="","",IF(_xlfn.XLOOKUP($A376&amp;$B376&amp;$C376,盘货信息!$A:$A&amp;盘货信息!$B:$B&amp;盘货信息!$C:$C,盘货信息!$F:$F)&lt;1,"",_xlfn.XLOOKUP($A376&amp;$B376&amp;$C376,盘货信息!$A:$A&amp;盘货信息!$B:$B&amp;盘货信息!$C:$C,盘货信息!$F:$F)&amp;"元明卷"))</f>
        <v/>
      </c>
      <c r="N376" s="27" t="str">
        <f t="shared" si="11"/>
        <v/>
      </c>
      <c r="O376" s="27" t="str">
        <f>IF(I376="","","【消费券链接】"&amp;固定信息!$B$6)</f>
        <v/>
      </c>
    </row>
    <row r="377" customHeight="1" spans="1:15">
      <c r="A377" s="23" t="str">
        <f>IF(盘货信息!A377="","",盘货信息!A377)</f>
        <v/>
      </c>
      <c r="B377" s="26" t="str">
        <f>IF(盘货信息!B377="","",盘货信息!B377)</f>
        <v/>
      </c>
      <c r="C377" s="23" t="str">
        <f>IF(盘货信息!C377="","",盘货信息!C377)</f>
        <v/>
      </c>
      <c r="D377" s="27" t="str">
        <f t="shared" si="10"/>
        <v/>
      </c>
      <c r="E377" s="27" t="str" cm="1">
        <f t="array" ref="E377">IF($C377="","",IF(AND(OR(_xlfn.XLOOKUP($A377&amp;$B377&amp;$C377,盘货信息!$A:$A&amp;盘货信息!$B:$B&amp;盘货信息!$C:$C,盘货信息!$L:$L)="否",_xlfn.XLOOKUP($A377&amp;$B377&amp;$C377,盘货信息!$A:$A&amp;盘货信息!$B:$B&amp;盘货信息!$C:$C,盘货信息!$L:$L)=""),_xlfn.XLOOKUP($A377&amp;$B377&amp;$C377,盘货信息!$A:$A&amp;盘货信息!$B:$B&amp;盘货信息!$C:$C,盘货信息!$M:$M)="否"),"【预估到手价"&amp;_xlfn.XLOOKUP($A377&amp;$B377&amp;$C377,盘货信息!$A:$A&amp;盘货信息!$B:$B&amp;盘货信息!$C:$C,盘货信息!$D:$D)&amp;"元】",IF(AND(_xlfn.XLOOKUP($A377&amp;$B377&amp;$C377,盘货信息!$A:$A&amp;盘货信息!$B:$B&amp;盘货信息!$C:$C,盘货信息!$M:$M)="是",OR(_xlfn.XLOOKUP($A377&amp;$B377&amp;$C377,盘货信息!$A:$A&amp;盘货信息!$B:$B&amp;盘货信息!$C:$C,盘货信息!$L:$L)="否",_xlfn.XLOOKUP($A377&amp;$B377&amp;$C377,盘货信息!$A:$A&amp;盘货信息!$B:$B&amp;盘货信息!$C:$C,盘货信息!$L:$L)="")),"【预估到手价"&amp;_xlfn.XLOOKUP($A377&amp;$B377&amp;$C377,盘货信息!$A:$A&amp;盘货信息!$B:$B&amp;盘货信息!$C:$C,盘货信息!$D:$D)&amp;"元】"&amp;CHAR(10)&amp;"【焕新补贴预估价"&amp;ROUND(_xlfn.XLOOKUP($A377&amp;$B377&amp;$C377,盘货信息!$A:$A&amp;盘货信息!$B:$B&amp;盘货信息!$C:$C,盘货信息!$E:$E),0)&amp;"元】","【焕新补贴预估价"&amp;ROUND(_xlfn.XLOOKUP($A377&amp;$B377&amp;$C377,盘货信息!$A:$A&amp;盘货信息!$B:$B&amp;盘货信息!$C:$C,盘货信息!$E:$E),0)&amp;"元】")))</f>
        <v/>
      </c>
      <c r="F377" s="27" t="str" cm="1">
        <f t="array" ref="F377">IF($C377="","",_xlfn.XLOOKUP($A377&amp;$B377&amp;$C377,盘货信息!$A:$A&amp;盘货信息!$B:$B&amp;盘货信息!$C:$C,盘货信息!$D:$D)&amp;"元到手价")</f>
        <v/>
      </c>
      <c r="G377" s="27" t="str" cm="1">
        <f t="array" ref="G377">IF($C377="","",IF(_xlfn.XLOOKUP($A377&amp;$B377&amp;$C377,盘货信息!$A:$A&amp;盘货信息!$B:$B&amp;盘货信息!$C:$C,盘货信息!$G:$G)&lt;1,"",ROUND(_xlfn.XLOOKUP($A377&amp;$B377&amp;$C377,盘货信息!$A:$A&amp;盘货信息!$B:$B&amp;盘货信息!$C:$C,盘货信息!$G:$G),0)&amp;"元88VIP立减"))</f>
        <v/>
      </c>
      <c r="H377" s="27" t="str" cm="1">
        <f t="array" ref="H377">IF($C377="","",IF(_xlfn.XLOOKUP($A377&amp;$B377&amp;$C377,盘货信息!$A:$A&amp;盘货信息!$B:$B&amp;盘货信息!$C:$C,盘货信息!$I:$I)&lt;1,"",_xlfn.XLOOKUP($A377&amp;$B377&amp;$C377,盘货信息!$A:$A&amp;盘货信息!$B:$B&amp;盘货信息!$C:$C,盘货信息!$I:$I)&amp;"元惊喜立减"))</f>
        <v/>
      </c>
      <c r="I377" s="27" t="str" cm="1">
        <f t="array" ref="I377">IF($C377="","",IF(_xlfn.XLOOKUP($A377&amp;$B377&amp;$C377,盘货信息!$A:$A&amp;盘货信息!$B:$B&amp;盘货信息!$C:$C,盘货信息!$H:$H)&lt;1,"",ROUND(_xlfn.XLOOKUP($A377&amp;$B377&amp;$C377,盘货信息!$A:$A&amp;盘货信息!$B:$B&amp;盘货信息!$C:$C,盘货信息!$H:$H),0)&amp;"元消费券"))</f>
        <v/>
      </c>
      <c r="J377" s="27" t="str" cm="1">
        <f t="array" ref="J377">IF($C377="","",IF(_xlfn.XLOOKUP($A377&amp;$B377&amp;$C377,盘货信息!$A:$A&amp;盘货信息!$B:$B&amp;盘货信息!$C:$C,盘货信息!$J:$J)&lt;1,"",ROUND(_xlfn.XLOOKUP($A377&amp;$B377&amp;$C377,盘货信息!$A:$A&amp;盘货信息!$B:$B&amp;盘货信息!$C:$C,盘货信息!$J:$J),0)&amp;"元限时补贴"))</f>
        <v/>
      </c>
      <c r="K377" s="27" t="str" cm="1">
        <f t="array" ref="K377">IF($C377="","",IF(_xlfn.XLOOKUP($A377&amp;$B377&amp;$C377,盘货信息!$A:$A&amp;盘货信息!$B:$B&amp;盘货信息!$C:$C,盘货信息!$K:$K)&lt;1,"",ROUND(_xlfn.XLOOKUP($A377&amp;$B377&amp;$C377,盘货信息!$A:$A&amp;盘货信息!$B:$B&amp;盘货信息!$C:$C,盘货信息!$K:$K),0)&amp;"元预估焕新补贴"))</f>
        <v/>
      </c>
      <c r="L377" s="27" t="str" cm="1">
        <f t="array" ref="L377">IF($C377="","",IF(AND(_xlfn.XLOOKUP($A377&amp;$B377&amp;$C377,盘货信息!$A:$A&amp;盘货信息!$B:$B&amp;盘货信息!$C:$C,盘货信息!$L:$L)="是",_xlfn.XLOOKUP($A377&amp;$B377&amp;$C377,盘货信息!$A:$A&amp;盘货信息!$B:$B&amp;盘货信息!$C:$C,盘货信息!$M:$M)="是",_xlfn.XLOOKUP($A377&amp;$B377&amp;$C377,盘货信息!$A:$A&amp;盘货信息!$B:$B&amp;盘货信息!$C:$C,盘货信息!$K:$K)&gt;0),"【全民可用，不限地址】",IF(AND(OR(_xlfn.XLOOKUP($A377&amp;$B377&amp;$C377,盘货信息!$A:$A&amp;盘货信息!$B:$B&amp;盘货信息!$C:$C,盘货信息!$L:$L)="否",_xlfn.XLOOKUP($A377&amp;$B377&amp;$C377,盘货信息!$A:$A&amp;盘货信息!$B:$B&amp;盘货信息!$C:$C,盘货信息!$L:$L)=""),_xlfn.XLOOKUP($A377&amp;$B377&amp;$C377,盘货信息!$A:$A&amp;盘货信息!$B:$B&amp;盘货信息!$C:$C,盘货信息!$M:$M)="是",_xlfn.XLOOKUP($A377&amp;$B377&amp;$C377,盘货信息!$A:$A&amp;盘货信息!$B:$B&amp;盘货信息!$C:$C,盘货信息!$K:$K)&gt;0),"【详情页领取】","")))</f>
        <v/>
      </c>
      <c r="M377" s="27" t="str" cm="1">
        <f t="array" ref="M377">IF($C377="","",IF(_xlfn.XLOOKUP($A377&amp;$B377&amp;$C377,盘货信息!$A:$A&amp;盘货信息!$B:$B&amp;盘货信息!$C:$C,盘货信息!$F:$F)&lt;1,"",_xlfn.XLOOKUP($A377&amp;$B377&amp;$C377,盘货信息!$A:$A&amp;盘货信息!$B:$B&amp;盘货信息!$C:$C,盘货信息!$F:$F)&amp;"元明卷"))</f>
        <v/>
      </c>
      <c r="N377" s="27" t="str">
        <f t="shared" si="11"/>
        <v/>
      </c>
      <c r="O377" s="27" t="str">
        <f>IF(I377="","","【消费券链接】"&amp;固定信息!$B$6)</f>
        <v/>
      </c>
    </row>
    <row r="378" customHeight="1" spans="1:15">
      <c r="A378" s="23" t="str">
        <f>IF(盘货信息!A378="","",盘货信息!A378)</f>
        <v/>
      </c>
      <c r="B378" s="26" t="str">
        <f>IF(盘货信息!B378="","",盘货信息!B378)</f>
        <v/>
      </c>
      <c r="C378" s="23" t="str">
        <f>IF(盘货信息!C378="","",盘货信息!C378)</f>
        <v/>
      </c>
      <c r="D378" s="27" t="str">
        <f t="shared" si="10"/>
        <v/>
      </c>
      <c r="E378" s="27" t="str" cm="1">
        <f t="array" ref="E378">IF($C378="","",IF(AND(OR(_xlfn.XLOOKUP($A378&amp;$B378&amp;$C378,盘货信息!$A:$A&amp;盘货信息!$B:$B&amp;盘货信息!$C:$C,盘货信息!$L:$L)="否",_xlfn.XLOOKUP($A378&amp;$B378&amp;$C378,盘货信息!$A:$A&amp;盘货信息!$B:$B&amp;盘货信息!$C:$C,盘货信息!$L:$L)=""),_xlfn.XLOOKUP($A378&amp;$B378&amp;$C378,盘货信息!$A:$A&amp;盘货信息!$B:$B&amp;盘货信息!$C:$C,盘货信息!$M:$M)="否"),"【预估到手价"&amp;_xlfn.XLOOKUP($A378&amp;$B378&amp;$C378,盘货信息!$A:$A&amp;盘货信息!$B:$B&amp;盘货信息!$C:$C,盘货信息!$D:$D)&amp;"元】",IF(AND(_xlfn.XLOOKUP($A378&amp;$B378&amp;$C378,盘货信息!$A:$A&amp;盘货信息!$B:$B&amp;盘货信息!$C:$C,盘货信息!$M:$M)="是",OR(_xlfn.XLOOKUP($A378&amp;$B378&amp;$C378,盘货信息!$A:$A&amp;盘货信息!$B:$B&amp;盘货信息!$C:$C,盘货信息!$L:$L)="否",_xlfn.XLOOKUP($A378&amp;$B378&amp;$C378,盘货信息!$A:$A&amp;盘货信息!$B:$B&amp;盘货信息!$C:$C,盘货信息!$L:$L)="")),"【预估到手价"&amp;_xlfn.XLOOKUP($A378&amp;$B378&amp;$C378,盘货信息!$A:$A&amp;盘货信息!$B:$B&amp;盘货信息!$C:$C,盘货信息!$D:$D)&amp;"元】"&amp;CHAR(10)&amp;"【焕新补贴预估价"&amp;ROUND(_xlfn.XLOOKUP($A378&amp;$B378&amp;$C378,盘货信息!$A:$A&amp;盘货信息!$B:$B&amp;盘货信息!$C:$C,盘货信息!$E:$E),0)&amp;"元】","【焕新补贴预估价"&amp;ROUND(_xlfn.XLOOKUP($A378&amp;$B378&amp;$C378,盘货信息!$A:$A&amp;盘货信息!$B:$B&amp;盘货信息!$C:$C,盘货信息!$E:$E),0)&amp;"元】")))</f>
        <v/>
      </c>
      <c r="F378" s="27" t="str" cm="1">
        <f t="array" ref="F378">IF($C378="","",_xlfn.XLOOKUP($A378&amp;$B378&amp;$C378,盘货信息!$A:$A&amp;盘货信息!$B:$B&amp;盘货信息!$C:$C,盘货信息!$D:$D)&amp;"元到手价")</f>
        <v/>
      </c>
      <c r="G378" s="27" t="str" cm="1">
        <f t="array" ref="G378">IF($C378="","",IF(_xlfn.XLOOKUP($A378&amp;$B378&amp;$C378,盘货信息!$A:$A&amp;盘货信息!$B:$B&amp;盘货信息!$C:$C,盘货信息!$G:$G)&lt;1,"",ROUND(_xlfn.XLOOKUP($A378&amp;$B378&amp;$C378,盘货信息!$A:$A&amp;盘货信息!$B:$B&amp;盘货信息!$C:$C,盘货信息!$G:$G),0)&amp;"元88VIP立减"))</f>
        <v/>
      </c>
      <c r="H378" s="27" t="str" cm="1">
        <f t="array" ref="H378">IF($C378="","",IF(_xlfn.XLOOKUP($A378&amp;$B378&amp;$C378,盘货信息!$A:$A&amp;盘货信息!$B:$B&amp;盘货信息!$C:$C,盘货信息!$I:$I)&lt;1,"",_xlfn.XLOOKUP($A378&amp;$B378&amp;$C378,盘货信息!$A:$A&amp;盘货信息!$B:$B&amp;盘货信息!$C:$C,盘货信息!$I:$I)&amp;"元惊喜立减"))</f>
        <v/>
      </c>
      <c r="I378" s="27" t="str" cm="1">
        <f t="array" ref="I378">IF($C378="","",IF(_xlfn.XLOOKUP($A378&amp;$B378&amp;$C378,盘货信息!$A:$A&amp;盘货信息!$B:$B&amp;盘货信息!$C:$C,盘货信息!$H:$H)&lt;1,"",ROUND(_xlfn.XLOOKUP($A378&amp;$B378&amp;$C378,盘货信息!$A:$A&amp;盘货信息!$B:$B&amp;盘货信息!$C:$C,盘货信息!$H:$H),0)&amp;"元消费券"))</f>
        <v/>
      </c>
      <c r="J378" s="27" t="str" cm="1">
        <f t="array" ref="J378">IF($C378="","",IF(_xlfn.XLOOKUP($A378&amp;$B378&amp;$C378,盘货信息!$A:$A&amp;盘货信息!$B:$B&amp;盘货信息!$C:$C,盘货信息!$J:$J)&lt;1,"",ROUND(_xlfn.XLOOKUP($A378&amp;$B378&amp;$C378,盘货信息!$A:$A&amp;盘货信息!$B:$B&amp;盘货信息!$C:$C,盘货信息!$J:$J),0)&amp;"元限时补贴"))</f>
        <v/>
      </c>
      <c r="K378" s="27" t="str" cm="1">
        <f t="array" ref="K378">IF($C378="","",IF(_xlfn.XLOOKUP($A378&amp;$B378&amp;$C378,盘货信息!$A:$A&amp;盘货信息!$B:$B&amp;盘货信息!$C:$C,盘货信息!$K:$K)&lt;1,"",ROUND(_xlfn.XLOOKUP($A378&amp;$B378&amp;$C378,盘货信息!$A:$A&amp;盘货信息!$B:$B&amp;盘货信息!$C:$C,盘货信息!$K:$K),0)&amp;"元预估焕新补贴"))</f>
        <v/>
      </c>
      <c r="L378" s="27" t="str" cm="1">
        <f t="array" ref="L378">IF($C378="","",IF(AND(_xlfn.XLOOKUP($A378&amp;$B378&amp;$C378,盘货信息!$A:$A&amp;盘货信息!$B:$B&amp;盘货信息!$C:$C,盘货信息!$L:$L)="是",_xlfn.XLOOKUP($A378&amp;$B378&amp;$C378,盘货信息!$A:$A&amp;盘货信息!$B:$B&amp;盘货信息!$C:$C,盘货信息!$M:$M)="是",_xlfn.XLOOKUP($A378&amp;$B378&amp;$C378,盘货信息!$A:$A&amp;盘货信息!$B:$B&amp;盘货信息!$C:$C,盘货信息!$K:$K)&gt;0),"【全民可用，不限地址】",IF(AND(OR(_xlfn.XLOOKUP($A378&amp;$B378&amp;$C378,盘货信息!$A:$A&amp;盘货信息!$B:$B&amp;盘货信息!$C:$C,盘货信息!$L:$L)="否",_xlfn.XLOOKUP($A378&amp;$B378&amp;$C378,盘货信息!$A:$A&amp;盘货信息!$B:$B&amp;盘货信息!$C:$C,盘货信息!$L:$L)=""),_xlfn.XLOOKUP($A378&amp;$B378&amp;$C378,盘货信息!$A:$A&amp;盘货信息!$B:$B&amp;盘货信息!$C:$C,盘货信息!$M:$M)="是",_xlfn.XLOOKUP($A378&amp;$B378&amp;$C378,盘货信息!$A:$A&amp;盘货信息!$B:$B&amp;盘货信息!$C:$C,盘货信息!$K:$K)&gt;0),"【详情页领取】","")))</f>
        <v/>
      </c>
      <c r="M378" s="27" t="str" cm="1">
        <f t="array" ref="M378">IF($C378="","",IF(_xlfn.XLOOKUP($A378&amp;$B378&amp;$C378,盘货信息!$A:$A&amp;盘货信息!$B:$B&amp;盘货信息!$C:$C,盘货信息!$F:$F)&lt;1,"",_xlfn.XLOOKUP($A378&amp;$B378&amp;$C378,盘货信息!$A:$A&amp;盘货信息!$B:$B&amp;盘货信息!$C:$C,盘货信息!$F:$F)&amp;"元明卷"))</f>
        <v/>
      </c>
      <c r="N378" s="27" t="str">
        <f t="shared" si="11"/>
        <v/>
      </c>
      <c r="O378" s="27" t="str">
        <f>IF(I378="","","【消费券链接】"&amp;固定信息!$B$6)</f>
        <v/>
      </c>
    </row>
    <row r="379" customHeight="1" spans="1:15">
      <c r="A379" s="23" t="str">
        <f>IF(盘货信息!A379="","",盘货信息!A379)</f>
        <v/>
      </c>
      <c r="B379" s="26" t="str">
        <f>IF(盘货信息!B379="","",盘货信息!B379)</f>
        <v/>
      </c>
      <c r="C379" s="23" t="str">
        <f>IF(盘货信息!C379="","",盘货信息!C379)</f>
        <v/>
      </c>
      <c r="D379" s="27" t="str">
        <f t="shared" si="10"/>
        <v/>
      </c>
      <c r="E379" s="27" t="str" cm="1">
        <f t="array" ref="E379">IF($C379="","",IF(AND(OR(_xlfn.XLOOKUP($A379&amp;$B379&amp;$C379,盘货信息!$A:$A&amp;盘货信息!$B:$B&amp;盘货信息!$C:$C,盘货信息!$L:$L)="否",_xlfn.XLOOKUP($A379&amp;$B379&amp;$C379,盘货信息!$A:$A&amp;盘货信息!$B:$B&amp;盘货信息!$C:$C,盘货信息!$L:$L)=""),_xlfn.XLOOKUP($A379&amp;$B379&amp;$C379,盘货信息!$A:$A&amp;盘货信息!$B:$B&amp;盘货信息!$C:$C,盘货信息!$M:$M)="否"),"【预估到手价"&amp;_xlfn.XLOOKUP($A379&amp;$B379&amp;$C379,盘货信息!$A:$A&amp;盘货信息!$B:$B&amp;盘货信息!$C:$C,盘货信息!$D:$D)&amp;"元】",IF(AND(_xlfn.XLOOKUP($A379&amp;$B379&amp;$C379,盘货信息!$A:$A&amp;盘货信息!$B:$B&amp;盘货信息!$C:$C,盘货信息!$M:$M)="是",OR(_xlfn.XLOOKUP($A379&amp;$B379&amp;$C379,盘货信息!$A:$A&amp;盘货信息!$B:$B&amp;盘货信息!$C:$C,盘货信息!$L:$L)="否",_xlfn.XLOOKUP($A379&amp;$B379&amp;$C379,盘货信息!$A:$A&amp;盘货信息!$B:$B&amp;盘货信息!$C:$C,盘货信息!$L:$L)="")),"【预估到手价"&amp;_xlfn.XLOOKUP($A379&amp;$B379&amp;$C379,盘货信息!$A:$A&amp;盘货信息!$B:$B&amp;盘货信息!$C:$C,盘货信息!$D:$D)&amp;"元】"&amp;CHAR(10)&amp;"【焕新补贴预估价"&amp;ROUND(_xlfn.XLOOKUP($A379&amp;$B379&amp;$C379,盘货信息!$A:$A&amp;盘货信息!$B:$B&amp;盘货信息!$C:$C,盘货信息!$E:$E),0)&amp;"元】","【焕新补贴预估价"&amp;ROUND(_xlfn.XLOOKUP($A379&amp;$B379&amp;$C379,盘货信息!$A:$A&amp;盘货信息!$B:$B&amp;盘货信息!$C:$C,盘货信息!$E:$E),0)&amp;"元】")))</f>
        <v/>
      </c>
      <c r="F379" s="27" t="str" cm="1">
        <f t="array" ref="F379">IF($C379="","",_xlfn.XLOOKUP($A379&amp;$B379&amp;$C379,盘货信息!$A:$A&amp;盘货信息!$B:$B&amp;盘货信息!$C:$C,盘货信息!$D:$D)&amp;"元到手价")</f>
        <v/>
      </c>
      <c r="G379" s="27" t="str" cm="1">
        <f t="array" ref="G379">IF($C379="","",IF(_xlfn.XLOOKUP($A379&amp;$B379&amp;$C379,盘货信息!$A:$A&amp;盘货信息!$B:$B&amp;盘货信息!$C:$C,盘货信息!$G:$G)&lt;1,"",ROUND(_xlfn.XLOOKUP($A379&amp;$B379&amp;$C379,盘货信息!$A:$A&amp;盘货信息!$B:$B&amp;盘货信息!$C:$C,盘货信息!$G:$G),0)&amp;"元88VIP立减"))</f>
        <v/>
      </c>
      <c r="H379" s="27" t="str" cm="1">
        <f t="array" ref="H379">IF($C379="","",IF(_xlfn.XLOOKUP($A379&amp;$B379&amp;$C379,盘货信息!$A:$A&amp;盘货信息!$B:$B&amp;盘货信息!$C:$C,盘货信息!$I:$I)&lt;1,"",_xlfn.XLOOKUP($A379&amp;$B379&amp;$C379,盘货信息!$A:$A&amp;盘货信息!$B:$B&amp;盘货信息!$C:$C,盘货信息!$I:$I)&amp;"元惊喜立减"))</f>
        <v/>
      </c>
      <c r="I379" s="27" t="str" cm="1">
        <f t="array" ref="I379">IF($C379="","",IF(_xlfn.XLOOKUP($A379&amp;$B379&amp;$C379,盘货信息!$A:$A&amp;盘货信息!$B:$B&amp;盘货信息!$C:$C,盘货信息!$H:$H)&lt;1,"",ROUND(_xlfn.XLOOKUP($A379&amp;$B379&amp;$C379,盘货信息!$A:$A&amp;盘货信息!$B:$B&amp;盘货信息!$C:$C,盘货信息!$H:$H),0)&amp;"元消费券"))</f>
        <v/>
      </c>
      <c r="J379" s="27" t="str" cm="1">
        <f t="array" ref="J379">IF($C379="","",IF(_xlfn.XLOOKUP($A379&amp;$B379&amp;$C379,盘货信息!$A:$A&amp;盘货信息!$B:$B&amp;盘货信息!$C:$C,盘货信息!$J:$J)&lt;1,"",ROUND(_xlfn.XLOOKUP($A379&amp;$B379&amp;$C379,盘货信息!$A:$A&amp;盘货信息!$B:$B&amp;盘货信息!$C:$C,盘货信息!$J:$J),0)&amp;"元限时补贴"))</f>
        <v/>
      </c>
      <c r="K379" s="27" t="str" cm="1">
        <f t="array" ref="K379">IF($C379="","",IF(_xlfn.XLOOKUP($A379&amp;$B379&amp;$C379,盘货信息!$A:$A&amp;盘货信息!$B:$B&amp;盘货信息!$C:$C,盘货信息!$K:$K)&lt;1,"",ROUND(_xlfn.XLOOKUP($A379&amp;$B379&amp;$C379,盘货信息!$A:$A&amp;盘货信息!$B:$B&amp;盘货信息!$C:$C,盘货信息!$K:$K),0)&amp;"元预估焕新补贴"))</f>
        <v/>
      </c>
      <c r="L379" s="27" t="str" cm="1">
        <f t="array" ref="L379">IF($C379="","",IF(AND(_xlfn.XLOOKUP($A379&amp;$B379&amp;$C379,盘货信息!$A:$A&amp;盘货信息!$B:$B&amp;盘货信息!$C:$C,盘货信息!$L:$L)="是",_xlfn.XLOOKUP($A379&amp;$B379&amp;$C379,盘货信息!$A:$A&amp;盘货信息!$B:$B&amp;盘货信息!$C:$C,盘货信息!$M:$M)="是",_xlfn.XLOOKUP($A379&amp;$B379&amp;$C379,盘货信息!$A:$A&amp;盘货信息!$B:$B&amp;盘货信息!$C:$C,盘货信息!$K:$K)&gt;0),"【全民可用，不限地址】",IF(AND(OR(_xlfn.XLOOKUP($A379&amp;$B379&amp;$C379,盘货信息!$A:$A&amp;盘货信息!$B:$B&amp;盘货信息!$C:$C,盘货信息!$L:$L)="否",_xlfn.XLOOKUP($A379&amp;$B379&amp;$C379,盘货信息!$A:$A&amp;盘货信息!$B:$B&amp;盘货信息!$C:$C,盘货信息!$L:$L)=""),_xlfn.XLOOKUP($A379&amp;$B379&amp;$C379,盘货信息!$A:$A&amp;盘货信息!$B:$B&amp;盘货信息!$C:$C,盘货信息!$M:$M)="是",_xlfn.XLOOKUP($A379&amp;$B379&amp;$C379,盘货信息!$A:$A&amp;盘货信息!$B:$B&amp;盘货信息!$C:$C,盘货信息!$K:$K)&gt;0),"【详情页领取】","")))</f>
        <v/>
      </c>
      <c r="M379" s="27" t="str" cm="1">
        <f t="array" ref="M379">IF($C379="","",IF(_xlfn.XLOOKUP($A379&amp;$B379&amp;$C379,盘货信息!$A:$A&amp;盘货信息!$B:$B&amp;盘货信息!$C:$C,盘货信息!$F:$F)&lt;1,"",_xlfn.XLOOKUP($A379&amp;$B379&amp;$C379,盘货信息!$A:$A&amp;盘货信息!$B:$B&amp;盘货信息!$C:$C,盘货信息!$F:$F)&amp;"元明卷"))</f>
        <v/>
      </c>
      <c r="N379" s="27" t="str">
        <f t="shared" si="11"/>
        <v/>
      </c>
      <c r="O379" s="27" t="str">
        <f>IF(I379="","","【消费券链接】"&amp;固定信息!$B$6)</f>
        <v/>
      </c>
    </row>
    <row r="380" customHeight="1" spans="1:15">
      <c r="A380" s="23" t="str">
        <f>IF(盘货信息!A380="","",盘货信息!A380)</f>
        <v/>
      </c>
      <c r="B380" s="26" t="str">
        <f>IF(盘货信息!B380="","",盘货信息!B380)</f>
        <v/>
      </c>
      <c r="C380" s="23" t="str">
        <f>IF(盘货信息!C380="","",盘货信息!C380)</f>
        <v/>
      </c>
      <c r="D380" s="27" t="str">
        <f t="shared" si="10"/>
        <v/>
      </c>
      <c r="E380" s="27" t="str" cm="1">
        <f t="array" ref="E380">IF($C380="","",IF(AND(OR(_xlfn.XLOOKUP($A380&amp;$B380&amp;$C380,盘货信息!$A:$A&amp;盘货信息!$B:$B&amp;盘货信息!$C:$C,盘货信息!$L:$L)="否",_xlfn.XLOOKUP($A380&amp;$B380&amp;$C380,盘货信息!$A:$A&amp;盘货信息!$B:$B&amp;盘货信息!$C:$C,盘货信息!$L:$L)=""),_xlfn.XLOOKUP($A380&amp;$B380&amp;$C380,盘货信息!$A:$A&amp;盘货信息!$B:$B&amp;盘货信息!$C:$C,盘货信息!$M:$M)="否"),"【预估到手价"&amp;_xlfn.XLOOKUP($A380&amp;$B380&amp;$C380,盘货信息!$A:$A&amp;盘货信息!$B:$B&amp;盘货信息!$C:$C,盘货信息!$D:$D)&amp;"元】",IF(AND(_xlfn.XLOOKUP($A380&amp;$B380&amp;$C380,盘货信息!$A:$A&amp;盘货信息!$B:$B&amp;盘货信息!$C:$C,盘货信息!$M:$M)="是",OR(_xlfn.XLOOKUP($A380&amp;$B380&amp;$C380,盘货信息!$A:$A&amp;盘货信息!$B:$B&amp;盘货信息!$C:$C,盘货信息!$L:$L)="否",_xlfn.XLOOKUP($A380&amp;$B380&amp;$C380,盘货信息!$A:$A&amp;盘货信息!$B:$B&amp;盘货信息!$C:$C,盘货信息!$L:$L)="")),"【预估到手价"&amp;_xlfn.XLOOKUP($A380&amp;$B380&amp;$C380,盘货信息!$A:$A&amp;盘货信息!$B:$B&amp;盘货信息!$C:$C,盘货信息!$D:$D)&amp;"元】"&amp;CHAR(10)&amp;"【焕新补贴预估价"&amp;ROUND(_xlfn.XLOOKUP($A380&amp;$B380&amp;$C380,盘货信息!$A:$A&amp;盘货信息!$B:$B&amp;盘货信息!$C:$C,盘货信息!$E:$E),0)&amp;"元】","【焕新补贴预估价"&amp;ROUND(_xlfn.XLOOKUP($A380&amp;$B380&amp;$C380,盘货信息!$A:$A&amp;盘货信息!$B:$B&amp;盘货信息!$C:$C,盘货信息!$E:$E),0)&amp;"元】")))</f>
        <v/>
      </c>
      <c r="F380" s="27" t="str" cm="1">
        <f t="array" ref="F380">IF($C380="","",_xlfn.XLOOKUP($A380&amp;$B380&amp;$C380,盘货信息!$A:$A&amp;盘货信息!$B:$B&amp;盘货信息!$C:$C,盘货信息!$D:$D)&amp;"元到手价")</f>
        <v/>
      </c>
      <c r="G380" s="27" t="str" cm="1">
        <f t="array" ref="G380">IF($C380="","",IF(_xlfn.XLOOKUP($A380&amp;$B380&amp;$C380,盘货信息!$A:$A&amp;盘货信息!$B:$B&amp;盘货信息!$C:$C,盘货信息!$G:$G)&lt;1,"",ROUND(_xlfn.XLOOKUP($A380&amp;$B380&amp;$C380,盘货信息!$A:$A&amp;盘货信息!$B:$B&amp;盘货信息!$C:$C,盘货信息!$G:$G),0)&amp;"元88VIP立减"))</f>
        <v/>
      </c>
      <c r="H380" s="27" t="str" cm="1">
        <f t="array" ref="H380">IF($C380="","",IF(_xlfn.XLOOKUP($A380&amp;$B380&amp;$C380,盘货信息!$A:$A&amp;盘货信息!$B:$B&amp;盘货信息!$C:$C,盘货信息!$I:$I)&lt;1,"",_xlfn.XLOOKUP($A380&amp;$B380&amp;$C380,盘货信息!$A:$A&amp;盘货信息!$B:$B&amp;盘货信息!$C:$C,盘货信息!$I:$I)&amp;"元惊喜立减"))</f>
        <v/>
      </c>
      <c r="I380" s="27" t="str" cm="1">
        <f t="array" ref="I380">IF($C380="","",IF(_xlfn.XLOOKUP($A380&amp;$B380&amp;$C380,盘货信息!$A:$A&amp;盘货信息!$B:$B&amp;盘货信息!$C:$C,盘货信息!$H:$H)&lt;1,"",ROUND(_xlfn.XLOOKUP($A380&amp;$B380&amp;$C380,盘货信息!$A:$A&amp;盘货信息!$B:$B&amp;盘货信息!$C:$C,盘货信息!$H:$H),0)&amp;"元消费券"))</f>
        <v/>
      </c>
      <c r="J380" s="27" t="str" cm="1">
        <f t="array" ref="J380">IF($C380="","",IF(_xlfn.XLOOKUP($A380&amp;$B380&amp;$C380,盘货信息!$A:$A&amp;盘货信息!$B:$B&amp;盘货信息!$C:$C,盘货信息!$J:$J)&lt;1,"",ROUND(_xlfn.XLOOKUP($A380&amp;$B380&amp;$C380,盘货信息!$A:$A&amp;盘货信息!$B:$B&amp;盘货信息!$C:$C,盘货信息!$J:$J),0)&amp;"元限时补贴"))</f>
        <v/>
      </c>
      <c r="K380" s="27" t="str" cm="1">
        <f t="array" ref="K380">IF($C380="","",IF(_xlfn.XLOOKUP($A380&amp;$B380&amp;$C380,盘货信息!$A:$A&amp;盘货信息!$B:$B&amp;盘货信息!$C:$C,盘货信息!$K:$K)&lt;1,"",ROUND(_xlfn.XLOOKUP($A380&amp;$B380&amp;$C380,盘货信息!$A:$A&amp;盘货信息!$B:$B&amp;盘货信息!$C:$C,盘货信息!$K:$K),0)&amp;"元预估焕新补贴"))</f>
        <v/>
      </c>
      <c r="L380" s="27" t="str" cm="1">
        <f t="array" ref="L380">IF($C380="","",IF(AND(_xlfn.XLOOKUP($A380&amp;$B380&amp;$C380,盘货信息!$A:$A&amp;盘货信息!$B:$B&amp;盘货信息!$C:$C,盘货信息!$L:$L)="是",_xlfn.XLOOKUP($A380&amp;$B380&amp;$C380,盘货信息!$A:$A&amp;盘货信息!$B:$B&amp;盘货信息!$C:$C,盘货信息!$M:$M)="是",_xlfn.XLOOKUP($A380&amp;$B380&amp;$C380,盘货信息!$A:$A&amp;盘货信息!$B:$B&amp;盘货信息!$C:$C,盘货信息!$K:$K)&gt;0),"【全民可用，不限地址】",IF(AND(OR(_xlfn.XLOOKUP($A380&amp;$B380&amp;$C380,盘货信息!$A:$A&amp;盘货信息!$B:$B&amp;盘货信息!$C:$C,盘货信息!$L:$L)="否",_xlfn.XLOOKUP($A380&amp;$B380&amp;$C380,盘货信息!$A:$A&amp;盘货信息!$B:$B&amp;盘货信息!$C:$C,盘货信息!$L:$L)=""),_xlfn.XLOOKUP($A380&amp;$B380&amp;$C380,盘货信息!$A:$A&amp;盘货信息!$B:$B&amp;盘货信息!$C:$C,盘货信息!$M:$M)="是",_xlfn.XLOOKUP($A380&amp;$B380&amp;$C380,盘货信息!$A:$A&amp;盘货信息!$B:$B&amp;盘货信息!$C:$C,盘货信息!$K:$K)&gt;0),"【详情页领取】","")))</f>
        <v/>
      </c>
      <c r="M380" s="27" t="str" cm="1">
        <f t="array" ref="M380">IF($C380="","",IF(_xlfn.XLOOKUP($A380&amp;$B380&amp;$C380,盘货信息!$A:$A&amp;盘货信息!$B:$B&amp;盘货信息!$C:$C,盘货信息!$F:$F)&lt;1,"",_xlfn.XLOOKUP($A380&amp;$B380&amp;$C380,盘货信息!$A:$A&amp;盘货信息!$B:$B&amp;盘货信息!$C:$C,盘货信息!$F:$F)&amp;"元明卷"))</f>
        <v/>
      </c>
      <c r="N380" s="27" t="str">
        <f t="shared" si="11"/>
        <v/>
      </c>
      <c r="O380" s="27" t="str">
        <f>IF(I380="","","【消费券链接】"&amp;固定信息!$B$6)</f>
        <v/>
      </c>
    </row>
    <row r="381" customHeight="1" spans="1:15">
      <c r="A381" s="23" t="str">
        <f>IF(盘货信息!A381="","",盘货信息!A381)</f>
        <v/>
      </c>
      <c r="B381" s="26" t="str">
        <f>IF(盘货信息!B381="","",盘货信息!B381)</f>
        <v/>
      </c>
      <c r="C381" s="23" t="str">
        <f>IF(盘货信息!C381="","",盘货信息!C381)</f>
        <v/>
      </c>
      <c r="D381" s="27" t="str">
        <f t="shared" si="10"/>
        <v/>
      </c>
      <c r="E381" s="27" t="str" cm="1">
        <f t="array" ref="E381">IF($C381="","",IF(AND(OR(_xlfn.XLOOKUP($A381&amp;$B381&amp;$C381,盘货信息!$A:$A&amp;盘货信息!$B:$B&amp;盘货信息!$C:$C,盘货信息!$L:$L)="否",_xlfn.XLOOKUP($A381&amp;$B381&amp;$C381,盘货信息!$A:$A&amp;盘货信息!$B:$B&amp;盘货信息!$C:$C,盘货信息!$L:$L)=""),_xlfn.XLOOKUP($A381&amp;$B381&amp;$C381,盘货信息!$A:$A&amp;盘货信息!$B:$B&amp;盘货信息!$C:$C,盘货信息!$M:$M)="否"),"【预估到手价"&amp;_xlfn.XLOOKUP($A381&amp;$B381&amp;$C381,盘货信息!$A:$A&amp;盘货信息!$B:$B&amp;盘货信息!$C:$C,盘货信息!$D:$D)&amp;"元】",IF(AND(_xlfn.XLOOKUP($A381&amp;$B381&amp;$C381,盘货信息!$A:$A&amp;盘货信息!$B:$B&amp;盘货信息!$C:$C,盘货信息!$M:$M)="是",OR(_xlfn.XLOOKUP($A381&amp;$B381&amp;$C381,盘货信息!$A:$A&amp;盘货信息!$B:$B&amp;盘货信息!$C:$C,盘货信息!$L:$L)="否",_xlfn.XLOOKUP($A381&amp;$B381&amp;$C381,盘货信息!$A:$A&amp;盘货信息!$B:$B&amp;盘货信息!$C:$C,盘货信息!$L:$L)="")),"【预估到手价"&amp;_xlfn.XLOOKUP($A381&amp;$B381&amp;$C381,盘货信息!$A:$A&amp;盘货信息!$B:$B&amp;盘货信息!$C:$C,盘货信息!$D:$D)&amp;"元】"&amp;CHAR(10)&amp;"【焕新补贴预估价"&amp;ROUND(_xlfn.XLOOKUP($A381&amp;$B381&amp;$C381,盘货信息!$A:$A&amp;盘货信息!$B:$B&amp;盘货信息!$C:$C,盘货信息!$E:$E),0)&amp;"元】","【焕新补贴预估价"&amp;ROUND(_xlfn.XLOOKUP($A381&amp;$B381&amp;$C381,盘货信息!$A:$A&amp;盘货信息!$B:$B&amp;盘货信息!$C:$C,盘货信息!$E:$E),0)&amp;"元】")))</f>
        <v/>
      </c>
      <c r="F381" s="27" t="str" cm="1">
        <f t="array" ref="F381">IF($C381="","",_xlfn.XLOOKUP($A381&amp;$B381&amp;$C381,盘货信息!$A:$A&amp;盘货信息!$B:$B&amp;盘货信息!$C:$C,盘货信息!$D:$D)&amp;"元到手价")</f>
        <v/>
      </c>
      <c r="G381" s="27" t="str" cm="1">
        <f t="array" ref="G381">IF($C381="","",IF(_xlfn.XLOOKUP($A381&amp;$B381&amp;$C381,盘货信息!$A:$A&amp;盘货信息!$B:$B&amp;盘货信息!$C:$C,盘货信息!$G:$G)&lt;1,"",ROUND(_xlfn.XLOOKUP($A381&amp;$B381&amp;$C381,盘货信息!$A:$A&amp;盘货信息!$B:$B&amp;盘货信息!$C:$C,盘货信息!$G:$G),0)&amp;"元88VIP立减"))</f>
        <v/>
      </c>
      <c r="H381" s="27" t="str" cm="1">
        <f t="array" ref="H381">IF($C381="","",IF(_xlfn.XLOOKUP($A381&amp;$B381&amp;$C381,盘货信息!$A:$A&amp;盘货信息!$B:$B&amp;盘货信息!$C:$C,盘货信息!$I:$I)&lt;1,"",_xlfn.XLOOKUP($A381&amp;$B381&amp;$C381,盘货信息!$A:$A&amp;盘货信息!$B:$B&amp;盘货信息!$C:$C,盘货信息!$I:$I)&amp;"元惊喜立减"))</f>
        <v/>
      </c>
      <c r="I381" s="27" t="str" cm="1">
        <f t="array" ref="I381">IF($C381="","",IF(_xlfn.XLOOKUP($A381&amp;$B381&amp;$C381,盘货信息!$A:$A&amp;盘货信息!$B:$B&amp;盘货信息!$C:$C,盘货信息!$H:$H)&lt;1,"",ROUND(_xlfn.XLOOKUP($A381&amp;$B381&amp;$C381,盘货信息!$A:$A&amp;盘货信息!$B:$B&amp;盘货信息!$C:$C,盘货信息!$H:$H),0)&amp;"元消费券"))</f>
        <v/>
      </c>
      <c r="J381" s="27" t="str" cm="1">
        <f t="array" ref="J381">IF($C381="","",IF(_xlfn.XLOOKUP($A381&amp;$B381&amp;$C381,盘货信息!$A:$A&amp;盘货信息!$B:$B&amp;盘货信息!$C:$C,盘货信息!$J:$J)&lt;1,"",ROUND(_xlfn.XLOOKUP($A381&amp;$B381&amp;$C381,盘货信息!$A:$A&amp;盘货信息!$B:$B&amp;盘货信息!$C:$C,盘货信息!$J:$J),0)&amp;"元限时补贴"))</f>
        <v/>
      </c>
      <c r="K381" s="27" t="str" cm="1">
        <f t="array" ref="K381">IF($C381="","",IF(_xlfn.XLOOKUP($A381&amp;$B381&amp;$C381,盘货信息!$A:$A&amp;盘货信息!$B:$B&amp;盘货信息!$C:$C,盘货信息!$K:$K)&lt;1,"",ROUND(_xlfn.XLOOKUP($A381&amp;$B381&amp;$C381,盘货信息!$A:$A&amp;盘货信息!$B:$B&amp;盘货信息!$C:$C,盘货信息!$K:$K),0)&amp;"元预估焕新补贴"))</f>
        <v/>
      </c>
      <c r="L381" s="27" t="str" cm="1">
        <f t="array" ref="L381">IF($C381="","",IF(AND(_xlfn.XLOOKUP($A381&amp;$B381&amp;$C381,盘货信息!$A:$A&amp;盘货信息!$B:$B&amp;盘货信息!$C:$C,盘货信息!$L:$L)="是",_xlfn.XLOOKUP($A381&amp;$B381&amp;$C381,盘货信息!$A:$A&amp;盘货信息!$B:$B&amp;盘货信息!$C:$C,盘货信息!$M:$M)="是",_xlfn.XLOOKUP($A381&amp;$B381&amp;$C381,盘货信息!$A:$A&amp;盘货信息!$B:$B&amp;盘货信息!$C:$C,盘货信息!$K:$K)&gt;0),"【全民可用，不限地址】",IF(AND(OR(_xlfn.XLOOKUP($A381&amp;$B381&amp;$C381,盘货信息!$A:$A&amp;盘货信息!$B:$B&amp;盘货信息!$C:$C,盘货信息!$L:$L)="否",_xlfn.XLOOKUP($A381&amp;$B381&amp;$C381,盘货信息!$A:$A&amp;盘货信息!$B:$B&amp;盘货信息!$C:$C,盘货信息!$L:$L)=""),_xlfn.XLOOKUP($A381&amp;$B381&amp;$C381,盘货信息!$A:$A&amp;盘货信息!$B:$B&amp;盘货信息!$C:$C,盘货信息!$M:$M)="是",_xlfn.XLOOKUP($A381&amp;$B381&amp;$C381,盘货信息!$A:$A&amp;盘货信息!$B:$B&amp;盘货信息!$C:$C,盘货信息!$K:$K)&gt;0),"【详情页领取】","")))</f>
        <v/>
      </c>
      <c r="M381" s="27" t="str" cm="1">
        <f t="array" ref="M381">IF($C381="","",IF(_xlfn.XLOOKUP($A381&amp;$B381&amp;$C381,盘货信息!$A:$A&amp;盘货信息!$B:$B&amp;盘货信息!$C:$C,盘货信息!$F:$F)&lt;1,"",_xlfn.XLOOKUP($A381&amp;$B381&amp;$C381,盘货信息!$A:$A&amp;盘货信息!$B:$B&amp;盘货信息!$C:$C,盘货信息!$F:$F)&amp;"元明卷"))</f>
        <v/>
      </c>
      <c r="N381" s="27" t="str">
        <f t="shared" si="11"/>
        <v/>
      </c>
      <c r="O381" s="27" t="str">
        <f>IF(I381="","","【消费券链接】"&amp;固定信息!$B$6)</f>
        <v/>
      </c>
    </row>
    <row r="382" customHeight="1" spans="1:15">
      <c r="A382" s="23" t="str">
        <f>IF(盘货信息!A382="","",盘货信息!A382)</f>
        <v/>
      </c>
      <c r="B382" s="26" t="str">
        <f>IF(盘货信息!B382="","",盘货信息!B382)</f>
        <v/>
      </c>
      <c r="C382" s="23" t="str">
        <f>IF(盘货信息!C382="","",盘货信息!C382)</f>
        <v/>
      </c>
      <c r="D382" s="27" t="str">
        <f t="shared" si="10"/>
        <v/>
      </c>
      <c r="E382" s="27" t="str" cm="1">
        <f t="array" ref="E382">IF($C382="","",IF(AND(OR(_xlfn.XLOOKUP($A382&amp;$B382&amp;$C382,盘货信息!$A:$A&amp;盘货信息!$B:$B&amp;盘货信息!$C:$C,盘货信息!$L:$L)="否",_xlfn.XLOOKUP($A382&amp;$B382&amp;$C382,盘货信息!$A:$A&amp;盘货信息!$B:$B&amp;盘货信息!$C:$C,盘货信息!$L:$L)=""),_xlfn.XLOOKUP($A382&amp;$B382&amp;$C382,盘货信息!$A:$A&amp;盘货信息!$B:$B&amp;盘货信息!$C:$C,盘货信息!$M:$M)="否"),"【预估到手价"&amp;_xlfn.XLOOKUP($A382&amp;$B382&amp;$C382,盘货信息!$A:$A&amp;盘货信息!$B:$B&amp;盘货信息!$C:$C,盘货信息!$D:$D)&amp;"元】",IF(AND(_xlfn.XLOOKUP($A382&amp;$B382&amp;$C382,盘货信息!$A:$A&amp;盘货信息!$B:$B&amp;盘货信息!$C:$C,盘货信息!$M:$M)="是",OR(_xlfn.XLOOKUP($A382&amp;$B382&amp;$C382,盘货信息!$A:$A&amp;盘货信息!$B:$B&amp;盘货信息!$C:$C,盘货信息!$L:$L)="否",_xlfn.XLOOKUP($A382&amp;$B382&amp;$C382,盘货信息!$A:$A&amp;盘货信息!$B:$B&amp;盘货信息!$C:$C,盘货信息!$L:$L)="")),"【预估到手价"&amp;_xlfn.XLOOKUP($A382&amp;$B382&amp;$C382,盘货信息!$A:$A&amp;盘货信息!$B:$B&amp;盘货信息!$C:$C,盘货信息!$D:$D)&amp;"元】"&amp;CHAR(10)&amp;"【焕新补贴预估价"&amp;ROUND(_xlfn.XLOOKUP($A382&amp;$B382&amp;$C382,盘货信息!$A:$A&amp;盘货信息!$B:$B&amp;盘货信息!$C:$C,盘货信息!$E:$E),0)&amp;"元】","【焕新补贴预估价"&amp;ROUND(_xlfn.XLOOKUP($A382&amp;$B382&amp;$C382,盘货信息!$A:$A&amp;盘货信息!$B:$B&amp;盘货信息!$C:$C,盘货信息!$E:$E),0)&amp;"元】")))</f>
        <v/>
      </c>
      <c r="F382" s="27" t="str" cm="1">
        <f t="array" ref="F382">IF($C382="","",_xlfn.XLOOKUP($A382&amp;$B382&amp;$C382,盘货信息!$A:$A&amp;盘货信息!$B:$B&amp;盘货信息!$C:$C,盘货信息!$D:$D)&amp;"元到手价")</f>
        <v/>
      </c>
      <c r="G382" s="27" t="str" cm="1">
        <f t="array" ref="G382">IF($C382="","",IF(_xlfn.XLOOKUP($A382&amp;$B382&amp;$C382,盘货信息!$A:$A&amp;盘货信息!$B:$B&amp;盘货信息!$C:$C,盘货信息!$G:$G)&lt;1,"",ROUND(_xlfn.XLOOKUP($A382&amp;$B382&amp;$C382,盘货信息!$A:$A&amp;盘货信息!$B:$B&amp;盘货信息!$C:$C,盘货信息!$G:$G),0)&amp;"元88VIP立减"))</f>
        <v/>
      </c>
      <c r="H382" s="27" t="str" cm="1">
        <f t="array" ref="H382">IF($C382="","",IF(_xlfn.XLOOKUP($A382&amp;$B382&amp;$C382,盘货信息!$A:$A&amp;盘货信息!$B:$B&amp;盘货信息!$C:$C,盘货信息!$I:$I)&lt;1,"",_xlfn.XLOOKUP($A382&amp;$B382&amp;$C382,盘货信息!$A:$A&amp;盘货信息!$B:$B&amp;盘货信息!$C:$C,盘货信息!$I:$I)&amp;"元惊喜立减"))</f>
        <v/>
      </c>
      <c r="I382" s="27" t="str" cm="1">
        <f t="array" ref="I382">IF($C382="","",IF(_xlfn.XLOOKUP($A382&amp;$B382&amp;$C382,盘货信息!$A:$A&amp;盘货信息!$B:$B&amp;盘货信息!$C:$C,盘货信息!$H:$H)&lt;1,"",ROUND(_xlfn.XLOOKUP($A382&amp;$B382&amp;$C382,盘货信息!$A:$A&amp;盘货信息!$B:$B&amp;盘货信息!$C:$C,盘货信息!$H:$H),0)&amp;"元消费券"))</f>
        <v/>
      </c>
      <c r="J382" s="27" t="str" cm="1">
        <f t="array" ref="J382">IF($C382="","",IF(_xlfn.XLOOKUP($A382&amp;$B382&amp;$C382,盘货信息!$A:$A&amp;盘货信息!$B:$B&amp;盘货信息!$C:$C,盘货信息!$J:$J)&lt;1,"",ROUND(_xlfn.XLOOKUP($A382&amp;$B382&amp;$C382,盘货信息!$A:$A&amp;盘货信息!$B:$B&amp;盘货信息!$C:$C,盘货信息!$J:$J),0)&amp;"元限时补贴"))</f>
        <v/>
      </c>
      <c r="K382" s="27" t="str" cm="1">
        <f t="array" ref="K382">IF($C382="","",IF(_xlfn.XLOOKUP($A382&amp;$B382&amp;$C382,盘货信息!$A:$A&amp;盘货信息!$B:$B&amp;盘货信息!$C:$C,盘货信息!$K:$K)&lt;1,"",ROUND(_xlfn.XLOOKUP($A382&amp;$B382&amp;$C382,盘货信息!$A:$A&amp;盘货信息!$B:$B&amp;盘货信息!$C:$C,盘货信息!$K:$K),0)&amp;"元预估焕新补贴"))</f>
        <v/>
      </c>
      <c r="L382" s="27" t="str" cm="1">
        <f t="array" ref="L382">IF($C382="","",IF(AND(_xlfn.XLOOKUP($A382&amp;$B382&amp;$C382,盘货信息!$A:$A&amp;盘货信息!$B:$B&amp;盘货信息!$C:$C,盘货信息!$L:$L)="是",_xlfn.XLOOKUP($A382&amp;$B382&amp;$C382,盘货信息!$A:$A&amp;盘货信息!$B:$B&amp;盘货信息!$C:$C,盘货信息!$M:$M)="是",_xlfn.XLOOKUP($A382&amp;$B382&amp;$C382,盘货信息!$A:$A&amp;盘货信息!$B:$B&amp;盘货信息!$C:$C,盘货信息!$K:$K)&gt;0),"【全民可用，不限地址】",IF(AND(OR(_xlfn.XLOOKUP($A382&amp;$B382&amp;$C382,盘货信息!$A:$A&amp;盘货信息!$B:$B&amp;盘货信息!$C:$C,盘货信息!$L:$L)="否",_xlfn.XLOOKUP($A382&amp;$B382&amp;$C382,盘货信息!$A:$A&amp;盘货信息!$B:$B&amp;盘货信息!$C:$C,盘货信息!$L:$L)=""),_xlfn.XLOOKUP($A382&amp;$B382&amp;$C382,盘货信息!$A:$A&amp;盘货信息!$B:$B&amp;盘货信息!$C:$C,盘货信息!$M:$M)="是",_xlfn.XLOOKUP($A382&amp;$B382&amp;$C382,盘货信息!$A:$A&amp;盘货信息!$B:$B&amp;盘货信息!$C:$C,盘货信息!$K:$K)&gt;0),"【详情页领取】","")))</f>
        <v/>
      </c>
      <c r="M382" s="27" t="str" cm="1">
        <f t="array" ref="M382">IF($C382="","",IF(_xlfn.XLOOKUP($A382&amp;$B382&amp;$C382,盘货信息!$A:$A&amp;盘货信息!$B:$B&amp;盘货信息!$C:$C,盘货信息!$F:$F)&lt;1,"",_xlfn.XLOOKUP($A382&amp;$B382&amp;$C382,盘货信息!$A:$A&amp;盘货信息!$B:$B&amp;盘货信息!$C:$C,盘货信息!$F:$F)&amp;"元明卷"))</f>
        <v/>
      </c>
      <c r="N382" s="27" t="str">
        <f t="shared" si="11"/>
        <v/>
      </c>
      <c r="O382" s="27" t="str">
        <f>IF(I382="","","【消费券链接】"&amp;固定信息!$B$6)</f>
        <v/>
      </c>
    </row>
    <row r="383" customHeight="1" spans="1:15">
      <c r="A383" s="23" t="str">
        <f>IF(盘货信息!A383="","",盘货信息!A383)</f>
        <v/>
      </c>
      <c r="B383" s="26" t="str">
        <f>IF(盘货信息!B383="","",盘货信息!B383)</f>
        <v/>
      </c>
      <c r="C383" s="23" t="str">
        <f>IF(盘货信息!C383="","",盘货信息!C383)</f>
        <v/>
      </c>
      <c r="D383" s="27" t="str">
        <f t="shared" si="10"/>
        <v/>
      </c>
      <c r="E383" s="27" t="str" cm="1">
        <f t="array" ref="E383">IF($C383="","",IF(AND(OR(_xlfn.XLOOKUP($A383&amp;$B383&amp;$C383,盘货信息!$A:$A&amp;盘货信息!$B:$B&amp;盘货信息!$C:$C,盘货信息!$L:$L)="否",_xlfn.XLOOKUP($A383&amp;$B383&amp;$C383,盘货信息!$A:$A&amp;盘货信息!$B:$B&amp;盘货信息!$C:$C,盘货信息!$L:$L)=""),_xlfn.XLOOKUP($A383&amp;$B383&amp;$C383,盘货信息!$A:$A&amp;盘货信息!$B:$B&amp;盘货信息!$C:$C,盘货信息!$M:$M)="否"),"【预估到手价"&amp;_xlfn.XLOOKUP($A383&amp;$B383&amp;$C383,盘货信息!$A:$A&amp;盘货信息!$B:$B&amp;盘货信息!$C:$C,盘货信息!$D:$D)&amp;"元】",IF(AND(_xlfn.XLOOKUP($A383&amp;$B383&amp;$C383,盘货信息!$A:$A&amp;盘货信息!$B:$B&amp;盘货信息!$C:$C,盘货信息!$M:$M)="是",OR(_xlfn.XLOOKUP($A383&amp;$B383&amp;$C383,盘货信息!$A:$A&amp;盘货信息!$B:$B&amp;盘货信息!$C:$C,盘货信息!$L:$L)="否",_xlfn.XLOOKUP($A383&amp;$B383&amp;$C383,盘货信息!$A:$A&amp;盘货信息!$B:$B&amp;盘货信息!$C:$C,盘货信息!$L:$L)="")),"【预估到手价"&amp;_xlfn.XLOOKUP($A383&amp;$B383&amp;$C383,盘货信息!$A:$A&amp;盘货信息!$B:$B&amp;盘货信息!$C:$C,盘货信息!$D:$D)&amp;"元】"&amp;CHAR(10)&amp;"【焕新补贴预估价"&amp;ROUND(_xlfn.XLOOKUP($A383&amp;$B383&amp;$C383,盘货信息!$A:$A&amp;盘货信息!$B:$B&amp;盘货信息!$C:$C,盘货信息!$E:$E),0)&amp;"元】","【焕新补贴预估价"&amp;ROUND(_xlfn.XLOOKUP($A383&amp;$B383&amp;$C383,盘货信息!$A:$A&amp;盘货信息!$B:$B&amp;盘货信息!$C:$C,盘货信息!$E:$E),0)&amp;"元】")))</f>
        <v/>
      </c>
      <c r="F383" s="27" t="str" cm="1">
        <f t="array" ref="F383">IF($C383="","",_xlfn.XLOOKUP($A383&amp;$B383&amp;$C383,盘货信息!$A:$A&amp;盘货信息!$B:$B&amp;盘货信息!$C:$C,盘货信息!$D:$D)&amp;"元到手价")</f>
        <v/>
      </c>
      <c r="G383" s="27" t="str" cm="1">
        <f t="array" ref="G383">IF($C383="","",IF(_xlfn.XLOOKUP($A383&amp;$B383&amp;$C383,盘货信息!$A:$A&amp;盘货信息!$B:$B&amp;盘货信息!$C:$C,盘货信息!$G:$G)&lt;1,"",ROUND(_xlfn.XLOOKUP($A383&amp;$B383&amp;$C383,盘货信息!$A:$A&amp;盘货信息!$B:$B&amp;盘货信息!$C:$C,盘货信息!$G:$G),0)&amp;"元88VIP立减"))</f>
        <v/>
      </c>
      <c r="H383" s="27" t="str" cm="1">
        <f t="array" ref="H383">IF($C383="","",IF(_xlfn.XLOOKUP($A383&amp;$B383&amp;$C383,盘货信息!$A:$A&amp;盘货信息!$B:$B&amp;盘货信息!$C:$C,盘货信息!$I:$I)&lt;1,"",_xlfn.XLOOKUP($A383&amp;$B383&amp;$C383,盘货信息!$A:$A&amp;盘货信息!$B:$B&amp;盘货信息!$C:$C,盘货信息!$I:$I)&amp;"元惊喜立减"))</f>
        <v/>
      </c>
      <c r="I383" s="27" t="str" cm="1">
        <f t="array" ref="I383">IF($C383="","",IF(_xlfn.XLOOKUP($A383&amp;$B383&amp;$C383,盘货信息!$A:$A&amp;盘货信息!$B:$B&amp;盘货信息!$C:$C,盘货信息!$H:$H)&lt;1,"",ROUND(_xlfn.XLOOKUP($A383&amp;$B383&amp;$C383,盘货信息!$A:$A&amp;盘货信息!$B:$B&amp;盘货信息!$C:$C,盘货信息!$H:$H),0)&amp;"元消费券"))</f>
        <v/>
      </c>
      <c r="J383" s="27" t="str" cm="1">
        <f t="array" ref="J383">IF($C383="","",IF(_xlfn.XLOOKUP($A383&amp;$B383&amp;$C383,盘货信息!$A:$A&amp;盘货信息!$B:$B&amp;盘货信息!$C:$C,盘货信息!$J:$J)&lt;1,"",ROUND(_xlfn.XLOOKUP($A383&amp;$B383&amp;$C383,盘货信息!$A:$A&amp;盘货信息!$B:$B&amp;盘货信息!$C:$C,盘货信息!$J:$J),0)&amp;"元限时补贴"))</f>
        <v/>
      </c>
      <c r="K383" s="27" t="str" cm="1">
        <f t="array" ref="K383">IF($C383="","",IF(_xlfn.XLOOKUP($A383&amp;$B383&amp;$C383,盘货信息!$A:$A&amp;盘货信息!$B:$B&amp;盘货信息!$C:$C,盘货信息!$K:$K)&lt;1,"",ROUND(_xlfn.XLOOKUP($A383&amp;$B383&amp;$C383,盘货信息!$A:$A&amp;盘货信息!$B:$B&amp;盘货信息!$C:$C,盘货信息!$K:$K),0)&amp;"元预估焕新补贴"))</f>
        <v/>
      </c>
      <c r="L383" s="27" t="str" cm="1">
        <f t="array" ref="L383">IF($C383="","",IF(AND(_xlfn.XLOOKUP($A383&amp;$B383&amp;$C383,盘货信息!$A:$A&amp;盘货信息!$B:$B&amp;盘货信息!$C:$C,盘货信息!$L:$L)="是",_xlfn.XLOOKUP($A383&amp;$B383&amp;$C383,盘货信息!$A:$A&amp;盘货信息!$B:$B&amp;盘货信息!$C:$C,盘货信息!$M:$M)="是",_xlfn.XLOOKUP($A383&amp;$B383&amp;$C383,盘货信息!$A:$A&amp;盘货信息!$B:$B&amp;盘货信息!$C:$C,盘货信息!$K:$K)&gt;0),"【全民可用，不限地址】",IF(AND(OR(_xlfn.XLOOKUP($A383&amp;$B383&amp;$C383,盘货信息!$A:$A&amp;盘货信息!$B:$B&amp;盘货信息!$C:$C,盘货信息!$L:$L)="否",_xlfn.XLOOKUP($A383&amp;$B383&amp;$C383,盘货信息!$A:$A&amp;盘货信息!$B:$B&amp;盘货信息!$C:$C,盘货信息!$L:$L)=""),_xlfn.XLOOKUP($A383&amp;$B383&amp;$C383,盘货信息!$A:$A&amp;盘货信息!$B:$B&amp;盘货信息!$C:$C,盘货信息!$M:$M)="是",_xlfn.XLOOKUP($A383&amp;$B383&amp;$C383,盘货信息!$A:$A&amp;盘货信息!$B:$B&amp;盘货信息!$C:$C,盘货信息!$K:$K)&gt;0),"【详情页领取】","")))</f>
        <v/>
      </c>
      <c r="M383" s="27" t="str" cm="1">
        <f t="array" ref="M383">IF($C383="","",IF(_xlfn.XLOOKUP($A383&amp;$B383&amp;$C383,盘货信息!$A:$A&amp;盘货信息!$B:$B&amp;盘货信息!$C:$C,盘货信息!$F:$F)&lt;1,"",_xlfn.XLOOKUP($A383&amp;$B383&amp;$C383,盘货信息!$A:$A&amp;盘货信息!$B:$B&amp;盘货信息!$C:$C,盘货信息!$F:$F)&amp;"元明卷"))</f>
        <v/>
      </c>
      <c r="N383" s="27" t="str">
        <f t="shared" si="11"/>
        <v/>
      </c>
      <c r="O383" s="27" t="str">
        <f>IF(I383="","","【消费券链接】"&amp;固定信息!$B$6)</f>
        <v/>
      </c>
    </row>
    <row r="384" customHeight="1" spans="1:15">
      <c r="A384" s="23" t="str">
        <f>IF(盘货信息!A384="","",盘货信息!A384)</f>
        <v/>
      </c>
      <c r="B384" s="26" t="str">
        <f>IF(盘货信息!B384="","",盘货信息!B384)</f>
        <v/>
      </c>
      <c r="C384" s="23" t="str">
        <f>IF(盘货信息!C384="","",盘货信息!C384)</f>
        <v/>
      </c>
      <c r="D384" s="27" t="str">
        <f t="shared" si="10"/>
        <v/>
      </c>
      <c r="E384" s="27" t="str" cm="1">
        <f t="array" ref="E384">IF($C384="","",IF(AND(OR(_xlfn.XLOOKUP($A384&amp;$B384&amp;$C384,盘货信息!$A:$A&amp;盘货信息!$B:$B&amp;盘货信息!$C:$C,盘货信息!$L:$L)="否",_xlfn.XLOOKUP($A384&amp;$B384&amp;$C384,盘货信息!$A:$A&amp;盘货信息!$B:$B&amp;盘货信息!$C:$C,盘货信息!$L:$L)=""),_xlfn.XLOOKUP($A384&amp;$B384&amp;$C384,盘货信息!$A:$A&amp;盘货信息!$B:$B&amp;盘货信息!$C:$C,盘货信息!$M:$M)="否"),"【预估到手价"&amp;_xlfn.XLOOKUP($A384&amp;$B384&amp;$C384,盘货信息!$A:$A&amp;盘货信息!$B:$B&amp;盘货信息!$C:$C,盘货信息!$D:$D)&amp;"元】",IF(AND(_xlfn.XLOOKUP($A384&amp;$B384&amp;$C384,盘货信息!$A:$A&amp;盘货信息!$B:$B&amp;盘货信息!$C:$C,盘货信息!$M:$M)="是",OR(_xlfn.XLOOKUP($A384&amp;$B384&amp;$C384,盘货信息!$A:$A&amp;盘货信息!$B:$B&amp;盘货信息!$C:$C,盘货信息!$L:$L)="否",_xlfn.XLOOKUP($A384&amp;$B384&amp;$C384,盘货信息!$A:$A&amp;盘货信息!$B:$B&amp;盘货信息!$C:$C,盘货信息!$L:$L)="")),"【预估到手价"&amp;_xlfn.XLOOKUP($A384&amp;$B384&amp;$C384,盘货信息!$A:$A&amp;盘货信息!$B:$B&amp;盘货信息!$C:$C,盘货信息!$D:$D)&amp;"元】"&amp;CHAR(10)&amp;"【焕新补贴预估价"&amp;ROUND(_xlfn.XLOOKUP($A384&amp;$B384&amp;$C384,盘货信息!$A:$A&amp;盘货信息!$B:$B&amp;盘货信息!$C:$C,盘货信息!$E:$E),0)&amp;"元】","【焕新补贴预估价"&amp;ROUND(_xlfn.XLOOKUP($A384&amp;$B384&amp;$C384,盘货信息!$A:$A&amp;盘货信息!$B:$B&amp;盘货信息!$C:$C,盘货信息!$E:$E),0)&amp;"元】")))</f>
        <v/>
      </c>
      <c r="F384" s="27" t="str" cm="1">
        <f t="array" ref="F384">IF($C384="","",_xlfn.XLOOKUP($A384&amp;$B384&amp;$C384,盘货信息!$A:$A&amp;盘货信息!$B:$B&amp;盘货信息!$C:$C,盘货信息!$D:$D)&amp;"元到手价")</f>
        <v/>
      </c>
      <c r="G384" s="27" t="str" cm="1">
        <f t="array" ref="G384">IF($C384="","",IF(_xlfn.XLOOKUP($A384&amp;$B384&amp;$C384,盘货信息!$A:$A&amp;盘货信息!$B:$B&amp;盘货信息!$C:$C,盘货信息!$G:$G)&lt;1,"",ROUND(_xlfn.XLOOKUP($A384&amp;$B384&amp;$C384,盘货信息!$A:$A&amp;盘货信息!$B:$B&amp;盘货信息!$C:$C,盘货信息!$G:$G),0)&amp;"元88VIP立减"))</f>
        <v/>
      </c>
      <c r="H384" s="27" t="str" cm="1">
        <f t="array" ref="H384">IF($C384="","",IF(_xlfn.XLOOKUP($A384&amp;$B384&amp;$C384,盘货信息!$A:$A&amp;盘货信息!$B:$B&amp;盘货信息!$C:$C,盘货信息!$I:$I)&lt;1,"",_xlfn.XLOOKUP($A384&amp;$B384&amp;$C384,盘货信息!$A:$A&amp;盘货信息!$B:$B&amp;盘货信息!$C:$C,盘货信息!$I:$I)&amp;"元惊喜立减"))</f>
        <v/>
      </c>
      <c r="I384" s="27" t="str" cm="1">
        <f t="array" ref="I384">IF($C384="","",IF(_xlfn.XLOOKUP($A384&amp;$B384&amp;$C384,盘货信息!$A:$A&amp;盘货信息!$B:$B&amp;盘货信息!$C:$C,盘货信息!$H:$H)&lt;1,"",ROUND(_xlfn.XLOOKUP($A384&amp;$B384&amp;$C384,盘货信息!$A:$A&amp;盘货信息!$B:$B&amp;盘货信息!$C:$C,盘货信息!$H:$H),0)&amp;"元消费券"))</f>
        <v/>
      </c>
      <c r="J384" s="27" t="str" cm="1">
        <f t="array" ref="J384">IF($C384="","",IF(_xlfn.XLOOKUP($A384&amp;$B384&amp;$C384,盘货信息!$A:$A&amp;盘货信息!$B:$B&amp;盘货信息!$C:$C,盘货信息!$J:$J)&lt;1,"",ROUND(_xlfn.XLOOKUP($A384&amp;$B384&amp;$C384,盘货信息!$A:$A&amp;盘货信息!$B:$B&amp;盘货信息!$C:$C,盘货信息!$J:$J),0)&amp;"元限时补贴"))</f>
        <v/>
      </c>
      <c r="K384" s="27" t="str" cm="1">
        <f t="array" ref="K384">IF($C384="","",IF(_xlfn.XLOOKUP($A384&amp;$B384&amp;$C384,盘货信息!$A:$A&amp;盘货信息!$B:$B&amp;盘货信息!$C:$C,盘货信息!$K:$K)&lt;1,"",ROUND(_xlfn.XLOOKUP($A384&amp;$B384&amp;$C384,盘货信息!$A:$A&amp;盘货信息!$B:$B&amp;盘货信息!$C:$C,盘货信息!$K:$K),0)&amp;"元预估焕新补贴"))</f>
        <v/>
      </c>
      <c r="L384" s="27" t="str" cm="1">
        <f t="array" ref="L384">IF($C384="","",IF(AND(_xlfn.XLOOKUP($A384&amp;$B384&amp;$C384,盘货信息!$A:$A&amp;盘货信息!$B:$B&amp;盘货信息!$C:$C,盘货信息!$L:$L)="是",_xlfn.XLOOKUP($A384&amp;$B384&amp;$C384,盘货信息!$A:$A&amp;盘货信息!$B:$B&amp;盘货信息!$C:$C,盘货信息!$M:$M)="是",_xlfn.XLOOKUP($A384&amp;$B384&amp;$C384,盘货信息!$A:$A&amp;盘货信息!$B:$B&amp;盘货信息!$C:$C,盘货信息!$K:$K)&gt;0),"【全民可用，不限地址】",IF(AND(OR(_xlfn.XLOOKUP($A384&amp;$B384&amp;$C384,盘货信息!$A:$A&amp;盘货信息!$B:$B&amp;盘货信息!$C:$C,盘货信息!$L:$L)="否",_xlfn.XLOOKUP($A384&amp;$B384&amp;$C384,盘货信息!$A:$A&amp;盘货信息!$B:$B&amp;盘货信息!$C:$C,盘货信息!$L:$L)=""),_xlfn.XLOOKUP($A384&amp;$B384&amp;$C384,盘货信息!$A:$A&amp;盘货信息!$B:$B&amp;盘货信息!$C:$C,盘货信息!$M:$M)="是",_xlfn.XLOOKUP($A384&amp;$B384&amp;$C384,盘货信息!$A:$A&amp;盘货信息!$B:$B&amp;盘货信息!$C:$C,盘货信息!$K:$K)&gt;0),"【详情页领取】","")))</f>
        <v/>
      </c>
      <c r="M384" s="27" t="str" cm="1">
        <f t="array" ref="M384">IF($C384="","",IF(_xlfn.XLOOKUP($A384&amp;$B384&amp;$C384,盘货信息!$A:$A&amp;盘货信息!$B:$B&amp;盘货信息!$C:$C,盘货信息!$F:$F)&lt;1,"",_xlfn.XLOOKUP($A384&amp;$B384&amp;$C384,盘货信息!$A:$A&amp;盘货信息!$B:$B&amp;盘货信息!$C:$C,盘货信息!$F:$F)&amp;"元明卷"))</f>
        <v/>
      </c>
      <c r="N384" s="27" t="str">
        <f t="shared" si="11"/>
        <v/>
      </c>
      <c r="O384" s="27" t="str">
        <f>IF(I384="","","【消费券链接】"&amp;固定信息!$B$6)</f>
        <v/>
      </c>
    </row>
    <row r="385" customHeight="1" spans="1:15">
      <c r="A385" s="23" t="str">
        <f>IF(盘货信息!A385="","",盘货信息!A385)</f>
        <v/>
      </c>
      <c r="B385" s="26" t="str">
        <f>IF(盘货信息!B385="","",盘货信息!B385)</f>
        <v/>
      </c>
      <c r="C385" s="23" t="str">
        <f>IF(盘货信息!C385="","",盘货信息!C385)</f>
        <v/>
      </c>
      <c r="D385" s="27" t="str">
        <f t="shared" si="10"/>
        <v/>
      </c>
      <c r="E385" s="27" t="str" cm="1">
        <f t="array" ref="E385">IF($C385="","",IF(AND(OR(_xlfn.XLOOKUP($A385&amp;$B385&amp;$C385,盘货信息!$A:$A&amp;盘货信息!$B:$B&amp;盘货信息!$C:$C,盘货信息!$L:$L)="否",_xlfn.XLOOKUP($A385&amp;$B385&amp;$C385,盘货信息!$A:$A&amp;盘货信息!$B:$B&amp;盘货信息!$C:$C,盘货信息!$L:$L)=""),_xlfn.XLOOKUP($A385&amp;$B385&amp;$C385,盘货信息!$A:$A&amp;盘货信息!$B:$B&amp;盘货信息!$C:$C,盘货信息!$M:$M)="否"),"【预估到手价"&amp;_xlfn.XLOOKUP($A385&amp;$B385&amp;$C385,盘货信息!$A:$A&amp;盘货信息!$B:$B&amp;盘货信息!$C:$C,盘货信息!$D:$D)&amp;"元】",IF(AND(_xlfn.XLOOKUP($A385&amp;$B385&amp;$C385,盘货信息!$A:$A&amp;盘货信息!$B:$B&amp;盘货信息!$C:$C,盘货信息!$M:$M)="是",OR(_xlfn.XLOOKUP($A385&amp;$B385&amp;$C385,盘货信息!$A:$A&amp;盘货信息!$B:$B&amp;盘货信息!$C:$C,盘货信息!$L:$L)="否",_xlfn.XLOOKUP($A385&amp;$B385&amp;$C385,盘货信息!$A:$A&amp;盘货信息!$B:$B&amp;盘货信息!$C:$C,盘货信息!$L:$L)="")),"【预估到手价"&amp;_xlfn.XLOOKUP($A385&amp;$B385&amp;$C385,盘货信息!$A:$A&amp;盘货信息!$B:$B&amp;盘货信息!$C:$C,盘货信息!$D:$D)&amp;"元】"&amp;CHAR(10)&amp;"【焕新补贴预估价"&amp;ROUND(_xlfn.XLOOKUP($A385&amp;$B385&amp;$C385,盘货信息!$A:$A&amp;盘货信息!$B:$B&amp;盘货信息!$C:$C,盘货信息!$E:$E),0)&amp;"元】","【焕新补贴预估价"&amp;ROUND(_xlfn.XLOOKUP($A385&amp;$B385&amp;$C385,盘货信息!$A:$A&amp;盘货信息!$B:$B&amp;盘货信息!$C:$C,盘货信息!$E:$E),0)&amp;"元】")))</f>
        <v/>
      </c>
      <c r="F385" s="27" t="str" cm="1">
        <f t="array" ref="F385">IF($C385="","",_xlfn.XLOOKUP($A385&amp;$B385&amp;$C385,盘货信息!$A:$A&amp;盘货信息!$B:$B&amp;盘货信息!$C:$C,盘货信息!$D:$D)&amp;"元到手价")</f>
        <v/>
      </c>
      <c r="G385" s="27" t="str" cm="1">
        <f t="array" ref="G385">IF($C385="","",IF(_xlfn.XLOOKUP($A385&amp;$B385&amp;$C385,盘货信息!$A:$A&amp;盘货信息!$B:$B&amp;盘货信息!$C:$C,盘货信息!$G:$G)&lt;1,"",ROUND(_xlfn.XLOOKUP($A385&amp;$B385&amp;$C385,盘货信息!$A:$A&amp;盘货信息!$B:$B&amp;盘货信息!$C:$C,盘货信息!$G:$G),0)&amp;"元88VIP立减"))</f>
        <v/>
      </c>
      <c r="H385" s="27" t="str" cm="1">
        <f t="array" ref="H385">IF($C385="","",IF(_xlfn.XLOOKUP($A385&amp;$B385&amp;$C385,盘货信息!$A:$A&amp;盘货信息!$B:$B&amp;盘货信息!$C:$C,盘货信息!$I:$I)&lt;1,"",_xlfn.XLOOKUP($A385&amp;$B385&amp;$C385,盘货信息!$A:$A&amp;盘货信息!$B:$B&amp;盘货信息!$C:$C,盘货信息!$I:$I)&amp;"元惊喜立减"))</f>
        <v/>
      </c>
      <c r="I385" s="27" t="str" cm="1">
        <f t="array" ref="I385">IF($C385="","",IF(_xlfn.XLOOKUP($A385&amp;$B385&amp;$C385,盘货信息!$A:$A&amp;盘货信息!$B:$B&amp;盘货信息!$C:$C,盘货信息!$H:$H)&lt;1,"",ROUND(_xlfn.XLOOKUP($A385&amp;$B385&amp;$C385,盘货信息!$A:$A&amp;盘货信息!$B:$B&amp;盘货信息!$C:$C,盘货信息!$H:$H),0)&amp;"元消费券"))</f>
        <v/>
      </c>
      <c r="J385" s="27" t="str" cm="1">
        <f t="array" ref="J385">IF($C385="","",IF(_xlfn.XLOOKUP($A385&amp;$B385&amp;$C385,盘货信息!$A:$A&amp;盘货信息!$B:$B&amp;盘货信息!$C:$C,盘货信息!$J:$J)&lt;1,"",ROUND(_xlfn.XLOOKUP($A385&amp;$B385&amp;$C385,盘货信息!$A:$A&amp;盘货信息!$B:$B&amp;盘货信息!$C:$C,盘货信息!$J:$J),0)&amp;"元限时补贴"))</f>
        <v/>
      </c>
      <c r="K385" s="27" t="str" cm="1">
        <f t="array" ref="K385">IF($C385="","",IF(_xlfn.XLOOKUP($A385&amp;$B385&amp;$C385,盘货信息!$A:$A&amp;盘货信息!$B:$B&amp;盘货信息!$C:$C,盘货信息!$K:$K)&lt;1,"",ROUND(_xlfn.XLOOKUP($A385&amp;$B385&amp;$C385,盘货信息!$A:$A&amp;盘货信息!$B:$B&amp;盘货信息!$C:$C,盘货信息!$K:$K),0)&amp;"元预估焕新补贴"))</f>
        <v/>
      </c>
      <c r="L385" s="27" t="str" cm="1">
        <f t="array" ref="L385">IF($C385="","",IF(AND(_xlfn.XLOOKUP($A385&amp;$B385&amp;$C385,盘货信息!$A:$A&amp;盘货信息!$B:$B&amp;盘货信息!$C:$C,盘货信息!$L:$L)="是",_xlfn.XLOOKUP($A385&amp;$B385&amp;$C385,盘货信息!$A:$A&amp;盘货信息!$B:$B&amp;盘货信息!$C:$C,盘货信息!$M:$M)="是",_xlfn.XLOOKUP($A385&amp;$B385&amp;$C385,盘货信息!$A:$A&amp;盘货信息!$B:$B&amp;盘货信息!$C:$C,盘货信息!$K:$K)&gt;0),"【全民可用，不限地址】",IF(AND(OR(_xlfn.XLOOKUP($A385&amp;$B385&amp;$C385,盘货信息!$A:$A&amp;盘货信息!$B:$B&amp;盘货信息!$C:$C,盘货信息!$L:$L)="否",_xlfn.XLOOKUP($A385&amp;$B385&amp;$C385,盘货信息!$A:$A&amp;盘货信息!$B:$B&amp;盘货信息!$C:$C,盘货信息!$L:$L)=""),_xlfn.XLOOKUP($A385&amp;$B385&amp;$C385,盘货信息!$A:$A&amp;盘货信息!$B:$B&amp;盘货信息!$C:$C,盘货信息!$M:$M)="是",_xlfn.XLOOKUP($A385&amp;$B385&amp;$C385,盘货信息!$A:$A&amp;盘货信息!$B:$B&amp;盘货信息!$C:$C,盘货信息!$K:$K)&gt;0),"【详情页领取】","")))</f>
        <v/>
      </c>
      <c r="M385" s="27" t="str" cm="1">
        <f t="array" ref="M385">IF($C385="","",IF(_xlfn.XLOOKUP($A385&amp;$B385&amp;$C385,盘货信息!$A:$A&amp;盘货信息!$B:$B&amp;盘货信息!$C:$C,盘货信息!$F:$F)&lt;1,"",_xlfn.XLOOKUP($A385&amp;$B385&amp;$C385,盘货信息!$A:$A&amp;盘货信息!$B:$B&amp;盘货信息!$C:$C,盘货信息!$F:$F)&amp;"元明卷"))</f>
        <v/>
      </c>
      <c r="N385" s="27" t="str">
        <f t="shared" si="11"/>
        <v/>
      </c>
      <c r="O385" s="27" t="str">
        <f>IF(I385="","","【消费券链接】"&amp;固定信息!$B$6)</f>
        <v/>
      </c>
    </row>
    <row r="386" customHeight="1" spans="1:15">
      <c r="A386" s="23" t="str">
        <f>IF(盘货信息!A386="","",盘货信息!A386)</f>
        <v/>
      </c>
      <c r="B386" s="26" t="str">
        <f>IF(盘货信息!B386="","",盘货信息!B386)</f>
        <v/>
      </c>
      <c r="C386" s="23" t="str">
        <f>IF(盘货信息!C386="","",盘货信息!C386)</f>
        <v/>
      </c>
      <c r="D386" s="27" t="str">
        <f t="shared" si="10"/>
        <v/>
      </c>
      <c r="E386" s="27" t="str" cm="1">
        <f t="array" ref="E386">IF($C386="","",IF(AND(OR(_xlfn.XLOOKUP($A386&amp;$B386&amp;$C386,盘货信息!$A:$A&amp;盘货信息!$B:$B&amp;盘货信息!$C:$C,盘货信息!$L:$L)="否",_xlfn.XLOOKUP($A386&amp;$B386&amp;$C386,盘货信息!$A:$A&amp;盘货信息!$B:$B&amp;盘货信息!$C:$C,盘货信息!$L:$L)=""),_xlfn.XLOOKUP($A386&amp;$B386&amp;$C386,盘货信息!$A:$A&amp;盘货信息!$B:$B&amp;盘货信息!$C:$C,盘货信息!$M:$M)="否"),"【预估到手价"&amp;_xlfn.XLOOKUP($A386&amp;$B386&amp;$C386,盘货信息!$A:$A&amp;盘货信息!$B:$B&amp;盘货信息!$C:$C,盘货信息!$D:$D)&amp;"元】",IF(AND(_xlfn.XLOOKUP($A386&amp;$B386&amp;$C386,盘货信息!$A:$A&amp;盘货信息!$B:$B&amp;盘货信息!$C:$C,盘货信息!$M:$M)="是",OR(_xlfn.XLOOKUP($A386&amp;$B386&amp;$C386,盘货信息!$A:$A&amp;盘货信息!$B:$B&amp;盘货信息!$C:$C,盘货信息!$L:$L)="否",_xlfn.XLOOKUP($A386&amp;$B386&amp;$C386,盘货信息!$A:$A&amp;盘货信息!$B:$B&amp;盘货信息!$C:$C,盘货信息!$L:$L)="")),"【预估到手价"&amp;_xlfn.XLOOKUP($A386&amp;$B386&amp;$C386,盘货信息!$A:$A&amp;盘货信息!$B:$B&amp;盘货信息!$C:$C,盘货信息!$D:$D)&amp;"元】"&amp;CHAR(10)&amp;"【焕新补贴预估价"&amp;ROUND(_xlfn.XLOOKUP($A386&amp;$B386&amp;$C386,盘货信息!$A:$A&amp;盘货信息!$B:$B&amp;盘货信息!$C:$C,盘货信息!$E:$E),0)&amp;"元】","【焕新补贴预估价"&amp;ROUND(_xlfn.XLOOKUP($A386&amp;$B386&amp;$C386,盘货信息!$A:$A&amp;盘货信息!$B:$B&amp;盘货信息!$C:$C,盘货信息!$E:$E),0)&amp;"元】")))</f>
        <v/>
      </c>
      <c r="F386" s="27" t="str" cm="1">
        <f t="array" ref="F386">IF($C386="","",_xlfn.XLOOKUP($A386&amp;$B386&amp;$C386,盘货信息!$A:$A&amp;盘货信息!$B:$B&amp;盘货信息!$C:$C,盘货信息!$D:$D)&amp;"元到手价")</f>
        <v/>
      </c>
      <c r="G386" s="27" t="str" cm="1">
        <f t="array" ref="G386">IF($C386="","",IF(_xlfn.XLOOKUP($A386&amp;$B386&amp;$C386,盘货信息!$A:$A&amp;盘货信息!$B:$B&amp;盘货信息!$C:$C,盘货信息!$G:$G)&lt;1,"",ROUND(_xlfn.XLOOKUP($A386&amp;$B386&amp;$C386,盘货信息!$A:$A&amp;盘货信息!$B:$B&amp;盘货信息!$C:$C,盘货信息!$G:$G),0)&amp;"元88VIP立减"))</f>
        <v/>
      </c>
      <c r="H386" s="27" t="str" cm="1">
        <f t="array" ref="H386">IF($C386="","",IF(_xlfn.XLOOKUP($A386&amp;$B386&amp;$C386,盘货信息!$A:$A&amp;盘货信息!$B:$B&amp;盘货信息!$C:$C,盘货信息!$I:$I)&lt;1,"",_xlfn.XLOOKUP($A386&amp;$B386&amp;$C386,盘货信息!$A:$A&amp;盘货信息!$B:$B&amp;盘货信息!$C:$C,盘货信息!$I:$I)&amp;"元惊喜立减"))</f>
        <v/>
      </c>
      <c r="I386" s="27" t="str" cm="1">
        <f t="array" ref="I386">IF($C386="","",IF(_xlfn.XLOOKUP($A386&amp;$B386&amp;$C386,盘货信息!$A:$A&amp;盘货信息!$B:$B&amp;盘货信息!$C:$C,盘货信息!$H:$H)&lt;1,"",ROUND(_xlfn.XLOOKUP($A386&amp;$B386&amp;$C386,盘货信息!$A:$A&amp;盘货信息!$B:$B&amp;盘货信息!$C:$C,盘货信息!$H:$H),0)&amp;"元消费券"))</f>
        <v/>
      </c>
      <c r="J386" s="27" t="str" cm="1">
        <f t="array" ref="J386">IF($C386="","",IF(_xlfn.XLOOKUP($A386&amp;$B386&amp;$C386,盘货信息!$A:$A&amp;盘货信息!$B:$B&amp;盘货信息!$C:$C,盘货信息!$J:$J)&lt;1,"",ROUND(_xlfn.XLOOKUP($A386&amp;$B386&amp;$C386,盘货信息!$A:$A&amp;盘货信息!$B:$B&amp;盘货信息!$C:$C,盘货信息!$J:$J),0)&amp;"元限时补贴"))</f>
        <v/>
      </c>
      <c r="K386" s="27" t="str" cm="1">
        <f t="array" ref="K386">IF($C386="","",IF(_xlfn.XLOOKUP($A386&amp;$B386&amp;$C386,盘货信息!$A:$A&amp;盘货信息!$B:$B&amp;盘货信息!$C:$C,盘货信息!$K:$K)&lt;1,"",ROUND(_xlfn.XLOOKUP($A386&amp;$B386&amp;$C386,盘货信息!$A:$A&amp;盘货信息!$B:$B&amp;盘货信息!$C:$C,盘货信息!$K:$K),0)&amp;"元预估焕新补贴"))</f>
        <v/>
      </c>
      <c r="L386" s="27" t="str" cm="1">
        <f t="array" ref="L386">IF($C386="","",IF(AND(_xlfn.XLOOKUP($A386&amp;$B386&amp;$C386,盘货信息!$A:$A&amp;盘货信息!$B:$B&amp;盘货信息!$C:$C,盘货信息!$L:$L)="是",_xlfn.XLOOKUP($A386&amp;$B386&amp;$C386,盘货信息!$A:$A&amp;盘货信息!$B:$B&amp;盘货信息!$C:$C,盘货信息!$M:$M)="是",_xlfn.XLOOKUP($A386&amp;$B386&amp;$C386,盘货信息!$A:$A&amp;盘货信息!$B:$B&amp;盘货信息!$C:$C,盘货信息!$K:$K)&gt;0),"【全民可用，不限地址】",IF(AND(OR(_xlfn.XLOOKUP($A386&amp;$B386&amp;$C386,盘货信息!$A:$A&amp;盘货信息!$B:$B&amp;盘货信息!$C:$C,盘货信息!$L:$L)="否",_xlfn.XLOOKUP($A386&amp;$B386&amp;$C386,盘货信息!$A:$A&amp;盘货信息!$B:$B&amp;盘货信息!$C:$C,盘货信息!$L:$L)=""),_xlfn.XLOOKUP($A386&amp;$B386&amp;$C386,盘货信息!$A:$A&amp;盘货信息!$B:$B&amp;盘货信息!$C:$C,盘货信息!$M:$M)="是",_xlfn.XLOOKUP($A386&amp;$B386&amp;$C386,盘货信息!$A:$A&amp;盘货信息!$B:$B&amp;盘货信息!$C:$C,盘货信息!$K:$K)&gt;0),"【详情页领取】","")))</f>
        <v/>
      </c>
      <c r="M386" s="27" t="str" cm="1">
        <f t="array" ref="M386">IF($C386="","",IF(_xlfn.XLOOKUP($A386&amp;$B386&amp;$C386,盘货信息!$A:$A&amp;盘货信息!$B:$B&amp;盘货信息!$C:$C,盘货信息!$F:$F)&lt;1,"",_xlfn.XLOOKUP($A386&amp;$B386&amp;$C386,盘货信息!$A:$A&amp;盘货信息!$B:$B&amp;盘货信息!$C:$C,盘货信息!$F:$F)&amp;"元明卷"))</f>
        <v/>
      </c>
      <c r="N386" s="27" t="str">
        <f t="shared" si="11"/>
        <v/>
      </c>
      <c r="O386" s="27" t="str">
        <f>IF(I386="","","【消费券链接】"&amp;固定信息!$B$6)</f>
        <v/>
      </c>
    </row>
    <row r="387" customHeight="1" spans="1:15">
      <c r="A387" s="23" t="str">
        <f>IF(盘货信息!A387="","",盘货信息!A387)</f>
        <v/>
      </c>
      <c r="B387" s="26" t="str">
        <f>IF(盘货信息!B387="","",盘货信息!B387)</f>
        <v/>
      </c>
      <c r="C387" s="23" t="str">
        <f>IF(盘货信息!C387="","",盘货信息!C387)</f>
        <v/>
      </c>
      <c r="D387" s="27" t="str">
        <f t="shared" ref="D387:D450" si="12">IF($C387="","",_xlfn.TEXTJOIN(CHAR(10),TRUE,N387:O387))</f>
        <v/>
      </c>
      <c r="E387" s="27" t="str" cm="1">
        <f t="array" ref="E387">IF($C387="","",IF(AND(OR(_xlfn.XLOOKUP($A387&amp;$B387&amp;$C387,盘货信息!$A:$A&amp;盘货信息!$B:$B&amp;盘货信息!$C:$C,盘货信息!$L:$L)="否",_xlfn.XLOOKUP($A387&amp;$B387&amp;$C387,盘货信息!$A:$A&amp;盘货信息!$B:$B&amp;盘货信息!$C:$C,盘货信息!$L:$L)=""),_xlfn.XLOOKUP($A387&amp;$B387&amp;$C387,盘货信息!$A:$A&amp;盘货信息!$B:$B&amp;盘货信息!$C:$C,盘货信息!$M:$M)="否"),"【预估到手价"&amp;_xlfn.XLOOKUP($A387&amp;$B387&amp;$C387,盘货信息!$A:$A&amp;盘货信息!$B:$B&amp;盘货信息!$C:$C,盘货信息!$D:$D)&amp;"元】",IF(AND(_xlfn.XLOOKUP($A387&amp;$B387&amp;$C387,盘货信息!$A:$A&amp;盘货信息!$B:$B&amp;盘货信息!$C:$C,盘货信息!$M:$M)="是",OR(_xlfn.XLOOKUP($A387&amp;$B387&amp;$C387,盘货信息!$A:$A&amp;盘货信息!$B:$B&amp;盘货信息!$C:$C,盘货信息!$L:$L)="否",_xlfn.XLOOKUP($A387&amp;$B387&amp;$C387,盘货信息!$A:$A&amp;盘货信息!$B:$B&amp;盘货信息!$C:$C,盘货信息!$L:$L)="")),"【预估到手价"&amp;_xlfn.XLOOKUP($A387&amp;$B387&amp;$C387,盘货信息!$A:$A&amp;盘货信息!$B:$B&amp;盘货信息!$C:$C,盘货信息!$D:$D)&amp;"元】"&amp;CHAR(10)&amp;"【焕新补贴预估价"&amp;ROUND(_xlfn.XLOOKUP($A387&amp;$B387&amp;$C387,盘货信息!$A:$A&amp;盘货信息!$B:$B&amp;盘货信息!$C:$C,盘货信息!$E:$E),0)&amp;"元】","【焕新补贴预估价"&amp;ROUND(_xlfn.XLOOKUP($A387&amp;$B387&amp;$C387,盘货信息!$A:$A&amp;盘货信息!$B:$B&amp;盘货信息!$C:$C,盘货信息!$E:$E),0)&amp;"元】")))</f>
        <v/>
      </c>
      <c r="F387" s="27" t="str" cm="1">
        <f t="array" ref="F387">IF($C387="","",_xlfn.XLOOKUP($A387&amp;$B387&amp;$C387,盘货信息!$A:$A&amp;盘货信息!$B:$B&amp;盘货信息!$C:$C,盘货信息!$D:$D)&amp;"元到手价")</f>
        <v/>
      </c>
      <c r="G387" s="27" t="str" cm="1">
        <f t="array" ref="G387">IF($C387="","",IF(_xlfn.XLOOKUP($A387&amp;$B387&amp;$C387,盘货信息!$A:$A&amp;盘货信息!$B:$B&amp;盘货信息!$C:$C,盘货信息!$G:$G)&lt;1,"",ROUND(_xlfn.XLOOKUP($A387&amp;$B387&amp;$C387,盘货信息!$A:$A&amp;盘货信息!$B:$B&amp;盘货信息!$C:$C,盘货信息!$G:$G),0)&amp;"元88VIP立减"))</f>
        <v/>
      </c>
      <c r="H387" s="27" t="str" cm="1">
        <f t="array" ref="H387">IF($C387="","",IF(_xlfn.XLOOKUP($A387&amp;$B387&amp;$C387,盘货信息!$A:$A&amp;盘货信息!$B:$B&amp;盘货信息!$C:$C,盘货信息!$I:$I)&lt;1,"",_xlfn.XLOOKUP($A387&amp;$B387&amp;$C387,盘货信息!$A:$A&amp;盘货信息!$B:$B&amp;盘货信息!$C:$C,盘货信息!$I:$I)&amp;"元惊喜立减"))</f>
        <v/>
      </c>
      <c r="I387" s="27" t="str" cm="1">
        <f t="array" ref="I387">IF($C387="","",IF(_xlfn.XLOOKUP($A387&amp;$B387&amp;$C387,盘货信息!$A:$A&amp;盘货信息!$B:$B&amp;盘货信息!$C:$C,盘货信息!$H:$H)&lt;1,"",ROUND(_xlfn.XLOOKUP($A387&amp;$B387&amp;$C387,盘货信息!$A:$A&amp;盘货信息!$B:$B&amp;盘货信息!$C:$C,盘货信息!$H:$H),0)&amp;"元消费券"))</f>
        <v/>
      </c>
      <c r="J387" s="27" t="str" cm="1">
        <f t="array" ref="J387">IF($C387="","",IF(_xlfn.XLOOKUP($A387&amp;$B387&amp;$C387,盘货信息!$A:$A&amp;盘货信息!$B:$B&amp;盘货信息!$C:$C,盘货信息!$J:$J)&lt;1,"",ROUND(_xlfn.XLOOKUP($A387&amp;$B387&amp;$C387,盘货信息!$A:$A&amp;盘货信息!$B:$B&amp;盘货信息!$C:$C,盘货信息!$J:$J),0)&amp;"元限时补贴"))</f>
        <v/>
      </c>
      <c r="K387" s="27" t="str" cm="1">
        <f t="array" ref="K387">IF($C387="","",IF(_xlfn.XLOOKUP($A387&amp;$B387&amp;$C387,盘货信息!$A:$A&amp;盘货信息!$B:$B&amp;盘货信息!$C:$C,盘货信息!$K:$K)&lt;1,"",ROUND(_xlfn.XLOOKUP($A387&amp;$B387&amp;$C387,盘货信息!$A:$A&amp;盘货信息!$B:$B&amp;盘货信息!$C:$C,盘货信息!$K:$K),0)&amp;"元预估焕新补贴"))</f>
        <v/>
      </c>
      <c r="L387" s="27" t="str" cm="1">
        <f t="array" ref="L387">IF($C387="","",IF(AND(_xlfn.XLOOKUP($A387&amp;$B387&amp;$C387,盘货信息!$A:$A&amp;盘货信息!$B:$B&amp;盘货信息!$C:$C,盘货信息!$L:$L)="是",_xlfn.XLOOKUP($A387&amp;$B387&amp;$C387,盘货信息!$A:$A&amp;盘货信息!$B:$B&amp;盘货信息!$C:$C,盘货信息!$M:$M)="是",_xlfn.XLOOKUP($A387&amp;$B387&amp;$C387,盘货信息!$A:$A&amp;盘货信息!$B:$B&amp;盘货信息!$C:$C,盘货信息!$K:$K)&gt;0),"【全民可用，不限地址】",IF(AND(OR(_xlfn.XLOOKUP($A387&amp;$B387&amp;$C387,盘货信息!$A:$A&amp;盘货信息!$B:$B&amp;盘货信息!$C:$C,盘货信息!$L:$L)="否",_xlfn.XLOOKUP($A387&amp;$B387&amp;$C387,盘货信息!$A:$A&amp;盘货信息!$B:$B&amp;盘货信息!$C:$C,盘货信息!$L:$L)=""),_xlfn.XLOOKUP($A387&amp;$B387&amp;$C387,盘货信息!$A:$A&amp;盘货信息!$B:$B&amp;盘货信息!$C:$C,盘货信息!$M:$M)="是",_xlfn.XLOOKUP($A387&amp;$B387&amp;$C387,盘货信息!$A:$A&amp;盘货信息!$B:$B&amp;盘货信息!$C:$C,盘货信息!$K:$K)&gt;0),"【详情页领取】","")))</f>
        <v/>
      </c>
      <c r="M387" s="27" t="str" cm="1">
        <f t="array" ref="M387">IF($C387="","",IF(_xlfn.XLOOKUP($A387&amp;$B387&amp;$C387,盘货信息!$A:$A&amp;盘货信息!$B:$B&amp;盘货信息!$C:$C,盘货信息!$F:$F)&lt;1,"",_xlfn.XLOOKUP($A387&amp;$B387&amp;$C387,盘货信息!$A:$A&amp;盘货信息!$B:$B&amp;盘货信息!$C:$C,盘货信息!$F:$F)&amp;"元明卷"))</f>
        <v/>
      </c>
      <c r="N387" s="27" t="str">
        <f t="shared" ref="N387:N450" si="13">IF(C387="","",E387&amp;"="&amp;F387&amp;IF(G387="","","-"&amp;G387)&amp;IF(H387="","","-"&amp;H387)&amp;IF(I387="","","-"&amp;I387)&amp;IF(J387="","","-"&amp;J387)&amp;IF(K387="","","-"&amp;K387&amp;L387))</f>
        <v/>
      </c>
      <c r="O387" s="27" t="str">
        <f>IF(I387="","","【消费券链接】"&amp;固定信息!$B$6)</f>
        <v/>
      </c>
    </row>
    <row r="388" customHeight="1" spans="1:15">
      <c r="A388" s="23" t="str">
        <f>IF(盘货信息!A388="","",盘货信息!A388)</f>
        <v/>
      </c>
      <c r="B388" s="26" t="str">
        <f>IF(盘货信息!B388="","",盘货信息!B388)</f>
        <v/>
      </c>
      <c r="C388" s="23" t="str">
        <f>IF(盘货信息!C388="","",盘货信息!C388)</f>
        <v/>
      </c>
      <c r="D388" s="27" t="str">
        <f t="shared" si="12"/>
        <v/>
      </c>
      <c r="E388" s="27" t="str" cm="1">
        <f t="array" ref="E388">IF($C388="","",IF(AND(OR(_xlfn.XLOOKUP($A388&amp;$B388&amp;$C388,盘货信息!$A:$A&amp;盘货信息!$B:$B&amp;盘货信息!$C:$C,盘货信息!$L:$L)="否",_xlfn.XLOOKUP($A388&amp;$B388&amp;$C388,盘货信息!$A:$A&amp;盘货信息!$B:$B&amp;盘货信息!$C:$C,盘货信息!$L:$L)=""),_xlfn.XLOOKUP($A388&amp;$B388&amp;$C388,盘货信息!$A:$A&amp;盘货信息!$B:$B&amp;盘货信息!$C:$C,盘货信息!$M:$M)="否"),"【预估到手价"&amp;_xlfn.XLOOKUP($A388&amp;$B388&amp;$C388,盘货信息!$A:$A&amp;盘货信息!$B:$B&amp;盘货信息!$C:$C,盘货信息!$D:$D)&amp;"元】",IF(AND(_xlfn.XLOOKUP($A388&amp;$B388&amp;$C388,盘货信息!$A:$A&amp;盘货信息!$B:$B&amp;盘货信息!$C:$C,盘货信息!$M:$M)="是",OR(_xlfn.XLOOKUP($A388&amp;$B388&amp;$C388,盘货信息!$A:$A&amp;盘货信息!$B:$B&amp;盘货信息!$C:$C,盘货信息!$L:$L)="否",_xlfn.XLOOKUP($A388&amp;$B388&amp;$C388,盘货信息!$A:$A&amp;盘货信息!$B:$B&amp;盘货信息!$C:$C,盘货信息!$L:$L)="")),"【预估到手价"&amp;_xlfn.XLOOKUP($A388&amp;$B388&amp;$C388,盘货信息!$A:$A&amp;盘货信息!$B:$B&amp;盘货信息!$C:$C,盘货信息!$D:$D)&amp;"元】"&amp;CHAR(10)&amp;"【焕新补贴预估价"&amp;ROUND(_xlfn.XLOOKUP($A388&amp;$B388&amp;$C388,盘货信息!$A:$A&amp;盘货信息!$B:$B&amp;盘货信息!$C:$C,盘货信息!$E:$E),0)&amp;"元】","【焕新补贴预估价"&amp;ROUND(_xlfn.XLOOKUP($A388&amp;$B388&amp;$C388,盘货信息!$A:$A&amp;盘货信息!$B:$B&amp;盘货信息!$C:$C,盘货信息!$E:$E),0)&amp;"元】")))</f>
        <v/>
      </c>
      <c r="F388" s="27" t="str" cm="1">
        <f t="array" ref="F388">IF($C388="","",_xlfn.XLOOKUP($A388&amp;$B388&amp;$C388,盘货信息!$A:$A&amp;盘货信息!$B:$B&amp;盘货信息!$C:$C,盘货信息!$D:$D)&amp;"元到手价")</f>
        <v/>
      </c>
      <c r="G388" s="27" t="str" cm="1">
        <f t="array" ref="G388">IF($C388="","",IF(_xlfn.XLOOKUP($A388&amp;$B388&amp;$C388,盘货信息!$A:$A&amp;盘货信息!$B:$B&amp;盘货信息!$C:$C,盘货信息!$G:$G)&lt;1,"",ROUND(_xlfn.XLOOKUP($A388&amp;$B388&amp;$C388,盘货信息!$A:$A&amp;盘货信息!$B:$B&amp;盘货信息!$C:$C,盘货信息!$G:$G),0)&amp;"元88VIP立减"))</f>
        <v/>
      </c>
      <c r="H388" s="27" t="str" cm="1">
        <f t="array" ref="H388">IF($C388="","",IF(_xlfn.XLOOKUP($A388&amp;$B388&amp;$C388,盘货信息!$A:$A&amp;盘货信息!$B:$B&amp;盘货信息!$C:$C,盘货信息!$I:$I)&lt;1,"",_xlfn.XLOOKUP($A388&amp;$B388&amp;$C388,盘货信息!$A:$A&amp;盘货信息!$B:$B&amp;盘货信息!$C:$C,盘货信息!$I:$I)&amp;"元惊喜立减"))</f>
        <v/>
      </c>
      <c r="I388" s="27" t="str" cm="1">
        <f t="array" ref="I388">IF($C388="","",IF(_xlfn.XLOOKUP($A388&amp;$B388&amp;$C388,盘货信息!$A:$A&amp;盘货信息!$B:$B&amp;盘货信息!$C:$C,盘货信息!$H:$H)&lt;1,"",ROUND(_xlfn.XLOOKUP($A388&amp;$B388&amp;$C388,盘货信息!$A:$A&amp;盘货信息!$B:$B&amp;盘货信息!$C:$C,盘货信息!$H:$H),0)&amp;"元消费券"))</f>
        <v/>
      </c>
      <c r="J388" s="27" t="str" cm="1">
        <f t="array" ref="J388">IF($C388="","",IF(_xlfn.XLOOKUP($A388&amp;$B388&amp;$C388,盘货信息!$A:$A&amp;盘货信息!$B:$B&amp;盘货信息!$C:$C,盘货信息!$J:$J)&lt;1,"",ROUND(_xlfn.XLOOKUP($A388&amp;$B388&amp;$C388,盘货信息!$A:$A&amp;盘货信息!$B:$B&amp;盘货信息!$C:$C,盘货信息!$J:$J),0)&amp;"元限时补贴"))</f>
        <v/>
      </c>
      <c r="K388" s="27" t="str" cm="1">
        <f t="array" ref="K388">IF($C388="","",IF(_xlfn.XLOOKUP($A388&amp;$B388&amp;$C388,盘货信息!$A:$A&amp;盘货信息!$B:$B&amp;盘货信息!$C:$C,盘货信息!$K:$K)&lt;1,"",ROUND(_xlfn.XLOOKUP($A388&amp;$B388&amp;$C388,盘货信息!$A:$A&amp;盘货信息!$B:$B&amp;盘货信息!$C:$C,盘货信息!$K:$K),0)&amp;"元预估焕新补贴"))</f>
        <v/>
      </c>
      <c r="L388" s="27" t="str" cm="1">
        <f t="array" ref="L388">IF($C388="","",IF(AND(_xlfn.XLOOKUP($A388&amp;$B388&amp;$C388,盘货信息!$A:$A&amp;盘货信息!$B:$B&amp;盘货信息!$C:$C,盘货信息!$L:$L)="是",_xlfn.XLOOKUP($A388&amp;$B388&amp;$C388,盘货信息!$A:$A&amp;盘货信息!$B:$B&amp;盘货信息!$C:$C,盘货信息!$M:$M)="是",_xlfn.XLOOKUP($A388&amp;$B388&amp;$C388,盘货信息!$A:$A&amp;盘货信息!$B:$B&amp;盘货信息!$C:$C,盘货信息!$K:$K)&gt;0),"【全民可用，不限地址】",IF(AND(OR(_xlfn.XLOOKUP($A388&amp;$B388&amp;$C388,盘货信息!$A:$A&amp;盘货信息!$B:$B&amp;盘货信息!$C:$C,盘货信息!$L:$L)="否",_xlfn.XLOOKUP($A388&amp;$B388&amp;$C388,盘货信息!$A:$A&amp;盘货信息!$B:$B&amp;盘货信息!$C:$C,盘货信息!$L:$L)=""),_xlfn.XLOOKUP($A388&amp;$B388&amp;$C388,盘货信息!$A:$A&amp;盘货信息!$B:$B&amp;盘货信息!$C:$C,盘货信息!$M:$M)="是",_xlfn.XLOOKUP($A388&amp;$B388&amp;$C388,盘货信息!$A:$A&amp;盘货信息!$B:$B&amp;盘货信息!$C:$C,盘货信息!$K:$K)&gt;0),"【详情页领取】","")))</f>
        <v/>
      </c>
      <c r="M388" s="27" t="str" cm="1">
        <f t="array" ref="M388">IF($C388="","",IF(_xlfn.XLOOKUP($A388&amp;$B388&amp;$C388,盘货信息!$A:$A&amp;盘货信息!$B:$B&amp;盘货信息!$C:$C,盘货信息!$F:$F)&lt;1,"",_xlfn.XLOOKUP($A388&amp;$B388&amp;$C388,盘货信息!$A:$A&amp;盘货信息!$B:$B&amp;盘货信息!$C:$C,盘货信息!$F:$F)&amp;"元明卷"))</f>
        <v/>
      </c>
      <c r="N388" s="27" t="str">
        <f t="shared" si="13"/>
        <v/>
      </c>
      <c r="O388" s="27" t="str">
        <f>IF(I388="","","【消费券链接】"&amp;固定信息!$B$6)</f>
        <v/>
      </c>
    </row>
    <row r="389" customHeight="1" spans="1:15">
      <c r="A389" s="23" t="str">
        <f>IF(盘货信息!A389="","",盘货信息!A389)</f>
        <v/>
      </c>
      <c r="B389" s="26" t="str">
        <f>IF(盘货信息!B389="","",盘货信息!B389)</f>
        <v/>
      </c>
      <c r="C389" s="23" t="str">
        <f>IF(盘货信息!C389="","",盘货信息!C389)</f>
        <v/>
      </c>
      <c r="D389" s="27" t="str">
        <f t="shared" si="12"/>
        <v/>
      </c>
      <c r="E389" s="27" t="str" cm="1">
        <f t="array" ref="E389">IF($C389="","",IF(AND(OR(_xlfn.XLOOKUP($A389&amp;$B389&amp;$C389,盘货信息!$A:$A&amp;盘货信息!$B:$B&amp;盘货信息!$C:$C,盘货信息!$L:$L)="否",_xlfn.XLOOKUP($A389&amp;$B389&amp;$C389,盘货信息!$A:$A&amp;盘货信息!$B:$B&amp;盘货信息!$C:$C,盘货信息!$L:$L)=""),_xlfn.XLOOKUP($A389&amp;$B389&amp;$C389,盘货信息!$A:$A&amp;盘货信息!$B:$B&amp;盘货信息!$C:$C,盘货信息!$M:$M)="否"),"【预估到手价"&amp;_xlfn.XLOOKUP($A389&amp;$B389&amp;$C389,盘货信息!$A:$A&amp;盘货信息!$B:$B&amp;盘货信息!$C:$C,盘货信息!$D:$D)&amp;"元】",IF(AND(_xlfn.XLOOKUP($A389&amp;$B389&amp;$C389,盘货信息!$A:$A&amp;盘货信息!$B:$B&amp;盘货信息!$C:$C,盘货信息!$M:$M)="是",OR(_xlfn.XLOOKUP($A389&amp;$B389&amp;$C389,盘货信息!$A:$A&amp;盘货信息!$B:$B&amp;盘货信息!$C:$C,盘货信息!$L:$L)="否",_xlfn.XLOOKUP($A389&amp;$B389&amp;$C389,盘货信息!$A:$A&amp;盘货信息!$B:$B&amp;盘货信息!$C:$C,盘货信息!$L:$L)="")),"【预估到手价"&amp;_xlfn.XLOOKUP($A389&amp;$B389&amp;$C389,盘货信息!$A:$A&amp;盘货信息!$B:$B&amp;盘货信息!$C:$C,盘货信息!$D:$D)&amp;"元】"&amp;CHAR(10)&amp;"【焕新补贴预估价"&amp;ROUND(_xlfn.XLOOKUP($A389&amp;$B389&amp;$C389,盘货信息!$A:$A&amp;盘货信息!$B:$B&amp;盘货信息!$C:$C,盘货信息!$E:$E),0)&amp;"元】","【焕新补贴预估价"&amp;ROUND(_xlfn.XLOOKUP($A389&amp;$B389&amp;$C389,盘货信息!$A:$A&amp;盘货信息!$B:$B&amp;盘货信息!$C:$C,盘货信息!$E:$E),0)&amp;"元】")))</f>
        <v/>
      </c>
      <c r="F389" s="27" t="str" cm="1">
        <f t="array" ref="F389">IF($C389="","",_xlfn.XLOOKUP($A389&amp;$B389&amp;$C389,盘货信息!$A:$A&amp;盘货信息!$B:$B&amp;盘货信息!$C:$C,盘货信息!$D:$D)&amp;"元到手价")</f>
        <v/>
      </c>
      <c r="G389" s="27" t="str" cm="1">
        <f t="array" ref="G389">IF($C389="","",IF(_xlfn.XLOOKUP($A389&amp;$B389&amp;$C389,盘货信息!$A:$A&amp;盘货信息!$B:$B&amp;盘货信息!$C:$C,盘货信息!$G:$G)&lt;1,"",ROUND(_xlfn.XLOOKUP($A389&amp;$B389&amp;$C389,盘货信息!$A:$A&amp;盘货信息!$B:$B&amp;盘货信息!$C:$C,盘货信息!$G:$G),0)&amp;"元88VIP立减"))</f>
        <v/>
      </c>
      <c r="H389" s="27" t="str" cm="1">
        <f t="array" ref="H389">IF($C389="","",IF(_xlfn.XLOOKUP($A389&amp;$B389&amp;$C389,盘货信息!$A:$A&amp;盘货信息!$B:$B&amp;盘货信息!$C:$C,盘货信息!$I:$I)&lt;1,"",_xlfn.XLOOKUP($A389&amp;$B389&amp;$C389,盘货信息!$A:$A&amp;盘货信息!$B:$B&amp;盘货信息!$C:$C,盘货信息!$I:$I)&amp;"元惊喜立减"))</f>
        <v/>
      </c>
      <c r="I389" s="27" t="str" cm="1">
        <f t="array" ref="I389">IF($C389="","",IF(_xlfn.XLOOKUP($A389&amp;$B389&amp;$C389,盘货信息!$A:$A&amp;盘货信息!$B:$B&amp;盘货信息!$C:$C,盘货信息!$H:$H)&lt;1,"",ROUND(_xlfn.XLOOKUP($A389&amp;$B389&amp;$C389,盘货信息!$A:$A&amp;盘货信息!$B:$B&amp;盘货信息!$C:$C,盘货信息!$H:$H),0)&amp;"元消费券"))</f>
        <v/>
      </c>
      <c r="J389" s="27" t="str" cm="1">
        <f t="array" ref="J389">IF($C389="","",IF(_xlfn.XLOOKUP($A389&amp;$B389&amp;$C389,盘货信息!$A:$A&amp;盘货信息!$B:$B&amp;盘货信息!$C:$C,盘货信息!$J:$J)&lt;1,"",ROUND(_xlfn.XLOOKUP($A389&amp;$B389&amp;$C389,盘货信息!$A:$A&amp;盘货信息!$B:$B&amp;盘货信息!$C:$C,盘货信息!$J:$J),0)&amp;"元限时补贴"))</f>
        <v/>
      </c>
      <c r="K389" s="27" t="str" cm="1">
        <f t="array" ref="K389">IF($C389="","",IF(_xlfn.XLOOKUP($A389&amp;$B389&amp;$C389,盘货信息!$A:$A&amp;盘货信息!$B:$B&amp;盘货信息!$C:$C,盘货信息!$K:$K)&lt;1,"",ROUND(_xlfn.XLOOKUP($A389&amp;$B389&amp;$C389,盘货信息!$A:$A&amp;盘货信息!$B:$B&amp;盘货信息!$C:$C,盘货信息!$K:$K),0)&amp;"元预估焕新补贴"))</f>
        <v/>
      </c>
      <c r="L389" s="27" t="str" cm="1">
        <f t="array" ref="L389">IF($C389="","",IF(AND(_xlfn.XLOOKUP($A389&amp;$B389&amp;$C389,盘货信息!$A:$A&amp;盘货信息!$B:$B&amp;盘货信息!$C:$C,盘货信息!$L:$L)="是",_xlfn.XLOOKUP($A389&amp;$B389&amp;$C389,盘货信息!$A:$A&amp;盘货信息!$B:$B&amp;盘货信息!$C:$C,盘货信息!$M:$M)="是",_xlfn.XLOOKUP($A389&amp;$B389&amp;$C389,盘货信息!$A:$A&amp;盘货信息!$B:$B&amp;盘货信息!$C:$C,盘货信息!$K:$K)&gt;0),"【全民可用，不限地址】",IF(AND(OR(_xlfn.XLOOKUP($A389&amp;$B389&amp;$C389,盘货信息!$A:$A&amp;盘货信息!$B:$B&amp;盘货信息!$C:$C,盘货信息!$L:$L)="否",_xlfn.XLOOKUP($A389&amp;$B389&amp;$C389,盘货信息!$A:$A&amp;盘货信息!$B:$B&amp;盘货信息!$C:$C,盘货信息!$L:$L)=""),_xlfn.XLOOKUP($A389&amp;$B389&amp;$C389,盘货信息!$A:$A&amp;盘货信息!$B:$B&amp;盘货信息!$C:$C,盘货信息!$M:$M)="是",_xlfn.XLOOKUP($A389&amp;$B389&amp;$C389,盘货信息!$A:$A&amp;盘货信息!$B:$B&amp;盘货信息!$C:$C,盘货信息!$K:$K)&gt;0),"【详情页领取】","")))</f>
        <v/>
      </c>
      <c r="M389" s="27" t="str" cm="1">
        <f t="array" ref="M389">IF($C389="","",IF(_xlfn.XLOOKUP($A389&amp;$B389&amp;$C389,盘货信息!$A:$A&amp;盘货信息!$B:$B&amp;盘货信息!$C:$C,盘货信息!$F:$F)&lt;1,"",_xlfn.XLOOKUP($A389&amp;$B389&amp;$C389,盘货信息!$A:$A&amp;盘货信息!$B:$B&amp;盘货信息!$C:$C,盘货信息!$F:$F)&amp;"元明卷"))</f>
        <v/>
      </c>
      <c r="N389" s="27" t="str">
        <f t="shared" si="13"/>
        <v/>
      </c>
      <c r="O389" s="27" t="str">
        <f>IF(I389="","","【消费券链接】"&amp;固定信息!$B$6)</f>
        <v/>
      </c>
    </row>
    <row r="390" customHeight="1" spans="1:15">
      <c r="A390" s="23" t="str">
        <f>IF(盘货信息!A390="","",盘货信息!A390)</f>
        <v/>
      </c>
      <c r="B390" s="26" t="str">
        <f>IF(盘货信息!B390="","",盘货信息!B390)</f>
        <v/>
      </c>
      <c r="C390" s="23" t="str">
        <f>IF(盘货信息!C390="","",盘货信息!C390)</f>
        <v/>
      </c>
      <c r="D390" s="27" t="str">
        <f t="shared" si="12"/>
        <v/>
      </c>
      <c r="E390" s="27" t="str" cm="1">
        <f t="array" ref="E390">IF($C390="","",IF(AND(OR(_xlfn.XLOOKUP($A390&amp;$B390&amp;$C390,盘货信息!$A:$A&amp;盘货信息!$B:$B&amp;盘货信息!$C:$C,盘货信息!$L:$L)="否",_xlfn.XLOOKUP($A390&amp;$B390&amp;$C390,盘货信息!$A:$A&amp;盘货信息!$B:$B&amp;盘货信息!$C:$C,盘货信息!$L:$L)=""),_xlfn.XLOOKUP($A390&amp;$B390&amp;$C390,盘货信息!$A:$A&amp;盘货信息!$B:$B&amp;盘货信息!$C:$C,盘货信息!$M:$M)="否"),"【预估到手价"&amp;_xlfn.XLOOKUP($A390&amp;$B390&amp;$C390,盘货信息!$A:$A&amp;盘货信息!$B:$B&amp;盘货信息!$C:$C,盘货信息!$D:$D)&amp;"元】",IF(AND(_xlfn.XLOOKUP($A390&amp;$B390&amp;$C390,盘货信息!$A:$A&amp;盘货信息!$B:$B&amp;盘货信息!$C:$C,盘货信息!$M:$M)="是",OR(_xlfn.XLOOKUP($A390&amp;$B390&amp;$C390,盘货信息!$A:$A&amp;盘货信息!$B:$B&amp;盘货信息!$C:$C,盘货信息!$L:$L)="否",_xlfn.XLOOKUP($A390&amp;$B390&amp;$C390,盘货信息!$A:$A&amp;盘货信息!$B:$B&amp;盘货信息!$C:$C,盘货信息!$L:$L)="")),"【预估到手价"&amp;_xlfn.XLOOKUP($A390&amp;$B390&amp;$C390,盘货信息!$A:$A&amp;盘货信息!$B:$B&amp;盘货信息!$C:$C,盘货信息!$D:$D)&amp;"元】"&amp;CHAR(10)&amp;"【焕新补贴预估价"&amp;ROUND(_xlfn.XLOOKUP($A390&amp;$B390&amp;$C390,盘货信息!$A:$A&amp;盘货信息!$B:$B&amp;盘货信息!$C:$C,盘货信息!$E:$E),0)&amp;"元】","【焕新补贴预估价"&amp;ROUND(_xlfn.XLOOKUP($A390&amp;$B390&amp;$C390,盘货信息!$A:$A&amp;盘货信息!$B:$B&amp;盘货信息!$C:$C,盘货信息!$E:$E),0)&amp;"元】")))</f>
        <v/>
      </c>
      <c r="F390" s="27" t="str" cm="1">
        <f t="array" ref="F390">IF($C390="","",_xlfn.XLOOKUP($A390&amp;$B390&amp;$C390,盘货信息!$A:$A&amp;盘货信息!$B:$B&amp;盘货信息!$C:$C,盘货信息!$D:$D)&amp;"元到手价")</f>
        <v/>
      </c>
      <c r="G390" s="27" t="str" cm="1">
        <f t="array" ref="G390">IF($C390="","",IF(_xlfn.XLOOKUP($A390&amp;$B390&amp;$C390,盘货信息!$A:$A&amp;盘货信息!$B:$B&amp;盘货信息!$C:$C,盘货信息!$G:$G)&lt;1,"",ROUND(_xlfn.XLOOKUP($A390&amp;$B390&amp;$C390,盘货信息!$A:$A&amp;盘货信息!$B:$B&amp;盘货信息!$C:$C,盘货信息!$G:$G),0)&amp;"元88VIP立减"))</f>
        <v/>
      </c>
      <c r="H390" s="27" t="str" cm="1">
        <f t="array" ref="H390">IF($C390="","",IF(_xlfn.XLOOKUP($A390&amp;$B390&amp;$C390,盘货信息!$A:$A&amp;盘货信息!$B:$B&amp;盘货信息!$C:$C,盘货信息!$I:$I)&lt;1,"",_xlfn.XLOOKUP($A390&amp;$B390&amp;$C390,盘货信息!$A:$A&amp;盘货信息!$B:$B&amp;盘货信息!$C:$C,盘货信息!$I:$I)&amp;"元惊喜立减"))</f>
        <v/>
      </c>
      <c r="I390" s="27" t="str" cm="1">
        <f t="array" ref="I390">IF($C390="","",IF(_xlfn.XLOOKUP($A390&amp;$B390&amp;$C390,盘货信息!$A:$A&amp;盘货信息!$B:$B&amp;盘货信息!$C:$C,盘货信息!$H:$H)&lt;1,"",ROUND(_xlfn.XLOOKUP($A390&amp;$B390&amp;$C390,盘货信息!$A:$A&amp;盘货信息!$B:$B&amp;盘货信息!$C:$C,盘货信息!$H:$H),0)&amp;"元消费券"))</f>
        <v/>
      </c>
      <c r="J390" s="27" t="str" cm="1">
        <f t="array" ref="J390">IF($C390="","",IF(_xlfn.XLOOKUP($A390&amp;$B390&amp;$C390,盘货信息!$A:$A&amp;盘货信息!$B:$B&amp;盘货信息!$C:$C,盘货信息!$J:$J)&lt;1,"",ROUND(_xlfn.XLOOKUP($A390&amp;$B390&amp;$C390,盘货信息!$A:$A&amp;盘货信息!$B:$B&amp;盘货信息!$C:$C,盘货信息!$J:$J),0)&amp;"元限时补贴"))</f>
        <v/>
      </c>
      <c r="K390" s="27" t="str" cm="1">
        <f t="array" ref="K390">IF($C390="","",IF(_xlfn.XLOOKUP($A390&amp;$B390&amp;$C390,盘货信息!$A:$A&amp;盘货信息!$B:$B&amp;盘货信息!$C:$C,盘货信息!$K:$K)&lt;1,"",ROUND(_xlfn.XLOOKUP($A390&amp;$B390&amp;$C390,盘货信息!$A:$A&amp;盘货信息!$B:$B&amp;盘货信息!$C:$C,盘货信息!$K:$K),0)&amp;"元预估焕新补贴"))</f>
        <v/>
      </c>
      <c r="L390" s="27" t="str" cm="1">
        <f t="array" ref="L390">IF($C390="","",IF(AND(_xlfn.XLOOKUP($A390&amp;$B390&amp;$C390,盘货信息!$A:$A&amp;盘货信息!$B:$B&amp;盘货信息!$C:$C,盘货信息!$L:$L)="是",_xlfn.XLOOKUP($A390&amp;$B390&amp;$C390,盘货信息!$A:$A&amp;盘货信息!$B:$B&amp;盘货信息!$C:$C,盘货信息!$M:$M)="是",_xlfn.XLOOKUP($A390&amp;$B390&amp;$C390,盘货信息!$A:$A&amp;盘货信息!$B:$B&amp;盘货信息!$C:$C,盘货信息!$K:$K)&gt;0),"【全民可用，不限地址】",IF(AND(OR(_xlfn.XLOOKUP($A390&amp;$B390&amp;$C390,盘货信息!$A:$A&amp;盘货信息!$B:$B&amp;盘货信息!$C:$C,盘货信息!$L:$L)="否",_xlfn.XLOOKUP($A390&amp;$B390&amp;$C390,盘货信息!$A:$A&amp;盘货信息!$B:$B&amp;盘货信息!$C:$C,盘货信息!$L:$L)=""),_xlfn.XLOOKUP($A390&amp;$B390&amp;$C390,盘货信息!$A:$A&amp;盘货信息!$B:$B&amp;盘货信息!$C:$C,盘货信息!$M:$M)="是",_xlfn.XLOOKUP($A390&amp;$B390&amp;$C390,盘货信息!$A:$A&amp;盘货信息!$B:$B&amp;盘货信息!$C:$C,盘货信息!$K:$K)&gt;0),"【详情页领取】","")))</f>
        <v/>
      </c>
      <c r="M390" s="27" t="str" cm="1">
        <f t="array" ref="M390">IF($C390="","",IF(_xlfn.XLOOKUP($A390&amp;$B390&amp;$C390,盘货信息!$A:$A&amp;盘货信息!$B:$B&amp;盘货信息!$C:$C,盘货信息!$F:$F)&lt;1,"",_xlfn.XLOOKUP($A390&amp;$B390&amp;$C390,盘货信息!$A:$A&amp;盘货信息!$B:$B&amp;盘货信息!$C:$C,盘货信息!$F:$F)&amp;"元明卷"))</f>
        <v/>
      </c>
      <c r="N390" s="27" t="str">
        <f t="shared" si="13"/>
        <v/>
      </c>
      <c r="O390" s="27" t="str">
        <f>IF(I390="","","【消费券链接】"&amp;固定信息!$B$6)</f>
        <v/>
      </c>
    </row>
    <row r="391" customHeight="1" spans="1:15">
      <c r="A391" s="23" t="str">
        <f>IF(盘货信息!A391="","",盘货信息!A391)</f>
        <v/>
      </c>
      <c r="B391" s="26" t="str">
        <f>IF(盘货信息!B391="","",盘货信息!B391)</f>
        <v/>
      </c>
      <c r="C391" s="23" t="str">
        <f>IF(盘货信息!C391="","",盘货信息!C391)</f>
        <v/>
      </c>
      <c r="D391" s="27" t="str">
        <f t="shared" si="12"/>
        <v/>
      </c>
      <c r="E391" s="27" t="str" cm="1">
        <f t="array" ref="E391">IF($C391="","",IF(AND(OR(_xlfn.XLOOKUP($A391&amp;$B391&amp;$C391,盘货信息!$A:$A&amp;盘货信息!$B:$B&amp;盘货信息!$C:$C,盘货信息!$L:$L)="否",_xlfn.XLOOKUP($A391&amp;$B391&amp;$C391,盘货信息!$A:$A&amp;盘货信息!$B:$B&amp;盘货信息!$C:$C,盘货信息!$L:$L)=""),_xlfn.XLOOKUP($A391&amp;$B391&amp;$C391,盘货信息!$A:$A&amp;盘货信息!$B:$B&amp;盘货信息!$C:$C,盘货信息!$M:$M)="否"),"【预估到手价"&amp;_xlfn.XLOOKUP($A391&amp;$B391&amp;$C391,盘货信息!$A:$A&amp;盘货信息!$B:$B&amp;盘货信息!$C:$C,盘货信息!$D:$D)&amp;"元】",IF(AND(_xlfn.XLOOKUP($A391&amp;$B391&amp;$C391,盘货信息!$A:$A&amp;盘货信息!$B:$B&amp;盘货信息!$C:$C,盘货信息!$M:$M)="是",OR(_xlfn.XLOOKUP($A391&amp;$B391&amp;$C391,盘货信息!$A:$A&amp;盘货信息!$B:$B&amp;盘货信息!$C:$C,盘货信息!$L:$L)="否",_xlfn.XLOOKUP($A391&amp;$B391&amp;$C391,盘货信息!$A:$A&amp;盘货信息!$B:$B&amp;盘货信息!$C:$C,盘货信息!$L:$L)="")),"【预估到手价"&amp;_xlfn.XLOOKUP($A391&amp;$B391&amp;$C391,盘货信息!$A:$A&amp;盘货信息!$B:$B&amp;盘货信息!$C:$C,盘货信息!$D:$D)&amp;"元】"&amp;CHAR(10)&amp;"【焕新补贴预估价"&amp;ROUND(_xlfn.XLOOKUP($A391&amp;$B391&amp;$C391,盘货信息!$A:$A&amp;盘货信息!$B:$B&amp;盘货信息!$C:$C,盘货信息!$E:$E),0)&amp;"元】","【焕新补贴预估价"&amp;ROUND(_xlfn.XLOOKUP($A391&amp;$B391&amp;$C391,盘货信息!$A:$A&amp;盘货信息!$B:$B&amp;盘货信息!$C:$C,盘货信息!$E:$E),0)&amp;"元】")))</f>
        <v/>
      </c>
      <c r="F391" s="27" t="str" cm="1">
        <f t="array" ref="F391">IF($C391="","",_xlfn.XLOOKUP($A391&amp;$B391&amp;$C391,盘货信息!$A:$A&amp;盘货信息!$B:$B&amp;盘货信息!$C:$C,盘货信息!$D:$D)&amp;"元到手价")</f>
        <v/>
      </c>
      <c r="G391" s="27" t="str" cm="1">
        <f t="array" ref="G391">IF($C391="","",IF(_xlfn.XLOOKUP($A391&amp;$B391&amp;$C391,盘货信息!$A:$A&amp;盘货信息!$B:$B&amp;盘货信息!$C:$C,盘货信息!$G:$G)&lt;1,"",ROUND(_xlfn.XLOOKUP($A391&amp;$B391&amp;$C391,盘货信息!$A:$A&amp;盘货信息!$B:$B&amp;盘货信息!$C:$C,盘货信息!$G:$G),0)&amp;"元88VIP立减"))</f>
        <v/>
      </c>
      <c r="H391" s="27" t="str" cm="1">
        <f t="array" ref="H391">IF($C391="","",IF(_xlfn.XLOOKUP($A391&amp;$B391&amp;$C391,盘货信息!$A:$A&amp;盘货信息!$B:$B&amp;盘货信息!$C:$C,盘货信息!$I:$I)&lt;1,"",_xlfn.XLOOKUP($A391&amp;$B391&amp;$C391,盘货信息!$A:$A&amp;盘货信息!$B:$B&amp;盘货信息!$C:$C,盘货信息!$I:$I)&amp;"元惊喜立减"))</f>
        <v/>
      </c>
      <c r="I391" s="27" t="str" cm="1">
        <f t="array" ref="I391">IF($C391="","",IF(_xlfn.XLOOKUP($A391&amp;$B391&amp;$C391,盘货信息!$A:$A&amp;盘货信息!$B:$B&amp;盘货信息!$C:$C,盘货信息!$H:$H)&lt;1,"",ROUND(_xlfn.XLOOKUP($A391&amp;$B391&amp;$C391,盘货信息!$A:$A&amp;盘货信息!$B:$B&amp;盘货信息!$C:$C,盘货信息!$H:$H),0)&amp;"元消费券"))</f>
        <v/>
      </c>
      <c r="J391" s="27" t="str" cm="1">
        <f t="array" ref="J391">IF($C391="","",IF(_xlfn.XLOOKUP($A391&amp;$B391&amp;$C391,盘货信息!$A:$A&amp;盘货信息!$B:$B&amp;盘货信息!$C:$C,盘货信息!$J:$J)&lt;1,"",ROUND(_xlfn.XLOOKUP($A391&amp;$B391&amp;$C391,盘货信息!$A:$A&amp;盘货信息!$B:$B&amp;盘货信息!$C:$C,盘货信息!$J:$J),0)&amp;"元限时补贴"))</f>
        <v/>
      </c>
      <c r="K391" s="27" t="str" cm="1">
        <f t="array" ref="K391">IF($C391="","",IF(_xlfn.XLOOKUP($A391&amp;$B391&amp;$C391,盘货信息!$A:$A&amp;盘货信息!$B:$B&amp;盘货信息!$C:$C,盘货信息!$K:$K)&lt;1,"",ROUND(_xlfn.XLOOKUP($A391&amp;$B391&amp;$C391,盘货信息!$A:$A&amp;盘货信息!$B:$B&amp;盘货信息!$C:$C,盘货信息!$K:$K),0)&amp;"元预估焕新补贴"))</f>
        <v/>
      </c>
      <c r="L391" s="27" t="str" cm="1">
        <f t="array" ref="L391">IF($C391="","",IF(AND(_xlfn.XLOOKUP($A391&amp;$B391&amp;$C391,盘货信息!$A:$A&amp;盘货信息!$B:$B&amp;盘货信息!$C:$C,盘货信息!$L:$L)="是",_xlfn.XLOOKUP($A391&amp;$B391&amp;$C391,盘货信息!$A:$A&amp;盘货信息!$B:$B&amp;盘货信息!$C:$C,盘货信息!$M:$M)="是",_xlfn.XLOOKUP($A391&amp;$B391&amp;$C391,盘货信息!$A:$A&amp;盘货信息!$B:$B&amp;盘货信息!$C:$C,盘货信息!$K:$K)&gt;0),"【全民可用，不限地址】",IF(AND(OR(_xlfn.XLOOKUP($A391&amp;$B391&amp;$C391,盘货信息!$A:$A&amp;盘货信息!$B:$B&amp;盘货信息!$C:$C,盘货信息!$L:$L)="否",_xlfn.XLOOKUP($A391&amp;$B391&amp;$C391,盘货信息!$A:$A&amp;盘货信息!$B:$B&amp;盘货信息!$C:$C,盘货信息!$L:$L)=""),_xlfn.XLOOKUP($A391&amp;$B391&amp;$C391,盘货信息!$A:$A&amp;盘货信息!$B:$B&amp;盘货信息!$C:$C,盘货信息!$M:$M)="是",_xlfn.XLOOKUP($A391&amp;$B391&amp;$C391,盘货信息!$A:$A&amp;盘货信息!$B:$B&amp;盘货信息!$C:$C,盘货信息!$K:$K)&gt;0),"【详情页领取】","")))</f>
        <v/>
      </c>
      <c r="M391" s="27" t="str" cm="1">
        <f t="array" ref="M391">IF($C391="","",IF(_xlfn.XLOOKUP($A391&amp;$B391&amp;$C391,盘货信息!$A:$A&amp;盘货信息!$B:$B&amp;盘货信息!$C:$C,盘货信息!$F:$F)&lt;1,"",_xlfn.XLOOKUP($A391&amp;$B391&amp;$C391,盘货信息!$A:$A&amp;盘货信息!$B:$B&amp;盘货信息!$C:$C,盘货信息!$F:$F)&amp;"元明卷"))</f>
        <v/>
      </c>
      <c r="N391" s="27" t="str">
        <f t="shared" si="13"/>
        <v/>
      </c>
      <c r="O391" s="27" t="str">
        <f>IF(I391="","","【消费券链接】"&amp;固定信息!$B$6)</f>
        <v/>
      </c>
    </row>
    <row r="392" customHeight="1" spans="1:15">
      <c r="A392" s="23" t="str">
        <f>IF(盘货信息!A392="","",盘货信息!A392)</f>
        <v/>
      </c>
      <c r="B392" s="26" t="str">
        <f>IF(盘货信息!B392="","",盘货信息!B392)</f>
        <v/>
      </c>
      <c r="C392" s="23" t="str">
        <f>IF(盘货信息!C392="","",盘货信息!C392)</f>
        <v/>
      </c>
      <c r="D392" s="27" t="str">
        <f t="shared" si="12"/>
        <v/>
      </c>
      <c r="E392" s="27" t="str" cm="1">
        <f t="array" ref="E392">IF($C392="","",IF(AND(OR(_xlfn.XLOOKUP($A392&amp;$B392&amp;$C392,盘货信息!$A:$A&amp;盘货信息!$B:$B&amp;盘货信息!$C:$C,盘货信息!$L:$L)="否",_xlfn.XLOOKUP($A392&amp;$B392&amp;$C392,盘货信息!$A:$A&amp;盘货信息!$B:$B&amp;盘货信息!$C:$C,盘货信息!$L:$L)=""),_xlfn.XLOOKUP($A392&amp;$B392&amp;$C392,盘货信息!$A:$A&amp;盘货信息!$B:$B&amp;盘货信息!$C:$C,盘货信息!$M:$M)="否"),"【预估到手价"&amp;_xlfn.XLOOKUP($A392&amp;$B392&amp;$C392,盘货信息!$A:$A&amp;盘货信息!$B:$B&amp;盘货信息!$C:$C,盘货信息!$D:$D)&amp;"元】",IF(AND(_xlfn.XLOOKUP($A392&amp;$B392&amp;$C392,盘货信息!$A:$A&amp;盘货信息!$B:$B&amp;盘货信息!$C:$C,盘货信息!$M:$M)="是",OR(_xlfn.XLOOKUP($A392&amp;$B392&amp;$C392,盘货信息!$A:$A&amp;盘货信息!$B:$B&amp;盘货信息!$C:$C,盘货信息!$L:$L)="否",_xlfn.XLOOKUP($A392&amp;$B392&amp;$C392,盘货信息!$A:$A&amp;盘货信息!$B:$B&amp;盘货信息!$C:$C,盘货信息!$L:$L)="")),"【预估到手价"&amp;_xlfn.XLOOKUP($A392&amp;$B392&amp;$C392,盘货信息!$A:$A&amp;盘货信息!$B:$B&amp;盘货信息!$C:$C,盘货信息!$D:$D)&amp;"元】"&amp;CHAR(10)&amp;"【焕新补贴预估价"&amp;ROUND(_xlfn.XLOOKUP($A392&amp;$B392&amp;$C392,盘货信息!$A:$A&amp;盘货信息!$B:$B&amp;盘货信息!$C:$C,盘货信息!$E:$E),0)&amp;"元】","【焕新补贴预估价"&amp;ROUND(_xlfn.XLOOKUP($A392&amp;$B392&amp;$C392,盘货信息!$A:$A&amp;盘货信息!$B:$B&amp;盘货信息!$C:$C,盘货信息!$E:$E),0)&amp;"元】")))</f>
        <v/>
      </c>
      <c r="F392" s="27" t="str" cm="1">
        <f t="array" ref="F392">IF($C392="","",_xlfn.XLOOKUP($A392&amp;$B392&amp;$C392,盘货信息!$A:$A&amp;盘货信息!$B:$B&amp;盘货信息!$C:$C,盘货信息!$D:$D)&amp;"元到手价")</f>
        <v/>
      </c>
      <c r="G392" s="27" t="str" cm="1">
        <f t="array" ref="G392">IF($C392="","",IF(_xlfn.XLOOKUP($A392&amp;$B392&amp;$C392,盘货信息!$A:$A&amp;盘货信息!$B:$B&amp;盘货信息!$C:$C,盘货信息!$G:$G)&lt;1,"",ROUND(_xlfn.XLOOKUP($A392&amp;$B392&amp;$C392,盘货信息!$A:$A&amp;盘货信息!$B:$B&amp;盘货信息!$C:$C,盘货信息!$G:$G),0)&amp;"元88VIP立减"))</f>
        <v/>
      </c>
      <c r="H392" s="27" t="str" cm="1">
        <f t="array" ref="H392">IF($C392="","",IF(_xlfn.XLOOKUP($A392&amp;$B392&amp;$C392,盘货信息!$A:$A&amp;盘货信息!$B:$B&amp;盘货信息!$C:$C,盘货信息!$I:$I)&lt;1,"",_xlfn.XLOOKUP($A392&amp;$B392&amp;$C392,盘货信息!$A:$A&amp;盘货信息!$B:$B&amp;盘货信息!$C:$C,盘货信息!$I:$I)&amp;"元惊喜立减"))</f>
        <v/>
      </c>
      <c r="I392" s="27" t="str" cm="1">
        <f t="array" ref="I392">IF($C392="","",IF(_xlfn.XLOOKUP($A392&amp;$B392&amp;$C392,盘货信息!$A:$A&amp;盘货信息!$B:$B&amp;盘货信息!$C:$C,盘货信息!$H:$H)&lt;1,"",ROUND(_xlfn.XLOOKUP($A392&amp;$B392&amp;$C392,盘货信息!$A:$A&amp;盘货信息!$B:$B&amp;盘货信息!$C:$C,盘货信息!$H:$H),0)&amp;"元消费券"))</f>
        <v/>
      </c>
      <c r="J392" s="27" t="str" cm="1">
        <f t="array" ref="J392">IF($C392="","",IF(_xlfn.XLOOKUP($A392&amp;$B392&amp;$C392,盘货信息!$A:$A&amp;盘货信息!$B:$B&amp;盘货信息!$C:$C,盘货信息!$J:$J)&lt;1,"",ROUND(_xlfn.XLOOKUP($A392&amp;$B392&amp;$C392,盘货信息!$A:$A&amp;盘货信息!$B:$B&amp;盘货信息!$C:$C,盘货信息!$J:$J),0)&amp;"元限时补贴"))</f>
        <v/>
      </c>
      <c r="K392" s="27" t="str" cm="1">
        <f t="array" ref="K392">IF($C392="","",IF(_xlfn.XLOOKUP($A392&amp;$B392&amp;$C392,盘货信息!$A:$A&amp;盘货信息!$B:$B&amp;盘货信息!$C:$C,盘货信息!$K:$K)&lt;1,"",ROUND(_xlfn.XLOOKUP($A392&amp;$B392&amp;$C392,盘货信息!$A:$A&amp;盘货信息!$B:$B&amp;盘货信息!$C:$C,盘货信息!$K:$K),0)&amp;"元预估焕新补贴"))</f>
        <v/>
      </c>
      <c r="L392" s="27" t="str" cm="1">
        <f t="array" ref="L392">IF($C392="","",IF(AND(_xlfn.XLOOKUP($A392&amp;$B392&amp;$C392,盘货信息!$A:$A&amp;盘货信息!$B:$B&amp;盘货信息!$C:$C,盘货信息!$L:$L)="是",_xlfn.XLOOKUP($A392&amp;$B392&amp;$C392,盘货信息!$A:$A&amp;盘货信息!$B:$B&amp;盘货信息!$C:$C,盘货信息!$M:$M)="是",_xlfn.XLOOKUP($A392&amp;$B392&amp;$C392,盘货信息!$A:$A&amp;盘货信息!$B:$B&amp;盘货信息!$C:$C,盘货信息!$K:$K)&gt;0),"【全民可用，不限地址】",IF(AND(OR(_xlfn.XLOOKUP($A392&amp;$B392&amp;$C392,盘货信息!$A:$A&amp;盘货信息!$B:$B&amp;盘货信息!$C:$C,盘货信息!$L:$L)="否",_xlfn.XLOOKUP($A392&amp;$B392&amp;$C392,盘货信息!$A:$A&amp;盘货信息!$B:$B&amp;盘货信息!$C:$C,盘货信息!$L:$L)=""),_xlfn.XLOOKUP($A392&amp;$B392&amp;$C392,盘货信息!$A:$A&amp;盘货信息!$B:$B&amp;盘货信息!$C:$C,盘货信息!$M:$M)="是",_xlfn.XLOOKUP($A392&amp;$B392&amp;$C392,盘货信息!$A:$A&amp;盘货信息!$B:$B&amp;盘货信息!$C:$C,盘货信息!$K:$K)&gt;0),"【详情页领取】","")))</f>
        <v/>
      </c>
      <c r="M392" s="27" t="str" cm="1">
        <f t="array" ref="M392">IF($C392="","",IF(_xlfn.XLOOKUP($A392&amp;$B392&amp;$C392,盘货信息!$A:$A&amp;盘货信息!$B:$B&amp;盘货信息!$C:$C,盘货信息!$F:$F)&lt;1,"",_xlfn.XLOOKUP($A392&amp;$B392&amp;$C392,盘货信息!$A:$A&amp;盘货信息!$B:$B&amp;盘货信息!$C:$C,盘货信息!$F:$F)&amp;"元明卷"))</f>
        <v/>
      </c>
      <c r="N392" s="27" t="str">
        <f t="shared" si="13"/>
        <v/>
      </c>
      <c r="O392" s="27" t="str">
        <f>IF(I392="","","【消费券链接】"&amp;固定信息!$B$6)</f>
        <v/>
      </c>
    </row>
    <row r="393" customHeight="1" spans="1:15">
      <c r="A393" s="23" t="str">
        <f>IF(盘货信息!A393="","",盘货信息!A393)</f>
        <v/>
      </c>
      <c r="B393" s="26" t="str">
        <f>IF(盘货信息!B393="","",盘货信息!B393)</f>
        <v/>
      </c>
      <c r="C393" s="23" t="str">
        <f>IF(盘货信息!C393="","",盘货信息!C393)</f>
        <v/>
      </c>
      <c r="D393" s="27" t="str">
        <f t="shared" si="12"/>
        <v/>
      </c>
      <c r="E393" s="27" t="str" cm="1">
        <f t="array" ref="E393">IF($C393="","",IF(AND(OR(_xlfn.XLOOKUP($A393&amp;$B393&amp;$C393,盘货信息!$A:$A&amp;盘货信息!$B:$B&amp;盘货信息!$C:$C,盘货信息!$L:$L)="否",_xlfn.XLOOKUP($A393&amp;$B393&amp;$C393,盘货信息!$A:$A&amp;盘货信息!$B:$B&amp;盘货信息!$C:$C,盘货信息!$L:$L)=""),_xlfn.XLOOKUP($A393&amp;$B393&amp;$C393,盘货信息!$A:$A&amp;盘货信息!$B:$B&amp;盘货信息!$C:$C,盘货信息!$M:$M)="否"),"【预估到手价"&amp;_xlfn.XLOOKUP($A393&amp;$B393&amp;$C393,盘货信息!$A:$A&amp;盘货信息!$B:$B&amp;盘货信息!$C:$C,盘货信息!$D:$D)&amp;"元】",IF(AND(_xlfn.XLOOKUP($A393&amp;$B393&amp;$C393,盘货信息!$A:$A&amp;盘货信息!$B:$B&amp;盘货信息!$C:$C,盘货信息!$M:$M)="是",OR(_xlfn.XLOOKUP($A393&amp;$B393&amp;$C393,盘货信息!$A:$A&amp;盘货信息!$B:$B&amp;盘货信息!$C:$C,盘货信息!$L:$L)="否",_xlfn.XLOOKUP($A393&amp;$B393&amp;$C393,盘货信息!$A:$A&amp;盘货信息!$B:$B&amp;盘货信息!$C:$C,盘货信息!$L:$L)="")),"【预估到手价"&amp;_xlfn.XLOOKUP($A393&amp;$B393&amp;$C393,盘货信息!$A:$A&amp;盘货信息!$B:$B&amp;盘货信息!$C:$C,盘货信息!$D:$D)&amp;"元】"&amp;CHAR(10)&amp;"【焕新补贴预估价"&amp;ROUND(_xlfn.XLOOKUP($A393&amp;$B393&amp;$C393,盘货信息!$A:$A&amp;盘货信息!$B:$B&amp;盘货信息!$C:$C,盘货信息!$E:$E),0)&amp;"元】","【焕新补贴预估价"&amp;ROUND(_xlfn.XLOOKUP($A393&amp;$B393&amp;$C393,盘货信息!$A:$A&amp;盘货信息!$B:$B&amp;盘货信息!$C:$C,盘货信息!$E:$E),0)&amp;"元】")))</f>
        <v/>
      </c>
      <c r="F393" s="27" t="str" cm="1">
        <f t="array" ref="F393">IF($C393="","",_xlfn.XLOOKUP($A393&amp;$B393&amp;$C393,盘货信息!$A:$A&amp;盘货信息!$B:$B&amp;盘货信息!$C:$C,盘货信息!$D:$D)&amp;"元到手价")</f>
        <v/>
      </c>
      <c r="G393" s="27" t="str" cm="1">
        <f t="array" ref="G393">IF($C393="","",IF(_xlfn.XLOOKUP($A393&amp;$B393&amp;$C393,盘货信息!$A:$A&amp;盘货信息!$B:$B&amp;盘货信息!$C:$C,盘货信息!$G:$G)&lt;1,"",ROUND(_xlfn.XLOOKUP($A393&amp;$B393&amp;$C393,盘货信息!$A:$A&amp;盘货信息!$B:$B&amp;盘货信息!$C:$C,盘货信息!$G:$G),0)&amp;"元88VIP立减"))</f>
        <v/>
      </c>
      <c r="H393" s="27" t="str" cm="1">
        <f t="array" ref="H393">IF($C393="","",IF(_xlfn.XLOOKUP($A393&amp;$B393&amp;$C393,盘货信息!$A:$A&amp;盘货信息!$B:$B&amp;盘货信息!$C:$C,盘货信息!$I:$I)&lt;1,"",_xlfn.XLOOKUP($A393&amp;$B393&amp;$C393,盘货信息!$A:$A&amp;盘货信息!$B:$B&amp;盘货信息!$C:$C,盘货信息!$I:$I)&amp;"元惊喜立减"))</f>
        <v/>
      </c>
      <c r="I393" s="27" t="str" cm="1">
        <f t="array" ref="I393">IF($C393="","",IF(_xlfn.XLOOKUP($A393&amp;$B393&amp;$C393,盘货信息!$A:$A&amp;盘货信息!$B:$B&amp;盘货信息!$C:$C,盘货信息!$H:$H)&lt;1,"",ROUND(_xlfn.XLOOKUP($A393&amp;$B393&amp;$C393,盘货信息!$A:$A&amp;盘货信息!$B:$B&amp;盘货信息!$C:$C,盘货信息!$H:$H),0)&amp;"元消费券"))</f>
        <v/>
      </c>
      <c r="J393" s="27" t="str" cm="1">
        <f t="array" ref="J393">IF($C393="","",IF(_xlfn.XLOOKUP($A393&amp;$B393&amp;$C393,盘货信息!$A:$A&amp;盘货信息!$B:$B&amp;盘货信息!$C:$C,盘货信息!$J:$J)&lt;1,"",ROUND(_xlfn.XLOOKUP($A393&amp;$B393&amp;$C393,盘货信息!$A:$A&amp;盘货信息!$B:$B&amp;盘货信息!$C:$C,盘货信息!$J:$J),0)&amp;"元限时补贴"))</f>
        <v/>
      </c>
      <c r="K393" s="27" t="str" cm="1">
        <f t="array" ref="K393">IF($C393="","",IF(_xlfn.XLOOKUP($A393&amp;$B393&amp;$C393,盘货信息!$A:$A&amp;盘货信息!$B:$B&amp;盘货信息!$C:$C,盘货信息!$K:$K)&lt;1,"",ROUND(_xlfn.XLOOKUP($A393&amp;$B393&amp;$C393,盘货信息!$A:$A&amp;盘货信息!$B:$B&amp;盘货信息!$C:$C,盘货信息!$K:$K),0)&amp;"元预估焕新补贴"))</f>
        <v/>
      </c>
      <c r="L393" s="27" t="str" cm="1">
        <f t="array" ref="L393">IF($C393="","",IF(AND(_xlfn.XLOOKUP($A393&amp;$B393&amp;$C393,盘货信息!$A:$A&amp;盘货信息!$B:$B&amp;盘货信息!$C:$C,盘货信息!$L:$L)="是",_xlfn.XLOOKUP($A393&amp;$B393&amp;$C393,盘货信息!$A:$A&amp;盘货信息!$B:$B&amp;盘货信息!$C:$C,盘货信息!$M:$M)="是",_xlfn.XLOOKUP($A393&amp;$B393&amp;$C393,盘货信息!$A:$A&amp;盘货信息!$B:$B&amp;盘货信息!$C:$C,盘货信息!$K:$K)&gt;0),"【全民可用，不限地址】",IF(AND(OR(_xlfn.XLOOKUP($A393&amp;$B393&amp;$C393,盘货信息!$A:$A&amp;盘货信息!$B:$B&amp;盘货信息!$C:$C,盘货信息!$L:$L)="否",_xlfn.XLOOKUP($A393&amp;$B393&amp;$C393,盘货信息!$A:$A&amp;盘货信息!$B:$B&amp;盘货信息!$C:$C,盘货信息!$L:$L)=""),_xlfn.XLOOKUP($A393&amp;$B393&amp;$C393,盘货信息!$A:$A&amp;盘货信息!$B:$B&amp;盘货信息!$C:$C,盘货信息!$M:$M)="是",_xlfn.XLOOKUP($A393&amp;$B393&amp;$C393,盘货信息!$A:$A&amp;盘货信息!$B:$B&amp;盘货信息!$C:$C,盘货信息!$K:$K)&gt;0),"【详情页领取】","")))</f>
        <v/>
      </c>
      <c r="M393" s="27" t="str" cm="1">
        <f t="array" ref="M393">IF($C393="","",IF(_xlfn.XLOOKUP($A393&amp;$B393&amp;$C393,盘货信息!$A:$A&amp;盘货信息!$B:$B&amp;盘货信息!$C:$C,盘货信息!$F:$F)&lt;1,"",_xlfn.XLOOKUP($A393&amp;$B393&amp;$C393,盘货信息!$A:$A&amp;盘货信息!$B:$B&amp;盘货信息!$C:$C,盘货信息!$F:$F)&amp;"元明卷"))</f>
        <v/>
      </c>
      <c r="N393" s="27" t="str">
        <f t="shared" si="13"/>
        <v/>
      </c>
      <c r="O393" s="27" t="str">
        <f>IF(I393="","","【消费券链接】"&amp;固定信息!$B$6)</f>
        <v/>
      </c>
    </row>
    <row r="394" customHeight="1" spans="1:15">
      <c r="A394" s="23" t="str">
        <f>IF(盘货信息!A394="","",盘货信息!A394)</f>
        <v/>
      </c>
      <c r="B394" s="26" t="str">
        <f>IF(盘货信息!B394="","",盘货信息!B394)</f>
        <v/>
      </c>
      <c r="C394" s="23" t="str">
        <f>IF(盘货信息!C394="","",盘货信息!C394)</f>
        <v/>
      </c>
      <c r="D394" s="27" t="str">
        <f t="shared" si="12"/>
        <v/>
      </c>
      <c r="E394" s="27" t="str" cm="1">
        <f t="array" ref="E394">IF($C394="","",IF(AND(OR(_xlfn.XLOOKUP($A394&amp;$B394&amp;$C394,盘货信息!$A:$A&amp;盘货信息!$B:$B&amp;盘货信息!$C:$C,盘货信息!$L:$L)="否",_xlfn.XLOOKUP($A394&amp;$B394&amp;$C394,盘货信息!$A:$A&amp;盘货信息!$B:$B&amp;盘货信息!$C:$C,盘货信息!$L:$L)=""),_xlfn.XLOOKUP($A394&amp;$B394&amp;$C394,盘货信息!$A:$A&amp;盘货信息!$B:$B&amp;盘货信息!$C:$C,盘货信息!$M:$M)="否"),"【预估到手价"&amp;_xlfn.XLOOKUP($A394&amp;$B394&amp;$C394,盘货信息!$A:$A&amp;盘货信息!$B:$B&amp;盘货信息!$C:$C,盘货信息!$D:$D)&amp;"元】",IF(AND(_xlfn.XLOOKUP($A394&amp;$B394&amp;$C394,盘货信息!$A:$A&amp;盘货信息!$B:$B&amp;盘货信息!$C:$C,盘货信息!$M:$M)="是",OR(_xlfn.XLOOKUP($A394&amp;$B394&amp;$C394,盘货信息!$A:$A&amp;盘货信息!$B:$B&amp;盘货信息!$C:$C,盘货信息!$L:$L)="否",_xlfn.XLOOKUP($A394&amp;$B394&amp;$C394,盘货信息!$A:$A&amp;盘货信息!$B:$B&amp;盘货信息!$C:$C,盘货信息!$L:$L)="")),"【预估到手价"&amp;_xlfn.XLOOKUP($A394&amp;$B394&amp;$C394,盘货信息!$A:$A&amp;盘货信息!$B:$B&amp;盘货信息!$C:$C,盘货信息!$D:$D)&amp;"元】"&amp;CHAR(10)&amp;"【焕新补贴预估价"&amp;ROUND(_xlfn.XLOOKUP($A394&amp;$B394&amp;$C394,盘货信息!$A:$A&amp;盘货信息!$B:$B&amp;盘货信息!$C:$C,盘货信息!$E:$E),0)&amp;"元】","【焕新补贴预估价"&amp;ROUND(_xlfn.XLOOKUP($A394&amp;$B394&amp;$C394,盘货信息!$A:$A&amp;盘货信息!$B:$B&amp;盘货信息!$C:$C,盘货信息!$E:$E),0)&amp;"元】")))</f>
        <v/>
      </c>
      <c r="F394" s="27" t="str" cm="1">
        <f t="array" ref="F394">IF($C394="","",_xlfn.XLOOKUP($A394&amp;$B394&amp;$C394,盘货信息!$A:$A&amp;盘货信息!$B:$B&amp;盘货信息!$C:$C,盘货信息!$D:$D)&amp;"元到手价")</f>
        <v/>
      </c>
      <c r="G394" s="27" t="str" cm="1">
        <f t="array" ref="G394">IF($C394="","",IF(_xlfn.XLOOKUP($A394&amp;$B394&amp;$C394,盘货信息!$A:$A&amp;盘货信息!$B:$B&amp;盘货信息!$C:$C,盘货信息!$G:$G)&lt;1,"",ROUND(_xlfn.XLOOKUP($A394&amp;$B394&amp;$C394,盘货信息!$A:$A&amp;盘货信息!$B:$B&amp;盘货信息!$C:$C,盘货信息!$G:$G),0)&amp;"元88VIP立减"))</f>
        <v/>
      </c>
      <c r="H394" s="27" t="str" cm="1">
        <f t="array" ref="H394">IF($C394="","",IF(_xlfn.XLOOKUP($A394&amp;$B394&amp;$C394,盘货信息!$A:$A&amp;盘货信息!$B:$B&amp;盘货信息!$C:$C,盘货信息!$I:$I)&lt;1,"",_xlfn.XLOOKUP($A394&amp;$B394&amp;$C394,盘货信息!$A:$A&amp;盘货信息!$B:$B&amp;盘货信息!$C:$C,盘货信息!$I:$I)&amp;"元惊喜立减"))</f>
        <v/>
      </c>
      <c r="I394" s="27" t="str" cm="1">
        <f t="array" ref="I394">IF($C394="","",IF(_xlfn.XLOOKUP($A394&amp;$B394&amp;$C394,盘货信息!$A:$A&amp;盘货信息!$B:$B&amp;盘货信息!$C:$C,盘货信息!$H:$H)&lt;1,"",ROUND(_xlfn.XLOOKUP($A394&amp;$B394&amp;$C394,盘货信息!$A:$A&amp;盘货信息!$B:$B&amp;盘货信息!$C:$C,盘货信息!$H:$H),0)&amp;"元消费券"))</f>
        <v/>
      </c>
      <c r="J394" s="27" t="str" cm="1">
        <f t="array" ref="J394">IF($C394="","",IF(_xlfn.XLOOKUP($A394&amp;$B394&amp;$C394,盘货信息!$A:$A&amp;盘货信息!$B:$B&amp;盘货信息!$C:$C,盘货信息!$J:$J)&lt;1,"",ROUND(_xlfn.XLOOKUP($A394&amp;$B394&amp;$C394,盘货信息!$A:$A&amp;盘货信息!$B:$B&amp;盘货信息!$C:$C,盘货信息!$J:$J),0)&amp;"元限时补贴"))</f>
        <v/>
      </c>
      <c r="K394" s="27" t="str" cm="1">
        <f t="array" ref="K394">IF($C394="","",IF(_xlfn.XLOOKUP($A394&amp;$B394&amp;$C394,盘货信息!$A:$A&amp;盘货信息!$B:$B&amp;盘货信息!$C:$C,盘货信息!$K:$K)&lt;1,"",ROUND(_xlfn.XLOOKUP($A394&amp;$B394&amp;$C394,盘货信息!$A:$A&amp;盘货信息!$B:$B&amp;盘货信息!$C:$C,盘货信息!$K:$K),0)&amp;"元预估焕新补贴"))</f>
        <v/>
      </c>
      <c r="L394" s="27" t="str" cm="1">
        <f t="array" ref="L394">IF($C394="","",IF(AND(_xlfn.XLOOKUP($A394&amp;$B394&amp;$C394,盘货信息!$A:$A&amp;盘货信息!$B:$B&amp;盘货信息!$C:$C,盘货信息!$L:$L)="是",_xlfn.XLOOKUP($A394&amp;$B394&amp;$C394,盘货信息!$A:$A&amp;盘货信息!$B:$B&amp;盘货信息!$C:$C,盘货信息!$M:$M)="是",_xlfn.XLOOKUP($A394&amp;$B394&amp;$C394,盘货信息!$A:$A&amp;盘货信息!$B:$B&amp;盘货信息!$C:$C,盘货信息!$K:$K)&gt;0),"【全民可用，不限地址】",IF(AND(OR(_xlfn.XLOOKUP($A394&amp;$B394&amp;$C394,盘货信息!$A:$A&amp;盘货信息!$B:$B&amp;盘货信息!$C:$C,盘货信息!$L:$L)="否",_xlfn.XLOOKUP($A394&amp;$B394&amp;$C394,盘货信息!$A:$A&amp;盘货信息!$B:$B&amp;盘货信息!$C:$C,盘货信息!$L:$L)=""),_xlfn.XLOOKUP($A394&amp;$B394&amp;$C394,盘货信息!$A:$A&amp;盘货信息!$B:$B&amp;盘货信息!$C:$C,盘货信息!$M:$M)="是",_xlfn.XLOOKUP($A394&amp;$B394&amp;$C394,盘货信息!$A:$A&amp;盘货信息!$B:$B&amp;盘货信息!$C:$C,盘货信息!$K:$K)&gt;0),"【详情页领取】","")))</f>
        <v/>
      </c>
      <c r="M394" s="27" t="str" cm="1">
        <f t="array" ref="M394">IF($C394="","",IF(_xlfn.XLOOKUP($A394&amp;$B394&amp;$C394,盘货信息!$A:$A&amp;盘货信息!$B:$B&amp;盘货信息!$C:$C,盘货信息!$F:$F)&lt;1,"",_xlfn.XLOOKUP($A394&amp;$B394&amp;$C394,盘货信息!$A:$A&amp;盘货信息!$B:$B&amp;盘货信息!$C:$C,盘货信息!$F:$F)&amp;"元明卷"))</f>
        <v/>
      </c>
      <c r="N394" s="27" t="str">
        <f t="shared" si="13"/>
        <v/>
      </c>
      <c r="O394" s="27" t="str">
        <f>IF(I394="","","【消费券链接】"&amp;固定信息!$B$6)</f>
        <v/>
      </c>
    </row>
    <row r="395" customHeight="1" spans="1:15">
      <c r="A395" s="23" t="str">
        <f>IF(盘货信息!A395="","",盘货信息!A395)</f>
        <v/>
      </c>
      <c r="B395" s="26" t="str">
        <f>IF(盘货信息!B395="","",盘货信息!B395)</f>
        <v/>
      </c>
      <c r="C395" s="23" t="str">
        <f>IF(盘货信息!C395="","",盘货信息!C395)</f>
        <v/>
      </c>
      <c r="D395" s="27" t="str">
        <f t="shared" si="12"/>
        <v/>
      </c>
      <c r="E395" s="27" t="str" cm="1">
        <f t="array" ref="E395">IF($C395="","",IF(AND(OR(_xlfn.XLOOKUP($A395&amp;$B395&amp;$C395,盘货信息!$A:$A&amp;盘货信息!$B:$B&amp;盘货信息!$C:$C,盘货信息!$L:$L)="否",_xlfn.XLOOKUP($A395&amp;$B395&amp;$C395,盘货信息!$A:$A&amp;盘货信息!$B:$B&amp;盘货信息!$C:$C,盘货信息!$L:$L)=""),_xlfn.XLOOKUP($A395&amp;$B395&amp;$C395,盘货信息!$A:$A&amp;盘货信息!$B:$B&amp;盘货信息!$C:$C,盘货信息!$M:$M)="否"),"【预估到手价"&amp;_xlfn.XLOOKUP($A395&amp;$B395&amp;$C395,盘货信息!$A:$A&amp;盘货信息!$B:$B&amp;盘货信息!$C:$C,盘货信息!$D:$D)&amp;"元】",IF(AND(_xlfn.XLOOKUP($A395&amp;$B395&amp;$C395,盘货信息!$A:$A&amp;盘货信息!$B:$B&amp;盘货信息!$C:$C,盘货信息!$M:$M)="是",OR(_xlfn.XLOOKUP($A395&amp;$B395&amp;$C395,盘货信息!$A:$A&amp;盘货信息!$B:$B&amp;盘货信息!$C:$C,盘货信息!$L:$L)="否",_xlfn.XLOOKUP($A395&amp;$B395&amp;$C395,盘货信息!$A:$A&amp;盘货信息!$B:$B&amp;盘货信息!$C:$C,盘货信息!$L:$L)="")),"【预估到手价"&amp;_xlfn.XLOOKUP($A395&amp;$B395&amp;$C395,盘货信息!$A:$A&amp;盘货信息!$B:$B&amp;盘货信息!$C:$C,盘货信息!$D:$D)&amp;"元】"&amp;CHAR(10)&amp;"【焕新补贴预估价"&amp;ROUND(_xlfn.XLOOKUP($A395&amp;$B395&amp;$C395,盘货信息!$A:$A&amp;盘货信息!$B:$B&amp;盘货信息!$C:$C,盘货信息!$E:$E),0)&amp;"元】","【焕新补贴预估价"&amp;ROUND(_xlfn.XLOOKUP($A395&amp;$B395&amp;$C395,盘货信息!$A:$A&amp;盘货信息!$B:$B&amp;盘货信息!$C:$C,盘货信息!$E:$E),0)&amp;"元】")))</f>
        <v/>
      </c>
      <c r="F395" s="27" t="str" cm="1">
        <f t="array" ref="F395">IF($C395="","",_xlfn.XLOOKUP($A395&amp;$B395&amp;$C395,盘货信息!$A:$A&amp;盘货信息!$B:$B&amp;盘货信息!$C:$C,盘货信息!$D:$D)&amp;"元到手价")</f>
        <v/>
      </c>
      <c r="G395" s="27" t="str" cm="1">
        <f t="array" ref="G395">IF($C395="","",IF(_xlfn.XLOOKUP($A395&amp;$B395&amp;$C395,盘货信息!$A:$A&amp;盘货信息!$B:$B&amp;盘货信息!$C:$C,盘货信息!$G:$G)&lt;1,"",ROUND(_xlfn.XLOOKUP($A395&amp;$B395&amp;$C395,盘货信息!$A:$A&amp;盘货信息!$B:$B&amp;盘货信息!$C:$C,盘货信息!$G:$G),0)&amp;"元88VIP立减"))</f>
        <v/>
      </c>
      <c r="H395" s="27" t="str" cm="1">
        <f t="array" ref="H395">IF($C395="","",IF(_xlfn.XLOOKUP($A395&amp;$B395&amp;$C395,盘货信息!$A:$A&amp;盘货信息!$B:$B&amp;盘货信息!$C:$C,盘货信息!$I:$I)&lt;1,"",_xlfn.XLOOKUP($A395&amp;$B395&amp;$C395,盘货信息!$A:$A&amp;盘货信息!$B:$B&amp;盘货信息!$C:$C,盘货信息!$I:$I)&amp;"元惊喜立减"))</f>
        <v/>
      </c>
      <c r="I395" s="27" t="str" cm="1">
        <f t="array" ref="I395">IF($C395="","",IF(_xlfn.XLOOKUP($A395&amp;$B395&amp;$C395,盘货信息!$A:$A&amp;盘货信息!$B:$B&amp;盘货信息!$C:$C,盘货信息!$H:$H)&lt;1,"",ROUND(_xlfn.XLOOKUP($A395&amp;$B395&amp;$C395,盘货信息!$A:$A&amp;盘货信息!$B:$B&amp;盘货信息!$C:$C,盘货信息!$H:$H),0)&amp;"元消费券"))</f>
        <v/>
      </c>
      <c r="J395" s="27" t="str" cm="1">
        <f t="array" ref="J395">IF($C395="","",IF(_xlfn.XLOOKUP($A395&amp;$B395&amp;$C395,盘货信息!$A:$A&amp;盘货信息!$B:$B&amp;盘货信息!$C:$C,盘货信息!$J:$J)&lt;1,"",ROUND(_xlfn.XLOOKUP($A395&amp;$B395&amp;$C395,盘货信息!$A:$A&amp;盘货信息!$B:$B&amp;盘货信息!$C:$C,盘货信息!$J:$J),0)&amp;"元限时补贴"))</f>
        <v/>
      </c>
      <c r="K395" s="27" t="str" cm="1">
        <f t="array" ref="K395">IF($C395="","",IF(_xlfn.XLOOKUP($A395&amp;$B395&amp;$C395,盘货信息!$A:$A&amp;盘货信息!$B:$B&amp;盘货信息!$C:$C,盘货信息!$K:$K)&lt;1,"",ROUND(_xlfn.XLOOKUP($A395&amp;$B395&amp;$C395,盘货信息!$A:$A&amp;盘货信息!$B:$B&amp;盘货信息!$C:$C,盘货信息!$K:$K),0)&amp;"元预估焕新补贴"))</f>
        <v/>
      </c>
      <c r="L395" s="27" t="str" cm="1">
        <f t="array" ref="L395">IF($C395="","",IF(AND(_xlfn.XLOOKUP($A395&amp;$B395&amp;$C395,盘货信息!$A:$A&amp;盘货信息!$B:$B&amp;盘货信息!$C:$C,盘货信息!$L:$L)="是",_xlfn.XLOOKUP($A395&amp;$B395&amp;$C395,盘货信息!$A:$A&amp;盘货信息!$B:$B&amp;盘货信息!$C:$C,盘货信息!$M:$M)="是",_xlfn.XLOOKUP($A395&amp;$B395&amp;$C395,盘货信息!$A:$A&amp;盘货信息!$B:$B&amp;盘货信息!$C:$C,盘货信息!$K:$K)&gt;0),"【全民可用，不限地址】",IF(AND(OR(_xlfn.XLOOKUP($A395&amp;$B395&amp;$C395,盘货信息!$A:$A&amp;盘货信息!$B:$B&amp;盘货信息!$C:$C,盘货信息!$L:$L)="否",_xlfn.XLOOKUP($A395&amp;$B395&amp;$C395,盘货信息!$A:$A&amp;盘货信息!$B:$B&amp;盘货信息!$C:$C,盘货信息!$L:$L)=""),_xlfn.XLOOKUP($A395&amp;$B395&amp;$C395,盘货信息!$A:$A&amp;盘货信息!$B:$B&amp;盘货信息!$C:$C,盘货信息!$M:$M)="是",_xlfn.XLOOKUP($A395&amp;$B395&amp;$C395,盘货信息!$A:$A&amp;盘货信息!$B:$B&amp;盘货信息!$C:$C,盘货信息!$K:$K)&gt;0),"【详情页领取】","")))</f>
        <v/>
      </c>
      <c r="M395" s="27" t="str" cm="1">
        <f t="array" ref="M395">IF($C395="","",IF(_xlfn.XLOOKUP($A395&amp;$B395&amp;$C395,盘货信息!$A:$A&amp;盘货信息!$B:$B&amp;盘货信息!$C:$C,盘货信息!$F:$F)&lt;1,"",_xlfn.XLOOKUP($A395&amp;$B395&amp;$C395,盘货信息!$A:$A&amp;盘货信息!$B:$B&amp;盘货信息!$C:$C,盘货信息!$F:$F)&amp;"元明卷"))</f>
        <v/>
      </c>
      <c r="N395" s="27" t="str">
        <f t="shared" si="13"/>
        <v/>
      </c>
      <c r="O395" s="27" t="str">
        <f>IF(I395="","","【消费券链接】"&amp;固定信息!$B$6)</f>
        <v/>
      </c>
    </row>
    <row r="396" customHeight="1" spans="1:15">
      <c r="A396" s="23" t="str">
        <f>IF(盘货信息!A396="","",盘货信息!A396)</f>
        <v/>
      </c>
      <c r="B396" s="26" t="str">
        <f>IF(盘货信息!B396="","",盘货信息!B396)</f>
        <v/>
      </c>
      <c r="C396" s="23" t="str">
        <f>IF(盘货信息!C396="","",盘货信息!C396)</f>
        <v/>
      </c>
      <c r="D396" s="27" t="str">
        <f t="shared" si="12"/>
        <v/>
      </c>
      <c r="E396" s="27" t="str" cm="1">
        <f t="array" ref="E396">IF($C396="","",IF(AND(OR(_xlfn.XLOOKUP($A396&amp;$B396&amp;$C396,盘货信息!$A:$A&amp;盘货信息!$B:$B&amp;盘货信息!$C:$C,盘货信息!$L:$L)="否",_xlfn.XLOOKUP($A396&amp;$B396&amp;$C396,盘货信息!$A:$A&amp;盘货信息!$B:$B&amp;盘货信息!$C:$C,盘货信息!$L:$L)=""),_xlfn.XLOOKUP($A396&amp;$B396&amp;$C396,盘货信息!$A:$A&amp;盘货信息!$B:$B&amp;盘货信息!$C:$C,盘货信息!$M:$M)="否"),"【预估到手价"&amp;_xlfn.XLOOKUP($A396&amp;$B396&amp;$C396,盘货信息!$A:$A&amp;盘货信息!$B:$B&amp;盘货信息!$C:$C,盘货信息!$D:$D)&amp;"元】",IF(AND(_xlfn.XLOOKUP($A396&amp;$B396&amp;$C396,盘货信息!$A:$A&amp;盘货信息!$B:$B&amp;盘货信息!$C:$C,盘货信息!$M:$M)="是",OR(_xlfn.XLOOKUP($A396&amp;$B396&amp;$C396,盘货信息!$A:$A&amp;盘货信息!$B:$B&amp;盘货信息!$C:$C,盘货信息!$L:$L)="否",_xlfn.XLOOKUP($A396&amp;$B396&amp;$C396,盘货信息!$A:$A&amp;盘货信息!$B:$B&amp;盘货信息!$C:$C,盘货信息!$L:$L)="")),"【预估到手价"&amp;_xlfn.XLOOKUP($A396&amp;$B396&amp;$C396,盘货信息!$A:$A&amp;盘货信息!$B:$B&amp;盘货信息!$C:$C,盘货信息!$D:$D)&amp;"元】"&amp;CHAR(10)&amp;"【焕新补贴预估价"&amp;ROUND(_xlfn.XLOOKUP($A396&amp;$B396&amp;$C396,盘货信息!$A:$A&amp;盘货信息!$B:$B&amp;盘货信息!$C:$C,盘货信息!$E:$E),0)&amp;"元】","【焕新补贴预估价"&amp;ROUND(_xlfn.XLOOKUP($A396&amp;$B396&amp;$C396,盘货信息!$A:$A&amp;盘货信息!$B:$B&amp;盘货信息!$C:$C,盘货信息!$E:$E),0)&amp;"元】")))</f>
        <v/>
      </c>
      <c r="F396" s="27" t="str" cm="1">
        <f t="array" ref="F396">IF($C396="","",_xlfn.XLOOKUP($A396&amp;$B396&amp;$C396,盘货信息!$A:$A&amp;盘货信息!$B:$B&amp;盘货信息!$C:$C,盘货信息!$D:$D)&amp;"元到手价")</f>
        <v/>
      </c>
      <c r="G396" s="27" t="str" cm="1">
        <f t="array" ref="G396">IF($C396="","",IF(_xlfn.XLOOKUP($A396&amp;$B396&amp;$C396,盘货信息!$A:$A&amp;盘货信息!$B:$B&amp;盘货信息!$C:$C,盘货信息!$G:$G)&lt;1,"",ROUND(_xlfn.XLOOKUP($A396&amp;$B396&amp;$C396,盘货信息!$A:$A&amp;盘货信息!$B:$B&amp;盘货信息!$C:$C,盘货信息!$G:$G),0)&amp;"元88VIP立减"))</f>
        <v/>
      </c>
      <c r="H396" s="27" t="str" cm="1">
        <f t="array" ref="H396">IF($C396="","",IF(_xlfn.XLOOKUP($A396&amp;$B396&amp;$C396,盘货信息!$A:$A&amp;盘货信息!$B:$B&amp;盘货信息!$C:$C,盘货信息!$I:$I)&lt;1,"",_xlfn.XLOOKUP($A396&amp;$B396&amp;$C396,盘货信息!$A:$A&amp;盘货信息!$B:$B&amp;盘货信息!$C:$C,盘货信息!$I:$I)&amp;"元惊喜立减"))</f>
        <v/>
      </c>
      <c r="I396" s="27" t="str" cm="1">
        <f t="array" ref="I396">IF($C396="","",IF(_xlfn.XLOOKUP($A396&amp;$B396&amp;$C396,盘货信息!$A:$A&amp;盘货信息!$B:$B&amp;盘货信息!$C:$C,盘货信息!$H:$H)&lt;1,"",ROUND(_xlfn.XLOOKUP($A396&amp;$B396&amp;$C396,盘货信息!$A:$A&amp;盘货信息!$B:$B&amp;盘货信息!$C:$C,盘货信息!$H:$H),0)&amp;"元消费券"))</f>
        <v/>
      </c>
      <c r="J396" s="27" t="str" cm="1">
        <f t="array" ref="J396">IF($C396="","",IF(_xlfn.XLOOKUP($A396&amp;$B396&amp;$C396,盘货信息!$A:$A&amp;盘货信息!$B:$B&amp;盘货信息!$C:$C,盘货信息!$J:$J)&lt;1,"",ROUND(_xlfn.XLOOKUP($A396&amp;$B396&amp;$C396,盘货信息!$A:$A&amp;盘货信息!$B:$B&amp;盘货信息!$C:$C,盘货信息!$J:$J),0)&amp;"元限时补贴"))</f>
        <v/>
      </c>
      <c r="K396" s="27" t="str" cm="1">
        <f t="array" ref="K396">IF($C396="","",IF(_xlfn.XLOOKUP($A396&amp;$B396&amp;$C396,盘货信息!$A:$A&amp;盘货信息!$B:$B&amp;盘货信息!$C:$C,盘货信息!$K:$K)&lt;1,"",ROUND(_xlfn.XLOOKUP($A396&amp;$B396&amp;$C396,盘货信息!$A:$A&amp;盘货信息!$B:$B&amp;盘货信息!$C:$C,盘货信息!$K:$K),0)&amp;"元预估焕新补贴"))</f>
        <v/>
      </c>
      <c r="L396" s="27" t="str" cm="1">
        <f t="array" ref="L396">IF($C396="","",IF(AND(_xlfn.XLOOKUP($A396&amp;$B396&amp;$C396,盘货信息!$A:$A&amp;盘货信息!$B:$B&amp;盘货信息!$C:$C,盘货信息!$L:$L)="是",_xlfn.XLOOKUP($A396&amp;$B396&amp;$C396,盘货信息!$A:$A&amp;盘货信息!$B:$B&amp;盘货信息!$C:$C,盘货信息!$M:$M)="是",_xlfn.XLOOKUP($A396&amp;$B396&amp;$C396,盘货信息!$A:$A&amp;盘货信息!$B:$B&amp;盘货信息!$C:$C,盘货信息!$K:$K)&gt;0),"【全民可用，不限地址】",IF(AND(OR(_xlfn.XLOOKUP($A396&amp;$B396&amp;$C396,盘货信息!$A:$A&amp;盘货信息!$B:$B&amp;盘货信息!$C:$C,盘货信息!$L:$L)="否",_xlfn.XLOOKUP($A396&amp;$B396&amp;$C396,盘货信息!$A:$A&amp;盘货信息!$B:$B&amp;盘货信息!$C:$C,盘货信息!$L:$L)=""),_xlfn.XLOOKUP($A396&amp;$B396&amp;$C396,盘货信息!$A:$A&amp;盘货信息!$B:$B&amp;盘货信息!$C:$C,盘货信息!$M:$M)="是",_xlfn.XLOOKUP($A396&amp;$B396&amp;$C396,盘货信息!$A:$A&amp;盘货信息!$B:$B&amp;盘货信息!$C:$C,盘货信息!$K:$K)&gt;0),"【详情页领取】","")))</f>
        <v/>
      </c>
      <c r="M396" s="27" t="str" cm="1">
        <f t="array" ref="M396">IF($C396="","",IF(_xlfn.XLOOKUP($A396&amp;$B396&amp;$C396,盘货信息!$A:$A&amp;盘货信息!$B:$B&amp;盘货信息!$C:$C,盘货信息!$F:$F)&lt;1,"",_xlfn.XLOOKUP($A396&amp;$B396&amp;$C396,盘货信息!$A:$A&amp;盘货信息!$B:$B&amp;盘货信息!$C:$C,盘货信息!$F:$F)&amp;"元明卷"))</f>
        <v/>
      </c>
      <c r="N396" s="27" t="str">
        <f t="shared" si="13"/>
        <v/>
      </c>
      <c r="O396" s="27" t="str">
        <f>IF(I396="","","【消费券链接】"&amp;固定信息!$B$6)</f>
        <v/>
      </c>
    </row>
    <row r="397" customHeight="1" spans="1:15">
      <c r="A397" s="23" t="str">
        <f>IF(盘货信息!A397="","",盘货信息!A397)</f>
        <v/>
      </c>
      <c r="B397" s="26" t="str">
        <f>IF(盘货信息!B397="","",盘货信息!B397)</f>
        <v/>
      </c>
      <c r="C397" s="23" t="str">
        <f>IF(盘货信息!C397="","",盘货信息!C397)</f>
        <v/>
      </c>
      <c r="D397" s="27" t="str">
        <f t="shared" si="12"/>
        <v/>
      </c>
      <c r="E397" s="27" t="str" cm="1">
        <f t="array" ref="E397">IF($C397="","",IF(AND(OR(_xlfn.XLOOKUP($A397&amp;$B397&amp;$C397,盘货信息!$A:$A&amp;盘货信息!$B:$B&amp;盘货信息!$C:$C,盘货信息!$L:$L)="否",_xlfn.XLOOKUP($A397&amp;$B397&amp;$C397,盘货信息!$A:$A&amp;盘货信息!$B:$B&amp;盘货信息!$C:$C,盘货信息!$L:$L)=""),_xlfn.XLOOKUP($A397&amp;$B397&amp;$C397,盘货信息!$A:$A&amp;盘货信息!$B:$B&amp;盘货信息!$C:$C,盘货信息!$M:$M)="否"),"【预估到手价"&amp;_xlfn.XLOOKUP($A397&amp;$B397&amp;$C397,盘货信息!$A:$A&amp;盘货信息!$B:$B&amp;盘货信息!$C:$C,盘货信息!$D:$D)&amp;"元】",IF(AND(_xlfn.XLOOKUP($A397&amp;$B397&amp;$C397,盘货信息!$A:$A&amp;盘货信息!$B:$B&amp;盘货信息!$C:$C,盘货信息!$M:$M)="是",OR(_xlfn.XLOOKUP($A397&amp;$B397&amp;$C397,盘货信息!$A:$A&amp;盘货信息!$B:$B&amp;盘货信息!$C:$C,盘货信息!$L:$L)="否",_xlfn.XLOOKUP($A397&amp;$B397&amp;$C397,盘货信息!$A:$A&amp;盘货信息!$B:$B&amp;盘货信息!$C:$C,盘货信息!$L:$L)="")),"【预估到手价"&amp;_xlfn.XLOOKUP($A397&amp;$B397&amp;$C397,盘货信息!$A:$A&amp;盘货信息!$B:$B&amp;盘货信息!$C:$C,盘货信息!$D:$D)&amp;"元】"&amp;CHAR(10)&amp;"【焕新补贴预估价"&amp;ROUND(_xlfn.XLOOKUP($A397&amp;$B397&amp;$C397,盘货信息!$A:$A&amp;盘货信息!$B:$B&amp;盘货信息!$C:$C,盘货信息!$E:$E),0)&amp;"元】","【焕新补贴预估价"&amp;ROUND(_xlfn.XLOOKUP($A397&amp;$B397&amp;$C397,盘货信息!$A:$A&amp;盘货信息!$B:$B&amp;盘货信息!$C:$C,盘货信息!$E:$E),0)&amp;"元】")))</f>
        <v/>
      </c>
      <c r="F397" s="27" t="str" cm="1">
        <f t="array" ref="F397">IF($C397="","",_xlfn.XLOOKUP($A397&amp;$B397&amp;$C397,盘货信息!$A:$A&amp;盘货信息!$B:$B&amp;盘货信息!$C:$C,盘货信息!$D:$D)&amp;"元到手价")</f>
        <v/>
      </c>
      <c r="G397" s="27" t="str" cm="1">
        <f t="array" ref="G397">IF($C397="","",IF(_xlfn.XLOOKUP($A397&amp;$B397&amp;$C397,盘货信息!$A:$A&amp;盘货信息!$B:$B&amp;盘货信息!$C:$C,盘货信息!$G:$G)&lt;1,"",ROUND(_xlfn.XLOOKUP($A397&amp;$B397&amp;$C397,盘货信息!$A:$A&amp;盘货信息!$B:$B&amp;盘货信息!$C:$C,盘货信息!$G:$G),0)&amp;"元88VIP立减"))</f>
        <v/>
      </c>
      <c r="H397" s="27" t="str" cm="1">
        <f t="array" ref="H397">IF($C397="","",IF(_xlfn.XLOOKUP($A397&amp;$B397&amp;$C397,盘货信息!$A:$A&amp;盘货信息!$B:$B&amp;盘货信息!$C:$C,盘货信息!$I:$I)&lt;1,"",_xlfn.XLOOKUP($A397&amp;$B397&amp;$C397,盘货信息!$A:$A&amp;盘货信息!$B:$B&amp;盘货信息!$C:$C,盘货信息!$I:$I)&amp;"元惊喜立减"))</f>
        <v/>
      </c>
      <c r="I397" s="27" t="str" cm="1">
        <f t="array" ref="I397">IF($C397="","",IF(_xlfn.XLOOKUP($A397&amp;$B397&amp;$C397,盘货信息!$A:$A&amp;盘货信息!$B:$B&amp;盘货信息!$C:$C,盘货信息!$H:$H)&lt;1,"",ROUND(_xlfn.XLOOKUP($A397&amp;$B397&amp;$C397,盘货信息!$A:$A&amp;盘货信息!$B:$B&amp;盘货信息!$C:$C,盘货信息!$H:$H),0)&amp;"元消费券"))</f>
        <v/>
      </c>
      <c r="J397" s="27" t="str" cm="1">
        <f t="array" ref="J397">IF($C397="","",IF(_xlfn.XLOOKUP($A397&amp;$B397&amp;$C397,盘货信息!$A:$A&amp;盘货信息!$B:$B&amp;盘货信息!$C:$C,盘货信息!$J:$J)&lt;1,"",ROUND(_xlfn.XLOOKUP($A397&amp;$B397&amp;$C397,盘货信息!$A:$A&amp;盘货信息!$B:$B&amp;盘货信息!$C:$C,盘货信息!$J:$J),0)&amp;"元限时补贴"))</f>
        <v/>
      </c>
      <c r="K397" s="27" t="str" cm="1">
        <f t="array" ref="K397">IF($C397="","",IF(_xlfn.XLOOKUP($A397&amp;$B397&amp;$C397,盘货信息!$A:$A&amp;盘货信息!$B:$B&amp;盘货信息!$C:$C,盘货信息!$K:$K)&lt;1,"",ROUND(_xlfn.XLOOKUP($A397&amp;$B397&amp;$C397,盘货信息!$A:$A&amp;盘货信息!$B:$B&amp;盘货信息!$C:$C,盘货信息!$K:$K),0)&amp;"元预估焕新补贴"))</f>
        <v/>
      </c>
      <c r="L397" s="27" t="str" cm="1">
        <f t="array" ref="L397">IF($C397="","",IF(AND(_xlfn.XLOOKUP($A397&amp;$B397&amp;$C397,盘货信息!$A:$A&amp;盘货信息!$B:$B&amp;盘货信息!$C:$C,盘货信息!$L:$L)="是",_xlfn.XLOOKUP($A397&amp;$B397&amp;$C397,盘货信息!$A:$A&amp;盘货信息!$B:$B&amp;盘货信息!$C:$C,盘货信息!$M:$M)="是",_xlfn.XLOOKUP($A397&amp;$B397&amp;$C397,盘货信息!$A:$A&amp;盘货信息!$B:$B&amp;盘货信息!$C:$C,盘货信息!$K:$K)&gt;0),"【全民可用，不限地址】",IF(AND(OR(_xlfn.XLOOKUP($A397&amp;$B397&amp;$C397,盘货信息!$A:$A&amp;盘货信息!$B:$B&amp;盘货信息!$C:$C,盘货信息!$L:$L)="否",_xlfn.XLOOKUP($A397&amp;$B397&amp;$C397,盘货信息!$A:$A&amp;盘货信息!$B:$B&amp;盘货信息!$C:$C,盘货信息!$L:$L)=""),_xlfn.XLOOKUP($A397&amp;$B397&amp;$C397,盘货信息!$A:$A&amp;盘货信息!$B:$B&amp;盘货信息!$C:$C,盘货信息!$M:$M)="是",_xlfn.XLOOKUP($A397&amp;$B397&amp;$C397,盘货信息!$A:$A&amp;盘货信息!$B:$B&amp;盘货信息!$C:$C,盘货信息!$K:$K)&gt;0),"【详情页领取】","")))</f>
        <v/>
      </c>
      <c r="M397" s="27" t="str" cm="1">
        <f t="array" ref="M397">IF($C397="","",IF(_xlfn.XLOOKUP($A397&amp;$B397&amp;$C397,盘货信息!$A:$A&amp;盘货信息!$B:$B&amp;盘货信息!$C:$C,盘货信息!$F:$F)&lt;1,"",_xlfn.XLOOKUP($A397&amp;$B397&amp;$C397,盘货信息!$A:$A&amp;盘货信息!$B:$B&amp;盘货信息!$C:$C,盘货信息!$F:$F)&amp;"元明卷"))</f>
        <v/>
      </c>
      <c r="N397" s="27" t="str">
        <f t="shared" si="13"/>
        <v/>
      </c>
      <c r="O397" s="27" t="str">
        <f>IF(I397="","","【消费券链接】"&amp;固定信息!$B$6)</f>
        <v/>
      </c>
    </row>
    <row r="398" customHeight="1" spans="1:15">
      <c r="A398" s="23" t="str">
        <f>IF(盘货信息!A398="","",盘货信息!A398)</f>
        <v/>
      </c>
      <c r="B398" s="26" t="str">
        <f>IF(盘货信息!B398="","",盘货信息!B398)</f>
        <v/>
      </c>
      <c r="C398" s="23" t="str">
        <f>IF(盘货信息!C398="","",盘货信息!C398)</f>
        <v/>
      </c>
      <c r="D398" s="27" t="str">
        <f t="shared" si="12"/>
        <v/>
      </c>
      <c r="E398" s="27" t="str" cm="1">
        <f t="array" ref="E398">IF($C398="","",IF(AND(OR(_xlfn.XLOOKUP($A398&amp;$B398&amp;$C398,盘货信息!$A:$A&amp;盘货信息!$B:$B&amp;盘货信息!$C:$C,盘货信息!$L:$L)="否",_xlfn.XLOOKUP($A398&amp;$B398&amp;$C398,盘货信息!$A:$A&amp;盘货信息!$B:$B&amp;盘货信息!$C:$C,盘货信息!$L:$L)=""),_xlfn.XLOOKUP($A398&amp;$B398&amp;$C398,盘货信息!$A:$A&amp;盘货信息!$B:$B&amp;盘货信息!$C:$C,盘货信息!$M:$M)="否"),"【预估到手价"&amp;_xlfn.XLOOKUP($A398&amp;$B398&amp;$C398,盘货信息!$A:$A&amp;盘货信息!$B:$B&amp;盘货信息!$C:$C,盘货信息!$D:$D)&amp;"元】",IF(AND(_xlfn.XLOOKUP($A398&amp;$B398&amp;$C398,盘货信息!$A:$A&amp;盘货信息!$B:$B&amp;盘货信息!$C:$C,盘货信息!$M:$M)="是",OR(_xlfn.XLOOKUP($A398&amp;$B398&amp;$C398,盘货信息!$A:$A&amp;盘货信息!$B:$B&amp;盘货信息!$C:$C,盘货信息!$L:$L)="否",_xlfn.XLOOKUP($A398&amp;$B398&amp;$C398,盘货信息!$A:$A&amp;盘货信息!$B:$B&amp;盘货信息!$C:$C,盘货信息!$L:$L)="")),"【预估到手价"&amp;_xlfn.XLOOKUP($A398&amp;$B398&amp;$C398,盘货信息!$A:$A&amp;盘货信息!$B:$B&amp;盘货信息!$C:$C,盘货信息!$D:$D)&amp;"元】"&amp;CHAR(10)&amp;"【焕新补贴预估价"&amp;ROUND(_xlfn.XLOOKUP($A398&amp;$B398&amp;$C398,盘货信息!$A:$A&amp;盘货信息!$B:$B&amp;盘货信息!$C:$C,盘货信息!$E:$E),0)&amp;"元】","【焕新补贴预估价"&amp;ROUND(_xlfn.XLOOKUP($A398&amp;$B398&amp;$C398,盘货信息!$A:$A&amp;盘货信息!$B:$B&amp;盘货信息!$C:$C,盘货信息!$E:$E),0)&amp;"元】")))</f>
        <v/>
      </c>
      <c r="F398" s="27" t="str" cm="1">
        <f t="array" ref="F398">IF($C398="","",_xlfn.XLOOKUP($A398&amp;$B398&amp;$C398,盘货信息!$A:$A&amp;盘货信息!$B:$B&amp;盘货信息!$C:$C,盘货信息!$D:$D)&amp;"元到手价")</f>
        <v/>
      </c>
      <c r="G398" s="27" t="str" cm="1">
        <f t="array" ref="G398">IF($C398="","",IF(_xlfn.XLOOKUP($A398&amp;$B398&amp;$C398,盘货信息!$A:$A&amp;盘货信息!$B:$B&amp;盘货信息!$C:$C,盘货信息!$G:$G)&lt;1,"",ROUND(_xlfn.XLOOKUP($A398&amp;$B398&amp;$C398,盘货信息!$A:$A&amp;盘货信息!$B:$B&amp;盘货信息!$C:$C,盘货信息!$G:$G),0)&amp;"元88VIP立减"))</f>
        <v/>
      </c>
      <c r="H398" s="27" t="str" cm="1">
        <f t="array" ref="H398">IF($C398="","",IF(_xlfn.XLOOKUP($A398&amp;$B398&amp;$C398,盘货信息!$A:$A&amp;盘货信息!$B:$B&amp;盘货信息!$C:$C,盘货信息!$I:$I)&lt;1,"",_xlfn.XLOOKUP($A398&amp;$B398&amp;$C398,盘货信息!$A:$A&amp;盘货信息!$B:$B&amp;盘货信息!$C:$C,盘货信息!$I:$I)&amp;"元惊喜立减"))</f>
        <v/>
      </c>
      <c r="I398" s="27" t="str" cm="1">
        <f t="array" ref="I398">IF($C398="","",IF(_xlfn.XLOOKUP($A398&amp;$B398&amp;$C398,盘货信息!$A:$A&amp;盘货信息!$B:$B&amp;盘货信息!$C:$C,盘货信息!$H:$H)&lt;1,"",ROUND(_xlfn.XLOOKUP($A398&amp;$B398&amp;$C398,盘货信息!$A:$A&amp;盘货信息!$B:$B&amp;盘货信息!$C:$C,盘货信息!$H:$H),0)&amp;"元消费券"))</f>
        <v/>
      </c>
      <c r="J398" s="27" t="str" cm="1">
        <f t="array" ref="J398">IF($C398="","",IF(_xlfn.XLOOKUP($A398&amp;$B398&amp;$C398,盘货信息!$A:$A&amp;盘货信息!$B:$B&amp;盘货信息!$C:$C,盘货信息!$J:$J)&lt;1,"",ROUND(_xlfn.XLOOKUP($A398&amp;$B398&amp;$C398,盘货信息!$A:$A&amp;盘货信息!$B:$B&amp;盘货信息!$C:$C,盘货信息!$J:$J),0)&amp;"元限时补贴"))</f>
        <v/>
      </c>
      <c r="K398" s="27" t="str" cm="1">
        <f t="array" ref="K398">IF($C398="","",IF(_xlfn.XLOOKUP($A398&amp;$B398&amp;$C398,盘货信息!$A:$A&amp;盘货信息!$B:$B&amp;盘货信息!$C:$C,盘货信息!$K:$K)&lt;1,"",ROUND(_xlfn.XLOOKUP($A398&amp;$B398&amp;$C398,盘货信息!$A:$A&amp;盘货信息!$B:$B&amp;盘货信息!$C:$C,盘货信息!$K:$K),0)&amp;"元预估焕新补贴"))</f>
        <v/>
      </c>
      <c r="L398" s="27" t="str" cm="1">
        <f t="array" ref="L398">IF($C398="","",IF(AND(_xlfn.XLOOKUP($A398&amp;$B398&amp;$C398,盘货信息!$A:$A&amp;盘货信息!$B:$B&amp;盘货信息!$C:$C,盘货信息!$L:$L)="是",_xlfn.XLOOKUP($A398&amp;$B398&amp;$C398,盘货信息!$A:$A&amp;盘货信息!$B:$B&amp;盘货信息!$C:$C,盘货信息!$M:$M)="是",_xlfn.XLOOKUP($A398&amp;$B398&amp;$C398,盘货信息!$A:$A&amp;盘货信息!$B:$B&amp;盘货信息!$C:$C,盘货信息!$K:$K)&gt;0),"【全民可用，不限地址】",IF(AND(OR(_xlfn.XLOOKUP($A398&amp;$B398&amp;$C398,盘货信息!$A:$A&amp;盘货信息!$B:$B&amp;盘货信息!$C:$C,盘货信息!$L:$L)="否",_xlfn.XLOOKUP($A398&amp;$B398&amp;$C398,盘货信息!$A:$A&amp;盘货信息!$B:$B&amp;盘货信息!$C:$C,盘货信息!$L:$L)=""),_xlfn.XLOOKUP($A398&amp;$B398&amp;$C398,盘货信息!$A:$A&amp;盘货信息!$B:$B&amp;盘货信息!$C:$C,盘货信息!$M:$M)="是",_xlfn.XLOOKUP($A398&amp;$B398&amp;$C398,盘货信息!$A:$A&amp;盘货信息!$B:$B&amp;盘货信息!$C:$C,盘货信息!$K:$K)&gt;0),"【详情页领取】","")))</f>
        <v/>
      </c>
      <c r="M398" s="27" t="str" cm="1">
        <f t="array" ref="M398">IF($C398="","",IF(_xlfn.XLOOKUP($A398&amp;$B398&amp;$C398,盘货信息!$A:$A&amp;盘货信息!$B:$B&amp;盘货信息!$C:$C,盘货信息!$F:$F)&lt;1,"",_xlfn.XLOOKUP($A398&amp;$B398&amp;$C398,盘货信息!$A:$A&amp;盘货信息!$B:$B&amp;盘货信息!$C:$C,盘货信息!$F:$F)&amp;"元明卷"))</f>
        <v/>
      </c>
      <c r="N398" s="27" t="str">
        <f t="shared" si="13"/>
        <v/>
      </c>
      <c r="O398" s="27" t="str">
        <f>IF(I398="","","【消费券链接】"&amp;固定信息!$B$6)</f>
        <v/>
      </c>
    </row>
    <row r="399" customHeight="1" spans="1:15">
      <c r="A399" s="23" t="str">
        <f>IF(盘货信息!A399="","",盘货信息!A399)</f>
        <v/>
      </c>
      <c r="B399" s="26" t="str">
        <f>IF(盘货信息!B399="","",盘货信息!B399)</f>
        <v/>
      </c>
      <c r="C399" s="23" t="str">
        <f>IF(盘货信息!C399="","",盘货信息!C399)</f>
        <v/>
      </c>
      <c r="D399" s="27" t="str">
        <f t="shared" si="12"/>
        <v/>
      </c>
      <c r="E399" s="27" t="str" cm="1">
        <f t="array" ref="E399">IF($C399="","",IF(AND(OR(_xlfn.XLOOKUP($A399&amp;$B399&amp;$C399,盘货信息!$A:$A&amp;盘货信息!$B:$B&amp;盘货信息!$C:$C,盘货信息!$L:$L)="否",_xlfn.XLOOKUP($A399&amp;$B399&amp;$C399,盘货信息!$A:$A&amp;盘货信息!$B:$B&amp;盘货信息!$C:$C,盘货信息!$L:$L)=""),_xlfn.XLOOKUP($A399&amp;$B399&amp;$C399,盘货信息!$A:$A&amp;盘货信息!$B:$B&amp;盘货信息!$C:$C,盘货信息!$M:$M)="否"),"【预估到手价"&amp;_xlfn.XLOOKUP($A399&amp;$B399&amp;$C399,盘货信息!$A:$A&amp;盘货信息!$B:$B&amp;盘货信息!$C:$C,盘货信息!$D:$D)&amp;"元】",IF(AND(_xlfn.XLOOKUP($A399&amp;$B399&amp;$C399,盘货信息!$A:$A&amp;盘货信息!$B:$B&amp;盘货信息!$C:$C,盘货信息!$M:$M)="是",OR(_xlfn.XLOOKUP($A399&amp;$B399&amp;$C399,盘货信息!$A:$A&amp;盘货信息!$B:$B&amp;盘货信息!$C:$C,盘货信息!$L:$L)="否",_xlfn.XLOOKUP($A399&amp;$B399&amp;$C399,盘货信息!$A:$A&amp;盘货信息!$B:$B&amp;盘货信息!$C:$C,盘货信息!$L:$L)="")),"【预估到手价"&amp;_xlfn.XLOOKUP($A399&amp;$B399&amp;$C399,盘货信息!$A:$A&amp;盘货信息!$B:$B&amp;盘货信息!$C:$C,盘货信息!$D:$D)&amp;"元】"&amp;CHAR(10)&amp;"【焕新补贴预估价"&amp;ROUND(_xlfn.XLOOKUP($A399&amp;$B399&amp;$C399,盘货信息!$A:$A&amp;盘货信息!$B:$B&amp;盘货信息!$C:$C,盘货信息!$E:$E),0)&amp;"元】","【焕新补贴预估价"&amp;ROUND(_xlfn.XLOOKUP($A399&amp;$B399&amp;$C399,盘货信息!$A:$A&amp;盘货信息!$B:$B&amp;盘货信息!$C:$C,盘货信息!$E:$E),0)&amp;"元】")))</f>
        <v/>
      </c>
      <c r="F399" s="27" t="str" cm="1">
        <f t="array" ref="F399">IF($C399="","",_xlfn.XLOOKUP($A399&amp;$B399&amp;$C399,盘货信息!$A:$A&amp;盘货信息!$B:$B&amp;盘货信息!$C:$C,盘货信息!$D:$D)&amp;"元到手价")</f>
        <v/>
      </c>
      <c r="G399" s="27" t="str" cm="1">
        <f t="array" ref="G399">IF($C399="","",IF(_xlfn.XLOOKUP($A399&amp;$B399&amp;$C399,盘货信息!$A:$A&amp;盘货信息!$B:$B&amp;盘货信息!$C:$C,盘货信息!$G:$G)&lt;1,"",ROUND(_xlfn.XLOOKUP($A399&amp;$B399&amp;$C399,盘货信息!$A:$A&amp;盘货信息!$B:$B&amp;盘货信息!$C:$C,盘货信息!$G:$G),0)&amp;"元88VIP立减"))</f>
        <v/>
      </c>
      <c r="H399" s="27" t="str" cm="1">
        <f t="array" ref="H399">IF($C399="","",IF(_xlfn.XLOOKUP($A399&amp;$B399&amp;$C399,盘货信息!$A:$A&amp;盘货信息!$B:$B&amp;盘货信息!$C:$C,盘货信息!$I:$I)&lt;1,"",_xlfn.XLOOKUP($A399&amp;$B399&amp;$C399,盘货信息!$A:$A&amp;盘货信息!$B:$B&amp;盘货信息!$C:$C,盘货信息!$I:$I)&amp;"元惊喜立减"))</f>
        <v/>
      </c>
      <c r="I399" s="27" t="str" cm="1">
        <f t="array" ref="I399">IF($C399="","",IF(_xlfn.XLOOKUP($A399&amp;$B399&amp;$C399,盘货信息!$A:$A&amp;盘货信息!$B:$B&amp;盘货信息!$C:$C,盘货信息!$H:$H)&lt;1,"",ROUND(_xlfn.XLOOKUP($A399&amp;$B399&amp;$C399,盘货信息!$A:$A&amp;盘货信息!$B:$B&amp;盘货信息!$C:$C,盘货信息!$H:$H),0)&amp;"元消费券"))</f>
        <v/>
      </c>
      <c r="J399" s="27" t="str" cm="1">
        <f t="array" ref="J399">IF($C399="","",IF(_xlfn.XLOOKUP($A399&amp;$B399&amp;$C399,盘货信息!$A:$A&amp;盘货信息!$B:$B&amp;盘货信息!$C:$C,盘货信息!$J:$J)&lt;1,"",ROUND(_xlfn.XLOOKUP($A399&amp;$B399&amp;$C399,盘货信息!$A:$A&amp;盘货信息!$B:$B&amp;盘货信息!$C:$C,盘货信息!$J:$J),0)&amp;"元限时补贴"))</f>
        <v/>
      </c>
      <c r="K399" s="27" t="str" cm="1">
        <f t="array" ref="K399">IF($C399="","",IF(_xlfn.XLOOKUP($A399&amp;$B399&amp;$C399,盘货信息!$A:$A&amp;盘货信息!$B:$B&amp;盘货信息!$C:$C,盘货信息!$K:$K)&lt;1,"",ROUND(_xlfn.XLOOKUP($A399&amp;$B399&amp;$C399,盘货信息!$A:$A&amp;盘货信息!$B:$B&amp;盘货信息!$C:$C,盘货信息!$K:$K),0)&amp;"元预估焕新补贴"))</f>
        <v/>
      </c>
      <c r="L399" s="27" t="str" cm="1">
        <f t="array" ref="L399">IF($C399="","",IF(AND(_xlfn.XLOOKUP($A399&amp;$B399&amp;$C399,盘货信息!$A:$A&amp;盘货信息!$B:$B&amp;盘货信息!$C:$C,盘货信息!$L:$L)="是",_xlfn.XLOOKUP($A399&amp;$B399&amp;$C399,盘货信息!$A:$A&amp;盘货信息!$B:$B&amp;盘货信息!$C:$C,盘货信息!$M:$M)="是",_xlfn.XLOOKUP($A399&amp;$B399&amp;$C399,盘货信息!$A:$A&amp;盘货信息!$B:$B&amp;盘货信息!$C:$C,盘货信息!$K:$K)&gt;0),"【全民可用，不限地址】",IF(AND(OR(_xlfn.XLOOKUP($A399&amp;$B399&amp;$C399,盘货信息!$A:$A&amp;盘货信息!$B:$B&amp;盘货信息!$C:$C,盘货信息!$L:$L)="否",_xlfn.XLOOKUP($A399&amp;$B399&amp;$C399,盘货信息!$A:$A&amp;盘货信息!$B:$B&amp;盘货信息!$C:$C,盘货信息!$L:$L)=""),_xlfn.XLOOKUP($A399&amp;$B399&amp;$C399,盘货信息!$A:$A&amp;盘货信息!$B:$B&amp;盘货信息!$C:$C,盘货信息!$M:$M)="是",_xlfn.XLOOKUP($A399&amp;$B399&amp;$C399,盘货信息!$A:$A&amp;盘货信息!$B:$B&amp;盘货信息!$C:$C,盘货信息!$K:$K)&gt;0),"【详情页领取】","")))</f>
        <v/>
      </c>
      <c r="M399" s="27" t="str" cm="1">
        <f t="array" ref="M399">IF($C399="","",IF(_xlfn.XLOOKUP($A399&amp;$B399&amp;$C399,盘货信息!$A:$A&amp;盘货信息!$B:$B&amp;盘货信息!$C:$C,盘货信息!$F:$F)&lt;1,"",_xlfn.XLOOKUP($A399&amp;$B399&amp;$C399,盘货信息!$A:$A&amp;盘货信息!$B:$B&amp;盘货信息!$C:$C,盘货信息!$F:$F)&amp;"元明卷"))</f>
        <v/>
      </c>
      <c r="N399" s="27" t="str">
        <f t="shared" si="13"/>
        <v/>
      </c>
      <c r="O399" s="27" t="str">
        <f>IF(I399="","","【消费券链接】"&amp;固定信息!$B$6)</f>
        <v/>
      </c>
    </row>
    <row r="400" customHeight="1" spans="1:15">
      <c r="A400" s="23" t="str">
        <f>IF(盘货信息!A400="","",盘货信息!A400)</f>
        <v/>
      </c>
      <c r="B400" s="26" t="str">
        <f>IF(盘货信息!B400="","",盘货信息!B400)</f>
        <v/>
      </c>
      <c r="C400" s="23" t="str">
        <f>IF(盘货信息!C400="","",盘货信息!C400)</f>
        <v/>
      </c>
      <c r="D400" s="27" t="str">
        <f t="shared" si="12"/>
        <v/>
      </c>
      <c r="E400" s="27" t="str" cm="1">
        <f t="array" ref="E400">IF($C400="","",IF(AND(OR(_xlfn.XLOOKUP($A400&amp;$B400&amp;$C400,盘货信息!$A:$A&amp;盘货信息!$B:$B&amp;盘货信息!$C:$C,盘货信息!$L:$L)="否",_xlfn.XLOOKUP($A400&amp;$B400&amp;$C400,盘货信息!$A:$A&amp;盘货信息!$B:$B&amp;盘货信息!$C:$C,盘货信息!$L:$L)=""),_xlfn.XLOOKUP($A400&amp;$B400&amp;$C400,盘货信息!$A:$A&amp;盘货信息!$B:$B&amp;盘货信息!$C:$C,盘货信息!$M:$M)="否"),"【预估到手价"&amp;_xlfn.XLOOKUP($A400&amp;$B400&amp;$C400,盘货信息!$A:$A&amp;盘货信息!$B:$B&amp;盘货信息!$C:$C,盘货信息!$D:$D)&amp;"元】",IF(AND(_xlfn.XLOOKUP($A400&amp;$B400&amp;$C400,盘货信息!$A:$A&amp;盘货信息!$B:$B&amp;盘货信息!$C:$C,盘货信息!$M:$M)="是",OR(_xlfn.XLOOKUP($A400&amp;$B400&amp;$C400,盘货信息!$A:$A&amp;盘货信息!$B:$B&amp;盘货信息!$C:$C,盘货信息!$L:$L)="否",_xlfn.XLOOKUP($A400&amp;$B400&amp;$C400,盘货信息!$A:$A&amp;盘货信息!$B:$B&amp;盘货信息!$C:$C,盘货信息!$L:$L)="")),"【预估到手价"&amp;_xlfn.XLOOKUP($A400&amp;$B400&amp;$C400,盘货信息!$A:$A&amp;盘货信息!$B:$B&amp;盘货信息!$C:$C,盘货信息!$D:$D)&amp;"元】"&amp;CHAR(10)&amp;"【焕新补贴预估价"&amp;ROUND(_xlfn.XLOOKUP($A400&amp;$B400&amp;$C400,盘货信息!$A:$A&amp;盘货信息!$B:$B&amp;盘货信息!$C:$C,盘货信息!$E:$E),0)&amp;"元】","【焕新补贴预估价"&amp;ROUND(_xlfn.XLOOKUP($A400&amp;$B400&amp;$C400,盘货信息!$A:$A&amp;盘货信息!$B:$B&amp;盘货信息!$C:$C,盘货信息!$E:$E),0)&amp;"元】")))</f>
        <v/>
      </c>
      <c r="F400" s="27" t="str" cm="1">
        <f t="array" ref="F400">IF($C400="","",_xlfn.XLOOKUP($A400&amp;$B400&amp;$C400,盘货信息!$A:$A&amp;盘货信息!$B:$B&amp;盘货信息!$C:$C,盘货信息!$D:$D)&amp;"元到手价")</f>
        <v/>
      </c>
      <c r="G400" s="27" t="str" cm="1">
        <f t="array" ref="G400">IF($C400="","",IF(_xlfn.XLOOKUP($A400&amp;$B400&amp;$C400,盘货信息!$A:$A&amp;盘货信息!$B:$B&amp;盘货信息!$C:$C,盘货信息!$G:$G)&lt;1,"",ROUND(_xlfn.XLOOKUP($A400&amp;$B400&amp;$C400,盘货信息!$A:$A&amp;盘货信息!$B:$B&amp;盘货信息!$C:$C,盘货信息!$G:$G),0)&amp;"元88VIP立减"))</f>
        <v/>
      </c>
      <c r="H400" s="27" t="str" cm="1">
        <f t="array" ref="H400">IF($C400="","",IF(_xlfn.XLOOKUP($A400&amp;$B400&amp;$C400,盘货信息!$A:$A&amp;盘货信息!$B:$B&amp;盘货信息!$C:$C,盘货信息!$I:$I)&lt;1,"",_xlfn.XLOOKUP($A400&amp;$B400&amp;$C400,盘货信息!$A:$A&amp;盘货信息!$B:$B&amp;盘货信息!$C:$C,盘货信息!$I:$I)&amp;"元惊喜立减"))</f>
        <v/>
      </c>
      <c r="I400" s="27" t="str" cm="1">
        <f t="array" ref="I400">IF($C400="","",IF(_xlfn.XLOOKUP($A400&amp;$B400&amp;$C400,盘货信息!$A:$A&amp;盘货信息!$B:$B&amp;盘货信息!$C:$C,盘货信息!$H:$H)&lt;1,"",ROUND(_xlfn.XLOOKUP($A400&amp;$B400&amp;$C400,盘货信息!$A:$A&amp;盘货信息!$B:$B&amp;盘货信息!$C:$C,盘货信息!$H:$H),0)&amp;"元消费券"))</f>
        <v/>
      </c>
      <c r="J400" s="27" t="str" cm="1">
        <f t="array" ref="J400">IF($C400="","",IF(_xlfn.XLOOKUP($A400&amp;$B400&amp;$C400,盘货信息!$A:$A&amp;盘货信息!$B:$B&amp;盘货信息!$C:$C,盘货信息!$J:$J)&lt;1,"",ROUND(_xlfn.XLOOKUP($A400&amp;$B400&amp;$C400,盘货信息!$A:$A&amp;盘货信息!$B:$B&amp;盘货信息!$C:$C,盘货信息!$J:$J),0)&amp;"元限时补贴"))</f>
        <v/>
      </c>
      <c r="K400" s="27" t="str" cm="1">
        <f t="array" ref="K400">IF($C400="","",IF(_xlfn.XLOOKUP($A400&amp;$B400&amp;$C400,盘货信息!$A:$A&amp;盘货信息!$B:$B&amp;盘货信息!$C:$C,盘货信息!$K:$K)&lt;1,"",ROUND(_xlfn.XLOOKUP($A400&amp;$B400&amp;$C400,盘货信息!$A:$A&amp;盘货信息!$B:$B&amp;盘货信息!$C:$C,盘货信息!$K:$K),0)&amp;"元预估焕新补贴"))</f>
        <v/>
      </c>
      <c r="L400" s="27" t="str" cm="1">
        <f t="array" ref="L400">IF($C400="","",IF(AND(_xlfn.XLOOKUP($A400&amp;$B400&amp;$C400,盘货信息!$A:$A&amp;盘货信息!$B:$B&amp;盘货信息!$C:$C,盘货信息!$L:$L)="是",_xlfn.XLOOKUP($A400&amp;$B400&amp;$C400,盘货信息!$A:$A&amp;盘货信息!$B:$B&amp;盘货信息!$C:$C,盘货信息!$M:$M)="是",_xlfn.XLOOKUP($A400&amp;$B400&amp;$C400,盘货信息!$A:$A&amp;盘货信息!$B:$B&amp;盘货信息!$C:$C,盘货信息!$K:$K)&gt;0),"【全民可用，不限地址】",IF(AND(OR(_xlfn.XLOOKUP($A400&amp;$B400&amp;$C400,盘货信息!$A:$A&amp;盘货信息!$B:$B&amp;盘货信息!$C:$C,盘货信息!$L:$L)="否",_xlfn.XLOOKUP($A400&amp;$B400&amp;$C400,盘货信息!$A:$A&amp;盘货信息!$B:$B&amp;盘货信息!$C:$C,盘货信息!$L:$L)=""),_xlfn.XLOOKUP($A400&amp;$B400&amp;$C400,盘货信息!$A:$A&amp;盘货信息!$B:$B&amp;盘货信息!$C:$C,盘货信息!$M:$M)="是",_xlfn.XLOOKUP($A400&amp;$B400&amp;$C400,盘货信息!$A:$A&amp;盘货信息!$B:$B&amp;盘货信息!$C:$C,盘货信息!$K:$K)&gt;0),"【详情页领取】","")))</f>
        <v/>
      </c>
      <c r="M400" s="27" t="str" cm="1">
        <f t="array" ref="M400">IF($C400="","",IF(_xlfn.XLOOKUP($A400&amp;$B400&amp;$C400,盘货信息!$A:$A&amp;盘货信息!$B:$B&amp;盘货信息!$C:$C,盘货信息!$F:$F)&lt;1,"",_xlfn.XLOOKUP($A400&amp;$B400&amp;$C400,盘货信息!$A:$A&amp;盘货信息!$B:$B&amp;盘货信息!$C:$C,盘货信息!$F:$F)&amp;"元明卷"))</f>
        <v/>
      </c>
      <c r="N400" s="27" t="str">
        <f t="shared" si="13"/>
        <v/>
      </c>
      <c r="O400" s="27" t="str">
        <f>IF(I400="","","【消费券链接】"&amp;固定信息!$B$6)</f>
        <v/>
      </c>
    </row>
    <row r="401" customHeight="1" spans="1:15">
      <c r="A401" s="23" t="str">
        <f>IF(盘货信息!A401="","",盘货信息!A401)</f>
        <v/>
      </c>
      <c r="B401" s="26" t="str">
        <f>IF(盘货信息!B401="","",盘货信息!B401)</f>
        <v/>
      </c>
      <c r="C401" s="23" t="str">
        <f>IF(盘货信息!C401="","",盘货信息!C401)</f>
        <v/>
      </c>
      <c r="D401" s="27" t="str">
        <f t="shared" si="12"/>
        <v/>
      </c>
      <c r="E401" s="27" t="str" cm="1">
        <f t="array" ref="E401">IF($C401="","",IF(AND(OR(_xlfn.XLOOKUP($A401&amp;$B401&amp;$C401,盘货信息!$A:$A&amp;盘货信息!$B:$B&amp;盘货信息!$C:$C,盘货信息!$L:$L)="否",_xlfn.XLOOKUP($A401&amp;$B401&amp;$C401,盘货信息!$A:$A&amp;盘货信息!$B:$B&amp;盘货信息!$C:$C,盘货信息!$L:$L)=""),_xlfn.XLOOKUP($A401&amp;$B401&amp;$C401,盘货信息!$A:$A&amp;盘货信息!$B:$B&amp;盘货信息!$C:$C,盘货信息!$M:$M)="否"),"【预估到手价"&amp;_xlfn.XLOOKUP($A401&amp;$B401&amp;$C401,盘货信息!$A:$A&amp;盘货信息!$B:$B&amp;盘货信息!$C:$C,盘货信息!$D:$D)&amp;"元】",IF(AND(_xlfn.XLOOKUP($A401&amp;$B401&amp;$C401,盘货信息!$A:$A&amp;盘货信息!$B:$B&amp;盘货信息!$C:$C,盘货信息!$M:$M)="是",OR(_xlfn.XLOOKUP($A401&amp;$B401&amp;$C401,盘货信息!$A:$A&amp;盘货信息!$B:$B&amp;盘货信息!$C:$C,盘货信息!$L:$L)="否",_xlfn.XLOOKUP($A401&amp;$B401&amp;$C401,盘货信息!$A:$A&amp;盘货信息!$B:$B&amp;盘货信息!$C:$C,盘货信息!$L:$L)="")),"【预估到手价"&amp;_xlfn.XLOOKUP($A401&amp;$B401&amp;$C401,盘货信息!$A:$A&amp;盘货信息!$B:$B&amp;盘货信息!$C:$C,盘货信息!$D:$D)&amp;"元】"&amp;CHAR(10)&amp;"【焕新补贴预估价"&amp;ROUND(_xlfn.XLOOKUP($A401&amp;$B401&amp;$C401,盘货信息!$A:$A&amp;盘货信息!$B:$B&amp;盘货信息!$C:$C,盘货信息!$E:$E),0)&amp;"元】","【焕新补贴预估价"&amp;ROUND(_xlfn.XLOOKUP($A401&amp;$B401&amp;$C401,盘货信息!$A:$A&amp;盘货信息!$B:$B&amp;盘货信息!$C:$C,盘货信息!$E:$E),0)&amp;"元】")))</f>
        <v/>
      </c>
      <c r="F401" s="27" t="str" cm="1">
        <f t="array" ref="F401">IF($C401="","",_xlfn.XLOOKUP($A401&amp;$B401&amp;$C401,盘货信息!$A:$A&amp;盘货信息!$B:$B&amp;盘货信息!$C:$C,盘货信息!$D:$D)&amp;"元到手价")</f>
        <v/>
      </c>
      <c r="G401" s="27" t="str" cm="1">
        <f t="array" ref="G401">IF($C401="","",IF(_xlfn.XLOOKUP($A401&amp;$B401&amp;$C401,盘货信息!$A:$A&amp;盘货信息!$B:$B&amp;盘货信息!$C:$C,盘货信息!$G:$G)&lt;1,"",ROUND(_xlfn.XLOOKUP($A401&amp;$B401&amp;$C401,盘货信息!$A:$A&amp;盘货信息!$B:$B&amp;盘货信息!$C:$C,盘货信息!$G:$G),0)&amp;"元88VIP立减"))</f>
        <v/>
      </c>
      <c r="H401" s="27" t="str" cm="1">
        <f t="array" ref="H401">IF($C401="","",IF(_xlfn.XLOOKUP($A401&amp;$B401&amp;$C401,盘货信息!$A:$A&amp;盘货信息!$B:$B&amp;盘货信息!$C:$C,盘货信息!$I:$I)&lt;1,"",_xlfn.XLOOKUP($A401&amp;$B401&amp;$C401,盘货信息!$A:$A&amp;盘货信息!$B:$B&amp;盘货信息!$C:$C,盘货信息!$I:$I)&amp;"元惊喜立减"))</f>
        <v/>
      </c>
      <c r="I401" s="27" t="str" cm="1">
        <f t="array" ref="I401">IF($C401="","",IF(_xlfn.XLOOKUP($A401&amp;$B401&amp;$C401,盘货信息!$A:$A&amp;盘货信息!$B:$B&amp;盘货信息!$C:$C,盘货信息!$H:$H)&lt;1,"",ROUND(_xlfn.XLOOKUP($A401&amp;$B401&amp;$C401,盘货信息!$A:$A&amp;盘货信息!$B:$B&amp;盘货信息!$C:$C,盘货信息!$H:$H),0)&amp;"元消费券"))</f>
        <v/>
      </c>
      <c r="J401" s="27" t="str" cm="1">
        <f t="array" ref="J401">IF($C401="","",IF(_xlfn.XLOOKUP($A401&amp;$B401&amp;$C401,盘货信息!$A:$A&amp;盘货信息!$B:$B&amp;盘货信息!$C:$C,盘货信息!$J:$J)&lt;1,"",ROUND(_xlfn.XLOOKUP($A401&amp;$B401&amp;$C401,盘货信息!$A:$A&amp;盘货信息!$B:$B&amp;盘货信息!$C:$C,盘货信息!$J:$J),0)&amp;"元限时补贴"))</f>
        <v/>
      </c>
      <c r="K401" s="27" t="str" cm="1">
        <f t="array" ref="K401">IF($C401="","",IF(_xlfn.XLOOKUP($A401&amp;$B401&amp;$C401,盘货信息!$A:$A&amp;盘货信息!$B:$B&amp;盘货信息!$C:$C,盘货信息!$K:$K)&lt;1,"",ROUND(_xlfn.XLOOKUP($A401&amp;$B401&amp;$C401,盘货信息!$A:$A&amp;盘货信息!$B:$B&amp;盘货信息!$C:$C,盘货信息!$K:$K),0)&amp;"元预估焕新补贴"))</f>
        <v/>
      </c>
      <c r="L401" s="27" t="str" cm="1">
        <f t="array" ref="L401">IF($C401="","",IF(AND(_xlfn.XLOOKUP($A401&amp;$B401&amp;$C401,盘货信息!$A:$A&amp;盘货信息!$B:$B&amp;盘货信息!$C:$C,盘货信息!$L:$L)="是",_xlfn.XLOOKUP($A401&amp;$B401&amp;$C401,盘货信息!$A:$A&amp;盘货信息!$B:$B&amp;盘货信息!$C:$C,盘货信息!$M:$M)="是",_xlfn.XLOOKUP($A401&amp;$B401&amp;$C401,盘货信息!$A:$A&amp;盘货信息!$B:$B&amp;盘货信息!$C:$C,盘货信息!$K:$K)&gt;0),"【全民可用，不限地址】",IF(AND(OR(_xlfn.XLOOKUP($A401&amp;$B401&amp;$C401,盘货信息!$A:$A&amp;盘货信息!$B:$B&amp;盘货信息!$C:$C,盘货信息!$L:$L)="否",_xlfn.XLOOKUP($A401&amp;$B401&amp;$C401,盘货信息!$A:$A&amp;盘货信息!$B:$B&amp;盘货信息!$C:$C,盘货信息!$L:$L)=""),_xlfn.XLOOKUP($A401&amp;$B401&amp;$C401,盘货信息!$A:$A&amp;盘货信息!$B:$B&amp;盘货信息!$C:$C,盘货信息!$M:$M)="是",_xlfn.XLOOKUP($A401&amp;$B401&amp;$C401,盘货信息!$A:$A&amp;盘货信息!$B:$B&amp;盘货信息!$C:$C,盘货信息!$K:$K)&gt;0),"【详情页领取】","")))</f>
        <v/>
      </c>
      <c r="M401" s="27" t="str" cm="1">
        <f t="array" ref="M401">IF($C401="","",IF(_xlfn.XLOOKUP($A401&amp;$B401&amp;$C401,盘货信息!$A:$A&amp;盘货信息!$B:$B&amp;盘货信息!$C:$C,盘货信息!$F:$F)&lt;1,"",_xlfn.XLOOKUP($A401&amp;$B401&amp;$C401,盘货信息!$A:$A&amp;盘货信息!$B:$B&amp;盘货信息!$C:$C,盘货信息!$F:$F)&amp;"元明卷"))</f>
        <v/>
      </c>
      <c r="N401" s="27" t="str">
        <f t="shared" si="13"/>
        <v/>
      </c>
      <c r="O401" s="27" t="str">
        <f>IF(I401="","","【消费券链接】"&amp;固定信息!$B$6)</f>
        <v/>
      </c>
    </row>
    <row r="402" customHeight="1" spans="1:15">
      <c r="A402" s="23" t="str">
        <f>IF(盘货信息!A402="","",盘货信息!A402)</f>
        <v/>
      </c>
      <c r="B402" s="26" t="str">
        <f>IF(盘货信息!B402="","",盘货信息!B402)</f>
        <v/>
      </c>
      <c r="C402" s="23" t="str">
        <f>IF(盘货信息!C402="","",盘货信息!C402)</f>
        <v/>
      </c>
      <c r="D402" s="27" t="str">
        <f t="shared" si="12"/>
        <v/>
      </c>
      <c r="E402" s="27" t="str" cm="1">
        <f t="array" ref="E402">IF($C402="","",IF(AND(OR(_xlfn.XLOOKUP($A402&amp;$B402&amp;$C402,盘货信息!$A:$A&amp;盘货信息!$B:$B&amp;盘货信息!$C:$C,盘货信息!$L:$L)="否",_xlfn.XLOOKUP($A402&amp;$B402&amp;$C402,盘货信息!$A:$A&amp;盘货信息!$B:$B&amp;盘货信息!$C:$C,盘货信息!$L:$L)=""),_xlfn.XLOOKUP($A402&amp;$B402&amp;$C402,盘货信息!$A:$A&amp;盘货信息!$B:$B&amp;盘货信息!$C:$C,盘货信息!$M:$M)="否"),"【预估到手价"&amp;_xlfn.XLOOKUP($A402&amp;$B402&amp;$C402,盘货信息!$A:$A&amp;盘货信息!$B:$B&amp;盘货信息!$C:$C,盘货信息!$D:$D)&amp;"元】",IF(AND(_xlfn.XLOOKUP($A402&amp;$B402&amp;$C402,盘货信息!$A:$A&amp;盘货信息!$B:$B&amp;盘货信息!$C:$C,盘货信息!$M:$M)="是",OR(_xlfn.XLOOKUP($A402&amp;$B402&amp;$C402,盘货信息!$A:$A&amp;盘货信息!$B:$B&amp;盘货信息!$C:$C,盘货信息!$L:$L)="否",_xlfn.XLOOKUP($A402&amp;$B402&amp;$C402,盘货信息!$A:$A&amp;盘货信息!$B:$B&amp;盘货信息!$C:$C,盘货信息!$L:$L)="")),"【预估到手价"&amp;_xlfn.XLOOKUP($A402&amp;$B402&amp;$C402,盘货信息!$A:$A&amp;盘货信息!$B:$B&amp;盘货信息!$C:$C,盘货信息!$D:$D)&amp;"元】"&amp;CHAR(10)&amp;"【焕新补贴预估价"&amp;ROUND(_xlfn.XLOOKUP($A402&amp;$B402&amp;$C402,盘货信息!$A:$A&amp;盘货信息!$B:$B&amp;盘货信息!$C:$C,盘货信息!$E:$E),0)&amp;"元】","【焕新补贴预估价"&amp;ROUND(_xlfn.XLOOKUP($A402&amp;$B402&amp;$C402,盘货信息!$A:$A&amp;盘货信息!$B:$B&amp;盘货信息!$C:$C,盘货信息!$E:$E),0)&amp;"元】")))</f>
        <v/>
      </c>
      <c r="F402" s="27" t="str" cm="1">
        <f t="array" ref="F402">IF($C402="","",_xlfn.XLOOKUP($A402&amp;$B402&amp;$C402,盘货信息!$A:$A&amp;盘货信息!$B:$B&amp;盘货信息!$C:$C,盘货信息!$D:$D)&amp;"元到手价")</f>
        <v/>
      </c>
      <c r="G402" s="27" t="str" cm="1">
        <f t="array" ref="G402">IF($C402="","",IF(_xlfn.XLOOKUP($A402&amp;$B402&amp;$C402,盘货信息!$A:$A&amp;盘货信息!$B:$B&amp;盘货信息!$C:$C,盘货信息!$G:$G)&lt;1,"",ROUND(_xlfn.XLOOKUP($A402&amp;$B402&amp;$C402,盘货信息!$A:$A&amp;盘货信息!$B:$B&amp;盘货信息!$C:$C,盘货信息!$G:$G),0)&amp;"元88VIP立减"))</f>
        <v/>
      </c>
      <c r="H402" s="27" t="str" cm="1">
        <f t="array" ref="H402">IF($C402="","",IF(_xlfn.XLOOKUP($A402&amp;$B402&amp;$C402,盘货信息!$A:$A&amp;盘货信息!$B:$B&amp;盘货信息!$C:$C,盘货信息!$I:$I)&lt;1,"",_xlfn.XLOOKUP($A402&amp;$B402&amp;$C402,盘货信息!$A:$A&amp;盘货信息!$B:$B&amp;盘货信息!$C:$C,盘货信息!$I:$I)&amp;"元惊喜立减"))</f>
        <v/>
      </c>
      <c r="I402" s="27" t="str" cm="1">
        <f t="array" ref="I402">IF($C402="","",IF(_xlfn.XLOOKUP($A402&amp;$B402&amp;$C402,盘货信息!$A:$A&amp;盘货信息!$B:$B&amp;盘货信息!$C:$C,盘货信息!$H:$H)&lt;1,"",ROUND(_xlfn.XLOOKUP($A402&amp;$B402&amp;$C402,盘货信息!$A:$A&amp;盘货信息!$B:$B&amp;盘货信息!$C:$C,盘货信息!$H:$H),0)&amp;"元消费券"))</f>
        <v/>
      </c>
      <c r="J402" s="27" t="str" cm="1">
        <f t="array" ref="J402">IF($C402="","",IF(_xlfn.XLOOKUP($A402&amp;$B402&amp;$C402,盘货信息!$A:$A&amp;盘货信息!$B:$B&amp;盘货信息!$C:$C,盘货信息!$J:$J)&lt;1,"",ROUND(_xlfn.XLOOKUP($A402&amp;$B402&amp;$C402,盘货信息!$A:$A&amp;盘货信息!$B:$B&amp;盘货信息!$C:$C,盘货信息!$J:$J),0)&amp;"元限时补贴"))</f>
        <v/>
      </c>
      <c r="K402" s="27" t="str" cm="1">
        <f t="array" ref="K402">IF($C402="","",IF(_xlfn.XLOOKUP($A402&amp;$B402&amp;$C402,盘货信息!$A:$A&amp;盘货信息!$B:$B&amp;盘货信息!$C:$C,盘货信息!$K:$K)&lt;1,"",ROUND(_xlfn.XLOOKUP($A402&amp;$B402&amp;$C402,盘货信息!$A:$A&amp;盘货信息!$B:$B&amp;盘货信息!$C:$C,盘货信息!$K:$K),0)&amp;"元预估焕新补贴"))</f>
        <v/>
      </c>
      <c r="L402" s="27" t="str" cm="1">
        <f t="array" ref="L402">IF($C402="","",IF(AND(_xlfn.XLOOKUP($A402&amp;$B402&amp;$C402,盘货信息!$A:$A&amp;盘货信息!$B:$B&amp;盘货信息!$C:$C,盘货信息!$L:$L)="是",_xlfn.XLOOKUP($A402&amp;$B402&amp;$C402,盘货信息!$A:$A&amp;盘货信息!$B:$B&amp;盘货信息!$C:$C,盘货信息!$M:$M)="是",_xlfn.XLOOKUP($A402&amp;$B402&amp;$C402,盘货信息!$A:$A&amp;盘货信息!$B:$B&amp;盘货信息!$C:$C,盘货信息!$K:$K)&gt;0),"【全民可用，不限地址】",IF(AND(OR(_xlfn.XLOOKUP($A402&amp;$B402&amp;$C402,盘货信息!$A:$A&amp;盘货信息!$B:$B&amp;盘货信息!$C:$C,盘货信息!$L:$L)="否",_xlfn.XLOOKUP($A402&amp;$B402&amp;$C402,盘货信息!$A:$A&amp;盘货信息!$B:$B&amp;盘货信息!$C:$C,盘货信息!$L:$L)=""),_xlfn.XLOOKUP($A402&amp;$B402&amp;$C402,盘货信息!$A:$A&amp;盘货信息!$B:$B&amp;盘货信息!$C:$C,盘货信息!$M:$M)="是",_xlfn.XLOOKUP($A402&amp;$B402&amp;$C402,盘货信息!$A:$A&amp;盘货信息!$B:$B&amp;盘货信息!$C:$C,盘货信息!$K:$K)&gt;0),"【详情页领取】","")))</f>
        <v/>
      </c>
      <c r="M402" s="27" t="str" cm="1">
        <f t="array" ref="M402">IF($C402="","",IF(_xlfn.XLOOKUP($A402&amp;$B402&amp;$C402,盘货信息!$A:$A&amp;盘货信息!$B:$B&amp;盘货信息!$C:$C,盘货信息!$F:$F)&lt;1,"",_xlfn.XLOOKUP($A402&amp;$B402&amp;$C402,盘货信息!$A:$A&amp;盘货信息!$B:$B&amp;盘货信息!$C:$C,盘货信息!$F:$F)&amp;"元明卷"))</f>
        <v/>
      </c>
      <c r="N402" s="27" t="str">
        <f t="shared" si="13"/>
        <v/>
      </c>
      <c r="O402" s="27" t="str">
        <f>IF(I402="","","【消费券链接】"&amp;固定信息!$B$6)</f>
        <v/>
      </c>
    </row>
    <row r="403" customHeight="1" spans="1:15">
      <c r="A403" s="23" t="str">
        <f>IF(盘货信息!A403="","",盘货信息!A403)</f>
        <v/>
      </c>
      <c r="B403" s="26" t="str">
        <f>IF(盘货信息!B403="","",盘货信息!B403)</f>
        <v/>
      </c>
      <c r="C403" s="23" t="str">
        <f>IF(盘货信息!C403="","",盘货信息!C403)</f>
        <v/>
      </c>
      <c r="D403" s="27" t="str">
        <f t="shared" si="12"/>
        <v/>
      </c>
      <c r="E403" s="27" t="str" cm="1">
        <f t="array" ref="E403">IF($C403="","",IF(AND(OR(_xlfn.XLOOKUP($A403&amp;$B403&amp;$C403,盘货信息!$A:$A&amp;盘货信息!$B:$B&amp;盘货信息!$C:$C,盘货信息!$L:$L)="否",_xlfn.XLOOKUP($A403&amp;$B403&amp;$C403,盘货信息!$A:$A&amp;盘货信息!$B:$B&amp;盘货信息!$C:$C,盘货信息!$L:$L)=""),_xlfn.XLOOKUP($A403&amp;$B403&amp;$C403,盘货信息!$A:$A&amp;盘货信息!$B:$B&amp;盘货信息!$C:$C,盘货信息!$M:$M)="否"),"【预估到手价"&amp;_xlfn.XLOOKUP($A403&amp;$B403&amp;$C403,盘货信息!$A:$A&amp;盘货信息!$B:$B&amp;盘货信息!$C:$C,盘货信息!$D:$D)&amp;"元】",IF(AND(_xlfn.XLOOKUP($A403&amp;$B403&amp;$C403,盘货信息!$A:$A&amp;盘货信息!$B:$B&amp;盘货信息!$C:$C,盘货信息!$M:$M)="是",OR(_xlfn.XLOOKUP($A403&amp;$B403&amp;$C403,盘货信息!$A:$A&amp;盘货信息!$B:$B&amp;盘货信息!$C:$C,盘货信息!$L:$L)="否",_xlfn.XLOOKUP($A403&amp;$B403&amp;$C403,盘货信息!$A:$A&amp;盘货信息!$B:$B&amp;盘货信息!$C:$C,盘货信息!$L:$L)="")),"【预估到手价"&amp;_xlfn.XLOOKUP($A403&amp;$B403&amp;$C403,盘货信息!$A:$A&amp;盘货信息!$B:$B&amp;盘货信息!$C:$C,盘货信息!$D:$D)&amp;"元】"&amp;CHAR(10)&amp;"【焕新补贴预估价"&amp;ROUND(_xlfn.XLOOKUP($A403&amp;$B403&amp;$C403,盘货信息!$A:$A&amp;盘货信息!$B:$B&amp;盘货信息!$C:$C,盘货信息!$E:$E),0)&amp;"元】","【焕新补贴预估价"&amp;ROUND(_xlfn.XLOOKUP($A403&amp;$B403&amp;$C403,盘货信息!$A:$A&amp;盘货信息!$B:$B&amp;盘货信息!$C:$C,盘货信息!$E:$E),0)&amp;"元】")))</f>
        <v/>
      </c>
      <c r="F403" s="27" t="str" cm="1">
        <f t="array" ref="F403">IF($C403="","",_xlfn.XLOOKUP($A403&amp;$B403&amp;$C403,盘货信息!$A:$A&amp;盘货信息!$B:$B&amp;盘货信息!$C:$C,盘货信息!$D:$D)&amp;"元到手价")</f>
        <v/>
      </c>
      <c r="G403" s="27" t="str" cm="1">
        <f t="array" ref="G403">IF($C403="","",IF(_xlfn.XLOOKUP($A403&amp;$B403&amp;$C403,盘货信息!$A:$A&amp;盘货信息!$B:$B&amp;盘货信息!$C:$C,盘货信息!$G:$G)&lt;1,"",ROUND(_xlfn.XLOOKUP($A403&amp;$B403&amp;$C403,盘货信息!$A:$A&amp;盘货信息!$B:$B&amp;盘货信息!$C:$C,盘货信息!$G:$G),0)&amp;"元88VIP立减"))</f>
        <v/>
      </c>
      <c r="H403" s="27" t="str" cm="1">
        <f t="array" ref="H403">IF($C403="","",IF(_xlfn.XLOOKUP($A403&amp;$B403&amp;$C403,盘货信息!$A:$A&amp;盘货信息!$B:$B&amp;盘货信息!$C:$C,盘货信息!$I:$I)&lt;1,"",_xlfn.XLOOKUP($A403&amp;$B403&amp;$C403,盘货信息!$A:$A&amp;盘货信息!$B:$B&amp;盘货信息!$C:$C,盘货信息!$I:$I)&amp;"元惊喜立减"))</f>
        <v/>
      </c>
      <c r="I403" s="27" t="str" cm="1">
        <f t="array" ref="I403">IF($C403="","",IF(_xlfn.XLOOKUP($A403&amp;$B403&amp;$C403,盘货信息!$A:$A&amp;盘货信息!$B:$B&amp;盘货信息!$C:$C,盘货信息!$H:$H)&lt;1,"",ROUND(_xlfn.XLOOKUP($A403&amp;$B403&amp;$C403,盘货信息!$A:$A&amp;盘货信息!$B:$B&amp;盘货信息!$C:$C,盘货信息!$H:$H),0)&amp;"元消费券"))</f>
        <v/>
      </c>
      <c r="J403" s="27" t="str" cm="1">
        <f t="array" ref="J403">IF($C403="","",IF(_xlfn.XLOOKUP($A403&amp;$B403&amp;$C403,盘货信息!$A:$A&amp;盘货信息!$B:$B&amp;盘货信息!$C:$C,盘货信息!$J:$J)&lt;1,"",ROUND(_xlfn.XLOOKUP($A403&amp;$B403&amp;$C403,盘货信息!$A:$A&amp;盘货信息!$B:$B&amp;盘货信息!$C:$C,盘货信息!$J:$J),0)&amp;"元限时补贴"))</f>
        <v/>
      </c>
      <c r="K403" s="27" t="str" cm="1">
        <f t="array" ref="K403">IF($C403="","",IF(_xlfn.XLOOKUP($A403&amp;$B403&amp;$C403,盘货信息!$A:$A&amp;盘货信息!$B:$B&amp;盘货信息!$C:$C,盘货信息!$K:$K)&lt;1,"",ROUND(_xlfn.XLOOKUP($A403&amp;$B403&amp;$C403,盘货信息!$A:$A&amp;盘货信息!$B:$B&amp;盘货信息!$C:$C,盘货信息!$K:$K),0)&amp;"元预估焕新补贴"))</f>
        <v/>
      </c>
      <c r="L403" s="27" t="str" cm="1">
        <f t="array" ref="L403">IF($C403="","",IF(AND(_xlfn.XLOOKUP($A403&amp;$B403&amp;$C403,盘货信息!$A:$A&amp;盘货信息!$B:$B&amp;盘货信息!$C:$C,盘货信息!$L:$L)="是",_xlfn.XLOOKUP($A403&amp;$B403&amp;$C403,盘货信息!$A:$A&amp;盘货信息!$B:$B&amp;盘货信息!$C:$C,盘货信息!$M:$M)="是",_xlfn.XLOOKUP($A403&amp;$B403&amp;$C403,盘货信息!$A:$A&amp;盘货信息!$B:$B&amp;盘货信息!$C:$C,盘货信息!$K:$K)&gt;0),"【全民可用，不限地址】",IF(AND(OR(_xlfn.XLOOKUP($A403&amp;$B403&amp;$C403,盘货信息!$A:$A&amp;盘货信息!$B:$B&amp;盘货信息!$C:$C,盘货信息!$L:$L)="否",_xlfn.XLOOKUP($A403&amp;$B403&amp;$C403,盘货信息!$A:$A&amp;盘货信息!$B:$B&amp;盘货信息!$C:$C,盘货信息!$L:$L)=""),_xlfn.XLOOKUP($A403&amp;$B403&amp;$C403,盘货信息!$A:$A&amp;盘货信息!$B:$B&amp;盘货信息!$C:$C,盘货信息!$M:$M)="是",_xlfn.XLOOKUP($A403&amp;$B403&amp;$C403,盘货信息!$A:$A&amp;盘货信息!$B:$B&amp;盘货信息!$C:$C,盘货信息!$K:$K)&gt;0),"【详情页领取】","")))</f>
        <v/>
      </c>
      <c r="M403" s="27" t="str" cm="1">
        <f t="array" ref="M403">IF($C403="","",IF(_xlfn.XLOOKUP($A403&amp;$B403&amp;$C403,盘货信息!$A:$A&amp;盘货信息!$B:$B&amp;盘货信息!$C:$C,盘货信息!$F:$F)&lt;1,"",_xlfn.XLOOKUP($A403&amp;$B403&amp;$C403,盘货信息!$A:$A&amp;盘货信息!$B:$B&amp;盘货信息!$C:$C,盘货信息!$F:$F)&amp;"元明卷"))</f>
        <v/>
      </c>
      <c r="N403" s="27" t="str">
        <f t="shared" si="13"/>
        <v/>
      </c>
      <c r="O403" s="27" t="str">
        <f>IF(I403="","","【消费券链接】"&amp;固定信息!$B$6)</f>
        <v/>
      </c>
    </row>
    <row r="404" customHeight="1" spans="1:15">
      <c r="A404" s="23" t="str">
        <f>IF(盘货信息!A404="","",盘货信息!A404)</f>
        <v/>
      </c>
      <c r="B404" s="26" t="str">
        <f>IF(盘货信息!B404="","",盘货信息!B404)</f>
        <v/>
      </c>
      <c r="C404" s="23" t="str">
        <f>IF(盘货信息!C404="","",盘货信息!C404)</f>
        <v/>
      </c>
      <c r="D404" s="27" t="str">
        <f t="shared" si="12"/>
        <v/>
      </c>
      <c r="E404" s="27" t="str" cm="1">
        <f t="array" ref="E404">IF($C404="","",IF(AND(OR(_xlfn.XLOOKUP($A404&amp;$B404&amp;$C404,盘货信息!$A:$A&amp;盘货信息!$B:$B&amp;盘货信息!$C:$C,盘货信息!$L:$L)="否",_xlfn.XLOOKUP($A404&amp;$B404&amp;$C404,盘货信息!$A:$A&amp;盘货信息!$B:$B&amp;盘货信息!$C:$C,盘货信息!$L:$L)=""),_xlfn.XLOOKUP($A404&amp;$B404&amp;$C404,盘货信息!$A:$A&amp;盘货信息!$B:$B&amp;盘货信息!$C:$C,盘货信息!$M:$M)="否"),"【预估到手价"&amp;_xlfn.XLOOKUP($A404&amp;$B404&amp;$C404,盘货信息!$A:$A&amp;盘货信息!$B:$B&amp;盘货信息!$C:$C,盘货信息!$D:$D)&amp;"元】",IF(AND(_xlfn.XLOOKUP($A404&amp;$B404&amp;$C404,盘货信息!$A:$A&amp;盘货信息!$B:$B&amp;盘货信息!$C:$C,盘货信息!$M:$M)="是",OR(_xlfn.XLOOKUP($A404&amp;$B404&amp;$C404,盘货信息!$A:$A&amp;盘货信息!$B:$B&amp;盘货信息!$C:$C,盘货信息!$L:$L)="否",_xlfn.XLOOKUP($A404&amp;$B404&amp;$C404,盘货信息!$A:$A&amp;盘货信息!$B:$B&amp;盘货信息!$C:$C,盘货信息!$L:$L)="")),"【预估到手价"&amp;_xlfn.XLOOKUP($A404&amp;$B404&amp;$C404,盘货信息!$A:$A&amp;盘货信息!$B:$B&amp;盘货信息!$C:$C,盘货信息!$D:$D)&amp;"元】"&amp;CHAR(10)&amp;"【焕新补贴预估价"&amp;ROUND(_xlfn.XLOOKUP($A404&amp;$B404&amp;$C404,盘货信息!$A:$A&amp;盘货信息!$B:$B&amp;盘货信息!$C:$C,盘货信息!$E:$E),0)&amp;"元】","【焕新补贴预估价"&amp;ROUND(_xlfn.XLOOKUP($A404&amp;$B404&amp;$C404,盘货信息!$A:$A&amp;盘货信息!$B:$B&amp;盘货信息!$C:$C,盘货信息!$E:$E),0)&amp;"元】")))</f>
        <v/>
      </c>
      <c r="F404" s="27" t="str" cm="1">
        <f t="array" ref="F404">IF($C404="","",_xlfn.XLOOKUP($A404&amp;$B404&amp;$C404,盘货信息!$A:$A&amp;盘货信息!$B:$B&amp;盘货信息!$C:$C,盘货信息!$D:$D)&amp;"元到手价")</f>
        <v/>
      </c>
      <c r="G404" s="27" t="str" cm="1">
        <f t="array" ref="G404">IF($C404="","",IF(_xlfn.XLOOKUP($A404&amp;$B404&amp;$C404,盘货信息!$A:$A&amp;盘货信息!$B:$B&amp;盘货信息!$C:$C,盘货信息!$G:$G)&lt;1,"",ROUND(_xlfn.XLOOKUP($A404&amp;$B404&amp;$C404,盘货信息!$A:$A&amp;盘货信息!$B:$B&amp;盘货信息!$C:$C,盘货信息!$G:$G),0)&amp;"元88VIP立减"))</f>
        <v/>
      </c>
      <c r="H404" s="27" t="str" cm="1">
        <f t="array" ref="H404">IF($C404="","",IF(_xlfn.XLOOKUP($A404&amp;$B404&amp;$C404,盘货信息!$A:$A&amp;盘货信息!$B:$B&amp;盘货信息!$C:$C,盘货信息!$I:$I)&lt;1,"",_xlfn.XLOOKUP($A404&amp;$B404&amp;$C404,盘货信息!$A:$A&amp;盘货信息!$B:$B&amp;盘货信息!$C:$C,盘货信息!$I:$I)&amp;"元惊喜立减"))</f>
        <v/>
      </c>
      <c r="I404" s="27" t="str" cm="1">
        <f t="array" ref="I404">IF($C404="","",IF(_xlfn.XLOOKUP($A404&amp;$B404&amp;$C404,盘货信息!$A:$A&amp;盘货信息!$B:$B&amp;盘货信息!$C:$C,盘货信息!$H:$H)&lt;1,"",ROUND(_xlfn.XLOOKUP($A404&amp;$B404&amp;$C404,盘货信息!$A:$A&amp;盘货信息!$B:$B&amp;盘货信息!$C:$C,盘货信息!$H:$H),0)&amp;"元消费券"))</f>
        <v/>
      </c>
      <c r="J404" s="27" t="str" cm="1">
        <f t="array" ref="J404">IF($C404="","",IF(_xlfn.XLOOKUP($A404&amp;$B404&amp;$C404,盘货信息!$A:$A&amp;盘货信息!$B:$B&amp;盘货信息!$C:$C,盘货信息!$J:$J)&lt;1,"",ROUND(_xlfn.XLOOKUP($A404&amp;$B404&amp;$C404,盘货信息!$A:$A&amp;盘货信息!$B:$B&amp;盘货信息!$C:$C,盘货信息!$J:$J),0)&amp;"元限时补贴"))</f>
        <v/>
      </c>
      <c r="K404" s="27" t="str" cm="1">
        <f t="array" ref="K404">IF($C404="","",IF(_xlfn.XLOOKUP($A404&amp;$B404&amp;$C404,盘货信息!$A:$A&amp;盘货信息!$B:$B&amp;盘货信息!$C:$C,盘货信息!$K:$K)&lt;1,"",ROUND(_xlfn.XLOOKUP($A404&amp;$B404&amp;$C404,盘货信息!$A:$A&amp;盘货信息!$B:$B&amp;盘货信息!$C:$C,盘货信息!$K:$K),0)&amp;"元预估焕新补贴"))</f>
        <v/>
      </c>
      <c r="L404" s="27" t="str" cm="1">
        <f t="array" ref="L404">IF($C404="","",IF(AND(_xlfn.XLOOKUP($A404&amp;$B404&amp;$C404,盘货信息!$A:$A&amp;盘货信息!$B:$B&amp;盘货信息!$C:$C,盘货信息!$L:$L)="是",_xlfn.XLOOKUP($A404&amp;$B404&amp;$C404,盘货信息!$A:$A&amp;盘货信息!$B:$B&amp;盘货信息!$C:$C,盘货信息!$M:$M)="是",_xlfn.XLOOKUP($A404&amp;$B404&amp;$C404,盘货信息!$A:$A&amp;盘货信息!$B:$B&amp;盘货信息!$C:$C,盘货信息!$K:$K)&gt;0),"【全民可用，不限地址】",IF(AND(OR(_xlfn.XLOOKUP($A404&amp;$B404&amp;$C404,盘货信息!$A:$A&amp;盘货信息!$B:$B&amp;盘货信息!$C:$C,盘货信息!$L:$L)="否",_xlfn.XLOOKUP($A404&amp;$B404&amp;$C404,盘货信息!$A:$A&amp;盘货信息!$B:$B&amp;盘货信息!$C:$C,盘货信息!$L:$L)=""),_xlfn.XLOOKUP($A404&amp;$B404&amp;$C404,盘货信息!$A:$A&amp;盘货信息!$B:$B&amp;盘货信息!$C:$C,盘货信息!$M:$M)="是",_xlfn.XLOOKUP($A404&amp;$B404&amp;$C404,盘货信息!$A:$A&amp;盘货信息!$B:$B&amp;盘货信息!$C:$C,盘货信息!$K:$K)&gt;0),"【详情页领取】","")))</f>
        <v/>
      </c>
      <c r="M404" s="27" t="str" cm="1">
        <f t="array" ref="M404">IF($C404="","",IF(_xlfn.XLOOKUP($A404&amp;$B404&amp;$C404,盘货信息!$A:$A&amp;盘货信息!$B:$B&amp;盘货信息!$C:$C,盘货信息!$F:$F)&lt;1,"",_xlfn.XLOOKUP($A404&amp;$B404&amp;$C404,盘货信息!$A:$A&amp;盘货信息!$B:$B&amp;盘货信息!$C:$C,盘货信息!$F:$F)&amp;"元明卷"))</f>
        <v/>
      </c>
      <c r="N404" s="27" t="str">
        <f t="shared" si="13"/>
        <v/>
      </c>
      <c r="O404" s="27" t="str">
        <f>IF(I404="","","【消费券链接】"&amp;固定信息!$B$6)</f>
        <v/>
      </c>
    </row>
    <row r="405" customHeight="1" spans="1:15">
      <c r="A405" s="23" t="str">
        <f>IF(盘货信息!A405="","",盘货信息!A405)</f>
        <v/>
      </c>
      <c r="B405" s="26" t="str">
        <f>IF(盘货信息!B405="","",盘货信息!B405)</f>
        <v/>
      </c>
      <c r="C405" s="23" t="str">
        <f>IF(盘货信息!C405="","",盘货信息!C405)</f>
        <v/>
      </c>
      <c r="D405" s="27" t="str">
        <f t="shared" si="12"/>
        <v/>
      </c>
      <c r="E405" s="27" t="str" cm="1">
        <f t="array" ref="E405">IF($C405="","",IF(AND(OR(_xlfn.XLOOKUP($A405&amp;$B405&amp;$C405,盘货信息!$A:$A&amp;盘货信息!$B:$B&amp;盘货信息!$C:$C,盘货信息!$L:$L)="否",_xlfn.XLOOKUP($A405&amp;$B405&amp;$C405,盘货信息!$A:$A&amp;盘货信息!$B:$B&amp;盘货信息!$C:$C,盘货信息!$L:$L)=""),_xlfn.XLOOKUP($A405&amp;$B405&amp;$C405,盘货信息!$A:$A&amp;盘货信息!$B:$B&amp;盘货信息!$C:$C,盘货信息!$M:$M)="否"),"【预估到手价"&amp;_xlfn.XLOOKUP($A405&amp;$B405&amp;$C405,盘货信息!$A:$A&amp;盘货信息!$B:$B&amp;盘货信息!$C:$C,盘货信息!$D:$D)&amp;"元】",IF(AND(_xlfn.XLOOKUP($A405&amp;$B405&amp;$C405,盘货信息!$A:$A&amp;盘货信息!$B:$B&amp;盘货信息!$C:$C,盘货信息!$M:$M)="是",OR(_xlfn.XLOOKUP($A405&amp;$B405&amp;$C405,盘货信息!$A:$A&amp;盘货信息!$B:$B&amp;盘货信息!$C:$C,盘货信息!$L:$L)="否",_xlfn.XLOOKUP($A405&amp;$B405&amp;$C405,盘货信息!$A:$A&amp;盘货信息!$B:$B&amp;盘货信息!$C:$C,盘货信息!$L:$L)="")),"【预估到手价"&amp;_xlfn.XLOOKUP($A405&amp;$B405&amp;$C405,盘货信息!$A:$A&amp;盘货信息!$B:$B&amp;盘货信息!$C:$C,盘货信息!$D:$D)&amp;"元】"&amp;CHAR(10)&amp;"【焕新补贴预估价"&amp;ROUND(_xlfn.XLOOKUP($A405&amp;$B405&amp;$C405,盘货信息!$A:$A&amp;盘货信息!$B:$B&amp;盘货信息!$C:$C,盘货信息!$E:$E),0)&amp;"元】","【焕新补贴预估价"&amp;ROUND(_xlfn.XLOOKUP($A405&amp;$B405&amp;$C405,盘货信息!$A:$A&amp;盘货信息!$B:$B&amp;盘货信息!$C:$C,盘货信息!$E:$E),0)&amp;"元】")))</f>
        <v/>
      </c>
      <c r="F405" s="27" t="str" cm="1">
        <f t="array" ref="F405">IF($C405="","",_xlfn.XLOOKUP($A405&amp;$B405&amp;$C405,盘货信息!$A:$A&amp;盘货信息!$B:$B&amp;盘货信息!$C:$C,盘货信息!$D:$D)&amp;"元到手价")</f>
        <v/>
      </c>
      <c r="G405" s="27" t="str" cm="1">
        <f t="array" ref="G405">IF($C405="","",IF(_xlfn.XLOOKUP($A405&amp;$B405&amp;$C405,盘货信息!$A:$A&amp;盘货信息!$B:$B&amp;盘货信息!$C:$C,盘货信息!$G:$G)&lt;1,"",ROUND(_xlfn.XLOOKUP($A405&amp;$B405&amp;$C405,盘货信息!$A:$A&amp;盘货信息!$B:$B&amp;盘货信息!$C:$C,盘货信息!$G:$G),0)&amp;"元88VIP立减"))</f>
        <v/>
      </c>
      <c r="H405" s="27" t="str" cm="1">
        <f t="array" ref="H405">IF($C405="","",IF(_xlfn.XLOOKUP($A405&amp;$B405&amp;$C405,盘货信息!$A:$A&amp;盘货信息!$B:$B&amp;盘货信息!$C:$C,盘货信息!$I:$I)&lt;1,"",_xlfn.XLOOKUP($A405&amp;$B405&amp;$C405,盘货信息!$A:$A&amp;盘货信息!$B:$B&amp;盘货信息!$C:$C,盘货信息!$I:$I)&amp;"元惊喜立减"))</f>
        <v/>
      </c>
      <c r="I405" s="27" t="str" cm="1">
        <f t="array" ref="I405">IF($C405="","",IF(_xlfn.XLOOKUP($A405&amp;$B405&amp;$C405,盘货信息!$A:$A&amp;盘货信息!$B:$B&amp;盘货信息!$C:$C,盘货信息!$H:$H)&lt;1,"",ROUND(_xlfn.XLOOKUP($A405&amp;$B405&amp;$C405,盘货信息!$A:$A&amp;盘货信息!$B:$B&amp;盘货信息!$C:$C,盘货信息!$H:$H),0)&amp;"元消费券"))</f>
        <v/>
      </c>
      <c r="J405" s="27" t="str" cm="1">
        <f t="array" ref="J405">IF($C405="","",IF(_xlfn.XLOOKUP($A405&amp;$B405&amp;$C405,盘货信息!$A:$A&amp;盘货信息!$B:$B&amp;盘货信息!$C:$C,盘货信息!$J:$J)&lt;1,"",ROUND(_xlfn.XLOOKUP($A405&amp;$B405&amp;$C405,盘货信息!$A:$A&amp;盘货信息!$B:$B&amp;盘货信息!$C:$C,盘货信息!$J:$J),0)&amp;"元限时补贴"))</f>
        <v/>
      </c>
      <c r="K405" s="27" t="str" cm="1">
        <f t="array" ref="K405">IF($C405="","",IF(_xlfn.XLOOKUP($A405&amp;$B405&amp;$C405,盘货信息!$A:$A&amp;盘货信息!$B:$B&amp;盘货信息!$C:$C,盘货信息!$K:$K)&lt;1,"",ROUND(_xlfn.XLOOKUP($A405&amp;$B405&amp;$C405,盘货信息!$A:$A&amp;盘货信息!$B:$B&amp;盘货信息!$C:$C,盘货信息!$K:$K),0)&amp;"元预估焕新补贴"))</f>
        <v/>
      </c>
      <c r="L405" s="27" t="str" cm="1">
        <f t="array" ref="L405">IF($C405="","",IF(AND(_xlfn.XLOOKUP($A405&amp;$B405&amp;$C405,盘货信息!$A:$A&amp;盘货信息!$B:$B&amp;盘货信息!$C:$C,盘货信息!$L:$L)="是",_xlfn.XLOOKUP($A405&amp;$B405&amp;$C405,盘货信息!$A:$A&amp;盘货信息!$B:$B&amp;盘货信息!$C:$C,盘货信息!$M:$M)="是",_xlfn.XLOOKUP($A405&amp;$B405&amp;$C405,盘货信息!$A:$A&amp;盘货信息!$B:$B&amp;盘货信息!$C:$C,盘货信息!$K:$K)&gt;0),"【全民可用，不限地址】",IF(AND(OR(_xlfn.XLOOKUP($A405&amp;$B405&amp;$C405,盘货信息!$A:$A&amp;盘货信息!$B:$B&amp;盘货信息!$C:$C,盘货信息!$L:$L)="否",_xlfn.XLOOKUP($A405&amp;$B405&amp;$C405,盘货信息!$A:$A&amp;盘货信息!$B:$B&amp;盘货信息!$C:$C,盘货信息!$L:$L)=""),_xlfn.XLOOKUP($A405&amp;$B405&amp;$C405,盘货信息!$A:$A&amp;盘货信息!$B:$B&amp;盘货信息!$C:$C,盘货信息!$M:$M)="是",_xlfn.XLOOKUP($A405&amp;$B405&amp;$C405,盘货信息!$A:$A&amp;盘货信息!$B:$B&amp;盘货信息!$C:$C,盘货信息!$K:$K)&gt;0),"【详情页领取】","")))</f>
        <v/>
      </c>
      <c r="M405" s="27" t="str" cm="1">
        <f t="array" ref="M405">IF($C405="","",IF(_xlfn.XLOOKUP($A405&amp;$B405&amp;$C405,盘货信息!$A:$A&amp;盘货信息!$B:$B&amp;盘货信息!$C:$C,盘货信息!$F:$F)&lt;1,"",_xlfn.XLOOKUP($A405&amp;$B405&amp;$C405,盘货信息!$A:$A&amp;盘货信息!$B:$B&amp;盘货信息!$C:$C,盘货信息!$F:$F)&amp;"元明卷"))</f>
        <v/>
      </c>
      <c r="N405" s="27" t="str">
        <f t="shared" si="13"/>
        <v/>
      </c>
      <c r="O405" s="27" t="str">
        <f>IF(I405="","","【消费券链接】"&amp;固定信息!$B$6)</f>
        <v/>
      </c>
    </row>
    <row r="406" customHeight="1" spans="1:15">
      <c r="A406" s="23" t="str">
        <f>IF(盘货信息!A406="","",盘货信息!A406)</f>
        <v/>
      </c>
      <c r="B406" s="26" t="str">
        <f>IF(盘货信息!B406="","",盘货信息!B406)</f>
        <v/>
      </c>
      <c r="C406" s="23" t="str">
        <f>IF(盘货信息!C406="","",盘货信息!C406)</f>
        <v/>
      </c>
      <c r="D406" s="27" t="str">
        <f t="shared" si="12"/>
        <v/>
      </c>
      <c r="E406" s="27" t="str" cm="1">
        <f t="array" ref="E406">IF($C406="","",IF(AND(OR(_xlfn.XLOOKUP($A406&amp;$B406&amp;$C406,盘货信息!$A:$A&amp;盘货信息!$B:$B&amp;盘货信息!$C:$C,盘货信息!$L:$L)="否",_xlfn.XLOOKUP($A406&amp;$B406&amp;$C406,盘货信息!$A:$A&amp;盘货信息!$B:$B&amp;盘货信息!$C:$C,盘货信息!$L:$L)=""),_xlfn.XLOOKUP($A406&amp;$B406&amp;$C406,盘货信息!$A:$A&amp;盘货信息!$B:$B&amp;盘货信息!$C:$C,盘货信息!$M:$M)="否"),"【预估到手价"&amp;_xlfn.XLOOKUP($A406&amp;$B406&amp;$C406,盘货信息!$A:$A&amp;盘货信息!$B:$B&amp;盘货信息!$C:$C,盘货信息!$D:$D)&amp;"元】",IF(AND(_xlfn.XLOOKUP($A406&amp;$B406&amp;$C406,盘货信息!$A:$A&amp;盘货信息!$B:$B&amp;盘货信息!$C:$C,盘货信息!$M:$M)="是",OR(_xlfn.XLOOKUP($A406&amp;$B406&amp;$C406,盘货信息!$A:$A&amp;盘货信息!$B:$B&amp;盘货信息!$C:$C,盘货信息!$L:$L)="否",_xlfn.XLOOKUP($A406&amp;$B406&amp;$C406,盘货信息!$A:$A&amp;盘货信息!$B:$B&amp;盘货信息!$C:$C,盘货信息!$L:$L)="")),"【预估到手价"&amp;_xlfn.XLOOKUP($A406&amp;$B406&amp;$C406,盘货信息!$A:$A&amp;盘货信息!$B:$B&amp;盘货信息!$C:$C,盘货信息!$D:$D)&amp;"元】"&amp;CHAR(10)&amp;"【焕新补贴预估价"&amp;ROUND(_xlfn.XLOOKUP($A406&amp;$B406&amp;$C406,盘货信息!$A:$A&amp;盘货信息!$B:$B&amp;盘货信息!$C:$C,盘货信息!$E:$E),0)&amp;"元】","【焕新补贴预估价"&amp;ROUND(_xlfn.XLOOKUP($A406&amp;$B406&amp;$C406,盘货信息!$A:$A&amp;盘货信息!$B:$B&amp;盘货信息!$C:$C,盘货信息!$E:$E),0)&amp;"元】")))</f>
        <v/>
      </c>
      <c r="F406" s="27" t="str" cm="1">
        <f t="array" ref="F406">IF($C406="","",_xlfn.XLOOKUP($A406&amp;$B406&amp;$C406,盘货信息!$A:$A&amp;盘货信息!$B:$B&amp;盘货信息!$C:$C,盘货信息!$D:$D)&amp;"元到手价")</f>
        <v/>
      </c>
      <c r="G406" s="27" t="str" cm="1">
        <f t="array" ref="G406">IF($C406="","",IF(_xlfn.XLOOKUP($A406&amp;$B406&amp;$C406,盘货信息!$A:$A&amp;盘货信息!$B:$B&amp;盘货信息!$C:$C,盘货信息!$G:$G)&lt;1,"",ROUND(_xlfn.XLOOKUP($A406&amp;$B406&amp;$C406,盘货信息!$A:$A&amp;盘货信息!$B:$B&amp;盘货信息!$C:$C,盘货信息!$G:$G),0)&amp;"元88VIP立减"))</f>
        <v/>
      </c>
      <c r="H406" s="27" t="str" cm="1">
        <f t="array" ref="H406">IF($C406="","",IF(_xlfn.XLOOKUP($A406&amp;$B406&amp;$C406,盘货信息!$A:$A&amp;盘货信息!$B:$B&amp;盘货信息!$C:$C,盘货信息!$I:$I)&lt;1,"",_xlfn.XLOOKUP($A406&amp;$B406&amp;$C406,盘货信息!$A:$A&amp;盘货信息!$B:$B&amp;盘货信息!$C:$C,盘货信息!$I:$I)&amp;"元惊喜立减"))</f>
        <v/>
      </c>
      <c r="I406" s="27" t="str" cm="1">
        <f t="array" ref="I406">IF($C406="","",IF(_xlfn.XLOOKUP($A406&amp;$B406&amp;$C406,盘货信息!$A:$A&amp;盘货信息!$B:$B&amp;盘货信息!$C:$C,盘货信息!$H:$H)&lt;1,"",ROUND(_xlfn.XLOOKUP($A406&amp;$B406&amp;$C406,盘货信息!$A:$A&amp;盘货信息!$B:$B&amp;盘货信息!$C:$C,盘货信息!$H:$H),0)&amp;"元消费券"))</f>
        <v/>
      </c>
      <c r="J406" s="27" t="str" cm="1">
        <f t="array" ref="J406">IF($C406="","",IF(_xlfn.XLOOKUP($A406&amp;$B406&amp;$C406,盘货信息!$A:$A&amp;盘货信息!$B:$B&amp;盘货信息!$C:$C,盘货信息!$J:$J)&lt;1,"",ROUND(_xlfn.XLOOKUP($A406&amp;$B406&amp;$C406,盘货信息!$A:$A&amp;盘货信息!$B:$B&amp;盘货信息!$C:$C,盘货信息!$J:$J),0)&amp;"元限时补贴"))</f>
        <v/>
      </c>
      <c r="K406" s="27" t="str" cm="1">
        <f t="array" ref="K406">IF($C406="","",IF(_xlfn.XLOOKUP($A406&amp;$B406&amp;$C406,盘货信息!$A:$A&amp;盘货信息!$B:$B&amp;盘货信息!$C:$C,盘货信息!$K:$K)&lt;1,"",ROUND(_xlfn.XLOOKUP($A406&amp;$B406&amp;$C406,盘货信息!$A:$A&amp;盘货信息!$B:$B&amp;盘货信息!$C:$C,盘货信息!$K:$K),0)&amp;"元预估焕新补贴"))</f>
        <v/>
      </c>
      <c r="L406" s="27" t="str" cm="1">
        <f t="array" ref="L406">IF($C406="","",IF(AND(_xlfn.XLOOKUP($A406&amp;$B406&amp;$C406,盘货信息!$A:$A&amp;盘货信息!$B:$B&amp;盘货信息!$C:$C,盘货信息!$L:$L)="是",_xlfn.XLOOKUP($A406&amp;$B406&amp;$C406,盘货信息!$A:$A&amp;盘货信息!$B:$B&amp;盘货信息!$C:$C,盘货信息!$M:$M)="是",_xlfn.XLOOKUP($A406&amp;$B406&amp;$C406,盘货信息!$A:$A&amp;盘货信息!$B:$B&amp;盘货信息!$C:$C,盘货信息!$K:$K)&gt;0),"【全民可用，不限地址】",IF(AND(OR(_xlfn.XLOOKUP($A406&amp;$B406&amp;$C406,盘货信息!$A:$A&amp;盘货信息!$B:$B&amp;盘货信息!$C:$C,盘货信息!$L:$L)="否",_xlfn.XLOOKUP($A406&amp;$B406&amp;$C406,盘货信息!$A:$A&amp;盘货信息!$B:$B&amp;盘货信息!$C:$C,盘货信息!$L:$L)=""),_xlfn.XLOOKUP($A406&amp;$B406&amp;$C406,盘货信息!$A:$A&amp;盘货信息!$B:$B&amp;盘货信息!$C:$C,盘货信息!$M:$M)="是",_xlfn.XLOOKUP($A406&amp;$B406&amp;$C406,盘货信息!$A:$A&amp;盘货信息!$B:$B&amp;盘货信息!$C:$C,盘货信息!$K:$K)&gt;0),"【详情页领取】","")))</f>
        <v/>
      </c>
      <c r="M406" s="27" t="str" cm="1">
        <f t="array" ref="M406">IF($C406="","",IF(_xlfn.XLOOKUP($A406&amp;$B406&amp;$C406,盘货信息!$A:$A&amp;盘货信息!$B:$B&amp;盘货信息!$C:$C,盘货信息!$F:$F)&lt;1,"",_xlfn.XLOOKUP($A406&amp;$B406&amp;$C406,盘货信息!$A:$A&amp;盘货信息!$B:$B&amp;盘货信息!$C:$C,盘货信息!$F:$F)&amp;"元明卷"))</f>
        <v/>
      </c>
      <c r="N406" s="27" t="str">
        <f t="shared" si="13"/>
        <v/>
      </c>
      <c r="O406" s="27" t="str">
        <f>IF(I406="","","【消费券链接】"&amp;固定信息!$B$6)</f>
        <v/>
      </c>
    </row>
    <row r="407" customHeight="1" spans="1:15">
      <c r="A407" s="23" t="str">
        <f>IF(盘货信息!A407="","",盘货信息!A407)</f>
        <v/>
      </c>
      <c r="B407" s="26" t="str">
        <f>IF(盘货信息!B407="","",盘货信息!B407)</f>
        <v/>
      </c>
      <c r="C407" s="23" t="str">
        <f>IF(盘货信息!C407="","",盘货信息!C407)</f>
        <v/>
      </c>
      <c r="D407" s="27" t="str">
        <f t="shared" si="12"/>
        <v/>
      </c>
      <c r="E407" s="27" t="str" cm="1">
        <f t="array" ref="E407">IF($C407="","",IF(AND(OR(_xlfn.XLOOKUP($A407&amp;$B407&amp;$C407,盘货信息!$A:$A&amp;盘货信息!$B:$B&amp;盘货信息!$C:$C,盘货信息!$L:$L)="否",_xlfn.XLOOKUP($A407&amp;$B407&amp;$C407,盘货信息!$A:$A&amp;盘货信息!$B:$B&amp;盘货信息!$C:$C,盘货信息!$L:$L)=""),_xlfn.XLOOKUP($A407&amp;$B407&amp;$C407,盘货信息!$A:$A&amp;盘货信息!$B:$B&amp;盘货信息!$C:$C,盘货信息!$M:$M)="否"),"【预估到手价"&amp;_xlfn.XLOOKUP($A407&amp;$B407&amp;$C407,盘货信息!$A:$A&amp;盘货信息!$B:$B&amp;盘货信息!$C:$C,盘货信息!$D:$D)&amp;"元】",IF(AND(_xlfn.XLOOKUP($A407&amp;$B407&amp;$C407,盘货信息!$A:$A&amp;盘货信息!$B:$B&amp;盘货信息!$C:$C,盘货信息!$M:$M)="是",OR(_xlfn.XLOOKUP($A407&amp;$B407&amp;$C407,盘货信息!$A:$A&amp;盘货信息!$B:$B&amp;盘货信息!$C:$C,盘货信息!$L:$L)="否",_xlfn.XLOOKUP($A407&amp;$B407&amp;$C407,盘货信息!$A:$A&amp;盘货信息!$B:$B&amp;盘货信息!$C:$C,盘货信息!$L:$L)="")),"【预估到手价"&amp;_xlfn.XLOOKUP($A407&amp;$B407&amp;$C407,盘货信息!$A:$A&amp;盘货信息!$B:$B&amp;盘货信息!$C:$C,盘货信息!$D:$D)&amp;"元】"&amp;CHAR(10)&amp;"【焕新补贴预估价"&amp;ROUND(_xlfn.XLOOKUP($A407&amp;$B407&amp;$C407,盘货信息!$A:$A&amp;盘货信息!$B:$B&amp;盘货信息!$C:$C,盘货信息!$E:$E),0)&amp;"元】","【焕新补贴预估价"&amp;ROUND(_xlfn.XLOOKUP($A407&amp;$B407&amp;$C407,盘货信息!$A:$A&amp;盘货信息!$B:$B&amp;盘货信息!$C:$C,盘货信息!$E:$E),0)&amp;"元】")))</f>
        <v/>
      </c>
      <c r="F407" s="27" t="str" cm="1">
        <f t="array" ref="F407">IF($C407="","",_xlfn.XLOOKUP($A407&amp;$B407&amp;$C407,盘货信息!$A:$A&amp;盘货信息!$B:$B&amp;盘货信息!$C:$C,盘货信息!$D:$D)&amp;"元到手价")</f>
        <v/>
      </c>
      <c r="G407" s="27" t="str" cm="1">
        <f t="array" ref="G407">IF($C407="","",IF(_xlfn.XLOOKUP($A407&amp;$B407&amp;$C407,盘货信息!$A:$A&amp;盘货信息!$B:$B&amp;盘货信息!$C:$C,盘货信息!$G:$G)&lt;1,"",ROUND(_xlfn.XLOOKUP($A407&amp;$B407&amp;$C407,盘货信息!$A:$A&amp;盘货信息!$B:$B&amp;盘货信息!$C:$C,盘货信息!$G:$G),0)&amp;"元88VIP立减"))</f>
        <v/>
      </c>
      <c r="H407" s="27" t="str" cm="1">
        <f t="array" ref="H407">IF($C407="","",IF(_xlfn.XLOOKUP($A407&amp;$B407&amp;$C407,盘货信息!$A:$A&amp;盘货信息!$B:$B&amp;盘货信息!$C:$C,盘货信息!$I:$I)&lt;1,"",_xlfn.XLOOKUP($A407&amp;$B407&amp;$C407,盘货信息!$A:$A&amp;盘货信息!$B:$B&amp;盘货信息!$C:$C,盘货信息!$I:$I)&amp;"元惊喜立减"))</f>
        <v/>
      </c>
      <c r="I407" s="27" t="str" cm="1">
        <f t="array" ref="I407">IF($C407="","",IF(_xlfn.XLOOKUP($A407&amp;$B407&amp;$C407,盘货信息!$A:$A&amp;盘货信息!$B:$B&amp;盘货信息!$C:$C,盘货信息!$H:$H)&lt;1,"",ROUND(_xlfn.XLOOKUP($A407&amp;$B407&amp;$C407,盘货信息!$A:$A&amp;盘货信息!$B:$B&amp;盘货信息!$C:$C,盘货信息!$H:$H),0)&amp;"元消费券"))</f>
        <v/>
      </c>
      <c r="J407" s="27" t="str" cm="1">
        <f t="array" ref="J407">IF($C407="","",IF(_xlfn.XLOOKUP($A407&amp;$B407&amp;$C407,盘货信息!$A:$A&amp;盘货信息!$B:$B&amp;盘货信息!$C:$C,盘货信息!$J:$J)&lt;1,"",ROUND(_xlfn.XLOOKUP($A407&amp;$B407&amp;$C407,盘货信息!$A:$A&amp;盘货信息!$B:$B&amp;盘货信息!$C:$C,盘货信息!$J:$J),0)&amp;"元限时补贴"))</f>
        <v/>
      </c>
      <c r="K407" s="27" t="str" cm="1">
        <f t="array" ref="K407">IF($C407="","",IF(_xlfn.XLOOKUP($A407&amp;$B407&amp;$C407,盘货信息!$A:$A&amp;盘货信息!$B:$B&amp;盘货信息!$C:$C,盘货信息!$K:$K)&lt;1,"",ROUND(_xlfn.XLOOKUP($A407&amp;$B407&amp;$C407,盘货信息!$A:$A&amp;盘货信息!$B:$B&amp;盘货信息!$C:$C,盘货信息!$K:$K),0)&amp;"元预估焕新补贴"))</f>
        <v/>
      </c>
      <c r="L407" s="27" t="str" cm="1">
        <f t="array" ref="L407">IF($C407="","",IF(AND(_xlfn.XLOOKUP($A407&amp;$B407&amp;$C407,盘货信息!$A:$A&amp;盘货信息!$B:$B&amp;盘货信息!$C:$C,盘货信息!$L:$L)="是",_xlfn.XLOOKUP($A407&amp;$B407&amp;$C407,盘货信息!$A:$A&amp;盘货信息!$B:$B&amp;盘货信息!$C:$C,盘货信息!$M:$M)="是",_xlfn.XLOOKUP($A407&amp;$B407&amp;$C407,盘货信息!$A:$A&amp;盘货信息!$B:$B&amp;盘货信息!$C:$C,盘货信息!$K:$K)&gt;0),"【全民可用，不限地址】",IF(AND(OR(_xlfn.XLOOKUP($A407&amp;$B407&amp;$C407,盘货信息!$A:$A&amp;盘货信息!$B:$B&amp;盘货信息!$C:$C,盘货信息!$L:$L)="否",_xlfn.XLOOKUP($A407&amp;$B407&amp;$C407,盘货信息!$A:$A&amp;盘货信息!$B:$B&amp;盘货信息!$C:$C,盘货信息!$L:$L)=""),_xlfn.XLOOKUP($A407&amp;$B407&amp;$C407,盘货信息!$A:$A&amp;盘货信息!$B:$B&amp;盘货信息!$C:$C,盘货信息!$M:$M)="是",_xlfn.XLOOKUP($A407&amp;$B407&amp;$C407,盘货信息!$A:$A&amp;盘货信息!$B:$B&amp;盘货信息!$C:$C,盘货信息!$K:$K)&gt;0),"【详情页领取】","")))</f>
        <v/>
      </c>
      <c r="M407" s="27" t="str" cm="1">
        <f t="array" ref="M407">IF($C407="","",IF(_xlfn.XLOOKUP($A407&amp;$B407&amp;$C407,盘货信息!$A:$A&amp;盘货信息!$B:$B&amp;盘货信息!$C:$C,盘货信息!$F:$F)&lt;1,"",_xlfn.XLOOKUP($A407&amp;$B407&amp;$C407,盘货信息!$A:$A&amp;盘货信息!$B:$B&amp;盘货信息!$C:$C,盘货信息!$F:$F)&amp;"元明卷"))</f>
        <v/>
      </c>
      <c r="N407" s="27" t="str">
        <f t="shared" si="13"/>
        <v/>
      </c>
      <c r="O407" s="27" t="str">
        <f>IF(I407="","","【消费券链接】"&amp;固定信息!$B$6)</f>
        <v/>
      </c>
    </row>
    <row r="408" customHeight="1" spans="1:15">
      <c r="A408" s="23" t="str">
        <f>IF(盘货信息!A408="","",盘货信息!A408)</f>
        <v/>
      </c>
      <c r="B408" s="26" t="str">
        <f>IF(盘货信息!B408="","",盘货信息!B408)</f>
        <v/>
      </c>
      <c r="C408" s="23" t="str">
        <f>IF(盘货信息!C408="","",盘货信息!C408)</f>
        <v/>
      </c>
      <c r="D408" s="27" t="str">
        <f t="shared" si="12"/>
        <v/>
      </c>
      <c r="E408" s="27" t="str" cm="1">
        <f t="array" ref="E408">IF($C408="","",IF(AND(OR(_xlfn.XLOOKUP($A408&amp;$B408&amp;$C408,盘货信息!$A:$A&amp;盘货信息!$B:$B&amp;盘货信息!$C:$C,盘货信息!$L:$L)="否",_xlfn.XLOOKUP($A408&amp;$B408&amp;$C408,盘货信息!$A:$A&amp;盘货信息!$B:$B&amp;盘货信息!$C:$C,盘货信息!$L:$L)=""),_xlfn.XLOOKUP($A408&amp;$B408&amp;$C408,盘货信息!$A:$A&amp;盘货信息!$B:$B&amp;盘货信息!$C:$C,盘货信息!$M:$M)="否"),"【预估到手价"&amp;_xlfn.XLOOKUP($A408&amp;$B408&amp;$C408,盘货信息!$A:$A&amp;盘货信息!$B:$B&amp;盘货信息!$C:$C,盘货信息!$D:$D)&amp;"元】",IF(AND(_xlfn.XLOOKUP($A408&amp;$B408&amp;$C408,盘货信息!$A:$A&amp;盘货信息!$B:$B&amp;盘货信息!$C:$C,盘货信息!$M:$M)="是",OR(_xlfn.XLOOKUP($A408&amp;$B408&amp;$C408,盘货信息!$A:$A&amp;盘货信息!$B:$B&amp;盘货信息!$C:$C,盘货信息!$L:$L)="否",_xlfn.XLOOKUP($A408&amp;$B408&amp;$C408,盘货信息!$A:$A&amp;盘货信息!$B:$B&amp;盘货信息!$C:$C,盘货信息!$L:$L)="")),"【预估到手价"&amp;_xlfn.XLOOKUP($A408&amp;$B408&amp;$C408,盘货信息!$A:$A&amp;盘货信息!$B:$B&amp;盘货信息!$C:$C,盘货信息!$D:$D)&amp;"元】"&amp;CHAR(10)&amp;"【焕新补贴预估价"&amp;ROUND(_xlfn.XLOOKUP($A408&amp;$B408&amp;$C408,盘货信息!$A:$A&amp;盘货信息!$B:$B&amp;盘货信息!$C:$C,盘货信息!$E:$E),0)&amp;"元】","【焕新补贴预估价"&amp;ROUND(_xlfn.XLOOKUP($A408&amp;$B408&amp;$C408,盘货信息!$A:$A&amp;盘货信息!$B:$B&amp;盘货信息!$C:$C,盘货信息!$E:$E),0)&amp;"元】")))</f>
        <v/>
      </c>
      <c r="F408" s="27" t="str" cm="1">
        <f t="array" ref="F408">IF($C408="","",_xlfn.XLOOKUP($A408&amp;$B408&amp;$C408,盘货信息!$A:$A&amp;盘货信息!$B:$B&amp;盘货信息!$C:$C,盘货信息!$D:$D)&amp;"元到手价")</f>
        <v/>
      </c>
      <c r="G408" s="27" t="str" cm="1">
        <f t="array" ref="G408">IF($C408="","",IF(_xlfn.XLOOKUP($A408&amp;$B408&amp;$C408,盘货信息!$A:$A&amp;盘货信息!$B:$B&amp;盘货信息!$C:$C,盘货信息!$G:$G)&lt;1,"",ROUND(_xlfn.XLOOKUP($A408&amp;$B408&amp;$C408,盘货信息!$A:$A&amp;盘货信息!$B:$B&amp;盘货信息!$C:$C,盘货信息!$G:$G),0)&amp;"元88VIP立减"))</f>
        <v/>
      </c>
      <c r="H408" s="27" t="str" cm="1">
        <f t="array" ref="H408">IF($C408="","",IF(_xlfn.XLOOKUP($A408&amp;$B408&amp;$C408,盘货信息!$A:$A&amp;盘货信息!$B:$B&amp;盘货信息!$C:$C,盘货信息!$I:$I)&lt;1,"",_xlfn.XLOOKUP($A408&amp;$B408&amp;$C408,盘货信息!$A:$A&amp;盘货信息!$B:$B&amp;盘货信息!$C:$C,盘货信息!$I:$I)&amp;"元惊喜立减"))</f>
        <v/>
      </c>
      <c r="I408" s="27" t="str" cm="1">
        <f t="array" ref="I408">IF($C408="","",IF(_xlfn.XLOOKUP($A408&amp;$B408&amp;$C408,盘货信息!$A:$A&amp;盘货信息!$B:$B&amp;盘货信息!$C:$C,盘货信息!$H:$H)&lt;1,"",ROUND(_xlfn.XLOOKUP($A408&amp;$B408&amp;$C408,盘货信息!$A:$A&amp;盘货信息!$B:$B&amp;盘货信息!$C:$C,盘货信息!$H:$H),0)&amp;"元消费券"))</f>
        <v/>
      </c>
      <c r="J408" s="27" t="str" cm="1">
        <f t="array" ref="J408">IF($C408="","",IF(_xlfn.XLOOKUP($A408&amp;$B408&amp;$C408,盘货信息!$A:$A&amp;盘货信息!$B:$B&amp;盘货信息!$C:$C,盘货信息!$J:$J)&lt;1,"",ROUND(_xlfn.XLOOKUP($A408&amp;$B408&amp;$C408,盘货信息!$A:$A&amp;盘货信息!$B:$B&amp;盘货信息!$C:$C,盘货信息!$J:$J),0)&amp;"元限时补贴"))</f>
        <v/>
      </c>
      <c r="K408" s="27" t="str" cm="1">
        <f t="array" ref="K408">IF($C408="","",IF(_xlfn.XLOOKUP($A408&amp;$B408&amp;$C408,盘货信息!$A:$A&amp;盘货信息!$B:$B&amp;盘货信息!$C:$C,盘货信息!$K:$K)&lt;1,"",ROUND(_xlfn.XLOOKUP($A408&amp;$B408&amp;$C408,盘货信息!$A:$A&amp;盘货信息!$B:$B&amp;盘货信息!$C:$C,盘货信息!$K:$K),0)&amp;"元预估焕新补贴"))</f>
        <v/>
      </c>
      <c r="L408" s="27" t="str" cm="1">
        <f t="array" ref="L408">IF($C408="","",IF(AND(_xlfn.XLOOKUP($A408&amp;$B408&amp;$C408,盘货信息!$A:$A&amp;盘货信息!$B:$B&amp;盘货信息!$C:$C,盘货信息!$L:$L)="是",_xlfn.XLOOKUP($A408&amp;$B408&amp;$C408,盘货信息!$A:$A&amp;盘货信息!$B:$B&amp;盘货信息!$C:$C,盘货信息!$M:$M)="是",_xlfn.XLOOKUP($A408&amp;$B408&amp;$C408,盘货信息!$A:$A&amp;盘货信息!$B:$B&amp;盘货信息!$C:$C,盘货信息!$K:$K)&gt;0),"【全民可用，不限地址】",IF(AND(OR(_xlfn.XLOOKUP($A408&amp;$B408&amp;$C408,盘货信息!$A:$A&amp;盘货信息!$B:$B&amp;盘货信息!$C:$C,盘货信息!$L:$L)="否",_xlfn.XLOOKUP($A408&amp;$B408&amp;$C408,盘货信息!$A:$A&amp;盘货信息!$B:$B&amp;盘货信息!$C:$C,盘货信息!$L:$L)=""),_xlfn.XLOOKUP($A408&amp;$B408&amp;$C408,盘货信息!$A:$A&amp;盘货信息!$B:$B&amp;盘货信息!$C:$C,盘货信息!$M:$M)="是",_xlfn.XLOOKUP($A408&amp;$B408&amp;$C408,盘货信息!$A:$A&amp;盘货信息!$B:$B&amp;盘货信息!$C:$C,盘货信息!$K:$K)&gt;0),"【详情页领取】","")))</f>
        <v/>
      </c>
      <c r="M408" s="27" t="str" cm="1">
        <f t="array" ref="M408">IF($C408="","",IF(_xlfn.XLOOKUP($A408&amp;$B408&amp;$C408,盘货信息!$A:$A&amp;盘货信息!$B:$B&amp;盘货信息!$C:$C,盘货信息!$F:$F)&lt;1,"",_xlfn.XLOOKUP($A408&amp;$B408&amp;$C408,盘货信息!$A:$A&amp;盘货信息!$B:$B&amp;盘货信息!$C:$C,盘货信息!$F:$F)&amp;"元明卷"))</f>
        <v/>
      </c>
      <c r="N408" s="27" t="str">
        <f t="shared" si="13"/>
        <v/>
      </c>
      <c r="O408" s="27" t="str">
        <f>IF(I408="","","【消费券链接】"&amp;固定信息!$B$6)</f>
        <v/>
      </c>
    </row>
    <row r="409" customHeight="1" spans="1:15">
      <c r="A409" s="23" t="str">
        <f>IF(盘货信息!A409="","",盘货信息!A409)</f>
        <v/>
      </c>
      <c r="B409" s="26" t="str">
        <f>IF(盘货信息!B409="","",盘货信息!B409)</f>
        <v/>
      </c>
      <c r="C409" s="23" t="str">
        <f>IF(盘货信息!C409="","",盘货信息!C409)</f>
        <v/>
      </c>
      <c r="D409" s="27" t="str">
        <f t="shared" si="12"/>
        <v/>
      </c>
      <c r="E409" s="27" t="str" cm="1">
        <f t="array" ref="E409">IF($C409="","",IF(AND(OR(_xlfn.XLOOKUP($A409&amp;$B409&amp;$C409,盘货信息!$A:$A&amp;盘货信息!$B:$B&amp;盘货信息!$C:$C,盘货信息!$L:$L)="否",_xlfn.XLOOKUP($A409&amp;$B409&amp;$C409,盘货信息!$A:$A&amp;盘货信息!$B:$B&amp;盘货信息!$C:$C,盘货信息!$L:$L)=""),_xlfn.XLOOKUP($A409&amp;$B409&amp;$C409,盘货信息!$A:$A&amp;盘货信息!$B:$B&amp;盘货信息!$C:$C,盘货信息!$M:$M)="否"),"【预估到手价"&amp;_xlfn.XLOOKUP($A409&amp;$B409&amp;$C409,盘货信息!$A:$A&amp;盘货信息!$B:$B&amp;盘货信息!$C:$C,盘货信息!$D:$D)&amp;"元】",IF(AND(_xlfn.XLOOKUP($A409&amp;$B409&amp;$C409,盘货信息!$A:$A&amp;盘货信息!$B:$B&amp;盘货信息!$C:$C,盘货信息!$M:$M)="是",OR(_xlfn.XLOOKUP($A409&amp;$B409&amp;$C409,盘货信息!$A:$A&amp;盘货信息!$B:$B&amp;盘货信息!$C:$C,盘货信息!$L:$L)="否",_xlfn.XLOOKUP($A409&amp;$B409&amp;$C409,盘货信息!$A:$A&amp;盘货信息!$B:$B&amp;盘货信息!$C:$C,盘货信息!$L:$L)="")),"【预估到手价"&amp;_xlfn.XLOOKUP($A409&amp;$B409&amp;$C409,盘货信息!$A:$A&amp;盘货信息!$B:$B&amp;盘货信息!$C:$C,盘货信息!$D:$D)&amp;"元】"&amp;CHAR(10)&amp;"【焕新补贴预估价"&amp;ROUND(_xlfn.XLOOKUP($A409&amp;$B409&amp;$C409,盘货信息!$A:$A&amp;盘货信息!$B:$B&amp;盘货信息!$C:$C,盘货信息!$E:$E),0)&amp;"元】","【焕新补贴预估价"&amp;ROUND(_xlfn.XLOOKUP($A409&amp;$B409&amp;$C409,盘货信息!$A:$A&amp;盘货信息!$B:$B&amp;盘货信息!$C:$C,盘货信息!$E:$E),0)&amp;"元】")))</f>
        <v/>
      </c>
      <c r="F409" s="27" t="str" cm="1">
        <f t="array" ref="F409">IF($C409="","",_xlfn.XLOOKUP($A409&amp;$B409&amp;$C409,盘货信息!$A:$A&amp;盘货信息!$B:$B&amp;盘货信息!$C:$C,盘货信息!$D:$D)&amp;"元到手价")</f>
        <v/>
      </c>
      <c r="G409" s="27" t="str" cm="1">
        <f t="array" ref="G409">IF($C409="","",IF(_xlfn.XLOOKUP($A409&amp;$B409&amp;$C409,盘货信息!$A:$A&amp;盘货信息!$B:$B&amp;盘货信息!$C:$C,盘货信息!$G:$G)&lt;1,"",ROUND(_xlfn.XLOOKUP($A409&amp;$B409&amp;$C409,盘货信息!$A:$A&amp;盘货信息!$B:$B&amp;盘货信息!$C:$C,盘货信息!$G:$G),0)&amp;"元88VIP立减"))</f>
        <v/>
      </c>
      <c r="H409" s="27" t="str" cm="1">
        <f t="array" ref="H409">IF($C409="","",IF(_xlfn.XLOOKUP($A409&amp;$B409&amp;$C409,盘货信息!$A:$A&amp;盘货信息!$B:$B&amp;盘货信息!$C:$C,盘货信息!$I:$I)&lt;1,"",_xlfn.XLOOKUP($A409&amp;$B409&amp;$C409,盘货信息!$A:$A&amp;盘货信息!$B:$B&amp;盘货信息!$C:$C,盘货信息!$I:$I)&amp;"元惊喜立减"))</f>
        <v/>
      </c>
      <c r="I409" s="27" t="str" cm="1">
        <f t="array" ref="I409">IF($C409="","",IF(_xlfn.XLOOKUP($A409&amp;$B409&amp;$C409,盘货信息!$A:$A&amp;盘货信息!$B:$B&amp;盘货信息!$C:$C,盘货信息!$H:$H)&lt;1,"",ROUND(_xlfn.XLOOKUP($A409&amp;$B409&amp;$C409,盘货信息!$A:$A&amp;盘货信息!$B:$B&amp;盘货信息!$C:$C,盘货信息!$H:$H),0)&amp;"元消费券"))</f>
        <v/>
      </c>
      <c r="J409" s="27" t="str" cm="1">
        <f t="array" ref="J409">IF($C409="","",IF(_xlfn.XLOOKUP($A409&amp;$B409&amp;$C409,盘货信息!$A:$A&amp;盘货信息!$B:$B&amp;盘货信息!$C:$C,盘货信息!$J:$J)&lt;1,"",ROUND(_xlfn.XLOOKUP($A409&amp;$B409&amp;$C409,盘货信息!$A:$A&amp;盘货信息!$B:$B&amp;盘货信息!$C:$C,盘货信息!$J:$J),0)&amp;"元限时补贴"))</f>
        <v/>
      </c>
      <c r="K409" s="27" t="str" cm="1">
        <f t="array" ref="K409">IF($C409="","",IF(_xlfn.XLOOKUP($A409&amp;$B409&amp;$C409,盘货信息!$A:$A&amp;盘货信息!$B:$B&amp;盘货信息!$C:$C,盘货信息!$K:$K)&lt;1,"",ROUND(_xlfn.XLOOKUP($A409&amp;$B409&amp;$C409,盘货信息!$A:$A&amp;盘货信息!$B:$B&amp;盘货信息!$C:$C,盘货信息!$K:$K),0)&amp;"元预估焕新补贴"))</f>
        <v/>
      </c>
      <c r="L409" s="27" t="str" cm="1">
        <f t="array" ref="L409">IF($C409="","",IF(AND(_xlfn.XLOOKUP($A409&amp;$B409&amp;$C409,盘货信息!$A:$A&amp;盘货信息!$B:$B&amp;盘货信息!$C:$C,盘货信息!$L:$L)="是",_xlfn.XLOOKUP($A409&amp;$B409&amp;$C409,盘货信息!$A:$A&amp;盘货信息!$B:$B&amp;盘货信息!$C:$C,盘货信息!$M:$M)="是",_xlfn.XLOOKUP($A409&amp;$B409&amp;$C409,盘货信息!$A:$A&amp;盘货信息!$B:$B&amp;盘货信息!$C:$C,盘货信息!$K:$K)&gt;0),"【全民可用，不限地址】",IF(AND(OR(_xlfn.XLOOKUP($A409&amp;$B409&amp;$C409,盘货信息!$A:$A&amp;盘货信息!$B:$B&amp;盘货信息!$C:$C,盘货信息!$L:$L)="否",_xlfn.XLOOKUP($A409&amp;$B409&amp;$C409,盘货信息!$A:$A&amp;盘货信息!$B:$B&amp;盘货信息!$C:$C,盘货信息!$L:$L)=""),_xlfn.XLOOKUP($A409&amp;$B409&amp;$C409,盘货信息!$A:$A&amp;盘货信息!$B:$B&amp;盘货信息!$C:$C,盘货信息!$M:$M)="是",_xlfn.XLOOKUP($A409&amp;$B409&amp;$C409,盘货信息!$A:$A&amp;盘货信息!$B:$B&amp;盘货信息!$C:$C,盘货信息!$K:$K)&gt;0),"【详情页领取】","")))</f>
        <v/>
      </c>
      <c r="M409" s="27" t="str" cm="1">
        <f t="array" ref="M409">IF($C409="","",IF(_xlfn.XLOOKUP($A409&amp;$B409&amp;$C409,盘货信息!$A:$A&amp;盘货信息!$B:$B&amp;盘货信息!$C:$C,盘货信息!$F:$F)&lt;1,"",_xlfn.XLOOKUP($A409&amp;$B409&amp;$C409,盘货信息!$A:$A&amp;盘货信息!$B:$B&amp;盘货信息!$C:$C,盘货信息!$F:$F)&amp;"元明卷"))</f>
        <v/>
      </c>
      <c r="N409" s="27" t="str">
        <f t="shared" si="13"/>
        <v/>
      </c>
      <c r="O409" s="27" t="str">
        <f>IF(I409="","","【消费券链接】"&amp;固定信息!$B$6)</f>
        <v/>
      </c>
    </row>
    <row r="410" customHeight="1" spans="1:15">
      <c r="A410" s="23" t="str">
        <f>IF(盘货信息!A410="","",盘货信息!A410)</f>
        <v/>
      </c>
      <c r="B410" s="26" t="str">
        <f>IF(盘货信息!B410="","",盘货信息!B410)</f>
        <v/>
      </c>
      <c r="C410" s="23" t="str">
        <f>IF(盘货信息!C410="","",盘货信息!C410)</f>
        <v/>
      </c>
      <c r="D410" s="27" t="str">
        <f t="shared" si="12"/>
        <v/>
      </c>
      <c r="E410" s="27" t="str" cm="1">
        <f t="array" ref="E410">IF($C410="","",IF(AND(OR(_xlfn.XLOOKUP($A410&amp;$B410&amp;$C410,盘货信息!$A:$A&amp;盘货信息!$B:$B&amp;盘货信息!$C:$C,盘货信息!$L:$L)="否",_xlfn.XLOOKUP($A410&amp;$B410&amp;$C410,盘货信息!$A:$A&amp;盘货信息!$B:$B&amp;盘货信息!$C:$C,盘货信息!$L:$L)=""),_xlfn.XLOOKUP($A410&amp;$B410&amp;$C410,盘货信息!$A:$A&amp;盘货信息!$B:$B&amp;盘货信息!$C:$C,盘货信息!$M:$M)="否"),"【预估到手价"&amp;_xlfn.XLOOKUP($A410&amp;$B410&amp;$C410,盘货信息!$A:$A&amp;盘货信息!$B:$B&amp;盘货信息!$C:$C,盘货信息!$D:$D)&amp;"元】",IF(AND(_xlfn.XLOOKUP($A410&amp;$B410&amp;$C410,盘货信息!$A:$A&amp;盘货信息!$B:$B&amp;盘货信息!$C:$C,盘货信息!$M:$M)="是",OR(_xlfn.XLOOKUP($A410&amp;$B410&amp;$C410,盘货信息!$A:$A&amp;盘货信息!$B:$B&amp;盘货信息!$C:$C,盘货信息!$L:$L)="否",_xlfn.XLOOKUP($A410&amp;$B410&amp;$C410,盘货信息!$A:$A&amp;盘货信息!$B:$B&amp;盘货信息!$C:$C,盘货信息!$L:$L)="")),"【预估到手价"&amp;_xlfn.XLOOKUP($A410&amp;$B410&amp;$C410,盘货信息!$A:$A&amp;盘货信息!$B:$B&amp;盘货信息!$C:$C,盘货信息!$D:$D)&amp;"元】"&amp;CHAR(10)&amp;"【焕新补贴预估价"&amp;ROUND(_xlfn.XLOOKUP($A410&amp;$B410&amp;$C410,盘货信息!$A:$A&amp;盘货信息!$B:$B&amp;盘货信息!$C:$C,盘货信息!$E:$E),0)&amp;"元】","【焕新补贴预估价"&amp;ROUND(_xlfn.XLOOKUP($A410&amp;$B410&amp;$C410,盘货信息!$A:$A&amp;盘货信息!$B:$B&amp;盘货信息!$C:$C,盘货信息!$E:$E),0)&amp;"元】")))</f>
        <v/>
      </c>
      <c r="F410" s="27" t="str" cm="1">
        <f t="array" ref="F410">IF($C410="","",_xlfn.XLOOKUP($A410&amp;$B410&amp;$C410,盘货信息!$A:$A&amp;盘货信息!$B:$B&amp;盘货信息!$C:$C,盘货信息!$D:$D)&amp;"元到手价")</f>
        <v/>
      </c>
      <c r="G410" s="27" t="str" cm="1">
        <f t="array" ref="G410">IF($C410="","",IF(_xlfn.XLOOKUP($A410&amp;$B410&amp;$C410,盘货信息!$A:$A&amp;盘货信息!$B:$B&amp;盘货信息!$C:$C,盘货信息!$G:$G)&lt;1,"",ROUND(_xlfn.XLOOKUP($A410&amp;$B410&amp;$C410,盘货信息!$A:$A&amp;盘货信息!$B:$B&amp;盘货信息!$C:$C,盘货信息!$G:$G),0)&amp;"元88VIP立减"))</f>
        <v/>
      </c>
      <c r="H410" s="27" t="str" cm="1">
        <f t="array" ref="H410">IF($C410="","",IF(_xlfn.XLOOKUP($A410&amp;$B410&amp;$C410,盘货信息!$A:$A&amp;盘货信息!$B:$B&amp;盘货信息!$C:$C,盘货信息!$I:$I)&lt;1,"",_xlfn.XLOOKUP($A410&amp;$B410&amp;$C410,盘货信息!$A:$A&amp;盘货信息!$B:$B&amp;盘货信息!$C:$C,盘货信息!$I:$I)&amp;"元惊喜立减"))</f>
        <v/>
      </c>
      <c r="I410" s="27" t="str" cm="1">
        <f t="array" ref="I410">IF($C410="","",IF(_xlfn.XLOOKUP($A410&amp;$B410&amp;$C410,盘货信息!$A:$A&amp;盘货信息!$B:$B&amp;盘货信息!$C:$C,盘货信息!$H:$H)&lt;1,"",ROUND(_xlfn.XLOOKUP($A410&amp;$B410&amp;$C410,盘货信息!$A:$A&amp;盘货信息!$B:$B&amp;盘货信息!$C:$C,盘货信息!$H:$H),0)&amp;"元消费券"))</f>
        <v/>
      </c>
      <c r="J410" s="27" t="str" cm="1">
        <f t="array" ref="J410">IF($C410="","",IF(_xlfn.XLOOKUP($A410&amp;$B410&amp;$C410,盘货信息!$A:$A&amp;盘货信息!$B:$B&amp;盘货信息!$C:$C,盘货信息!$J:$J)&lt;1,"",ROUND(_xlfn.XLOOKUP($A410&amp;$B410&amp;$C410,盘货信息!$A:$A&amp;盘货信息!$B:$B&amp;盘货信息!$C:$C,盘货信息!$J:$J),0)&amp;"元限时补贴"))</f>
        <v/>
      </c>
      <c r="K410" s="27" t="str" cm="1">
        <f t="array" ref="K410">IF($C410="","",IF(_xlfn.XLOOKUP($A410&amp;$B410&amp;$C410,盘货信息!$A:$A&amp;盘货信息!$B:$B&amp;盘货信息!$C:$C,盘货信息!$K:$K)&lt;1,"",ROUND(_xlfn.XLOOKUP($A410&amp;$B410&amp;$C410,盘货信息!$A:$A&amp;盘货信息!$B:$B&amp;盘货信息!$C:$C,盘货信息!$K:$K),0)&amp;"元预估焕新补贴"))</f>
        <v/>
      </c>
      <c r="L410" s="27" t="str" cm="1">
        <f t="array" ref="L410">IF($C410="","",IF(AND(_xlfn.XLOOKUP($A410&amp;$B410&amp;$C410,盘货信息!$A:$A&amp;盘货信息!$B:$B&amp;盘货信息!$C:$C,盘货信息!$L:$L)="是",_xlfn.XLOOKUP($A410&amp;$B410&amp;$C410,盘货信息!$A:$A&amp;盘货信息!$B:$B&amp;盘货信息!$C:$C,盘货信息!$M:$M)="是",_xlfn.XLOOKUP($A410&amp;$B410&amp;$C410,盘货信息!$A:$A&amp;盘货信息!$B:$B&amp;盘货信息!$C:$C,盘货信息!$K:$K)&gt;0),"【全民可用，不限地址】",IF(AND(OR(_xlfn.XLOOKUP($A410&amp;$B410&amp;$C410,盘货信息!$A:$A&amp;盘货信息!$B:$B&amp;盘货信息!$C:$C,盘货信息!$L:$L)="否",_xlfn.XLOOKUP($A410&amp;$B410&amp;$C410,盘货信息!$A:$A&amp;盘货信息!$B:$B&amp;盘货信息!$C:$C,盘货信息!$L:$L)=""),_xlfn.XLOOKUP($A410&amp;$B410&amp;$C410,盘货信息!$A:$A&amp;盘货信息!$B:$B&amp;盘货信息!$C:$C,盘货信息!$M:$M)="是",_xlfn.XLOOKUP($A410&amp;$B410&amp;$C410,盘货信息!$A:$A&amp;盘货信息!$B:$B&amp;盘货信息!$C:$C,盘货信息!$K:$K)&gt;0),"【详情页领取】","")))</f>
        <v/>
      </c>
      <c r="M410" s="27" t="str" cm="1">
        <f t="array" ref="M410">IF($C410="","",IF(_xlfn.XLOOKUP($A410&amp;$B410&amp;$C410,盘货信息!$A:$A&amp;盘货信息!$B:$B&amp;盘货信息!$C:$C,盘货信息!$F:$F)&lt;1,"",_xlfn.XLOOKUP($A410&amp;$B410&amp;$C410,盘货信息!$A:$A&amp;盘货信息!$B:$B&amp;盘货信息!$C:$C,盘货信息!$F:$F)&amp;"元明卷"))</f>
        <v/>
      </c>
      <c r="N410" s="27" t="str">
        <f t="shared" si="13"/>
        <v/>
      </c>
      <c r="O410" s="27" t="str">
        <f>IF(I410="","","【消费券链接】"&amp;固定信息!$B$6)</f>
        <v/>
      </c>
    </row>
    <row r="411" customHeight="1" spans="1:15">
      <c r="A411" s="23" t="str">
        <f>IF(盘货信息!A411="","",盘货信息!A411)</f>
        <v/>
      </c>
      <c r="B411" s="26" t="str">
        <f>IF(盘货信息!B411="","",盘货信息!B411)</f>
        <v/>
      </c>
      <c r="C411" s="23" t="str">
        <f>IF(盘货信息!C411="","",盘货信息!C411)</f>
        <v/>
      </c>
      <c r="D411" s="27" t="str">
        <f t="shared" si="12"/>
        <v/>
      </c>
      <c r="E411" s="27" t="str" cm="1">
        <f t="array" ref="E411">IF($C411="","",IF(AND(OR(_xlfn.XLOOKUP($A411&amp;$B411&amp;$C411,盘货信息!$A:$A&amp;盘货信息!$B:$B&amp;盘货信息!$C:$C,盘货信息!$L:$L)="否",_xlfn.XLOOKUP($A411&amp;$B411&amp;$C411,盘货信息!$A:$A&amp;盘货信息!$B:$B&amp;盘货信息!$C:$C,盘货信息!$L:$L)=""),_xlfn.XLOOKUP($A411&amp;$B411&amp;$C411,盘货信息!$A:$A&amp;盘货信息!$B:$B&amp;盘货信息!$C:$C,盘货信息!$M:$M)="否"),"【预估到手价"&amp;_xlfn.XLOOKUP($A411&amp;$B411&amp;$C411,盘货信息!$A:$A&amp;盘货信息!$B:$B&amp;盘货信息!$C:$C,盘货信息!$D:$D)&amp;"元】",IF(AND(_xlfn.XLOOKUP($A411&amp;$B411&amp;$C411,盘货信息!$A:$A&amp;盘货信息!$B:$B&amp;盘货信息!$C:$C,盘货信息!$M:$M)="是",OR(_xlfn.XLOOKUP($A411&amp;$B411&amp;$C411,盘货信息!$A:$A&amp;盘货信息!$B:$B&amp;盘货信息!$C:$C,盘货信息!$L:$L)="否",_xlfn.XLOOKUP($A411&amp;$B411&amp;$C411,盘货信息!$A:$A&amp;盘货信息!$B:$B&amp;盘货信息!$C:$C,盘货信息!$L:$L)="")),"【预估到手价"&amp;_xlfn.XLOOKUP($A411&amp;$B411&amp;$C411,盘货信息!$A:$A&amp;盘货信息!$B:$B&amp;盘货信息!$C:$C,盘货信息!$D:$D)&amp;"元】"&amp;CHAR(10)&amp;"【焕新补贴预估价"&amp;ROUND(_xlfn.XLOOKUP($A411&amp;$B411&amp;$C411,盘货信息!$A:$A&amp;盘货信息!$B:$B&amp;盘货信息!$C:$C,盘货信息!$E:$E),0)&amp;"元】","【焕新补贴预估价"&amp;ROUND(_xlfn.XLOOKUP($A411&amp;$B411&amp;$C411,盘货信息!$A:$A&amp;盘货信息!$B:$B&amp;盘货信息!$C:$C,盘货信息!$E:$E),0)&amp;"元】")))</f>
        <v/>
      </c>
      <c r="F411" s="27" t="str" cm="1">
        <f t="array" ref="F411">IF($C411="","",_xlfn.XLOOKUP($A411&amp;$B411&amp;$C411,盘货信息!$A:$A&amp;盘货信息!$B:$B&amp;盘货信息!$C:$C,盘货信息!$D:$D)&amp;"元到手价")</f>
        <v/>
      </c>
      <c r="G411" s="27" t="str" cm="1">
        <f t="array" ref="G411">IF($C411="","",IF(_xlfn.XLOOKUP($A411&amp;$B411&amp;$C411,盘货信息!$A:$A&amp;盘货信息!$B:$B&amp;盘货信息!$C:$C,盘货信息!$G:$G)&lt;1,"",ROUND(_xlfn.XLOOKUP($A411&amp;$B411&amp;$C411,盘货信息!$A:$A&amp;盘货信息!$B:$B&amp;盘货信息!$C:$C,盘货信息!$G:$G),0)&amp;"元88VIP立减"))</f>
        <v/>
      </c>
      <c r="H411" s="27" t="str" cm="1">
        <f t="array" ref="H411">IF($C411="","",IF(_xlfn.XLOOKUP($A411&amp;$B411&amp;$C411,盘货信息!$A:$A&amp;盘货信息!$B:$B&amp;盘货信息!$C:$C,盘货信息!$I:$I)&lt;1,"",_xlfn.XLOOKUP($A411&amp;$B411&amp;$C411,盘货信息!$A:$A&amp;盘货信息!$B:$B&amp;盘货信息!$C:$C,盘货信息!$I:$I)&amp;"元惊喜立减"))</f>
        <v/>
      </c>
      <c r="I411" s="27" t="str" cm="1">
        <f t="array" ref="I411">IF($C411="","",IF(_xlfn.XLOOKUP($A411&amp;$B411&amp;$C411,盘货信息!$A:$A&amp;盘货信息!$B:$B&amp;盘货信息!$C:$C,盘货信息!$H:$H)&lt;1,"",ROUND(_xlfn.XLOOKUP($A411&amp;$B411&amp;$C411,盘货信息!$A:$A&amp;盘货信息!$B:$B&amp;盘货信息!$C:$C,盘货信息!$H:$H),0)&amp;"元消费券"))</f>
        <v/>
      </c>
      <c r="J411" s="27" t="str" cm="1">
        <f t="array" ref="J411">IF($C411="","",IF(_xlfn.XLOOKUP($A411&amp;$B411&amp;$C411,盘货信息!$A:$A&amp;盘货信息!$B:$B&amp;盘货信息!$C:$C,盘货信息!$J:$J)&lt;1,"",ROUND(_xlfn.XLOOKUP($A411&amp;$B411&amp;$C411,盘货信息!$A:$A&amp;盘货信息!$B:$B&amp;盘货信息!$C:$C,盘货信息!$J:$J),0)&amp;"元限时补贴"))</f>
        <v/>
      </c>
      <c r="K411" s="27" t="str" cm="1">
        <f t="array" ref="K411">IF($C411="","",IF(_xlfn.XLOOKUP($A411&amp;$B411&amp;$C411,盘货信息!$A:$A&amp;盘货信息!$B:$B&amp;盘货信息!$C:$C,盘货信息!$K:$K)&lt;1,"",ROUND(_xlfn.XLOOKUP($A411&amp;$B411&amp;$C411,盘货信息!$A:$A&amp;盘货信息!$B:$B&amp;盘货信息!$C:$C,盘货信息!$K:$K),0)&amp;"元预估焕新补贴"))</f>
        <v/>
      </c>
      <c r="L411" s="27" t="str" cm="1">
        <f t="array" ref="L411">IF($C411="","",IF(AND(_xlfn.XLOOKUP($A411&amp;$B411&amp;$C411,盘货信息!$A:$A&amp;盘货信息!$B:$B&amp;盘货信息!$C:$C,盘货信息!$L:$L)="是",_xlfn.XLOOKUP($A411&amp;$B411&amp;$C411,盘货信息!$A:$A&amp;盘货信息!$B:$B&amp;盘货信息!$C:$C,盘货信息!$M:$M)="是",_xlfn.XLOOKUP($A411&amp;$B411&amp;$C411,盘货信息!$A:$A&amp;盘货信息!$B:$B&amp;盘货信息!$C:$C,盘货信息!$K:$K)&gt;0),"【全民可用，不限地址】",IF(AND(OR(_xlfn.XLOOKUP($A411&amp;$B411&amp;$C411,盘货信息!$A:$A&amp;盘货信息!$B:$B&amp;盘货信息!$C:$C,盘货信息!$L:$L)="否",_xlfn.XLOOKUP($A411&amp;$B411&amp;$C411,盘货信息!$A:$A&amp;盘货信息!$B:$B&amp;盘货信息!$C:$C,盘货信息!$L:$L)=""),_xlfn.XLOOKUP($A411&amp;$B411&amp;$C411,盘货信息!$A:$A&amp;盘货信息!$B:$B&amp;盘货信息!$C:$C,盘货信息!$M:$M)="是",_xlfn.XLOOKUP($A411&amp;$B411&amp;$C411,盘货信息!$A:$A&amp;盘货信息!$B:$B&amp;盘货信息!$C:$C,盘货信息!$K:$K)&gt;0),"【详情页领取】","")))</f>
        <v/>
      </c>
      <c r="M411" s="27" t="str" cm="1">
        <f t="array" ref="M411">IF($C411="","",IF(_xlfn.XLOOKUP($A411&amp;$B411&amp;$C411,盘货信息!$A:$A&amp;盘货信息!$B:$B&amp;盘货信息!$C:$C,盘货信息!$F:$F)&lt;1,"",_xlfn.XLOOKUP($A411&amp;$B411&amp;$C411,盘货信息!$A:$A&amp;盘货信息!$B:$B&amp;盘货信息!$C:$C,盘货信息!$F:$F)&amp;"元明卷"))</f>
        <v/>
      </c>
      <c r="N411" s="27" t="str">
        <f t="shared" si="13"/>
        <v/>
      </c>
      <c r="O411" s="27" t="str">
        <f>IF(I411="","","【消费券链接】"&amp;固定信息!$B$6)</f>
        <v/>
      </c>
    </row>
    <row r="412" customHeight="1" spans="1:15">
      <c r="A412" s="23" t="str">
        <f>IF(盘货信息!A412="","",盘货信息!A412)</f>
        <v/>
      </c>
      <c r="B412" s="26" t="str">
        <f>IF(盘货信息!B412="","",盘货信息!B412)</f>
        <v/>
      </c>
      <c r="C412" s="23" t="str">
        <f>IF(盘货信息!C412="","",盘货信息!C412)</f>
        <v/>
      </c>
      <c r="D412" s="27" t="str">
        <f t="shared" si="12"/>
        <v/>
      </c>
      <c r="E412" s="27" t="str" cm="1">
        <f t="array" ref="E412">IF($C412="","",IF(AND(OR(_xlfn.XLOOKUP($A412&amp;$B412&amp;$C412,盘货信息!$A:$A&amp;盘货信息!$B:$B&amp;盘货信息!$C:$C,盘货信息!$L:$L)="否",_xlfn.XLOOKUP($A412&amp;$B412&amp;$C412,盘货信息!$A:$A&amp;盘货信息!$B:$B&amp;盘货信息!$C:$C,盘货信息!$L:$L)=""),_xlfn.XLOOKUP($A412&amp;$B412&amp;$C412,盘货信息!$A:$A&amp;盘货信息!$B:$B&amp;盘货信息!$C:$C,盘货信息!$M:$M)="否"),"【预估到手价"&amp;_xlfn.XLOOKUP($A412&amp;$B412&amp;$C412,盘货信息!$A:$A&amp;盘货信息!$B:$B&amp;盘货信息!$C:$C,盘货信息!$D:$D)&amp;"元】",IF(AND(_xlfn.XLOOKUP($A412&amp;$B412&amp;$C412,盘货信息!$A:$A&amp;盘货信息!$B:$B&amp;盘货信息!$C:$C,盘货信息!$M:$M)="是",OR(_xlfn.XLOOKUP($A412&amp;$B412&amp;$C412,盘货信息!$A:$A&amp;盘货信息!$B:$B&amp;盘货信息!$C:$C,盘货信息!$L:$L)="否",_xlfn.XLOOKUP($A412&amp;$B412&amp;$C412,盘货信息!$A:$A&amp;盘货信息!$B:$B&amp;盘货信息!$C:$C,盘货信息!$L:$L)="")),"【预估到手价"&amp;_xlfn.XLOOKUP($A412&amp;$B412&amp;$C412,盘货信息!$A:$A&amp;盘货信息!$B:$B&amp;盘货信息!$C:$C,盘货信息!$D:$D)&amp;"元】"&amp;CHAR(10)&amp;"【焕新补贴预估价"&amp;ROUND(_xlfn.XLOOKUP($A412&amp;$B412&amp;$C412,盘货信息!$A:$A&amp;盘货信息!$B:$B&amp;盘货信息!$C:$C,盘货信息!$E:$E),0)&amp;"元】","【焕新补贴预估价"&amp;ROUND(_xlfn.XLOOKUP($A412&amp;$B412&amp;$C412,盘货信息!$A:$A&amp;盘货信息!$B:$B&amp;盘货信息!$C:$C,盘货信息!$E:$E),0)&amp;"元】")))</f>
        <v/>
      </c>
      <c r="F412" s="27" t="str" cm="1">
        <f t="array" ref="F412">IF($C412="","",_xlfn.XLOOKUP($A412&amp;$B412&amp;$C412,盘货信息!$A:$A&amp;盘货信息!$B:$B&amp;盘货信息!$C:$C,盘货信息!$D:$D)&amp;"元到手价")</f>
        <v/>
      </c>
      <c r="G412" s="27" t="str" cm="1">
        <f t="array" ref="G412">IF($C412="","",IF(_xlfn.XLOOKUP($A412&amp;$B412&amp;$C412,盘货信息!$A:$A&amp;盘货信息!$B:$B&amp;盘货信息!$C:$C,盘货信息!$G:$G)&lt;1,"",ROUND(_xlfn.XLOOKUP($A412&amp;$B412&amp;$C412,盘货信息!$A:$A&amp;盘货信息!$B:$B&amp;盘货信息!$C:$C,盘货信息!$G:$G),0)&amp;"元88VIP立减"))</f>
        <v/>
      </c>
      <c r="H412" s="27" t="str" cm="1">
        <f t="array" ref="H412">IF($C412="","",IF(_xlfn.XLOOKUP($A412&amp;$B412&amp;$C412,盘货信息!$A:$A&amp;盘货信息!$B:$B&amp;盘货信息!$C:$C,盘货信息!$I:$I)&lt;1,"",_xlfn.XLOOKUP($A412&amp;$B412&amp;$C412,盘货信息!$A:$A&amp;盘货信息!$B:$B&amp;盘货信息!$C:$C,盘货信息!$I:$I)&amp;"元惊喜立减"))</f>
        <v/>
      </c>
      <c r="I412" s="27" t="str" cm="1">
        <f t="array" ref="I412">IF($C412="","",IF(_xlfn.XLOOKUP($A412&amp;$B412&amp;$C412,盘货信息!$A:$A&amp;盘货信息!$B:$B&amp;盘货信息!$C:$C,盘货信息!$H:$H)&lt;1,"",ROUND(_xlfn.XLOOKUP($A412&amp;$B412&amp;$C412,盘货信息!$A:$A&amp;盘货信息!$B:$B&amp;盘货信息!$C:$C,盘货信息!$H:$H),0)&amp;"元消费券"))</f>
        <v/>
      </c>
      <c r="J412" s="27" t="str" cm="1">
        <f t="array" ref="J412">IF($C412="","",IF(_xlfn.XLOOKUP($A412&amp;$B412&amp;$C412,盘货信息!$A:$A&amp;盘货信息!$B:$B&amp;盘货信息!$C:$C,盘货信息!$J:$J)&lt;1,"",ROUND(_xlfn.XLOOKUP($A412&amp;$B412&amp;$C412,盘货信息!$A:$A&amp;盘货信息!$B:$B&amp;盘货信息!$C:$C,盘货信息!$J:$J),0)&amp;"元限时补贴"))</f>
        <v/>
      </c>
      <c r="K412" s="27" t="str" cm="1">
        <f t="array" ref="K412">IF($C412="","",IF(_xlfn.XLOOKUP($A412&amp;$B412&amp;$C412,盘货信息!$A:$A&amp;盘货信息!$B:$B&amp;盘货信息!$C:$C,盘货信息!$K:$K)&lt;1,"",ROUND(_xlfn.XLOOKUP($A412&amp;$B412&amp;$C412,盘货信息!$A:$A&amp;盘货信息!$B:$B&amp;盘货信息!$C:$C,盘货信息!$K:$K),0)&amp;"元预估焕新补贴"))</f>
        <v/>
      </c>
      <c r="L412" s="27" t="str" cm="1">
        <f t="array" ref="L412">IF($C412="","",IF(AND(_xlfn.XLOOKUP($A412&amp;$B412&amp;$C412,盘货信息!$A:$A&amp;盘货信息!$B:$B&amp;盘货信息!$C:$C,盘货信息!$L:$L)="是",_xlfn.XLOOKUP($A412&amp;$B412&amp;$C412,盘货信息!$A:$A&amp;盘货信息!$B:$B&amp;盘货信息!$C:$C,盘货信息!$M:$M)="是",_xlfn.XLOOKUP($A412&amp;$B412&amp;$C412,盘货信息!$A:$A&amp;盘货信息!$B:$B&amp;盘货信息!$C:$C,盘货信息!$K:$K)&gt;0),"【全民可用，不限地址】",IF(AND(OR(_xlfn.XLOOKUP($A412&amp;$B412&amp;$C412,盘货信息!$A:$A&amp;盘货信息!$B:$B&amp;盘货信息!$C:$C,盘货信息!$L:$L)="否",_xlfn.XLOOKUP($A412&amp;$B412&amp;$C412,盘货信息!$A:$A&amp;盘货信息!$B:$B&amp;盘货信息!$C:$C,盘货信息!$L:$L)=""),_xlfn.XLOOKUP($A412&amp;$B412&amp;$C412,盘货信息!$A:$A&amp;盘货信息!$B:$B&amp;盘货信息!$C:$C,盘货信息!$M:$M)="是",_xlfn.XLOOKUP($A412&amp;$B412&amp;$C412,盘货信息!$A:$A&amp;盘货信息!$B:$B&amp;盘货信息!$C:$C,盘货信息!$K:$K)&gt;0),"【详情页领取】","")))</f>
        <v/>
      </c>
      <c r="M412" s="27" t="str" cm="1">
        <f t="array" ref="M412">IF($C412="","",IF(_xlfn.XLOOKUP($A412&amp;$B412&amp;$C412,盘货信息!$A:$A&amp;盘货信息!$B:$B&amp;盘货信息!$C:$C,盘货信息!$F:$F)&lt;1,"",_xlfn.XLOOKUP($A412&amp;$B412&amp;$C412,盘货信息!$A:$A&amp;盘货信息!$B:$B&amp;盘货信息!$C:$C,盘货信息!$F:$F)&amp;"元明卷"))</f>
        <v/>
      </c>
      <c r="N412" s="27" t="str">
        <f t="shared" si="13"/>
        <v/>
      </c>
      <c r="O412" s="27" t="str">
        <f>IF(I412="","","【消费券链接】"&amp;固定信息!$B$6)</f>
        <v/>
      </c>
    </row>
    <row r="413" customHeight="1" spans="1:15">
      <c r="A413" s="23" t="str">
        <f>IF(盘货信息!A413="","",盘货信息!A413)</f>
        <v/>
      </c>
      <c r="B413" s="26" t="str">
        <f>IF(盘货信息!B413="","",盘货信息!B413)</f>
        <v/>
      </c>
      <c r="C413" s="23" t="str">
        <f>IF(盘货信息!C413="","",盘货信息!C413)</f>
        <v/>
      </c>
      <c r="D413" s="27" t="str">
        <f t="shared" si="12"/>
        <v/>
      </c>
      <c r="E413" s="27" t="str" cm="1">
        <f t="array" ref="E413">IF($C413="","",IF(AND(OR(_xlfn.XLOOKUP($A413&amp;$B413&amp;$C413,盘货信息!$A:$A&amp;盘货信息!$B:$B&amp;盘货信息!$C:$C,盘货信息!$L:$L)="否",_xlfn.XLOOKUP($A413&amp;$B413&amp;$C413,盘货信息!$A:$A&amp;盘货信息!$B:$B&amp;盘货信息!$C:$C,盘货信息!$L:$L)=""),_xlfn.XLOOKUP($A413&amp;$B413&amp;$C413,盘货信息!$A:$A&amp;盘货信息!$B:$B&amp;盘货信息!$C:$C,盘货信息!$M:$M)="否"),"【预估到手价"&amp;_xlfn.XLOOKUP($A413&amp;$B413&amp;$C413,盘货信息!$A:$A&amp;盘货信息!$B:$B&amp;盘货信息!$C:$C,盘货信息!$D:$D)&amp;"元】",IF(AND(_xlfn.XLOOKUP($A413&amp;$B413&amp;$C413,盘货信息!$A:$A&amp;盘货信息!$B:$B&amp;盘货信息!$C:$C,盘货信息!$M:$M)="是",OR(_xlfn.XLOOKUP($A413&amp;$B413&amp;$C413,盘货信息!$A:$A&amp;盘货信息!$B:$B&amp;盘货信息!$C:$C,盘货信息!$L:$L)="否",_xlfn.XLOOKUP($A413&amp;$B413&amp;$C413,盘货信息!$A:$A&amp;盘货信息!$B:$B&amp;盘货信息!$C:$C,盘货信息!$L:$L)="")),"【预估到手价"&amp;_xlfn.XLOOKUP($A413&amp;$B413&amp;$C413,盘货信息!$A:$A&amp;盘货信息!$B:$B&amp;盘货信息!$C:$C,盘货信息!$D:$D)&amp;"元】"&amp;CHAR(10)&amp;"【焕新补贴预估价"&amp;ROUND(_xlfn.XLOOKUP($A413&amp;$B413&amp;$C413,盘货信息!$A:$A&amp;盘货信息!$B:$B&amp;盘货信息!$C:$C,盘货信息!$E:$E),0)&amp;"元】","【焕新补贴预估价"&amp;ROUND(_xlfn.XLOOKUP($A413&amp;$B413&amp;$C413,盘货信息!$A:$A&amp;盘货信息!$B:$B&amp;盘货信息!$C:$C,盘货信息!$E:$E),0)&amp;"元】")))</f>
        <v/>
      </c>
      <c r="F413" s="27" t="str" cm="1">
        <f t="array" ref="F413">IF($C413="","",_xlfn.XLOOKUP($A413&amp;$B413&amp;$C413,盘货信息!$A:$A&amp;盘货信息!$B:$B&amp;盘货信息!$C:$C,盘货信息!$D:$D)&amp;"元到手价")</f>
        <v/>
      </c>
      <c r="G413" s="27" t="str" cm="1">
        <f t="array" ref="G413">IF($C413="","",IF(_xlfn.XLOOKUP($A413&amp;$B413&amp;$C413,盘货信息!$A:$A&amp;盘货信息!$B:$B&amp;盘货信息!$C:$C,盘货信息!$G:$G)&lt;1,"",ROUND(_xlfn.XLOOKUP($A413&amp;$B413&amp;$C413,盘货信息!$A:$A&amp;盘货信息!$B:$B&amp;盘货信息!$C:$C,盘货信息!$G:$G),0)&amp;"元88VIP立减"))</f>
        <v/>
      </c>
      <c r="H413" s="27" t="str" cm="1">
        <f t="array" ref="H413">IF($C413="","",IF(_xlfn.XLOOKUP($A413&amp;$B413&amp;$C413,盘货信息!$A:$A&amp;盘货信息!$B:$B&amp;盘货信息!$C:$C,盘货信息!$I:$I)&lt;1,"",_xlfn.XLOOKUP($A413&amp;$B413&amp;$C413,盘货信息!$A:$A&amp;盘货信息!$B:$B&amp;盘货信息!$C:$C,盘货信息!$I:$I)&amp;"元惊喜立减"))</f>
        <v/>
      </c>
      <c r="I413" s="27" t="str" cm="1">
        <f t="array" ref="I413">IF($C413="","",IF(_xlfn.XLOOKUP($A413&amp;$B413&amp;$C413,盘货信息!$A:$A&amp;盘货信息!$B:$B&amp;盘货信息!$C:$C,盘货信息!$H:$H)&lt;1,"",ROUND(_xlfn.XLOOKUP($A413&amp;$B413&amp;$C413,盘货信息!$A:$A&amp;盘货信息!$B:$B&amp;盘货信息!$C:$C,盘货信息!$H:$H),0)&amp;"元消费券"))</f>
        <v/>
      </c>
      <c r="J413" s="27" t="str" cm="1">
        <f t="array" ref="J413">IF($C413="","",IF(_xlfn.XLOOKUP($A413&amp;$B413&amp;$C413,盘货信息!$A:$A&amp;盘货信息!$B:$B&amp;盘货信息!$C:$C,盘货信息!$J:$J)&lt;1,"",ROUND(_xlfn.XLOOKUP($A413&amp;$B413&amp;$C413,盘货信息!$A:$A&amp;盘货信息!$B:$B&amp;盘货信息!$C:$C,盘货信息!$J:$J),0)&amp;"元限时补贴"))</f>
        <v/>
      </c>
      <c r="K413" s="27" t="str" cm="1">
        <f t="array" ref="K413">IF($C413="","",IF(_xlfn.XLOOKUP($A413&amp;$B413&amp;$C413,盘货信息!$A:$A&amp;盘货信息!$B:$B&amp;盘货信息!$C:$C,盘货信息!$K:$K)&lt;1,"",ROUND(_xlfn.XLOOKUP($A413&amp;$B413&amp;$C413,盘货信息!$A:$A&amp;盘货信息!$B:$B&amp;盘货信息!$C:$C,盘货信息!$K:$K),0)&amp;"元预估焕新补贴"))</f>
        <v/>
      </c>
      <c r="L413" s="27" t="str" cm="1">
        <f t="array" ref="L413">IF($C413="","",IF(AND(_xlfn.XLOOKUP($A413&amp;$B413&amp;$C413,盘货信息!$A:$A&amp;盘货信息!$B:$B&amp;盘货信息!$C:$C,盘货信息!$L:$L)="是",_xlfn.XLOOKUP($A413&amp;$B413&amp;$C413,盘货信息!$A:$A&amp;盘货信息!$B:$B&amp;盘货信息!$C:$C,盘货信息!$M:$M)="是",_xlfn.XLOOKUP($A413&amp;$B413&amp;$C413,盘货信息!$A:$A&amp;盘货信息!$B:$B&amp;盘货信息!$C:$C,盘货信息!$K:$K)&gt;0),"【全民可用，不限地址】",IF(AND(OR(_xlfn.XLOOKUP($A413&amp;$B413&amp;$C413,盘货信息!$A:$A&amp;盘货信息!$B:$B&amp;盘货信息!$C:$C,盘货信息!$L:$L)="否",_xlfn.XLOOKUP($A413&amp;$B413&amp;$C413,盘货信息!$A:$A&amp;盘货信息!$B:$B&amp;盘货信息!$C:$C,盘货信息!$L:$L)=""),_xlfn.XLOOKUP($A413&amp;$B413&amp;$C413,盘货信息!$A:$A&amp;盘货信息!$B:$B&amp;盘货信息!$C:$C,盘货信息!$M:$M)="是",_xlfn.XLOOKUP($A413&amp;$B413&amp;$C413,盘货信息!$A:$A&amp;盘货信息!$B:$B&amp;盘货信息!$C:$C,盘货信息!$K:$K)&gt;0),"【详情页领取】","")))</f>
        <v/>
      </c>
      <c r="M413" s="27" t="str" cm="1">
        <f t="array" ref="M413">IF($C413="","",IF(_xlfn.XLOOKUP($A413&amp;$B413&amp;$C413,盘货信息!$A:$A&amp;盘货信息!$B:$B&amp;盘货信息!$C:$C,盘货信息!$F:$F)&lt;1,"",_xlfn.XLOOKUP($A413&amp;$B413&amp;$C413,盘货信息!$A:$A&amp;盘货信息!$B:$B&amp;盘货信息!$C:$C,盘货信息!$F:$F)&amp;"元明卷"))</f>
        <v/>
      </c>
      <c r="N413" s="27" t="str">
        <f t="shared" si="13"/>
        <v/>
      </c>
      <c r="O413" s="27" t="str">
        <f>IF(I413="","","【消费券链接】"&amp;固定信息!$B$6)</f>
        <v/>
      </c>
    </row>
    <row r="414" customHeight="1" spans="1:15">
      <c r="A414" s="23" t="str">
        <f>IF(盘货信息!A414="","",盘货信息!A414)</f>
        <v/>
      </c>
      <c r="B414" s="26" t="str">
        <f>IF(盘货信息!B414="","",盘货信息!B414)</f>
        <v/>
      </c>
      <c r="C414" s="23" t="str">
        <f>IF(盘货信息!C414="","",盘货信息!C414)</f>
        <v/>
      </c>
      <c r="D414" s="27" t="str">
        <f t="shared" si="12"/>
        <v/>
      </c>
      <c r="E414" s="27" t="str" cm="1">
        <f t="array" ref="E414">IF($C414="","",IF(AND(OR(_xlfn.XLOOKUP($A414&amp;$B414&amp;$C414,盘货信息!$A:$A&amp;盘货信息!$B:$B&amp;盘货信息!$C:$C,盘货信息!$L:$L)="否",_xlfn.XLOOKUP($A414&amp;$B414&amp;$C414,盘货信息!$A:$A&amp;盘货信息!$B:$B&amp;盘货信息!$C:$C,盘货信息!$L:$L)=""),_xlfn.XLOOKUP($A414&amp;$B414&amp;$C414,盘货信息!$A:$A&amp;盘货信息!$B:$B&amp;盘货信息!$C:$C,盘货信息!$M:$M)="否"),"【预估到手价"&amp;_xlfn.XLOOKUP($A414&amp;$B414&amp;$C414,盘货信息!$A:$A&amp;盘货信息!$B:$B&amp;盘货信息!$C:$C,盘货信息!$D:$D)&amp;"元】",IF(AND(_xlfn.XLOOKUP($A414&amp;$B414&amp;$C414,盘货信息!$A:$A&amp;盘货信息!$B:$B&amp;盘货信息!$C:$C,盘货信息!$M:$M)="是",OR(_xlfn.XLOOKUP($A414&amp;$B414&amp;$C414,盘货信息!$A:$A&amp;盘货信息!$B:$B&amp;盘货信息!$C:$C,盘货信息!$L:$L)="否",_xlfn.XLOOKUP($A414&amp;$B414&amp;$C414,盘货信息!$A:$A&amp;盘货信息!$B:$B&amp;盘货信息!$C:$C,盘货信息!$L:$L)="")),"【预估到手价"&amp;_xlfn.XLOOKUP($A414&amp;$B414&amp;$C414,盘货信息!$A:$A&amp;盘货信息!$B:$B&amp;盘货信息!$C:$C,盘货信息!$D:$D)&amp;"元】"&amp;CHAR(10)&amp;"【焕新补贴预估价"&amp;ROUND(_xlfn.XLOOKUP($A414&amp;$B414&amp;$C414,盘货信息!$A:$A&amp;盘货信息!$B:$B&amp;盘货信息!$C:$C,盘货信息!$E:$E),0)&amp;"元】","【焕新补贴预估价"&amp;ROUND(_xlfn.XLOOKUP($A414&amp;$B414&amp;$C414,盘货信息!$A:$A&amp;盘货信息!$B:$B&amp;盘货信息!$C:$C,盘货信息!$E:$E),0)&amp;"元】")))</f>
        <v/>
      </c>
      <c r="F414" s="27" t="str" cm="1">
        <f t="array" ref="F414">IF($C414="","",_xlfn.XLOOKUP($A414&amp;$B414&amp;$C414,盘货信息!$A:$A&amp;盘货信息!$B:$B&amp;盘货信息!$C:$C,盘货信息!$D:$D)&amp;"元到手价")</f>
        <v/>
      </c>
      <c r="G414" s="27" t="str" cm="1">
        <f t="array" ref="G414">IF($C414="","",IF(_xlfn.XLOOKUP($A414&amp;$B414&amp;$C414,盘货信息!$A:$A&amp;盘货信息!$B:$B&amp;盘货信息!$C:$C,盘货信息!$G:$G)&lt;1,"",ROUND(_xlfn.XLOOKUP($A414&amp;$B414&amp;$C414,盘货信息!$A:$A&amp;盘货信息!$B:$B&amp;盘货信息!$C:$C,盘货信息!$G:$G),0)&amp;"元88VIP立减"))</f>
        <v/>
      </c>
      <c r="H414" s="27" t="str" cm="1">
        <f t="array" ref="H414">IF($C414="","",IF(_xlfn.XLOOKUP($A414&amp;$B414&amp;$C414,盘货信息!$A:$A&amp;盘货信息!$B:$B&amp;盘货信息!$C:$C,盘货信息!$I:$I)&lt;1,"",_xlfn.XLOOKUP($A414&amp;$B414&amp;$C414,盘货信息!$A:$A&amp;盘货信息!$B:$B&amp;盘货信息!$C:$C,盘货信息!$I:$I)&amp;"元惊喜立减"))</f>
        <v/>
      </c>
      <c r="I414" s="27" t="str" cm="1">
        <f t="array" ref="I414">IF($C414="","",IF(_xlfn.XLOOKUP($A414&amp;$B414&amp;$C414,盘货信息!$A:$A&amp;盘货信息!$B:$B&amp;盘货信息!$C:$C,盘货信息!$H:$H)&lt;1,"",ROUND(_xlfn.XLOOKUP($A414&amp;$B414&amp;$C414,盘货信息!$A:$A&amp;盘货信息!$B:$B&amp;盘货信息!$C:$C,盘货信息!$H:$H),0)&amp;"元消费券"))</f>
        <v/>
      </c>
      <c r="J414" s="27" t="str" cm="1">
        <f t="array" ref="J414">IF($C414="","",IF(_xlfn.XLOOKUP($A414&amp;$B414&amp;$C414,盘货信息!$A:$A&amp;盘货信息!$B:$B&amp;盘货信息!$C:$C,盘货信息!$J:$J)&lt;1,"",ROUND(_xlfn.XLOOKUP($A414&amp;$B414&amp;$C414,盘货信息!$A:$A&amp;盘货信息!$B:$B&amp;盘货信息!$C:$C,盘货信息!$J:$J),0)&amp;"元限时补贴"))</f>
        <v/>
      </c>
      <c r="K414" s="27" t="str" cm="1">
        <f t="array" ref="K414">IF($C414="","",IF(_xlfn.XLOOKUP($A414&amp;$B414&amp;$C414,盘货信息!$A:$A&amp;盘货信息!$B:$B&amp;盘货信息!$C:$C,盘货信息!$K:$K)&lt;1,"",ROUND(_xlfn.XLOOKUP($A414&amp;$B414&amp;$C414,盘货信息!$A:$A&amp;盘货信息!$B:$B&amp;盘货信息!$C:$C,盘货信息!$K:$K),0)&amp;"元预估焕新补贴"))</f>
        <v/>
      </c>
      <c r="L414" s="27" t="str" cm="1">
        <f t="array" ref="L414">IF($C414="","",IF(AND(_xlfn.XLOOKUP($A414&amp;$B414&amp;$C414,盘货信息!$A:$A&amp;盘货信息!$B:$B&amp;盘货信息!$C:$C,盘货信息!$L:$L)="是",_xlfn.XLOOKUP($A414&amp;$B414&amp;$C414,盘货信息!$A:$A&amp;盘货信息!$B:$B&amp;盘货信息!$C:$C,盘货信息!$M:$M)="是",_xlfn.XLOOKUP($A414&amp;$B414&amp;$C414,盘货信息!$A:$A&amp;盘货信息!$B:$B&amp;盘货信息!$C:$C,盘货信息!$K:$K)&gt;0),"【全民可用，不限地址】",IF(AND(OR(_xlfn.XLOOKUP($A414&amp;$B414&amp;$C414,盘货信息!$A:$A&amp;盘货信息!$B:$B&amp;盘货信息!$C:$C,盘货信息!$L:$L)="否",_xlfn.XLOOKUP($A414&amp;$B414&amp;$C414,盘货信息!$A:$A&amp;盘货信息!$B:$B&amp;盘货信息!$C:$C,盘货信息!$L:$L)=""),_xlfn.XLOOKUP($A414&amp;$B414&amp;$C414,盘货信息!$A:$A&amp;盘货信息!$B:$B&amp;盘货信息!$C:$C,盘货信息!$M:$M)="是",_xlfn.XLOOKUP($A414&amp;$B414&amp;$C414,盘货信息!$A:$A&amp;盘货信息!$B:$B&amp;盘货信息!$C:$C,盘货信息!$K:$K)&gt;0),"【详情页领取】","")))</f>
        <v/>
      </c>
      <c r="M414" s="27" t="str" cm="1">
        <f t="array" ref="M414">IF($C414="","",IF(_xlfn.XLOOKUP($A414&amp;$B414&amp;$C414,盘货信息!$A:$A&amp;盘货信息!$B:$B&amp;盘货信息!$C:$C,盘货信息!$F:$F)&lt;1,"",_xlfn.XLOOKUP($A414&amp;$B414&amp;$C414,盘货信息!$A:$A&amp;盘货信息!$B:$B&amp;盘货信息!$C:$C,盘货信息!$F:$F)&amp;"元明卷"))</f>
        <v/>
      </c>
      <c r="N414" s="27" t="str">
        <f t="shared" si="13"/>
        <v/>
      </c>
      <c r="O414" s="27" t="str">
        <f>IF(I414="","","【消费券链接】"&amp;固定信息!$B$6)</f>
        <v/>
      </c>
    </row>
    <row r="415" customHeight="1" spans="1:15">
      <c r="A415" s="23" t="str">
        <f>IF(盘货信息!A415="","",盘货信息!A415)</f>
        <v/>
      </c>
      <c r="B415" s="26" t="str">
        <f>IF(盘货信息!B415="","",盘货信息!B415)</f>
        <v/>
      </c>
      <c r="C415" s="23" t="str">
        <f>IF(盘货信息!C415="","",盘货信息!C415)</f>
        <v/>
      </c>
      <c r="D415" s="27" t="str">
        <f t="shared" si="12"/>
        <v/>
      </c>
      <c r="E415" s="27" t="str" cm="1">
        <f t="array" ref="E415">IF($C415="","",IF(AND(OR(_xlfn.XLOOKUP($A415&amp;$B415&amp;$C415,盘货信息!$A:$A&amp;盘货信息!$B:$B&amp;盘货信息!$C:$C,盘货信息!$L:$L)="否",_xlfn.XLOOKUP($A415&amp;$B415&amp;$C415,盘货信息!$A:$A&amp;盘货信息!$B:$B&amp;盘货信息!$C:$C,盘货信息!$L:$L)=""),_xlfn.XLOOKUP($A415&amp;$B415&amp;$C415,盘货信息!$A:$A&amp;盘货信息!$B:$B&amp;盘货信息!$C:$C,盘货信息!$M:$M)="否"),"【预估到手价"&amp;_xlfn.XLOOKUP($A415&amp;$B415&amp;$C415,盘货信息!$A:$A&amp;盘货信息!$B:$B&amp;盘货信息!$C:$C,盘货信息!$D:$D)&amp;"元】",IF(AND(_xlfn.XLOOKUP($A415&amp;$B415&amp;$C415,盘货信息!$A:$A&amp;盘货信息!$B:$B&amp;盘货信息!$C:$C,盘货信息!$M:$M)="是",OR(_xlfn.XLOOKUP($A415&amp;$B415&amp;$C415,盘货信息!$A:$A&amp;盘货信息!$B:$B&amp;盘货信息!$C:$C,盘货信息!$L:$L)="否",_xlfn.XLOOKUP($A415&amp;$B415&amp;$C415,盘货信息!$A:$A&amp;盘货信息!$B:$B&amp;盘货信息!$C:$C,盘货信息!$L:$L)="")),"【预估到手价"&amp;_xlfn.XLOOKUP($A415&amp;$B415&amp;$C415,盘货信息!$A:$A&amp;盘货信息!$B:$B&amp;盘货信息!$C:$C,盘货信息!$D:$D)&amp;"元】"&amp;CHAR(10)&amp;"【焕新补贴预估价"&amp;ROUND(_xlfn.XLOOKUP($A415&amp;$B415&amp;$C415,盘货信息!$A:$A&amp;盘货信息!$B:$B&amp;盘货信息!$C:$C,盘货信息!$E:$E),0)&amp;"元】","【焕新补贴预估价"&amp;ROUND(_xlfn.XLOOKUP($A415&amp;$B415&amp;$C415,盘货信息!$A:$A&amp;盘货信息!$B:$B&amp;盘货信息!$C:$C,盘货信息!$E:$E),0)&amp;"元】")))</f>
        <v/>
      </c>
      <c r="F415" s="27" t="str" cm="1">
        <f t="array" ref="F415">IF($C415="","",_xlfn.XLOOKUP($A415&amp;$B415&amp;$C415,盘货信息!$A:$A&amp;盘货信息!$B:$B&amp;盘货信息!$C:$C,盘货信息!$D:$D)&amp;"元到手价")</f>
        <v/>
      </c>
      <c r="G415" s="27" t="str" cm="1">
        <f t="array" ref="G415">IF($C415="","",IF(_xlfn.XLOOKUP($A415&amp;$B415&amp;$C415,盘货信息!$A:$A&amp;盘货信息!$B:$B&amp;盘货信息!$C:$C,盘货信息!$G:$G)&lt;1,"",ROUND(_xlfn.XLOOKUP($A415&amp;$B415&amp;$C415,盘货信息!$A:$A&amp;盘货信息!$B:$B&amp;盘货信息!$C:$C,盘货信息!$G:$G),0)&amp;"元88VIP立减"))</f>
        <v/>
      </c>
      <c r="H415" s="27" t="str" cm="1">
        <f t="array" ref="H415">IF($C415="","",IF(_xlfn.XLOOKUP($A415&amp;$B415&amp;$C415,盘货信息!$A:$A&amp;盘货信息!$B:$B&amp;盘货信息!$C:$C,盘货信息!$I:$I)&lt;1,"",_xlfn.XLOOKUP($A415&amp;$B415&amp;$C415,盘货信息!$A:$A&amp;盘货信息!$B:$B&amp;盘货信息!$C:$C,盘货信息!$I:$I)&amp;"元惊喜立减"))</f>
        <v/>
      </c>
      <c r="I415" s="27" t="str" cm="1">
        <f t="array" ref="I415">IF($C415="","",IF(_xlfn.XLOOKUP($A415&amp;$B415&amp;$C415,盘货信息!$A:$A&amp;盘货信息!$B:$B&amp;盘货信息!$C:$C,盘货信息!$H:$H)&lt;1,"",ROUND(_xlfn.XLOOKUP($A415&amp;$B415&amp;$C415,盘货信息!$A:$A&amp;盘货信息!$B:$B&amp;盘货信息!$C:$C,盘货信息!$H:$H),0)&amp;"元消费券"))</f>
        <v/>
      </c>
      <c r="J415" s="27" t="str" cm="1">
        <f t="array" ref="J415">IF($C415="","",IF(_xlfn.XLOOKUP($A415&amp;$B415&amp;$C415,盘货信息!$A:$A&amp;盘货信息!$B:$B&amp;盘货信息!$C:$C,盘货信息!$J:$J)&lt;1,"",ROUND(_xlfn.XLOOKUP($A415&amp;$B415&amp;$C415,盘货信息!$A:$A&amp;盘货信息!$B:$B&amp;盘货信息!$C:$C,盘货信息!$J:$J),0)&amp;"元限时补贴"))</f>
        <v/>
      </c>
      <c r="K415" s="27" t="str" cm="1">
        <f t="array" ref="K415">IF($C415="","",IF(_xlfn.XLOOKUP($A415&amp;$B415&amp;$C415,盘货信息!$A:$A&amp;盘货信息!$B:$B&amp;盘货信息!$C:$C,盘货信息!$K:$K)&lt;1,"",ROUND(_xlfn.XLOOKUP($A415&amp;$B415&amp;$C415,盘货信息!$A:$A&amp;盘货信息!$B:$B&amp;盘货信息!$C:$C,盘货信息!$K:$K),0)&amp;"元预估焕新补贴"))</f>
        <v/>
      </c>
      <c r="L415" s="27" t="str" cm="1">
        <f t="array" ref="L415">IF($C415="","",IF(AND(_xlfn.XLOOKUP($A415&amp;$B415&amp;$C415,盘货信息!$A:$A&amp;盘货信息!$B:$B&amp;盘货信息!$C:$C,盘货信息!$L:$L)="是",_xlfn.XLOOKUP($A415&amp;$B415&amp;$C415,盘货信息!$A:$A&amp;盘货信息!$B:$B&amp;盘货信息!$C:$C,盘货信息!$M:$M)="是",_xlfn.XLOOKUP($A415&amp;$B415&amp;$C415,盘货信息!$A:$A&amp;盘货信息!$B:$B&amp;盘货信息!$C:$C,盘货信息!$K:$K)&gt;0),"【全民可用，不限地址】",IF(AND(OR(_xlfn.XLOOKUP($A415&amp;$B415&amp;$C415,盘货信息!$A:$A&amp;盘货信息!$B:$B&amp;盘货信息!$C:$C,盘货信息!$L:$L)="否",_xlfn.XLOOKUP($A415&amp;$B415&amp;$C415,盘货信息!$A:$A&amp;盘货信息!$B:$B&amp;盘货信息!$C:$C,盘货信息!$L:$L)=""),_xlfn.XLOOKUP($A415&amp;$B415&amp;$C415,盘货信息!$A:$A&amp;盘货信息!$B:$B&amp;盘货信息!$C:$C,盘货信息!$M:$M)="是",_xlfn.XLOOKUP($A415&amp;$B415&amp;$C415,盘货信息!$A:$A&amp;盘货信息!$B:$B&amp;盘货信息!$C:$C,盘货信息!$K:$K)&gt;0),"【详情页领取】","")))</f>
        <v/>
      </c>
      <c r="M415" s="27" t="str" cm="1">
        <f t="array" ref="M415">IF($C415="","",IF(_xlfn.XLOOKUP($A415&amp;$B415&amp;$C415,盘货信息!$A:$A&amp;盘货信息!$B:$B&amp;盘货信息!$C:$C,盘货信息!$F:$F)&lt;1,"",_xlfn.XLOOKUP($A415&amp;$B415&amp;$C415,盘货信息!$A:$A&amp;盘货信息!$B:$B&amp;盘货信息!$C:$C,盘货信息!$F:$F)&amp;"元明卷"))</f>
        <v/>
      </c>
      <c r="N415" s="27" t="str">
        <f t="shared" si="13"/>
        <v/>
      </c>
      <c r="O415" s="27" t="str">
        <f>IF(I415="","","【消费券链接】"&amp;固定信息!$B$6)</f>
        <v/>
      </c>
    </row>
    <row r="416" customHeight="1" spans="1:15">
      <c r="A416" s="23" t="str">
        <f>IF(盘货信息!A416="","",盘货信息!A416)</f>
        <v/>
      </c>
      <c r="B416" s="26" t="str">
        <f>IF(盘货信息!B416="","",盘货信息!B416)</f>
        <v/>
      </c>
      <c r="C416" s="23" t="str">
        <f>IF(盘货信息!C416="","",盘货信息!C416)</f>
        <v/>
      </c>
      <c r="D416" s="27" t="str">
        <f t="shared" si="12"/>
        <v/>
      </c>
      <c r="E416" s="27" t="str" cm="1">
        <f t="array" ref="E416">IF($C416="","",IF(AND(OR(_xlfn.XLOOKUP($A416&amp;$B416&amp;$C416,盘货信息!$A:$A&amp;盘货信息!$B:$B&amp;盘货信息!$C:$C,盘货信息!$L:$L)="否",_xlfn.XLOOKUP($A416&amp;$B416&amp;$C416,盘货信息!$A:$A&amp;盘货信息!$B:$B&amp;盘货信息!$C:$C,盘货信息!$L:$L)=""),_xlfn.XLOOKUP($A416&amp;$B416&amp;$C416,盘货信息!$A:$A&amp;盘货信息!$B:$B&amp;盘货信息!$C:$C,盘货信息!$M:$M)="否"),"【预估到手价"&amp;_xlfn.XLOOKUP($A416&amp;$B416&amp;$C416,盘货信息!$A:$A&amp;盘货信息!$B:$B&amp;盘货信息!$C:$C,盘货信息!$D:$D)&amp;"元】",IF(AND(_xlfn.XLOOKUP($A416&amp;$B416&amp;$C416,盘货信息!$A:$A&amp;盘货信息!$B:$B&amp;盘货信息!$C:$C,盘货信息!$M:$M)="是",OR(_xlfn.XLOOKUP($A416&amp;$B416&amp;$C416,盘货信息!$A:$A&amp;盘货信息!$B:$B&amp;盘货信息!$C:$C,盘货信息!$L:$L)="否",_xlfn.XLOOKUP($A416&amp;$B416&amp;$C416,盘货信息!$A:$A&amp;盘货信息!$B:$B&amp;盘货信息!$C:$C,盘货信息!$L:$L)="")),"【预估到手价"&amp;_xlfn.XLOOKUP($A416&amp;$B416&amp;$C416,盘货信息!$A:$A&amp;盘货信息!$B:$B&amp;盘货信息!$C:$C,盘货信息!$D:$D)&amp;"元】"&amp;CHAR(10)&amp;"【焕新补贴预估价"&amp;ROUND(_xlfn.XLOOKUP($A416&amp;$B416&amp;$C416,盘货信息!$A:$A&amp;盘货信息!$B:$B&amp;盘货信息!$C:$C,盘货信息!$E:$E),0)&amp;"元】","【焕新补贴预估价"&amp;ROUND(_xlfn.XLOOKUP($A416&amp;$B416&amp;$C416,盘货信息!$A:$A&amp;盘货信息!$B:$B&amp;盘货信息!$C:$C,盘货信息!$E:$E),0)&amp;"元】")))</f>
        <v/>
      </c>
      <c r="F416" s="27" t="str" cm="1">
        <f t="array" ref="F416">IF($C416="","",_xlfn.XLOOKUP($A416&amp;$B416&amp;$C416,盘货信息!$A:$A&amp;盘货信息!$B:$B&amp;盘货信息!$C:$C,盘货信息!$D:$D)&amp;"元到手价")</f>
        <v/>
      </c>
      <c r="G416" s="27" t="str" cm="1">
        <f t="array" ref="G416">IF($C416="","",IF(_xlfn.XLOOKUP($A416&amp;$B416&amp;$C416,盘货信息!$A:$A&amp;盘货信息!$B:$B&amp;盘货信息!$C:$C,盘货信息!$G:$G)&lt;1,"",ROUND(_xlfn.XLOOKUP($A416&amp;$B416&amp;$C416,盘货信息!$A:$A&amp;盘货信息!$B:$B&amp;盘货信息!$C:$C,盘货信息!$G:$G),0)&amp;"元88VIP立减"))</f>
        <v/>
      </c>
      <c r="H416" s="27" t="str" cm="1">
        <f t="array" ref="H416">IF($C416="","",IF(_xlfn.XLOOKUP($A416&amp;$B416&amp;$C416,盘货信息!$A:$A&amp;盘货信息!$B:$B&amp;盘货信息!$C:$C,盘货信息!$I:$I)&lt;1,"",_xlfn.XLOOKUP($A416&amp;$B416&amp;$C416,盘货信息!$A:$A&amp;盘货信息!$B:$B&amp;盘货信息!$C:$C,盘货信息!$I:$I)&amp;"元惊喜立减"))</f>
        <v/>
      </c>
      <c r="I416" s="27" t="str" cm="1">
        <f t="array" ref="I416">IF($C416="","",IF(_xlfn.XLOOKUP($A416&amp;$B416&amp;$C416,盘货信息!$A:$A&amp;盘货信息!$B:$B&amp;盘货信息!$C:$C,盘货信息!$H:$H)&lt;1,"",ROUND(_xlfn.XLOOKUP($A416&amp;$B416&amp;$C416,盘货信息!$A:$A&amp;盘货信息!$B:$B&amp;盘货信息!$C:$C,盘货信息!$H:$H),0)&amp;"元消费券"))</f>
        <v/>
      </c>
      <c r="J416" s="27" t="str" cm="1">
        <f t="array" ref="J416">IF($C416="","",IF(_xlfn.XLOOKUP($A416&amp;$B416&amp;$C416,盘货信息!$A:$A&amp;盘货信息!$B:$B&amp;盘货信息!$C:$C,盘货信息!$J:$J)&lt;1,"",ROUND(_xlfn.XLOOKUP($A416&amp;$B416&amp;$C416,盘货信息!$A:$A&amp;盘货信息!$B:$B&amp;盘货信息!$C:$C,盘货信息!$J:$J),0)&amp;"元限时补贴"))</f>
        <v/>
      </c>
      <c r="K416" s="27" t="str" cm="1">
        <f t="array" ref="K416">IF($C416="","",IF(_xlfn.XLOOKUP($A416&amp;$B416&amp;$C416,盘货信息!$A:$A&amp;盘货信息!$B:$B&amp;盘货信息!$C:$C,盘货信息!$K:$K)&lt;1,"",ROUND(_xlfn.XLOOKUP($A416&amp;$B416&amp;$C416,盘货信息!$A:$A&amp;盘货信息!$B:$B&amp;盘货信息!$C:$C,盘货信息!$K:$K),0)&amp;"元预估焕新补贴"))</f>
        <v/>
      </c>
      <c r="L416" s="27" t="str" cm="1">
        <f t="array" ref="L416">IF($C416="","",IF(AND(_xlfn.XLOOKUP($A416&amp;$B416&amp;$C416,盘货信息!$A:$A&amp;盘货信息!$B:$B&amp;盘货信息!$C:$C,盘货信息!$L:$L)="是",_xlfn.XLOOKUP($A416&amp;$B416&amp;$C416,盘货信息!$A:$A&amp;盘货信息!$B:$B&amp;盘货信息!$C:$C,盘货信息!$M:$M)="是",_xlfn.XLOOKUP($A416&amp;$B416&amp;$C416,盘货信息!$A:$A&amp;盘货信息!$B:$B&amp;盘货信息!$C:$C,盘货信息!$K:$K)&gt;0),"【全民可用，不限地址】",IF(AND(OR(_xlfn.XLOOKUP($A416&amp;$B416&amp;$C416,盘货信息!$A:$A&amp;盘货信息!$B:$B&amp;盘货信息!$C:$C,盘货信息!$L:$L)="否",_xlfn.XLOOKUP($A416&amp;$B416&amp;$C416,盘货信息!$A:$A&amp;盘货信息!$B:$B&amp;盘货信息!$C:$C,盘货信息!$L:$L)=""),_xlfn.XLOOKUP($A416&amp;$B416&amp;$C416,盘货信息!$A:$A&amp;盘货信息!$B:$B&amp;盘货信息!$C:$C,盘货信息!$M:$M)="是",_xlfn.XLOOKUP($A416&amp;$B416&amp;$C416,盘货信息!$A:$A&amp;盘货信息!$B:$B&amp;盘货信息!$C:$C,盘货信息!$K:$K)&gt;0),"【详情页领取】","")))</f>
        <v/>
      </c>
      <c r="M416" s="27" t="str" cm="1">
        <f t="array" ref="M416">IF($C416="","",IF(_xlfn.XLOOKUP($A416&amp;$B416&amp;$C416,盘货信息!$A:$A&amp;盘货信息!$B:$B&amp;盘货信息!$C:$C,盘货信息!$F:$F)&lt;1,"",_xlfn.XLOOKUP($A416&amp;$B416&amp;$C416,盘货信息!$A:$A&amp;盘货信息!$B:$B&amp;盘货信息!$C:$C,盘货信息!$F:$F)&amp;"元明卷"))</f>
        <v/>
      </c>
      <c r="N416" s="27" t="str">
        <f t="shared" si="13"/>
        <v/>
      </c>
      <c r="O416" s="27" t="str">
        <f>IF(I416="","","【消费券链接】"&amp;固定信息!$B$6)</f>
        <v/>
      </c>
    </row>
    <row r="417" customHeight="1" spans="1:15">
      <c r="A417" s="23" t="str">
        <f>IF(盘货信息!A417="","",盘货信息!A417)</f>
        <v/>
      </c>
      <c r="B417" s="26" t="str">
        <f>IF(盘货信息!B417="","",盘货信息!B417)</f>
        <v/>
      </c>
      <c r="C417" s="23" t="str">
        <f>IF(盘货信息!C417="","",盘货信息!C417)</f>
        <v/>
      </c>
      <c r="D417" s="27" t="str">
        <f t="shared" si="12"/>
        <v/>
      </c>
      <c r="E417" s="27" t="str" cm="1">
        <f t="array" ref="E417">IF($C417="","",IF(AND(OR(_xlfn.XLOOKUP($A417&amp;$B417&amp;$C417,盘货信息!$A:$A&amp;盘货信息!$B:$B&amp;盘货信息!$C:$C,盘货信息!$L:$L)="否",_xlfn.XLOOKUP($A417&amp;$B417&amp;$C417,盘货信息!$A:$A&amp;盘货信息!$B:$B&amp;盘货信息!$C:$C,盘货信息!$L:$L)=""),_xlfn.XLOOKUP($A417&amp;$B417&amp;$C417,盘货信息!$A:$A&amp;盘货信息!$B:$B&amp;盘货信息!$C:$C,盘货信息!$M:$M)="否"),"【预估到手价"&amp;_xlfn.XLOOKUP($A417&amp;$B417&amp;$C417,盘货信息!$A:$A&amp;盘货信息!$B:$B&amp;盘货信息!$C:$C,盘货信息!$D:$D)&amp;"元】",IF(AND(_xlfn.XLOOKUP($A417&amp;$B417&amp;$C417,盘货信息!$A:$A&amp;盘货信息!$B:$B&amp;盘货信息!$C:$C,盘货信息!$M:$M)="是",OR(_xlfn.XLOOKUP($A417&amp;$B417&amp;$C417,盘货信息!$A:$A&amp;盘货信息!$B:$B&amp;盘货信息!$C:$C,盘货信息!$L:$L)="否",_xlfn.XLOOKUP($A417&amp;$B417&amp;$C417,盘货信息!$A:$A&amp;盘货信息!$B:$B&amp;盘货信息!$C:$C,盘货信息!$L:$L)="")),"【预估到手价"&amp;_xlfn.XLOOKUP($A417&amp;$B417&amp;$C417,盘货信息!$A:$A&amp;盘货信息!$B:$B&amp;盘货信息!$C:$C,盘货信息!$D:$D)&amp;"元】"&amp;CHAR(10)&amp;"【焕新补贴预估价"&amp;ROUND(_xlfn.XLOOKUP($A417&amp;$B417&amp;$C417,盘货信息!$A:$A&amp;盘货信息!$B:$B&amp;盘货信息!$C:$C,盘货信息!$E:$E),0)&amp;"元】","【焕新补贴预估价"&amp;ROUND(_xlfn.XLOOKUP($A417&amp;$B417&amp;$C417,盘货信息!$A:$A&amp;盘货信息!$B:$B&amp;盘货信息!$C:$C,盘货信息!$E:$E),0)&amp;"元】")))</f>
        <v/>
      </c>
      <c r="F417" s="27" t="str" cm="1">
        <f t="array" ref="F417">IF($C417="","",_xlfn.XLOOKUP($A417&amp;$B417&amp;$C417,盘货信息!$A:$A&amp;盘货信息!$B:$B&amp;盘货信息!$C:$C,盘货信息!$D:$D)&amp;"元到手价")</f>
        <v/>
      </c>
      <c r="G417" s="27" t="str" cm="1">
        <f t="array" ref="G417">IF($C417="","",IF(_xlfn.XLOOKUP($A417&amp;$B417&amp;$C417,盘货信息!$A:$A&amp;盘货信息!$B:$B&amp;盘货信息!$C:$C,盘货信息!$G:$G)&lt;1,"",ROUND(_xlfn.XLOOKUP($A417&amp;$B417&amp;$C417,盘货信息!$A:$A&amp;盘货信息!$B:$B&amp;盘货信息!$C:$C,盘货信息!$G:$G),0)&amp;"元88VIP立减"))</f>
        <v/>
      </c>
      <c r="H417" s="27" t="str" cm="1">
        <f t="array" ref="H417">IF($C417="","",IF(_xlfn.XLOOKUP($A417&amp;$B417&amp;$C417,盘货信息!$A:$A&amp;盘货信息!$B:$B&amp;盘货信息!$C:$C,盘货信息!$I:$I)&lt;1,"",_xlfn.XLOOKUP($A417&amp;$B417&amp;$C417,盘货信息!$A:$A&amp;盘货信息!$B:$B&amp;盘货信息!$C:$C,盘货信息!$I:$I)&amp;"元惊喜立减"))</f>
        <v/>
      </c>
      <c r="I417" s="27" t="str" cm="1">
        <f t="array" ref="I417">IF($C417="","",IF(_xlfn.XLOOKUP($A417&amp;$B417&amp;$C417,盘货信息!$A:$A&amp;盘货信息!$B:$B&amp;盘货信息!$C:$C,盘货信息!$H:$H)&lt;1,"",ROUND(_xlfn.XLOOKUP($A417&amp;$B417&amp;$C417,盘货信息!$A:$A&amp;盘货信息!$B:$B&amp;盘货信息!$C:$C,盘货信息!$H:$H),0)&amp;"元消费券"))</f>
        <v/>
      </c>
      <c r="J417" s="27" t="str" cm="1">
        <f t="array" ref="J417">IF($C417="","",IF(_xlfn.XLOOKUP($A417&amp;$B417&amp;$C417,盘货信息!$A:$A&amp;盘货信息!$B:$B&amp;盘货信息!$C:$C,盘货信息!$J:$J)&lt;1,"",ROUND(_xlfn.XLOOKUP($A417&amp;$B417&amp;$C417,盘货信息!$A:$A&amp;盘货信息!$B:$B&amp;盘货信息!$C:$C,盘货信息!$J:$J),0)&amp;"元限时补贴"))</f>
        <v/>
      </c>
      <c r="K417" s="27" t="str" cm="1">
        <f t="array" ref="K417">IF($C417="","",IF(_xlfn.XLOOKUP($A417&amp;$B417&amp;$C417,盘货信息!$A:$A&amp;盘货信息!$B:$B&amp;盘货信息!$C:$C,盘货信息!$K:$K)&lt;1,"",ROUND(_xlfn.XLOOKUP($A417&amp;$B417&amp;$C417,盘货信息!$A:$A&amp;盘货信息!$B:$B&amp;盘货信息!$C:$C,盘货信息!$K:$K),0)&amp;"元预估焕新补贴"))</f>
        <v/>
      </c>
      <c r="L417" s="27" t="str" cm="1">
        <f t="array" ref="L417">IF($C417="","",IF(AND(_xlfn.XLOOKUP($A417&amp;$B417&amp;$C417,盘货信息!$A:$A&amp;盘货信息!$B:$B&amp;盘货信息!$C:$C,盘货信息!$L:$L)="是",_xlfn.XLOOKUP($A417&amp;$B417&amp;$C417,盘货信息!$A:$A&amp;盘货信息!$B:$B&amp;盘货信息!$C:$C,盘货信息!$M:$M)="是",_xlfn.XLOOKUP($A417&amp;$B417&amp;$C417,盘货信息!$A:$A&amp;盘货信息!$B:$B&amp;盘货信息!$C:$C,盘货信息!$K:$K)&gt;0),"【全民可用，不限地址】",IF(AND(OR(_xlfn.XLOOKUP($A417&amp;$B417&amp;$C417,盘货信息!$A:$A&amp;盘货信息!$B:$B&amp;盘货信息!$C:$C,盘货信息!$L:$L)="否",_xlfn.XLOOKUP($A417&amp;$B417&amp;$C417,盘货信息!$A:$A&amp;盘货信息!$B:$B&amp;盘货信息!$C:$C,盘货信息!$L:$L)=""),_xlfn.XLOOKUP($A417&amp;$B417&amp;$C417,盘货信息!$A:$A&amp;盘货信息!$B:$B&amp;盘货信息!$C:$C,盘货信息!$M:$M)="是",_xlfn.XLOOKUP($A417&amp;$B417&amp;$C417,盘货信息!$A:$A&amp;盘货信息!$B:$B&amp;盘货信息!$C:$C,盘货信息!$K:$K)&gt;0),"【详情页领取】","")))</f>
        <v/>
      </c>
      <c r="M417" s="27" t="str" cm="1">
        <f t="array" ref="M417">IF($C417="","",IF(_xlfn.XLOOKUP($A417&amp;$B417&amp;$C417,盘货信息!$A:$A&amp;盘货信息!$B:$B&amp;盘货信息!$C:$C,盘货信息!$F:$F)&lt;1,"",_xlfn.XLOOKUP($A417&amp;$B417&amp;$C417,盘货信息!$A:$A&amp;盘货信息!$B:$B&amp;盘货信息!$C:$C,盘货信息!$F:$F)&amp;"元明卷"))</f>
        <v/>
      </c>
      <c r="N417" s="27" t="str">
        <f t="shared" si="13"/>
        <v/>
      </c>
      <c r="O417" s="27" t="str">
        <f>IF(I417="","","【消费券链接】"&amp;固定信息!$B$6)</f>
        <v/>
      </c>
    </row>
    <row r="418" customHeight="1" spans="1:15">
      <c r="A418" s="23" t="str">
        <f>IF(盘货信息!A418="","",盘货信息!A418)</f>
        <v/>
      </c>
      <c r="B418" s="26" t="str">
        <f>IF(盘货信息!B418="","",盘货信息!B418)</f>
        <v/>
      </c>
      <c r="C418" s="23" t="str">
        <f>IF(盘货信息!C418="","",盘货信息!C418)</f>
        <v/>
      </c>
      <c r="D418" s="27" t="str">
        <f t="shared" si="12"/>
        <v/>
      </c>
      <c r="E418" s="27" t="str" cm="1">
        <f t="array" ref="E418">IF($C418="","",IF(AND(OR(_xlfn.XLOOKUP($A418&amp;$B418&amp;$C418,盘货信息!$A:$A&amp;盘货信息!$B:$B&amp;盘货信息!$C:$C,盘货信息!$L:$L)="否",_xlfn.XLOOKUP($A418&amp;$B418&amp;$C418,盘货信息!$A:$A&amp;盘货信息!$B:$B&amp;盘货信息!$C:$C,盘货信息!$L:$L)=""),_xlfn.XLOOKUP($A418&amp;$B418&amp;$C418,盘货信息!$A:$A&amp;盘货信息!$B:$B&amp;盘货信息!$C:$C,盘货信息!$M:$M)="否"),"【预估到手价"&amp;_xlfn.XLOOKUP($A418&amp;$B418&amp;$C418,盘货信息!$A:$A&amp;盘货信息!$B:$B&amp;盘货信息!$C:$C,盘货信息!$D:$D)&amp;"元】",IF(AND(_xlfn.XLOOKUP($A418&amp;$B418&amp;$C418,盘货信息!$A:$A&amp;盘货信息!$B:$B&amp;盘货信息!$C:$C,盘货信息!$M:$M)="是",OR(_xlfn.XLOOKUP($A418&amp;$B418&amp;$C418,盘货信息!$A:$A&amp;盘货信息!$B:$B&amp;盘货信息!$C:$C,盘货信息!$L:$L)="否",_xlfn.XLOOKUP($A418&amp;$B418&amp;$C418,盘货信息!$A:$A&amp;盘货信息!$B:$B&amp;盘货信息!$C:$C,盘货信息!$L:$L)="")),"【预估到手价"&amp;_xlfn.XLOOKUP($A418&amp;$B418&amp;$C418,盘货信息!$A:$A&amp;盘货信息!$B:$B&amp;盘货信息!$C:$C,盘货信息!$D:$D)&amp;"元】"&amp;CHAR(10)&amp;"【焕新补贴预估价"&amp;ROUND(_xlfn.XLOOKUP($A418&amp;$B418&amp;$C418,盘货信息!$A:$A&amp;盘货信息!$B:$B&amp;盘货信息!$C:$C,盘货信息!$E:$E),0)&amp;"元】","【焕新补贴预估价"&amp;ROUND(_xlfn.XLOOKUP($A418&amp;$B418&amp;$C418,盘货信息!$A:$A&amp;盘货信息!$B:$B&amp;盘货信息!$C:$C,盘货信息!$E:$E),0)&amp;"元】")))</f>
        <v/>
      </c>
      <c r="F418" s="27" t="str" cm="1">
        <f t="array" ref="F418">IF($C418="","",_xlfn.XLOOKUP($A418&amp;$B418&amp;$C418,盘货信息!$A:$A&amp;盘货信息!$B:$B&amp;盘货信息!$C:$C,盘货信息!$D:$D)&amp;"元到手价")</f>
        <v/>
      </c>
      <c r="G418" s="27" t="str" cm="1">
        <f t="array" ref="G418">IF($C418="","",IF(_xlfn.XLOOKUP($A418&amp;$B418&amp;$C418,盘货信息!$A:$A&amp;盘货信息!$B:$B&amp;盘货信息!$C:$C,盘货信息!$G:$G)&lt;1,"",ROUND(_xlfn.XLOOKUP($A418&amp;$B418&amp;$C418,盘货信息!$A:$A&amp;盘货信息!$B:$B&amp;盘货信息!$C:$C,盘货信息!$G:$G),0)&amp;"元88VIP立减"))</f>
        <v/>
      </c>
      <c r="H418" s="27" t="str" cm="1">
        <f t="array" ref="H418">IF($C418="","",IF(_xlfn.XLOOKUP($A418&amp;$B418&amp;$C418,盘货信息!$A:$A&amp;盘货信息!$B:$B&amp;盘货信息!$C:$C,盘货信息!$I:$I)&lt;1,"",_xlfn.XLOOKUP($A418&amp;$B418&amp;$C418,盘货信息!$A:$A&amp;盘货信息!$B:$B&amp;盘货信息!$C:$C,盘货信息!$I:$I)&amp;"元惊喜立减"))</f>
        <v/>
      </c>
      <c r="I418" s="27" t="str" cm="1">
        <f t="array" ref="I418">IF($C418="","",IF(_xlfn.XLOOKUP($A418&amp;$B418&amp;$C418,盘货信息!$A:$A&amp;盘货信息!$B:$B&amp;盘货信息!$C:$C,盘货信息!$H:$H)&lt;1,"",ROUND(_xlfn.XLOOKUP($A418&amp;$B418&amp;$C418,盘货信息!$A:$A&amp;盘货信息!$B:$B&amp;盘货信息!$C:$C,盘货信息!$H:$H),0)&amp;"元消费券"))</f>
        <v/>
      </c>
      <c r="J418" s="27" t="str" cm="1">
        <f t="array" ref="J418">IF($C418="","",IF(_xlfn.XLOOKUP($A418&amp;$B418&amp;$C418,盘货信息!$A:$A&amp;盘货信息!$B:$B&amp;盘货信息!$C:$C,盘货信息!$J:$J)&lt;1,"",ROUND(_xlfn.XLOOKUP($A418&amp;$B418&amp;$C418,盘货信息!$A:$A&amp;盘货信息!$B:$B&amp;盘货信息!$C:$C,盘货信息!$J:$J),0)&amp;"元限时补贴"))</f>
        <v/>
      </c>
      <c r="K418" s="27" t="str" cm="1">
        <f t="array" ref="K418">IF($C418="","",IF(_xlfn.XLOOKUP($A418&amp;$B418&amp;$C418,盘货信息!$A:$A&amp;盘货信息!$B:$B&amp;盘货信息!$C:$C,盘货信息!$K:$K)&lt;1,"",ROUND(_xlfn.XLOOKUP($A418&amp;$B418&amp;$C418,盘货信息!$A:$A&amp;盘货信息!$B:$B&amp;盘货信息!$C:$C,盘货信息!$K:$K),0)&amp;"元预估焕新补贴"))</f>
        <v/>
      </c>
      <c r="L418" s="27" t="str" cm="1">
        <f t="array" ref="L418">IF($C418="","",IF(AND(_xlfn.XLOOKUP($A418&amp;$B418&amp;$C418,盘货信息!$A:$A&amp;盘货信息!$B:$B&amp;盘货信息!$C:$C,盘货信息!$L:$L)="是",_xlfn.XLOOKUP($A418&amp;$B418&amp;$C418,盘货信息!$A:$A&amp;盘货信息!$B:$B&amp;盘货信息!$C:$C,盘货信息!$M:$M)="是",_xlfn.XLOOKUP($A418&amp;$B418&amp;$C418,盘货信息!$A:$A&amp;盘货信息!$B:$B&amp;盘货信息!$C:$C,盘货信息!$K:$K)&gt;0),"【全民可用，不限地址】",IF(AND(OR(_xlfn.XLOOKUP($A418&amp;$B418&amp;$C418,盘货信息!$A:$A&amp;盘货信息!$B:$B&amp;盘货信息!$C:$C,盘货信息!$L:$L)="否",_xlfn.XLOOKUP($A418&amp;$B418&amp;$C418,盘货信息!$A:$A&amp;盘货信息!$B:$B&amp;盘货信息!$C:$C,盘货信息!$L:$L)=""),_xlfn.XLOOKUP($A418&amp;$B418&amp;$C418,盘货信息!$A:$A&amp;盘货信息!$B:$B&amp;盘货信息!$C:$C,盘货信息!$M:$M)="是",_xlfn.XLOOKUP($A418&amp;$B418&amp;$C418,盘货信息!$A:$A&amp;盘货信息!$B:$B&amp;盘货信息!$C:$C,盘货信息!$K:$K)&gt;0),"【详情页领取】","")))</f>
        <v/>
      </c>
      <c r="M418" s="27" t="str" cm="1">
        <f t="array" ref="M418">IF($C418="","",IF(_xlfn.XLOOKUP($A418&amp;$B418&amp;$C418,盘货信息!$A:$A&amp;盘货信息!$B:$B&amp;盘货信息!$C:$C,盘货信息!$F:$F)&lt;1,"",_xlfn.XLOOKUP($A418&amp;$B418&amp;$C418,盘货信息!$A:$A&amp;盘货信息!$B:$B&amp;盘货信息!$C:$C,盘货信息!$F:$F)&amp;"元明卷"))</f>
        <v/>
      </c>
      <c r="N418" s="27" t="str">
        <f t="shared" si="13"/>
        <v/>
      </c>
      <c r="O418" s="27" t="str">
        <f>IF(I418="","","【消费券链接】"&amp;固定信息!$B$6)</f>
        <v/>
      </c>
    </row>
    <row r="419" customHeight="1" spans="1:15">
      <c r="A419" s="23" t="str">
        <f>IF(盘货信息!A419="","",盘货信息!A419)</f>
        <v/>
      </c>
      <c r="B419" s="26" t="str">
        <f>IF(盘货信息!B419="","",盘货信息!B419)</f>
        <v/>
      </c>
      <c r="C419" s="23" t="str">
        <f>IF(盘货信息!C419="","",盘货信息!C419)</f>
        <v/>
      </c>
      <c r="D419" s="27" t="str">
        <f t="shared" si="12"/>
        <v/>
      </c>
      <c r="E419" s="27" t="str" cm="1">
        <f t="array" ref="E419">IF($C419="","",IF(AND(OR(_xlfn.XLOOKUP($A419&amp;$B419&amp;$C419,盘货信息!$A:$A&amp;盘货信息!$B:$B&amp;盘货信息!$C:$C,盘货信息!$L:$L)="否",_xlfn.XLOOKUP($A419&amp;$B419&amp;$C419,盘货信息!$A:$A&amp;盘货信息!$B:$B&amp;盘货信息!$C:$C,盘货信息!$L:$L)=""),_xlfn.XLOOKUP($A419&amp;$B419&amp;$C419,盘货信息!$A:$A&amp;盘货信息!$B:$B&amp;盘货信息!$C:$C,盘货信息!$M:$M)="否"),"【预估到手价"&amp;_xlfn.XLOOKUP($A419&amp;$B419&amp;$C419,盘货信息!$A:$A&amp;盘货信息!$B:$B&amp;盘货信息!$C:$C,盘货信息!$D:$D)&amp;"元】",IF(AND(_xlfn.XLOOKUP($A419&amp;$B419&amp;$C419,盘货信息!$A:$A&amp;盘货信息!$B:$B&amp;盘货信息!$C:$C,盘货信息!$M:$M)="是",OR(_xlfn.XLOOKUP($A419&amp;$B419&amp;$C419,盘货信息!$A:$A&amp;盘货信息!$B:$B&amp;盘货信息!$C:$C,盘货信息!$L:$L)="否",_xlfn.XLOOKUP($A419&amp;$B419&amp;$C419,盘货信息!$A:$A&amp;盘货信息!$B:$B&amp;盘货信息!$C:$C,盘货信息!$L:$L)="")),"【预估到手价"&amp;_xlfn.XLOOKUP($A419&amp;$B419&amp;$C419,盘货信息!$A:$A&amp;盘货信息!$B:$B&amp;盘货信息!$C:$C,盘货信息!$D:$D)&amp;"元】"&amp;CHAR(10)&amp;"【焕新补贴预估价"&amp;ROUND(_xlfn.XLOOKUP($A419&amp;$B419&amp;$C419,盘货信息!$A:$A&amp;盘货信息!$B:$B&amp;盘货信息!$C:$C,盘货信息!$E:$E),0)&amp;"元】","【焕新补贴预估价"&amp;ROUND(_xlfn.XLOOKUP($A419&amp;$B419&amp;$C419,盘货信息!$A:$A&amp;盘货信息!$B:$B&amp;盘货信息!$C:$C,盘货信息!$E:$E),0)&amp;"元】")))</f>
        <v/>
      </c>
      <c r="F419" s="27" t="str" cm="1">
        <f t="array" ref="F419">IF($C419="","",_xlfn.XLOOKUP($A419&amp;$B419&amp;$C419,盘货信息!$A:$A&amp;盘货信息!$B:$B&amp;盘货信息!$C:$C,盘货信息!$D:$D)&amp;"元到手价")</f>
        <v/>
      </c>
      <c r="G419" s="27" t="str" cm="1">
        <f t="array" ref="G419">IF($C419="","",IF(_xlfn.XLOOKUP($A419&amp;$B419&amp;$C419,盘货信息!$A:$A&amp;盘货信息!$B:$B&amp;盘货信息!$C:$C,盘货信息!$G:$G)&lt;1,"",ROUND(_xlfn.XLOOKUP($A419&amp;$B419&amp;$C419,盘货信息!$A:$A&amp;盘货信息!$B:$B&amp;盘货信息!$C:$C,盘货信息!$G:$G),0)&amp;"元88VIP立减"))</f>
        <v/>
      </c>
      <c r="H419" s="27" t="str" cm="1">
        <f t="array" ref="H419">IF($C419="","",IF(_xlfn.XLOOKUP($A419&amp;$B419&amp;$C419,盘货信息!$A:$A&amp;盘货信息!$B:$B&amp;盘货信息!$C:$C,盘货信息!$I:$I)&lt;1,"",_xlfn.XLOOKUP($A419&amp;$B419&amp;$C419,盘货信息!$A:$A&amp;盘货信息!$B:$B&amp;盘货信息!$C:$C,盘货信息!$I:$I)&amp;"元惊喜立减"))</f>
        <v/>
      </c>
      <c r="I419" s="27" t="str" cm="1">
        <f t="array" ref="I419">IF($C419="","",IF(_xlfn.XLOOKUP($A419&amp;$B419&amp;$C419,盘货信息!$A:$A&amp;盘货信息!$B:$B&amp;盘货信息!$C:$C,盘货信息!$H:$H)&lt;1,"",ROUND(_xlfn.XLOOKUP($A419&amp;$B419&amp;$C419,盘货信息!$A:$A&amp;盘货信息!$B:$B&amp;盘货信息!$C:$C,盘货信息!$H:$H),0)&amp;"元消费券"))</f>
        <v/>
      </c>
      <c r="J419" s="27" t="str" cm="1">
        <f t="array" ref="J419">IF($C419="","",IF(_xlfn.XLOOKUP($A419&amp;$B419&amp;$C419,盘货信息!$A:$A&amp;盘货信息!$B:$B&amp;盘货信息!$C:$C,盘货信息!$J:$J)&lt;1,"",ROUND(_xlfn.XLOOKUP($A419&amp;$B419&amp;$C419,盘货信息!$A:$A&amp;盘货信息!$B:$B&amp;盘货信息!$C:$C,盘货信息!$J:$J),0)&amp;"元限时补贴"))</f>
        <v/>
      </c>
      <c r="K419" s="27" t="str" cm="1">
        <f t="array" ref="K419">IF($C419="","",IF(_xlfn.XLOOKUP($A419&amp;$B419&amp;$C419,盘货信息!$A:$A&amp;盘货信息!$B:$B&amp;盘货信息!$C:$C,盘货信息!$K:$K)&lt;1,"",ROUND(_xlfn.XLOOKUP($A419&amp;$B419&amp;$C419,盘货信息!$A:$A&amp;盘货信息!$B:$B&amp;盘货信息!$C:$C,盘货信息!$K:$K),0)&amp;"元预估焕新补贴"))</f>
        <v/>
      </c>
      <c r="L419" s="27" t="str" cm="1">
        <f t="array" ref="L419">IF($C419="","",IF(AND(_xlfn.XLOOKUP($A419&amp;$B419&amp;$C419,盘货信息!$A:$A&amp;盘货信息!$B:$B&amp;盘货信息!$C:$C,盘货信息!$L:$L)="是",_xlfn.XLOOKUP($A419&amp;$B419&amp;$C419,盘货信息!$A:$A&amp;盘货信息!$B:$B&amp;盘货信息!$C:$C,盘货信息!$M:$M)="是",_xlfn.XLOOKUP($A419&amp;$B419&amp;$C419,盘货信息!$A:$A&amp;盘货信息!$B:$B&amp;盘货信息!$C:$C,盘货信息!$K:$K)&gt;0),"【全民可用，不限地址】",IF(AND(OR(_xlfn.XLOOKUP($A419&amp;$B419&amp;$C419,盘货信息!$A:$A&amp;盘货信息!$B:$B&amp;盘货信息!$C:$C,盘货信息!$L:$L)="否",_xlfn.XLOOKUP($A419&amp;$B419&amp;$C419,盘货信息!$A:$A&amp;盘货信息!$B:$B&amp;盘货信息!$C:$C,盘货信息!$L:$L)=""),_xlfn.XLOOKUP($A419&amp;$B419&amp;$C419,盘货信息!$A:$A&amp;盘货信息!$B:$B&amp;盘货信息!$C:$C,盘货信息!$M:$M)="是",_xlfn.XLOOKUP($A419&amp;$B419&amp;$C419,盘货信息!$A:$A&amp;盘货信息!$B:$B&amp;盘货信息!$C:$C,盘货信息!$K:$K)&gt;0),"【详情页领取】","")))</f>
        <v/>
      </c>
      <c r="M419" s="27" t="str" cm="1">
        <f t="array" ref="M419">IF($C419="","",IF(_xlfn.XLOOKUP($A419&amp;$B419&amp;$C419,盘货信息!$A:$A&amp;盘货信息!$B:$B&amp;盘货信息!$C:$C,盘货信息!$F:$F)&lt;1,"",_xlfn.XLOOKUP($A419&amp;$B419&amp;$C419,盘货信息!$A:$A&amp;盘货信息!$B:$B&amp;盘货信息!$C:$C,盘货信息!$F:$F)&amp;"元明卷"))</f>
        <v/>
      </c>
      <c r="N419" s="27" t="str">
        <f t="shared" si="13"/>
        <v/>
      </c>
      <c r="O419" s="27" t="str">
        <f>IF(I419="","","【消费券链接】"&amp;固定信息!$B$6)</f>
        <v/>
      </c>
    </row>
    <row r="420" customHeight="1" spans="1:15">
      <c r="A420" s="23" t="str">
        <f>IF(盘货信息!A420="","",盘货信息!A420)</f>
        <v/>
      </c>
      <c r="B420" s="26" t="str">
        <f>IF(盘货信息!B420="","",盘货信息!B420)</f>
        <v/>
      </c>
      <c r="C420" s="23" t="str">
        <f>IF(盘货信息!C420="","",盘货信息!C420)</f>
        <v/>
      </c>
      <c r="D420" s="27" t="str">
        <f t="shared" si="12"/>
        <v/>
      </c>
      <c r="E420" s="27" t="str" cm="1">
        <f t="array" ref="E420">IF($C420="","",IF(AND(OR(_xlfn.XLOOKUP($A420&amp;$B420&amp;$C420,盘货信息!$A:$A&amp;盘货信息!$B:$B&amp;盘货信息!$C:$C,盘货信息!$L:$L)="否",_xlfn.XLOOKUP($A420&amp;$B420&amp;$C420,盘货信息!$A:$A&amp;盘货信息!$B:$B&amp;盘货信息!$C:$C,盘货信息!$L:$L)=""),_xlfn.XLOOKUP($A420&amp;$B420&amp;$C420,盘货信息!$A:$A&amp;盘货信息!$B:$B&amp;盘货信息!$C:$C,盘货信息!$M:$M)="否"),"【预估到手价"&amp;_xlfn.XLOOKUP($A420&amp;$B420&amp;$C420,盘货信息!$A:$A&amp;盘货信息!$B:$B&amp;盘货信息!$C:$C,盘货信息!$D:$D)&amp;"元】",IF(AND(_xlfn.XLOOKUP($A420&amp;$B420&amp;$C420,盘货信息!$A:$A&amp;盘货信息!$B:$B&amp;盘货信息!$C:$C,盘货信息!$M:$M)="是",OR(_xlfn.XLOOKUP($A420&amp;$B420&amp;$C420,盘货信息!$A:$A&amp;盘货信息!$B:$B&amp;盘货信息!$C:$C,盘货信息!$L:$L)="否",_xlfn.XLOOKUP($A420&amp;$B420&amp;$C420,盘货信息!$A:$A&amp;盘货信息!$B:$B&amp;盘货信息!$C:$C,盘货信息!$L:$L)="")),"【预估到手价"&amp;_xlfn.XLOOKUP($A420&amp;$B420&amp;$C420,盘货信息!$A:$A&amp;盘货信息!$B:$B&amp;盘货信息!$C:$C,盘货信息!$D:$D)&amp;"元】"&amp;CHAR(10)&amp;"【焕新补贴预估价"&amp;ROUND(_xlfn.XLOOKUP($A420&amp;$B420&amp;$C420,盘货信息!$A:$A&amp;盘货信息!$B:$B&amp;盘货信息!$C:$C,盘货信息!$E:$E),0)&amp;"元】","【焕新补贴预估价"&amp;ROUND(_xlfn.XLOOKUP($A420&amp;$B420&amp;$C420,盘货信息!$A:$A&amp;盘货信息!$B:$B&amp;盘货信息!$C:$C,盘货信息!$E:$E),0)&amp;"元】")))</f>
        <v/>
      </c>
      <c r="F420" s="27" t="str" cm="1">
        <f t="array" ref="F420">IF($C420="","",_xlfn.XLOOKUP($A420&amp;$B420&amp;$C420,盘货信息!$A:$A&amp;盘货信息!$B:$B&amp;盘货信息!$C:$C,盘货信息!$D:$D)&amp;"元到手价")</f>
        <v/>
      </c>
      <c r="G420" s="27" t="str" cm="1">
        <f t="array" ref="G420">IF($C420="","",IF(_xlfn.XLOOKUP($A420&amp;$B420&amp;$C420,盘货信息!$A:$A&amp;盘货信息!$B:$B&amp;盘货信息!$C:$C,盘货信息!$G:$G)&lt;1,"",ROUND(_xlfn.XLOOKUP($A420&amp;$B420&amp;$C420,盘货信息!$A:$A&amp;盘货信息!$B:$B&amp;盘货信息!$C:$C,盘货信息!$G:$G),0)&amp;"元88VIP立减"))</f>
        <v/>
      </c>
      <c r="H420" s="27" t="str" cm="1">
        <f t="array" ref="H420">IF($C420="","",IF(_xlfn.XLOOKUP($A420&amp;$B420&amp;$C420,盘货信息!$A:$A&amp;盘货信息!$B:$B&amp;盘货信息!$C:$C,盘货信息!$I:$I)&lt;1,"",_xlfn.XLOOKUP($A420&amp;$B420&amp;$C420,盘货信息!$A:$A&amp;盘货信息!$B:$B&amp;盘货信息!$C:$C,盘货信息!$I:$I)&amp;"元惊喜立减"))</f>
        <v/>
      </c>
      <c r="I420" s="27" t="str" cm="1">
        <f t="array" ref="I420">IF($C420="","",IF(_xlfn.XLOOKUP($A420&amp;$B420&amp;$C420,盘货信息!$A:$A&amp;盘货信息!$B:$B&amp;盘货信息!$C:$C,盘货信息!$H:$H)&lt;1,"",ROUND(_xlfn.XLOOKUP($A420&amp;$B420&amp;$C420,盘货信息!$A:$A&amp;盘货信息!$B:$B&amp;盘货信息!$C:$C,盘货信息!$H:$H),0)&amp;"元消费券"))</f>
        <v/>
      </c>
      <c r="J420" s="27" t="str" cm="1">
        <f t="array" ref="J420">IF($C420="","",IF(_xlfn.XLOOKUP($A420&amp;$B420&amp;$C420,盘货信息!$A:$A&amp;盘货信息!$B:$B&amp;盘货信息!$C:$C,盘货信息!$J:$J)&lt;1,"",ROUND(_xlfn.XLOOKUP($A420&amp;$B420&amp;$C420,盘货信息!$A:$A&amp;盘货信息!$B:$B&amp;盘货信息!$C:$C,盘货信息!$J:$J),0)&amp;"元限时补贴"))</f>
        <v/>
      </c>
      <c r="K420" s="27" t="str" cm="1">
        <f t="array" ref="K420">IF($C420="","",IF(_xlfn.XLOOKUP($A420&amp;$B420&amp;$C420,盘货信息!$A:$A&amp;盘货信息!$B:$B&amp;盘货信息!$C:$C,盘货信息!$K:$K)&lt;1,"",ROUND(_xlfn.XLOOKUP($A420&amp;$B420&amp;$C420,盘货信息!$A:$A&amp;盘货信息!$B:$B&amp;盘货信息!$C:$C,盘货信息!$K:$K),0)&amp;"元预估焕新补贴"))</f>
        <v/>
      </c>
      <c r="L420" s="27" t="str" cm="1">
        <f t="array" ref="L420">IF($C420="","",IF(AND(_xlfn.XLOOKUP($A420&amp;$B420&amp;$C420,盘货信息!$A:$A&amp;盘货信息!$B:$B&amp;盘货信息!$C:$C,盘货信息!$L:$L)="是",_xlfn.XLOOKUP($A420&amp;$B420&amp;$C420,盘货信息!$A:$A&amp;盘货信息!$B:$B&amp;盘货信息!$C:$C,盘货信息!$M:$M)="是",_xlfn.XLOOKUP($A420&amp;$B420&amp;$C420,盘货信息!$A:$A&amp;盘货信息!$B:$B&amp;盘货信息!$C:$C,盘货信息!$K:$K)&gt;0),"【全民可用，不限地址】",IF(AND(OR(_xlfn.XLOOKUP($A420&amp;$B420&amp;$C420,盘货信息!$A:$A&amp;盘货信息!$B:$B&amp;盘货信息!$C:$C,盘货信息!$L:$L)="否",_xlfn.XLOOKUP($A420&amp;$B420&amp;$C420,盘货信息!$A:$A&amp;盘货信息!$B:$B&amp;盘货信息!$C:$C,盘货信息!$L:$L)=""),_xlfn.XLOOKUP($A420&amp;$B420&amp;$C420,盘货信息!$A:$A&amp;盘货信息!$B:$B&amp;盘货信息!$C:$C,盘货信息!$M:$M)="是",_xlfn.XLOOKUP($A420&amp;$B420&amp;$C420,盘货信息!$A:$A&amp;盘货信息!$B:$B&amp;盘货信息!$C:$C,盘货信息!$K:$K)&gt;0),"【详情页领取】","")))</f>
        <v/>
      </c>
      <c r="M420" s="27" t="str" cm="1">
        <f t="array" ref="M420">IF($C420="","",IF(_xlfn.XLOOKUP($A420&amp;$B420&amp;$C420,盘货信息!$A:$A&amp;盘货信息!$B:$B&amp;盘货信息!$C:$C,盘货信息!$F:$F)&lt;1,"",_xlfn.XLOOKUP($A420&amp;$B420&amp;$C420,盘货信息!$A:$A&amp;盘货信息!$B:$B&amp;盘货信息!$C:$C,盘货信息!$F:$F)&amp;"元明卷"))</f>
        <v/>
      </c>
      <c r="N420" s="27" t="str">
        <f t="shared" si="13"/>
        <v/>
      </c>
      <c r="O420" s="27" t="str">
        <f>IF(I420="","","【消费券链接】"&amp;固定信息!$B$6)</f>
        <v/>
      </c>
    </row>
    <row r="421" customHeight="1" spans="1:15">
      <c r="A421" s="23" t="str">
        <f>IF(盘货信息!A421="","",盘货信息!A421)</f>
        <v/>
      </c>
      <c r="B421" s="26" t="str">
        <f>IF(盘货信息!B421="","",盘货信息!B421)</f>
        <v/>
      </c>
      <c r="C421" s="23" t="str">
        <f>IF(盘货信息!C421="","",盘货信息!C421)</f>
        <v/>
      </c>
      <c r="D421" s="27" t="str">
        <f t="shared" si="12"/>
        <v/>
      </c>
      <c r="E421" s="27" t="str" cm="1">
        <f t="array" ref="E421">IF($C421="","",IF(AND(OR(_xlfn.XLOOKUP($A421&amp;$B421&amp;$C421,盘货信息!$A:$A&amp;盘货信息!$B:$B&amp;盘货信息!$C:$C,盘货信息!$L:$L)="否",_xlfn.XLOOKUP($A421&amp;$B421&amp;$C421,盘货信息!$A:$A&amp;盘货信息!$B:$B&amp;盘货信息!$C:$C,盘货信息!$L:$L)=""),_xlfn.XLOOKUP($A421&amp;$B421&amp;$C421,盘货信息!$A:$A&amp;盘货信息!$B:$B&amp;盘货信息!$C:$C,盘货信息!$M:$M)="否"),"【预估到手价"&amp;_xlfn.XLOOKUP($A421&amp;$B421&amp;$C421,盘货信息!$A:$A&amp;盘货信息!$B:$B&amp;盘货信息!$C:$C,盘货信息!$D:$D)&amp;"元】",IF(AND(_xlfn.XLOOKUP($A421&amp;$B421&amp;$C421,盘货信息!$A:$A&amp;盘货信息!$B:$B&amp;盘货信息!$C:$C,盘货信息!$M:$M)="是",OR(_xlfn.XLOOKUP($A421&amp;$B421&amp;$C421,盘货信息!$A:$A&amp;盘货信息!$B:$B&amp;盘货信息!$C:$C,盘货信息!$L:$L)="否",_xlfn.XLOOKUP($A421&amp;$B421&amp;$C421,盘货信息!$A:$A&amp;盘货信息!$B:$B&amp;盘货信息!$C:$C,盘货信息!$L:$L)="")),"【预估到手价"&amp;_xlfn.XLOOKUP($A421&amp;$B421&amp;$C421,盘货信息!$A:$A&amp;盘货信息!$B:$B&amp;盘货信息!$C:$C,盘货信息!$D:$D)&amp;"元】"&amp;CHAR(10)&amp;"【焕新补贴预估价"&amp;ROUND(_xlfn.XLOOKUP($A421&amp;$B421&amp;$C421,盘货信息!$A:$A&amp;盘货信息!$B:$B&amp;盘货信息!$C:$C,盘货信息!$E:$E),0)&amp;"元】","【焕新补贴预估价"&amp;ROUND(_xlfn.XLOOKUP($A421&amp;$B421&amp;$C421,盘货信息!$A:$A&amp;盘货信息!$B:$B&amp;盘货信息!$C:$C,盘货信息!$E:$E),0)&amp;"元】")))</f>
        <v/>
      </c>
      <c r="F421" s="27" t="str" cm="1">
        <f t="array" ref="F421">IF($C421="","",_xlfn.XLOOKUP($A421&amp;$B421&amp;$C421,盘货信息!$A:$A&amp;盘货信息!$B:$B&amp;盘货信息!$C:$C,盘货信息!$D:$D)&amp;"元到手价")</f>
        <v/>
      </c>
      <c r="G421" s="27" t="str" cm="1">
        <f t="array" ref="G421">IF($C421="","",IF(_xlfn.XLOOKUP($A421&amp;$B421&amp;$C421,盘货信息!$A:$A&amp;盘货信息!$B:$B&amp;盘货信息!$C:$C,盘货信息!$G:$G)&lt;1,"",ROUND(_xlfn.XLOOKUP($A421&amp;$B421&amp;$C421,盘货信息!$A:$A&amp;盘货信息!$B:$B&amp;盘货信息!$C:$C,盘货信息!$G:$G),0)&amp;"元88VIP立减"))</f>
        <v/>
      </c>
      <c r="H421" s="27" t="str" cm="1">
        <f t="array" ref="H421">IF($C421="","",IF(_xlfn.XLOOKUP($A421&amp;$B421&amp;$C421,盘货信息!$A:$A&amp;盘货信息!$B:$B&amp;盘货信息!$C:$C,盘货信息!$I:$I)&lt;1,"",_xlfn.XLOOKUP($A421&amp;$B421&amp;$C421,盘货信息!$A:$A&amp;盘货信息!$B:$B&amp;盘货信息!$C:$C,盘货信息!$I:$I)&amp;"元惊喜立减"))</f>
        <v/>
      </c>
      <c r="I421" s="27" t="str" cm="1">
        <f t="array" ref="I421">IF($C421="","",IF(_xlfn.XLOOKUP($A421&amp;$B421&amp;$C421,盘货信息!$A:$A&amp;盘货信息!$B:$B&amp;盘货信息!$C:$C,盘货信息!$H:$H)&lt;1,"",ROUND(_xlfn.XLOOKUP($A421&amp;$B421&amp;$C421,盘货信息!$A:$A&amp;盘货信息!$B:$B&amp;盘货信息!$C:$C,盘货信息!$H:$H),0)&amp;"元消费券"))</f>
        <v/>
      </c>
      <c r="J421" s="27" t="str" cm="1">
        <f t="array" ref="J421">IF($C421="","",IF(_xlfn.XLOOKUP($A421&amp;$B421&amp;$C421,盘货信息!$A:$A&amp;盘货信息!$B:$B&amp;盘货信息!$C:$C,盘货信息!$J:$J)&lt;1,"",ROUND(_xlfn.XLOOKUP($A421&amp;$B421&amp;$C421,盘货信息!$A:$A&amp;盘货信息!$B:$B&amp;盘货信息!$C:$C,盘货信息!$J:$J),0)&amp;"元限时补贴"))</f>
        <v/>
      </c>
      <c r="K421" s="27" t="str" cm="1">
        <f t="array" ref="K421">IF($C421="","",IF(_xlfn.XLOOKUP($A421&amp;$B421&amp;$C421,盘货信息!$A:$A&amp;盘货信息!$B:$B&amp;盘货信息!$C:$C,盘货信息!$K:$K)&lt;1,"",ROUND(_xlfn.XLOOKUP($A421&amp;$B421&amp;$C421,盘货信息!$A:$A&amp;盘货信息!$B:$B&amp;盘货信息!$C:$C,盘货信息!$K:$K),0)&amp;"元预估焕新补贴"))</f>
        <v/>
      </c>
      <c r="L421" s="27" t="str" cm="1">
        <f t="array" ref="L421">IF($C421="","",IF(AND(_xlfn.XLOOKUP($A421&amp;$B421&amp;$C421,盘货信息!$A:$A&amp;盘货信息!$B:$B&amp;盘货信息!$C:$C,盘货信息!$L:$L)="是",_xlfn.XLOOKUP($A421&amp;$B421&amp;$C421,盘货信息!$A:$A&amp;盘货信息!$B:$B&amp;盘货信息!$C:$C,盘货信息!$M:$M)="是",_xlfn.XLOOKUP($A421&amp;$B421&amp;$C421,盘货信息!$A:$A&amp;盘货信息!$B:$B&amp;盘货信息!$C:$C,盘货信息!$K:$K)&gt;0),"【全民可用，不限地址】",IF(AND(OR(_xlfn.XLOOKUP($A421&amp;$B421&amp;$C421,盘货信息!$A:$A&amp;盘货信息!$B:$B&amp;盘货信息!$C:$C,盘货信息!$L:$L)="否",_xlfn.XLOOKUP($A421&amp;$B421&amp;$C421,盘货信息!$A:$A&amp;盘货信息!$B:$B&amp;盘货信息!$C:$C,盘货信息!$L:$L)=""),_xlfn.XLOOKUP($A421&amp;$B421&amp;$C421,盘货信息!$A:$A&amp;盘货信息!$B:$B&amp;盘货信息!$C:$C,盘货信息!$M:$M)="是",_xlfn.XLOOKUP($A421&amp;$B421&amp;$C421,盘货信息!$A:$A&amp;盘货信息!$B:$B&amp;盘货信息!$C:$C,盘货信息!$K:$K)&gt;0),"【详情页领取】","")))</f>
        <v/>
      </c>
      <c r="M421" s="27" t="str" cm="1">
        <f t="array" ref="M421">IF($C421="","",IF(_xlfn.XLOOKUP($A421&amp;$B421&amp;$C421,盘货信息!$A:$A&amp;盘货信息!$B:$B&amp;盘货信息!$C:$C,盘货信息!$F:$F)&lt;1,"",_xlfn.XLOOKUP($A421&amp;$B421&amp;$C421,盘货信息!$A:$A&amp;盘货信息!$B:$B&amp;盘货信息!$C:$C,盘货信息!$F:$F)&amp;"元明卷"))</f>
        <v/>
      </c>
      <c r="N421" s="27" t="str">
        <f t="shared" si="13"/>
        <v/>
      </c>
      <c r="O421" s="27" t="str">
        <f>IF(I421="","","【消费券链接】"&amp;固定信息!$B$6)</f>
        <v/>
      </c>
    </row>
    <row r="422" customHeight="1" spans="1:15">
      <c r="A422" s="23" t="str">
        <f>IF(盘货信息!A422="","",盘货信息!A422)</f>
        <v/>
      </c>
      <c r="B422" s="26" t="str">
        <f>IF(盘货信息!B422="","",盘货信息!B422)</f>
        <v/>
      </c>
      <c r="C422" s="23" t="str">
        <f>IF(盘货信息!C422="","",盘货信息!C422)</f>
        <v/>
      </c>
      <c r="D422" s="27" t="str">
        <f t="shared" si="12"/>
        <v/>
      </c>
      <c r="E422" s="27" t="str" cm="1">
        <f t="array" ref="E422">IF($C422="","",IF(AND(OR(_xlfn.XLOOKUP($A422&amp;$B422&amp;$C422,盘货信息!$A:$A&amp;盘货信息!$B:$B&amp;盘货信息!$C:$C,盘货信息!$L:$L)="否",_xlfn.XLOOKUP($A422&amp;$B422&amp;$C422,盘货信息!$A:$A&amp;盘货信息!$B:$B&amp;盘货信息!$C:$C,盘货信息!$L:$L)=""),_xlfn.XLOOKUP($A422&amp;$B422&amp;$C422,盘货信息!$A:$A&amp;盘货信息!$B:$B&amp;盘货信息!$C:$C,盘货信息!$M:$M)="否"),"【预估到手价"&amp;_xlfn.XLOOKUP($A422&amp;$B422&amp;$C422,盘货信息!$A:$A&amp;盘货信息!$B:$B&amp;盘货信息!$C:$C,盘货信息!$D:$D)&amp;"元】",IF(AND(_xlfn.XLOOKUP($A422&amp;$B422&amp;$C422,盘货信息!$A:$A&amp;盘货信息!$B:$B&amp;盘货信息!$C:$C,盘货信息!$M:$M)="是",OR(_xlfn.XLOOKUP($A422&amp;$B422&amp;$C422,盘货信息!$A:$A&amp;盘货信息!$B:$B&amp;盘货信息!$C:$C,盘货信息!$L:$L)="否",_xlfn.XLOOKUP($A422&amp;$B422&amp;$C422,盘货信息!$A:$A&amp;盘货信息!$B:$B&amp;盘货信息!$C:$C,盘货信息!$L:$L)="")),"【预估到手价"&amp;_xlfn.XLOOKUP($A422&amp;$B422&amp;$C422,盘货信息!$A:$A&amp;盘货信息!$B:$B&amp;盘货信息!$C:$C,盘货信息!$D:$D)&amp;"元】"&amp;CHAR(10)&amp;"【焕新补贴预估价"&amp;ROUND(_xlfn.XLOOKUP($A422&amp;$B422&amp;$C422,盘货信息!$A:$A&amp;盘货信息!$B:$B&amp;盘货信息!$C:$C,盘货信息!$E:$E),0)&amp;"元】","【焕新补贴预估价"&amp;ROUND(_xlfn.XLOOKUP($A422&amp;$B422&amp;$C422,盘货信息!$A:$A&amp;盘货信息!$B:$B&amp;盘货信息!$C:$C,盘货信息!$E:$E),0)&amp;"元】")))</f>
        <v/>
      </c>
      <c r="F422" s="27" t="str" cm="1">
        <f t="array" ref="F422">IF($C422="","",_xlfn.XLOOKUP($A422&amp;$B422&amp;$C422,盘货信息!$A:$A&amp;盘货信息!$B:$B&amp;盘货信息!$C:$C,盘货信息!$D:$D)&amp;"元到手价")</f>
        <v/>
      </c>
      <c r="G422" s="27" t="str" cm="1">
        <f t="array" ref="G422">IF($C422="","",IF(_xlfn.XLOOKUP($A422&amp;$B422&amp;$C422,盘货信息!$A:$A&amp;盘货信息!$B:$B&amp;盘货信息!$C:$C,盘货信息!$G:$G)&lt;1,"",ROUND(_xlfn.XLOOKUP($A422&amp;$B422&amp;$C422,盘货信息!$A:$A&amp;盘货信息!$B:$B&amp;盘货信息!$C:$C,盘货信息!$G:$G),0)&amp;"元88VIP立减"))</f>
        <v/>
      </c>
      <c r="H422" s="27" t="str" cm="1">
        <f t="array" ref="H422">IF($C422="","",IF(_xlfn.XLOOKUP($A422&amp;$B422&amp;$C422,盘货信息!$A:$A&amp;盘货信息!$B:$B&amp;盘货信息!$C:$C,盘货信息!$I:$I)&lt;1,"",_xlfn.XLOOKUP($A422&amp;$B422&amp;$C422,盘货信息!$A:$A&amp;盘货信息!$B:$B&amp;盘货信息!$C:$C,盘货信息!$I:$I)&amp;"元惊喜立减"))</f>
        <v/>
      </c>
      <c r="I422" s="27" t="str" cm="1">
        <f t="array" ref="I422">IF($C422="","",IF(_xlfn.XLOOKUP($A422&amp;$B422&amp;$C422,盘货信息!$A:$A&amp;盘货信息!$B:$B&amp;盘货信息!$C:$C,盘货信息!$H:$H)&lt;1,"",ROUND(_xlfn.XLOOKUP($A422&amp;$B422&amp;$C422,盘货信息!$A:$A&amp;盘货信息!$B:$B&amp;盘货信息!$C:$C,盘货信息!$H:$H),0)&amp;"元消费券"))</f>
        <v/>
      </c>
      <c r="J422" s="27" t="str" cm="1">
        <f t="array" ref="J422">IF($C422="","",IF(_xlfn.XLOOKUP($A422&amp;$B422&amp;$C422,盘货信息!$A:$A&amp;盘货信息!$B:$B&amp;盘货信息!$C:$C,盘货信息!$J:$J)&lt;1,"",ROUND(_xlfn.XLOOKUP($A422&amp;$B422&amp;$C422,盘货信息!$A:$A&amp;盘货信息!$B:$B&amp;盘货信息!$C:$C,盘货信息!$J:$J),0)&amp;"元限时补贴"))</f>
        <v/>
      </c>
      <c r="K422" s="27" t="str" cm="1">
        <f t="array" ref="K422">IF($C422="","",IF(_xlfn.XLOOKUP($A422&amp;$B422&amp;$C422,盘货信息!$A:$A&amp;盘货信息!$B:$B&amp;盘货信息!$C:$C,盘货信息!$K:$K)&lt;1,"",ROUND(_xlfn.XLOOKUP($A422&amp;$B422&amp;$C422,盘货信息!$A:$A&amp;盘货信息!$B:$B&amp;盘货信息!$C:$C,盘货信息!$K:$K),0)&amp;"元预估焕新补贴"))</f>
        <v/>
      </c>
      <c r="L422" s="27" t="str" cm="1">
        <f t="array" ref="L422">IF($C422="","",IF(AND(_xlfn.XLOOKUP($A422&amp;$B422&amp;$C422,盘货信息!$A:$A&amp;盘货信息!$B:$B&amp;盘货信息!$C:$C,盘货信息!$L:$L)="是",_xlfn.XLOOKUP($A422&amp;$B422&amp;$C422,盘货信息!$A:$A&amp;盘货信息!$B:$B&amp;盘货信息!$C:$C,盘货信息!$M:$M)="是",_xlfn.XLOOKUP($A422&amp;$B422&amp;$C422,盘货信息!$A:$A&amp;盘货信息!$B:$B&amp;盘货信息!$C:$C,盘货信息!$K:$K)&gt;0),"【全民可用，不限地址】",IF(AND(OR(_xlfn.XLOOKUP($A422&amp;$B422&amp;$C422,盘货信息!$A:$A&amp;盘货信息!$B:$B&amp;盘货信息!$C:$C,盘货信息!$L:$L)="否",_xlfn.XLOOKUP($A422&amp;$B422&amp;$C422,盘货信息!$A:$A&amp;盘货信息!$B:$B&amp;盘货信息!$C:$C,盘货信息!$L:$L)=""),_xlfn.XLOOKUP($A422&amp;$B422&amp;$C422,盘货信息!$A:$A&amp;盘货信息!$B:$B&amp;盘货信息!$C:$C,盘货信息!$M:$M)="是",_xlfn.XLOOKUP($A422&amp;$B422&amp;$C422,盘货信息!$A:$A&amp;盘货信息!$B:$B&amp;盘货信息!$C:$C,盘货信息!$K:$K)&gt;0),"【详情页领取】","")))</f>
        <v/>
      </c>
      <c r="M422" s="27" t="str" cm="1">
        <f t="array" ref="M422">IF($C422="","",IF(_xlfn.XLOOKUP($A422&amp;$B422&amp;$C422,盘货信息!$A:$A&amp;盘货信息!$B:$B&amp;盘货信息!$C:$C,盘货信息!$F:$F)&lt;1,"",_xlfn.XLOOKUP($A422&amp;$B422&amp;$C422,盘货信息!$A:$A&amp;盘货信息!$B:$B&amp;盘货信息!$C:$C,盘货信息!$F:$F)&amp;"元明卷"))</f>
        <v/>
      </c>
      <c r="N422" s="27" t="str">
        <f t="shared" si="13"/>
        <v/>
      </c>
      <c r="O422" s="27" t="str">
        <f>IF(I422="","","【消费券链接】"&amp;固定信息!$B$6)</f>
        <v/>
      </c>
    </row>
    <row r="423" customHeight="1" spans="1:15">
      <c r="A423" s="23" t="str">
        <f>IF(盘货信息!A423="","",盘货信息!A423)</f>
        <v/>
      </c>
      <c r="B423" s="26" t="str">
        <f>IF(盘货信息!B423="","",盘货信息!B423)</f>
        <v/>
      </c>
      <c r="C423" s="23" t="str">
        <f>IF(盘货信息!C423="","",盘货信息!C423)</f>
        <v/>
      </c>
      <c r="D423" s="27" t="str">
        <f t="shared" si="12"/>
        <v/>
      </c>
      <c r="E423" s="27" t="str" cm="1">
        <f t="array" ref="E423">IF($C423="","",IF(AND(OR(_xlfn.XLOOKUP($A423&amp;$B423&amp;$C423,盘货信息!$A:$A&amp;盘货信息!$B:$B&amp;盘货信息!$C:$C,盘货信息!$L:$L)="否",_xlfn.XLOOKUP($A423&amp;$B423&amp;$C423,盘货信息!$A:$A&amp;盘货信息!$B:$B&amp;盘货信息!$C:$C,盘货信息!$L:$L)=""),_xlfn.XLOOKUP($A423&amp;$B423&amp;$C423,盘货信息!$A:$A&amp;盘货信息!$B:$B&amp;盘货信息!$C:$C,盘货信息!$M:$M)="否"),"【预估到手价"&amp;_xlfn.XLOOKUP($A423&amp;$B423&amp;$C423,盘货信息!$A:$A&amp;盘货信息!$B:$B&amp;盘货信息!$C:$C,盘货信息!$D:$D)&amp;"元】",IF(AND(_xlfn.XLOOKUP($A423&amp;$B423&amp;$C423,盘货信息!$A:$A&amp;盘货信息!$B:$B&amp;盘货信息!$C:$C,盘货信息!$M:$M)="是",OR(_xlfn.XLOOKUP($A423&amp;$B423&amp;$C423,盘货信息!$A:$A&amp;盘货信息!$B:$B&amp;盘货信息!$C:$C,盘货信息!$L:$L)="否",_xlfn.XLOOKUP($A423&amp;$B423&amp;$C423,盘货信息!$A:$A&amp;盘货信息!$B:$B&amp;盘货信息!$C:$C,盘货信息!$L:$L)="")),"【预估到手价"&amp;_xlfn.XLOOKUP($A423&amp;$B423&amp;$C423,盘货信息!$A:$A&amp;盘货信息!$B:$B&amp;盘货信息!$C:$C,盘货信息!$D:$D)&amp;"元】"&amp;CHAR(10)&amp;"【焕新补贴预估价"&amp;ROUND(_xlfn.XLOOKUP($A423&amp;$B423&amp;$C423,盘货信息!$A:$A&amp;盘货信息!$B:$B&amp;盘货信息!$C:$C,盘货信息!$E:$E),0)&amp;"元】","【焕新补贴预估价"&amp;ROUND(_xlfn.XLOOKUP($A423&amp;$B423&amp;$C423,盘货信息!$A:$A&amp;盘货信息!$B:$B&amp;盘货信息!$C:$C,盘货信息!$E:$E),0)&amp;"元】")))</f>
        <v/>
      </c>
      <c r="F423" s="27" t="str" cm="1">
        <f t="array" ref="F423">IF($C423="","",_xlfn.XLOOKUP($A423&amp;$B423&amp;$C423,盘货信息!$A:$A&amp;盘货信息!$B:$B&amp;盘货信息!$C:$C,盘货信息!$D:$D)&amp;"元到手价")</f>
        <v/>
      </c>
      <c r="G423" s="27" t="str" cm="1">
        <f t="array" ref="G423">IF($C423="","",IF(_xlfn.XLOOKUP($A423&amp;$B423&amp;$C423,盘货信息!$A:$A&amp;盘货信息!$B:$B&amp;盘货信息!$C:$C,盘货信息!$G:$G)&lt;1,"",ROUND(_xlfn.XLOOKUP($A423&amp;$B423&amp;$C423,盘货信息!$A:$A&amp;盘货信息!$B:$B&amp;盘货信息!$C:$C,盘货信息!$G:$G),0)&amp;"元88VIP立减"))</f>
        <v/>
      </c>
      <c r="H423" s="27" t="str" cm="1">
        <f t="array" ref="H423">IF($C423="","",IF(_xlfn.XLOOKUP($A423&amp;$B423&amp;$C423,盘货信息!$A:$A&amp;盘货信息!$B:$B&amp;盘货信息!$C:$C,盘货信息!$I:$I)&lt;1,"",_xlfn.XLOOKUP($A423&amp;$B423&amp;$C423,盘货信息!$A:$A&amp;盘货信息!$B:$B&amp;盘货信息!$C:$C,盘货信息!$I:$I)&amp;"元惊喜立减"))</f>
        <v/>
      </c>
      <c r="I423" s="27" t="str" cm="1">
        <f t="array" ref="I423">IF($C423="","",IF(_xlfn.XLOOKUP($A423&amp;$B423&amp;$C423,盘货信息!$A:$A&amp;盘货信息!$B:$B&amp;盘货信息!$C:$C,盘货信息!$H:$H)&lt;1,"",ROUND(_xlfn.XLOOKUP($A423&amp;$B423&amp;$C423,盘货信息!$A:$A&amp;盘货信息!$B:$B&amp;盘货信息!$C:$C,盘货信息!$H:$H),0)&amp;"元消费券"))</f>
        <v/>
      </c>
      <c r="J423" s="27" t="str" cm="1">
        <f t="array" ref="J423">IF($C423="","",IF(_xlfn.XLOOKUP($A423&amp;$B423&amp;$C423,盘货信息!$A:$A&amp;盘货信息!$B:$B&amp;盘货信息!$C:$C,盘货信息!$J:$J)&lt;1,"",ROUND(_xlfn.XLOOKUP($A423&amp;$B423&amp;$C423,盘货信息!$A:$A&amp;盘货信息!$B:$B&amp;盘货信息!$C:$C,盘货信息!$J:$J),0)&amp;"元限时补贴"))</f>
        <v/>
      </c>
      <c r="K423" s="27" t="str" cm="1">
        <f t="array" ref="K423">IF($C423="","",IF(_xlfn.XLOOKUP($A423&amp;$B423&amp;$C423,盘货信息!$A:$A&amp;盘货信息!$B:$B&amp;盘货信息!$C:$C,盘货信息!$K:$K)&lt;1,"",ROUND(_xlfn.XLOOKUP($A423&amp;$B423&amp;$C423,盘货信息!$A:$A&amp;盘货信息!$B:$B&amp;盘货信息!$C:$C,盘货信息!$K:$K),0)&amp;"元预估焕新补贴"))</f>
        <v/>
      </c>
      <c r="L423" s="27" t="str" cm="1">
        <f t="array" ref="L423">IF($C423="","",IF(AND(_xlfn.XLOOKUP($A423&amp;$B423&amp;$C423,盘货信息!$A:$A&amp;盘货信息!$B:$B&amp;盘货信息!$C:$C,盘货信息!$L:$L)="是",_xlfn.XLOOKUP($A423&amp;$B423&amp;$C423,盘货信息!$A:$A&amp;盘货信息!$B:$B&amp;盘货信息!$C:$C,盘货信息!$M:$M)="是",_xlfn.XLOOKUP($A423&amp;$B423&amp;$C423,盘货信息!$A:$A&amp;盘货信息!$B:$B&amp;盘货信息!$C:$C,盘货信息!$K:$K)&gt;0),"【全民可用，不限地址】",IF(AND(OR(_xlfn.XLOOKUP($A423&amp;$B423&amp;$C423,盘货信息!$A:$A&amp;盘货信息!$B:$B&amp;盘货信息!$C:$C,盘货信息!$L:$L)="否",_xlfn.XLOOKUP($A423&amp;$B423&amp;$C423,盘货信息!$A:$A&amp;盘货信息!$B:$B&amp;盘货信息!$C:$C,盘货信息!$L:$L)=""),_xlfn.XLOOKUP($A423&amp;$B423&amp;$C423,盘货信息!$A:$A&amp;盘货信息!$B:$B&amp;盘货信息!$C:$C,盘货信息!$M:$M)="是",_xlfn.XLOOKUP($A423&amp;$B423&amp;$C423,盘货信息!$A:$A&amp;盘货信息!$B:$B&amp;盘货信息!$C:$C,盘货信息!$K:$K)&gt;0),"【详情页领取】","")))</f>
        <v/>
      </c>
      <c r="M423" s="27" t="str" cm="1">
        <f t="array" ref="M423">IF($C423="","",IF(_xlfn.XLOOKUP($A423&amp;$B423&amp;$C423,盘货信息!$A:$A&amp;盘货信息!$B:$B&amp;盘货信息!$C:$C,盘货信息!$F:$F)&lt;1,"",_xlfn.XLOOKUP($A423&amp;$B423&amp;$C423,盘货信息!$A:$A&amp;盘货信息!$B:$B&amp;盘货信息!$C:$C,盘货信息!$F:$F)&amp;"元明卷"))</f>
        <v/>
      </c>
      <c r="N423" s="27" t="str">
        <f t="shared" si="13"/>
        <v/>
      </c>
      <c r="O423" s="27" t="str">
        <f>IF(I423="","","【消费券链接】"&amp;固定信息!$B$6)</f>
        <v/>
      </c>
    </row>
    <row r="424" customHeight="1" spans="1:15">
      <c r="A424" s="23" t="str">
        <f>IF(盘货信息!A424="","",盘货信息!A424)</f>
        <v/>
      </c>
      <c r="B424" s="26" t="str">
        <f>IF(盘货信息!B424="","",盘货信息!B424)</f>
        <v/>
      </c>
      <c r="C424" s="23" t="str">
        <f>IF(盘货信息!C424="","",盘货信息!C424)</f>
        <v/>
      </c>
      <c r="D424" s="27" t="str">
        <f t="shared" si="12"/>
        <v/>
      </c>
      <c r="E424" s="27" t="str" cm="1">
        <f t="array" ref="E424">IF($C424="","",IF(AND(OR(_xlfn.XLOOKUP($A424&amp;$B424&amp;$C424,盘货信息!$A:$A&amp;盘货信息!$B:$B&amp;盘货信息!$C:$C,盘货信息!$L:$L)="否",_xlfn.XLOOKUP($A424&amp;$B424&amp;$C424,盘货信息!$A:$A&amp;盘货信息!$B:$B&amp;盘货信息!$C:$C,盘货信息!$L:$L)=""),_xlfn.XLOOKUP($A424&amp;$B424&amp;$C424,盘货信息!$A:$A&amp;盘货信息!$B:$B&amp;盘货信息!$C:$C,盘货信息!$M:$M)="否"),"【预估到手价"&amp;_xlfn.XLOOKUP($A424&amp;$B424&amp;$C424,盘货信息!$A:$A&amp;盘货信息!$B:$B&amp;盘货信息!$C:$C,盘货信息!$D:$D)&amp;"元】",IF(AND(_xlfn.XLOOKUP($A424&amp;$B424&amp;$C424,盘货信息!$A:$A&amp;盘货信息!$B:$B&amp;盘货信息!$C:$C,盘货信息!$M:$M)="是",OR(_xlfn.XLOOKUP($A424&amp;$B424&amp;$C424,盘货信息!$A:$A&amp;盘货信息!$B:$B&amp;盘货信息!$C:$C,盘货信息!$L:$L)="否",_xlfn.XLOOKUP($A424&amp;$B424&amp;$C424,盘货信息!$A:$A&amp;盘货信息!$B:$B&amp;盘货信息!$C:$C,盘货信息!$L:$L)="")),"【预估到手价"&amp;_xlfn.XLOOKUP($A424&amp;$B424&amp;$C424,盘货信息!$A:$A&amp;盘货信息!$B:$B&amp;盘货信息!$C:$C,盘货信息!$D:$D)&amp;"元】"&amp;CHAR(10)&amp;"【焕新补贴预估价"&amp;ROUND(_xlfn.XLOOKUP($A424&amp;$B424&amp;$C424,盘货信息!$A:$A&amp;盘货信息!$B:$B&amp;盘货信息!$C:$C,盘货信息!$E:$E),0)&amp;"元】","【焕新补贴预估价"&amp;ROUND(_xlfn.XLOOKUP($A424&amp;$B424&amp;$C424,盘货信息!$A:$A&amp;盘货信息!$B:$B&amp;盘货信息!$C:$C,盘货信息!$E:$E),0)&amp;"元】")))</f>
        <v/>
      </c>
      <c r="F424" s="27" t="str" cm="1">
        <f t="array" ref="F424">IF($C424="","",_xlfn.XLOOKUP($A424&amp;$B424&amp;$C424,盘货信息!$A:$A&amp;盘货信息!$B:$B&amp;盘货信息!$C:$C,盘货信息!$D:$D)&amp;"元到手价")</f>
        <v/>
      </c>
      <c r="G424" s="27" t="str" cm="1">
        <f t="array" ref="G424">IF($C424="","",IF(_xlfn.XLOOKUP($A424&amp;$B424&amp;$C424,盘货信息!$A:$A&amp;盘货信息!$B:$B&amp;盘货信息!$C:$C,盘货信息!$G:$G)&lt;1,"",ROUND(_xlfn.XLOOKUP($A424&amp;$B424&amp;$C424,盘货信息!$A:$A&amp;盘货信息!$B:$B&amp;盘货信息!$C:$C,盘货信息!$G:$G),0)&amp;"元88VIP立减"))</f>
        <v/>
      </c>
      <c r="H424" s="27" t="str" cm="1">
        <f t="array" ref="H424">IF($C424="","",IF(_xlfn.XLOOKUP($A424&amp;$B424&amp;$C424,盘货信息!$A:$A&amp;盘货信息!$B:$B&amp;盘货信息!$C:$C,盘货信息!$I:$I)&lt;1,"",_xlfn.XLOOKUP($A424&amp;$B424&amp;$C424,盘货信息!$A:$A&amp;盘货信息!$B:$B&amp;盘货信息!$C:$C,盘货信息!$I:$I)&amp;"元惊喜立减"))</f>
        <v/>
      </c>
      <c r="I424" s="27" t="str" cm="1">
        <f t="array" ref="I424">IF($C424="","",IF(_xlfn.XLOOKUP($A424&amp;$B424&amp;$C424,盘货信息!$A:$A&amp;盘货信息!$B:$B&amp;盘货信息!$C:$C,盘货信息!$H:$H)&lt;1,"",ROUND(_xlfn.XLOOKUP($A424&amp;$B424&amp;$C424,盘货信息!$A:$A&amp;盘货信息!$B:$B&amp;盘货信息!$C:$C,盘货信息!$H:$H),0)&amp;"元消费券"))</f>
        <v/>
      </c>
      <c r="J424" s="27" t="str" cm="1">
        <f t="array" ref="J424">IF($C424="","",IF(_xlfn.XLOOKUP($A424&amp;$B424&amp;$C424,盘货信息!$A:$A&amp;盘货信息!$B:$B&amp;盘货信息!$C:$C,盘货信息!$J:$J)&lt;1,"",ROUND(_xlfn.XLOOKUP($A424&amp;$B424&amp;$C424,盘货信息!$A:$A&amp;盘货信息!$B:$B&amp;盘货信息!$C:$C,盘货信息!$J:$J),0)&amp;"元限时补贴"))</f>
        <v/>
      </c>
      <c r="K424" s="27" t="str" cm="1">
        <f t="array" ref="K424">IF($C424="","",IF(_xlfn.XLOOKUP($A424&amp;$B424&amp;$C424,盘货信息!$A:$A&amp;盘货信息!$B:$B&amp;盘货信息!$C:$C,盘货信息!$K:$K)&lt;1,"",ROUND(_xlfn.XLOOKUP($A424&amp;$B424&amp;$C424,盘货信息!$A:$A&amp;盘货信息!$B:$B&amp;盘货信息!$C:$C,盘货信息!$K:$K),0)&amp;"元预估焕新补贴"))</f>
        <v/>
      </c>
      <c r="L424" s="27" t="str" cm="1">
        <f t="array" ref="L424">IF($C424="","",IF(AND(_xlfn.XLOOKUP($A424&amp;$B424&amp;$C424,盘货信息!$A:$A&amp;盘货信息!$B:$B&amp;盘货信息!$C:$C,盘货信息!$L:$L)="是",_xlfn.XLOOKUP($A424&amp;$B424&amp;$C424,盘货信息!$A:$A&amp;盘货信息!$B:$B&amp;盘货信息!$C:$C,盘货信息!$M:$M)="是",_xlfn.XLOOKUP($A424&amp;$B424&amp;$C424,盘货信息!$A:$A&amp;盘货信息!$B:$B&amp;盘货信息!$C:$C,盘货信息!$K:$K)&gt;0),"【全民可用，不限地址】",IF(AND(OR(_xlfn.XLOOKUP($A424&amp;$B424&amp;$C424,盘货信息!$A:$A&amp;盘货信息!$B:$B&amp;盘货信息!$C:$C,盘货信息!$L:$L)="否",_xlfn.XLOOKUP($A424&amp;$B424&amp;$C424,盘货信息!$A:$A&amp;盘货信息!$B:$B&amp;盘货信息!$C:$C,盘货信息!$L:$L)=""),_xlfn.XLOOKUP($A424&amp;$B424&amp;$C424,盘货信息!$A:$A&amp;盘货信息!$B:$B&amp;盘货信息!$C:$C,盘货信息!$M:$M)="是",_xlfn.XLOOKUP($A424&amp;$B424&amp;$C424,盘货信息!$A:$A&amp;盘货信息!$B:$B&amp;盘货信息!$C:$C,盘货信息!$K:$K)&gt;0),"【详情页领取】","")))</f>
        <v/>
      </c>
      <c r="M424" s="27" t="str" cm="1">
        <f t="array" ref="M424">IF($C424="","",IF(_xlfn.XLOOKUP($A424&amp;$B424&amp;$C424,盘货信息!$A:$A&amp;盘货信息!$B:$B&amp;盘货信息!$C:$C,盘货信息!$F:$F)&lt;1,"",_xlfn.XLOOKUP($A424&amp;$B424&amp;$C424,盘货信息!$A:$A&amp;盘货信息!$B:$B&amp;盘货信息!$C:$C,盘货信息!$F:$F)&amp;"元明卷"))</f>
        <v/>
      </c>
      <c r="N424" s="27" t="str">
        <f t="shared" si="13"/>
        <v/>
      </c>
      <c r="O424" s="27" t="str">
        <f>IF(I424="","","【消费券链接】"&amp;固定信息!$B$6)</f>
        <v/>
      </c>
    </row>
    <row r="425" customHeight="1" spans="1:15">
      <c r="A425" s="23" t="str">
        <f>IF(盘货信息!A425="","",盘货信息!A425)</f>
        <v/>
      </c>
      <c r="B425" s="26" t="str">
        <f>IF(盘货信息!B425="","",盘货信息!B425)</f>
        <v/>
      </c>
      <c r="C425" s="23" t="str">
        <f>IF(盘货信息!C425="","",盘货信息!C425)</f>
        <v/>
      </c>
      <c r="D425" s="27" t="str">
        <f t="shared" si="12"/>
        <v/>
      </c>
      <c r="E425" s="27" t="str" cm="1">
        <f t="array" ref="E425">IF($C425="","",IF(AND(OR(_xlfn.XLOOKUP($A425&amp;$B425&amp;$C425,盘货信息!$A:$A&amp;盘货信息!$B:$B&amp;盘货信息!$C:$C,盘货信息!$L:$L)="否",_xlfn.XLOOKUP($A425&amp;$B425&amp;$C425,盘货信息!$A:$A&amp;盘货信息!$B:$B&amp;盘货信息!$C:$C,盘货信息!$L:$L)=""),_xlfn.XLOOKUP($A425&amp;$B425&amp;$C425,盘货信息!$A:$A&amp;盘货信息!$B:$B&amp;盘货信息!$C:$C,盘货信息!$M:$M)="否"),"【预估到手价"&amp;_xlfn.XLOOKUP($A425&amp;$B425&amp;$C425,盘货信息!$A:$A&amp;盘货信息!$B:$B&amp;盘货信息!$C:$C,盘货信息!$D:$D)&amp;"元】",IF(AND(_xlfn.XLOOKUP($A425&amp;$B425&amp;$C425,盘货信息!$A:$A&amp;盘货信息!$B:$B&amp;盘货信息!$C:$C,盘货信息!$M:$M)="是",OR(_xlfn.XLOOKUP($A425&amp;$B425&amp;$C425,盘货信息!$A:$A&amp;盘货信息!$B:$B&amp;盘货信息!$C:$C,盘货信息!$L:$L)="否",_xlfn.XLOOKUP($A425&amp;$B425&amp;$C425,盘货信息!$A:$A&amp;盘货信息!$B:$B&amp;盘货信息!$C:$C,盘货信息!$L:$L)="")),"【预估到手价"&amp;_xlfn.XLOOKUP($A425&amp;$B425&amp;$C425,盘货信息!$A:$A&amp;盘货信息!$B:$B&amp;盘货信息!$C:$C,盘货信息!$D:$D)&amp;"元】"&amp;CHAR(10)&amp;"【焕新补贴预估价"&amp;ROUND(_xlfn.XLOOKUP($A425&amp;$B425&amp;$C425,盘货信息!$A:$A&amp;盘货信息!$B:$B&amp;盘货信息!$C:$C,盘货信息!$E:$E),0)&amp;"元】","【焕新补贴预估价"&amp;ROUND(_xlfn.XLOOKUP($A425&amp;$B425&amp;$C425,盘货信息!$A:$A&amp;盘货信息!$B:$B&amp;盘货信息!$C:$C,盘货信息!$E:$E),0)&amp;"元】")))</f>
        <v/>
      </c>
      <c r="F425" s="27" t="str" cm="1">
        <f t="array" ref="F425">IF($C425="","",_xlfn.XLOOKUP($A425&amp;$B425&amp;$C425,盘货信息!$A:$A&amp;盘货信息!$B:$B&amp;盘货信息!$C:$C,盘货信息!$D:$D)&amp;"元到手价")</f>
        <v/>
      </c>
      <c r="G425" s="27" t="str" cm="1">
        <f t="array" ref="G425">IF($C425="","",IF(_xlfn.XLOOKUP($A425&amp;$B425&amp;$C425,盘货信息!$A:$A&amp;盘货信息!$B:$B&amp;盘货信息!$C:$C,盘货信息!$G:$G)&lt;1,"",ROUND(_xlfn.XLOOKUP($A425&amp;$B425&amp;$C425,盘货信息!$A:$A&amp;盘货信息!$B:$B&amp;盘货信息!$C:$C,盘货信息!$G:$G),0)&amp;"元88VIP立减"))</f>
        <v/>
      </c>
      <c r="H425" s="27" t="str" cm="1">
        <f t="array" ref="H425">IF($C425="","",IF(_xlfn.XLOOKUP($A425&amp;$B425&amp;$C425,盘货信息!$A:$A&amp;盘货信息!$B:$B&amp;盘货信息!$C:$C,盘货信息!$I:$I)&lt;1,"",_xlfn.XLOOKUP($A425&amp;$B425&amp;$C425,盘货信息!$A:$A&amp;盘货信息!$B:$B&amp;盘货信息!$C:$C,盘货信息!$I:$I)&amp;"元惊喜立减"))</f>
        <v/>
      </c>
      <c r="I425" s="27" t="str" cm="1">
        <f t="array" ref="I425">IF($C425="","",IF(_xlfn.XLOOKUP($A425&amp;$B425&amp;$C425,盘货信息!$A:$A&amp;盘货信息!$B:$B&amp;盘货信息!$C:$C,盘货信息!$H:$H)&lt;1,"",ROUND(_xlfn.XLOOKUP($A425&amp;$B425&amp;$C425,盘货信息!$A:$A&amp;盘货信息!$B:$B&amp;盘货信息!$C:$C,盘货信息!$H:$H),0)&amp;"元消费券"))</f>
        <v/>
      </c>
      <c r="J425" s="27" t="str" cm="1">
        <f t="array" ref="J425">IF($C425="","",IF(_xlfn.XLOOKUP($A425&amp;$B425&amp;$C425,盘货信息!$A:$A&amp;盘货信息!$B:$B&amp;盘货信息!$C:$C,盘货信息!$J:$J)&lt;1,"",ROUND(_xlfn.XLOOKUP($A425&amp;$B425&amp;$C425,盘货信息!$A:$A&amp;盘货信息!$B:$B&amp;盘货信息!$C:$C,盘货信息!$J:$J),0)&amp;"元限时补贴"))</f>
        <v/>
      </c>
      <c r="K425" s="27" t="str" cm="1">
        <f t="array" ref="K425">IF($C425="","",IF(_xlfn.XLOOKUP($A425&amp;$B425&amp;$C425,盘货信息!$A:$A&amp;盘货信息!$B:$B&amp;盘货信息!$C:$C,盘货信息!$K:$K)&lt;1,"",ROUND(_xlfn.XLOOKUP($A425&amp;$B425&amp;$C425,盘货信息!$A:$A&amp;盘货信息!$B:$B&amp;盘货信息!$C:$C,盘货信息!$K:$K),0)&amp;"元预估焕新补贴"))</f>
        <v/>
      </c>
      <c r="L425" s="27" t="str" cm="1">
        <f t="array" ref="L425">IF($C425="","",IF(AND(_xlfn.XLOOKUP($A425&amp;$B425&amp;$C425,盘货信息!$A:$A&amp;盘货信息!$B:$B&amp;盘货信息!$C:$C,盘货信息!$L:$L)="是",_xlfn.XLOOKUP($A425&amp;$B425&amp;$C425,盘货信息!$A:$A&amp;盘货信息!$B:$B&amp;盘货信息!$C:$C,盘货信息!$M:$M)="是",_xlfn.XLOOKUP($A425&amp;$B425&amp;$C425,盘货信息!$A:$A&amp;盘货信息!$B:$B&amp;盘货信息!$C:$C,盘货信息!$K:$K)&gt;0),"【全民可用，不限地址】",IF(AND(OR(_xlfn.XLOOKUP($A425&amp;$B425&amp;$C425,盘货信息!$A:$A&amp;盘货信息!$B:$B&amp;盘货信息!$C:$C,盘货信息!$L:$L)="否",_xlfn.XLOOKUP($A425&amp;$B425&amp;$C425,盘货信息!$A:$A&amp;盘货信息!$B:$B&amp;盘货信息!$C:$C,盘货信息!$L:$L)=""),_xlfn.XLOOKUP($A425&amp;$B425&amp;$C425,盘货信息!$A:$A&amp;盘货信息!$B:$B&amp;盘货信息!$C:$C,盘货信息!$M:$M)="是",_xlfn.XLOOKUP($A425&amp;$B425&amp;$C425,盘货信息!$A:$A&amp;盘货信息!$B:$B&amp;盘货信息!$C:$C,盘货信息!$K:$K)&gt;0),"【详情页领取】","")))</f>
        <v/>
      </c>
      <c r="M425" s="27" t="str" cm="1">
        <f t="array" ref="M425">IF($C425="","",IF(_xlfn.XLOOKUP($A425&amp;$B425&amp;$C425,盘货信息!$A:$A&amp;盘货信息!$B:$B&amp;盘货信息!$C:$C,盘货信息!$F:$F)&lt;1,"",_xlfn.XLOOKUP($A425&amp;$B425&amp;$C425,盘货信息!$A:$A&amp;盘货信息!$B:$B&amp;盘货信息!$C:$C,盘货信息!$F:$F)&amp;"元明卷"))</f>
        <v/>
      </c>
      <c r="N425" s="27" t="str">
        <f t="shared" si="13"/>
        <v/>
      </c>
      <c r="O425" s="27" t="str">
        <f>IF(I425="","","【消费券链接】"&amp;固定信息!$B$6)</f>
        <v/>
      </c>
    </row>
    <row r="426" customHeight="1" spans="1:15">
      <c r="A426" s="23" t="str">
        <f>IF(盘货信息!A426="","",盘货信息!A426)</f>
        <v/>
      </c>
      <c r="B426" s="26" t="str">
        <f>IF(盘货信息!B426="","",盘货信息!B426)</f>
        <v/>
      </c>
      <c r="C426" s="23" t="str">
        <f>IF(盘货信息!C426="","",盘货信息!C426)</f>
        <v/>
      </c>
      <c r="D426" s="27" t="str">
        <f t="shared" si="12"/>
        <v/>
      </c>
      <c r="E426" s="27" t="str" cm="1">
        <f t="array" ref="E426">IF($C426="","",IF(AND(OR(_xlfn.XLOOKUP($A426&amp;$B426&amp;$C426,盘货信息!$A:$A&amp;盘货信息!$B:$B&amp;盘货信息!$C:$C,盘货信息!$L:$L)="否",_xlfn.XLOOKUP($A426&amp;$B426&amp;$C426,盘货信息!$A:$A&amp;盘货信息!$B:$B&amp;盘货信息!$C:$C,盘货信息!$L:$L)=""),_xlfn.XLOOKUP($A426&amp;$B426&amp;$C426,盘货信息!$A:$A&amp;盘货信息!$B:$B&amp;盘货信息!$C:$C,盘货信息!$M:$M)="否"),"【预估到手价"&amp;_xlfn.XLOOKUP($A426&amp;$B426&amp;$C426,盘货信息!$A:$A&amp;盘货信息!$B:$B&amp;盘货信息!$C:$C,盘货信息!$D:$D)&amp;"元】",IF(AND(_xlfn.XLOOKUP($A426&amp;$B426&amp;$C426,盘货信息!$A:$A&amp;盘货信息!$B:$B&amp;盘货信息!$C:$C,盘货信息!$M:$M)="是",OR(_xlfn.XLOOKUP($A426&amp;$B426&amp;$C426,盘货信息!$A:$A&amp;盘货信息!$B:$B&amp;盘货信息!$C:$C,盘货信息!$L:$L)="否",_xlfn.XLOOKUP($A426&amp;$B426&amp;$C426,盘货信息!$A:$A&amp;盘货信息!$B:$B&amp;盘货信息!$C:$C,盘货信息!$L:$L)="")),"【预估到手价"&amp;_xlfn.XLOOKUP($A426&amp;$B426&amp;$C426,盘货信息!$A:$A&amp;盘货信息!$B:$B&amp;盘货信息!$C:$C,盘货信息!$D:$D)&amp;"元】"&amp;CHAR(10)&amp;"【焕新补贴预估价"&amp;ROUND(_xlfn.XLOOKUP($A426&amp;$B426&amp;$C426,盘货信息!$A:$A&amp;盘货信息!$B:$B&amp;盘货信息!$C:$C,盘货信息!$E:$E),0)&amp;"元】","【焕新补贴预估价"&amp;ROUND(_xlfn.XLOOKUP($A426&amp;$B426&amp;$C426,盘货信息!$A:$A&amp;盘货信息!$B:$B&amp;盘货信息!$C:$C,盘货信息!$E:$E),0)&amp;"元】")))</f>
        <v/>
      </c>
      <c r="F426" s="27" t="str" cm="1">
        <f t="array" ref="F426">IF($C426="","",_xlfn.XLOOKUP($A426&amp;$B426&amp;$C426,盘货信息!$A:$A&amp;盘货信息!$B:$B&amp;盘货信息!$C:$C,盘货信息!$D:$D)&amp;"元到手价")</f>
        <v/>
      </c>
      <c r="G426" s="27" t="str" cm="1">
        <f t="array" ref="G426">IF($C426="","",IF(_xlfn.XLOOKUP($A426&amp;$B426&amp;$C426,盘货信息!$A:$A&amp;盘货信息!$B:$B&amp;盘货信息!$C:$C,盘货信息!$G:$G)&lt;1,"",ROUND(_xlfn.XLOOKUP($A426&amp;$B426&amp;$C426,盘货信息!$A:$A&amp;盘货信息!$B:$B&amp;盘货信息!$C:$C,盘货信息!$G:$G),0)&amp;"元88VIP立减"))</f>
        <v/>
      </c>
      <c r="H426" s="27" t="str" cm="1">
        <f t="array" ref="H426">IF($C426="","",IF(_xlfn.XLOOKUP($A426&amp;$B426&amp;$C426,盘货信息!$A:$A&amp;盘货信息!$B:$B&amp;盘货信息!$C:$C,盘货信息!$I:$I)&lt;1,"",_xlfn.XLOOKUP($A426&amp;$B426&amp;$C426,盘货信息!$A:$A&amp;盘货信息!$B:$B&amp;盘货信息!$C:$C,盘货信息!$I:$I)&amp;"元惊喜立减"))</f>
        <v/>
      </c>
      <c r="I426" s="27" t="str" cm="1">
        <f t="array" ref="I426">IF($C426="","",IF(_xlfn.XLOOKUP($A426&amp;$B426&amp;$C426,盘货信息!$A:$A&amp;盘货信息!$B:$B&amp;盘货信息!$C:$C,盘货信息!$H:$H)&lt;1,"",ROUND(_xlfn.XLOOKUP($A426&amp;$B426&amp;$C426,盘货信息!$A:$A&amp;盘货信息!$B:$B&amp;盘货信息!$C:$C,盘货信息!$H:$H),0)&amp;"元消费券"))</f>
        <v/>
      </c>
      <c r="J426" s="27" t="str" cm="1">
        <f t="array" ref="J426">IF($C426="","",IF(_xlfn.XLOOKUP($A426&amp;$B426&amp;$C426,盘货信息!$A:$A&amp;盘货信息!$B:$B&amp;盘货信息!$C:$C,盘货信息!$J:$J)&lt;1,"",ROUND(_xlfn.XLOOKUP($A426&amp;$B426&amp;$C426,盘货信息!$A:$A&amp;盘货信息!$B:$B&amp;盘货信息!$C:$C,盘货信息!$J:$J),0)&amp;"元限时补贴"))</f>
        <v/>
      </c>
      <c r="K426" s="27" t="str" cm="1">
        <f t="array" ref="K426">IF($C426="","",IF(_xlfn.XLOOKUP($A426&amp;$B426&amp;$C426,盘货信息!$A:$A&amp;盘货信息!$B:$B&amp;盘货信息!$C:$C,盘货信息!$K:$K)&lt;1,"",ROUND(_xlfn.XLOOKUP($A426&amp;$B426&amp;$C426,盘货信息!$A:$A&amp;盘货信息!$B:$B&amp;盘货信息!$C:$C,盘货信息!$K:$K),0)&amp;"元预估焕新补贴"))</f>
        <v/>
      </c>
      <c r="L426" s="27" t="str" cm="1">
        <f t="array" ref="L426">IF($C426="","",IF(AND(_xlfn.XLOOKUP($A426&amp;$B426&amp;$C426,盘货信息!$A:$A&amp;盘货信息!$B:$B&amp;盘货信息!$C:$C,盘货信息!$L:$L)="是",_xlfn.XLOOKUP($A426&amp;$B426&amp;$C426,盘货信息!$A:$A&amp;盘货信息!$B:$B&amp;盘货信息!$C:$C,盘货信息!$M:$M)="是",_xlfn.XLOOKUP($A426&amp;$B426&amp;$C426,盘货信息!$A:$A&amp;盘货信息!$B:$B&amp;盘货信息!$C:$C,盘货信息!$K:$K)&gt;0),"【全民可用，不限地址】",IF(AND(OR(_xlfn.XLOOKUP($A426&amp;$B426&amp;$C426,盘货信息!$A:$A&amp;盘货信息!$B:$B&amp;盘货信息!$C:$C,盘货信息!$L:$L)="否",_xlfn.XLOOKUP($A426&amp;$B426&amp;$C426,盘货信息!$A:$A&amp;盘货信息!$B:$B&amp;盘货信息!$C:$C,盘货信息!$L:$L)=""),_xlfn.XLOOKUP($A426&amp;$B426&amp;$C426,盘货信息!$A:$A&amp;盘货信息!$B:$B&amp;盘货信息!$C:$C,盘货信息!$M:$M)="是",_xlfn.XLOOKUP($A426&amp;$B426&amp;$C426,盘货信息!$A:$A&amp;盘货信息!$B:$B&amp;盘货信息!$C:$C,盘货信息!$K:$K)&gt;0),"【详情页领取】","")))</f>
        <v/>
      </c>
      <c r="M426" s="27" t="str" cm="1">
        <f t="array" ref="M426">IF($C426="","",IF(_xlfn.XLOOKUP($A426&amp;$B426&amp;$C426,盘货信息!$A:$A&amp;盘货信息!$B:$B&amp;盘货信息!$C:$C,盘货信息!$F:$F)&lt;1,"",_xlfn.XLOOKUP($A426&amp;$B426&amp;$C426,盘货信息!$A:$A&amp;盘货信息!$B:$B&amp;盘货信息!$C:$C,盘货信息!$F:$F)&amp;"元明卷"))</f>
        <v/>
      </c>
      <c r="N426" s="27" t="str">
        <f t="shared" si="13"/>
        <v/>
      </c>
      <c r="O426" s="27" t="str">
        <f>IF(I426="","","【消费券链接】"&amp;固定信息!$B$6)</f>
        <v/>
      </c>
    </row>
    <row r="427" customHeight="1" spans="1:15">
      <c r="A427" s="23" t="str">
        <f>IF(盘货信息!A427="","",盘货信息!A427)</f>
        <v/>
      </c>
      <c r="B427" s="26" t="str">
        <f>IF(盘货信息!B427="","",盘货信息!B427)</f>
        <v/>
      </c>
      <c r="C427" s="23" t="str">
        <f>IF(盘货信息!C427="","",盘货信息!C427)</f>
        <v/>
      </c>
      <c r="D427" s="27" t="str">
        <f t="shared" si="12"/>
        <v/>
      </c>
      <c r="E427" s="27" t="str" cm="1">
        <f t="array" ref="E427">IF($C427="","",IF(AND(OR(_xlfn.XLOOKUP($A427&amp;$B427&amp;$C427,盘货信息!$A:$A&amp;盘货信息!$B:$B&amp;盘货信息!$C:$C,盘货信息!$L:$L)="否",_xlfn.XLOOKUP($A427&amp;$B427&amp;$C427,盘货信息!$A:$A&amp;盘货信息!$B:$B&amp;盘货信息!$C:$C,盘货信息!$L:$L)=""),_xlfn.XLOOKUP($A427&amp;$B427&amp;$C427,盘货信息!$A:$A&amp;盘货信息!$B:$B&amp;盘货信息!$C:$C,盘货信息!$M:$M)="否"),"【预估到手价"&amp;_xlfn.XLOOKUP($A427&amp;$B427&amp;$C427,盘货信息!$A:$A&amp;盘货信息!$B:$B&amp;盘货信息!$C:$C,盘货信息!$D:$D)&amp;"元】",IF(AND(_xlfn.XLOOKUP($A427&amp;$B427&amp;$C427,盘货信息!$A:$A&amp;盘货信息!$B:$B&amp;盘货信息!$C:$C,盘货信息!$M:$M)="是",OR(_xlfn.XLOOKUP($A427&amp;$B427&amp;$C427,盘货信息!$A:$A&amp;盘货信息!$B:$B&amp;盘货信息!$C:$C,盘货信息!$L:$L)="否",_xlfn.XLOOKUP($A427&amp;$B427&amp;$C427,盘货信息!$A:$A&amp;盘货信息!$B:$B&amp;盘货信息!$C:$C,盘货信息!$L:$L)="")),"【预估到手价"&amp;_xlfn.XLOOKUP($A427&amp;$B427&amp;$C427,盘货信息!$A:$A&amp;盘货信息!$B:$B&amp;盘货信息!$C:$C,盘货信息!$D:$D)&amp;"元】"&amp;CHAR(10)&amp;"【焕新补贴预估价"&amp;ROUND(_xlfn.XLOOKUP($A427&amp;$B427&amp;$C427,盘货信息!$A:$A&amp;盘货信息!$B:$B&amp;盘货信息!$C:$C,盘货信息!$E:$E),0)&amp;"元】","【焕新补贴预估价"&amp;ROUND(_xlfn.XLOOKUP($A427&amp;$B427&amp;$C427,盘货信息!$A:$A&amp;盘货信息!$B:$B&amp;盘货信息!$C:$C,盘货信息!$E:$E),0)&amp;"元】")))</f>
        <v/>
      </c>
      <c r="F427" s="27" t="str" cm="1">
        <f t="array" ref="F427">IF($C427="","",_xlfn.XLOOKUP($A427&amp;$B427&amp;$C427,盘货信息!$A:$A&amp;盘货信息!$B:$B&amp;盘货信息!$C:$C,盘货信息!$D:$D)&amp;"元到手价")</f>
        <v/>
      </c>
      <c r="G427" s="27" t="str" cm="1">
        <f t="array" ref="G427">IF($C427="","",IF(_xlfn.XLOOKUP($A427&amp;$B427&amp;$C427,盘货信息!$A:$A&amp;盘货信息!$B:$B&amp;盘货信息!$C:$C,盘货信息!$G:$G)&lt;1,"",ROUND(_xlfn.XLOOKUP($A427&amp;$B427&amp;$C427,盘货信息!$A:$A&amp;盘货信息!$B:$B&amp;盘货信息!$C:$C,盘货信息!$G:$G),0)&amp;"元88VIP立减"))</f>
        <v/>
      </c>
      <c r="H427" s="27" t="str" cm="1">
        <f t="array" ref="H427">IF($C427="","",IF(_xlfn.XLOOKUP($A427&amp;$B427&amp;$C427,盘货信息!$A:$A&amp;盘货信息!$B:$B&amp;盘货信息!$C:$C,盘货信息!$I:$I)&lt;1,"",_xlfn.XLOOKUP($A427&amp;$B427&amp;$C427,盘货信息!$A:$A&amp;盘货信息!$B:$B&amp;盘货信息!$C:$C,盘货信息!$I:$I)&amp;"元惊喜立减"))</f>
        <v/>
      </c>
      <c r="I427" s="27" t="str" cm="1">
        <f t="array" ref="I427">IF($C427="","",IF(_xlfn.XLOOKUP($A427&amp;$B427&amp;$C427,盘货信息!$A:$A&amp;盘货信息!$B:$B&amp;盘货信息!$C:$C,盘货信息!$H:$H)&lt;1,"",ROUND(_xlfn.XLOOKUP($A427&amp;$B427&amp;$C427,盘货信息!$A:$A&amp;盘货信息!$B:$B&amp;盘货信息!$C:$C,盘货信息!$H:$H),0)&amp;"元消费券"))</f>
        <v/>
      </c>
      <c r="J427" s="27" t="str" cm="1">
        <f t="array" ref="J427">IF($C427="","",IF(_xlfn.XLOOKUP($A427&amp;$B427&amp;$C427,盘货信息!$A:$A&amp;盘货信息!$B:$B&amp;盘货信息!$C:$C,盘货信息!$J:$J)&lt;1,"",ROUND(_xlfn.XLOOKUP($A427&amp;$B427&amp;$C427,盘货信息!$A:$A&amp;盘货信息!$B:$B&amp;盘货信息!$C:$C,盘货信息!$J:$J),0)&amp;"元限时补贴"))</f>
        <v/>
      </c>
      <c r="K427" s="27" t="str" cm="1">
        <f t="array" ref="K427">IF($C427="","",IF(_xlfn.XLOOKUP($A427&amp;$B427&amp;$C427,盘货信息!$A:$A&amp;盘货信息!$B:$B&amp;盘货信息!$C:$C,盘货信息!$K:$K)&lt;1,"",ROUND(_xlfn.XLOOKUP($A427&amp;$B427&amp;$C427,盘货信息!$A:$A&amp;盘货信息!$B:$B&amp;盘货信息!$C:$C,盘货信息!$K:$K),0)&amp;"元预估焕新补贴"))</f>
        <v/>
      </c>
      <c r="L427" s="27" t="str" cm="1">
        <f t="array" ref="L427">IF($C427="","",IF(AND(_xlfn.XLOOKUP($A427&amp;$B427&amp;$C427,盘货信息!$A:$A&amp;盘货信息!$B:$B&amp;盘货信息!$C:$C,盘货信息!$L:$L)="是",_xlfn.XLOOKUP($A427&amp;$B427&amp;$C427,盘货信息!$A:$A&amp;盘货信息!$B:$B&amp;盘货信息!$C:$C,盘货信息!$M:$M)="是",_xlfn.XLOOKUP($A427&amp;$B427&amp;$C427,盘货信息!$A:$A&amp;盘货信息!$B:$B&amp;盘货信息!$C:$C,盘货信息!$K:$K)&gt;0),"【全民可用，不限地址】",IF(AND(OR(_xlfn.XLOOKUP($A427&amp;$B427&amp;$C427,盘货信息!$A:$A&amp;盘货信息!$B:$B&amp;盘货信息!$C:$C,盘货信息!$L:$L)="否",_xlfn.XLOOKUP($A427&amp;$B427&amp;$C427,盘货信息!$A:$A&amp;盘货信息!$B:$B&amp;盘货信息!$C:$C,盘货信息!$L:$L)=""),_xlfn.XLOOKUP($A427&amp;$B427&amp;$C427,盘货信息!$A:$A&amp;盘货信息!$B:$B&amp;盘货信息!$C:$C,盘货信息!$M:$M)="是",_xlfn.XLOOKUP($A427&amp;$B427&amp;$C427,盘货信息!$A:$A&amp;盘货信息!$B:$B&amp;盘货信息!$C:$C,盘货信息!$K:$K)&gt;0),"【详情页领取】","")))</f>
        <v/>
      </c>
      <c r="M427" s="27" t="str" cm="1">
        <f t="array" ref="M427">IF($C427="","",IF(_xlfn.XLOOKUP($A427&amp;$B427&amp;$C427,盘货信息!$A:$A&amp;盘货信息!$B:$B&amp;盘货信息!$C:$C,盘货信息!$F:$F)&lt;1,"",_xlfn.XLOOKUP($A427&amp;$B427&amp;$C427,盘货信息!$A:$A&amp;盘货信息!$B:$B&amp;盘货信息!$C:$C,盘货信息!$F:$F)&amp;"元明卷"))</f>
        <v/>
      </c>
      <c r="N427" s="27" t="str">
        <f t="shared" si="13"/>
        <v/>
      </c>
      <c r="O427" s="27" t="str">
        <f>IF(I427="","","【消费券链接】"&amp;固定信息!$B$6)</f>
        <v/>
      </c>
    </row>
    <row r="428" customHeight="1" spans="1:15">
      <c r="A428" s="23" t="str">
        <f>IF(盘货信息!A428="","",盘货信息!A428)</f>
        <v/>
      </c>
      <c r="B428" s="26" t="str">
        <f>IF(盘货信息!B428="","",盘货信息!B428)</f>
        <v/>
      </c>
      <c r="C428" s="23" t="str">
        <f>IF(盘货信息!C428="","",盘货信息!C428)</f>
        <v/>
      </c>
      <c r="D428" s="27" t="str">
        <f t="shared" si="12"/>
        <v/>
      </c>
      <c r="E428" s="27" t="str" cm="1">
        <f t="array" ref="E428">IF($C428="","",IF(AND(OR(_xlfn.XLOOKUP($A428&amp;$B428&amp;$C428,盘货信息!$A:$A&amp;盘货信息!$B:$B&amp;盘货信息!$C:$C,盘货信息!$L:$L)="否",_xlfn.XLOOKUP($A428&amp;$B428&amp;$C428,盘货信息!$A:$A&amp;盘货信息!$B:$B&amp;盘货信息!$C:$C,盘货信息!$L:$L)=""),_xlfn.XLOOKUP($A428&amp;$B428&amp;$C428,盘货信息!$A:$A&amp;盘货信息!$B:$B&amp;盘货信息!$C:$C,盘货信息!$M:$M)="否"),"【预估到手价"&amp;_xlfn.XLOOKUP($A428&amp;$B428&amp;$C428,盘货信息!$A:$A&amp;盘货信息!$B:$B&amp;盘货信息!$C:$C,盘货信息!$D:$D)&amp;"元】",IF(AND(_xlfn.XLOOKUP($A428&amp;$B428&amp;$C428,盘货信息!$A:$A&amp;盘货信息!$B:$B&amp;盘货信息!$C:$C,盘货信息!$M:$M)="是",OR(_xlfn.XLOOKUP($A428&amp;$B428&amp;$C428,盘货信息!$A:$A&amp;盘货信息!$B:$B&amp;盘货信息!$C:$C,盘货信息!$L:$L)="否",_xlfn.XLOOKUP($A428&amp;$B428&amp;$C428,盘货信息!$A:$A&amp;盘货信息!$B:$B&amp;盘货信息!$C:$C,盘货信息!$L:$L)="")),"【预估到手价"&amp;_xlfn.XLOOKUP($A428&amp;$B428&amp;$C428,盘货信息!$A:$A&amp;盘货信息!$B:$B&amp;盘货信息!$C:$C,盘货信息!$D:$D)&amp;"元】"&amp;CHAR(10)&amp;"【焕新补贴预估价"&amp;ROUND(_xlfn.XLOOKUP($A428&amp;$B428&amp;$C428,盘货信息!$A:$A&amp;盘货信息!$B:$B&amp;盘货信息!$C:$C,盘货信息!$E:$E),0)&amp;"元】","【焕新补贴预估价"&amp;ROUND(_xlfn.XLOOKUP($A428&amp;$B428&amp;$C428,盘货信息!$A:$A&amp;盘货信息!$B:$B&amp;盘货信息!$C:$C,盘货信息!$E:$E),0)&amp;"元】")))</f>
        <v/>
      </c>
      <c r="F428" s="27" t="str" cm="1">
        <f t="array" ref="F428">IF($C428="","",_xlfn.XLOOKUP($A428&amp;$B428&amp;$C428,盘货信息!$A:$A&amp;盘货信息!$B:$B&amp;盘货信息!$C:$C,盘货信息!$D:$D)&amp;"元到手价")</f>
        <v/>
      </c>
      <c r="G428" s="27" t="str" cm="1">
        <f t="array" ref="G428">IF($C428="","",IF(_xlfn.XLOOKUP($A428&amp;$B428&amp;$C428,盘货信息!$A:$A&amp;盘货信息!$B:$B&amp;盘货信息!$C:$C,盘货信息!$G:$G)&lt;1,"",ROUND(_xlfn.XLOOKUP($A428&amp;$B428&amp;$C428,盘货信息!$A:$A&amp;盘货信息!$B:$B&amp;盘货信息!$C:$C,盘货信息!$G:$G),0)&amp;"元88VIP立减"))</f>
        <v/>
      </c>
      <c r="H428" s="27" t="str" cm="1">
        <f t="array" ref="H428">IF($C428="","",IF(_xlfn.XLOOKUP($A428&amp;$B428&amp;$C428,盘货信息!$A:$A&amp;盘货信息!$B:$B&amp;盘货信息!$C:$C,盘货信息!$I:$I)&lt;1,"",_xlfn.XLOOKUP($A428&amp;$B428&amp;$C428,盘货信息!$A:$A&amp;盘货信息!$B:$B&amp;盘货信息!$C:$C,盘货信息!$I:$I)&amp;"元惊喜立减"))</f>
        <v/>
      </c>
      <c r="I428" s="27" t="str" cm="1">
        <f t="array" ref="I428">IF($C428="","",IF(_xlfn.XLOOKUP($A428&amp;$B428&amp;$C428,盘货信息!$A:$A&amp;盘货信息!$B:$B&amp;盘货信息!$C:$C,盘货信息!$H:$H)&lt;1,"",ROUND(_xlfn.XLOOKUP($A428&amp;$B428&amp;$C428,盘货信息!$A:$A&amp;盘货信息!$B:$B&amp;盘货信息!$C:$C,盘货信息!$H:$H),0)&amp;"元消费券"))</f>
        <v/>
      </c>
      <c r="J428" s="27" t="str" cm="1">
        <f t="array" ref="J428">IF($C428="","",IF(_xlfn.XLOOKUP($A428&amp;$B428&amp;$C428,盘货信息!$A:$A&amp;盘货信息!$B:$B&amp;盘货信息!$C:$C,盘货信息!$J:$J)&lt;1,"",ROUND(_xlfn.XLOOKUP($A428&amp;$B428&amp;$C428,盘货信息!$A:$A&amp;盘货信息!$B:$B&amp;盘货信息!$C:$C,盘货信息!$J:$J),0)&amp;"元限时补贴"))</f>
        <v/>
      </c>
      <c r="K428" s="27" t="str" cm="1">
        <f t="array" ref="K428">IF($C428="","",IF(_xlfn.XLOOKUP($A428&amp;$B428&amp;$C428,盘货信息!$A:$A&amp;盘货信息!$B:$B&amp;盘货信息!$C:$C,盘货信息!$K:$K)&lt;1,"",ROUND(_xlfn.XLOOKUP($A428&amp;$B428&amp;$C428,盘货信息!$A:$A&amp;盘货信息!$B:$B&amp;盘货信息!$C:$C,盘货信息!$K:$K),0)&amp;"元预估焕新补贴"))</f>
        <v/>
      </c>
      <c r="L428" s="27" t="str" cm="1">
        <f t="array" ref="L428">IF($C428="","",IF(AND(_xlfn.XLOOKUP($A428&amp;$B428&amp;$C428,盘货信息!$A:$A&amp;盘货信息!$B:$B&amp;盘货信息!$C:$C,盘货信息!$L:$L)="是",_xlfn.XLOOKUP($A428&amp;$B428&amp;$C428,盘货信息!$A:$A&amp;盘货信息!$B:$B&amp;盘货信息!$C:$C,盘货信息!$M:$M)="是",_xlfn.XLOOKUP($A428&amp;$B428&amp;$C428,盘货信息!$A:$A&amp;盘货信息!$B:$B&amp;盘货信息!$C:$C,盘货信息!$K:$K)&gt;0),"【全民可用，不限地址】",IF(AND(OR(_xlfn.XLOOKUP($A428&amp;$B428&amp;$C428,盘货信息!$A:$A&amp;盘货信息!$B:$B&amp;盘货信息!$C:$C,盘货信息!$L:$L)="否",_xlfn.XLOOKUP($A428&amp;$B428&amp;$C428,盘货信息!$A:$A&amp;盘货信息!$B:$B&amp;盘货信息!$C:$C,盘货信息!$L:$L)=""),_xlfn.XLOOKUP($A428&amp;$B428&amp;$C428,盘货信息!$A:$A&amp;盘货信息!$B:$B&amp;盘货信息!$C:$C,盘货信息!$M:$M)="是",_xlfn.XLOOKUP($A428&amp;$B428&amp;$C428,盘货信息!$A:$A&amp;盘货信息!$B:$B&amp;盘货信息!$C:$C,盘货信息!$K:$K)&gt;0),"【详情页领取】","")))</f>
        <v/>
      </c>
      <c r="M428" s="27" t="str" cm="1">
        <f t="array" ref="M428">IF($C428="","",IF(_xlfn.XLOOKUP($A428&amp;$B428&amp;$C428,盘货信息!$A:$A&amp;盘货信息!$B:$B&amp;盘货信息!$C:$C,盘货信息!$F:$F)&lt;1,"",_xlfn.XLOOKUP($A428&amp;$B428&amp;$C428,盘货信息!$A:$A&amp;盘货信息!$B:$B&amp;盘货信息!$C:$C,盘货信息!$F:$F)&amp;"元明卷"))</f>
        <v/>
      </c>
      <c r="N428" s="27" t="str">
        <f t="shared" si="13"/>
        <v/>
      </c>
      <c r="O428" s="27" t="str">
        <f>IF(I428="","","【消费券链接】"&amp;固定信息!$B$6)</f>
        <v/>
      </c>
    </row>
    <row r="429" customHeight="1" spans="1:15">
      <c r="A429" s="23" t="str">
        <f>IF(盘货信息!A429="","",盘货信息!A429)</f>
        <v/>
      </c>
      <c r="B429" s="26" t="str">
        <f>IF(盘货信息!B429="","",盘货信息!B429)</f>
        <v/>
      </c>
      <c r="C429" s="23" t="str">
        <f>IF(盘货信息!C429="","",盘货信息!C429)</f>
        <v/>
      </c>
      <c r="D429" s="27" t="str">
        <f t="shared" si="12"/>
        <v/>
      </c>
      <c r="E429" s="27" t="str" cm="1">
        <f t="array" ref="E429">IF($C429="","",IF(AND(OR(_xlfn.XLOOKUP($A429&amp;$B429&amp;$C429,盘货信息!$A:$A&amp;盘货信息!$B:$B&amp;盘货信息!$C:$C,盘货信息!$L:$L)="否",_xlfn.XLOOKUP($A429&amp;$B429&amp;$C429,盘货信息!$A:$A&amp;盘货信息!$B:$B&amp;盘货信息!$C:$C,盘货信息!$L:$L)=""),_xlfn.XLOOKUP($A429&amp;$B429&amp;$C429,盘货信息!$A:$A&amp;盘货信息!$B:$B&amp;盘货信息!$C:$C,盘货信息!$M:$M)="否"),"【预估到手价"&amp;_xlfn.XLOOKUP($A429&amp;$B429&amp;$C429,盘货信息!$A:$A&amp;盘货信息!$B:$B&amp;盘货信息!$C:$C,盘货信息!$D:$D)&amp;"元】",IF(AND(_xlfn.XLOOKUP($A429&amp;$B429&amp;$C429,盘货信息!$A:$A&amp;盘货信息!$B:$B&amp;盘货信息!$C:$C,盘货信息!$M:$M)="是",OR(_xlfn.XLOOKUP($A429&amp;$B429&amp;$C429,盘货信息!$A:$A&amp;盘货信息!$B:$B&amp;盘货信息!$C:$C,盘货信息!$L:$L)="否",_xlfn.XLOOKUP($A429&amp;$B429&amp;$C429,盘货信息!$A:$A&amp;盘货信息!$B:$B&amp;盘货信息!$C:$C,盘货信息!$L:$L)="")),"【预估到手价"&amp;_xlfn.XLOOKUP($A429&amp;$B429&amp;$C429,盘货信息!$A:$A&amp;盘货信息!$B:$B&amp;盘货信息!$C:$C,盘货信息!$D:$D)&amp;"元】"&amp;CHAR(10)&amp;"【焕新补贴预估价"&amp;ROUND(_xlfn.XLOOKUP($A429&amp;$B429&amp;$C429,盘货信息!$A:$A&amp;盘货信息!$B:$B&amp;盘货信息!$C:$C,盘货信息!$E:$E),0)&amp;"元】","【焕新补贴预估价"&amp;ROUND(_xlfn.XLOOKUP($A429&amp;$B429&amp;$C429,盘货信息!$A:$A&amp;盘货信息!$B:$B&amp;盘货信息!$C:$C,盘货信息!$E:$E),0)&amp;"元】")))</f>
        <v/>
      </c>
      <c r="F429" s="27" t="str" cm="1">
        <f t="array" ref="F429">IF($C429="","",_xlfn.XLOOKUP($A429&amp;$B429&amp;$C429,盘货信息!$A:$A&amp;盘货信息!$B:$B&amp;盘货信息!$C:$C,盘货信息!$D:$D)&amp;"元到手价")</f>
        <v/>
      </c>
      <c r="G429" s="27" t="str" cm="1">
        <f t="array" ref="G429">IF($C429="","",IF(_xlfn.XLOOKUP($A429&amp;$B429&amp;$C429,盘货信息!$A:$A&amp;盘货信息!$B:$B&amp;盘货信息!$C:$C,盘货信息!$G:$G)&lt;1,"",ROUND(_xlfn.XLOOKUP($A429&amp;$B429&amp;$C429,盘货信息!$A:$A&amp;盘货信息!$B:$B&amp;盘货信息!$C:$C,盘货信息!$G:$G),0)&amp;"元88VIP立减"))</f>
        <v/>
      </c>
      <c r="H429" s="27" t="str" cm="1">
        <f t="array" ref="H429">IF($C429="","",IF(_xlfn.XLOOKUP($A429&amp;$B429&amp;$C429,盘货信息!$A:$A&amp;盘货信息!$B:$B&amp;盘货信息!$C:$C,盘货信息!$I:$I)&lt;1,"",_xlfn.XLOOKUP($A429&amp;$B429&amp;$C429,盘货信息!$A:$A&amp;盘货信息!$B:$B&amp;盘货信息!$C:$C,盘货信息!$I:$I)&amp;"元惊喜立减"))</f>
        <v/>
      </c>
      <c r="I429" s="27" t="str" cm="1">
        <f t="array" ref="I429">IF($C429="","",IF(_xlfn.XLOOKUP($A429&amp;$B429&amp;$C429,盘货信息!$A:$A&amp;盘货信息!$B:$B&amp;盘货信息!$C:$C,盘货信息!$H:$H)&lt;1,"",ROUND(_xlfn.XLOOKUP($A429&amp;$B429&amp;$C429,盘货信息!$A:$A&amp;盘货信息!$B:$B&amp;盘货信息!$C:$C,盘货信息!$H:$H),0)&amp;"元消费券"))</f>
        <v/>
      </c>
      <c r="J429" s="27" t="str" cm="1">
        <f t="array" ref="J429">IF($C429="","",IF(_xlfn.XLOOKUP($A429&amp;$B429&amp;$C429,盘货信息!$A:$A&amp;盘货信息!$B:$B&amp;盘货信息!$C:$C,盘货信息!$J:$J)&lt;1,"",ROUND(_xlfn.XLOOKUP($A429&amp;$B429&amp;$C429,盘货信息!$A:$A&amp;盘货信息!$B:$B&amp;盘货信息!$C:$C,盘货信息!$J:$J),0)&amp;"元限时补贴"))</f>
        <v/>
      </c>
      <c r="K429" s="27" t="str" cm="1">
        <f t="array" ref="K429">IF($C429="","",IF(_xlfn.XLOOKUP($A429&amp;$B429&amp;$C429,盘货信息!$A:$A&amp;盘货信息!$B:$B&amp;盘货信息!$C:$C,盘货信息!$K:$K)&lt;1,"",ROUND(_xlfn.XLOOKUP($A429&amp;$B429&amp;$C429,盘货信息!$A:$A&amp;盘货信息!$B:$B&amp;盘货信息!$C:$C,盘货信息!$K:$K),0)&amp;"元预估焕新补贴"))</f>
        <v/>
      </c>
      <c r="L429" s="27" t="str" cm="1">
        <f t="array" ref="L429">IF($C429="","",IF(AND(_xlfn.XLOOKUP($A429&amp;$B429&amp;$C429,盘货信息!$A:$A&amp;盘货信息!$B:$B&amp;盘货信息!$C:$C,盘货信息!$L:$L)="是",_xlfn.XLOOKUP($A429&amp;$B429&amp;$C429,盘货信息!$A:$A&amp;盘货信息!$B:$B&amp;盘货信息!$C:$C,盘货信息!$M:$M)="是",_xlfn.XLOOKUP($A429&amp;$B429&amp;$C429,盘货信息!$A:$A&amp;盘货信息!$B:$B&amp;盘货信息!$C:$C,盘货信息!$K:$K)&gt;0),"【全民可用，不限地址】",IF(AND(OR(_xlfn.XLOOKUP($A429&amp;$B429&amp;$C429,盘货信息!$A:$A&amp;盘货信息!$B:$B&amp;盘货信息!$C:$C,盘货信息!$L:$L)="否",_xlfn.XLOOKUP($A429&amp;$B429&amp;$C429,盘货信息!$A:$A&amp;盘货信息!$B:$B&amp;盘货信息!$C:$C,盘货信息!$L:$L)=""),_xlfn.XLOOKUP($A429&amp;$B429&amp;$C429,盘货信息!$A:$A&amp;盘货信息!$B:$B&amp;盘货信息!$C:$C,盘货信息!$M:$M)="是",_xlfn.XLOOKUP($A429&amp;$B429&amp;$C429,盘货信息!$A:$A&amp;盘货信息!$B:$B&amp;盘货信息!$C:$C,盘货信息!$K:$K)&gt;0),"【详情页领取】","")))</f>
        <v/>
      </c>
      <c r="M429" s="27" t="str" cm="1">
        <f t="array" ref="M429">IF($C429="","",IF(_xlfn.XLOOKUP($A429&amp;$B429&amp;$C429,盘货信息!$A:$A&amp;盘货信息!$B:$B&amp;盘货信息!$C:$C,盘货信息!$F:$F)&lt;1,"",_xlfn.XLOOKUP($A429&amp;$B429&amp;$C429,盘货信息!$A:$A&amp;盘货信息!$B:$B&amp;盘货信息!$C:$C,盘货信息!$F:$F)&amp;"元明卷"))</f>
        <v/>
      </c>
      <c r="N429" s="27" t="str">
        <f t="shared" si="13"/>
        <v/>
      </c>
      <c r="O429" s="27" t="str">
        <f>IF(I429="","","【消费券链接】"&amp;固定信息!$B$6)</f>
        <v/>
      </c>
    </row>
    <row r="430" customHeight="1" spans="1:15">
      <c r="A430" s="23" t="str">
        <f>IF(盘货信息!A430="","",盘货信息!A430)</f>
        <v/>
      </c>
      <c r="B430" s="26" t="str">
        <f>IF(盘货信息!B430="","",盘货信息!B430)</f>
        <v/>
      </c>
      <c r="C430" s="23" t="str">
        <f>IF(盘货信息!C430="","",盘货信息!C430)</f>
        <v/>
      </c>
      <c r="D430" s="27" t="str">
        <f t="shared" si="12"/>
        <v/>
      </c>
      <c r="E430" s="27" t="str" cm="1">
        <f t="array" ref="E430">IF($C430="","",IF(AND(OR(_xlfn.XLOOKUP($A430&amp;$B430&amp;$C430,盘货信息!$A:$A&amp;盘货信息!$B:$B&amp;盘货信息!$C:$C,盘货信息!$L:$L)="否",_xlfn.XLOOKUP($A430&amp;$B430&amp;$C430,盘货信息!$A:$A&amp;盘货信息!$B:$B&amp;盘货信息!$C:$C,盘货信息!$L:$L)=""),_xlfn.XLOOKUP($A430&amp;$B430&amp;$C430,盘货信息!$A:$A&amp;盘货信息!$B:$B&amp;盘货信息!$C:$C,盘货信息!$M:$M)="否"),"【预估到手价"&amp;_xlfn.XLOOKUP($A430&amp;$B430&amp;$C430,盘货信息!$A:$A&amp;盘货信息!$B:$B&amp;盘货信息!$C:$C,盘货信息!$D:$D)&amp;"元】",IF(AND(_xlfn.XLOOKUP($A430&amp;$B430&amp;$C430,盘货信息!$A:$A&amp;盘货信息!$B:$B&amp;盘货信息!$C:$C,盘货信息!$M:$M)="是",OR(_xlfn.XLOOKUP($A430&amp;$B430&amp;$C430,盘货信息!$A:$A&amp;盘货信息!$B:$B&amp;盘货信息!$C:$C,盘货信息!$L:$L)="否",_xlfn.XLOOKUP($A430&amp;$B430&amp;$C430,盘货信息!$A:$A&amp;盘货信息!$B:$B&amp;盘货信息!$C:$C,盘货信息!$L:$L)="")),"【预估到手价"&amp;_xlfn.XLOOKUP($A430&amp;$B430&amp;$C430,盘货信息!$A:$A&amp;盘货信息!$B:$B&amp;盘货信息!$C:$C,盘货信息!$D:$D)&amp;"元】"&amp;CHAR(10)&amp;"【焕新补贴预估价"&amp;ROUND(_xlfn.XLOOKUP($A430&amp;$B430&amp;$C430,盘货信息!$A:$A&amp;盘货信息!$B:$B&amp;盘货信息!$C:$C,盘货信息!$E:$E),0)&amp;"元】","【焕新补贴预估价"&amp;ROUND(_xlfn.XLOOKUP($A430&amp;$B430&amp;$C430,盘货信息!$A:$A&amp;盘货信息!$B:$B&amp;盘货信息!$C:$C,盘货信息!$E:$E),0)&amp;"元】")))</f>
        <v/>
      </c>
      <c r="F430" s="27" t="str" cm="1">
        <f t="array" ref="F430">IF($C430="","",_xlfn.XLOOKUP($A430&amp;$B430&amp;$C430,盘货信息!$A:$A&amp;盘货信息!$B:$B&amp;盘货信息!$C:$C,盘货信息!$D:$D)&amp;"元到手价")</f>
        <v/>
      </c>
      <c r="G430" s="27" t="str" cm="1">
        <f t="array" ref="G430">IF($C430="","",IF(_xlfn.XLOOKUP($A430&amp;$B430&amp;$C430,盘货信息!$A:$A&amp;盘货信息!$B:$B&amp;盘货信息!$C:$C,盘货信息!$G:$G)&lt;1,"",ROUND(_xlfn.XLOOKUP($A430&amp;$B430&amp;$C430,盘货信息!$A:$A&amp;盘货信息!$B:$B&amp;盘货信息!$C:$C,盘货信息!$G:$G),0)&amp;"元88VIP立减"))</f>
        <v/>
      </c>
      <c r="H430" s="27" t="str" cm="1">
        <f t="array" ref="H430">IF($C430="","",IF(_xlfn.XLOOKUP($A430&amp;$B430&amp;$C430,盘货信息!$A:$A&amp;盘货信息!$B:$B&amp;盘货信息!$C:$C,盘货信息!$I:$I)&lt;1,"",_xlfn.XLOOKUP($A430&amp;$B430&amp;$C430,盘货信息!$A:$A&amp;盘货信息!$B:$B&amp;盘货信息!$C:$C,盘货信息!$I:$I)&amp;"元惊喜立减"))</f>
        <v/>
      </c>
      <c r="I430" s="27" t="str" cm="1">
        <f t="array" ref="I430">IF($C430="","",IF(_xlfn.XLOOKUP($A430&amp;$B430&amp;$C430,盘货信息!$A:$A&amp;盘货信息!$B:$B&amp;盘货信息!$C:$C,盘货信息!$H:$H)&lt;1,"",ROUND(_xlfn.XLOOKUP($A430&amp;$B430&amp;$C430,盘货信息!$A:$A&amp;盘货信息!$B:$B&amp;盘货信息!$C:$C,盘货信息!$H:$H),0)&amp;"元消费券"))</f>
        <v/>
      </c>
      <c r="J430" s="27" t="str" cm="1">
        <f t="array" ref="J430">IF($C430="","",IF(_xlfn.XLOOKUP($A430&amp;$B430&amp;$C430,盘货信息!$A:$A&amp;盘货信息!$B:$B&amp;盘货信息!$C:$C,盘货信息!$J:$J)&lt;1,"",ROUND(_xlfn.XLOOKUP($A430&amp;$B430&amp;$C430,盘货信息!$A:$A&amp;盘货信息!$B:$B&amp;盘货信息!$C:$C,盘货信息!$J:$J),0)&amp;"元限时补贴"))</f>
        <v/>
      </c>
      <c r="K430" s="27" t="str" cm="1">
        <f t="array" ref="K430">IF($C430="","",IF(_xlfn.XLOOKUP($A430&amp;$B430&amp;$C430,盘货信息!$A:$A&amp;盘货信息!$B:$B&amp;盘货信息!$C:$C,盘货信息!$K:$K)&lt;1,"",ROUND(_xlfn.XLOOKUP($A430&amp;$B430&amp;$C430,盘货信息!$A:$A&amp;盘货信息!$B:$B&amp;盘货信息!$C:$C,盘货信息!$K:$K),0)&amp;"元预估焕新补贴"))</f>
        <v/>
      </c>
      <c r="L430" s="27" t="str" cm="1">
        <f t="array" ref="L430">IF($C430="","",IF(AND(_xlfn.XLOOKUP($A430&amp;$B430&amp;$C430,盘货信息!$A:$A&amp;盘货信息!$B:$B&amp;盘货信息!$C:$C,盘货信息!$L:$L)="是",_xlfn.XLOOKUP($A430&amp;$B430&amp;$C430,盘货信息!$A:$A&amp;盘货信息!$B:$B&amp;盘货信息!$C:$C,盘货信息!$M:$M)="是",_xlfn.XLOOKUP($A430&amp;$B430&amp;$C430,盘货信息!$A:$A&amp;盘货信息!$B:$B&amp;盘货信息!$C:$C,盘货信息!$K:$K)&gt;0),"【全民可用，不限地址】",IF(AND(OR(_xlfn.XLOOKUP($A430&amp;$B430&amp;$C430,盘货信息!$A:$A&amp;盘货信息!$B:$B&amp;盘货信息!$C:$C,盘货信息!$L:$L)="否",_xlfn.XLOOKUP($A430&amp;$B430&amp;$C430,盘货信息!$A:$A&amp;盘货信息!$B:$B&amp;盘货信息!$C:$C,盘货信息!$L:$L)=""),_xlfn.XLOOKUP($A430&amp;$B430&amp;$C430,盘货信息!$A:$A&amp;盘货信息!$B:$B&amp;盘货信息!$C:$C,盘货信息!$M:$M)="是",_xlfn.XLOOKUP($A430&amp;$B430&amp;$C430,盘货信息!$A:$A&amp;盘货信息!$B:$B&amp;盘货信息!$C:$C,盘货信息!$K:$K)&gt;0),"【详情页领取】","")))</f>
        <v/>
      </c>
      <c r="M430" s="27" t="str" cm="1">
        <f t="array" ref="M430">IF($C430="","",IF(_xlfn.XLOOKUP($A430&amp;$B430&amp;$C430,盘货信息!$A:$A&amp;盘货信息!$B:$B&amp;盘货信息!$C:$C,盘货信息!$F:$F)&lt;1,"",_xlfn.XLOOKUP($A430&amp;$B430&amp;$C430,盘货信息!$A:$A&amp;盘货信息!$B:$B&amp;盘货信息!$C:$C,盘货信息!$F:$F)&amp;"元明卷"))</f>
        <v/>
      </c>
      <c r="N430" s="27" t="str">
        <f t="shared" si="13"/>
        <v/>
      </c>
      <c r="O430" s="27" t="str">
        <f>IF(I430="","","【消费券链接】"&amp;固定信息!$B$6)</f>
        <v/>
      </c>
    </row>
    <row r="431" customHeight="1" spans="1:15">
      <c r="A431" s="23" t="str">
        <f>IF(盘货信息!A431="","",盘货信息!A431)</f>
        <v/>
      </c>
      <c r="B431" s="26" t="str">
        <f>IF(盘货信息!B431="","",盘货信息!B431)</f>
        <v/>
      </c>
      <c r="C431" s="23" t="str">
        <f>IF(盘货信息!C431="","",盘货信息!C431)</f>
        <v/>
      </c>
      <c r="D431" s="27" t="str">
        <f t="shared" si="12"/>
        <v/>
      </c>
      <c r="E431" s="27" t="str" cm="1">
        <f t="array" ref="E431">IF($C431="","",IF(AND(OR(_xlfn.XLOOKUP($A431&amp;$B431&amp;$C431,盘货信息!$A:$A&amp;盘货信息!$B:$B&amp;盘货信息!$C:$C,盘货信息!$L:$L)="否",_xlfn.XLOOKUP($A431&amp;$B431&amp;$C431,盘货信息!$A:$A&amp;盘货信息!$B:$B&amp;盘货信息!$C:$C,盘货信息!$L:$L)=""),_xlfn.XLOOKUP($A431&amp;$B431&amp;$C431,盘货信息!$A:$A&amp;盘货信息!$B:$B&amp;盘货信息!$C:$C,盘货信息!$M:$M)="否"),"【预估到手价"&amp;_xlfn.XLOOKUP($A431&amp;$B431&amp;$C431,盘货信息!$A:$A&amp;盘货信息!$B:$B&amp;盘货信息!$C:$C,盘货信息!$D:$D)&amp;"元】",IF(AND(_xlfn.XLOOKUP($A431&amp;$B431&amp;$C431,盘货信息!$A:$A&amp;盘货信息!$B:$B&amp;盘货信息!$C:$C,盘货信息!$M:$M)="是",OR(_xlfn.XLOOKUP($A431&amp;$B431&amp;$C431,盘货信息!$A:$A&amp;盘货信息!$B:$B&amp;盘货信息!$C:$C,盘货信息!$L:$L)="否",_xlfn.XLOOKUP($A431&amp;$B431&amp;$C431,盘货信息!$A:$A&amp;盘货信息!$B:$B&amp;盘货信息!$C:$C,盘货信息!$L:$L)="")),"【预估到手价"&amp;_xlfn.XLOOKUP($A431&amp;$B431&amp;$C431,盘货信息!$A:$A&amp;盘货信息!$B:$B&amp;盘货信息!$C:$C,盘货信息!$D:$D)&amp;"元】"&amp;CHAR(10)&amp;"【焕新补贴预估价"&amp;ROUND(_xlfn.XLOOKUP($A431&amp;$B431&amp;$C431,盘货信息!$A:$A&amp;盘货信息!$B:$B&amp;盘货信息!$C:$C,盘货信息!$E:$E),0)&amp;"元】","【焕新补贴预估价"&amp;ROUND(_xlfn.XLOOKUP($A431&amp;$B431&amp;$C431,盘货信息!$A:$A&amp;盘货信息!$B:$B&amp;盘货信息!$C:$C,盘货信息!$E:$E),0)&amp;"元】")))</f>
        <v/>
      </c>
      <c r="F431" s="27" t="str" cm="1">
        <f t="array" ref="F431">IF($C431="","",_xlfn.XLOOKUP($A431&amp;$B431&amp;$C431,盘货信息!$A:$A&amp;盘货信息!$B:$B&amp;盘货信息!$C:$C,盘货信息!$D:$D)&amp;"元到手价")</f>
        <v/>
      </c>
      <c r="G431" s="27" t="str" cm="1">
        <f t="array" ref="G431">IF($C431="","",IF(_xlfn.XLOOKUP($A431&amp;$B431&amp;$C431,盘货信息!$A:$A&amp;盘货信息!$B:$B&amp;盘货信息!$C:$C,盘货信息!$G:$G)&lt;1,"",ROUND(_xlfn.XLOOKUP($A431&amp;$B431&amp;$C431,盘货信息!$A:$A&amp;盘货信息!$B:$B&amp;盘货信息!$C:$C,盘货信息!$G:$G),0)&amp;"元88VIP立减"))</f>
        <v/>
      </c>
      <c r="H431" s="27" t="str" cm="1">
        <f t="array" ref="H431">IF($C431="","",IF(_xlfn.XLOOKUP($A431&amp;$B431&amp;$C431,盘货信息!$A:$A&amp;盘货信息!$B:$B&amp;盘货信息!$C:$C,盘货信息!$I:$I)&lt;1,"",_xlfn.XLOOKUP($A431&amp;$B431&amp;$C431,盘货信息!$A:$A&amp;盘货信息!$B:$B&amp;盘货信息!$C:$C,盘货信息!$I:$I)&amp;"元惊喜立减"))</f>
        <v/>
      </c>
      <c r="I431" s="27" t="str" cm="1">
        <f t="array" ref="I431">IF($C431="","",IF(_xlfn.XLOOKUP($A431&amp;$B431&amp;$C431,盘货信息!$A:$A&amp;盘货信息!$B:$B&amp;盘货信息!$C:$C,盘货信息!$H:$H)&lt;1,"",ROUND(_xlfn.XLOOKUP($A431&amp;$B431&amp;$C431,盘货信息!$A:$A&amp;盘货信息!$B:$B&amp;盘货信息!$C:$C,盘货信息!$H:$H),0)&amp;"元消费券"))</f>
        <v/>
      </c>
      <c r="J431" s="27" t="str" cm="1">
        <f t="array" ref="J431">IF($C431="","",IF(_xlfn.XLOOKUP($A431&amp;$B431&amp;$C431,盘货信息!$A:$A&amp;盘货信息!$B:$B&amp;盘货信息!$C:$C,盘货信息!$J:$J)&lt;1,"",ROUND(_xlfn.XLOOKUP($A431&amp;$B431&amp;$C431,盘货信息!$A:$A&amp;盘货信息!$B:$B&amp;盘货信息!$C:$C,盘货信息!$J:$J),0)&amp;"元限时补贴"))</f>
        <v/>
      </c>
      <c r="K431" s="27" t="str" cm="1">
        <f t="array" ref="K431">IF($C431="","",IF(_xlfn.XLOOKUP($A431&amp;$B431&amp;$C431,盘货信息!$A:$A&amp;盘货信息!$B:$B&amp;盘货信息!$C:$C,盘货信息!$K:$K)&lt;1,"",ROUND(_xlfn.XLOOKUP($A431&amp;$B431&amp;$C431,盘货信息!$A:$A&amp;盘货信息!$B:$B&amp;盘货信息!$C:$C,盘货信息!$K:$K),0)&amp;"元预估焕新补贴"))</f>
        <v/>
      </c>
      <c r="L431" s="27" t="str" cm="1">
        <f t="array" ref="L431">IF($C431="","",IF(AND(_xlfn.XLOOKUP($A431&amp;$B431&amp;$C431,盘货信息!$A:$A&amp;盘货信息!$B:$B&amp;盘货信息!$C:$C,盘货信息!$L:$L)="是",_xlfn.XLOOKUP($A431&amp;$B431&amp;$C431,盘货信息!$A:$A&amp;盘货信息!$B:$B&amp;盘货信息!$C:$C,盘货信息!$M:$M)="是",_xlfn.XLOOKUP($A431&amp;$B431&amp;$C431,盘货信息!$A:$A&amp;盘货信息!$B:$B&amp;盘货信息!$C:$C,盘货信息!$K:$K)&gt;0),"【全民可用，不限地址】",IF(AND(OR(_xlfn.XLOOKUP($A431&amp;$B431&amp;$C431,盘货信息!$A:$A&amp;盘货信息!$B:$B&amp;盘货信息!$C:$C,盘货信息!$L:$L)="否",_xlfn.XLOOKUP($A431&amp;$B431&amp;$C431,盘货信息!$A:$A&amp;盘货信息!$B:$B&amp;盘货信息!$C:$C,盘货信息!$L:$L)=""),_xlfn.XLOOKUP($A431&amp;$B431&amp;$C431,盘货信息!$A:$A&amp;盘货信息!$B:$B&amp;盘货信息!$C:$C,盘货信息!$M:$M)="是",_xlfn.XLOOKUP($A431&amp;$B431&amp;$C431,盘货信息!$A:$A&amp;盘货信息!$B:$B&amp;盘货信息!$C:$C,盘货信息!$K:$K)&gt;0),"【详情页领取】","")))</f>
        <v/>
      </c>
      <c r="M431" s="27" t="str" cm="1">
        <f t="array" ref="M431">IF($C431="","",IF(_xlfn.XLOOKUP($A431&amp;$B431&amp;$C431,盘货信息!$A:$A&amp;盘货信息!$B:$B&amp;盘货信息!$C:$C,盘货信息!$F:$F)&lt;1,"",_xlfn.XLOOKUP($A431&amp;$B431&amp;$C431,盘货信息!$A:$A&amp;盘货信息!$B:$B&amp;盘货信息!$C:$C,盘货信息!$F:$F)&amp;"元明卷"))</f>
        <v/>
      </c>
      <c r="N431" s="27" t="str">
        <f t="shared" si="13"/>
        <v/>
      </c>
      <c r="O431" s="27" t="str">
        <f>IF(I431="","","【消费券链接】"&amp;固定信息!$B$6)</f>
        <v/>
      </c>
    </row>
    <row r="432" customHeight="1" spans="1:15">
      <c r="A432" s="23" t="str">
        <f>IF(盘货信息!A432="","",盘货信息!A432)</f>
        <v/>
      </c>
      <c r="B432" s="26" t="str">
        <f>IF(盘货信息!B432="","",盘货信息!B432)</f>
        <v/>
      </c>
      <c r="C432" s="23" t="str">
        <f>IF(盘货信息!C432="","",盘货信息!C432)</f>
        <v/>
      </c>
      <c r="D432" s="27" t="str">
        <f t="shared" si="12"/>
        <v/>
      </c>
      <c r="E432" s="27" t="str" cm="1">
        <f t="array" ref="E432">IF($C432="","",IF(AND(OR(_xlfn.XLOOKUP($A432&amp;$B432&amp;$C432,盘货信息!$A:$A&amp;盘货信息!$B:$B&amp;盘货信息!$C:$C,盘货信息!$L:$L)="否",_xlfn.XLOOKUP($A432&amp;$B432&amp;$C432,盘货信息!$A:$A&amp;盘货信息!$B:$B&amp;盘货信息!$C:$C,盘货信息!$L:$L)=""),_xlfn.XLOOKUP($A432&amp;$B432&amp;$C432,盘货信息!$A:$A&amp;盘货信息!$B:$B&amp;盘货信息!$C:$C,盘货信息!$M:$M)="否"),"【预估到手价"&amp;_xlfn.XLOOKUP($A432&amp;$B432&amp;$C432,盘货信息!$A:$A&amp;盘货信息!$B:$B&amp;盘货信息!$C:$C,盘货信息!$D:$D)&amp;"元】",IF(AND(_xlfn.XLOOKUP($A432&amp;$B432&amp;$C432,盘货信息!$A:$A&amp;盘货信息!$B:$B&amp;盘货信息!$C:$C,盘货信息!$M:$M)="是",OR(_xlfn.XLOOKUP($A432&amp;$B432&amp;$C432,盘货信息!$A:$A&amp;盘货信息!$B:$B&amp;盘货信息!$C:$C,盘货信息!$L:$L)="否",_xlfn.XLOOKUP($A432&amp;$B432&amp;$C432,盘货信息!$A:$A&amp;盘货信息!$B:$B&amp;盘货信息!$C:$C,盘货信息!$L:$L)="")),"【预估到手价"&amp;_xlfn.XLOOKUP($A432&amp;$B432&amp;$C432,盘货信息!$A:$A&amp;盘货信息!$B:$B&amp;盘货信息!$C:$C,盘货信息!$D:$D)&amp;"元】"&amp;CHAR(10)&amp;"【焕新补贴预估价"&amp;ROUND(_xlfn.XLOOKUP($A432&amp;$B432&amp;$C432,盘货信息!$A:$A&amp;盘货信息!$B:$B&amp;盘货信息!$C:$C,盘货信息!$E:$E),0)&amp;"元】","【焕新补贴预估价"&amp;ROUND(_xlfn.XLOOKUP($A432&amp;$B432&amp;$C432,盘货信息!$A:$A&amp;盘货信息!$B:$B&amp;盘货信息!$C:$C,盘货信息!$E:$E),0)&amp;"元】")))</f>
        <v/>
      </c>
      <c r="F432" s="27" t="str" cm="1">
        <f t="array" ref="F432">IF($C432="","",_xlfn.XLOOKUP($A432&amp;$B432&amp;$C432,盘货信息!$A:$A&amp;盘货信息!$B:$B&amp;盘货信息!$C:$C,盘货信息!$D:$D)&amp;"元到手价")</f>
        <v/>
      </c>
      <c r="G432" s="27" t="str" cm="1">
        <f t="array" ref="G432">IF($C432="","",IF(_xlfn.XLOOKUP($A432&amp;$B432&amp;$C432,盘货信息!$A:$A&amp;盘货信息!$B:$B&amp;盘货信息!$C:$C,盘货信息!$G:$G)&lt;1,"",ROUND(_xlfn.XLOOKUP($A432&amp;$B432&amp;$C432,盘货信息!$A:$A&amp;盘货信息!$B:$B&amp;盘货信息!$C:$C,盘货信息!$G:$G),0)&amp;"元88VIP立减"))</f>
        <v/>
      </c>
      <c r="H432" s="27" t="str" cm="1">
        <f t="array" ref="H432">IF($C432="","",IF(_xlfn.XLOOKUP($A432&amp;$B432&amp;$C432,盘货信息!$A:$A&amp;盘货信息!$B:$B&amp;盘货信息!$C:$C,盘货信息!$I:$I)&lt;1,"",_xlfn.XLOOKUP($A432&amp;$B432&amp;$C432,盘货信息!$A:$A&amp;盘货信息!$B:$B&amp;盘货信息!$C:$C,盘货信息!$I:$I)&amp;"元惊喜立减"))</f>
        <v/>
      </c>
      <c r="I432" s="27" t="str" cm="1">
        <f t="array" ref="I432">IF($C432="","",IF(_xlfn.XLOOKUP($A432&amp;$B432&amp;$C432,盘货信息!$A:$A&amp;盘货信息!$B:$B&amp;盘货信息!$C:$C,盘货信息!$H:$H)&lt;1,"",ROUND(_xlfn.XLOOKUP($A432&amp;$B432&amp;$C432,盘货信息!$A:$A&amp;盘货信息!$B:$B&amp;盘货信息!$C:$C,盘货信息!$H:$H),0)&amp;"元消费券"))</f>
        <v/>
      </c>
      <c r="J432" s="27" t="str" cm="1">
        <f t="array" ref="J432">IF($C432="","",IF(_xlfn.XLOOKUP($A432&amp;$B432&amp;$C432,盘货信息!$A:$A&amp;盘货信息!$B:$B&amp;盘货信息!$C:$C,盘货信息!$J:$J)&lt;1,"",ROUND(_xlfn.XLOOKUP($A432&amp;$B432&amp;$C432,盘货信息!$A:$A&amp;盘货信息!$B:$B&amp;盘货信息!$C:$C,盘货信息!$J:$J),0)&amp;"元限时补贴"))</f>
        <v/>
      </c>
      <c r="K432" s="27" t="str" cm="1">
        <f t="array" ref="K432">IF($C432="","",IF(_xlfn.XLOOKUP($A432&amp;$B432&amp;$C432,盘货信息!$A:$A&amp;盘货信息!$B:$B&amp;盘货信息!$C:$C,盘货信息!$K:$K)&lt;1,"",ROUND(_xlfn.XLOOKUP($A432&amp;$B432&amp;$C432,盘货信息!$A:$A&amp;盘货信息!$B:$B&amp;盘货信息!$C:$C,盘货信息!$K:$K),0)&amp;"元预估焕新补贴"))</f>
        <v/>
      </c>
      <c r="L432" s="27" t="str" cm="1">
        <f t="array" ref="L432">IF($C432="","",IF(AND(_xlfn.XLOOKUP($A432&amp;$B432&amp;$C432,盘货信息!$A:$A&amp;盘货信息!$B:$B&amp;盘货信息!$C:$C,盘货信息!$L:$L)="是",_xlfn.XLOOKUP($A432&amp;$B432&amp;$C432,盘货信息!$A:$A&amp;盘货信息!$B:$B&amp;盘货信息!$C:$C,盘货信息!$M:$M)="是",_xlfn.XLOOKUP($A432&amp;$B432&amp;$C432,盘货信息!$A:$A&amp;盘货信息!$B:$B&amp;盘货信息!$C:$C,盘货信息!$K:$K)&gt;0),"【全民可用，不限地址】",IF(AND(OR(_xlfn.XLOOKUP($A432&amp;$B432&amp;$C432,盘货信息!$A:$A&amp;盘货信息!$B:$B&amp;盘货信息!$C:$C,盘货信息!$L:$L)="否",_xlfn.XLOOKUP($A432&amp;$B432&amp;$C432,盘货信息!$A:$A&amp;盘货信息!$B:$B&amp;盘货信息!$C:$C,盘货信息!$L:$L)=""),_xlfn.XLOOKUP($A432&amp;$B432&amp;$C432,盘货信息!$A:$A&amp;盘货信息!$B:$B&amp;盘货信息!$C:$C,盘货信息!$M:$M)="是",_xlfn.XLOOKUP($A432&amp;$B432&amp;$C432,盘货信息!$A:$A&amp;盘货信息!$B:$B&amp;盘货信息!$C:$C,盘货信息!$K:$K)&gt;0),"【详情页领取】","")))</f>
        <v/>
      </c>
      <c r="M432" s="27" t="str" cm="1">
        <f t="array" ref="M432">IF($C432="","",IF(_xlfn.XLOOKUP($A432&amp;$B432&amp;$C432,盘货信息!$A:$A&amp;盘货信息!$B:$B&amp;盘货信息!$C:$C,盘货信息!$F:$F)&lt;1,"",_xlfn.XLOOKUP($A432&amp;$B432&amp;$C432,盘货信息!$A:$A&amp;盘货信息!$B:$B&amp;盘货信息!$C:$C,盘货信息!$F:$F)&amp;"元明卷"))</f>
        <v/>
      </c>
      <c r="N432" s="27" t="str">
        <f t="shared" si="13"/>
        <v/>
      </c>
      <c r="O432" s="27" t="str">
        <f>IF(I432="","","【消费券链接】"&amp;固定信息!$B$6)</f>
        <v/>
      </c>
    </row>
    <row r="433" customHeight="1" spans="1:15">
      <c r="A433" s="23" t="str">
        <f>IF(盘货信息!A433="","",盘货信息!A433)</f>
        <v/>
      </c>
      <c r="B433" s="26" t="str">
        <f>IF(盘货信息!B433="","",盘货信息!B433)</f>
        <v/>
      </c>
      <c r="C433" s="23" t="str">
        <f>IF(盘货信息!C433="","",盘货信息!C433)</f>
        <v/>
      </c>
      <c r="D433" s="27" t="str">
        <f t="shared" si="12"/>
        <v/>
      </c>
      <c r="E433" s="27" t="str" cm="1">
        <f t="array" ref="E433">IF($C433="","",IF(AND(OR(_xlfn.XLOOKUP($A433&amp;$B433&amp;$C433,盘货信息!$A:$A&amp;盘货信息!$B:$B&amp;盘货信息!$C:$C,盘货信息!$L:$L)="否",_xlfn.XLOOKUP($A433&amp;$B433&amp;$C433,盘货信息!$A:$A&amp;盘货信息!$B:$B&amp;盘货信息!$C:$C,盘货信息!$L:$L)=""),_xlfn.XLOOKUP($A433&amp;$B433&amp;$C433,盘货信息!$A:$A&amp;盘货信息!$B:$B&amp;盘货信息!$C:$C,盘货信息!$M:$M)="否"),"【预估到手价"&amp;_xlfn.XLOOKUP($A433&amp;$B433&amp;$C433,盘货信息!$A:$A&amp;盘货信息!$B:$B&amp;盘货信息!$C:$C,盘货信息!$D:$D)&amp;"元】",IF(AND(_xlfn.XLOOKUP($A433&amp;$B433&amp;$C433,盘货信息!$A:$A&amp;盘货信息!$B:$B&amp;盘货信息!$C:$C,盘货信息!$M:$M)="是",OR(_xlfn.XLOOKUP($A433&amp;$B433&amp;$C433,盘货信息!$A:$A&amp;盘货信息!$B:$B&amp;盘货信息!$C:$C,盘货信息!$L:$L)="否",_xlfn.XLOOKUP($A433&amp;$B433&amp;$C433,盘货信息!$A:$A&amp;盘货信息!$B:$B&amp;盘货信息!$C:$C,盘货信息!$L:$L)="")),"【预估到手价"&amp;_xlfn.XLOOKUP($A433&amp;$B433&amp;$C433,盘货信息!$A:$A&amp;盘货信息!$B:$B&amp;盘货信息!$C:$C,盘货信息!$D:$D)&amp;"元】"&amp;CHAR(10)&amp;"【焕新补贴预估价"&amp;ROUND(_xlfn.XLOOKUP($A433&amp;$B433&amp;$C433,盘货信息!$A:$A&amp;盘货信息!$B:$B&amp;盘货信息!$C:$C,盘货信息!$E:$E),0)&amp;"元】","【焕新补贴预估价"&amp;ROUND(_xlfn.XLOOKUP($A433&amp;$B433&amp;$C433,盘货信息!$A:$A&amp;盘货信息!$B:$B&amp;盘货信息!$C:$C,盘货信息!$E:$E),0)&amp;"元】")))</f>
        <v/>
      </c>
      <c r="F433" s="27" t="str" cm="1">
        <f t="array" ref="F433">IF($C433="","",_xlfn.XLOOKUP($A433&amp;$B433&amp;$C433,盘货信息!$A:$A&amp;盘货信息!$B:$B&amp;盘货信息!$C:$C,盘货信息!$D:$D)&amp;"元到手价")</f>
        <v/>
      </c>
      <c r="G433" s="27" t="str" cm="1">
        <f t="array" ref="G433">IF($C433="","",IF(_xlfn.XLOOKUP($A433&amp;$B433&amp;$C433,盘货信息!$A:$A&amp;盘货信息!$B:$B&amp;盘货信息!$C:$C,盘货信息!$G:$G)&lt;1,"",ROUND(_xlfn.XLOOKUP($A433&amp;$B433&amp;$C433,盘货信息!$A:$A&amp;盘货信息!$B:$B&amp;盘货信息!$C:$C,盘货信息!$G:$G),0)&amp;"元88VIP立减"))</f>
        <v/>
      </c>
      <c r="H433" s="27" t="str" cm="1">
        <f t="array" ref="H433">IF($C433="","",IF(_xlfn.XLOOKUP($A433&amp;$B433&amp;$C433,盘货信息!$A:$A&amp;盘货信息!$B:$B&amp;盘货信息!$C:$C,盘货信息!$I:$I)&lt;1,"",_xlfn.XLOOKUP($A433&amp;$B433&amp;$C433,盘货信息!$A:$A&amp;盘货信息!$B:$B&amp;盘货信息!$C:$C,盘货信息!$I:$I)&amp;"元惊喜立减"))</f>
        <v/>
      </c>
      <c r="I433" s="27" t="str" cm="1">
        <f t="array" ref="I433">IF($C433="","",IF(_xlfn.XLOOKUP($A433&amp;$B433&amp;$C433,盘货信息!$A:$A&amp;盘货信息!$B:$B&amp;盘货信息!$C:$C,盘货信息!$H:$H)&lt;1,"",ROUND(_xlfn.XLOOKUP($A433&amp;$B433&amp;$C433,盘货信息!$A:$A&amp;盘货信息!$B:$B&amp;盘货信息!$C:$C,盘货信息!$H:$H),0)&amp;"元消费券"))</f>
        <v/>
      </c>
      <c r="J433" s="27" t="str" cm="1">
        <f t="array" ref="J433">IF($C433="","",IF(_xlfn.XLOOKUP($A433&amp;$B433&amp;$C433,盘货信息!$A:$A&amp;盘货信息!$B:$B&amp;盘货信息!$C:$C,盘货信息!$J:$J)&lt;1,"",ROUND(_xlfn.XLOOKUP($A433&amp;$B433&amp;$C433,盘货信息!$A:$A&amp;盘货信息!$B:$B&amp;盘货信息!$C:$C,盘货信息!$J:$J),0)&amp;"元限时补贴"))</f>
        <v/>
      </c>
      <c r="K433" s="27" t="str" cm="1">
        <f t="array" ref="K433">IF($C433="","",IF(_xlfn.XLOOKUP($A433&amp;$B433&amp;$C433,盘货信息!$A:$A&amp;盘货信息!$B:$B&amp;盘货信息!$C:$C,盘货信息!$K:$K)&lt;1,"",ROUND(_xlfn.XLOOKUP($A433&amp;$B433&amp;$C433,盘货信息!$A:$A&amp;盘货信息!$B:$B&amp;盘货信息!$C:$C,盘货信息!$K:$K),0)&amp;"元预估焕新补贴"))</f>
        <v/>
      </c>
      <c r="L433" s="27" t="str" cm="1">
        <f t="array" ref="L433">IF($C433="","",IF(AND(_xlfn.XLOOKUP($A433&amp;$B433&amp;$C433,盘货信息!$A:$A&amp;盘货信息!$B:$B&amp;盘货信息!$C:$C,盘货信息!$L:$L)="是",_xlfn.XLOOKUP($A433&amp;$B433&amp;$C433,盘货信息!$A:$A&amp;盘货信息!$B:$B&amp;盘货信息!$C:$C,盘货信息!$M:$M)="是",_xlfn.XLOOKUP($A433&amp;$B433&amp;$C433,盘货信息!$A:$A&amp;盘货信息!$B:$B&amp;盘货信息!$C:$C,盘货信息!$K:$K)&gt;0),"【全民可用，不限地址】",IF(AND(OR(_xlfn.XLOOKUP($A433&amp;$B433&amp;$C433,盘货信息!$A:$A&amp;盘货信息!$B:$B&amp;盘货信息!$C:$C,盘货信息!$L:$L)="否",_xlfn.XLOOKUP($A433&amp;$B433&amp;$C433,盘货信息!$A:$A&amp;盘货信息!$B:$B&amp;盘货信息!$C:$C,盘货信息!$L:$L)=""),_xlfn.XLOOKUP($A433&amp;$B433&amp;$C433,盘货信息!$A:$A&amp;盘货信息!$B:$B&amp;盘货信息!$C:$C,盘货信息!$M:$M)="是",_xlfn.XLOOKUP($A433&amp;$B433&amp;$C433,盘货信息!$A:$A&amp;盘货信息!$B:$B&amp;盘货信息!$C:$C,盘货信息!$K:$K)&gt;0),"【详情页领取】","")))</f>
        <v/>
      </c>
      <c r="M433" s="27" t="str" cm="1">
        <f t="array" ref="M433">IF($C433="","",IF(_xlfn.XLOOKUP($A433&amp;$B433&amp;$C433,盘货信息!$A:$A&amp;盘货信息!$B:$B&amp;盘货信息!$C:$C,盘货信息!$F:$F)&lt;1,"",_xlfn.XLOOKUP($A433&amp;$B433&amp;$C433,盘货信息!$A:$A&amp;盘货信息!$B:$B&amp;盘货信息!$C:$C,盘货信息!$F:$F)&amp;"元明卷"))</f>
        <v/>
      </c>
      <c r="N433" s="27" t="str">
        <f t="shared" si="13"/>
        <v/>
      </c>
      <c r="O433" s="27" t="str">
        <f>IF(I433="","","【消费券链接】"&amp;固定信息!$B$6)</f>
        <v/>
      </c>
    </row>
    <row r="434" customHeight="1" spans="1:15">
      <c r="A434" s="23" t="str">
        <f>IF(盘货信息!A434="","",盘货信息!A434)</f>
        <v/>
      </c>
      <c r="B434" s="26" t="str">
        <f>IF(盘货信息!B434="","",盘货信息!B434)</f>
        <v/>
      </c>
      <c r="C434" s="23" t="str">
        <f>IF(盘货信息!C434="","",盘货信息!C434)</f>
        <v/>
      </c>
      <c r="D434" s="27" t="str">
        <f t="shared" si="12"/>
        <v/>
      </c>
      <c r="E434" s="27" t="str" cm="1">
        <f t="array" ref="E434">IF($C434="","",IF(AND(OR(_xlfn.XLOOKUP($A434&amp;$B434&amp;$C434,盘货信息!$A:$A&amp;盘货信息!$B:$B&amp;盘货信息!$C:$C,盘货信息!$L:$L)="否",_xlfn.XLOOKUP($A434&amp;$B434&amp;$C434,盘货信息!$A:$A&amp;盘货信息!$B:$B&amp;盘货信息!$C:$C,盘货信息!$L:$L)=""),_xlfn.XLOOKUP($A434&amp;$B434&amp;$C434,盘货信息!$A:$A&amp;盘货信息!$B:$B&amp;盘货信息!$C:$C,盘货信息!$M:$M)="否"),"【预估到手价"&amp;_xlfn.XLOOKUP($A434&amp;$B434&amp;$C434,盘货信息!$A:$A&amp;盘货信息!$B:$B&amp;盘货信息!$C:$C,盘货信息!$D:$D)&amp;"元】",IF(AND(_xlfn.XLOOKUP($A434&amp;$B434&amp;$C434,盘货信息!$A:$A&amp;盘货信息!$B:$B&amp;盘货信息!$C:$C,盘货信息!$M:$M)="是",OR(_xlfn.XLOOKUP($A434&amp;$B434&amp;$C434,盘货信息!$A:$A&amp;盘货信息!$B:$B&amp;盘货信息!$C:$C,盘货信息!$L:$L)="否",_xlfn.XLOOKUP($A434&amp;$B434&amp;$C434,盘货信息!$A:$A&amp;盘货信息!$B:$B&amp;盘货信息!$C:$C,盘货信息!$L:$L)="")),"【预估到手价"&amp;_xlfn.XLOOKUP($A434&amp;$B434&amp;$C434,盘货信息!$A:$A&amp;盘货信息!$B:$B&amp;盘货信息!$C:$C,盘货信息!$D:$D)&amp;"元】"&amp;CHAR(10)&amp;"【焕新补贴预估价"&amp;ROUND(_xlfn.XLOOKUP($A434&amp;$B434&amp;$C434,盘货信息!$A:$A&amp;盘货信息!$B:$B&amp;盘货信息!$C:$C,盘货信息!$E:$E),0)&amp;"元】","【焕新补贴预估价"&amp;ROUND(_xlfn.XLOOKUP($A434&amp;$B434&amp;$C434,盘货信息!$A:$A&amp;盘货信息!$B:$B&amp;盘货信息!$C:$C,盘货信息!$E:$E),0)&amp;"元】")))</f>
        <v/>
      </c>
      <c r="F434" s="27" t="str" cm="1">
        <f t="array" ref="F434">IF($C434="","",_xlfn.XLOOKUP($A434&amp;$B434&amp;$C434,盘货信息!$A:$A&amp;盘货信息!$B:$B&amp;盘货信息!$C:$C,盘货信息!$D:$D)&amp;"元到手价")</f>
        <v/>
      </c>
      <c r="G434" s="27" t="str" cm="1">
        <f t="array" ref="G434">IF($C434="","",IF(_xlfn.XLOOKUP($A434&amp;$B434&amp;$C434,盘货信息!$A:$A&amp;盘货信息!$B:$B&amp;盘货信息!$C:$C,盘货信息!$G:$G)&lt;1,"",ROUND(_xlfn.XLOOKUP($A434&amp;$B434&amp;$C434,盘货信息!$A:$A&amp;盘货信息!$B:$B&amp;盘货信息!$C:$C,盘货信息!$G:$G),0)&amp;"元88VIP立减"))</f>
        <v/>
      </c>
      <c r="H434" s="27" t="str" cm="1">
        <f t="array" ref="H434">IF($C434="","",IF(_xlfn.XLOOKUP($A434&amp;$B434&amp;$C434,盘货信息!$A:$A&amp;盘货信息!$B:$B&amp;盘货信息!$C:$C,盘货信息!$I:$I)&lt;1,"",_xlfn.XLOOKUP($A434&amp;$B434&amp;$C434,盘货信息!$A:$A&amp;盘货信息!$B:$B&amp;盘货信息!$C:$C,盘货信息!$I:$I)&amp;"元惊喜立减"))</f>
        <v/>
      </c>
      <c r="I434" s="27" t="str" cm="1">
        <f t="array" ref="I434">IF($C434="","",IF(_xlfn.XLOOKUP($A434&amp;$B434&amp;$C434,盘货信息!$A:$A&amp;盘货信息!$B:$B&amp;盘货信息!$C:$C,盘货信息!$H:$H)&lt;1,"",ROUND(_xlfn.XLOOKUP($A434&amp;$B434&amp;$C434,盘货信息!$A:$A&amp;盘货信息!$B:$B&amp;盘货信息!$C:$C,盘货信息!$H:$H),0)&amp;"元消费券"))</f>
        <v/>
      </c>
      <c r="J434" s="27" t="str" cm="1">
        <f t="array" ref="J434">IF($C434="","",IF(_xlfn.XLOOKUP($A434&amp;$B434&amp;$C434,盘货信息!$A:$A&amp;盘货信息!$B:$B&amp;盘货信息!$C:$C,盘货信息!$J:$J)&lt;1,"",ROUND(_xlfn.XLOOKUP($A434&amp;$B434&amp;$C434,盘货信息!$A:$A&amp;盘货信息!$B:$B&amp;盘货信息!$C:$C,盘货信息!$J:$J),0)&amp;"元限时补贴"))</f>
        <v/>
      </c>
      <c r="K434" s="27" t="str" cm="1">
        <f t="array" ref="K434">IF($C434="","",IF(_xlfn.XLOOKUP($A434&amp;$B434&amp;$C434,盘货信息!$A:$A&amp;盘货信息!$B:$B&amp;盘货信息!$C:$C,盘货信息!$K:$K)&lt;1,"",ROUND(_xlfn.XLOOKUP($A434&amp;$B434&amp;$C434,盘货信息!$A:$A&amp;盘货信息!$B:$B&amp;盘货信息!$C:$C,盘货信息!$K:$K),0)&amp;"元预估焕新补贴"))</f>
        <v/>
      </c>
      <c r="L434" s="27" t="str" cm="1">
        <f t="array" ref="L434">IF($C434="","",IF(AND(_xlfn.XLOOKUP($A434&amp;$B434&amp;$C434,盘货信息!$A:$A&amp;盘货信息!$B:$B&amp;盘货信息!$C:$C,盘货信息!$L:$L)="是",_xlfn.XLOOKUP($A434&amp;$B434&amp;$C434,盘货信息!$A:$A&amp;盘货信息!$B:$B&amp;盘货信息!$C:$C,盘货信息!$M:$M)="是",_xlfn.XLOOKUP($A434&amp;$B434&amp;$C434,盘货信息!$A:$A&amp;盘货信息!$B:$B&amp;盘货信息!$C:$C,盘货信息!$K:$K)&gt;0),"【全民可用，不限地址】",IF(AND(OR(_xlfn.XLOOKUP($A434&amp;$B434&amp;$C434,盘货信息!$A:$A&amp;盘货信息!$B:$B&amp;盘货信息!$C:$C,盘货信息!$L:$L)="否",_xlfn.XLOOKUP($A434&amp;$B434&amp;$C434,盘货信息!$A:$A&amp;盘货信息!$B:$B&amp;盘货信息!$C:$C,盘货信息!$L:$L)=""),_xlfn.XLOOKUP($A434&amp;$B434&amp;$C434,盘货信息!$A:$A&amp;盘货信息!$B:$B&amp;盘货信息!$C:$C,盘货信息!$M:$M)="是",_xlfn.XLOOKUP($A434&amp;$B434&amp;$C434,盘货信息!$A:$A&amp;盘货信息!$B:$B&amp;盘货信息!$C:$C,盘货信息!$K:$K)&gt;0),"【详情页领取】","")))</f>
        <v/>
      </c>
      <c r="M434" s="27" t="str" cm="1">
        <f t="array" ref="M434">IF($C434="","",IF(_xlfn.XLOOKUP($A434&amp;$B434&amp;$C434,盘货信息!$A:$A&amp;盘货信息!$B:$B&amp;盘货信息!$C:$C,盘货信息!$F:$F)&lt;1,"",_xlfn.XLOOKUP($A434&amp;$B434&amp;$C434,盘货信息!$A:$A&amp;盘货信息!$B:$B&amp;盘货信息!$C:$C,盘货信息!$F:$F)&amp;"元明卷"))</f>
        <v/>
      </c>
      <c r="N434" s="27" t="str">
        <f t="shared" si="13"/>
        <v/>
      </c>
      <c r="O434" s="27" t="str">
        <f>IF(I434="","","【消费券链接】"&amp;固定信息!$B$6)</f>
        <v/>
      </c>
    </row>
    <row r="435" customHeight="1" spans="1:15">
      <c r="A435" s="23" t="str">
        <f>IF(盘货信息!A435="","",盘货信息!A435)</f>
        <v/>
      </c>
      <c r="B435" s="26" t="str">
        <f>IF(盘货信息!B435="","",盘货信息!B435)</f>
        <v/>
      </c>
      <c r="C435" s="23" t="str">
        <f>IF(盘货信息!C435="","",盘货信息!C435)</f>
        <v/>
      </c>
      <c r="D435" s="27" t="str">
        <f t="shared" si="12"/>
        <v/>
      </c>
      <c r="E435" s="27" t="str" cm="1">
        <f t="array" ref="E435">IF($C435="","",IF(AND(OR(_xlfn.XLOOKUP($A435&amp;$B435&amp;$C435,盘货信息!$A:$A&amp;盘货信息!$B:$B&amp;盘货信息!$C:$C,盘货信息!$L:$L)="否",_xlfn.XLOOKUP($A435&amp;$B435&amp;$C435,盘货信息!$A:$A&amp;盘货信息!$B:$B&amp;盘货信息!$C:$C,盘货信息!$L:$L)=""),_xlfn.XLOOKUP($A435&amp;$B435&amp;$C435,盘货信息!$A:$A&amp;盘货信息!$B:$B&amp;盘货信息!$C:$C,盘货信息!$M:$M)="否"),"【预估到手价"&amp;_xlfn.XLOOKUP($A435&amp;$B435&amp;$C435,盘货信息!$A:$A&amp;盘货信息!$B:$B&amp;盘货信息!$C:$C,盘货信息!$D:$D)&amp;"元】",IF(AND(_xlfn.XLOOKUP($A435&amp;$B435&amp;$C435,盘货信息!$A:$A&amp;盘货信息!$B:$B&amp;盘货信息!$C:$C,盘货信息!$M:$M)="是",OR(_xlfn.XLOOKUP($A435&amp;$B435&amp;$C435,盘货信息!$A:$A&amp;盘货信息!$B:$B&amp;盘货信息!$C:$C,盘货信息!$L:$L)="否",_xlfn.XLOOKUP($A435&amp;$B435&amp;$C435,盘货信息!$A:$A&amp;盘货信息!$B:$B&amp;盘货信息!$C:$C,盘货信息!$L:$L)="")),"【预估到手价"&amp;_xlfn.XLOOKUP($A435&amp;$B435&amp;$C435,盘货信息!$A:$A&amp;盘货信息!$B:$B&amp;盘货信息!$C:$C,盘货信息!$D:$D)&amp;"元】"&amp;CHAR(10)&amp;"【焕新补贴预估价"&amp;ROUND(_xlfn.XLOOKUP($A435&amp;$B435&amp;$C435,盘货信息!$A:$A&amp;盘货信息!$B:$B&amp;盘货信息!$C:$C,盘货信息!$E:$E),0)&amp;"元】","【焕新补贴预估价"&amp;ROUND(_xlfn.XLOOKUP($A435&amp;$B435&amp;$C435,盘货信息!$A:$A&amp;盘货信息!$B:$B&amp;盘货信息!$C:$C,盘货信息!$E:$E),0)&amp;"元】")))</f>
        <v/>
      </c>
      <c r="F435" s="27" t="str" cm="1">
        <f t="array" ref="F435">IF($C435="","",_xlfn.XLOOKUP($A435&amp;$B435&amp;$C435,盘货信息!$A:$A&amp;盘货信息!$B:$B&amp;盘货信息!$C:$C,盘货信息!$D:$D)&amp;"元到手价")</f>
        <v/>
      </c>
      <c r="G435" s="27" t="str" cm="1">
        <f t="array" ref="G435">IF($C435="","",IF(_xlfn.XLOOKUP($A435&amp;$B435&amp;$C435,盘货信息!$A:$A&amp;盘货信息!$B:$B&amp;盘货信息!$C:$C,盘货信息!$G:$G)&lt;1,"",ROUND(_xlfn.XLOOKUP($A435&amp;$B435&amp;$C435,盘货信息!$A:$A&amp;盘货信息!$B:$B&amp;盘货信息!$C:$C,盘货信息!$G:$G),0)&amp;"元88VIP立减"))</f>
        <v/>
      </c>
      <c r="H435" s="27" t="str" cm="1">
        <f t="array" ref="H435">IF($C435="","",IF(_xlfn.XLOOKUP($A435&amp;$B435&amp;$C435,盘货信息!$A:$A&amp;盘货信息!$B:$B&amp;盘货信息!$C:$C,盘货信息!$I:$I)&lt;1,"",_xlfn.XLOOKUP($A435&amp;$B435&amp;$C435,盘货信息!$A:$A&amp;盘货信息!$B:$B&amp;盘货信息!$C:$C,盘货信息!$I:$I)&amp;"元惊喜立减"))</f>
        <v/>
      </c>
      <c r="I435" s="27" t="str" cm="1">
        <f t="array" ref="I435">IF($C435="","",IF(_xlfn.XLOOKUP($A435&amp;$B435&amp;$C435,盘货信息!$A:$A&amp;盘货信息!$B:$B&amp;盘货信息!$C:$C,盘货信息!$H:$H)&lt;1,"",ROUND(_xlfn.XLOOKUP($A435&amp;$B435&amp;$C435,盘货信息!$A:$A&amp;盘货信息!$B:$B&amp;盘货信息!$C:$C,盘货信息!$H:$H),0)&amp;"元消费券"))</f>
        <v/>
      </c>
      <c r="J435" s="27" t="str" cm="1">
        <f t="array" ref="J435">IF($C435="","",IF(_xlfn.XLOOKUP($A435&amp;$B435&amp;$C435,盘货信息!$A:$A&amp;盘货信息!$B:$B&amp;盘货信息!$C:$C,盘货信息!$J:$J)&lt;1,"",ROUND(_xlfn.XLOOKUP($A435&amp;$B435&amp;$C435,盘货信息!$A:$A&amp;盘货信息!$B:$B&amp;盘货信息!$C:$C,盘货信息!$J:$J),0)&amp;"元限时补贴"))</f>
        <v/>
      </c>
      <c r="K435" s="27" t="str" cm="1">
        <f t="array" ref="K435">IF($C435="","",IF(_xlfn.XLOOKUP($A435&amp;$B435&amp;$C435,盘货信息!$A:$A&amp;盘货信息!$B:$B&amp;盘货信息!$C:$C,盘货信息!$K:$K)&lt;1,"",ROUND(_xlfn.XLOOKUP($A435&amp;$B435&amp;$C435,盘货信息!$A:$A&amp;盘货信息!$B:$B&amp;盘货信息!$C:$C,盘货信息!$K:$K),0)&amp;"元预估焕新补贴"))</f>
        <v/>
      </c>
      <c r="L435" s="27" t="str" cm="1">
        <f t="array" ref="L435">IF($C435="","",IF(AND(_xlfn.XLOOKUP($A435&amp;$B435&amp;$C435,盘货信息!$A:$A&amp;盘货信息!$B:$B&amp;盘货信息!$C:$C,盘货信息!$L:$L)="是",_xlfn.XLOOKUP($A435&amp;$B435&amp;$C435,盘货信息!$A:$A&amp;盘货信息!$B:$B&amp;盘货信息!$C:$C,盘货信息!$M:$M)="是",_xlfn.XLOOKUP($A435&amp;$B435&amp;$C435,盘货信息!$A:$A&amp;盘货信息!$B:$B&amp;盘货信息!$C:$C,盘货信息!$K:$K)&gt;0),"【全民可用，不限地址】",IF(AND(OR(_xlfn.XLOOKUP($A435&amp;$B435&amp;$C435,盘货信息!$A:$A&amp;盘货信息!$B:$B&amp;盘货信息!$C:$C,盘货信息!$L:$L)="否",_xlfn.XLOOKUP($A435&amp;$B435&amp;$C435,盘货信息!$A:$A&amp;盘货信息!$B:$B&amp;盘货信息!$C:$C,盘货信息!$L:$L)=""),_xlfn.XLOOKUP($A435&amp;$B435&amp;$C435,盘货信息!$A:$A&amp;盘货信息!$B:$B&amp;盘货信息!$C:$C,盘货信息!$M:$M)="是",_xlfn.XLOOKUP($A435&amp;$B435&amp;$C435,盘货信息!$A:$A&amp;盘货信息!$B:$B&amp;盘货信息!$C:$C,盘货信息!$K:$K)&gt;0),"【详情页领取】","")))</f>
        <v/>
      </c>
      <c r="M435" s="27" t="str" cm="1">
        <f t="array" ref="M435">IF($C435="","",IF(_xlfn.XLOOKUP($A435&amp;$B435&amp;$C435,盘货信息!$A:$A&amp;盘货信息!$B:$B&amp;盘货信息!$C:$C,盘货信息!$F:$F)&lt;1,"",_xlfn.XLOOKUP($A435&amp;$B435&amp;$C435,盘货信息!$A:$A&amp;盘货信息!$B:$B&amp;盘货信息!$C:$C,盘货信息!$F:$F)&amp;"元明卷"))</f>
        <v/>
      </c>
      <c r="N435" s="27" t="str">
        <f t="shared" si="13"/>
        <v/>
      </c>
      <c r="O435" s="27" t="str">
        <f>IF(I435="","","【消费券链接】"&amp;固定信息!$B$6)</f>
        <v/>
      </c>
    </row>
    <row r="436" customHeight="1" spans="1:15">
      <c r="A436" s="23" t="str">
        <f>IF(盘货信息!A436="","",盘货信息!A436)</f>
        <v/>
      </c>
      <c r="B436" s="26" t="str">
        <f>IF(盘货信息!B436="","",盘货信息!B436)</f>
        <v/>
      </c>
      <c r="C436" s="23" t="str">
        <f>IF(盘货信息!C436="","",盘货信息!C436)</f>
        <v/>
      </c>
      <c r="D436" s="27" t="str">
        <f t="shared" si="12"/>
        <v/>
      </c>
      <c r="E436" s="27" t="str" cm="1">
        <f t="array" ref="E436">IF($C436="","",IF(AND(OR(_xlfn.XLOOKUP($A436&amp;$B436&amp;$C436,盘货信息!$A:$A&amp;盘货信息!$B:$B&amp;盘货信息!$C:$C,盘货信息!$L:$L)="否",_xlfn.XLOOKUP($A436&amp;$B436&amp;$C436,盘货信息!$A:$A&amp;盘货信息!$B:$B&amp;盘货信息!$C:$C,盘货信息!$L:$L)=""),_xlfn.XLOOKUP($A436&amp;$B436&amp;$C436,盘货信息!$A:$A&amp;盘货信息!$B:$B&amp;盘货信息!$C:$C,盘货信息!$M:$M)="否"),"【预估到手价"&amp;_xlfn.XLOOKUP($A436&amp;$B436&amp;$C436,盘货信息!$A:$A&amp;盘货信息!$B:$B&amp;盘货信息!$C:$C,盘货信息!$D:$D)&amp;"元】",IF(AND(_xlfn.XLOOKUP($A436&amp;$B436&amp;$C436,盘货信息!$A:$A&amp;盘货信息!$B:$B&amp;盘货信息!$C:$C,盘货信息!$M:$M)="是",OR(_xlfn.XLOOKUP($A436&amp;$B436&amp;$C436,盘货信息!$A:$A&amp;盘货信息!$B:$B&amp;盘货信息!$C:$C,盘货信息!$L:$L)="否",_xlfn.XLOOKUP($A436&amp;$B436&amp;$C436,盘货信息!$A:$A&amp;盘货信息!$B:$B&amp;盘货信息!$C:$C,盘货信息!$L:$L)="")),"【预估到手价"&amp;_xlfn.XLOOKUP($A436&amp;$B436&amp;$C436,盘货信息!$A:$A&amp;盘货信息!$B:$B&amp;盘货信息!$C:$C,盘货信息!$D:$D)&amp;"元】"&amp;CHAR(10)&amp;"【焕新补贴预估价"&amp;ROUND(_xlfn.XLOOKUP($A436&amp;$B436&amp;$C436,盘货信息!$A:$A&amp;盘货信息!$B:$B&amp;盘货信息!$C:$C,盘货信息!$E:$E),0)&amp;"元】","【焕新补贴预估价"&amp;ROUND(_xlfn.XLOOKUP($A436&amp;$B436&amp;$C436,盘货信息!$A:$A&amp;盘货信息!$B:$B&amp;盘货信息!$C:$C,盘货信息!$E:$E),0)&amp;"元】")))</f>
        <v/>
      </c>
      <c r="F436" s="27" t="str" cm="1">
        <f t="array" ref="F436">IF($C436="","",_xlfn.XLOOKUP($A436&amp;$B436&amp;$C436,盘货信息!$A:$A&amp;盘货信息!$B:$B&amp;盘货信息!$C:$C,盘货信息!$D:$D)&amp;"元到手价")</f>
        <v/>
      </c>
      <c r="G436" s="27" t="str" cm="1">
        <f t="array" ref="G436">IF($C436="","",IF(_xlfn.XLOOKUP($A436&amp;$B436&amp;$C436,盘货信息!$A:$A&amp;盘货信息!$B:$B&amp;盘货信息!$C:$C,盘货信息!$G:$G)&lt;1,"",ROUND(_xlfn.XLOOKUP($A436&amp;$B436&amp;$C436,盘货信息!$A:$A&amp;盘货信息!$B:$B&amp;盘货信息!$C:$C,盘货信息!$G:$G),0)&amp;"元88VIP立减"))</f>
        <v/>
      </c>
      <c r="H436" s="27" t="str" cm="1">
        <f t="array" ref="H436">IF($C436="","",IF(_xlfn.XLOOKUP($A436&amp;$B436&amp;$C436,盘货信息!$A:$A&amp;盘货信息!$B:$B&amp;盘货信息!$C:$C,盘货信息!$I:$I)&lt;1,"",_xlfn.XLOOKUP($A436&amp;$B436&amp;$C436,盘货信息!$A:$A&amp;盘货信息!$B:$B&amp;盘货信息!$C:$C,盘货信息!$I:$I)&amp;"元惊喜立减"))</f>
        <v/>
      </c>
      <c r="I436" s="27" t="str" cm="1">
        <f t="array" ref="I436">IF($C436="","",IF(_xlfn.XLOOKUP($A436&amp;$B436&amp;$C436,盘货信息!$A:$A&amp;盘货信息!$B:$B&amp;盘货信息!$C:$C,盘货信息!$H:$H)&lt;1,"",ROUND(_xlfn.XLOOKUP($A436&amp;$B436&amp;$C436,盘货信息!$A:$A&amp;盘货信息!$B:$B&amp;盘货信息!$C:$C,盘货信息!$H:$H),0)&amp;"元消费券"))</f>
        <v/>
      </c>
      <c r="J436" s="27" t="str" cm="1">
        <f t="array" ref="J436">IF($C436="","",IF(_xlfn.XLOOKUP($A436&amp;$B436&amp;$C436,盘货信息!$A:$A&amp;盘货信息!$B:$B&amp;盘货信息!$C:$C,盘货信息!$J:$J)&lt;1,"",ROUND(_xlfn.XLOOKUP($A436&amp;$B436&amp;$C436,盘货信息!$A:$A&amp;盘货信息!$B:$B&amp;盘货信息!$C:$C,盘货信息!$J:$J),0)&amp;"元限时补贴"))</f>
        <v/>
      </c>
      <c r="K436" s="27" t="str" cm="1">
        <f t="array" ref="K436">IF($C436="","",IF(_xlfn.XLOOKUP($A436&amp;$B436&amp;$C436,盘货信息!$A:$A&amp;盘货信息!$B:$B&amp;盘货信息!$C:$C,盘货信息!$K:$K)&lt;1,"",ROUND(_xlfn.XLOOKUP($A436&amp;$B436&amp;$C436,盘货信息!$A:$A&amp;盘货信息!$B:$B&amp;盘货信息!$C:$C,盘货信息!$K:$K),0)&amp;"元预估焕新补贴"))</f>
        <v/>
      </c>
      <c r="L436" s="27" t="str" cm="1">
        <f t="array" ref="L436">IF($C436="","",IF(AND(_xlfn.XLOOKUP($A436&amp;$B436&amp;$C436,盘货信息!$A:$A&amp;盘货信息!$B:$B&amp;盘货信息!$C:$C,盘货信息!$L:$L)="是",_xlfn.XLOOKUP($A436&amp;$B436&amp;$C436,盘货信息!$A:$A&amp;盘货信息!$B:$B&amp;盘货信息!$C:$C,盘货信息!$M:$M)="是",_xlfn.XLOOKUP($A436&amp;$B436&amp;$C436,盘货信息!$A:$A&amp;盘货信息!$B:$B&amp;盘货信息!$C:$C,盘货信息!$K:$K)&gt;0),"【全民可用，不限地址】",IF(AND(OR(_xlfn.XLOOKUP($A436&amp;$B436&amp;$C436,盘货信息!$A:$A&amp;盘货信息!$B:$B&amp;盘货信息!$C:$C,盘货信息!$L:$L)="否",_xlfn.XLOOKUP($A436&amp;$B436&amp;$C436,盘货信息!$A:$A&amp;盘货信息!$B:$B&amp;盘货信息!$C:$C,盘货信息!$L:$L)=""),_xlfn.XLOOKUP($A436&amp;$B436&amp;$C436,盘货信息!$A:$A&amp;盘货信息!$B:$B&amp;盘货信息!$C:$C,盘货信息!$M:$M)="是",_xlfn.XLOOKUP($A436&amp;$B436&amp;$C436,盘货信息!$A:$A&amp;盘货信息!$B:$B&amp;盘货信息!$C:$C,盘货信息!$K:$K)&gt;0),"【详情页领取】","")))</f>
        <v/>
      </c>
      <c r="M436" s="27" t="str" cm="1">
        <f t="array" ref="M436">IF($C436="","",IF(_xlfn.XLOOKUP($A436&amp;$B436&amp;$C436,盘货信息!$A:$A&amp;盘货信息!$B:$B&amp;盘货信息!$C:$C,盘货信息!$F:$F)&lt;1,"",_xlfn.XLOOKUP($A436&amp;$B436&amp;$C436,盘货信息!$A:$A&amp;盘货信息!$B:$B&amp;盘货信息!$C:$C,盘货信息!$F:$F)&amp;"元明卷"))</f>
        <v/>
      </c>
      <c r="N436" s="27" t="str">
        <f t="shared" si="13"/>
        <v/>
      </c>
      <c r="O436" s="27" t="str">
        <f>IF(I436="","","【消费券链接】"&amp;固定信息!$B$6)</f>
        <v/>
      </c>
    </row>
    <row r="437" customHeight="1" spans="1:15">
      <c r="A437" s="23" t="str">
        <f>IF(盘货信息!A437="","",盘货信息!A437)</f>
        <v/>
      </c>
      <c r="B437" s="26" t="str">
        <f>IF(盘货信息!B437="","",盘货信息!B437)</f>
        <v/>
      </c>
      <c r="C437" s="23" t="str">
        <f>IF(盘货信息!C437="","",盘货信息!C437)</f>
        <v/>
      </c>
      <c r="D437" s="27" t="str">
        <f t="shared" si="12"/>
        <v/>
      </c>
      <c r="E437" s="27" t="str" cm="1">
        <f t="array" ref="E437">IF($C437="","",IF(AND(OR(_xlfn.XLOOKUP($A437&amp;$B437&amp;$C437,盘货信息!$A:$A&amp;盘货信息!$B:$B&amp;盘货信息!$C:$C,盘货信息!$L:$L)="否",_xlfn.XLOOKUP($A437&amp;$B437&amp;$C437,盘货信息!$A:$A&amp;盘货信息!$B:$B&amp;盘货信息!$C:$C,盘货信息!$L:$L)=""),_xlfn.XLOOKUP($A437&amp;$B437&amp;$C437,盘货信息!$A:$A&amp;盘货信息!$B:$B&amp;盘货信息!$C:$C,盘货信息!$M:$M)="否"),"【预估到手价"&amp;_xlfn.XLOOKUP($A437&amp;$B437&amp;$C437,盘货信息!$A:$A&amp;盘货信息!$B:$B&amp;盘货信息!$C:$C,盘货信息!$D:$D)&amp;"元】",IF(AND(_xlfn.XLOOKUP($A437&amp;$B437&amp;$C437,盘货信息!$A:$A&amp;盘货信息!$B:$B&amp;盘货信息!$C:$C,盘货信息!$M:$M)="是",OR(_xlfn.XLOOKUP($A437&amp;$B437&amp;$C437,盘货信息!$A:$A&amp;盘货信息!$B:$B&amp;盘货信息!$C:$C,盘货信息!$L:$L)="否",_xlfn.XLOOKUP($A437&amp;$B437&amp;$C437,盘货信息!$A:$A&amp;盘货信息!$B:$B&amp;盘货信息!$C:$C,盘货信息!$L:$L)="")),"【预估到手价"&amp;_xlfn.XLOOKUP($A437&amp;$B437&amp;$C437,盘货信息!$A:$A&amp;盘货信息!$B:$B&amp;盘货信息!$C:$C,盘货信息!$D:$D)&amp;"元】"&amp;CHAR(10)&amp;"【焕新补贴预估价"&amp;ROUND(_xlfn.XLOOKUP($A437&amp;$B437&amp;$C437,盘货信息!$A:$A&amp;盘货信息!$B:$B&amp;盘货信息!$C:$C,盘货信息!$E:$E),0)&amp;"元】","【焕新补贴预估价"&amp;ROUND(_xlfn.XLOOKUP($A437&amp;$B437&amp;$C437,盘货信息!$A:$A&amp;盘货信息!$B:$B&amp;盘货信息!$C:$C,盘货信息!$E:$E),0)&amp;"元】")))</f>
        <v/>
      </c>
      <c r="F437" s="27" t="str" cm="1">
        <f t="array" ref="F437">IF($C437="","",_xlfn.XLOOKUP($A437&amp;$B437&amp;$C437,盘货信息!$A:$A&amp;盘货信息!$B:$B&amp;盘货信息!$C:$C,盘货信息!$D:$D)&amp;"元到手价")</f>
        <v/>
      </c>
      <c r="G437" s="27" t="str" cm="1">
        <f t="array" ref="G437">IF($C437="","",IF(_xlfn.XLOOKUP($A437&amp;$B437&amp;$C437,盘货信息!$A:$A&amp;盘货信息!$B:$B&amp;盘货信息!$C:$C,盘货信息!$G:$G)&lt;1,"",ROUND(_xlfn.XLOOKUP($A437&amp;$B437&amp;$C437,盘货信息!$A:$A&amp;盘货信息!$B:$B&amp;盘货信息!$C:$C,盘货信息!$G:$G),0)&amp;"元88VIP立减"))</f>
        <v/>
      </c>
      <c r="H437" s="27" t="str" cm="1">
        <f t="array" ref="H437">IF($C437="","",IF(_xlfn.XLOOKUP($A437&amp;$B437&amp;$C437,盘货信息!$A:$A&amp;盘货信息!$B:$B&amp;盘货信息!$C:$C,盘货信息!$I:$I)&lt;1,"",_xlfn.XLOOKUP($A437&amp;$B437&amp;$C437,盘货信息!$A:$A&amp;盘货信息!$B:$B&amp;盘货信息!$C:$C,盘货信息!$I:$I)&amp;"元惊喜立减"))</f>
        <v/>
      </c>
      <c r="I437" s="27" t="str" cm="1">
        <f t="array" ref="I437">IF($C437="","",IF(_xlfn.XLOOKUP($A437&amp;$B437&amp;$C437,盘货信息!$A:$A&amp;盘货信息!$B:$B&amp;盘货信息!$C:$C,盘货信息!$H:$H)&lt;1,"",ROUND(_xlfn.XLOOKUP($A437&amp;$B437&amp;$C437,盘货信息!$A:$A&amp;盘货信息!$B:$B&amp;盘货信息!$C:$C,盘货信息!$H:$H),0)&amp;"元消费券"))</f>
        <v/>
      </c>
      <c r="J437" s="27" t="str" cm="1">
        <f t="array" ref="J437">IF($C437="","",IF(_xlfn.XLOOKUP($A437&amp;$B437&amp;$C437,盘货信息!$A:$A&amp;盘货信息!$B:$B&amp;盘货信息!$C:$C,盘货信息!$J:$J)&lt;1,"",ROUND(_xlfn.XLOOKUP($A437&amp;$B437&amp;$C437,盘货信息!$A:$A&amp;盘货信息!$B:$B&amp;盘货信息!$C:$C,盘货信息!$J:$J),0)&amp;"元限时补贴"))</f>
        <v/>
      </c>
      <c r="K437" s="27" t="str" cm="1">
        <f t="array" ref="K437">IF($C437="","",IF(_xlfn.XLOOKUP($A437&amp;$B437&amp;$C437,盘货信息!$A:$A&amp;盘货信息!$B:$B&amp;盘货信息!$C:$C,盘货信息!$K:$K)&lt;1,"",ROUND(_xlfn.XLOOKUP($A437&amp;$B437&amp;$C437,盘货信息!$A:$A&amp;盘货信息!$B:$B&amp;盘货信息!$C:$C,盘货信息!$K:$K),0)&amp;"元预估焕新补贴"))</f>
        <v/>
      </c>
      <c r="L437" s="27" t="str" cm="1">
        <f t="array" ref="L437">IF($C437="","",IF(AND(_xlfn.XLOOKUP($A437&amp;$B437&amp;$C437,盘货信息!$A:$A&amp;盘货信息!$B:$B&amp;盘货信息!$C:$C,盘货信息!$L:$L)="是",_xlfn.XLOOKUP($A437&amp;$B437&amp;$C437,盘货信息!$A:$A&amp;盘货信息!$B:$B&amp;盘货信息!$C:$C,盘货信息!$M:$M)="是",_xlfn.XLOOKUP($A437&amp;$B437&amp;$C437,盘货信息!$A:$A&amp;盘货信息!$B:$B&amp;盘货信息!$C:$C,盘货信息!$K:$K)&gt;0),"【全民可用，不限地址】",IF(AND(OR(_xlfn.XLOOKUP($A437&amp;$B437&amp;$C437,盘货信息!$A:$A&amp;盘货信息!$B:$B&amp;盘货信息!$C:$C,盘货信息!$L:$L)="否",_xlfn.XLOOKUP($A437&amp;$B437&amp;$C437,盘货信息!$A:$A&amp;盘货信息!$B:$B&amp;盘货信息!$C:$C,盘货信息!$L:$L)=""),_xlfn.XLOOKUP($A437&amp;$B437&amp;$C437,盘货信息!$A:$A&amp;盘货信息!$B:$B&amp;盘货信息!$C:$C,盘货信息!$M:$M)="是",_xlfn.XLOOKUP($A437&amp;$B437&amp;$C437,盘货信息!$A:$A&amp;盘货信息!$B:$B&amp;盘货信息!$C:$C,盘货信息!$K:$K)&gt;0),"【详情页领取】","")))</f>
        <v/>
      </c>
      <c r="M437" s="27" t="str" cm="1">
        <f t="array" ref="M437">IF($C437="","",IF(_xlfn.XLOOKUP($A437&amp;$B437&amp;$C437,盘货信息!$A:$A&amp;盘货信息!$B:$B&amp;盘货信息!$C:$C,盘货信息!$F:$F)&lt;1,"",_xlfn.XLOOKUP($A437&amp;$B437&amp;$C437,盘货信息!$A:$A&amp;盘货信息!$B:$B&amp;盘货信息!$C:$C,盘货信息!$F:$F)&amp;"元明卷"))</f>
        <v/>
      </c>
      <c r="N437" s="27" t="str">
        <f t="shared" si="13"/>
        <v/>
      </c>
      <c r="O437" s="27" t="str">
        <f>IF(I437="","","【消费券链接】"&amp;固定信息!$B$6)</f>
        <v/>
      </c>
    </row>
    <row r="438" customHeight="1" spans="1:15">
      <c r="A438" s="23" t="str">
        <f>IF(盘货信息!A438="","",盘货信息!A438)</f>
        <v/>
      </c>
      <c r="B438" s="26" t="str">
        <f>IF(盘货信息!B438="","",盘货信息!B438)</f>
        <v/>
      </c>
      <c r="C438" s="23" t="str">
        <f>IF(盘货信息!C438="","",盘货信息!C438)</f>
        <v/>
      </c>
      <c r="D438" s="27" t="str">
        <f t="shared" si="12"/>
        <v/>
      </c>
      <c r="E438" s="27" t="str" cm="1">
        <f t="array" ref="E438">IF($C438="","",IF(AND(OR(_xlfn.XLOOKUP($A438&amp;$B438&amp;$C438,盘货信息!$A:$A&amp;盘货信息!$B:$B&amp;盘货信息!$C:$C,盘货信息!$L:$L)="否",_xlfn.XLOOKUP($A438&amp;$B438&amp;$C438,盘货信息!$A:$A&amp;盘货信息!$B:$B&amp;盘货信息!$C:$C,盘货信息!$L:$L)=""),_xlfn.XLOOKUP($A438&amp;$B438&amp;$C438,盘货信息!$A:$A&amp;盘货信息!$B:$B&amp;盘货信息!$C:$C,盘货信息!$M:$M)="否"),"【预估到手价"&amp;_xlfn.XLOOKUP($A438&amp;$B438&amp;$C438,盘货信息!$A:$A&amp;盘货信息!$B:$B&amp;盘货信息!$C:$C,盘货信息!$D:$D)&amp;"元】",IF(AND(_xlfn.XLOOKUP($A438&amp;$B438&amp;$C438,盘货信息!$A:$A&amp;盘货信息!$B:$B&amp;盘货信息!$C:$C,盘货信息!$M:$M)="是",OR(_xlfn.XLOOKUP($A438&amp;$B438&amp;$C438,盘货信息!$A:$A&amp;盘货信息!$B:$B&amp;盘货信息!$C:$C,盘货信息!$L:$L)="否",_xlfn.XLOOKUP($A438&amp;$B438&amp;$C438,盘货信息!$A:$A&amp;盘货信息!$B:$B&amp;盘货信息!$C:$C,盘货信息!$L:$L)="")),"【预估到手价"&amp;_xlfn.XLOOKUP($A438&amp;$B438&amp;$C438,盘货信息!$A:$A&amp;盘货信息!$B:$B&amp;盘货信息!$C:$C,盘货信息!$D:$D)&amp;"元】"&amp;CHAR(10)&amp;"【焕新补贴预估价"&amp;ROUND(_xlfn.XLOOKUP($A438&amp;$B438&amp;$C438,盘货信息!$A:$A&amp;盘货信息!$B:$B&amp;盘货信息!$C:$C,盘货信息!$E:$E),0)&amp;"元】","【焕新补贴预估价"&amp;ROUND(_xlfn.XLOOKUP($A438&amp;$B438&amp;$C438,盘货信息!$A:$A&amp;盘货信息!$B:$B&amp;盘货信息!$C:$C,盘货信息!$E:$E),0)&amp;"元】")))</f>
        <v/>
      </c>
      <c r="F438" s="27" t="str" cm="1">
        <f t="array" ref="F438">IF($C438="","",_xlfn.XLOOKUP($A438&amp;$B438&amp;$C438,盘货信息!$A:$A&amp;盘货信息!$B:$B&amp;盘货信息!$C:$C,盘货信息!$D:$D)&amp;"元到手价")</f>
        <v/>
      </c>
      <c r="G438" s="27" t="str" cm="1">
        <f t="array" ref="G438">IF($C438="","",IF(_xlfn.XLOOKUP($A438&amp;$B438&amp;$C438,盘货信息!$A:$A&amp;盘货信息!$B:$B&amp;盘货信息!$C:$C,盘货信息!$G:$G)&lt;1,"",ROUND(_xlfn.XLOOKUP($A438&amp;$B438&amp;$C438,盘货信息!$A:$A&amp;盘货信息!$B:$B&amp;盘货信息!$C:$C,盘货信息!$G:$G),0)&amp;"元88VIP立减"))</f>
        <v/>
      </c>
      <c r="H438" s="27" t="str" cm="1">
        <f t="array" ref="H438">IF($C438="","",IF(_xlfn.XLOOKUP($A438&amp;$B438&amp;$C438,盘货信息!$A:$A&amp;盘货信息!$B:$B&amp;盘货信息!$C:$C,盘货信息!$I:$I)&lt;1,"",_xlfn.XLOOKUP($A438&amp;$B438&amp;$C438,盘货信息!$A:$A&amp;盘货信息!$B:$B&amp;盘货信息!$C:$C,盘货信息!$I:$I)&amp;"元惊喜立减"))</f>
        <v/>
      </c>
      <c r="I438" s="27" t="str" cm="1">
        <f t="array" ref="I438">IF($C438="","",IF(_xlfn.XLOOKUP($A438&amp;$B438&amp;$C438,盘货信息!$A:$A&amp;盘货信息!$B:$B&amp;盘货信息!$C:$C,盘货信息!$H:$H)&lt;1,"",ROUND(_xlfn.XLOOKUP($A438&amp;$B438&amp;$C438,盘货信息!$A:$A&amp;盘货信息!$B:$B&amp;盘货信息!$C:$C,盘货信息!$H:$H),0)&amp;"元消费券"))</f>
        <v/>
      </c>
      <c r="J438" s="27" t="str" cm="1">
        <f t="array" ref="J438">IF($C438="","",IF(_xlfn.XLOOKUP($A438&amp;$B438&amp;$C438,盘货信息!$A:$A&amp;盘货信息!$B:$B&amp;盘货信息!$C:$C,盘货信息!$J:$J)&lt;1,"",ROUND(_xlfn.XLOOKUP($A438&amp;$B438&amp;$C438,盘货信息!$A:$A&amp;盘货信息!$B:$B&amp;盘货信息!$C:$C,盘货信息!$J:$J),0)&amp;"元限时补贴"))</f>
        <v/>
      </c>
      <c r="K438" s="27" t="str" cm="1">
        <f t="array" ref="K438">IF($C438="","",IF(_xlfn.XLOOKUP($A438&amp;$B438&amp;$C438,盘货信息!$A:$A&amp;盘货信息!$B:$B&amp;盘货信息!$C:$C,盘货信息!$K:$K)&lt;1,"",ROUND(_xlfn.XLOOKUP($A438&amp;$B438&amp;$C438,盘货信息!$A:$A&amp;盘货信息!$B:$B&amp;盘货信息!$C:$C,盘货信息!$K:$K),0)&amp;"元预估焕新补贴"))</f>
        <v/>
      </c>
      <c r="L438" s="27" t="str" cm="1">
        <f t="array" ref="L438">IF($C438="","",IF(AND(_xlfn.XLOOKUP($A438&amp;$B438&amp;$C438,盘货信息!$A:$A&amp;盘货信息!$B:$B&amp;盘货信息!$C:$C,盘货信息!$L:$L)="是",_xlfn.XLOOKUP($A438&amp;$B438&amp;$C438,盘货信息!$A:$A&amp;盘货信息!$B:$B&amp;盘货信息!$C:$C,盘货信息!$M:$M)="是",_xlfn.XLOOKUP($A438&amp;$B438&amp;$C438,盘货信息!$A:$A&amp;盘货信息!$B:$B&amp;盘货信息!$C:$C,盘货信息!$K:$K)&gt;0),"【全民可用，不限地址】",IF(AND(OR(_xlfn.XLOOKUP($A438&amp;$B438&amp;$C438,盘货信息!$A:$A&amp;盘货信息!$B:$B&amp;盘货信息!$C:$C,盘货信息!$L:$L)="否",_xlfn.XLOOKUP($A438&amp;$B438&amp;$C438,盘货信息!$A:$A&amp;盘货信息!$B:$B&amp;盘货信息!$C:$C,盘货信息!$L:$L)=""),_xlfn.XLOOKUP($A438&amp;$B438&amp;$C438,盘货信息!$A:$A&amp;盘货信息!$B:$B&amp;盘货信息!$C:$C,盘货信息!$M:$M)="是",_xlfn.XLOOKUP($A438&amp;$B438&amp;$C438,盘货信息!$A:$A&amp;盘货信息!$B:$B&amp;盘货信息!$C:$C,盘货信息!$K:$K)&gt;0),"【详情页领取】","")))</f>
        <v/>
      </c>
      <c r="M438" s="27" t="str" cm="1">
        <f t="array" ref="M438">IF($C438="","",IF(_xlfn.XLOOKUP($A438&amp;$B438&amp;$C438,盘货信息!$A:$A&amp;盘货信息!$B:$B&amp;盘货信息!$C:$C,盘货信息!$F:$F)&lt;1,"",_xlfn.XLOOKUP($A438&amp;$B438&amp;$C438,盘货信息!$A:$A&amp;盘货信息!$B:$B&amp;盘货信息!$C:$C,盘货信息!$F:$F)&amp;"元明卷"))</f>
        <v/>
      </c>
      <c r="N438" s="27" t="str">
        <f t="shared" si="13"/>
        <v/>
      </c>
      <c r="O438" s="27" t="str">
        <f>IF(I438="","","【消费券链接】"&amp;固定信息!$B$6)</f>
        <v/>
      </c>
    </row>
    <row r="439" customHeight="1" spans="1:15">
      <c r="A439" s="23" t="str">
        <f>IF(盘货信息!A439="","",盘货信息!A439)</f>
        <v/>
      </c>
      <c r="B439" s="26" t="str">
        <f>IF(盘货信息!B439="","",盘货信息!B439)</f>
        <v/>
      </c>
      <c r="C439" s="23" t="str">
        <f>IF(盘货信息!C439="","",盘货信息!C439)</f>
        <v/>
      </c>
      <c r="D439" s="27" t="str">
        <f t="shared" si="12"/>
        <v/>
      </c>
      <c r="E439" s="27" t="str" cm="1">
        <f t="array" ref="E439">IF($C439="","",IF(AND(OR(_xlfn.XLOOKUP($A439&amp;$B439&amp;$C439,盘货信息!$A:$A&amp;盘货信息!$B:$B&amp;盘货信息!$C:$C,盘货信息!$L:$L)="否",_xlfn.XLOOKUP($A439&amp;$B439&amp;$C439,盘货信息!$A:$A&amp;盘货信息!$B:$B&amp;盘货信息!$C:$C,盘货信息!$L:$L)=""),_xlfn.XLOOKUP($A439&amp;$B439&amp;$C439,盘货信息!$A:$A&amp;盘货信息!$B:$B&amp;盘货信息!$C:$C,盘货信息!$M:$M)="否"),"【预估到手价"&amp;_xlfn.XLOOKUP($A439&amp;$B439&amp;$C439,盘货信息!$A:$A&amp;盘货信息!$B:$B&amp;盘货信息!$C:$C,盘货信息!$D:$D)&amp;"元】",IF(AND(_xlfn.XLOOKUP($A439&amp;$B439&amp;$C439,盘货信息!$A:$A&amp;盘货信息!$B:$B&amp;盘货信息!$C:$C,盘货信息!$M:$M)="是",OR(_xlfn.XLOOKUP($A439&amp;$B439&amp;$C439,盘货信息!$A:$A&amp;盘货信息!$B:$B&amp;盘货信息!$C:$C,盘货信息!$L:$L)="否",_xlfn.XLOOKUP($A439&amp;$B439&amp;$C439,盘货信息!$A:$A&amp;盘货信息!$B:$B&amp;盘货信息!$C:$C,盘货信息!$L:$L)="")),"【预估到手价"&amp;_xlfn.XLOOKUP($A439&amp;$B439&amp;$C439,盘货信息!$A:$A&amp;盘货信息!$B:$B&amp;盘货信息!$C:$C,盘货信息!$D:$D)&amp;"元】"&amp;CHAR(10)&amp;"【焕新补贴预估价"&amp;ROUND(_xlfn.XLOOKUP($A439&amp;$B439&amp;$C439,盘货信息!$A:$A&amp;盘货信息!$B:$B&amp;盘货信息!$C:$C,盘货信息!$E:$E),0)&amp;"元】","【焕新补贴预估价"&amp;ROUND(_xlfn.XLOOKUP($A439&amp;$B439&amp;$C439,盘货信息!$A:$A&amp;盘货信息!$B:$B&amp;盘货信息!$C:$C,盘货信息!$E:$E),0)&amp;"元】")))</f>
        <v/>
      </c>
      <c r="F439" s="27" t="str" cm="1">
        <f t="array" ref="F439">IF($C439="","",_xlfn.XLOOKUP($A439&amp;$B439&amp;$C439,盘货信息!$A:$A&amp;盘货信息!$B:$B&amp;盘货信息!$C:$C,盘货信息!$D:$D)&amp;"元到手价")</f>
        <v/>
      </c>
      <c r="G439" s="27" t="str" cm="1">
        <f t="array" ref="G439">IF($C439="","",IF(_xlfn.XLOOKUP($A439&amp;$B439&amp;$C439,盘货信息!$A:$A&amp;盘货信息!$B:$B&amp;盘货信息!$C:$C,盘货信息!$G:$G)&lt;1,"",ROUND(_xlfn.XLOOKUP($A439&amp;$B439&amp;$C439,盘货信息!$A:$A&amp;盘货信息!$B:$B&amp;盘货信息!$C:$C,盘货信息!$G:$G),0)&amp;"元88VIP立减"))</f>
        <v/>
      </c>
      <c r="H439" s="27" t="str" cm="1">
        <f t="array" ref="H439">IF($C439="","",IF(_xlfn.XLOOKUP($A439&amp;$B439&amp;$C439,盘货信息!$A:$A&amp;盘货信息!$B:$B&amp;盘货信息!$C:$C,盘货信息!$I:$I)&lt;1,"",_xlfn.XLOOKUP($A439&amp;$B439&amp;$C439,盘货信息!$A:$A&amp;盘货信息!$B:$B&amp;盘货信息!$C:$C,盘货信息!$I:$I)&amp;"元惊喜立减"))</f>
        <v/>
      </c>
      <c r="I439" s="27" t="str" cm="1">
        <f t="array" ref="I439">IF($C439="","",IF(_xlfn.XLOOKUP($A439&amp;$B439&amp;$C439,盘货信息!$A:$A&amp;盘货信息!$B:$B&amp;盘货信息!$C:$C,盘货信息!$H:$H)&lt;1,"",ROUND(_xlfn.XLOOKUP($A439&amp;$B439&amp;$C439,盘货信息!$A:$A&amp;盘货信息!$B:$B&amp;盘货信息!$C:$C,盘货信息!$H:$H),0)&amp;"元消费券"))</f>
        <v/>
      </c>
      <c r="J439" s="27" t="str" cm="1">
        <f t="array" ref="J439">IF($C439="","",IF(_xlfn.XLOOKUP($A439&amp;$B439&amp;$C439,盘货信息!$A:$A&amp;盘货信息!$B:$B&amp;盘货信息!$C:$C,盘货信息!$J:$J)&lt;1,"",ROUND(_xlfn.XLOOKUP($A439&amp;$B439&amp;$C439,盘货信息!$A:$A&amp;盘货信息!$B:$B&amp;盘货信息!$C:$C,盘货信息!$J:$J),0)&amp;"元限时补贴"))</f>
        <v/>
      </c>
      <c r="K439" s="27" t="str" cm="1">
        <f t="array" ref="K439">IF($C439="","",IF(_xlfn.XLOOKUP($A439&amp;$B439&amp;$C439,盘货信息!$A:$A&amp;盘货信息!$B:$B&amp;盘货信息!$C:$C,盘货信息!$K:$K)&lt;1,"",ROUND(_xlfn.XLOOKUP($A439&amp;$B439&amp;$C439,盘货信息!$A:$A&amp;盘货信息!$B:$B&amp;盘货信息!$C:$C,盘货信息!$K:$K),0)&amp;"元预估焕新补贴"))</f>
        <v/>
      </c>
      <c r="L439" s="27" t="str" cm="1">
        <f t="array" ref="L439">IF($C439="","",IF(AND(_xlfn.XLOOKUP($A439&amp;$B439&amp;$C439,盘货信息!$A:$A&amp;盘货信息!$B:$B&amp;盘货信息!$C:$C,盘货信息!$L:$L)="是",_xlfn.XLOOKUP($A439&amp;$B439&amp;$C439,盘货信息!$A:$A&amp;盘货信息!$B:$B&amp;盘货信息!$C:$C,盘货信息!$M:$M)="是",_xlfn.XLOOKUP($A439&amp;$B439&amp;$C439,盘货信息!$A:$A&amp;盘货信息!$B:$B&amp;盘货信息!$C:$C,盘货信息!$K:$K)&gt;0),"【全民可用，不限地址】",IF(AND(OR(_xlfn.XLOOKUP($A439&amp;$B439&amp;$C439,盘货信息!$A:$A&amp;盘货信息!$B:$B&amp;盘货信息!$C:$C,盘货信息!$L:$L)="否",_xlfn.XLOOKUP($A439&amp;$B439&amp;$C439,盘货信息!$A:$A&amp;盘货信息!$B:$B&amp;盘货信息!$C:$C,盘货信息!$L:$L)=""),_xlfn.XLOOKUP($A439&amp;$B439&amp;$C439,盘货信息!$A:$A&amp;盘货信息!$B:$B&amp;盘货信息!$C:$C,盘货信息!$M:$M)="是",_xlfn.XLOOKUP($A439&amp;$B439&amp;$C439,盘货信息!$A:$A&amp;盘货信息!$B:$B&amp;盘货信息!$C:$C,盘货信息!$K:$K)&gt;0),"【详情页领取】","")))</f>
        <v/>
      </c>
      <c r="M439" s="27" t="str" cm="1">
        <f t="array" ref="M439">IF($C439="","",IF(_xlfn.XLOOKUP($A439&amp;$B439&amp;$C439,盘货信息!$A:$A&amp;盘货信息!$B:$B&amp;盘货信息!$C:$C,盘货信息!$F:$F)&lt;1,"",_xlfn.XLOOKUP($A439&amp;$B439&amp;$C439,盘货信息!$A:$A&amp;盘货信息!$B:$B&amp;盘货信息!$C:$C,盘货信息!$F:$F)&amp;"元明卷"))</f>
        <v/>
      </c>
      <c r="N439" s="27" t="str">
        <f t="shared" si="13"/>
        <v/>
      </c>
      <c r="O439" s="27" t="str">
        <f>IF(I439="","","【消费券链接】"&amp;固定信息!$B$6)</f>
        <v/>
      </c>
    </row>
    <row r="440" customHeight="1" spans="1:15">
      <c r="A440" s="23" t="str">
        <f>IF(盘货信息!A440="","",盘货信息!A440)</f>
        <v/>
      </c>
      <c r="B440" s="26" t="str">
        <f>IF(盘货信息!B440="","",盘货信息!B440)</f>
        <v/>
      </c>
      <c r="C440" s="23" t="str">
        <f>IF(盘货信息!C440="","",盘货信息!C440)</f>
        <v/>
      </c>
      <c r="D440" s="27" t="str">
        <f t="shared" si="12"/>
        <v/>
      </c>
      <c r="E440" s="27" t="str" cm="1">
        <f t="array" ref="E440">IF($C440="","",IF(AND(OR(_xlfn.XLOOKUP($A440&amp;$B440&amp;$C440,盘货信息!$A:$A&amp;盘货信息!$B:$B&amp;盘货信息!$C:$C,盘货信息!$L:$L)="否",_xlfn.XLOOKUP($A440&amp;$B440&amp;$C440,盘货信息!$A:$A&amp;盘货信息!$B:$B&amp;盘货信息!$C:$C,盘货信息!$L:$L)=""),_xlfn.XLOOKUP($A440&amp;$B440&amp;$C440,盘货信息!$A:$A&amp;盘货信息!$B:$B&amp;盘货信息!$C:$C,盘货信息!$M:$M)="否"),"【预估到手价"&amp;_xlfn.XLOOKUP($A440&amp;$B440&amp;$C440,盘货信息!$A:$A&amp;盘货信息!$B:$B&amp;盘货信息!$C:$C,盘货信息!$D:$D)&amp;"元】",IF(AND(_xlfn.XLOOKUP($A440&amp;$B440&amp;$C440,盘货信息!$A:$A&amp;盘货信息!$B:$B&amp;盘货信息!$C:$C,盘货信息!$M:$M)="是",OR(_xlfn.XLOOKUP($A440&amp;$B440&amp;$C440,盘货信息!$A:$A&amp;盘货信息!$B:$B&amp;盘货信息!$C:$C,盘货信息!$L:$L)="否",_xlfn.XLOOKUP($A440&amp;$B440&amp;$C440,盘货信息!$A:$A&amp;盘货信息!$B:$B&amp;盘货信息!$C:$C,盘货信息!$L:$L)="")),"【预估到手价"&amp;_xlfn.XLOOKUP($A440&amp;$B440&amp;$C440,盘货信息!$A:$A&amp;盘货信息!$B:$B&amp;盘货信息!$C:$C,盘货信息!$D:$D)&amp;"元】"&amp;CHAR(10)&amp;"【焕新补贴预估价"&amp;ROUND(_xlfn.XLOOKUP($A440&amp;$B440&amp;$C440,盘货信息!$A:$A&amp;盘货信息!$B:$B&amp;盘货信息!$C:$C,盘货信息!$E:$E),0)&amp;"元】","【焕新补贴预估价"&amp;ROUND(_xlfn.XLOOKUP($A440&amp;$B440&amp;$C440,盘货信息!$A:$A&amp;盘货信息!$B:$B&amp;盘货信息!$C:$C,盘货信息!$E:$E),0)&amp;"元】")))</f>
        <v/>
      </c>
      <c r="F440" s="27" t="str" cm="1">
        <f t="array" ref="F440">IF($C440="","",_xlfn.XLOOKUP($A440&amp;$B440&amp;$C440,盘货信息!$A:$A&amp;盘货信息!$B:$B&amp;盘货信息!$C:$C,盘货信息!$D:$D)&amp;"元到手价")</f>
        <v/>
      </c>
      <c r="G440" s="27" t="str" cm="1">
        <f t="array" ref="G440">IF($C440="","",IF(_xlfn.XLOOKUP($A440&amp;$B440&amp;$C440,盘货信息!$A:$A&amp;盘货信息!$B:$B&amp;盘货信息!$C:$C,盘货信息!$G:$G)&lt;1,"",ROUND(_xlfn.XLOOKUP($A440&amp;$B440&amp;$C440,盘货信息!$A:$A&amp;盘货信息!$B:$B&amp;盘货信息!$C:$C,盘货信息!$G:$G),0)&amp;"元88VIP立减"))</f>
        <v/>
      </c>
      <c r="H440" s="27" t="str" cm="1">
        <f t="array" ref="H440">IF($C440="","",IF(_xlfn.XLOOKUP($A440&amp;$B440&amp;$C440,盘货信息!$A:$A&amp;盘货信息!$B:$B&amp;盘货信息!$C:$C,盘货信息!$I:$I)&lt;1,"",_xlfn.XLOOKUP($A440&amp;$B440&amp;$C440,盘货信息!$A:$A&amp;盘货信息!$B:$B&amp;盘货信息!$C:$C,盘货信息!$I:$I)&amp;"元惊喜立减"))</f>
        <v/>
      </c>
      <c r="I440" s="27" t="str" cm="1">
        <f t="array" ref="I440">IF($C440="","",IF(_xlfn.XLOOKUP($A440&amp;$B440&amp;$C440,盘货信息!$A:$A&amp;盘货信息!$B:$B&amp;盘货信息!$C:$C,盘货信息!$H:$H)&lt;1,"",ROUND(_xlfn.XLOOKUP($A440&amp;$B440&amp;$C440,盘货信息!$A:$A&amp;盘货信息!$B:$B&amp;盘货信息!$C:$C,盘货信息!$H:$H),0)&amp;"元消费券"))</f>
        <v/>
      </c>
      <c r="J440" s="27" t="str" cm="1">
        <f t="array" ref="J440">IF($C440="","",IF(_xlfn.XLOOKUP($A440&amp;$B440&amp;$C440,盘货信息!$A:$A&amp;盘货信息!$B:$B&amp;盘货信息!$C:$C,盘货信息!$J:$J)&lt;1,"",ROUND(_xlfn.XLOOKUP($A440&amp;$B440&amp;$C440,盘货信息!$A:$A&amp;盘货信息!$B:$B&amp;盘货信息!$C:$C,盘货信息!$J:$J),0)&amp;"元限时补贴"))</f>
        <v/>
      </c>
      <c r="K440" s="27" t="str" cm="1">
        <f t="array" ref="K440">IF($C440="","",IF(_xlfn.XLOOKUP($A440&amp;$B440&amp;$C440,盘货信息!$A:$A&amp;盘货信息!$B:$B&amp;盘货信息!$C:$C,盘货信息!$K:$K)&lt;1,"",ROUND(_xlfn.XLOOKUP($A440&amp;$B440&amp;$C440,盘货信息!$A:$A&amp;盘货信息!$B:$B&amp;盘货信息!$C:$C,盘货信息!$K:$K),0)&amp;"元预估焕新补贴"))</f>
        <v/>
      </c>
      <c r="L440" s="27" t="str" cm="1">
        <f t="array" ref="L440">IF($C440="","",IF(AND(_xlfn.XLOOKUP($A440&amp;$B440&amp;$C440,盘货信息!$A:$A&amp;盘货信息!$B:$B&amp;盘货信息!$C:$C,盘货信息!$L:$L)="是",_xlfn.XLOOKUP($A440&amp;$B440&amp;$C440,盘货信息!$A:$A&amp;盘货信息!$B:$B&amp;盘货信息!$C:$C,盘货信息!$M:$M)="是",_xlfn.XLOOKUP($A440&amp;$B440&amp;$C440,盘货信息!$A:$A&amp;盘货信息!$B:$B&amp;盘货信息!$C:$C,盘货信息!$K:$K)&gt;0),"【全民可用，不限地址】",IF(AND(OR(_xlfn.XLOOKUP($A440&amp;$B440&amp;$C440,盘货信息!$A:$A&amp;盘货信息!$B:$B&amp;盘货信息!$C:$C,盘货信息!$L:$L)="否",_xlfn.XLOOKUP($A440&amp;$B440&amp;$C440,盘货信息!$A:$A&amp;盘货信息!$B:$B&amp;盘货信息!$C:$C,盘货信息!$L:$L)=""),_xlfn.XLOOKUP($A440&amp;$B440&amp;$C440,盘货信息!$A:$A&amp;盘货信息!$B:$B&amp;盘货信息!$C:$C,盘货信息!$M:$M)="是",_xlfn.XLOOKUP($A440&amp;$B440&amp;$C440,盘货信息!$A:$A&amp;盘货信息!$B:$B&amp;盘货信息!$C:$C,盘货信息!$K:$K)&gt;0),"【详情页领取】","")))</f>
        <v/>
      </c>
      <c r="M440" s="27" t="str" cm="1">
        <f t="array" ref="M440">IF($C440="","",IF(_xlfn.XLOOKUP($A440&amp;$B440&amp;$C440,盘货信息!$A:$A&amp;盘货信息!$B:$B&amp;盘货信息!$C:$C,盘货信息!$F:$F)&lt;1,"",_xlfn.XLOOKUP($A440&amp;$B440&amp;$C440,盘货信息!$A:$A&amp;盘货信息!$B:$B&amp;盘货信息!$C:$C,盘货信息!$F:$F)&amp;"元明卷"))</f>
        <v/>
      </c>
      <c r="N440" s="27" t="str">
        <f t="shared" si="13"/>
        <v/>
      </c>
      <c r="O440" s="27" t="str">
        <f>IF(I440="","","【消费券链接】"&amp;固定信息!$B$6)</f>
        <v/>
      </c>
    </row>
    <row r="441" customHeight="1" spans="1:15">
      <c r="A441" s="23" t="str">
        <f>IF(盘货信息!A441="","",盘货信息!A441)</f>
        <v/>
      </c>
      <c r="B441" s="26" t="str">
        <f>IF(盘货信息!B441="","",盘货信息!B441)</f>
        <v/>
      </c>
      <c r="C441" s="23" t="str">
        <f>IF(盘货信息!C441="","",盘货信息!C441)</f>
        <v/>
      </c>
      <c r="D441" s="27" t="str">
        <f t="shared" si="12"/>
        <v/>
      </c>
      <c r="E441" s="27" t="str" cm="1">
        <f t="array" ref="E441">IF($C441="","",IF(AND(OR(_xlfn.XLOOKUP($A441&amp;$B441&amp;$C441,盘货信息!$A:$A&amp;盘货信息!$B:$B&amp;盘货信息!$C:$C,盘货信息!$L:$L)="否",_xlfn.XLOOKUP($A441&amp;$B441&amp;$C441,盘货信息!$A:$A&amp;盘货信息!$B:$B&amp;盘货信息!$C:$C,盘货信息!$L:$L)=""),_xlfn.XLOOKUP($A441&amp;$B441&amp;$C441,盘货信息!$A:$A&amp;盘货信息!$B:$B&amp;盘货信息!$C:$C,盘货信息!$M:$M)="否"),"【预估到手价"&amp;_xlfn.XLOOKUP($A441&amp;$B441&amp;$C441,盘货信息!$A:$A&amp;盘货信息!$B:$B&amp;盘货信息!$C:$C,盘货信息!$D:$D)&amp;"元】",IF(AND(_xlfn.XLOOKUP($A441&amp;$B441&amp;$C441,盘货信息!$A:$A&amp;盘货信息!$B:$B&amp;盘货信息!$C:$C,盘货信息!$M:$M)="是",OR(_xlfn.XLOOKUP($A441&amp;$B441&amp;$C441,盘货信息!$A:$A&amp;盘货信息!$B:$B&amp;盘货信息!$C:$C,盘货信息!$L:$L)="否",_xlfn.XLOOKUP($A441&amp;$B441&amp;$C441,盘货信息!$A:$A&amp;盘货信息!$B:$B&amp;盘货信息!$C:$C,盘货信息!$L:$L)="")),"【预估到手价"&amp;_xlfn.XLOOKUP($A441&amp;$B441&amp;$C441,盘货信息!$A:$A&amp;盘货信息!$B:$B&amp;盘货信息!$C:$C,盘货信息!$D:$D)&amp;"元】"&amp;CHAR(10)&amp;"【焕新补贴预估价"&amp;ROUND(_xlfn.XLOOKUP($A441&amp;$B441&amp;$C441,盘货信息!$A:$A&amp;盘货信息!$B:$B&amp;盘货信息!$C:$C,盘货信息!$E:$E),0)&amp;"元】","【焕新补贴预估价"&amp;ROUND(_xlfn.XLOOKUP($A441&amp;$B441&amp;$C441,盘货信息!$A:$A&amp;盘货信息!$B:$B&amp;盘货信息!$C:$C,盘货信息!$E:$E),0)&amp;"元】")))</f>
        <v/>
      </c>
      <c r="F441" s="27" t="str" cm="1">
        <f t="array" ref="F441">IF($C441="","",_xlfn.XLOOKUP($A441&amp;$B441&amp;$C441,盘货信息!$A:$A&amp;盘货信息!$B:$B&amp;盘货信息!$C:$C,盘货信息!$D:$D)&amp;"元到手价")</f>
        <v/>
      </c>
      <c r="G441" s="27" t="str" cm="1">
        <f t="array" ref="G441">IF($C441="","",IF(_xlfn.XLOOKUP($A441&amp;$B441&amp;$C441,盘货信息!$A:$A&amp;盘货信息!$B:$B&amp;盘货信息!$C:$C,盘货信息!$G:$G)&lt;1,"",ROUND(_xlfn.XLOOKUP($A441&amp;$B441&amp;$C441,盘货信息!$A:$A&amp;盘货信息!$B:$B&amp;盘货信息!$C:$C,盘货信息!$G:$G),0)&amp;"元88VIP立减"))</f>
        <v/>
      </c>
      <c r="H441" s="27" t="str" cm="1">
        <f t="array" ref="H441">IF($C441="","",IF(_xlfn.XLOOKUP($A441&amp;$B441&amp;$C441,盘货信息!$A:$A&amp;盘货信息!$B:$B&amp;盘货信息!$C:$C,盘货信息!$I:$I)&lt;1,"",_xlfn.XLOOKUP($A441&amp;$B441&amp;$C441,盘货信息!$A:$A&amp;盘货信息!$B:$B&amp;盘货信息!$C:$C,盘货信息!$I:$I)&amp;"元惊喜立减"))</f>
        <v/>
      </c>
      <c r="I441" s="27" t="str" cm="1">
        <f t="array" ref="I441">IF($C441="","",IF(_xlfn.XLOOKUP($A441&amp;$B441&amp;$C441,盘货信息!$A:$A&amp;盘货信息!$B:$B&amp;盘货信息!$C:$C,盘货信息!$H:$H)&lt;1,"",ROUND(_xlfn.XLOOKUP($A441&amp;$B441&amp;$C441,盘货信息!$A:$A&amp;盘货信息!$B:$B&amp;盘货信息!$C:$C,盘货信息!$H:$H),0)&amp;"元消费券"))</f>
        <v/>
      </c>
      <c r="J441" s="27" t="str" cm="1">
        <f t="array" ref="J441">IF($C441="","",IF(_xlfn.XLOOKUP($A441&amp;$B441&amp;$C441,盘货信息!$A:$A&amp;盘货信息!$B:$B&amp;盘货信息!$C:$C,盘货信息!$J:$J)&lt;1,"",ROUND(_xlfn.XLOOKUP($A441&amp;$B441&amp;$C441,盘货信息!$A:$A&amp;盘货信息!$B:$B&amp;盘货信息!$C:$C,盘货信息!$J:$J),0)&amp;"元限时补贴"))</f>
        <v/>
      </c>
      <c r="K441" s="27" t="str" cm="1">
        <f t="array" ref="K441">IF($C441="","",IF(_xlfn.XLOOKUP($A441&amp;$B441&amp;$C441,盘货信息!$A:$A&amp;盘货信息!$B:$B&amp;盘货信息!$C:$C,盘货信息!$K:$K)&lt;1,"",ROUND(_xlfn.XLOOKUP($A441&amp;$B441&amp;$C441,盘货信息!$A:$A&amp;盘货信息!$B:$B&amp;盘货信息!$C:$C,盘货信息!$K:$K),0)&amp;"元预估焕新补贴"))</f>
        <v/>
      </c>
      <c r="L441" s="27" t="str" cm="1">
        <f t="array" ref="L441">IF($C441="","",IF(AND(_xlfn.XLOOKUP($A441&amp;$B441&amp;$C441,盘货信息!$A:$A&amp;盘货信息!$B:$B&amp;盘货信息!$C:$C,盘货信息!$L:$L)="是",_xlfn.XLOOKUP($A441&amp;$B441&amp;$C441,盘货信息!$A:$A&amp;盘货信息!$B:$B&amp;盘货信息!$C:$C,盘货信息!$M:$M)="是",_xlfn.XLOOKUP($A441&amp;$B441&amp;$C441,盘货信息!$A:$A&amp;盘货信息!$B:$B&amp;盘货信息!$C:$C,盘货信息!$K:$K)&gt;0),"【全民可用，不限地址】",IF(AND(OR(_xlfn.XLOOKUP($A441&amp;$B441&amp;$C441,盘货信息!$A:$A&amp;盘货信息!$B:$B&amp;盘货信息!$C:$C,盘货信息!$L:$L)="否",_xlfn.XLOOKUP($A441&amp;$B441&amp;$C441,盘货信息!$A:$A&amp;盘货信息!$B:$B&amp;盘货信息!$C:$C,盘货信息!$L:$L)=""),_xlfn.XLOOKUP($A441&amp;$B441&amp;$C441,盘货信息!$A:$A&amp;盘货信息!$B:$B&amp;盘货信息!$C:$C,盘货信息!$M:$M)="是",_xlfn.XLOOKUP($A441&amp;$B441&amp;$C441,盘货信息!$A:$A&amp;盘货信息!$B:$B&amp;盘货信息!$C:$C,盘货信息!$K:$K)&gt;0),"【详情页领取】","")))</f>
        <v/>
      </c>
      <c r="M441" s="27" t="str" cm="1">
        <f t="array" ref="M441">IF($C441="","",IF(_xlfn.XLOOKUP($A441&amp;$B441&amp;$C441,盘货信息!$A:$A&amp;盘货信息!$B:$B&amp;盘货信息!$C:$C,盘货信息!$F:$F)&lt;1,"",_xlfn.XLOOKUP($A441&amp;$B441&amp;$C441,盘货信息!$A:$A&amp;盘货信息!$B:$B&amp;盘货信息!$C:$C,盘货信息!$F:$F)&amp;"元明卷"))</f>
        <v/>
      </c>
      <c r="N441" s="27" t="str">
        <f t="shared" si="13"/>
        <v/>
      </c>
      <c r="O441" s="27" t="str">
        <f>IF(I441="","","【消费券链接】"&amp;固定信息!$B$6)</f>
        <v/>
      </c>
    </row>
    <row r="442" customHeight="1" spans="1:15">
      <c r="A442" s="23" t="str">
        <f>IF(盘货信息!A442="","",盘货信息!A442)</f>
        <v/>
      </c>
      <c r="B442" s="26" t="str">
        <f>IF(盘货信息!B442="","",盘货信息!B442)</f>
        <v/>
      </c>
      <c r="C442" s="23" t="str">
        <f>IF(盘货信息!C442="","",盘货信息!C442)</f>
        <v/>
      </c>
      <c r="D442" s="27" t="str">
        <f t="shared" si="12"/>
        <v/>
      </c>
      <c r="E442" s="27" t="str" cm="1">
        <f t="array" ref="E442">IF($C442="","",IF(AND(OR(_xlfn.XLOOKUP($A442&amp;$B442&amp;$C442,盘货信息!$A:$A&amp;盘货信息!$B:$B&amp;盘货信息!$C:$C,盘货信息!$L:$L)="否",_xlfn.XLOOKUP($A442&amp;$B442&amp;$C442,盘货信息!$A:$A&amp;盘货信息!$B:$B&amp;盘货信息!$C:$C,盘货信息!$L:$L)=""),_xlfn.XLOOKUP($A442&amp;$B442&amp;$C442,盘货信息!$A:$A&amp;盘货信息!$B:$B&amp;盘货信息!$C:$C,盘货信息!$M:$M)="否"),"【预估到手价"&amp;_xlfn.XLOOKUP($A442&amp;$B442&amp;$C442,盘货信息!$A:$A&amp;盘货信息!$B:$B&amp;盘货信息!$C:$C,盘货信息!$D:$D)&amp;"元】",IF(AND(_xlfn.XLOOKUP($A442&amp;$B442&amp;$C442,盘货信息!$A:$A&amp;盘货信息!$B:$B&amp;盘货信息!$C:$C,盘货信息!$M:$M)="是",OR(_xlfn.XLOOKUP($A442&amp;$B442&amp;$C442,盘货信息!$A:$A&amp;盘货信息!$B:$B&amp;盘货信息!$C:$C,盘货信息!$L:$L)="否",_xlfn.XLOOKUP($A442&amp;$B442&amp;$C442,盘货信息!$A:$A&amp;盘货信息!$B:$B&amp;盘货信息!$C:$C,盘货信息!$L:$L)="")),"【预估到手价"&amp;_xlfn.XLOOKUP($A442&amp;$B442&amp;$C442,盘货信息!$A:$A&amp;盘货信息!$B:$B&amp;盘货信息!$C:$C,盘货信息!$D:$D)&amp;"元】"&amp;CHAR(10)&amp;"【焕新补贴预估价"&amp;ROUND(_xlfn.XLOOKUP($A442&amp;$B442&amp;$C442,盘货信息!$A:$A&amp;盘货信息!$B:$B&amp;盘货信息!$C:$C,盘货信息!$E:$E),0)&amp;"元】","【焕新补贴预估价"&amp;ROUND(_xlfn.XLOOKUP($A442&amp;$B442&amp;$C442,盘货信息!$A:$A&amp;盘货信息!$B:$B&amp;盘货信息!$C:$C,盘货信息!$E:$E),0)&amp;"元】")))</f>
        <v/>
      </c>
      <c r="F442" s="27" t="str" cm="1">
        <f t="array" ref="F442">IF($C442="","",_xlfn.XLOOKUP($A442&amp;$B442&amp;$C442,盘货信息!$A:$A&amp;盘货信息!$B:$B&amp;盘货信息!$C:$C,盘货信息!$D:$D)&amp;"元到手价")</f>
        <v/>
      </c>
      <c r="G442" s="27" t="str" cm="1">
        <f t="array" ref="G442">IF($C442="","",IF(_xlfn.XLOOKUP($A442&amp;$B442&amp;$C442,盘货信息!$A:$A&amp;盘货信息!$B:$B&amp;盘货信息!$C:$C,盘货信息!$G:$G)&lt;1,"",ROUND(_xlfn.XLOOKUP($A442&amp;$B442&amp;$C442,盘货信息!$A:$A&amp;盘货信息!$B:$B&amp;盘货信息!$C:$C,盘货信息!$G:$G),0)&amp;"元88VIP立减"))</f>
        <v/>
      </c>
      <c r="H442" s="27" t="str" cm="1">
        <f t="array" ref="H442">IF($C442="","",IF(_xlfn.XLOOKUP($A442&amp;$B442&amp;$C442,盘货信息!$A:$A&amp;盘货信息!$B:$B&amp;盘货信息!$C:$C,盘货信息!$I:$I)&lt;1,"",_xlfn.XLOOKUP($A442&amp;$B442&amp;$C442,盘货信息!$A:$A&amp;盘货信息!$B:$B&amp;盘货信息!$C:$C,盘货信息!$I:$I)&amp;"元惊喜立减"))</f>
        <v/>
      </c>
      <c r="I442" s="27" t="str" cm="1">
        <f t="array" ref="I442">IF($C442="","",IF(_xlfn.XLOOKUP($A442&amp;$B442&amp;$C442,盘货信息!$A:$A&amp;盘货信息!$B:$B&amp;盘货信息!$C:$C,盘货信息!$H:$H)&lt;1,"",ROUND(_xlfn.XLOOKUP($A442&amp;$B442&amp;$C442,盘货信息!$A:$A&amp;盘货信息!$B:$B&amp;盘货信息!$C:$C,盘货信息!$H:$H),0)&amp;"元消费券"))</f>
        <v/>
      </c>
      <c r="J442" s="27" t="str" cm="1">
        <f t="array" ref="J442">IF($C442="","",IF(_xlfn.XLOOKUP($A442&amp;$B442&amp;$C442,盘货信息!$A:$A&amp;盘货信息!$B:$B&amp;盘货信息!$C:$C,盘货信息!$J:$J)&lt;1,"",ROUND(_xlfn.XLOOKUP($A442&amp;$B442&amp;$C442,盘货信息!$A:$A&amp;盘货信息!$B:$B&amp;盘货信息!$C:$C,盘货信息!$J:$J),0)&amp;"元限时补贴"))</f>
        <v/>
      </c>
      <c r="K442" s="27" t="str" cm="1">
        <f t="array" ref="K442">IF($C442="","",IF(_xlfn.XLOOKUP($A442&amp;$B442&amp;$C442,盘货信息!$A:$A&amp;盘货信息!$B:$B&amp;盘货信息!$C:$C,盘货信息!$K:$K)&lt;1,"",ROUND(_xlfn.XLOOKUP($A442&amp;$B442&amp;$C442,盘货信息!$A:$A&amp;盘货信息!$B:$B&amp;盘货信息!$C:$C,盘货信息!$K:$K),0)&amp;"元预估焕新补贴"))</f>
        <v/>
      </c>
      <c r="L442" s="27" t="str" cm="1">
        <f t="array" ref="L442">IF($C442="","",IF(AND(_xlfn.XLOOKUP($A442&amp;$B442&amp;$C442,盘货信息!$A:$A&amp;盘货信息!$B:$B&amp;盘货信息!$C:$C,盘货信息!$L:$L)="是",_xlfn.XLOOKUP($A442&amp;$B442&amp;$C442,盘货信息!$A:$A&amp;盘货信息!$B:$B&amp;盘货信息!$C:$C,盘货信息!$M:$M)="是",_xlfn.XLOOKUP($A442&amp;$B442&amp;$C442,盘货信息!$A:$A&amp;盘货信息!$B:$B&amp;盘货信息!$C:$C,盘货信息!$K:$K)&gt;0),"【全民可用，不限地址】",IF(AND(OR(_xlfn.XLOOKUP($A442&amp;$B442&amp;$C442,盘货信息!$A:$A&amp;盘货信息!$B:$B&amp;盘货信息!$C:$C,盘货信息!$L:$L)="否",_xlfn.XLOOKUP($A442&amp;$B442&amp;$C442,盘货信息!$A:$A&amp;盘货信息!$B:$B&amp;盘货信息!$C:$C,盘货信息!$L:$L)=""),_xlfn.XLOOKUP($A442&amp;$B442&amp;$C442,盘货信息!$A:$A&amp;盘货信息!$B:$B&amp;盘货信息!$C:$C,盘货信息!$M:$M)="是",_xlfn.XLOOKUP($A442&amp;$B442&amp;$C442,盘货信息!$A:$A&amp;盘货信息!$B:$B&amp;盘货信息!$C:$C,盘货信息!$K:$K)&gt;0),"【详情页领取】","")))</f>
        <v/>
      </c>
      <c r="M442" s="27" t="str" cm="1">
        <f t="array" ref="M442">IF($C442="","",IF(_xlfn.XLOOKUP($A442&amp;$B442&amp;$C442,盘货信息!$A:$A&amp;盘货信息!$B:$B&amp;盘货信息!$C:$C,盘货信息!$F:$F)&lt;1,"",_xlfn.XLOOKUP($A442&amp;$B442&amp;$C442,盘货信息!$A:$A&amp;盘货信息!$B:$B&amp;盘货信息!$C:$C,盘货信息!$F:$F)&amp;"元明卷"))</f>
        <v/>
      </c>
      <c r="N442" s="27" t="str">
        <f t="shared" si="13"/>
        <v/>
      </c>
      <c r="O442" s="27" t="str">
        <f>IF(I442="","","【消费券链接】"&amp;固定信息!$B$6)</f>
        <v/>
      </c>
    </row>
    <row r="443" customHeight="1" spans="1:15">
      <c r="A443" s="23" t="str">
        <f>IF(盘货信息!A443="","",盘货信息!A443)</f>
        <v/>
      </c>
      <c r="B443" s="26" t="str">
        <f>IF(盘货信息!B443="","",盘货信息!B443)</f>
        <v/>
      </c>
      <c r="C443" s="23" t="str">
        <f>IF(盘货信息!C443="","",盘货信息!C443)</f>
        <v/>
      </c>
      <c r="D443" s="27" t="str">
        <f t="shared" si="12"/>
        <v/>
      </c>
      <c r="E443" s="27" t="str" cm="1">
        <f t="array" ref="E443">IF($C443="","",IF(AND(OR(_xlfn.XLOOKUP($A443&amp;$B443&amp;$C443,盘货信息!$A:$A&amp;盘货信息!$B:$B&amp;盘货信息!$C:$C,盘货信息!$L:$L)="否",_xlfn.XLOOKUP($A443&amp;$B443&amp;$C443,盘货信息!$A:$A&amp;盘货信息!$B:$B&amp;盘货信息!$C:$C,盘货信息!$L:$L)=""),_xlfn.XLOOKUP($A443&amp;$B443&amp;$C443,盘货信息!$A:$A&amp;盘货信息!$B:$B&amp;盘货信息!$C:$C,盘货信息!$M:$M)="否"),"【预估到手价"&amp;_xlfn.XLOOKUP($A443&amp;$B443&amp;$C443,盘货信息!$A:$A&amp;盘货信息!$B:$B&amp;盘货信息!$C:$C,盘货信息!$D:$D)&amp;"元】",IF(AND(_xlfn.XLOOKUP($A443&amp;$B443&amp;$C443,盘货信息!$A:$A&amp;盘货信息!$B:$B&amp;盘货信息!$C:$C,盘货信息!$M:$M)="是",OR(_xlfn.XLOOKUP($A443&amp;$B443&amp;$C443,盘货信息!$A:$A&amp;盘货信息!$B:$B&amp;盘货信息!$C:$C,盘货信息!$L:$L)="否",_xlfn.XLOOKUP($A443&amp;$B443&amp;$C443,盘货信息!$A:$A&amp;盘货信息!$B:$B&amp;盘货信息!$C:$C,盘货信息!$L:$L)="")),"【预估到手价"&amp;_xlfn.XLOOKUP($A443&amp;$B443&amp;$C443,盘货信息!$A:$A&amp;盘货信息!$B:$B&amp;盘货信息!$C:$C,盘货信息!$D:$D)&amp;"元】"&amp;CHAR(10)&amp;"【焕新补贴预估价"&amp;ROUND(_xlfn.XLOOKUP($A443&amp;$B443&amp;$C443,盘货信息!$A:$A&amp;盘货信息!$B:$B&amp;盘货信息!$C:$C,盘货信息!$E:$E),0)&amp;"元】","【焕新补贴预估价"&amp;ROUND(_xlfn.XLOOKUP($A443&amp;$B443&amp;$C443,盘货信息!$A:$A&amp;盘货信息!$B:$B&amp;盘货信息!$C:$C,盘货信息!$E:$E),0)&amp;"元】")))</f>
        <v/>
      </c>
      <c r="F443" s="27" t="str" cm="1">
        <f t="array" ref="F443">IF($C443="","",_xlfn.XLOOKUP($A443&amp;$B443&amp;$C443,盘货信息!$A:$A&amp;盘货信息!$B:$B&amp;盘货信息!$C:$C,盘货信息!$D:$D)&amp;"元到手价")</f>
        <v/>
      </c>
      <c r="G443" s="27" t="str" cm="1">
        <f t="array" ref="G443">IF($C443="","",IF(_xlfn.XLOOKUP($A443&amp;$B443&amp;$C443,盘货信息!$A:$A&amp;盘货信息!$B:$B&amp;盘货信息!$C:$C,盘货信息!$G:$G)&lt;1,"",ROUND(_xlfn.XLOOKUP($A443&amp;$B443&amp;$C443,盘货信息!$A:$A&amp;盘货信息!$B:$B&amp;盘货信息!$C:$C,盘货信息!$G:$G),0)&amp;"元88VIP立减"))</f>
        <v/>
      </c>
      <c r="H443" s="27" t="str" cm="1">
        <f t="array" ref="H443">IF($C443="","",IF(_xlfn.XLOOKUP($A443&amp;$B443&amp;$C443,盘货信息!$A:$A&amp;盘货信息!$B:$B&amp;盘货信息!$C:$C,盘货信息!$I:$I)&lt;1,"",_xlfn.XLOOKUP($A443&amp;$B443&amp;$C443,盘货信息!$A:$A&amp;盘货信息!$B:$B&amp;盘货信息!$C:$C,盘货信息!$I:$I)&amp;"元惊喜立减"))</f>
        <v/>
      </c>
      <c r="I443" s="27" t="str" cm="1">
        <f t="array" ref="I443">IF($C443="","",IF(_xlfn.XLOOKUP($A443&amp;$B443&amp;$C443,盘货信息!$A:$A&amp;盘货信息!$B:$B&amp;盘货信息!$C:$C,盘货信息!$H:$H)&lt;1,"",ROUND(_xlfn.XLOOKUP($A443&amp;$B443&amp;$C443,盘货信息!$A:$A&amp;盘货信息!$B:$B&amp;盘货信息!$C:$C,盘货信息!$H:$H),0)&amp;"元消费券"))</f>
        <v/>
      </c>
      <c r="J443" s="27" t="str" cm="1">
        <f t="array" ref="J443">IF($C443="","",IF(_xlfn.XLOOKUP($A443&amp;$B443&amp;$C443,盘货信息!$A:$A&amp;盘货信息!$B:$B&amp;盘货信息!$C:$C,盘货信息!$J:$J)&lt;1,"",ROUND(_xlfn.XLOOKUP($A443&amp;$B443&amp;$C443,盘货信息!$A:$A&amp;盘货信息!$B:$B&amp;盘货信息!$C:$C,盘货信息!$J:$J),0)&amp;"元限时补贴"))</f>
        <v/>
      </c>
      <c r="K443" s="27" t="str" cm="1">
        <f t="array" ref="K443">IF($C443="","",IF(_xlfn.XLOOKUP($A443&amp;$B443&amp;$C443,盘货信息!$A:$A&amp;盘货信息!$B:$B&amp;盘货信息!$C:$C,盘货信息!$K:$K)&lt;1,"",ROUND(_xlfn.XLOOKUP($A443&amp;$B443&amp;$C443,盘货信息!$A:$A&amp;盘货信息!$B:$B&amp;盘货信息!$C:$C,盘货信息!$K:$K),0)&amp;"元预估焕新补贴"))</f>
        <v/>
      </c>
      <c r="L443" s="27" t="str" cm="1">
        <f t="array" ref="L443">IF($C443="","",IF(AND(_xlfn.XLOOKUP($A443&amp;$B443&amp;$C443,盘货信息!$A:$A&amp;盘货信息!$B:$B&amp;盘货信息!$C:$C,盘货信息!$L:$L)="是",_xlfn.XLOOKUP($A443&amp;$B443&amp;$C443,盘货信息!$A:$A&amp;盘货信息!$B:$B&amp;盘货信息!$C:$C,盘货信息!$M:$M)="是",_xlfn.XLOOKUP($A443&amp;$B443&amp;$C443,盘货信息!$A:$A&amp;盘货信息!$B:$B&amp;盘货信息!$C:$C,盘货信息!$K:$K)&gt;0),"【全民可用，不限地址】",IF(AND(OR(_xlfn.XLOOKUP($A443&amp;$B443&amp;$C443,盘货信息!$A:$A&amp;盘货信息!$B:$B&amp;盘货信息!$C:$C,盘货信息!$L:$L)="否",_xlfn.XLOOKUP($A443&amp;$B443&amp;$C443,盘货信息!$A:$A&amp;盘货信息!$B:$B&amp;盘货信息!$C:$C,盘货信息!$L:$L)=""),_xlfn.XLOOKUP($A443&amp;$B443&amp;$C443,盘货信息!$A:$A&amp;盘货信息!$B:$B&amp;盘货信息!$C:$C,盘货信息!$M:$M)="是",_xlfn.XLOOKUP($A443&amp;$B443&amp;$C443,盘货信息!$A:$A&amp;盘货信息!$B:$B&amp;盘货信息!$C:$C,盘货信息!$K:$K)&gt;0),"【详情页领取】","")))</f>
        <v/>
      </c>
      <c r="M443" s="27" t="str" cm="1">
        <f t="array" ref="M443">IF($C443="","",IF(_xlfn.XLOOKUP($A443&amp;$B443&amp;$C443,盘货信息!$A:$A&amp;盘货信息!$B:$B&amp;盘货信息!$C:$C,盘货信息!$F:$F)&lt;1,"",_xlfn.XLOOKUP($A443&amp;$B443&amp;$C443,盘货信息!$A:$A&amp;盘货信息!$B:$B&amp;盘货信息!$C:$C,盘货信息!$F:$F)&amp;"元明卷"))</f>
        <v/>
      </c>
      <c r="N443" s="27" t="str">
        <f t="shared" si="13"/>
        <v/>
      </c>
      <c r="O443" s="27" t="str">
        <f>IF(I443="","","【消费券链接】"&amp;固定信息!$B$6)</f>
        <v/>
      </c>
    </row>
    <row r="444" customHeight="1" spans="1:15">
      <c r="A444" s="23" t="str">
        <f>IF(盘货信息!A444="","",盘货信息!A444)</f>
        <v/>
      </c>
      <c r="B444" s="26" t="str">
        <f>IF(盘货信息!B444="","",盘货信息!B444)</f>
        <v/>
      </c>
      <c r="C444" s="23" t="str">
        <f>IF(盘货信息!C444="","",盘货信息!C444)</f>
        <v/>
      </c>
      <c r="D444" s="27" t="str">
        <f t="shared" si="12"/>
        <v/>
      </c>
      <c r="E444" s="27" t="str" cm="1">
        <f t="array" ref="E444">IF($C444="","",IF(AND(OR(_xlfn.XLOOKUP($A444&amp;$B444&amp;$C444,盘货信息!$A:$A&amp;盘货信息!$B:$B&amp;盘货信息!$C:$C,盘货信息!$L:$L)="否",_xlfn.XLOOKUP($A444&amp;$B444&amp;$C444,盘货信息!$A:$A&amp;盘货信息!$B:$B&amp;盘货信息!$C:$C,盘货信息!$L:$L)=""),_xlfn.XLOOKUP($A444&amp;$B444&amp;$C444,盘货信息!$A:$A&amp;盘货信息!$B:$B&amp;盘货信息!$C:$C,盘货信息!$M:$M)="否"),"【预估到手价"&amp;_xlfn.XLOOKUP($A444&amp;$B444&amp;$C444,盘货信息!$A:$A&amp;盘货信息!$B:$B&amp;盘货信息!$C:$C,盘货信息!$D:$D)&amp;"元】",IF(AND(_xlfn.XLOOKUP($A444&amp;$B444&amp;$C444,盘货信息!$A:$A&amp;盘货信息!$B:$B&amp;盘货信息!$C:$C,盘货信息!$M:$M)="是",OR(_xlfn.XLOOKUP($A444&amp;$B444&amp;$C444,盘货信息!$A:$A&amp;盘货信息!$B:$B&amp;盘货信息!$C:$C,盘货信息!$L:$L)="否",_xlfn.XLOOKUP($A444&amp;$B444&amp;$C444,盘货信息!$A:$A&amp;盘货信息!$B:$B&amp;盘货信息!$C:$C,盘货信息!$L:$L)="")),"【预估到手价"&amp;_xlfn.XLOOKUP($A444&amp;$B444&amp;$C444,盘货信息!$A:$A&amp;盘货信息!$B:$B&amp;盘货信息!$C:$C,盘货信息!$D:$D)&amp;"元】"&amp;CHAR(10)&amp;"【焕新补贴预估价"&amp;ROUND(_xlfn.XLOOKUP($A444&amp;$B444&amp;$C444,盘货信息!$A:$A&amp;盘货信息!$B:$B&amp;盘货信息!$C:$C,盘货信息!$E:$E),0)&amp;"元】","【焕新补贴预估价"&amp;ROUND(_xlfn.XLOOKUP($A444&amp;$B444&amp;$C444,盘货信息!$A:$A&amp;盘货信息!$B:$B&amp;盘货信息!$C:$C,盘货信息!$E:$E),0)&amp;"元】")))</f>
        <v/>
      </c>
      <c r="F444" s="27" t="str" cm="1">
        <f t="array" ref="F444">IF($C444="","",_xlfn.XLOOKUP($A444&amp;$B444&amp;$C444,盘货信息!$A:$A&amp;盘货信息!$B:$B&amp;盘货信息!$C:$C,盘货信息!$D:$D)&amp;"元到手价")</f>
        <v/>
      </c>
      <c r="G444" s="27" t="str" cm="1">
        <f t="array" ref="G444">IF($C444="","",IF(_xlfn.XLOOKUP($A444&amp;$B444&amp;$C444,盘货信息!$A:$A&amp;盘货信息!$B:$B&amp;盘货信息!$C:$C,盘货信息!$G:$G)&lt;1,"",ROUND(_xlfn.XLOOKUP($A444&amp;$B444&amp;$C444,盘货信息!$A:$A&amp;盘货信息!$B:$B&amp;盘货信息!$C:$C,盘货信息!$G:$G),0)&amp;"元88VIP立减"))</f>
        <v/>
      </c>
      <c r="H444" s="27" t="str" cm="1">
        <f t="array" ref="H444">IF($C444="","",IF(_xlfn.XLOOKUP($A444&amp;$B444&amp;$C444,盘货信息!$A:$A&amp;盘货信息!$B:$B&amp;盘货信息!$C:$C,盘货信息!$I:$I)&lt;1,"",_xlfn.XLOOKUP($A444&amp;$B444&amp;$C444,盘货信息!$A:$A&amp;盘货信息!$B:$B&amp;盘货信息!$C:$C,盘货信息!$I:$I)&amp;"元惊喜立减"))</f>
        <v/>
      </c>
      <c r="I444" s="27" t="str" cm="1">
        <f t="array" ref="I444">IF($C444="","",IF(_xlfn.XLOOKUP($A444&amp;$B444&amp;$C444,盘货信息!$A:$A&amp;盘货信息!$B:$B&amp;盘货信息!$C:$C,盘货信息!$H:$H)&lt;1,"",ROUND(_xlfn.XLOOKUP($A444&amp;$B444&amp;$C444,盘货信息!$A:$A&amp;盘货信息!$B:$B&amp;盘货信息!$C:$C,盘货信息!$H:$H),0)&amp;"元消费券"))</f>
        <v/>
      </c>
      <c r="J444" s="27" t="str" cm="1">
        <f t="array" ref="J444">IF($C444="","",IF(_xlfn.XLOOKUP($A444&amp;$B444&amp;$C444,盘货信息!$A:$A&amp;盘货信息!$B:$B&amp;盘货信息!$C:$C,盘货信息!$J:$J)&lt;1,"",ROUND(_xlfn.XLOOKUP($A444&amp;$B444&amp;$C444,盘货信息!$A:$A&amp;盘货信息!$B:$B&amp;盘货信息!$C:$C,盘货信息!$J:$J),0)&amp;"元限时补贴"))</f>
        <v/>
      </c>
      <c r="K444" s="27" t="str" cm="1">
        <f t="array" ref="K444">IF($C444="","",IF(_xlfn.XLOOKUP($A444&amp;$B444&amp;$C444,盘货信息!$A:$A&amp;盘货信息!$B:$B&amp;盘货信息!$C:$C,盘货信息!$K:$K)&lt;1,"",ROUND(_xlfn.XLOOKUP($A444&amp;$B444&amp;$C444,盘货信息!$A:$A&amp;盘货信息!$B:$B&amp;盘货信息!$C:$C,盘货信息!$K:$K),0)&amp;"元预估焕新补贴"))</f>
        <v/>
      </c>
      <c r="L444" s="27" t="str" cm="1">
        <f t="array" ref="L444">IF($C444="","",IF(AND(_xlfn.XLOOKUP($A444&amp;$B444&amp;$C444,盘货信息!$A:$A&amp;盘货信息!$B:$B&amp;盘货信息!$C:$C,盘货信息!$L:$L)="是",_xlfn.XLOOKUP($A444&amp;$B444&amp;$C444,盘货信息!$A:$A&amp;盘货信息!$B:$B&amp;盘货信息!$C:$C,盘货信息!$M:$M)="是",_xlfn.XLOOKUP($A444&amp;$B444&amp;$C444,盘货信息!$A:$A&amp;盘货信息!$B:$B&amp;盘货信息!$C:$C,盘货信息!$K:$K)&gt;0),"【全民可用，不限地址】",IF(AND(OR(_xlfn.XLOOKUP($A444&amp;$B444&amp;$C444,盘货信息!$A:$A&amp;盘货信息!$B:$B&amp;盘货信息!$C:$C,盘货信息!$L:$L)="否",_xlfn.XLOOKUP($A444&amp;$B444&amp;$C444,盘货信息!$A:$A&amp;盘货信息!$B:$B&amp;盘货信息!$C:$C,盘货信息!$L:$L)=""),_xlfn.XLOOKUP($A444&amp;$B444&amp;$C444,盘货信息!$A:$A&amp;盘货信息!$B:$B&amp;盘货信息!$C:$C,盘货信息!$M:$M)="是",_xlfn.XLOOKUP($A444&amp;$B444&amp;$C444,盘货信息!$A:$A&amp;盘货信息!$B:$B&amp;盘货信息!$C:$C,盘货信息!$K:$K)&gt;0),"【详情页领取】","")))</f>
        <v/>
      </c>
      <c r="M444" s="27" t="str" cm="1">
        <f t="array" ref="M444">IF($C444="","",IF(_xlfn.XLOOKUP($A444&amp;$B444&amp;$C444,盘货信息!$A:$A&amp;盘货信息!$B:$B&amp;盘货信息!$C:$C,盘货信息!$F:$F)&lt;1,"",_xlfn.XLOOKUP($A444&amp;$B444&amp;$C444,盘货信息!$A:$A&amp;盘货信息!$B:$B&amp;盘货信息!$C:$C,盘货信息!$F:$F)&amp;"元明卷"))</f>
        <v/>
      </c>
      <c r="N444" s="27" t="str">
        <f t="shared" si="13"/>
        <v/>
      </c>
      <c r="O444" s="27" t="str">
        <f>IF(I444="","","【消费券链接】"&amp;固定信息!$B$6)</f>
        <v/>
      </c>
    </row>
    <row r="445" customHeight="1" spans="1:15">
      <c r="A445" s="23" t="str">
        <f>IF(盘货信息!A445="","",盘货信息!A445)</f>
        <v/>
      </c>
      <c r="B445" s="26" t="str">
        <f>IF(盘货信息!B445="","",盘货信息!B445)</f>
        <v/>
      </c>
      <c r="C445" s="23" t="str">
        <f>IF(盘货信息!C445="","",盘货信息!C445)</f>
        <v/>
      </c>
      <c r="D445" s="27" t="str">
        <f t="shared" si="12"/>
        <v/>
      </c>
      <c r="E445" s="27" t="str" cm="1">
        <f t="array" ref="E445">IF($C445="","",IF(AND(OR(_xlfn.XLOOKUP($A445&amp;$B445&amp;$C445,盘货信息!$A:$A&amp;盘货信息!$B:$B&amp;盘货信息!$C:$C,盘货信息!$L:$L)="否",_xlfn.XLOOKUP($A445&amp;$B445&amp;$C445,盘货信息!$A:$A&amp;盘货信息!$B:$B&amp;盘货信息!$C:$C,盘货信息!$L:$L)=""),_xlfn.XLOOKUP($A445&amp;$B445&amp;$C445,盘货信息!$A:$A&amp;盘货信息!$B:$B&amp;盘货信息!$C:$C,盘货信息!$M:$M)="否"),"【预估到手价"&amp;_xlfn.XLOOKUP($A445&amp;$B445&amp;$C445,盘货信息!$A:$A&amp;盘货信息!$B:$B&amp;盘货信息!$C:$C,盘货信息!$D:$D)&amp;"元】",IF(AND(_xlfn.XLOOKUP($A445&amp;$B445&amp;$C445,盘货信息!$A:$A&amp;盘货信息!$B:$B&amp;盘货信息!$C:$C,盘货信息!$M:$M)="是",OR(_xlfn.XLOOKUP($A445&amp;$B445&amp;$C445,盘货信息!$A:$A&amp;盘货信息!$B:$B&amp;盘货信息!$C:$C,盘货信息!$L:$L)="否",_xlfn.XLOOKUP($A445&amp;$B445&amp;$C445,盘货信息!$A:$A&amp;盘货信息!$B:$B&amp;盘货信息!$C:$C,盘货信息!$L:$L)="")),"【预估到手价"&amp;_xlfn.XLOOKUP($A445&amp;$B445&amp;$C445,盘货信息!$A:$A&amp;盘货信息!$B:$B&amp;盘货信息!$C:$C,盘货信息!$D:$D)&amp;"元】"&amp;CHAR(10)&amp;"【焕新补贴预估价"&amp;ROUND(_xlfn.XLOOKUP($A445&amp;$B445&amp;$C445,盘货信息!$A:$A&amp;盘货信息!$B:$B&amp;盘货信息!$C:$C,盘货信息!$E:$E),0)&amp;"元】","【焕新补贴预估价"&amp;ROUND(_xlfn.XLOOKUP($A445&amp;$B445&amp;$C445,盘货信息!$A:$A&amp;盘货信息!$B:$B&amp;盘货信息!$C:$C,盘货信息!$E:$E),0)&amp;"元】")))</f>
        <v/>
      </c>
      <c r="F445" s="27" t="str" cm="1">
        <f t="array" ref="F445">IF($C445="","",_xlfn.XLOOKUP($A445&amp;$B445&amp;$C445,盘货信息!$A:$A&amp;盘货信息!$B:$B&amp;盘货信息!$C:$C,盘货信息!$D:$D)&amp;"元到手价")</f>
        <v/>
      </c>
      <c r="G445" s="27" t="str" cm="1">
        <f t="array" ref="G445">IF($C445="","",IF(_xlfn.XLOOKUP($A445&amp;$B445&amp;$C445,盘货信息!$A:$A&amp;盘货信息!$B:$B&amp;盘货信息!$C:$C,盘货信息!$G:$G)&lt;1,"",ROUND(_xlfn.XLOOKUP($A445&amp;$B445&amp;$C445,盘货信息!$A:$A&amp;盘货信息!$B:$B&amp;盘货信息!$C:$C,盘货信息!$G:$G),0)&amp;"元88VIP立减"))</f>
        <v/>
      </c>
      <c r="H445" s="27" t="str" cm="1">
        <f t="array" ref="H445">IF($C445="","",IF(_xlfn.XLOOKUP($A445&amp;$B445&amp;$C445,盘货信息!$A:$A&amp;盘货信息!$B:$B&amp;盘货信息!$C:$C,盘货信息!$I:$I)&lt;1,"",_xlfn.XLOOKUP($A445&amp;$B445&amp;$C445,盘货信息!$A:$A&amp;盘货信息!$B:$B&amp;盘货信息!$C:$C,盘货信息!$I:$I)&amp;"元惊喜立减"))</f>
        <v/>
      </c>
      <c r="I445" s="27" t="str" cm="1">
        <f t="array" ref="I445">IF($C445="","",IF(_xlfn.XLOOKUP($A445&amp;$B445&amp;$C445,盘货信息!$A:$A&amp;盘货信息!$B:$B&amp;盘货信息!$C:$C,盘货信息!$H:$H)&lt;1,"",ROUND(_xlfn.XLOOKUP($A445&amp;$B445&amp;$C445,盘货信息!$A:$A&amp;盘货信息!$B:$B&amp;盘货信息!$C:$C,盘货信息!$H:$H),0)&amp;"元消费券"))</f>
        <v/>
      </c>
      <c r="J445" s="27" t="str" cm="1">
        <f t="array" ref="J445">IF($C445="","",IF(_xlfn.XLOOKUP($A445&amp;$B445&amp;$C445,盘货信息!$A:$A&amp;盘货信息!$B:$B&amp;盘货信息!$C:$C,盘货信息!$J:$J)&lt;1,"",ROUND(_xlfn.XLOOKUP($A445&amp;$B445&amp;$C445,盘货信息!$A:$A&amp;盘货信息!$B:$B&amp;盘货信息!$C:$C,盘货信息!$J:$J),0)&amp;"元限时补贴"))</f>
        <v/>
      </c>
      <c r="K445" s="27" t="str" cm="1">
        <f t="array" ref="K445">IF($C445="","",IF(_xlfn.XLOOKUP($A445&amp;$B445&amp;$C445,盘货信息!$A:$A&amp;盘货信息!$B:$B&amp;盘货信息!$C:$C,盘货信息!$K:$K)&lt;1,"",ROUND(_xlfn.XLOOKUP($A445&amp;$B445&amp;$C445,盘货信息!$A:$A&amp;盘货信息!$B:$B&amp;盘货信息!$C:$C,盘货信息!$K:$K),0)&amp;"元预估焕新补贴"))</f>
        <v/>
      </c>
      <c r="L445" s="27" t="str" cm="1">
        <f t="array" ref="L445">IF($C445="","",IF(AND(_xlfn.XLOOKUP($A445&amp;$B445&amp;$C445,盘货信息!$A:$A&amp;盘货信息!$B:$B&amp;盘货信息!$C:$C,盘货信息!$L:$L)="是",_xlfn.XLOOKUP($A445&amp;$B445&amp;$C445,盘货信息!$A:$A&amp;盘货信息!$B:$B&amp;盘货信息!$C:$C,盘货信息!$M:$M)="是",_xlfn.XLOOKUP($A445&amp;$B445&amp;$C445,盘货信息!$A:$A&amp;盘货信息!$B:$B&amp;盘货信息!$C:$C,盘货信息!$K:$K)&gt;0),"【全民可用，不限地址】",IF(AND(OR(_xlfn.XLOOKUP($A445&amp;$B445&amp;$C445,盘货信息!$A:$A&amp;盘货信息!$B:$B&amp;盘货信息!$C:$C,盘货信息!$L:$L)="否",_xlfn.XLOOKUP($A445&amp;$B445&amp;$C445,盘货信息!$A:$A&amp;盘货信息!$B:$B&amp;盘货信息!$C:$C,盘货信息!$L:$L)=""),_xlfn.XLOOKUP($A445&amp;$B445&amp;$C445,盘货信息!$A:$A&amp;盘货信息!$B:$B&amp;盘货信息!$C:$C,盘货信息!$M:$M)="是",_xlfn.XLOOKUP($A445&amp;$B445&amp;$C445,盘货信息!$A:$A&amp;盘货信息!$B:$B&amp;盘货信息!$C:$C,盘货信息!$K:$K)&gt;0),"【详情页领取】","")))</f>
        <v/>
      </c>
      <c r="M445" s="27" t="str" cm="1">
        <f t="array" ref="M445">IF($C445="","",IF(_xlfn.XLOOKUP($A445&amp;$B445&amp;$C445,盘货信息!$A:$A&amp;盘货信息!$B:$B&amp;盘货信息!$C:$C,盘货信息!$F:$F)&lt;1,"",_xlfn.XLOOKUP($A445&amp;$B445&amp;$C445,盘货信息!$A:$A&amp;盘货信息!$B:$B&amp;盘货信息!$C:$C,盘货信息!$F:$F)&amp;"元明卷"))</f>
        <v/>
      </c>
      <c r="N445" s="27" t="str">
        <f t="shared" si="13"/>
        <v/>
      </c>
      <c r="O445" s="27" t="str">
        <f>IF(I445="","","【消费券链接】"&amp;固定信息!$B$6)</f>
        <v/>
      </c>
    </row>
    <row r="446" customHeight="1" spans="1:15">
      <c r="A446" s="23" t="str">
        <f>IF(盘货信息!A446="","",盘货信息!A446)</f>
        <v/>
      </c>
      <c r="B446" s="26" t="str">
        <f>IF(盘货信息!B446="","",盘货信息!B446)</f>
        <v/>
      </c>
      <c r="C446" s="23" t="str">
        <f>IF(盘货信息!C446="","",盘货信息!C446)</f>
        <v/>
      </c>
      <c r="D446" s="27" t="str">
        <f t="shared" si="12"/>
        <v/>
      </c>
      <c r="E446" s="27" t="str" cm="1">
        <f t="array" ref="E446">IF($C446="","",IF(AND(OR(_xlfn.XLOOKUP($A446&amp;$B446&amp;$C446,盘货信息!$A:$A&amp;盘货信息!$B:$B&amp;盘货信息!$C:$C,盘货信息!$L:$L)="否",_xlfn.XLOOKUP($A446&amp;$B446&amp;$C446,盘货信息!$A:$A&amp;盘货信息!$B:$B&amp;盘货信息!$C:$C,盘货信息!$L:$L)=""),_xlfn.XLOOKUP($A446&amp;$B446&amp;$C446,盘货信息!$A:$A&amp;盘货信息!$B:$B&amp;盘货信息!$C:$C,盘货信息!$M:$M)="否"),"【预估到手价"&amp;_xlfn.XLOOKUP($A446&amp;$B446&amp;$C446,盘货信息!$A:$A&amp;盘货信息!$B:$B&amp;盘货信息!$C:$C,盘货信息!$D:$D)&amp;"元】",IF(AND(_xlfn.XLOOKUP($A446&amp;$B446&amp;$C446,盘货信息!$A:$A&amp;盘货信息!$B:$B&amp;盘货信息!$C:$C,盘货信息!$M:$M)="是",OR(_xlfn.XLOOKUP($A446&amp;$B446&amp;$C446,盘货信息!$A:$A&amp;盘货信息!$B:$B&amp;盘货信息!$C:$C,盘货信息!$L:$L)="否",_xlfn.XLOOKUP($A446&amp;$B446&amp;$C446,盘货信息!$A:$A&amp;盘货信息!$B:$B&amp;盘货信息!$C:$C,盘货信息!$L:$L)="")),"【预估到手价"&amp;_xlfn.XLOOKUP($A446&amp;$B446&amp;$C446,盘货信息!$A:$A&amp;盘货信息!$B:$B&amp;盘货信息!$C:$C,盘货信息!$D:$D)&amp;"元】"&amp;CHAR(10)&amp;"【焕新补贴预估价"&amp;ROUND(_xlfn.XLOOKUP($A446&amp;$B446&amp;$C446,盘货信息!$A:$A&amp;盘货信息!$B:$B&amp;盘货信息!$C:$C,盘货信息!$E:$E),0)&amp;"元】","【焕新补贴预估价"&amp;ROUND(_xlfn.XLOOKUP($A446&amp;$B446&amp;$C446,盘货信息!$A:$A&amp;盘货信息!$B:$B&amp;盘货信息!$C:$C,盘货信息!$E:$E),0)&amp;"元】")))</f>
        <v/>
      </c>
      <c r="F446" s="27" t="str" cm="1">
        <f t="array" ref="F446">IF($C446="","",_xlfn.XLOOKUP($A446&amp;$B446&amp;$C446,盘货信息!$A:$A&amp;盘货信息!$B:$B&amp;盘货信息!$C:$C,盘货信息!$D:$D)&amp;"元到手价")</f>
        <v/>
      </c>
      <c r="G446" s="27" t="str" cm="1">
        <f t="array" ref="G446">IF($C446="","",IF(_xlfn.XLOOKUP($A446&amp;$B446&amp;$C446,盘货信息!$A:$A&amp;盘货信息!$B:$B&amp;盘货信息!$C:$C,盘货信息!$G:$G)&lt;1,"",ROUND(_xlfn.XLOOKUP($A446&amp;$B446&amp;$C446,盘货信息!$A:$A&amp;盘货信息!$B:$B&amp;盘货信息!$C:$C,盘货信息!$G:$G),0)&amp;"元88VIP立减"))</f>
        <v/>
      </c>
      <c r="H446" s="27" t="str" cm="1">
        <f t="array" ref="H446">IF($C446="","",IF(_xlfn.XLOOKUP($A446&amp;$B446&amp;$C446,盘货信息!$A:$A&amp;盘货信息!$B:$B&amp;盘货信息!$C:$C,盘货信息!$I:$I)&lt;1,"",_xlfn.XLOOKUP($A446&amp;$B446&amp;$C446,盘货信息!$A:$A&amp;盘货信息!$B:$B&amp;盘货信息!$C:$C,盘货信息!$I:$I)&amp;"元惊喜立减"))</f>
        <v/>
      </c>
      <c r="I446" s="27" t="str" cm="1">
        <f t="array" ref="I446">IF($C446="","",IF(_xlfn.XLOOKUP($A446&amp;$B446&amp;$C446,盘货信息!$A:$A&amp;盘货信息!$B:$B&amp;盘货信息!$C:$C,盘货信息!$H:$H)&lt;1,"",ROUND(_xlfn.XLOOKUP($A446&amp;$B446&amp;$C446,盘货信息!$A:$A&amp;盘货信息!$B:$B&amp;盘货信息!$C:$C,盘货信息!$H:$H),0)&amp;"元消费券"))</f>
        <v/>
      </c>
      <c r="J446" s="27" t="str" cm="1">
        <f t="array" ref="J446">IF($C446="","",IF(_xlfn.XLOOKUP($A446&amp;$B446&amp;$C446,盘货信息!$A:$A&amp;盘货信息!$B:$B&amp;盘货信息!$C:$C,盘货信息!$J:$J)&lt;1,"",ROUND(_xlfn.XLOOKUP($A446&amp;$B446&amp;$C446,盘货信息!$A:$A&amp;盘货信息!$B:$B&amp;盘货信息!$C:$C,盘货信息!$J:$J),0)&amp;"元限时补贴"))</f>
        <v/>
      </c>
      <c r="K446" s="27" t="str" cm="1">
        <f t="array" ref="K446">IF($C446="","",IF(_xlfn.XLOOKUP($A446&amp;$B446&amp;$C446,盘货信息!$A:$A&amp;盘货信息!$B:$B&amp;盘货信息!$C:$C,盘货信息!$K:$K)&lt;1,"",ROUND(_xlfn.XLOOKUP($A446&amp;$B446&amp;$C446,盘货信息!$A:$A&amp;盘货信息!$B:$B&amp;盘货信息!$C:$C,盘货信息!$K:$K),0)&amp;"元预估焕新补贴"))</f>
        <v/>
      </c>
      <c r="L446" s="27" t="str" cm="1">
        <f t="array" ref="L446">IF($C446="","",IF(AND(_xlfn.XLOOKUP($A446&amp;$B446&amp;$C446,盘货信息!$A:$A&amp;盘货信息!$B:$B&amp;盘货信息!$C:$C,盘货信息!$L:$L)="是",_xlfn.XLOOKUP($A446&amp;$B446&amp;$C446,盘货信息!$A:$A&amp;盘货信息!$B:$B&amp;盘货信息!$C:$C,盘货信息!$M:$M)="是",_xlfn.XLOOKUP($A446&amp;$B446&amp;$C446,盘货信息!$A:$A&amp;盘货信息!$B:$B&amp;盘货信息!$C:$C,盘货信息!$K:$K)&gt;0),"【全民可用，不限地址】",IF(AND(OR(_xlfn.XLOOKUP($A446&amp;$B446&amp;$C446,盘货信息!$A:$A&amp;盘货信息!$B:$B&amp;盘货信息!$C:$C,盘货信息!$L:$L)="否",_xlfn.XLOOKUP($A446&amp;$B446&amp;$C446,盘货信息!$A:$A&amp;盘货信息!$B:$B&amp;盘货信息!$C:$C,盘货信息!$L:$L)=""),_xlfn.XLOOKUP($A446&amp;$B446&amp;$C446,盘货信息!$A:$A&amp;盘货信息!$B:$B&amp;盘货信息!$C:$C,盘货信息!$M:$M)="是",_xlfn.XLOOKUP($A446&amp;$B446&amp;$C446,盘货信息!$A:$A&amp;盘货信息!$B:$B&amp;盘货信息!$C:$C,盘货信息!$K:$K)&gt;0),"【详情页领取】","")))</f>
        <v/>
      </c>
      <c r="M446" s="27" t="str" cm="1">
        <f t="array" ref="M446">IF($C446="","",IF(_xlfn.XLOOKUP($A446&amp;$B446&amp;$C446,盘货信息!$A:$A&amp;盘货信息!$B:$B&amp;盘货信息!$C:$C,盘货信息!$F:$F)&lt;1,"",_xlfn.XLOOKUP($A446&amp;$B446&amp;$C446,盘货信息!$A:$A&amp;盘货信息!$B:$B&amp;盘货信息!$C:$C,盘货信息!$F:$F)&amp;"元明卷"))</f>
        <v/>
      </c>
      <c r="N446" s="27" t="str">
        <f t="shared" si="13"/>
        <v/>
      </c>
      <c r="O446" s="27" t="str">
        <f>IF(I446="","","【消费券链接】"&amp;固定信息!$B$6)</f>
        <v/>
      </c>
    </row>
    <row r="447" customHeight="1" spans="1:15">
      <c r="A447" s="23" t="str">
        <f>IF(盘货信息!A447="","",盘货信息!A447)</f>
        <v/>
      </c>
      <c r="B447" s="26" t="str">
        <f>IF(盘货信息!B447="","",盘货信息!B447)</f>
        <v/>
      </c>
      <c r="C447" s="23" t="str">
        <f>IF(盘货信息!C447="","",盘货信息!C447)</f>
        <v/>
      </c>
      <c r="D447" s="27" t="str">
        <f t="shared" si="12"/>
        <v/>
      </c>
      <c r="E447" s="27" t="str" cm="1">
        <f t="array" ref="E447">IF($C447="","",IF(AND(OR(_xlfn.XLOOKUP($A447&amp;$B447&amp;$C447,盘货信息!$A:$A&amp;盘货信息!$B:$B&amp;盘货信息!$C:$C,盘货信息!$L:$L)="否",_xlfn.XLOOKUP($A447&amp;$B447&amp;$C447,盘货信息!$A:$A&amp;盘货信息!$B:$B&amp;盘货信息!$C:$C,盘货信息!$L:$L)=""),_xlfn.XLOOKUP($A447&amp;$B447&amp;$C447,盘货信息!$A:$A&amp;盘货信息!$B:$B&amp;盘货信息!$C:$C,盘货信息!$M:$M)="否"),"【预估到手价"&amp;_xlfn.XLOOKUP($A447&amp;$B447&amp;$C447,盘货信息!$A:$A&amp;盘货信息!$B:$B&amp;盘货信息!$C:$C,盘货信息!$D:$D)&amp;"元】",IF(AND(_xlfn.XLOOKUP($A447&amp;$B447&amp;$C447,盘货信息!$A:$A&amp;盘货信息!$B:$B&amp;盘货信息!$C:$C,盘货信息!$M:$M)="是",OR(_xlfn.XLOOKUP($A447&amp;$B447&amp;$C447,盘货信息!$A:$A&amp;盘货信息!$B:$B&amp;盘货信息!$C:$C,盘货信息!$L:$L)="否",_xlfn.XLOOKUP($A447&amp;$B447&amp;$C447,盘货信息!$A:$A&amp;盘货信息!$B:$B&amp;盘货信息!$C:$C,盘货信息!$L:$L)="")),"【预估到手价"&amp;_xlfn.XLOOKUP($A447&amp;$B447&amp;$C447,盘货信息!$A:$A&amp;盘货信息!$B:$B&amp;盘货信息!$C:$C,盘货信息!$D:$D)&amp;"元】"&amp;CHAR(10)&amp;"【焕新补贴预估价"&amp;ROUND(_xlfn.XLOOKUP($A447&amp;$B447&amp;$C447,盘货信息!$A:$A&amp;盘货信息!$B:$B&amp;盘货信息!$C:$C,盘货信息!$E:$E),0)&amp;"元】","【焕新补贴预估价"&amp;ROUND(_xlfn.XLOOKUP($A447&amp;$B447&amp;$C447,盘货信息!$A:$A&amp;盘货信息!$B:$B&amp;盘货信息!$C:$C,盘货信息!$E:$E),0)&amp;"元】")))</f>
        <v/>
      </c>
      <c r="F447" s="27" t="str" cm="1">
        <f t="array" ref="F447">IF($C447="","",_xlfn.XLOOKUP($A447&amp;$B447&amp;$C447,盘货信息!$A:$A&amp;盘货信息!$B:$B&amp;盘货信息!$C:$C,盘货信息!$D:$D)&amp;"元到手价")</f>
        <v/>
      </c>
      <c r="G447" s="27" t="str" cm="1">
        <f t="array" ref="G447">IF($C447="","",IF(_xlfn.XLOOKUP($A447&amp;$B447&amp;$C447,盘货信息!$A:$A&amp;盘货信息!$B:$B&amp;盘货信息!$C:$C,盘货信息!$G:$G)&lt;1,"",ROUND(_xlfn.XLOOKUP($A447&amp;$B447&amp;$C447,盘货信息!$A:$A&amp;盘货信息!$B:$B&amp;盘货信息!$C:$C,盘货信息!$G:$G),0)&amp;"元88VIP立减"))</f>
        <v/>
      </c>
      <c r="H447" s="27" t="str" cm="1">
        <f t="array" ref="H447">IF($C447="","",IF(_xlfn.XLOOKUP($A447&amp;$B447&amp;$C447,盘货信息!$A:$A&amp;盘货信息!$B:$B&amp;盘货信息!$C:$C,盘货信息!$I:$I)&lt;1,"",_xlfn.XLOOKUP($A447&amp;$B447&amp;$C447,盘货信息!$A:$A&amp;盘货信息!$B:$B&amp;盘货信息!$C:$C,盘货信息!$I:$I)&amp;"元惊喜立减"))</f>
        <v/>
      </c>
      <c r="I447" s="27" t="str" cm="1">
        <f t="array" ref="I447">IF($C447="","",IF(_xlfn.XLOOKUP($A447&amp;$B447&amp;$C447,盘货信息!$A:$A&amp;盘货信息!$B:$B&amp;盘货信息!$C:$C,盘货信息!$H:$H)&lt;1,"",ROUND(_xlfn.XLOOKUP($A447&amp;$B447&amp;$C447,盘货信息!$A:$A&amp;盘货信息!$B:$B&amp;盘货信息!$C:$C,盘货信息!$H:$H),0)&amp;"元消费券"))</f>
        <v/>
      </c>
      <c r="J447" s="27" t="str" cm="1">
        <f t="array" ref="J447">IF($C447="","",IF(_xlfn.XLOOKUP($A447&amp;$B447&amp;$C447,盘货信息!$A:$A&amp;盘货信息!$B:$B&amp;盘货信息!$C:$C,盘货信息!$J:$J)&lt;1,"",ROUND(_xlfn.XLOOKUP($A447&amp;$B447&amp;$C447,盘货信息!$A:$A&amp;盘货信息!$B:$B&amp;盘货信息!$C:$C,盘货信息!$J:$J),0)&amp;"元限时补贴"))</f>
        <v/>
      </c>
      <c r="K447" s="27" t="str" cm="1">
        <f t="array" ref="K447">IF($C447="","",IF(_xlfn.XLOOKUP($A447&amp;$B447&amp;$C447,盘货信息!$A:$A&amp;盘货信息!$B:$B&amp;盘货信息!$C:$C,盘货信息!$K:$K)&lt;1,"",ROUND(_xlfn.XLOOKUP($A447&amp;$B447&amp;$C447,盘货信息!$A:$A&amp;盘货信息!$B:$B&amp;盘货信息!$C:$C,盘货信息!$K:$K),0)&amp;"元预估焕新补贴"))</f>
        <v/>
      </c>
      <c r="L447" s="27" t="str" cm="1">
        <f t="array" ref="L447">IF($C447="","",IF(AND(_xlfn.XLOOKUP($A447&amp;$B447&amp;$C447,盘货信息!$A:$A&amp;盘货信息!$B:$B&amp;盘货信息!$C:$C,盘货信息!$L:$L)="是",_xlfn.XLOOKUP($A447&amp;$B447&amp;$C447,盘货信息!$A:$A&amp;盘货信息!$B:$B&amp;盘货信息!$C:$C,盘货信息!$M:$M)="是",_xlfn.XLOOKUP($A447&amp;$B447&amp;$C447,盘货信息!$A:$A&amp;盘货信息!$B:$B&amp;盘货信息!$C:$C,盘货信息!$K:$K)&gt;0),"【全民可用，不限地址】",IF(AND(OR(_xlfn.XLOOKUP($A447&amp;$B447&amp;$C447,盘货信息!$A:$A&amp;盘货信息!$B:$B&amp;盘货信息!$C:$C,盘货信息!$L:$L)="否",_xlfn.XLOOKUP($A447&amp;$B447&amp;$C447,盘货信息!$A:$A&amp;盘货信息!$B:$B&amp;盘货信息!$C:$C,盘货信息!$L:$L)=""),_xlfn.XLOOKUP($A447&amp;$B447&amp;$C447,盘货信息!$A:$A&amp;盘货信息!$B:$B&amp;盘货信息!$C:$C,盘货信息!$M:$M)="是",_xlfn.XLOOKUP($A447&amp;$B447&amp;$C447,盘货信息!$A:$A&amp;盘货信息!$B:$B&amp;盘货信息!$C:$C,盘货信息!$K:$K)&gt;0),"【详情页领取】","")))</f>
        <v/>
      </c>
      <c r="M447" s="27" t="str" cm="1">
        <f t="array" ref="M447">IF($C447="","",IF(_xlfn.XLOOKUP($A447&amp;$B447&amp;$C447,盘货信息!$A:$A&amp;盘货信息!$B:$B&amp;盘货信息!$C:$C,盘货信息!$F:$F)&lt;1,"",_xlfn.XLOOKUP($A447&amp;$B447&amp;$C447,盘货信息!$A:$A&amp;盘货信息!$B:$B&amp;盘货信息!$C:$C,盘货信息!$F:$F)&amp;"元明卷"))</f>
        <v/>
      </c>
      <c r="N447" s="27" t="str">
        <f t="shared" si="13"/>
        <v/>
      </c>
      <c r="O447" s="27" t="str">
        <f>IF(I447="","","【消费券链接】"&amp;固定信息!$B$6)</f>
        <v/>
      </c>
    </row>
    <row r="448" customHeight="1" spans="1:15">
      <c r="A448" s="23" t="str">
        <f>IF(盘货信息!A448="","",盘货信息!A448)</f>
        <v/>
      </c>
      <c r="B448" s="26" t="str">
        <f>IF(盘货信息!B448="","",盘货信息!B448)</f>
        <v/>
      </c>
      <c r="C448" s="23" t="str">
        <f>IF(盘货信息!C448="","",盘货信息!C448)</f>
        <v/>
      </c>
      <c r="D448" s="27" t="str">
        <f t="shared" si="12"/>
        <v/>
      </c>
      <c r="E448" s="27" t="str" cm="1">
        <f t="array" ref="E448">IF($C448="","",IF(AND(OR(_xlfn.XLOOKUP($A448&amp;$B448&amp;$C448,盘货信息!$A:$A&amp;盘货信息!$B:$B&amp;盘货信息!$C:$C,盘货信息!$L:$L)="否",_xlfn.XLOOKUP($A448&amp;$B448&amp;$C448,盘货信息!$A:$A&amp;盘货信息!$B:$B&amp;盘货信息!$C:$C,盘货信息!$L:$L)=""),_xlfn.XLOOKUP($A448&amp;$B448&amp;$C448,盘货信息!$A:$A&amp;盘货信息!$B:$B&amp;盘货信息!$C:$C,盘货信息!$M:$M)="否"),"【预估到手价"&amp;_xlfn.XLOOKUP($A448&amp;$B448&amp;$C448,盘货信息!$A:$A&amp;盘货信息!$B:$B&amp;盘货信息!$C:$C,盘货信息!$D:$D)&amp;"元】",IF(AND(_xlfn.XLOOKUP($A448&amp;$B448&amp;$C448,盘货信息!$A:$A&amp;盘货信息!$B:$B&amp;盘货信息!$C:$C,盘货信息!$M:$M)="是",OR(_xlfn.XLOOKUP($A448&amp;$B448&amp;$C448,盘货信息!$A:$A&amp;盘货信息!$B:$B&amp;盘货信息!$C:$C,盘货信息!$L:$L)="否",_xlfn.XLOOKUP($A448&amp;$B448&amp;$C448,盘货信息!$A:$A&amp;盘货信息!$B:$B&amp;盘货信息!$C:$C,盘货信息!$L:$L)="")),"【预估到手价"&amp;_xlfn.XLOOKUP($A448&amp;$B448&amp;$C448,盘货信息!$A:$A&amp;盘货信息!$B:$B&amp;盘货信息!$C:$C,盘货信息!$D:$D)&amp;"元】"&amp;CHAR(10)&amp;"【焕新补贴预估价"&amp;ROUND(_xlfn.XLOOKUP($A448&amp;$B448&amp;$C448,盘货信息!$A:$A&amp;盘货信息!$B:$B&amp;盘货信息!$C:$C,盘货信息!$E:$E),0)&amp;"元】","【焕新补贴预估价"&amp;ROUND(_xlfn.XLOOKUP($A448&amp;$B448&amp;$C448,盘货信息!$A:$A&amp;盘货信息!$B:$B&amp;盘货信息!$C:$C,盘货信息!$E:$E),0)&amp;"元】")))</f>
        <v/>
      </c>
      <c r="F448" s="27" t="str" cm="1">
        <f t="array" ref="F448">IF($C448="","",_xlfn.XLOOKUP($A448&amp;$B448&amp;$C448,盘货信息!$A:$A&amp;盘货信息!$B:$B&amp;盘货信息!$C:$C,盘货信息!$D:$D)&amp;"元到手价")</f>
        <v/>
      </c>
      <c r="G448" s="27" t="str" cm="1">
        <f t="array" ref="G448">IF($C448="","",IF(_xlfn.XLOOKUP($A448&amp;$B448&amp;$C448,盘货信息!$A:$A&amp;盘货信息!$B:$B&amp;盘货信息!$C:$C,盘货信息!$G:$G)&lt;1,"",ROUND(_xlfn.XLOOKUP($A448&amp;$B448&amp;$C448,盘货信息!$A:$A&amp;盘货信息!$B:$B&amp;盘货信息!$C:$C,盘货信息!$G:$G),0)&amp;"元88VIP立减"))</f>
        <v/>
      </c>
      <c r="H448" s="27" t="str" cm="1">
        <f t="array" ref="H448">IF($C448="","",IF(_xlfn.XLOOKUP($A448&amp;$B448&amp;$C448,盘货信息!$A:$A&amp;盘货信息!$B:$B&amp;盘货信息!$C:$C,盘货信息!$I:$I)&lt;1,"",_xlfn.XLOOKUP($A448&amp;$B448&amp;$C448,盘货信息!$A:$A&amp;盘货信息!$B:$B&amp;盘货信息!$C:$C,盘货信息!$I:$I)&amp;"元惊喜立减"))</f>
        <v/>
      </c>
      <c r="I448" s="27" t="str" cm="1">
        <f t="array" ref="I448">IF($C448="","",IF(_xlfn.XLOOKUP($A448&amp;$B448&amp;$C448,盘货信息!$A:$A&amp;盘货信息!$B:$B&amp;盘货信息!$C:$C,盘货信息!$H:$H)&lt;1,"",ROUND(_xlfn.XLOOKUP($A448&amp;$B448&amp;$C448,盘货信息!$A:$A&amp;盘货信息!$B:$B&amp;盘货信息!$C:$C,盘货信息!$H:$H),0)&amp;"元消费券"))</f>
        <v/>
      </c>
      <c r="J448" s="27" t="str" cm="1">
        <f t="array" ref="J448">IF($C448="","",IF(_xlfn.XLOOKUP($A448&amp;$B448&amp;$C448,盘货信息!$A:$A&amp;盘货信息!$B:$B&amp;盘货信息!$C:$C,盘货信息!$J:$J)&lt;1,"",ROUND(_xlfn.XLOOKUP($A448&amp;$B448&amp;$C448,盘货信息!$A:$A&amp;盘货信息!$B:$B&amp;盘货信息!$C:$C,盘货信息!$J:$J),0)&amp;"元限时补贴"))</f>
        <v/>
      </c>
      <c r="K448" s="27" t="str" cm="1">
        <f t="array" ref="K448">IF($C448="","",IF(_xlfn.XLOOKUP($A448&amp;$B448&amp;$C448,盘货信息!$A:$A&amp;盘货信息!$B:$B&amp;盘货信息!$C:$C,盘货信息!$K:$K)&lt;1,"",ROUND(_xlfn.XLOOKUP($A448&amp;$B448&amp;$C448,盘货信息!$A:$A&amp;盘货信息!$B:$B&amp;盘货信息!$C:$C,盘货信息!$K:$K),0)&amp;"元预估焕新补贴"))</f>
        <v/>
      </c>
      <c r="L448" s="27" t="str" cm="1">
        <f t="array" ref="L448">IF($C448="","",IF(AND(_xlfn.XLOOKUP($A448&amp;$B448&amp;$C448,盘货信息!$A:$A&amp;盘货信息!$B:$B&amp;盘货信息!$C:$C,盘货信息!$L:$L)="是",_xlfn.XLOOKUP($A448&amp;$B448&amp;$C448,盘货信息!$A:$A&amp;盘货信息!$B:$B&amp;盘货信息!$C:$C,盘货信息!$M:$M)="是",_xlfn.XLOOKUP($A448&amp;$B448&amp;$C448,盘货信息!$A:$A&amp;盘货信息!$B:$B&amp;盘货信息!$C:$C,盘货信息!$K:$K)&gt;0),"【全民可用，不限地址】",IF(AND(OR(_xlfn.XLOOKUP($A448&amp;$B448&amp;$C448,盘货信息!$A:$A&amp;盘货信息!$B:$B&amp;盘货信息!$C:$C,盘货信息!$L:$L)="否",_xlfn.XLOOKUP($A448&amp;$B448&amp;$C448,盘货信息!$A:$A&amp;盘货信息!$B:$B&amp;盘货信息!$C:$C,盘货信息!$L:$L)=""),_xlfn.XLOOKUP($A448&amp;$B448&amp;$C448,盘货信息!$A:$A&amp;盘货信息!$B:$B&amp;盘货信息!$C:$C,盘货信息!$M:$M)="是",_xlfn.XLOOKUP($A448&amp;$B448&amp;$C448,盘货信息!$A:$A&amp;盘货信息!$B:$B&amp;盘货信息!$C:$C,盘货信息!$K:$K)&gt;0),"【详情页领取】","")))</f>
        <v/>
      </c>
      <c r="M448" s="27" t="str" cm="1">
        <f t="array" ref="M448">IF($C448="","",IF(_xlfn.XLOOKUP($A448&amp;$B448&amp;$C448,盘货信息!$A:$A&amp;盘货信息!$B:$B&amp;盘货信息!$C:$C,盘货信息!$F:$F)&lt;1,"",_xlfn.XLOOKUP($A448&amp;$B448&amp;$C448,盘货信息!$A:$A&amp;盘货信息!$B:$B&amp;盘货信息!$C:$C,盘货信息!$F:$F)&amp;"元明卷"))</f>
        <v/>
      </c>
      <c r="N448" s="27" t="str">
        <f t="shared" si="13"/>
        <v/>
      </c>
      <c r="O448" s="27" t="str">
        <f>IF(I448="","","【消费券链接】"&amp;固定信息!$B$6)</f>
        <v/>
      </c>
    </row>
    <row r="449" customHeight="1" spans="1:15">
      <c r="A449" s="23" t="str">
        <f>IF(盘货信息!A449="","",盘货信息!A449)</f>
        <v/>
      </c>
      <c r="B449" s="26" t="str">
        <f>IF(盘货信息!B449="","",盘货信息!B449)</f>
        <v/>
      </c>
      <c r="C449" s="23" t="str">
        <f>IF(盘货信息!C449="","",盘货信息!C449)</f>
        <v/>
      </c>
      <c r="D449" s="27" t="str">
        <f t="shared" si="12"/>
        <v/>
      </c>
      <c r="E449" s="27" t="str" cm="1">
        <f t="array" ref="E449">IF($C449="","",IF(AND(OR(_xlfn.XLOOKUP($A449&amp;$B449&amp;$C449,盘货信息!$A:$A&amp;盘货信息!$B:$B&amp;盘货信息!$C:$C,盘货信息!$L:$L)="否",_xlfn.XLOOKUP($A449&amp;$B449&amp;$C449,盘货信息!$A:$A&amp;盘货信息!$B:$B&amp;盘货信息!$C:$C,盘货信息!$L:$L)=""),_xlfn.XLOOKUP($A449&amp;$B449&amp;$C449,盘货信息!$A:$A&amp;盘货信息!$B:$B&amp;盘货信息!$C:$C,盘货信息!$M:$M)="否"),"【预估到手价"&amp;_xlfn.XLOOKUP($A449&amp;$B449&amp;$C449,盘货信息!$A:$A&amp;盘货信息!$B:$B&amp;盘货信息!$C:$C,盘货信息!$D:$D)&amp;"元】",IF(AND(_xlfn.XLOOKUP($A449&amp;$B449&amp;$C449,盘货信息!$A:$A&amp;盘货信息!$B:$B&amp;盘货信息!$C:$C,盘货信息!$M:$M)="是",OR(_xlfn.XLOOKUP($A449&amp;$B449&amp;$C449,盘货信息!$A:$A&amp;盘货信息!$B:$B&amp;盘货信息!$C:$C,盘货信息!$L:$L)="否",_xlfn.XLOOKUP($A449&amp;$B449&amp;$C449,盘货信息!$A:$A&amp;盘货信息!$B:$B&amp;盘货信息!$C:$C,盘货信息!$L:$L)="")),"【预估到手价"&amp;_xlfn.XLOOKUP($A449&amp;$B449&amp;$C449,盘货信息!$A:$A&amp;盘货信息!$B:$B&amp;盘货信息!$C:$C,盘货信息!$D:$D)&amp;"元】"&amp;CHAR(10)&amp;"【焕新补贴预估价"&amp;ROUND(_xlfn.XLOOKUP($A449&amp;$B449&amp;$C449,盘货信息!$A:$A&amp;盘货信息!$B:$B&amp;盘货信息!$C:$C,盘货信息!$E:$E),0)&amp;"元】","【焕新补贴预估价"&amp;ROUND(_xlfn.XLOOKUP($A449&amp;$B449&amp;$C449,盘货信息!$A:$A&amp;盘货信息!$B:$B&amp;盘货信息!$C:$C,盘货信息!$E:$E),0)&amp;"元】")))</f>
        <v/>
      </c>
      <c r="F449" s="27" t="str" cm="1">
        <f t="array" ref="F449">IF($C449="","",_xlfn.XLOOKUP($A449&amp;$B449&amp;$C449,盘货信息!$A:$A&amp;盘货信息!$B:$B&amp;盘货信息!$C:$C,盘货信息!$D:$D)&amp;"元到手价")</f>
        <v/>
      </c>
      <c r="G449" s="27" t="str" cm="1">
        <f t="array" ref="G449">IF($C449="","",IF(_xlfn.XLOOKUP($A449&amp;$B449&amp;$C449,盘货信息!$A:$A&amp;盘货信息!$B:$B&amp;盘货信息!$C:$C,盘货信息!$G:$G)&lt;1,"",ROUND(_xlfn.XLOOKUP($A449&amp;$B449&amp;$C449,盘货信息!$A:$A&amp;盘货信息!$B:$B&amp;盘货信息!$C:$C,盘货信息!$G:$G),0)&amp;"元88VIP立减"))</f>
        <v/>
      </c>
      <c r="H449" s="27" t="str" cm="1">
        <f t="array" ref="H449">IF($C449="","",IF(_xlfn.XLOOKUP($A449&amp;$B449&amp;$C449,盘货信息!$A:$A&amp;盘货信息!$B:$B&amp;盘货信息!$C:$C,盘货信息!$I:$I)&lt;1,"",_xlfn.XLOOKUP($A449&amp;$B449&amp;$C449,盘货信息!$A:$A&amp;盘货信息!$B:$B&amp;盘货信息!$C:$C,盘货信息!$I:$I)&amp;"元惊喜立减"))</f>
        <v/>
      </c>
      <c r="I449" s="27" t="str" cm="1">
        <f t="array" ref="I449">IF($C449="","",IF(_xlfn.XLOOKUP($A449&amp;$B449&amp;$C449,盘货信息!$A:$A&amp;盘货信息!$B:$B&amp;盘货信息!$C:$C,盘货信息!$H:$H)&lt;1,"",ROUND(_xlfn.XLOOKUP($A449&amp;$B449&amp;$C449,盘货信息!$A:$A&amp;盘货信息!$B:$B&amp;盘货信息!$C:$C,盘货信息!$H:$H),0)&amp;"元消费券"))</f>
        <v/>
      </c>
      <c r="J449" s="27" t="str" cm="1">
        <f t="array" ref="J449">IF($C449="","",IF(_xlfn.XLOOKUP($A449&amp;$B449&amp;$C449,盘货信息!$A:$A&amp;盘货信息!$B:$B&amp;盘货信息!$C:$C,盘货信息!$J:$J)&lt;1,"",ROUND(_xlfn.XLOOKUP($A449&amp;$B449&amp;$C449,盘货信息!$A:$A&amp;盘货信息!$B:$B&amp;盘货信息!$C:$C,盘货信息!$J:$J),0)&amp;"元限时补贴"))</f>
        <v/>
      </c>
      <c r="K449" s="27" t="str" cm="1">
        <f t="array" ref="K449">IF($C449="","",IF(_xlfn.XLOOKUP($A449&amp;$B449&amp;$C449,盘货信息!$A:$A&amp;盘货信息!$B:$B&amp;盘货信息!$C:$C,盘货信息!$K:$K)&lt;1,"",ROUND(_xlfn.XLOOKUP($A449&amp;$B449&amp;$C449,盘货信息!$A:$A&amp;盘货信息!$B:$B&amp;盘货信息!$C:$C,盘货信息!$K:$K),0)&amp;"元预估焕新补贴"))</f>
        <v/>
      </c>
      <c r="L449" s="27" t="str" cm="1">
        <f t="array" ref="L449">IF($C449="","",IF(AND(_xlfn.XLOOKUP($A449&amp;$B449&amp;$C449,盘货信息!$A:$A&amp;盘货信息!$B:$B&amp;盘货信息!$C:$C,盘货信息!$L:$L)="是",_xlfn.XLOOKUP($A449&amp;$B449&amp;$C449,盘货信息!$A:$A&amp;盘货信息!$B:$B&amp;盘货信息!$C:$C,盘货信息!$M:$M)="是",_xlfn.XLOOKUP($A449&amp;$B449&amp;$C449,盘货信息!$A:$A&amp;盘货信息!$B:$B&amp;盘货信息!$C:$C,盘货信息!$K:$K)&gt;0),"【全民可用，不限地址】",IF(AND(OR(_xlfn.XLOOKUP($A449&amp;$B449&amp;$C449,盘货信息!$A:$A&amp;盘货信息!$B:$B&amp;盘货信息!$C:$C,盘货信息!$L:$L)="否",_xlfn.XLOOKUP($A449&amp;$B449&amp;$C449,盘货信息!$A:$A&amp;盘货信息!$B:$B&amp;盘货信息!$C:$C,盘货信息!$L:$L)=""),_xlfn.XLOOKUP($A449&amp;$B449&amp;$C449,盘货信息!$A:$A&amp;盘货信息!$B:$B&amp;盘货信息!$C:$C,盘货信息!$M:$M)="是",_xlfn.XLOOKUP($A449&amp;$B449&amp;$C449,盘货信息!$A:$A&amp;盘货信息!$B:$B&amp;盘货信息!$C:$C,盘货信息!$K:$K)&gt;0),"【详情页领取】","")))</f>
        <v/>
      </c>
      <c r="M449" s="27" t="str" cm="1">
        <f t="array" ref="M449">IF($C449="","",IF(_xlfn.XLOOKUP($A449&amp;$B449&amp;$C449,盘货信息!$A:$A&amp;盘货信息!$B:$B&amp;盘货信息!$C:$C,盘货信息!$F:$F)&lt;1,"",_xlfn.XLOOKUP($A449&amp;$B449&amp;$C449,盘货信息!$A:$A&amp;盘货信息!$B:$B&amp;盘货信息!$C:$C,盘货信息!$F:$F)&amp;"元明卷"))</f>
        <v/>
      </c>
      <c r="N449" s="27" t="str">
        <f t="shared" si="13"/>
        <v/>
      </c>
      <c r="O449" s="27" t="str">
        <f>IF(I449="","","【消费券链接】"&amp;固定信息!$B$6)</f>
        <v/>
      </c>
    </row>
    <row r="450" customHeight="1" spans="1:15">
      <c r="A450" s="23" t="str">
        <f>IF(盘货信息!A450="","",盘货信息!A450)</f>
        <v/>
      </c>
      <c r="B450" s="26" t="str">
        <f>IF(盘货信息!B450="","",盘货信息!B450)</f>
        <v/>
      </c>
      <c r="C450" s="23" t="str">
        <f>IF(盘货信息!C450="","",盘货信息!C450)</f>
        <v/>
      </c>
      <c r="D450" s="27" t="str">
        <f t="shared" si="12"/>
        <v/>
      </c>
      <c r="E450" s="27" t="str" cm="1">
        <f t="array" ref="E450">IF($C450="","",IF(AND(OR(_xlfn.XLOOKUP($A450&amp;$B450&amp;$C450,盘货信息!$A:$A&amp;盘货信息!$B:$B&amp;盘货信息!$C:$C,盘货信息!$L:$L)="否",_xlfn.XLOOKUP($A450&amp;$B450&amp;$C450,盘货信息!$A:$A&amp;盘货信息!$B:$B&amp;盘货信息!$C:$C,盘货信息!$L:$L)=""),_xlfn.XLOOKUP($A450&amp;$B450&amp;$C450,盘货信息!$A:$A&amp;盘货信息!$B:$B&amp;盘货信息!$C:$C,盘货信息!$M:$M)="否"),"【预估到手价"&amp;_xlfn.XLOOKUP($A450&amp;$B450&amp;$C450,盘货信息!$A:$A&amp;盘货信息!$B:$B&amp;盘货信息!$C:$C,盘货信息!$D:$D)&amp;"元】",IF(AND(_xlfn.XLOOKUP($A450&amp;$B450&amp;$C450,盘货信息!$A:$A&amp;盘货信息!$B:$B&amp;盘货信息!$C:$C,盘货信息!$M:$M)="是",OR(_xlfn.XLOOKUP($A450&amp;$B450&amp;$C450,盘货信息!$A:$A&amp;盘货信息!$B:$B&amp;盘货信息!$C:$C,盘货信息!$L:$L)="否",_xlfn.XLOOKUP($A450&amp;$B450&amp;$C450,盘货信息!$A:$A&amp;盘货信息!$B:$B&amp;盘货信息!$C:$C,盘货信息!$L:$L)="")),"【预估到手价"&amp;_xlfn.XLOOKUP($A450&amp;$B450&amp;$C450,盘货信息!$A:$A&amp;盘货信息!$B:$B&amp;盘货信息!$C:$C,盘货信息!$D:$D)&amp;"元】"&amp;CHAR(10)&amp;"【焕新补贴预估价"&amp;ROUND(_xlfn.XLOOKUP($A450&amp;$B450&amp;$C450,盘货信息!$A:$A&amp;盘货信息!$B:$B&amp;盘货信息!$C:$C,盘货信息!$E:$E),0)&amp;"元】","【焕新补贴预估价"&amp;ROUND(_xlfn.XLOOKUP($A450&amp;$B450&amp;$C450,盘货信息!$A:$A&amp;盘货信息!$B:$B&amp;盘货信息!$C:$C,盘货信息!$E:$E),0)&amp;"元】")))</f>
        <v/>
      </c>
      <c r="F450" s="27" t="str" cm="1">
        <f t="array" ref="F450">IF($C450="","",_xlfn.XLOOKUP($A450&amp;$B450&amp;$C450,盘货信息!$A:$A&amp;盘货信息!$B:$B&amp;盘货信息!$C:$C,盘货信息!$D:$D)&amp;"元到手价")</f>
        <v/>
      </c>
      <c r="G450" s="27" t="str" cm="1">
        <f t="array" ref="G450">IF($C450="","",IF(_xlfn.XLOOKUP($A450&amp;$B450&amp;$C450,盘货信息!$A:$A&amp;盘货信息!$B:$B&amp;盘货信息!$C:$C,盘货信息!$G:$G)&lt;1,"",ROUND(_xlfn.XLOOKUP($A450&amp;$B450&amp;$C450,盘货信息!$A:$A&amp;盘货信息!$B:$B&amp;盘货信息!$C:$C,盘货信息!$G:$G),0)&amp;"元88VIP立减"))</f>
        <v/>
      </c>
      <c r="H450" s="27" t="str" cm="1">
        <f t="array" ref="H450">IF($C450="","",IF(_xlfn.XLOOKUP($A450&amp;$B450&amp;$C450,盘货信息!$A:$A&amp;盘货信息!$B:$B&amp;盘货信息!$C:$C,盘货信息!$I:$I)&lt;1,"",_xlfn.XLOOKUP($A450&amp;$B450&amp;$C450,盘货信息!$A:$A&amp;盘货信息!$B:$B&amp;盘货信息!$C:$C,盘货信息!$I:$I)&amp;"元惊喜立减"))</f>
        <v/>
      </c>
      <c r="I450" s="27" t="str" cm="1">
        <f t="array" ref="I450">IF($C450="","",IF(_xlfn.XLOOKUP($A450&amp;$B450&amp;$C450,盘货信息!$A:$A&amp;盘货信息!$B:$B&amp;盘货信息!$C:$C,盘货信息!$H:$H)&lt;1,"",ROUND(_xlfn.XLOOKUP($A450&amp;$B450&amp;$C450,盘货信息!$A:$A&amp;盘货信息!$B:$B&amp;盘货信息!$C:$C,盘货信息!$H:$H),0)&amp;"元消费券"))</f>
        <v/>
      </c>
      <c r="J450" s="27" t="str" cm="1">
        <f t="array" ref="J450">IF($C450="","",IF(_xlfn.XLOOKUP($A450&amp;$B450&amp;$C450,盘货信息!$A:$A&amp;盘货信息!$B:$B&amp;盘货信息!$C:$C,盘货信息!$J:$J)&lt;1,"",ROUND(_xlfn.XLOOKUP($A450&amp;$B450&amp;$C450,盘货信息!$A:$A&amp;盘货信息!$B:$B&amp;盘货信息!$C:$C,盘货信息!$J:$J),0)&amp;"元限时补贴"))</f>
        <v/>
      </c>
      <c r="K450" s="27" t="str" cm="1">
        <f t="array" ref="K450">IF($C450="","",IF(_xlfn.XLOOKUP($A450&amp;$B450&amp;$C450,盘货信息!$A:$A&amp;盘货信息!$B:$B&amp;盘货信息!$C:$C,盘货信息!$K:$K)&lt;1,"",ROUND(_xlfn.XLOOKUP($A450&amp;$B450&amp;$C450,盘货信息!$A:$A&amp;盘货信息!$B:$B&amp;盘货信息!$C:$C,盘货信息!$K:$K),0)&amp;"元预估焕新补贴"))</f>
        <v/>
      </c>
      <c r="L450" s="27" t="str" cm="1">
        <f t="array" ref="L450">IF($C450="","",IF(AND(_xlfn.XLOOKUP($A450&amp;$B450&amp;$C450,盘货信息!$A:$A&amp;盘货信息!$B:$B&amp;盘货信息!$C:$C,盘货信息!$L:$L)="是",_xlfn.XLOOKUP($A450&amp;$B450&amp;$C450,盘货信息!$A:$A&amp;盘货信息!$B:$B&amp;盘货信息!$C:$C,盘货信息!$M:$M)="是",_xlfn.XLOOKUP($A450&amp;$B450&amp;$C450,盘货信息!$A:$A&amp;盘货信息!$B:$B&amp;盘货信息!$C:$C,盘货信息!$K:$K)&gt;0),"【全民可用，不限地址】",IF(AND(OR(_xlfn.XLOOKUP($A450&amp;$B450&amp;$C450,盘货信息!$A:$A&amp;盘货信息!$B:$B&amp;盘货信息!$C:$C,盘货信息!$L:$L)="否",_xlfn.XLOOKUP($A450&amp;$B450&amp;$C450,盘货信息!$A:$A&amp;盘货信息!$B:$B&amp;盘货信息!$C:$C,盘货信息!$L:$L)=""),_xlfn.XLOOKUP($A450&amp;$B450&amp;$C450,盘货信息!$A:$A&amp;盘货信息!$B:$B&amp;盘货信息!$C:$C,盘货信息!$M:$M)="是",_xlfn.XLOOKUP($A450&amp;$B450&amp;$C450,盘货信息!$A:$A&amp;盘货信息!$B:$B&amp;盘货信息!$C:$C,盘货信息!$K:$K)&gt;0),"【详情页领取】","")))</f>
        <v/>
      </c>
      <c r="M450" s="27" t="str" cm="1">
        <f t="array" ref="M450">IF($C450="","",IF(_xlfn.XLOOKUP($A450&amp;$B450&amp;$C450,盘货信息!$A:$A&amp;盘货信息!$B:$B&amp;盘货信息!$C:$C,盘货信息!$F:$F)&lt;1,"",_xlfn.XLOOKUP($A450&amp;$B450&amp;$C450,盘货信息!$A:$A&amp;盘货信息!$B:$B&amp;盘货信息!$C:$C,盘货信息!$F:$F)&amp;"元明卷"))</f>
        <v/>
      </c>
      <c r="N450" s="27" t="str">
        <f t="shared" si="13"/>
        <v/>
      </c>
      <c r="O450" s="27" t="str">
        <f>IF(I450="","","【消费券链接】"&amp;固定信息!$B$6)</f>
        <v/>
      </c>
    </row>
    <row r="451" customHeight="1" spans="1:15">
      <c r="A451" s="23" t="str">
        <f>IF(盘货信息!A451="","",盘货信息!A451)</f>
        <v/>
      </c>
      <c r="B451" s="26" t="str">
        <f>IF(盘货信息!B451="","",盘货信息!B451)</f>
        <v/>
      </c>
      <c r="C451" s="23" t="str">
        <f>IF(盘货信息!C451="","",盘货信息!C451)</f>
        <v/>
      </c>
      <c r="D451" s="27" t="str">
        <f t="shared" ref="D451:D501" si="14">IF($C451="","",_xlfn.TEXTJOIN(CHAR(10),TRUE,N451:O451))</f>
        <v/>
      </c>
      <c r="E451" s="27" t="str" cm="1">
        <f t="array" ref="E451">IF($C451="","",IF(AND(OR(_xlfn.XLOOKUP($A451&amp;$B451&amp;$C451,盘货信息!$A:$A&amp;盘货信息!$B:$B&amp;盘货信息!$C:$C,盘货信息!$L:$L)="否",_xlfn.XLOOKUP($A451&amp;$B451&amp;$C451,盘货信息!$A:$A&amp;盘货信息!$B:$B&amp;盘货信息!$C:$C,盘货信息!$L:$L)=""),_xlfn.XLOOKUP($A451&amp;$B451&amp;$C451,盘货信息!$A:$A&amp;盘货信息!$B:$B&amp;盘货信息!$C:$C,盘货信息!$M:$M)="否"),"【预估到手价"&amp;_xlfn.XLOOKUP($A451&amp;$B451&amp;$C451,盘货信息!$A:$A&amp;盘货信息!$B:$B&amp;盘货信息!$C:$C,盘货信息!$D:$D)&amp;"元】",IF(AND(_xlfn.XLOOKUP($A451&amp;$B451&amp;$C451,盘货信息!$A:$A&amp;盘货信息!$B:$B&amp;盘货信息!$C:$C,盘货信息!$M:$M)="是",OR(_xlfn.XLOOKUP($A451&amp;$B451&amp;$C451,盘货信息!$A:$A&amp;盘货信息!$B:$B&amp;盘货信息!$C:$C,盘货信息!$L:$L)="否",_xlfn.XLOOKUP($A451&amp;$B451&amp;$C451,盘货信息!$A:$A&amp;盘货信息!$B:$B&amp;盘货信息!$C:$C,盘货信息!$L:$L)="")),"【预估到手价"&amp;_xlfn.XLOOKUP($A451&amp;$B451&amp;$C451,盘货信息!$A:$A&amp;盘货信息!$B:$B&amp;盘货信息!$C:$C,盘货信息!$D:$D)&amp;"元】"&amp;CHAR(10)&amp;"【焕新补贴预估价"&amp;ROUND(_xlfn.XLOOKUP($A451&amp;$B451&amp;$C451,盘货信息!$A:$A&amp;盘货信息!$B:$B&amp;盘货信息!$C:$C,盘货信息!$E:$E),0)&amp;"元】","【焕新补贴预估价"&amp;ROUND(_xlfn.XLOOKUP($A451&amp;$B451&amp;$C451,盘货信息!$A:$A&amp;盘货信息!$B:$B&amp;盘货信息!$C:$C,盘货信息!$E:$E),0)&amp;"元】")))</f>
        <v/>
      </c>
      <c r="F451" s="27" t="str" cm="1">
        <f t="array" ref="F451">IF($C451="","",_xlfn.XLOOKUP($A451&amp;$B451&amp;$C451,盘货信息!$A:$A&amp;盘货信息!$B:$B&amp;盘货信息!$C:$C,盘货信息!$D:$D)&amp;"元到手价")</f>
        <v/>
      </c>
      <c r="G451" s="27" t="str" cm="1">
        <f t="array" ref="G451">IF($C451="","",IF(_xlfn.XLOOKUP($A451&amp;$B451&amp;$C451,盘货信息!$A:$A&amp;盘货信息!$B:$B&amp;盘货信息!$C:$C,盘货信息!$G:$G)&lt;1,"",ROUND(_xlfn.XLOOKUP($A451&amp;$B451&amp;$C451,盘货信息!$A:$A&amp;盘货信息!$B:$B&amp;盘货信息!$C:$C,盘货信息!$G:$G),0)&amp;"元88VIP立减"))</f>
        <v/>
      </c>
      <c r="H451" s="27" t="str" cm="1">
        <f t="array" ref="H451">IF($C451="","",IF(_xlfn.XLOOKUP($A451&amp;$B451&amp;$C451,盘货信息!$A:$A&amp;盘货信息!$B:$B&amp;盘货信息!$C:$C,盘货信息!$I:$I)&lt;1,"",_xlfn.XLOOKUP($A451&amp;$B451&amp;$C451,盘货信息!$A:$A&amp;盘货信息!$B:$B&amp;盘货信息!$C:$C,盘货信息!$I:$I)&amp;"元惊喜立减"))</f>
        <v/>
      </c>
      <c r="I451" s="27" t="str" cm="1">
        <f t="array" ref="I451">IF($C451="","",IF(_xlfn.XLOOKUP($A451&amp;$B451&amp;$C451,盘货信息!$A:$A&amp;盘货信息!$B:$B&amp;盘货信息!$C:$C,盘货信息!$H:$H)&lt;1,"",ROUND(_xlfn.XLOOKUP($A451&amp;$B451&amp;$C451,盘货信息!$A:$A&amp;盘货信息!$B:$B&amp;盘货信息!$C:$C,盘货信息!$H:$H),0)&amp;"元消费券"))</f>
        <v/>
      </c>
      <c r="J451" s="27" t="str" cm="1">
        <f t="array" ref="J451">IF($C451="","",IF(_xlfn.XLOOKUP($A451&amp;$B451&amp;$C451,盘货信息!$A:$A&amp;盘货信息!$B:$B&amp;盘货信息!$C:$C,盘货信息!$J:$J)&lt;1,"",ROUND(_xlfn.XLOOKUP($A451&amp;$B451&amp;$C451,盘货信息!$A:$A&amp;盘货信息!$B:$B&amp;盘货信息!$C:$C,盘货信息!$J:$J),0)&amp;"元限时补贴"))</f>
        <v/>
      </c>
      <c r="K451" s="27" t="str" cm="1">
        <f t="array" ref="K451">IF($C451="","",IF(_xlfn.XLOOKUP($A451&amp;$B451&amp;$C451,盘货信息!$A:$A&amp;盘货信息!$B:$B&amp;盘货信息!$C:$C,盘货信息!$K:$K)&lt;1,"",ROUND(_xlfn.XLOOKUP($A451&amp;$B451&amp;$C451,盘货信息!$A:$A&amp;盘货信息!$B:$B&amp;盘货信息!$C:$C,盘货信息!$K:$K),0)&amp;"元预估焕新补贴"))</f>
        <v/>
      </c>
      <c r="L451" s="27" t="str" cm="1">
        <f t="array" ref="L451">IF($C451="","",IF(AND(_xlfn.XLOOKUP($A451&amp;$B451&amp;$C451,盘货信息!$A:$A&amp;盘货信息!$B:$B&amp;盘货信息!$C:$C,盘货信息!$L:$L)="是",_xlfn.XLOOKUP($A451&amp;$B451&amp;$C451,盘货信息!$A:$A&amp;盘货信息!$B:$B&amp;盘货信息!$C:$C,盘货信息!$M:$M)="是",_xlfn.XLOOKUP($A451&amp;$B451&amp;$C451,盘货信息!$A:$A&amp;盘货信息!$B:$B&amp;盘货信息!$C:$C,盘货信息!$K:$K)&gt;0),"【全民可用，不限地址】",IF(AND(OR(_xlfn.XLOOKUP($A451&amp;$B451&amp;$C451,盘货信息!$A:$A&amp;盘货信息!$B:$B&amp;盘货信息!$C:$C,盘货信息!$L:$L)="否",_xlfn.XLOOKUP($A451&amp;$B451&amp;$C451,盘货信息!$A:$A&amp;盘货信息!$B:$B&amp;盘货信息!$C:$C,盘货信息!$L:$L)=""),_xlfn.XLOOKUP($A451&amp;$B451&amp;$C451,盘货信息!$A:$A&amp;盘货信息!$B:$B&amp;盘货信息!$C:$C,盘货信息!$M:$M)="是",_xlfn.XLOOKUP($A451&amp;$B451&amp;$C451,盘货信息!$A:$A&amp;盘货信息!$B:$B&amp;盘货信息!$C:$C,盘货信息!$K:$K)&gt;0),"【详情页领取】","")))</f>
        <v/>
      </c>
      <c r="M451" s="27" t="str" cm="1">
        <f t="array" ref="M451">IF($C451="","",IF(_xlfn.XLOOKUP($A451&amp;$B451&amp;$C451,盘货信息!$A:$A&amp;盘货信息!$B:$B&amp;盘货信息!$C:$C,盘货信息!$F:$F)&lt;1,"",_xlfn.XLOOKUP($A451&amp;$B451&amp;$C451,盘货信息!$A:$A&amp;盘货信息!$B:$B&amp;盘货信息!$C:$C,盘货信息!$F:$F)&amp;"元明卷"))</f>
        <v/>
      </c>
      <c r="N451" s="27" t="str">
        <f t="shared" ref="N451:N501" si="15">IF(C451="","",E451&amp;"="&amp;F451&amp;IF(G451="","","-"&amp;G451)&amp;IF(H451="","","-"&amp;H451)&amp;IF(I451="","","-"&amp;I451)&amp;IF(J451="","","-"&amp;J451)&amp;IF(K451="","","-"&amp;K451&amp;L451))</f>
        <v/>
      </c>
      <c r="O451" s="27" t="str">
        <f>IF(I451="","","【消费券链接】"&amp;固定信息!$B$6)</f>
        <v/>
      </c>
    </row>
    <row r="452" customHeight="1" spans="1:15">
      <c r="A452" s="23" t="str">
        <f>IF(盘货信息!A452="","",盘货信息!A452)</f>
        <v/>
      </c>
      <c r="B452" s="26" t="str">
        <f>IF(盘货信息!B452="","",盘货信息!B452)</f>
        <v/>
      </c>
      <c r="C452" s="23" t="str">
        <f>IF(盘货信息!C452="","",盘货信息!C452)</f>
        <v/>
      </c>
      <c r="D452" s="27" t="str">
        <f t="shared" si="14"/>
        <v/>
      </c>
      <c r="E452" s="27" t="str" cm="1">
        <f t="array" ref="E452">IF($C452="","",IF(AND(OR(_xlfn.XLOOKUP($A452&amp;$B452&amp;$C452,盘货信息!$A:$A&amp;盘货信息!$B:$B&amp;盘货信息!$C:$C,盘货信息!$L:$L)="否",_xlfn.XLOOKUP($A452&amp;$B452&amp;$C452,盘货信息!$A:$A&amp;盘货信息!$B:$B&amp;盘货信息!$C:$C,盘货信息!$L:$L)=""),_xlfn.XLOOKUP($A452&amp;$B452&amp;$C452,盘货信息!$A:$A&amp;盘货信息!$B:$B&amp;盘货信息!$C:$C,盘货信息!$M:$M)="否"),"【预估到手价"&amp;_xlfn.XLOOKUP($A452&amp;$B452&amp;$C452,盘货信息!$A:$A&amp;盘货信息!$B:$B&amp;盘货信息!$C:$C,盘货信息!$D:$D)&amp;"元】",IF(AND(_xlfn.XLOOKUP($A452&amp;$B452&amp;$C452,盘货信息!$A:$A&amp;盘货信息!$B:$B&amp;盘货信息!$C:$C,盘货信息!$M:$M)="是",OR(_xlfn.XLOOKUP($A452&amp;$B452&amp;$C452,盘货信息!$A:$A&amp;盘货信息!$B:$B&amp;盘货信息!$C:$C,盘货信息!$L:$L)="否",_xlfn.XLOOKUP($A452&amp;$B452&amp;$C452,盘货信息!$A:$A&amp;盘货信息!$B:$B&amp;盘货信息!$C:$C,盘货信息!$L:$L)="")),"【预估到手价"&amp;_xlfn.XLOOKUP($A452&amp;$B452&amp;$C452,盘货信息!$A:$A&amp;盘货信息!$B:$B&amp;盘货信息!$C:$C,盘货信息!$D:$D)&amp;"元】"&amp;CHAR(10)&amp;"【焕新补贴预估价"&amp;ROUND(_xlfn.XLOOKUP($A452&amp;$B452&amp;$C452,盘货信息!$A:$A&amp;盘货信息!$B:$B&amp;盘货信息!$C:$C,盘货信息!$E:$E),0)&amp;"元】","【焕新补贴预估价"&amp;ROUND(_xlfn.XLOOKUP($A452&amp;$B452&amp;$C452,盘货信息!$A:$A&amp;盘货信息!$B:$B&amp;盘货信息!$C:$C,盘货信息!$E:$E),0)&amp;"元】")))</f>
        <v/>
      </c>
      <c r="F452" s="27" t="str" cm="1">
        <f t="array" ref="F452">IF($C452="","",_xlfn.XLOOKUP($A452&amp;$B452&amp;$C452,盘货信息!$A:$A&amp;盘货信息!$B:$B&amp;盘货信息!$C:$C,盘货信息!$D:$D)&amp;"元到手价")</f>
        <v/>
      </c>
      <c r="G452" s="27" t="str" cm="1">
        <f t="array" ref="G452">IF($C452="","",IF(_xlfn.XLOOKUP($A452&amp;$B452&amp;$C452,盘货信息!$A:$A&amp;盘货信息!$B:$B&amp;盘货信息!$C:$C,盘货信息!$G:$G)&lt;1,"",ROUND(_xlfn.XLOOKUP($A452&amp;$B452&amp;$C452,盘货信息!$A:$A&amp;盘货信息!$B:$B&amp;盘货信息!$C:$C,盘货信息!$G:$G),0)&amp;"元88VIP立减"))</f>
        <v/>
      </c>
      <c r="H452" s="27" t="str" cm="1">
        <f t="array" ref="H452">IF($C452="","",IF(_xlfn.XLOOKUP($A452&amp;$B452&amp;$C452,盘货信息!$A:$A&amp;盘货信息!$B:$B&amp;盘货信息!$C:$C,盘货信息!$I:$I)&lt;1,"",_xlfn.XLOOKUP($A452&amp;$B452&amp;$C452,盘货信息!$A:$A&amp;盘货信息!$B:$B&amp;盘货信息!$C:$C,盘货信息!$I:$I)&amp;"元惊喜立减"))</f>
        <v/>
      </c>
      <c r="I452" s="27" t="str" cm="1">
        <f t="array" ref="I452">IF($C452="","",IF(_xlfn.XLOOKUP($A452&amp;$B452&amp;$C452,盘货信息!$A:$A&amp;盘货信息!$B:$B&amp;盘货信息!$C:$C,盘货信息!$H:$H)&lt;1,"",ROUND(_xlfn.XLOOKUP($A452&amp;$B452&amp;$C452,盘货信息!$A:$A&amp;盘货信息!$B:$B&amp;盘货信息!$C:$C,盘货信息!$H:$H),0)&amp;"元消费券"))</f>
        <v/>
      </c>
      <c r="J452" s="27" t="str" cm="1">
        <f t="array" ref="J452">IF($C452="","",IF(_xlfn.XLOOKUP($A452&amp;$B452&amp;$C452,盘货信息!$A:$A&amp;盘货信息!$B:$B&amp;盘货信息!$C:$C,盘货信息!$J:$J)&lt;1,"",ROUND(_xlfn.XLOOKUP($A452&amp;$B452&amp;$C452,盘货信息!$A:$A&amp;盘货信息!$B:$B&amp;盘货信息!$C:$C,盘货信息!$J:$J),0)&amp;"元限时补贴"))</f>
        <v/>
      </c>
      <c r="K452" s="27" t="str" cm="1">
        <f t="array" ref="K452">IF($C452="","",IF(_xlfn.XLOOKUP($A452&amp;$B452&amp;$C452,盘货信息!$A:$A&amp;盘货信息!$B:$B&amp;盘货信息!$C:$C,盘货信息!$K:$K)&lt;1,"",ROUND(_xlfn.XLOOKUP($A452&amp;$B452&amp;$C452,盘货信息!$A:$A&amp;盘货信息!$B:$B&amp;盘货信息!$C:$C,盘货信息!$K:$K),0)&amp;"元预估焕新补贴"))</f>
        <v/>
      </c>
      <c r="L452" s="27" t="str" cm="1">
        <f t="array" ref="L452">IF($C452="","",IF(AND(_xlfn.XLOOKUP($A452&amp;$B452&amp;$C452,盘货信息!$A:$A&amp;盘货信息!$B:$B&amp;盘货信息!$C:$C,盘货信息!$L:$L)="是",_xlfn.XLOOKUP($A452&amp;$B452&amp;$C452,盘货信息!$A:$A&amp;盘货信息!$B:$B&amp;盘货信息!$C:$C,盘货信息!$M:$M)="是",_xlfn.XLOOKUP($A452&amp;$B452&amp;$C452,盘货信息!$A:$A&amp;盘货信息!$B:$B&amp;盘货信息!$C:$C,盘货信息!$K:$K)&gt;0),"【全民可用，不限地址】",IF(AND(OR(_xlfn.XLOOKUP($A452&amp;$B452&amp;$C452,盘货信息!$A:$A&amp;盘货信息!$B:$B&amp;盘货信息!$C:$C,盘货信息!$L:$L)="否",_xlfn.XLOOKUP($A452&amp;$B452&amp;$C452,盘货信息!$A:$A&amp;盘货信息!$B:$B&amp;盘货信息!$C:$C,盘货信息!$L:$L)=""),_xlfn.XLOOKUP($A452&amp;$B452&amp;$C452,盘货信息!$A:$A&amp;盘货信息!$B:$B&amp;盘货信息!$C:$C,盘货信息!$M:$M)="是",_xlfn.XLOOKUP($A452&amp;$B452&amp;$C452,盘货信息!$A:$A&amp;盘货信息!$B:$B&amp;盘货信息!$C:$C,盘货信息!$K:$K)&gt;0),"【详情页领取】","")))</f>
        <v/>
      </c>
      <c r="M452" s="27" t="str" cm="1">
        <f t="array" ref="M452">IF($C452="","",IF(_xlfn.XLOOKUP($A452&amp;$B452&amp;$C452,盘货信息!$A:$A&amp;盘货信息!$B:$B&amp;盘货信息!$C:$C,盘货信息!$F:$F)&lt;1,"",_xlfn.XLOOKUP($A452&amp;$B452&amp;$C452,盘货信息!$A:$A&amp;盘货信息!$B:$B&amp;盘货信息!$C:$C,盘货信息!$F:$F)&amp;"元明卷"))</f>
        <v/>
      </c>
      <c r="N452" s="27" t="str">
        <f t="shared" si="15"/>
        <v/>
      </c>
      <c r="O452" s="27" t="str">
        <f>IF(I452="","","【消费券链接】"&amp;固定信息!$B$6)</f>
        <v/>
      </c>
    </row>
    <row r="453" customHeight="1" spans="1:15">
      <c r="A453" s="23" t="str">
        <f>IF(盘货信息!A453="","",盘货信息!A453)</f>
        <v/>
      </c>
      <c r="B453" s="26" t="str">
        <f>IF(盘货信息!B453="","",盘货信息!B453)</f>
        <v/>
      </c>
      <c r="C453" s="23" t="str">
        <f>IF(盘货信息!C453="","",盘货信息!C453)</f>
        <v/>
      </c>
      <c r="D453" s="27" t="str">
        <f t="shared" si="14"/>
        <v/>
      </c>
      <c r="E453" s="27" t="str" cm="1">
        <f t="array" ref="E453">IF($C453="","",IF(AND(OR(_xlfn.XLOOKUP($A453&amp;$B453&amp;$C453,盘货信息!$A:$A&amp;盘货信息!$B:$B&amp;盘货信息!$C:$C,盘货信息!$L:$L)="否",_xlfn.XLOOKUP($A453&amp;$B453&amp;$C453,盘货信息!$A:$A&amp;盘货信息!$B:$B&amp;盘货信息!$C:$C,盘货信息!$L:$L)=""),_xlfn.XLOOKUP($A453&amp;$B453&amp;$C453,盘货信息!$A:$A&amp;盘货信息!$B:$B&amp;盘货信息!$C:$C,盘货信息!$M:$M)="否"),"【预估到手价"&amp;_xlfn.XLOOKUP($A453&amp;$B453&amp;$C453,盘货信息!$A:$A&amp;盘货信息!$B:$B&amp;盘货信息!$C:$C,盘货信息!$D:$D)&amp;"元】",IF(AND(_xlfn.XLOOKUP($A453&amp;$B453&amp;$C453,盘货信息!$A:$A&amp;盘货信息!$B:$B&amp;盘货信息!$C:$C,盘货信息!$M:$M)="是",OR(_xlfn.XLOOKUP($A453&amp;$B453&amp;$C453,盘货信息!$A:$A&amp;盘货信息!$B:$B&amp;盘货信息!$C:$C,盘货信息!$L:$L)="否",_xlfn.XLOOKUP($A453&amp;$B453&amp;$C453,盘货信息!$A:$A&amp;盘货信息!$B:$B&amp;盘货信息!$C:$C,盘货信息!$L:$L)="")),"【预估到手价"&amp;_xlfn.XLOOKUP($A453&amp;$B453&amp;$C453,盘货信息!$A:$A&amp;盘货信息!$B:$B&amp;盘货信息!$C:$C,盘货信息!$D:$D)&amp;"元】"&amp;CHAR(10)&amp;"【焕新补贴预估价"&amp;ROUND(_xlfn.XLOOKUP($A453&amp;$B453&amp;$C453,盘货信息!$A:$A&amp;盘货信息!$B:$B&amp;盘货信息!$C:$C,盘货信息!$E:$E),0)&amp;"元】","【焕新补贴预估价"&amp;ROUND(_xlfn.XLOOKUP($A453&amp;$B453&amp;$C453,盘货信息!$A:$A&amp;盘货信息!$B:$B&amp;盘货信息!$C:$C,盘货信息!$E:$E),0)&amp;"元】")))</f>
        <v/>
      </c>
      <c r="F453" s="27" t="str" cm="1">
        <f t="array" ref="F453">IF($C453="","",_xlfn.XLOOKUP($A453&amp;$B453&amp;$C453,盘货信息!$A:$A&amp;盘货信息!$B:$B&amp;盘货信息!$C:$C,盘货信息!$D:$D)&amp;"元到手价")</f>
        <v/>
      </c>
      <c r="G453" s="27" t="str" cm="1">
        <f t="array" ref="G453">IF($C453="","",IF(_xlfn.XLOOKUP($A453&amp;$B453&amp;$C453,盘货信息!$A:$A&amp;盘货信息!$B:$B&amp;盘货信息!$C:$C,盘货信息!$G:$G)&lt;1,"",ROUND(_xlfn.XLOOKUP($A453&amp;$B453&amp;$C453,盘货信息!$A:$A&amp;盘货信息!$B:$B&amp;盘货信息!$C:$C,盘货信息!$G:$G),0)&amp;"元88VIP立减"))</f>
        <v/>
      </c>
      <c r="H453" s="27" t="str" cm="1">
        <f t="array" ref="H453">IF($C453="","",IF(_xlfn.XLOOKUP($A453&amp;$B453&amp;$C453,盘货信息!$A:$A&amp;盘货信息!$B:$B&amp;盘货信息!$C:$C,盘货信息!$I:$I)&lt;1,"",_xlfn.XLOOKUP($A453&amp;$B453&amp;$C453,盘货信息!$A:$A&amp;盘货信息!$B:$B&amp;盘货信息!$C:$C,盘货信息!$I:$I)&amp;"元惊喜立减"))</f>
        <v/>
      </c>
      <c r="I453" s="27" t="str" cm="1">
        <f t="array" ref="I453">IF($C453="","",IF(_xlfn.XLOOKUP($A453&amp;$B453&amp;$C453,盘货信息!$A:$A&amp;盘货信息!$B:$B&amp;盘货信息!$C:$C,盘货信息!$H:$H)&lt;1,"",ROUND(_xlfn.XLOOKUP($A453&amp;$B453&amp;$C453,盘货信息!$A:$A&amp;盘货信息!$B:$B&amp;盘货信息!$C:$C,盘货信息!$H:$H),0)&amp;"元消费券"))</f>
        <v/>
      </c>
      <c r="J453" s="27" t="str" cm="1">
        <f t="array" ref="J453">IF($C453="","",IF(_xlfn.XLOOKUP($A453&amp;$B453&amp;$C453,盘货信息!$A:$A&amp;盘货信息!$B:$B&amp;盘货信息!$C:$C,盘货信息!$J:$J)&lt;1,"",ROUND(_xlfn.XLOOKUP($A453&amp;$B453&amp;$C453,盘货信息!$A:$A&amp;盘货信息!$B:$B&amp;盘货信息!$C:$C,盘货信息!$J:$J),0)&amp;"元限时补贴"))</f>
        <v/>
      </c>
      <c r="K453" s="27" t="str" cm="1">
        <f t="array" ref="K453">IF($C453="","",IF(_xlfn.XLOOKUP($A453&amp;$B453&amp;$C453,盘货信息!$A:$A&amp;盘货信息!$B:$B&amp;盘货信息!$C:$C,盘货信息!$K:$K)&lt;1,"",ROUND(_xlfn.XLOOKUP($A453&amp;$B453&amp;$C453,盘货信息!$A:$A&amp;盘货信息!$B:$B&amp;盘货信息!$C:$C,盘货信息!$K:$K),0)&amp;"元预估焕新补贴"))</f>
        <v/>
      </c>
      <c r="L453" s="27" t="str" cm="1">
        <f t="array" ref="L453">IF($C453="","",IF(AND(_xlfn.XLOOKUP($A453&amp;$B453&amp;$C453,盘货信息!$A:$A&amp;盘货信息!$B:$B&amp;盘货信息!$C:$C,盘货信息!$L:$L)="是",_xlfn.XLOOKUP($A453&amp;$B453&amp;$C453,盘货信息!$A:$A&amp;盘货信息!$B:$B&amp;盘货信息!$C:$C,盘货信息!$M:$M)="是",_xlfn.XLOOKUP($A453&amp;$B453&amp;$C453,盘货信息!$A:$A&amp;盘货信息!$B:$B&amp;盘货信息!$C:$C,盘货信息!$K:$K)&gt;0),"【全民可用，不限地址】",IF(AND(OR(_xlfn.XLOOKUP($A453&amp;$B453&amp;$C453,盘货信息!$A:$A&amp;盘货信息!$B:$B&amp;盘货信息!$C:$C,盘货信息!$L:$L)="否",_xlfn.XLOOKUP($A453&amp;$B453&amp;$C453,盘货信息!$A:$A&amp;盘货信息!$B:$B&amp;盘货信息!$C:$C,盘货信息!$L:$L)=""),_xlfn.XLOOKUP($A453&amp;$B453&amp;$C453,盘货信息!$A:$A&amp;盘货信息!$B:$B&amp;盘货信息!$C:$C,盘货信息!$M:$M)="是",_xlfn.XLOOKUP($A453&amp;$B453&amp;$C453,盘货信息!$A:$A&amp;盘货信息!$B:$B&amp;盘货信息!$C:$C,盘货信息!$K:$K)&gt;0),"【详情页领取】","")))</f>
        <v/>
      </c>
      <c r="M453" s="27" t="str" cm="1">
        <f t="array" ref="M453">IF($C453="","",IF(_xlfn.XLOOKUP($A453&amp;$B453&amp;$C453,盘货信息!$A:$A&amp;盘货信息!$B:$B&amp;盘货信息!$C:$C,盘货信息!$F:$F)&lt;1,"",_xlfn.XLOOKUP($A453&amp;$B453&amp;$C453,盘货信息!$A:$A&amp;盘货信息!$B:$B&amp;盘货信息!$C:$C,盘货信息!$F:$F)&amp;"元明卷"))</f>
        <v/>
      </c>
      <c r="N453" s="27" t="str">
        <f t="shared" si="15"/>
        <v/>
      </c>
      <c r="O453" s="27" t="str">
        <f>IF(I453="","","【消费券链接】"&amp;固定信息!$B$6)</f>
        <v/>
      </c>
    </row>
    <row r="454" customHeight="1" spans="1:15">
      <c r="A454" s="23" t="str">
        <f>IF(盘货信息!A454="","",盘货信息!A454)</f>
        <v/>
      </c>
      <c r="B454" s="26" t="str">
        <f>IF(盘货信息!B454="","",盘货信息!B454)</f>
        <v/>
      </c>
      <c r="C454" s="23" t="str">
        <f>IF(盘货信息!C454="","",盘货信息!C454)</f>
        <v/>
      </c>
      <c r="D454" s="27" t="str">
        <f t="shared" si="14"/>
        <v/>
      </c>
      <c r="E454" s="27" t="str" cm="1">
        <f t="array" ref="E454">IF($C454="","",IF(AND(OR(_xlfn.XLOOKUP($A454&amp;$B454&amp;$C454,盘货信息!$A:$A&amp;盘货信息!$B:$B&amp;盘货信息!$C:$C,盘货信息!$L:$L)="否",_xlfn.XLOOKUP($A454&amp;$B454&amp;$C454,盘货信息!$A:$A&amp;盘货信息!$B:$B&amp;盘货信息!$C:$C,盘货信息!$L:$L)=""),_xlfn.XLOOKUP($A454&amp;$B454&amp;$C454,盘货信息!$A:$A&amp;盘货信息!$B:$B&amp;盘货信息!$C:$C,盘货信息!$M:$M)="否"),"【预估到手价"&amp;_xlfn.XLOOKUP($A454&amp;$B454&amp;$C454,盘货信息!$A:$A&amp;盘货信息!$B:$B&amp;盘货信息!$C:$C,盘货信息!$D:$D)&amp;"元】",IF(AND(_xlfn.XLOOKUP($A454&amp;$B454&amp;$C454,盘货信息!$A:$A&amp;盘货信息!$B:$B&amp;盘货信息!$C:$C,盘货信息!$M:$M)="是",OR(_xlfn.XLOOKUP($A454&amp;$B454&amp;$C454,盘货信息!$A:$A&amp;盘货信息!$B:$B&amp;盘货信息!$C:$C,盘货信息!$L:$L)="否",_xlfn.XLOOKUP($A454&amp;$B454&amp;$C454,盘货信息!$A:$A&amp;盘货信息!$B:$B&amp;盘货信息!$C:$C,盘货信息!$L:$L)="")),"【预估到手价"&amp;_xlfn.XLOOKUP($A454&amp;$B454&amp;$C454,盘货信息!$A:$A&amp;盘货信息!$B:$B&amp;盘货信息!$C:$C,盘货信息!$D:$D)&amp;"元】"&amp;CHAR(10)&amp;"【焕新补贴预估价"&amp;ROUND(_xlfn.XLOOKUP($A454&amp;$B454&amp;$C454,盘货信息!$A:$A&amp;盘货信息!$B:$B&amp;盘货信息!$C:$C,盘货信息!$E:$E),0)&amp;"元】","【焕新补贴预估价"&amp;ROUND(_xlfn.XLOOKUP($A454&amp;$B454&amp;$C454,盘货信息!$A:$A&amp;盘货信息!$B:$B&amp;盘货信息!$C:$C,盘货信息!$E:$E),0)&amp;"元】")))</f>
        <v/>
      </c>
      <c r="F454" s="27" t="str" cm="1">
        <f t="array" ref="F454">IF($C454="","",_xlfn.XLOOKUP($A454&amp;$B454&amp;$C454,盘货信息!$A:$A&amp;盘货信息!$B:$B&amp;盘货信息!$C:$C,盘货信息!$D:$D)&amp;"元到手价")</f>
        <v/>
      </c>
      <c r="G454" s="27" t="str" cm="1">
        <f t="array" ref="G454">IF($C454="","",IF(_xlfn.XLOOKUP($A454&amp;$B454&amp;$C454,盘货信息!$A:$A&amp;盘货信息!$B:$B&amp;盘货信息!$C:$C,盘货信息!$G:$G)&lt;1,"",ROUND(_xlfn.XLOOKUP($A454&amp;$B454&amp;$C454,盘货信息!$A:$A&amp;盘货信息!$B:$B&amp;盘货信息!$C:$C,盘货信息!$G:$G),0)&amp;"元88VIP立减"))</f>
        <v/>
      </c>
      <c r="H454" s="27" t="str" cm="1">
        <f t="array" ref="H454">IF($C454="","",IF(_xlfn.XLOOKUP($A454&amp;$B454&amp;$C454,盘货信息!$A:$A&amp;盘货信息!$B:$B&amp;盘货信息!$C:$C,盘货信息!$I:$I)&lt;1,"",_xlfn.XLOOKUP($A454&amp;$B454&amp;$C454,盘货信息!$A:$A&amp;盘货信息!$B:$B&amp;盘货信息!$C:$C,盘货信息!$I:$I)&amp;"元惊喜立减"))</f>
        <v/>
      </c>
      <c r="I454" s="27" t="str" cm="1">
        <f t="array" ref="I454">IF($C454="","",IF(_xlfn.XLOOKUP($A454&amp;$B454&amp;$C454,盘货信息!$A:$A&amp;盘货信息!$B:$B&amp;盘货信息!$C:$C,盘货信息!$H:$H)&lt;1,"",ROUND(_xlfn.XLOOKUP($A454&amp;$B454&amp;$C454,盘货信息!$A:$A&amp;盘货信息!$B:$B&amp;盘货信息!$C:$C,盘货信息!$H:$H),0)&amp;"元消费券"))</f>
        <v/>
      </c>
      <c r="J454" s="27" t="str" cm="1">
        <f t="array" ref="J454">IF($C454="","",IF(_xlfn.XLOOKUP($A454&amp;$B454&amp;$C454,盘货信息!$A:$A&amp;盘货信息!$B:$B&amp;盘货信息!$C:$C,盘货信息!$J:$J)&lt;1,"",ROUND(_xlfn.XLOOKUP($A454&amp;$B454&amp;$C454,盘货信息!$A:$A&amp;盘货信息!$B:$B&amp;盘货信息!$C:$C,盘货信息!$J:$J),0)&amp;"元限时补贴"))</f>
        <v/>
      </c>
      <c r="K454" s="27" t="str" cm="1">
        <f t="array" ref="K454">IF($C454="","",IF(_xlfn.XLOOKUP($A454&amp;$B454&amp;$C454,盘货信息!$A:$A&amp;盘货信息!$B:$B&amp;盘货信息!$C:$C,盘货信息!$K:$K)&lt;1,"",ROUND(_xlfn.XLOOKUP($A454&amp;$B454&amp;$C454,盘货信息!$A:$A&amp;盘货信息!$B:$B&amp;盘货信息!$C:$C,盘货信息!$K:$K),0)&amp;"元预估焕新补贴"))</f>
        <v/>
      </c>
      <c r="L454" s="27" t="str" cm="1">
        <f t="array" ref="L454">IF($C454="","",IF(AND(_xlfn.XLOOKUP($A454&amp;$B454&amp;$C454,盘货信息!$A:$A&amp;盘货信息!$B:$B&amp;盘货信息!$C:$C,盘货信息!$L:$L)="是",_xlfn.XLOOKUP($A454&amp;$B454&amp;$C454,盘货信息!$A:$A&amp;盘货信息!$B:$B&amp;盘货信息!$C:$C,盘货信息!$M:$M)="是",_xlfn.XLOOKUP($A454&amp;$B454&amp;$C454,盘货信息!$A:$A&amp;盘货信息!$B:$B&amp;盘货信息!$C:$C,盘货信息!$K:$K)&gt;0),"【全民可用，不限地址】",IF(AND(OR(_xlfn.XLOOKUP($A454&amp;$B454&amp;$C454,盘货信息!$A:$A&amp;盘货信息!$B:$B&amp;盘货信息!$C:$C,盘货信息!$L:$L)="否",_xlfn.XLOOKUP($A454&amp;$B454&amp;$C454,盘货信息!$A:$A&amp;盘货信息!$B:$B&amp;盘货信息!$C:$C,盘货信息!$L:$L)=""),_xlfn.XLOOKUP($A454&amp;$B454&amp;$C454,盘货信息!$A:$A&amp;盘货信息!$B:$B&amp;盘货信息!$C:$C,盘货信息!$M:$M)="是",_xlfn.XLOOKUP($A454&amp;$B454&amp;$C454,盘货信息!$A:$A&amp;盘货信息!$B:$B&amp;盘货信息!$C:$C,盘货信息!$K:$K)&gt;0),"【详情页领取】","")))</f>
        <v/>
      </c>
      <c r="M454" s="27" t="str" cm="1">
        <f t="array" ref="M454">IF($C454="","",IF(_xlfn.XLOOKUP($A454&amp;$B454&amp;$C454,盘货信息!$A:$A&amp;盘货信息!$B:$B&amp;盘货信息!$C:$C,盘货信息!$F:$F)&lt;1,"",_xlfn.XLOOKUP($A454&amp;$B454&amp;$C454,盘货信息!$A:$A&amp;盘货信息!$B:$B&amp;盘货信息!$C:$C,盘货信息!$F:$F)&amp;"元明卷"))</f>
        <v/>
      </c>
      <c r="N454" s="27" t="str">
        <f t="shared" si="15"/>
        <v/>
      </c>
      <c r="O454" s="27" t="str">
        <f>IF(I454="","","【消费券链接】"&amp;固定信息!$B$6)</f>
        <v/>
      </c>
    </row>
    <row r="455" customHeight="1" spans="1:15">
      <c r="A455" s="23" t="str">
        <f>IF(盘货信息!A455="","",盘货信息!A455)</f>
        <v/>
      </c>
      <c r="B455" s="26" t="str">
        <f>IF(盘货信息!B455="","",盘货信息!B455)</f>
        <v/>
      </c>
      <c r="C455" s="23" t="str">
        <f>IF(盘货信息!C455="","",盘货信息!C455)</f>
        <v/>
      </c>
      <c r="D455" s="27" t="str">
        <f t="shared" si="14"/>
        <v/>
      </c>
      <c r="E455" s="27" t="str" cm="1">
        <f t="array" ref="E455">IF($C455="","",IF(AND(OR(_xlfn.XLOOKUP($A455&amp;$B455&amp;$C455,盘货信息!$A:$A&amp;盘货信息!$B:$B&amp;盘货信息!$C:$C,盘货信息!$L:$L)="否",_xlfn.XLOOKUP($A455&amp;$B455&amp;$C455,盘货信息!$A:$A&amp;盘货信息!$B:$B&amp;盘货信息!$C:$C,盘货信息!$L:$L)=""),_xlfn.XLOOKUP($A455&amp;$B455&amp;$C455,盘货信息!$A:$A&amp;盘货信息!$B:$B&amp;盘货信息!$C:$C,盘货信息!$M:$M)="否"),"【预估到手价"&amp;_xlfn.XLOOKUP($A455&amp;$B455&amp;$C455,盘货信息!$A:$A&amp;盘货信息!$B:$B&amp;盘货信息!$C:$C,盘货信息!$D:$D)&amp;"元】",IF(AND(_xlfn.XLOOKUP($A455&amp;$B455&amp;$C455,盘货信息!$A:$A&amp;盘货信息!$B:$B&amp;盘货信息!$C:$C,盘货信息!$M:$M)="是",OR(_xlfn.XLOOKUP($A455&amp;$B455&amp;$C455,盘货信息!$A:$A&amp;盘货信息!$B:$B&amp;盘货信息!$C:$C,盘货信息!$L:$L)="否",_xlfn.XLOOKUP($A455&amp;$B455&amp;$C455,盘货信息!$A:$A&amp;盘货信息!$B:$B&amp;盘货信息!$C:$C,盘货信息!$L:$L)="")),"【预估到手价"&amp;_xlfn.XLOOKUP($A455&amp;$B455&amp;$C455,盘货信息!$A:$A&amp;盘货信息!$B:$B&amp;盘货信息!$C:$C,盘货信息!$D:$D)&amp;"元】"&amp;CHAR(10)&amp;"【焕新补贴预估价"&amp;ROUND(_xlfn.XLOOKUP($A455&amp;$B455&amp;$C455,盘货信息!$A:$A&amp;盘货信息!$B:$B&amp;盘货信息!$C:$C,盘货信息!$E:$E),0)&amp;"元】","【焕新补贴预估价"&amp;ROUND(_xlfn.XLOOKUP($A455&amp;$B455&amp;$C455,盘货信息!$A:$A&amp;盘货信息!$B:$B&amp;盘货信息!$C:$C,盘货信息!$E:$E),0)&amp;"元】")))</f>
        <v/>
      </c>
      <c r="F455" s="27" t="str" cm="1">
        <f t="array" ref="F455">IF($C455="","",_xlfn.XLOOKUP($A455&amp;$B455&amp;$C455,盘货信息!$A:$A&amp;盘货信息!$B:$B&amp;盘货信息!$C:$C,盘货信息!$D:$D)&amp;"元到手价")</f>
        <v/>
      </c>
      <c r="G455" s="27" t="str" cm="1">
        <f t="array" ref="G455">IF($C455="","",IF(_xlfn.XLOOKUP($A455&amp;$B455&amp;$C455,盘货信息!$A:$A&amp;盘货信息!$B:$B&amp;盘货信息!$C:$C,盘货信息!$G:$G)&lt;1,"",ROUND(_xlfn.XLOOKUP($A455&amp;$B455&amp;$C455,盘货信息!$A:$A&amp;盘货信息!$B:$B&amp;盘货信息!$C:$C,盘货信息!$G:$G),0)&amp;"元88VIP立减"))</f>
        <v/>
      </c>
      <c r="H455" s="27" t="str" cm="1">
        <f t="array" ref="H455">IF($C455="","",IF(_xlfn.XLOOKUP($A455&amp;$B455&amp;$C455,盘货信息!$A:$A&amp;盘货信息!$B:$B&amp;盘货信息!$C:$C,盘货信息!$I:$I)&lt;1,"",_xlfn.XLOOKUP($A455&amp;$B455&amp;$C455,盘货信息!$A:$A&amp;盘货信息!$B:$B&amp;盘货信息!$C:$C,盘货信息!$I:$I)&amp;"元惊喜立减"))</f>
        <v/>
      </c>
      <c r="I455" s="27" t="str" cm="1">
        <f t="array" ref="I455">IF($C455="","",IF(_xlfn.XLOOKUP($A455&amp;$B455&amp;$C455,盘货信息!$A:$A&amp;盘货信息!$B:$B&amp;盘货信息!$C:$C,盘货信息!$H:$H)&lt;1,"",ROUND(_xlfn.XLOOKUP($A455&amp;$B455&amp;$C455,盘货信息!$A:$A&amp;盘货信息!$B:$B&amp;盘货信息!$C:$C,盘货信息!$H:$H),0)&amp;"元消费券"))</f>
        <v/>
      </c>
      <c r="J455" s="27" t="str" cm="1">
        <f t="array" ref="J455">IF($C455="","",IF(_xlfn.XLOOKUP($A455&amp;$B455&amp;$C455,盘货信息!$A:$A&amp;盘货信息!$B:$B&amp;盘货信息!$C:$C,盘货信息!$J:$J)&lt;1,"",ROUND(_xlfn.XLOOKUP($A455&amp;$B455&amp;$C455,盘货信息!$A:$A&amp;盘货信息!$B:$B&amp;盘货信息!$C:$C,盘货信息!$J:$J),0)&amp;"元限时补贴"))</f>
        <v/>
      </c>
      <c r="K455" s="27" t="str" cm="1">
        <f t="array" ref="K455">IF($C455="","",IF(_xlfn.XLOOKUP($A455&amp;$B455&amp;$C455,盘货信息!$A:$A&amp;盘货信息!$B:$B&amp;盘货信息!$C:$C,盘货信息!$K:$K)&lt;1,"",ROUND(_xlfn.XLOOKUP($A455&amp;$B455&amp;$C455,盘货信息!$A:$A&amp;盘货信息!$B:$B&amp;盘货信息!$C:$C,盘货信息!$K:$K),0)&amp;"元预估焕新补贴"))</f>
        <v/>
      </c>
      <c r="L455" s="27" t="str" cm="1">
        <f t="array" ref="L455">IF($C455="","",IF(AND(_xlfn.XLOOKUP($A455&amp;$B455&amp;$C455,盘货信息!$A:$A&amp;盘货信息!$B:$B&amp;盘货信息!$C:$C,盘货信息!$L:$L)="是",_xlfn.XLOOKUP($A455&amp;$B455&amp;$C455,盘货信息!$A:$A&amp;盘货信息!$B:$B&amp;盘货信息!$C:$C,盘货信息!$M:$M)="是",_xlfn.XLOOKUP($A455&amp;$B455&amp;$C455,盘货信息!$A:$A&amp;盘货信息!$B:$B&amp;盘货信息!$C:$C,盘货信息!$K:$K)&gt;0),"【全民可用，不限地址】",IF(AND(OR(_xlfn.XLOOKUP($A455&amp;$B455&amp;$C455,盘货信息!$A:$A&amp;盘货信息!$B:$B&amp;盘货信息!$C:$C,盘货信息!$L:$L)="否",_xlfn.XLOOKUP($A455&amp;$B455&amp;$C455,盘货信息!$A:$A&amp;盘货信息!$B:$B&amp;盘货信息!$C:$C,盘货信息!$L:$L)=""),_xlfn.XLOOKUP($A455&amp;$B455&amp;$C455,盘货信息!$A:$A&amp;盘货信息!$B:$B&amp;盘货信息!$C:$C,盘货信息!$M:$M)="是",_xlfn.XLOOKUP($A455&amp;$B455&amp;$C455,盘货信息!$A:$A&amp;盘货信息!$B:$B&amp;盘货信息!$C:$C,盘货信息!$K:$K)&gt;0),"【详情页领取】","")))</f>
        <v/>
      </c>
      <c r="M455" s="27" t="str" cm="1">
        <f t="array" ref="M455">IF($C455="","",IF(_xlfn.XLOOKUP($A455&amp;$B455&amp;$C455,盘货信息!$A:$A&amp;盘货信息!$B:$B&amp;盘货信息!$C:$C,盘货信息!$F:$F)&lt;1,"",_xlfn.XLOOKUP($A455&amp;$B455&amp;$C455,盘货信息!$A:$A&amp;盘货信息!$B:$B&amp;盘货信息!$C:$C,盘货信息!$F:$F)&amp;"元明卷"))</f>
        <v/>
      </c>
      <c r="N455" s="27" t="str">
        <f t="shared" si="15"/>
        <v/>
      </c>
      <c r="O455" s="27" t="str">
        <f>IF(I455="","","【消费券链接】"&amp;固定信息!$B$6)</f>
        <v/>
      </c>
    </row>
    <row r="456" customHeight="1" spans="1:15">
      <c r="A456" s="23" t="str">
        <f>IF(盘货信息!A456="","",盘货信息!A456)</f>
        <v/>
      </c>
      <c r="B456" s="26" t="str">
        <f>IF(盘货信息!B456="","",盘货信息!B456)</f>
        <v/>
      </c>
      <c r="C456" s="23" t="str">
        <f>IF(盘货信息!C456="","",盘货信息!C456)</f>
        <v/>
      </c>
      <c r="D456" s="27" t="str">
        <f t="shared" si="14"/>
        <v/>
      </c>
      <c r="E456" s="27" t="str" cm="1">
        <f t="array" ref="E456">IF($C456="","",IF(AND(OR(_xlfn.XLOOKUP($A456&amp;$B456&amp;$C456,盘货信息!$A:$A&amp;盘货信息!$B:$B&amp;盘货信息!$C:$C,盘货信息!$L:$L)="否",_xlfn.XLOOKUP($A456&amp;$B456&amp;$C456,盘货信息!$A:$A&amp;盘货信息!$B:$B&amp;盘货信息!$C:$C,盘货信息!$L:$L)=""),_xlfn.XLOOKUP($A456&amp;$B456&amp;$C456,盘货信息!$A:$A&amp;盘货信息!$B:$B&amp;盘货信息!$C:$C,盘货信息!$M:$M)="否"),"【预估到手价"&amp;_xlfn.XLOOKUP($A456&amp;$B456&amp;$C456,盘货信息!$A:$A&amp;盘货信息!$B:$B&amp;盘货信息!$C:$C,盘货信息!$D:$D)&amp;"元】",IF(AND(_xlfn.XLOOKUP($A456&amp;$B456&amp;$C456,盘货信息!$A:$A&amp;盘货信息!$B:$B&amp;盘货信息!$C:$C,盘货信息!$M:$M)="是",OR(_xlfn.XLOOKUP($A456&amp;$B456&amp;$C456,盘货信息!$A:$A&amp;盘货信息!$B:$B&amp;盘货信息!$C:$C,盘货信息!$L:$L)="否",_xlfn.XLOOKUP($A456&amp;$B456&amp;$C456,盘货信息!$A:$A&amp;盘货信息!$B:$B&amp;盘货信息!$C:$C,盘货信息!$L:$L)="")),"【预估到手价"&amp;_xlfn.XLOOKUP($A456&amp;$B456&amp;$C456,盘货信息!$A:$A&amp;盘货信息!$B:$B&amp;盘货信息!$C:$C,盘货信息!$D:$D)&amp;"元】"&amp;CHAR(10)&amp;"【焕新补贴预估价"&amp;ROUND(_xlfn.XLOOKUP($A456&amp;$B456&amp;$C456,盘货信息!$A:$A&amp;盘货信息!$B:$B&amp;盘货信息!$C:$C,盘货信息!$E:$E),0)&amp;"元】","【焕新补贴预估价"&amp;ROUND(_xlfn.XLOOKUP($A456&amp;$B456&amp;$C456,盘货信息!$A:$A&amp;盘货信息!$B:$B&amp;盘货信息!$C:$C,盘货信息!$E:$E),0)&amp;"元】")))</f>
        <v/>
      </c>
      <c r="F456" s="27" t="str" cm="1">
        <f t="array" ref="F456">IF($C456="","",_xlfn.XLOOKUP($A456&amp;$B456&amp;$C456,盘货信息!$A:$A&amp;盘货信息!$B:$B&amp;盘货信息!$C:$C,盘货信息!$D:$D)&amp;"元到手价")</f>
        <v/>
      </c>
      <c r="G456" s="27" t="str" cm="1">
        <f t="array" ref="G456">IF($C456="","",IF(_xlfn.XLOOKUP($A456&amp;$B456&amp;$C456,盘货信息!$A:$A&amp;盘货信息!$B:$B&amp;盘货信息!$C:$C,盘货信息!$G:$G)&lt;1,"",ROUND(_xlfn.XLOOKUP($A456&amp;$B456&amp;$C456,盘货信息!$A:$A&amp;盘货信息!$B:$B&amp;盘货信息!$C:$C,盘货信息!$G:$G),0)&amp;"元88VIP立减"))</f>
        <v/>
      </c>
      <c r="H456" s="27" t="str" cm="1">
        <f t="array" ref="H456">IF($C456="","",IF(_xlfn.XLOOKUP($A456&amp;$B456&amp;$C456,盘货信息!$A:$A&amp;盘货信息!$B:$B&amp;盘货信息!$C:$C,盘货信息!$I:$I)&lt;1,"",_xlfn.XLOOKUP($A456&amp;$B456&amp;$C456,盘货信息!$A:$A&amp;盘货信息!$B:$B&amp;盘货信息!$C:$C,盘货信息!$I:$I)&amp;"元惊喜立减"))</f>
        <v/>
      </c>
      <c r="I456" s="27" t="str" cm="1">
        <f t="array" ref="I456">IF($C456="","",IF(_xlfn.XLOOKUP($A456&amp;$B456&amp;$C456,盘货信息!$A:$A&amp;盘货信息!$B:$B&amp;盘货信息!$C:$C,盘货信息!$H:$H)&lt;1,"",ROUND(_xlfn.XLOOKUP($A456&amp;$B456&amp;$C456,盘货信息!$A:$A&amp;盘货信息!$B:$B&amp;盘货信息!$C:$C,盘货信息!$H:$H),0)&amp;"元消费券"))</f>
        <v/>
      </c>
      <c r="J456" s="27" t="str" cm="1">
        <f t="array" ref="J456">IF($C456="","",IF(_xlfn.XLOOKUP($A456&amp;$B456&amp;$C456,盘货信息!$A:$A&amp;盘货信息!$B:$B&amp;盘货信息!$C:$C,盘货信息!$J:$J)&lt;1,"",ROUND(_xlfn.XLOOKUP($A456&amp;$B456&amp;$C456,盘货信息!$A:$A&amp;盘货信息!$B:$B&amp;盘货信息!$C:$C,盘货信息!$J:$J),0)&amp;"元限时补贴"))</f>
        <v/>
      </c>
      <c r="K456" s="27" t="str" cm="1">
        <f t="array" ref="K456">IF($C456="","",IF(_xlfn.XLOOKUP($A456&amp;$B456&amp;$C456,盘货信息!$A:$A&amp;盘货信息!$B:$B&amp;盘货信息!$C:$C,盘货信息!$K:$K)&lt;1,"",ROUND(_xlfn.XLOOKUP($A456&amp;$B456&amp;$C456,盘货信息!$A:$A&amp;盘货信息!$B:$B&amp;盘货信息!$C:$C,盘货信息!$K:$K),0)&amp;"元预估焕新补贴"))</f>
        <v/>
      </c>
      <c r="L456" s="27" t="str" cm="1">
        <f t="array" ref="L456">IF($C456="","",IF(AND(_xlfn.XLOOKUP($A456&amp;$B456&amp;$C456,盘货信息!$A:$A&amp;盘货信息!$B:$B&amp;盘货信息!$C:$C,盘货信息!$L:$L)="是",_xlfn.XLOOKUP($A456&amp;$B456&amp;$C456,盘货信息!$A:$A&amp;盘货信息!$B:$B&amp;盘货信息!$C:$C,盘货信息!$M:$M)="是",_xlfn.XLOOKUP($A456&amp;$B456&amp;$C456,盘货信息!$A:$A&amp;盘货信息!$B:$B&amp;盘货信息!$C:$C,盘货信息!$K:$K)&gt;0),"【全民可用，不限地址】",IF(AND(OR(_xlfn.XLOOKUP($A456&amp;$B456&amp;$C456,盘货信息!$A:$A&amp;盘货信息!$B:$B&amp;盘货信息!$C:$C,盘货信息!$L:$L)="否",_xlfn.XLOOKUP($A456&amp;$B456&amp;$C456,盘货信息!$A:$A&amp;盘货信息!$B:$B&amp;盘货信息!$C:$C,盘货信息!$L:$L)=""),_xlfn.XLOOKUP($A456&amp;$B456&amp;$C456,盘货信息!$A:$A&amp;盘货信息!$B:$B&amp;盘货信息!$C:$C,盘货信息!$M:$M)="是",_xlfn.XLOOKUP($A456&amp;$B456&amp;$C456,盘货信息!$A:$A&amp;盘货信息!$B:$B&amp;盘货信息!$C:$C,盘货信息!$K:$K)&gt;0),"【详情页领取】","")))</f>
        <v/>
      </c>
      <c r="M456" s="27" t="str" cm="1">
        <f t="array" ref="M456">IF($C456="","",IF(_xlfn.XLOOKUP($A456&amp;$B456&amp;$C456,盘货信息!$A:$A&amp;盘货信息!$B:$B&amp;盘货信息!$C:$C,盘货信息!$F:$F)&lt;1,"",_xlfn.XLOOKUP($A456&amp;$B456&amp;$C456,盘货信息!$A:$A&amp;盘货信息!$B:$B&amp;盘货信息!$C:$C,盘货信息!$F:$F)&amp;"元明卷"))</f>
        <v/>
      </c>
      <c r="N456" s="27" t="str">
        <f t="shared" si="15"/>
        <v/>
      </c>
      <c r="O456" s="27" t="str">
        <f>IF(I456="","","【消费券链接】"&amp;固定信息!$B$6)</f>
        <v/>
      </c>
    </row>
    <row r="457" customHeight="1" spans="1:15">
      <c r="A457" s="23" t="str">
        <f>IF(盘货信息!A457="","",盘货信息!A457)</f>
        <v/>
      </c>
      <c r="B457" s="26" t="str">
        <f>IF(盘货信息!B457="","",盘货信息!B457)</f>
        <v/>
      </c>
      <c r="C457" s="23" t="str">
        <f>IF(盘货信息!C457="","",盘货信息!C457)</f>
        <v/>
      </c>
      <c r="D457" s="27" t="str">
        <f t="shared" si="14"/>
        <v/>
      </c>
      <c r="E457" s="27" t="str" cm="1">
        <f t="array" ref="E457">IF($C457="","",IF(AND(OR(_xlfn.XLOOKUP($A457&amp;$B457&amp;$C457,盘货信息!$A:$A&amp;盘货信息!$B:$B&amp;盘货信息!$C:$C,盘货信息!$L:$L)="否",_xlfn.XLOOKUP($A457&amp;$B457&amp;$C457,盘货信息!$A:$A&amp;盘货信息!$B:$B&amp;盘货信息!$C:$C,盘货信息!$L:$L)=""),_xlfn.XLOOKUP($A457&amp;$B457&amp;$C457,盘货信息!$A:$A&amp;盘货信息!$B:$B&amp;盘货信息!$C:$C,盘货信息!$M:$M)="否"),"【预估到手价"&amp;_xlfn.XLOOKUP($A457&amp;$B457&amp;$C457,盘货信息!$A:$A&amp;盘货信息!$B:$B&amp;盘货信息!$C:$C,盘货信息!$D:$D)&amp;"元】",IF(AND(_xlfn.XLOOKUP($A457&amp;$B457&amp;$C457,盘货信息!$A:$A&amp;盘货信息!$B:$B&amp;盘货信息!$C:$C,盘货信息!$M:$M)="是",OR(_xlfn.XLOOKUP($A457&amp;$B457&amp;$C457,盘货信息!$A:$A&amp;盘货信息!$B:$B&amp;盘货信息!$C:$C,盘货信息!$L:$L)="否",_xlfn.XLOOKUP($A457&amp;$B457&amp;$C457,盘货信息!$A:$A&amp;盘货信息!$B:$B&amp;盘货信息!$C:$C,盘货信息!$L:$L)="")),"【预估到手价"&amp;_xlfn.XLOOKUP($A457&amp;$B457&amp;$C457,盘货信息!$A:$A&amp;盘货信息!$B:$B&amp;盘货信息!$C:$C,盘货信息!$D:$D)&amp;"元】"&amp;CHAR(10)&amp;"【焕新补贴预估价"&amp;ROUND(_xlfn.XLOOKUP($A457&amp;$B457&amp;$C457,盘货信息!$A:$A&amp;盘货信息!$B:$B&amp;盘货信息!$C:$C,盘货信息!$E:$E),0)&amp;"元】","【焕新补贴预估价"&amp;ROUND(_xlfn.XLOOKUP($A457&amp;$B457&amp;$C457,盘货信息!$A:$A&amp;盘货信息!$B:$B&amp;盘货信息!$C:$C,盘货信息!$E:$E),0)&amp;"元】")))</f>
        <v/>
      </c>
      <c r="F457" s="27" t="str" cm="1">
        <f t="array" ref="F457">IF($C457="","",_xlfn.XLOOKUP($A457&amp;$B457&amp;$C457,盘货信息!$A:$A&amp;盘货信息!$B:$B&amp;盘货信息!$C:$C,盘货信息!$D:$D)&amp;"元到手价")</f>
        <v/>
      </c>
      <c r="G457" s="27" t="str" cm="1">
        <f t="array" ref="G457">IF($C457="","",IF(_xlfn.XLOOKUP($A457&amp;$B457&amp;$C457,盘货信息!$A:$A&amp;盘货信息!$B:$B&amp;盘货信息!$C:$C,盘货信息!$G:$G)&lt;1,"",ROUND(_xlfn.XLOOKUP($A457&amp;$B457&amp;$C457,盘货信息!$A:$A&amp;盘货信息!$B:$B&amp;盘货信息!$C:$C,盘货信息!$G:$G),0)&amp;"元88VIP立减"))</f>
        <v/>
      </c>
      <c r="H457" s="27" t="str" cm="1">
        <f t="array" ref="H457">IF($C457="","",IF(_xlfn.XLOOKUP($A457&amp;$B457&amp;$C457,盘货信息!$A:$A&amp;盘货信息!$B:$B&amp;盘货信息!$C:$C,盘货信息!$I:$I)&lt;1,"",_xlfn.XLOOKUP($A457&amp;$B457&amp;$C457,盘货信息!$A:$A&amp;盘货信息!$B:$B&amp;盘货信息!$C:$C,盘货信息!$I:$I)&amp;"元惊喜立减"))</f>
        <v/>
      </c>
      <c r="I457" s="27" t="str" cm="1">
        <f t="array" ref="I457">IF($C457="","",IF(_xlfn.XLOOKUP($A457&amp;$B457&amp;$C457,盘货信息!$A:$A&amp;盘货信息!$B:$B&amp;盘货信息!$C:$C,盘货信息!$H:$H)&lt;1,"",ROUND(_xlfn.XLOOKUP($A457&amp;$B457&amp;$C457,盘货信息!$A:$A&amp;盘货信息!$B:$B&amp;盘货信息!$C:$C,盘货信息!$H:$H),0)&amp;"元消费券"))</f>
        <v/>
      </c>
      <c r="J457" s="27" t="str" cm="1">
        <f t="array" ref="J457">IF($C457="","",IF(_xlfn.XLOOKUP($A457&amp;$B457&amp;$C457,盘货信息!$A:$A&amp;盘货信息!$B:$B&amp;盘货信息!$C:$C,盘货信息!$J:$J)&lt;1,"",ROUND(_xlfn.XLOOKUP($A457&amp;$B457&amp;$C457,盘货信息!$A:$A&amp;盘货信息!$B:$B&amp;盘货信息!$C:$C,盘货信息!$J:$J),0)&amp;"元限时补贴"))</f>
        <v/>
      </c>
      <c r="K457" s="27" t="str" cm="1">
        <f t="array" ref="K457">IF($C457="","",IF(_xlfn.XLOOKUP($A457&amp;$B457&amp;$C457,盘货信息!$A:$A&amp;盘货信息!$B:$B&amp;盘货信息!$C:$C,盘货信息!$K:$K)&lt;1,"",ROUND(_xlfn.XLOOKUP($A457&amp;$B457&amp;$C457,盘货信息!$A:$A&amp;盘货信息!$B:$B&amp;盘货信息!$C:$C,盘货信息!$K:$K),0)&amp;"元预估焕新补贴"))</f>
        <v/>
      </c>
      <c r="L457" s="27" t="str" cm="1">
        <f t="array" ref="L457">IF($C457="","",IF(AND(_xlfn.XLOOKUP($A457&amp;$B457&amp;$C457,盘货信息!$A:$A&amp;盘货信息!$B:$B&amp;盘货信息!$C:$C,盘货信息!$L:$L)="是",_xlfn.XLOOKUP($A457&amp;$B457&amp;$C457,盘货信息!$A:$A&amp;盘货信息!$B:$B&amp;盘货信息!$C:$C,盘货信息!$M:$M)="是",_xlfn.XLOOKUP($A457&amp;$B457&amp;$C457,盘货信息!$A:$A&amp;盘货信息!$B:$B&amp;盘货信息!$C:$C,盘货信息!$K:$K)&gt;0),"【全民可用，不限地址】",IF(AND(OR(_xlfn.XLOOKUP($A457&amp;$B457&amp;$C457,盘货信息!$A:$A&amp;盘货信息!$B:$B&amp;盘货信息!$C:$C,盘货信息!$L:$L)="否",_xlfn.XLOOKUP($A457&amp;$B457&amp;$C457,盘货信息!$A:$A&amp;盘货信息!$B:$B&amp;盘货信息!$C:$C,盘货信息!$L:$L)=""),_xlfn.XLOOKUP($A457&amp;$B457&amp;$C457,盘货信息!$A:$A&amp;盘货信息!$B:$B&amp;盘货信息!$C:$C,盘货信息!$M:$M)="是",_xlfn.XLOOKUP($A457&amp;$B457&amp;$C457,盘货信息!$A:$A&amp;盘货信息!$B:$B&amp;盘货信息!$C:$C,盘货信息!$K:$K)&gt;0),"【详情页领取】","")))</f>
        <v/>
      </c>
      <c r="M457" s="27" t="str" cm="1">
        <f t="array" ref="M457">IF($C457="","",IF(_xlfn.XLOOKUP($A457&amp;$B457&amp;$C457,盘货信息!$A:$A&amp;盘货信息!$B:$B&amp;盘货信息!$C:$C,盘货信息!$F:$F)&lt;1,"",_xlfn.XLOOKUP($A457&amp;$B457&amp;$C457,盘货信息!$A:$A&amp;盘货信息!$B:$B&amp;盘货信息!$C:$C,盘货信息!$F:$F)&amp;"元明卷"))</f>
        <v/>
      </c>
      <c r="N457" s="27" t="str">
        <f t="shared" si="15"/>
        <v/>
      </c>
      <c r="O457" s="27" t="str">
        <f>IF(I457="","","【消费券链接】"&amp;固定信息!$B$6)</f>
        <v/>
      </c>
    </row>
    <row r="458" customHeight="1" spans="1:15">
      <c r="A458" s="23" t="str">
        <f>IF(盘货信息!A458="","",盘货信息!A458)</f>
        <v/>
      </c>
      <c r="B458" s="26" t="str">
        <f>IF(盘货信息!B458="","",盘货信息!B458)</f>
        <v/>
      </c>
      <c r="C458" s="23" t="str">
        <f>IF(盘货信息!C458="","",盘货信息!C458)</f>
        <v/>
      </c>
      <c r="D458" s="27" t="str">
        <f t="shared" si="14"/>
        <v/>
      </c>
      <c r="E458" s="27" t="str" cm="1">
        <f t="array" ref="E458">IF($C458="","",IF(AND(OR(_xlfn.XLOOKUP($A458&amp;$B458&amp;$C458,盘货信息!$A:$A&amp;盘货信息!$B:$B&amp;盘货信息!$C:$C,盘货信息!$L:$L)="否",_xlfn.XLOOKUP($A458&amp;$B458&amp;$C458,盘货信息!$A:$A&amp;盘货信息!$B:$B&amp;盘货信息!$C:$C,盘货信息!$L:$L)=""),_xlfn.XLOOKUP($A458&amp;$B458&amp;$C458,盘货信息!$A:$A&amp;盘货信息!$B:$B&amp;盘货信息!$C:$C,盘货信息!$M:$M)="否"),"【预估到手价"&amp;_xlfn.XLOOKUP($A458&amp;$B458&amp;$C458,盘货信息!$A:$A&amp;盘货信息!$B:$B&amp;盘货信息!$C:$C,盘货信息!$D:$D)&amp;"元】",IF(AND(_xlfn.XLOOKUP($A458&amp;$B458&amp;$C458,盘货信息!$A:$A&amp;盘货信息!$B:$B&amp;盘货信息!$C:$C,盘货信息!$M:$M)="是",OR(_xlfn.XLOOKUP($A458&amp;$B458&amp;$C458,盘货信息!$A:$A&amp;盘货信息!$B:$B&amp;盘货信息!$C:$C,盘货信息!$L:$L)="否",_xlfn.XLOOKUP($A458&amp;$B458&amp;$C458,盘货信息!$A:$A&amp;盘货信息!$B:$B&amp;盘货信息!$C:$C,盘货信息!$L:$L)="")),"【预估到手价"&amp;_xlfn.XLOOKUP($A458&amp;$B458&amp;$C458,盘货信息!$A:$A&amp;盘货信息!$B:$B&amp;盘货信息!$C:$C,盘货信息!$D:$D)&amp;"元】"&amp;CHAR(10)&amp;"【焕新补贴预估价"&amp;ROUND(_xlfn.XLOOKUP($A458&amp;$B458&amp;$C458,盘货信息!$A:$A&amp;盘货信息!$B:$B&amp;盘货信息!$C:$C,盘货信息!$E:$E),0)&amp;"元】","【焕新补贴预估价"&amp;ROUND(_xlfn.XLOOKUP($A458&amp;$B458&amp;$C458,盘货信息!$A:$A&amp;盘货信息!$B:$B&amp;盘货信息!$C:$C,盘货信息!$E:$E),0)&amp;"元】")))</f>
        <v/>
      </c>
      <c r="F458" s="27" t="str" cm="1">
        <f t="array" ref="F458">IF($C458="","",_xlfn.XLOOKUP($A458&amp;$B458&amp;$C458,盘货信息!$A:$A&amp;盘货信息!$B:$B&amp;盘货信息!$C:$C,盘货信息!$D:$D)&amp;"元到手价")</f>
        <v/>
      </c>
      <c r="G458" s="27" t="str" cm="1">
        <f t="array" ref="G458">IF($C458="","",IF(_xlfn.XLOOKUP($A458&amp;$B458&amp;$C458,盘货信息!$A:$A&amp;盘货信息!$B:$B&amp;盘货信息!$C:$C,盘货信息!$G:$G)&lt;1,"",ROUND(_xlfn.XLOOKUP($A458&amp;$B458&amp;$C458,盘货信息!$A:$A&amp;盘货信息!$B:$B&amp;盘货信息!$C:$C,盘货信息!$G:$G),0)&amp;"元88VIP立减"))</f>
        <v/>
      </c>
      <c r="H458" s="27" t="str" cm="1">
        <f t="array" ref="H458">IF($C458="","",IF(_xlfn.XLOOKUP($A458&amp;$B458&amp;$C458,盘货信息!$A:$A&amp;盘货信息!$B:$B&amp;盘货信息!$C:$C,盘货信息!$I:$I)&lt;1,"",_xlfn.XLOOKUP($A458&amp;$B458&amp;$C458,盘货信息!$A:$A&amp;盘货信息!$B:$B&amp;盘货信息!$C:$C,盘货信息!$I:$I)&amp;"元惊喜立减"))</f>
        <v/>
      </c>
      <c r="I458" s="27" t="str" cm="1">
        <f t="array" ref="I458">IF($C458="","",IF(_xlfn.XLOOKUP($A458&amp;$B458&amp;$C458,盘货信息!$A:$A&amp;盘货信息!$B:$B&amp;盘货信息!$C:$C,盘货信息!$H:$H)&lt;1,"",ROUND(_xlfn.XLOOKUP($A458&amp;$B458&amp;$C458,盘货信息!$A:$A&amp;盘货信息!$B:$B&amp;盘货信息!$C:$C,盘货信息!$H:$H),0)&amp;"元消费券"))</f>
        <v/>
      </c>
      <c r="J458" s="27" t="str" cm="1">
        <f t="array" ref="J458">IF($C458="","",IF(_xlfn.XLOOKUP($A458&amp;$B458&amp;$C458,盘货信息!$A:$A&amp;盘货信息!$B:$B&amp;盘货信息!$C:$C,盘货信息!$J:$J)&lt;1,"",ROUND(_xlfn.XLOOKUP($A458&amp;$B458&amp;$C458,盘货信息!$A:$A&amp;盘货信息!$B:$B&amp;盘货信息!$C:$C,盘货信息!$J:$J),0)&amp;"元限时补贴"))</f>
        <v/>
      </c>
      <c r="K458" s="27" t="str" cm="1">
        <f t="array" ref="K458">IF($C458="","",IF(_xlfn.XLOOKUP($A458&amp;$B458&amp;$C458,盘货信息!$A:$A&amp;盘货信息!$B:$B&amp;盘货信息!$C:$C,盘货信息!$K:$K)&lt;1,"",ROUND(_xlfn.XLOOKUP($A458&amp;$B458&amp;$C458,盘货信息!$A:$A&amp;盘货信息!$B:$B&amp;盘货信息!$C:$C,盘货信息!$K:$K),0)&amp;"元预估焕新补贴"))</f>
        <v/>
      </c>
      <c r="L458" s="27" t="str" cm="1">
        <f t="array" ref="L458">IF($C458="","",IF(AND(_xlfn.XLOOKUP($A458&amp;$B458&amp;$C458,盘货信息!$A:$A&amp;盘货信息!$B:$B&amp;盘货信息!$C:$C,盘货信息!$L:$L)="是",_xlfn.XLOOKUP($A458&amp;$B458&amp;$C458,盘货信息!$A:$A&amp;盘货信息!$B:$B&amp;盘货信息!$C:$C,盘货信息!$M:$M)="是",_xlfn.XLOOKUP($A458&amp;$B458&amp;$C458,盘货信息!$A:$A&amp;盘货信息!$B:$B&amp;盘货信息!$C:$C,盘货信息!$K:$K)&gt;0),"【全民可用，不限地址】",IF(AND(OR(_xlfn.XLOOKUP($A458&amp;$B458&amp;$C458,盘货信息!$A:$A&amp;盘货信息!$B:$B&amp;盘货信息!$C:$C,盘货信息!$L:$L)="否",_xlfn.XLOOKUP($A458&amp;$B458&amp;$C458,盘货信息!$A:$A&amp;盘货信息!$B:$B&amp;盘货信息!$C:$C,盘货信息!$L:$L)=""),_xlfn.XLOOKUP($A458&amp;$B458&amp;$C458,盘货信息!$A:$A&amp;盘货信息!$B:$B&amp;盘货信息!$C:$C,盘货信息!$M:$M)="是",_xlfn.XLOOKUP($A458&amp;$B458&amp;$C458,盘货信息!$A:$A&amp;盘货信息!$B:$B&amp;盘货信息!$C:$C,盘货信息!$K:$K)&gt;0),"【详情页领取】","")))</f>
        <v/>
      </c>
      <c r="M458" s="27" t="str" cm="1">
        <f t="array" ref="M458">IF($C458="","",IF(_xlfn.XLOOKUP($A458&amp;$B458&amp;$C458,盘货信息!$A:$A&amp;盘货信息!$B:$B&amp;盘货信息!$C:$C,盘货信息!$F:$F)&lt;1,"",_xlfn.XLOOKUP($A458&amp;$B458&amp;$C458,盘货信息!$A:$A&amp;盘货信息!$B:$B&amp;盘货信息!$C:$C,盘货信息!$F:$F)&amp;"元明卷"))</f>
        <v/>
      </c>
      <c r="N458" s="27" t="str">
        <f t="shared" si="15"/>
        <v/>
      </c>
      <c r="O458" s="27" t="str">
        <f>IF(I458="","","【消费券链接】"&amp;固定信息!$B$6)</f>
        <v/>
      </c>
    </row>
    <row r="459" customHeight="1" spans="1:15">
      <c r="A459" s="23" t="str">
        <f>IF(盘货信息!A459="","",盘货信息!A459)</f>
        <v/>
      </c>
      <c r="B459" s="26" t="str">
        <f>IF(盘货信息!B459="","",盘货信息!B459)</f>
        <v/>
      </c>
      <c r="C459" s="23" t="str">
        <f>IF(盘货信息!C459="","",盘货信息!C459)</f>
        <v/>
      </c>
      <c r="D459" s="27" t="str">
        <f t="shared" si="14"/>
        <v/>
      </c>
      <c r="E459" s="27" t="str" cm="1">
        <f t="array" ref="E459">IF($C459="","",IF(AND(OR(_xlfn.XLOOKUP($A459&amp;$B459&amp;$C459,盘货信息!$A:$A&amp;盘货信息!$B:$B&amp;盘货信息!$C:$C,盘货信息!$L:$L)="否",_xlfn.XLOOKUP($A459&amp;$B459&amp;$C459,盘货信息!$A:$A&amp;盘货信息!$B:$B&amp;盘货信息!$C:$C,盘货信息!$L:$L)=""),_xlfn.XLOOKUP($A459&amp;$B459&amp;$C459,盘货信息!$A:$A&amp;盘货信息!$B:$B&amp;盘货信息!$C:$C,盘货信息!$M:$M)="否"),"【预估到手价"&amp;_xlfn.XLOOKUP($A459&amp;$B459&amp;$C459,盘货信息!$A:$A&amp;盘货信息!$B:$B&amp;盘货信息!$C:$C,盘货信息!$D:$D)&amp;"元】",IF(AND(_xlfn.XLOOKUP($A459&amp;$B459&amp;$C459,盘货信息!$A:$A&amp;盘货信息!$B:$B&amp;盘货信息!$C:$C,盘货信息!$M:$M)="是",OR(_xlfn.XLOOKUP($A459&amp;$B459&amp;$C459,盘货信息!$A:$A&amp;盘货信息!$B:$B&amp;盘货信息!$C:$C,盘货信息!$L:$L)="否",_xlfn.XLOOKUP($A459&amp;$B459&amp;$C459,盘货信息!$A:$A&amp;盘货信息!$B:$B&amp;盘货信息!$C:$C,盘货信息!$L:$L)="")),"【预估到手价"&amp;_xlfn.XLOOKUP($A459&amp;$B459&amp;$C459,盘货信息!$A:$A&amp;盘货信息!$B:$B&amp;盘货信息!$C:$C,盘货信息!$D:$D)&amp;"元】"&amp;CHAR(10)&amp;"【焕新补贴预估价"&amp;ROUND(_xlfn.XLOOKUP($A459&amp;$B459&amp;$C459,盘货信息!$A:$A&amp;盘货信息!$B:$B&amp;盘货信息!$C:$C,盘货信息!$E:$E),0)&amp;"元】","【焕新补贴预估价"&amp;ROUND(_xlfn.XLOOKUP($A459&amp;$B459&amp;$C459,盘货信息!$A:$A&amp;盘货信息!$B:$B&amp;盘货信息!$C:$C,盘货信息!$E:$E),0)&amp;"元】")))</f>
        <v/>
      </c>
      <c r="F459" s="27" t="str" cm="1">
        <f t="array" ref="F459">IF($C459="","",_xlfn.XLOOKUP($A459&amp;$B459&amp;$C459,盘货信息!$A:$A&amp;盘货信息!$B:$B&amp;盘货信息!$C:$C,盘货信息!$D:$D)&amp;"元到手价")</f>
        <v/>
      </c>
      <c r="G459" s="27" t="str" cm="1">
        <f t="array" ref="G459">IF($C459="","",IF(_xlfn.XLOOKUP($A459&amp;$B459&amp;$C459,盘货信息!$A:$A&amp;盘货信息!$B:$B&amp;盘货信息!$C:$C,盘货信息!$G:$G)&lt;1,"",ROUND(_xlfn.XLOOKUP($A459&amp;$B459&amp;$C459,盘货信息!$A:$A&amp;盘货信息!$B:$B&amp;盘货信息!$C:$C,盘货信息!$G:$G),0)&amp;"元88VIP立减"))</f>
        <v/>
      </c>
      <c r="H459" s="27" t="str" cm="1">
        <f t="array" ref="H459">IF($C459="","",IF(_xlfn.XLOOKUP($A459&amp;$B459&amp;$C459,盘货信息!$A:$A&amp;盘货信息!$B:$B&amp;盘货信息!$C:$C,盘货信息!$I:$I)&lt;1,"",_xlfn.XLOOKUP($A459&amp;$B459&amp;$C459,盘货信息!$A:$A&amp;盘货信息!$B:$B&amp;盘货信息!$C:$C,盘货信息!$I:$I)&amp;"元惊喜立减"))</f>
        <v/>
      </c>
      <c r="I459" s="27" t="str" cm="1">
        <f t="array" ref="I459">IF($C459="","",IF(_xlfn.XLOOKUP($A459&amp;$B459&amp;$C459,盘货信息!$A:$A&amp;盘货信息!$B:$B&amp;盘货信息!$C:$C,盘货信息!$H:$H)&lt;1,"",ROUND(_xlfn.XLOOKUP($A459&amp;$B459&amp;$C459,盘货信息!$A:$A&amp;盘货信息!$B:$B&amp;盘货信息!$C:$C,盘货信息!$H:$H),0)&amp;"元消费券"))</f>
        <v/>
      </c>
      <c r="J459" s="27" t="str" cm="1">
        <f t="array" ref="J459">IF($C459="","",IF(_xlfn.XLOOKUP($A459&amp;$B459&amp;$C459,盘货信息!$A:$A&amp;盘货信息!$B:$B&amp;盘货信息!$C:$C,盘货信息!$J:$J)&lt;1,"",ROUND(_xlfn.XLOOKUP($A459&amp;$B459&amp;$C459,盘货信息!$A:$A&amp;盘货信息!$B:$B&amp;盘货信息!$C:$C,盘货信息!$J:$J),0)&amp;"元限时补贴"))</f>
        <v/>
      </c>
      <c r="K459" s="27" t="str" cm="1">
        <f t="array" ref="K459">IF($C459="","",IF(_xlfn.XLOOKUP($A459&amp;$B459&amp;$C459,盘货信息!$A:$A&amp;盘货信息!$B:$B&amp;盘货信息!$C:$C,盘货信息!$K:$K)&lt;1,"",ROUND(_xlfn.XLOOKUP($A459&amp;$B459&amp;$C459,盘货信息!$A:$A&amp;盘货信息!$B:$B&amp;盘货信息!$C:$C,盘货信息!$K:$K),0)&amp;"元预估焕新补贴"))</f>
        <v/>
      </c>
      <c r="L459" s="27" t="str" cm="1">
        <f t="array" ref="L459">IF($C459="","",IF(AND(_xlfn.XLOOKUP($A459&amp;$B459&amp;$C459,盘货信息!$A:$A&amp;盘货信息!$B:$B&amp;盘货信息!$C:$C,盘货信息!$L:$L)="是",_xlfn.XLOOKUP($A459&amp;$B459&amp;$C459,盘货信息!$A:$A&amp;盘货信息!$B:$B&amp;盘货信息!$C:$C,盘货信息!$M:$M)="是",_xlfn.XLOOKUP($A459&amp;$B459&amp;$C459,盘货信息!$A:$A&amp;盘货信息!$B:$B&amp;盘货信息!$C:$C,盘货信息!$K:$K)&gt;0),"【全民可用，不限地址】",IF(AND(OR(_xlfn.XLOOKUP($A459&amp;$B459&amp;$C459,盘货信息!$A:$A&amp;盘货信息!$B:$B&amp;盘货信息!$C:$C,盘货信息!$L:$L)="否",_xlfn.XLOOKUP($A459&amp;$B459&amp;$C459,盘货信息!$A:$A&amp;盘货信息!$B:$B&amp;盘货信息!$C:$C,盘货信息!$L:$L)=""),_xlfn.XLOOKUP($A459&amp;$B459&amp;$C459,盘货信息!$A:$A&amp;盘货信息!$B:$B&amp;盘货信息!$C:$C,盘货信息!$M:$M)="是",_xlfn.XLOOKUP($A459&amp;$B459&amp;$C459,盘货信息!$A:$A&amp;盘货信息!$B:$B&amp;盘货信息!$C:$C,盘货信息!$K:$K)&gt;0),"【详情页领取】","")))</f>
        <v/>
      </c>
      <c r="M459" s="27" t="str" cm="1">
        <f t="array" ref="M459">IF($C459="","",IF(_xlfn.XLOOKUP($A459&amp;$B459&amp;$C459,盘货信息!$A:$A&amp;盘货信息!$B:$B&amp;盘货信息!$C:$C,盘货信息!$F:$F)&lt;1,"",_xlfn.XLOOKUP($A459&amp;$B459&amp;$C459,盘货信息!$A:$A&amp;盘货信息!$B:$B&amp;盘货信息!$C:$C,盘货信息!$F:$F)&amp;"元明卷"))</f>
        <v/>
      </c>
      <c r="N459" s="27" t="str">
        <f t="shared" si="15"/>
        <v/>
      </c>
      <c r="O459" s="27" t="str">
        <f>IF(I459="","","【消费券链接】"&amp;固定信息!$B$6)</f>
        <v/>
      </c>
    </row>
    <row r="460" customHeight="1" spans="1:15">
      <c r="A460" s="23" t="str">
        <f>IF(盘货信息!A460="","",盘货信息!A460)</f>
        <v/>
      </c>
      <c r="B460" s="26" t="str">
        <f>IF(盘货信息!B460="","",盘货信息!B460)</f>
        <v/>
      </c>
      <c r="C460" s="23" t="str">
        <f>IF(盘货信息!C460="","",盘货信息!C460)</f>
        <v/>
      </c>
      <c r="D460" s="27" t="str">
        <f t="shared" si="14"/>
        <v/>
      </c>
      <c r="E460" s="27" t="str" cm="1">
        <f t="array" ref="E460">IF($C460="","",IF(AND(OR(_xlfn.XLOOKUP($A460&amp;$B460&amp;$C460,盘货信息!$A:$A&amp;盘货信息!$B:$B&amp;盘货信息!$C:$C,盘货信息!$L:$L)="否",_xlfn.XLOOKUP($A460&amp;$B460&amp;$C460,盘货信息!$A:$A&amp;盘货信息!$B:$B&amp;盘货信息!$C:$C,盘货信息!$L:$L)=""),_xlfn.XLOOKUP($A460&amp;$B460&amp;$C460,盘货信息!$A:$A&amp;盘货信息!$B:$B&amp;盘货信息!$C:$C,盘货信息!$M:$M)="否"),"【预估到手价"&amp;_xlfn.XLOOKUP($A460&amp;$B460&amp;$C460,盘货信息!$A:$A&amp;盘货信息!$B:$B&amp;盘货信息!$C:$C,盘货信息!$D:$D)&amp;"元】",IF(AND(_xlfn.XLOOKUP($A460&amp;$B460&amp;$C460,盘货信息!$A:$A&amp;盘货信息!$B:$B&amp;盘货信息!$C:$C,盘货信息!$M:$M)="是",OR(_xlfn.XLOOKUP($A460&amp;$B460&amp;$C460,盘货信息!$A:$A&amp;盘货信息!$B:$B&amp;盘货信息!$C:$C,盘货信息!$L:$L)="否",_xlfn.XLOOKUP($A460&amp;$B460&amp;$C460,盘货信息!$A:$A&amp;盘货信息!$B:$B&amp;盘货信息!$C:$C,盘货信息!$L:$L)="")),"【预估到手价"&amp;_xlfn.XLOOKUP($A460&amp;$B460&amp;$C460,盘货信息!$A:$A&amp;盘货信息!$B:$B&amp;盘货信息!$C:$C,盘货信息!$D:$D)&amp;"元】"&amp;CHAR(10)&amp;"【焕新补贴预估价"&amp;ROUND(_xlfn.XLOOKUP($A460&amp;$B460&amp;$C460,盘货信息!$A:$A&amp;盘货信息!$B:$B&amp;盘货信息!$C:$C,盘货信息!$E:$E),0)&amp;"元】","【焕新补贴预估价"&amp;ROUND(_xlfn.XLOOKUP($A460&amp;$B460&amp;$C460,盘货信息!$A:$A&amp;盘货信息!$B:$B&amp;盘货信息!$C:$C,盘货信息!$E:$E),0)&amp;"元】")))</f>
        <v/>
      </c>
      <c r="F460" s="27" t="str" cm="1">
        <f t="array" ref="F460">IF($C460="","",_xlfn.XLOOKUP($A460&amp;$B460&amp;$C460,盘货信息!$A:$A&amp;盘货信息!$B:$B&amp;盘货信息!$C:$C,盘货信息!$D:$D)&amp;"元到手价")</f>
        <v/>
      </c>
      <c r="G460" s="27" t="str" cm="1">
        <f t="array" ref="G460">IF($C460="","",IF(_xlfn.XLOOKUP($A460&amp;$B460&amp;$C460,盘货信息!$A:$A&amp;盘货信息!$B:$B&amp;盘货信息!$C:$C,盘货信息!$G:$G)&lt;1,"",ROUND(_xlfn.XLOOKUP($A460&amp;$B460&amp;$C460,盘货信息!$A:$A&amp;盘货信息!$B:$B&amp;盘货信息!$C:$C,盘货信息!$G:$G),0)&amp;"元88VIP立减"))</f>
        <v/>
      </c>
      <c r="H460" s="27" t="str" cm="1">
        <f t="array" ref="H460">IF($C460="","",IF(_xlfn.XLOOKUP($A460&amp;$B460&amp;$C460,盘货信息!$A:$A&amp;盘货信息!$B:$B&amp;盘货信息!$C:$C,盘货信息!$I:$I)&lt;1,"",_xlfn.XLOOKUP($A460&amp;$B460&amp;$C460,盘货信息!$A:$A&amp;盘货信息!$B:$B&amp;盘货信息!$C:$C,盘货信息!$I:$I)&amp;"元惊喜立减"))</f>
        <v/>
      </c>
      <c r="I460" s="27" t="str" cm="1">
        <f t="array" ref="I460">IF($C460="","",IF(_xlfn.XLOOKUP($A460&amp;$B460&amp;$C460,盘货信息!$A:$A&amp;盘货信息!$B:$B&amp;盘货信息!$C:$C,盘货信息!$H:$H)&lt;1,"",ROUND(_xlfn.XLOOKUP($A460&amp;$B460&amp;$C460,盘货信息!$A:$A&amp;盘货信息!$B:$B&amp;盘货信息!$C:$C,盘货信息!$H:$H),0)&amp;"元消费券"))</f>
        <v/>
      </c>
      <c r="J460" s="27" t="str" cm="1">
        <f t="array" ref="J460">IF($C460="","",IF(_xlfn.XLOOKUP($A460&amp;$B460&amp;$C460,盘货信息!$A:$A&amp;盘货信息!$B:$B&amp;盘货信息!$C:$C,盘货信息!$J:$J)&lt;1,"",ROUND(_xlfn.XLOOKUP($A460&amp;$B460&amp;$C460,盘货信息!$A:$A&amp;盘货信息!$B:$B&amp;盘货信息!$C:$C,盘货信息!$J:$J),0)&amp;"元限时补贴"))</f>
        <v/>
      </c>
      <c r="K460" s="27" t="str" cm="1">
        <f t="array" ref="K460">IF($C460="","",IF(_xlfn.XLOOKUP($A460&amp;$B460&amp;$C460,盘货信息!$A:$A&amp;盘货信息!$B:$B&amp;盘货信息!$C:$C,盘货信息!$K:$K)&lt;1,"",ROUND(_xlfn.XLOOKUP($A460&amp;$B460&amp;$C460,盘货信息!$A:$A&amp;盘货信息!$B:$B&amp;盘货信息!$C:$C,盘货信息!$K:$K),0)&amp;"元预估焕新补贴"))</f>
        <v/>
      </c>
      <c r="L460" s="27" t="str" cm="1">
        <f t="array" ref="L460">IF($C460="","",IF(AND(_xlfn.XLOOKUP($A460&amp;$B460&amp;$C460,盘货信息!$A:$A&amp;盘货信息!$B:$B&amp;盘货信息!$C:$C,盘货信息!$L:$L)="是",_xlfn.XLOOKUP($A460&amp;$B460&amp;$C460,盘货信息!$A:$A&amp;盘货信息!$B:$B&amp;盘货信息!$C:$C,盘货信息!$M:$M)="是",_xlfn.XLOOKUP($A460&amp;$B460&amp;$C460,盘货信息!$A:$A&amp;盘货信息!$B:$B&amp;盘货信息!$C:$C,盘货信息!$K:$K)&gt;0),"【全民可用，不限地址】",IF(AND(OR(_xlfn.XLOOKUP($A460&amp;$B460&amp;$C460,盘货信息!$A:$A&amp;盘货信息!$B:$B&amp;盘货信息!$C:$C,盘货信息!$L:$L)="否",_xlfn.XLOOKUP($A460&amp;$B460&amp;$C460,盘货信息!$A:$A&amp;盘货信息!$B:$B&amp;盘货信息!$C:$C,盘货信息!$L:$L)=""),_xlfn.XLOOKUP($A460&amp;$B460&amp;$C460,盘货信息!$A:$A&amp;盘货信息!$B:$B&amp;盘货信息!$C:$C,盘货信息!$M:$M)="是",_xlfn.XLOOKUP($A460&amp;$B460&amp;$C460,盘货信息!$A:$A&amp;盘货信息!$B:$B&amp;盘货信息!$C:$C,盘货信息!$K:$K)&gt;0),"【详情页领取】","")))</f>
        <v/>
      </c>
      <c r="M460" s="27" t="str" cm="1">
        <f t="array" ref="M460">IF($C460="","",IF(_xlfn.XLOOKUP($A460&amp;$B460&amp;$C460,盘货信息!$A:$A&amp;盘货信息!$B:$B&amp;盘货信息!$C:$C,盘货信息!$F:$F)&lt;1,"",_xlfn.XLOOKUP($A460&amp;$B460&amp;$C460,盘货信息!$A:$A&amp;盘货信息!$B:$B&amp;盘货信息!$C:$C,盘货信息!$F:$F)&amp;"元明卷"))</f>
        <v/>
      </c>
      <c r="N460" s="27" t="str">
        <f t="shared" si="15"/>
        <v/>
      </c>
      <c r="O460" s="27" t="str">
        <f>IF(I460="","","【消费券链接】"&amp;固定信息!$B$6)</f>
        <v/>
      </c>
    </row>
    <row r="461" customHeight="1" spans="1:15">
      <c r="A461" s="23" t="str">
        <f>IF(盘货信息!A461="","",盘货信息!A461)</f>
        <v/>
      </c>
      <c r="B461" s="26" t="str">
        <f>IF(盘货信息!B461="","",盘货信息!B461)</f>
        <v/>
      </c>
      <c r="C461" s="23" t="str">
        <f>IF(盘货信息!C461="","",盘货信息!C461)</f>
        <v/>
      </c>
      <c r="D461" s="27" t="str">
        <f t="shared" si="14"/>
        <v/>
      </c>
      <c r="E461" s="27" t="str" cm="1">
        <f t="array" ref="E461">IF($C461="","",IF(AND(OR(_xlfn.XLOOKUP($A461&amp;$B461&amp;$C461,盘货信息!$A:$A&amp;盘货信息!$B:$B&amp;盘货信息!$C:$C,盘货信息!$L:$L)="否",_xlfn.XLOOKUP($A461&amp;$B461&amp;$C461,盘货信息!$A:$A&amp;盘货信息!$B:$B&amp;盘货信息!$C:$C,盘货信息!$L:$L)=""),_xlfn.XLOOKUP($A461&amp;$B461&amp;$C461,盘货信息!$A:$A&amp;盘货信息!$B:$B&amp;盘货信息!$C:$C,盘货信息!$M:$M)="否"),"【预估到手价"&amp;_xlfn.XLOOKUP($A461&amp;$B461&amp;$C461,盘货信息!$A:$A&amp;盘货信息!$B:$B&amp;盘货信息!$C:$C,盘货信息!$D:$D)&amp;"元】",IF(AND(_xlfn.XLOOKUP($A461&amp;$B461&amp;$C461,盘货信息!$A:$A&amp;盘货信息!$B:$B&amp;盘货信息!$C:$C,盘货信息!$M:$M)="是",OR(_xlfn.XLOOKUP($A461&amp;$B461&amp;$C461,盘货信息!$A:$A&amp;盘货信息!$B:$B&amp;盘货信息!$C:$C,盘货信息!$L:$L)="否",_xlfn.XLOOKUP($A461&amp;$B461&amp;$C461,盘货信息!$A:$A&amp;盘货信息!$B:$B&amp;盘货信息!$C:$C,盘货信息!$L:$L)="")),"【预估到手价"&amp;_xlfn.XLOOKUP($A461&amp;$B461&amp;$C461,盘货信息!$A:$A&amp;盘货信息!$B:$B&amp;盘货信息!$C:$C,盘货信息!$D:$D)&amp;"元】"&amp;CHAR(10)&amp;"【焕新补贴预估价"&amp;ROUND(_xlfn.XLOOKUP($A461&amp;$B461&amp;$C461,盘货信息!$A:$A&amp;盘货信息!$B:$B&amp;盘货信息!$C:$C,盘货信息!$E:$E),0)&amp;"元】","【焕新补贴预估价"&amp;ROUND(_xlfn.XLOOKUP($A461&amp;$B461&amp;$C461,盘货信息!$A:$A&amp;盘货信息!$B:$B&amp;盘货信息!$C:$C,盘货信息!$E:$E),0)&amp;"元】")))</f>
        <v/>
      </c>
      <c r="F461" s="27" t="str" cm="1">
        <f t="array" ref="F461">IF($C461="","",_xlfn.XLOOKUP($A461&amp;$B461&amp;$C461,盘货信息!$A:$A&amp;盘货信息!$B:$B&amp;盘货信息!$C:$C,盘货信息!$D:$D)&amp;"元到手价")</f>
        <v/>
      </c>
      <c r="G461" s="27" t="str" cm="1">
        <f t="array" ref="G461">IF($C461="","",IF(_xlfn.XLOOKUP($A461&amp;$B461&amp;$C461,盘货信息!$A:$A&amp;盘货信息!$B:$B&amp;盘货信息!$C:$C,盘货信息!$G:$G)&lt;1,"",ROUND(_xlfn.XLOOKUP($A461&amp;$B461&amp;$C461,盘货信息!$A:$A&amp;盘货信息!$B:$B&amp;盘货信息!$C:$C,盘货信息!$G:$G),0)&amp;"元88VIP立减"))</f>
        <v/>
      </c>
      <c r="H461" s="27" t="str" cm="1">
        <f t="array" ref="H461">IF($C461="","",IF(_xlfn.XLOOKUP($A461&amp;$B461&amp;$C461,盘货信息!$A:$A&amp;盘货信息!$B:$B&amp;盘货信息!$C:$C,盘货信息!$I:$I)&lt;1,"",_xlfn.XLOOKUP($A461&amp;$B461&amp;$C461,盘货信息!$A:$A&amp;盘货信息!$B:$B&amp;盘货信息!$C:$C,盘货信息!$I:$I)&amp;"元惊喜立减"))</f>
        <v/>
      </c>
      <c r="I461" s="27" t="str" cm="1">
        <f t="array" ref="I461">IF($C461="","",IF(_xlfn.XLOOKUP($A461&amp;$B461&amp;$C461,盘货信息!$A:$A&amp;盘货信息!$B:$B&amp;盘货信息!$C:$C,盘货信息!$H:$H)&lt;1,"",ROUND(_xlfn.XLOOKUP($A461&amp;$B461&amp;$C461,盘货信息!$A:$A&amp;盘货信息!$B:$B&amp;盘货信息!$C:$C,盘货信息!$H:$H),0)&amp;"元消费券"))</f>
        <v/>
      </c>
      <c r="J461" s="27" t="str" cm="1">
        <f t="array" ref="J461">IF($C461="","",IF(_xlfn.XLOOKUP($A461&amp;$B461&amp;$C461,盘货信息!$A:$A&amp;盘货信息!$B:$B&amp;盘货信息!$C:$C,盘货信息!$J:$J)&lt;1,"",ROUND(_xlfn.XLOOKUP($A461&amp;$B461&amp;$C461,盘货信息!$A:$A&amp;盘货信息!$B:$B&amp;盘货信息!$C:$C,盘货信息!$J:$J),0)&amp;"元限时补贴"))</f>
        <v/>
      </c>
      <c r="K461" s="27" t="str" cm="1">
        <f t="array" ref="K461">IF($C461="","",IF(_xlfn.XLOOKUP($A461&amp;$B461&amp;$C461,盘货信息!$A:$A&amp;盘货信息!$B:$B&amp;盘货信息!$C:$C,盘货信息!$K:$K)&lt;1,"",ROUND(_xlfn.XLOOKUP($A461&amp;$B461&amp;$C461,盘货信息!$A:$A&amp;盘货信息!$B:$B&amp;盘货信息!$C:$C,盘货信息!$K:$K),0)&amp;"元预估焕新补贴"))</f>
        <v/>
      </c>
      <c r="L461" s="27" t="str" cm="1">
        <f t="array" ref="L461">IF($C461="","",IF(AND(_xlfn.XLOOKUP($A461&amp;$B461&amp;$C461,盘货信息!$A:$A&amp;盘货信息!$B:$B&amp;盘货信息!$C:$C,盘货信息!$L:$L)="是",_xlfn.XLOOKUP($A461&amp;$B461&amp;$C461,盘货信息!$A:$A&amp;盘货信息!$B:$B&amp;盘货信息!$C:$C,盘货信息!$M:$M)="是",_xlfn.XLOOKUP($A461&amp;$B461&amp;$C461,盘货信息!$A:$A&amp;盘货信息!$B:$B&amp;盘货信息!$C:$C,盘货信息!$K:$K)&gt;0),"【全民可用，不限地址】",IF(AND(OR(_xlfn.XLOOKUP($A461&amp;$B461&amp;$C461,盘货信息!$A:$A&amp;盘货信息!$B:$B&amp;盘货信息!$C:$C,盘货信息!$L:$L)="否",_xlfn.XLOOKUP($A461&amp;$B461&amp;$C461,盘货信息!$A:$A&amp;盘货信息!$B:$B&amp;盘货信息!$C:$C,盘货信息!$L:$L)=""),_xlfn.XLOOKUP($A461&amp;$B461&amp;$C461,盘货信息!$A:$A&amp;盘货信息!$B:$B&amp;盘货信息!$C:$C,盘货信息!$M:$M)="是",_xlfn.XLOOKUP($A461&amp;$B461&amp;$C461,盘货信息!$A:$A&amp;盘货信息!$B:$B&amp;盘货信息!$C:$C,盘货信息!$K:$K)&gt;0),"【详情页领取】","")))</f>
        <v/>
      </c>
      <c r="M461" s="27" t="str" cm="1">
        <f t="array" ref="M461">IF($C461="","",IF(_xlfn.XLOOKUP($A461&amp;$B461&amp;$C461,盘货信息!$A:$A&amp;盘货信息!$B:$B&amp;盘货信息!$C:$C,盘货信息!$F:$F)&lt;1,"",_xlfn.XLOOKUP($A461&amp;$B461&amp;$C461,盘货信息!$A:$A&amp;盘货信息!$B:$B&amp;盘货信息!$C:$C,盘货信息!$F:$F)&amp;"元明卷"))</f>
        <v/>
      </c>
      <c r="N461" s="27" t="str">
        <f t="shared" si="15"/>
        <v/>
      </c>
      <c r="O461" s="27" t="str">
        <f>IF(I461="","","【消费券链接】"&amp;固定信息!$B$6)</f>
        <v/>
      </c>
    </row>
    <row r="462" customHeight="1" spans="1:15">
      <c r="A462" s="23" t="str">
        <f>IF(盘货信息!A462="","",盘货信息!A462)</f>
        <v/>
      </c>
      <c r="B462" s="26" t="str">
        <f>IF(盘货信息!B462="","",盘货信息!B462)</f>
        <v/>
      </c>
      <c r="C462" s="23" t="str">
        <f>IF(盘货信息!C462="","",盘货信息!C462)</f>
        <v/>
      </c>
      <c r="D462" s="27" t="str">
        <f t="shared" si="14"/>
        <v/>
      </c>
      <c r="E462" s="27" t="str" cm="1">
        <f t="array" ref="E462">IF($C462="","",IF(AND(OR(_xlfn.XLOOKUP($A462&amp;$B462&amp;$C462,盘货信息!$A:$A&amp;盘货信息!$B:$B&amp;盘货信息!$C:$C,盘货信息!$L:$L)="否",_xlfn.XLOOKUP($A462&amp;$B462&amp;$C462,盘货信息!$A:$A&amp;盘货信息!$B:$B&amp;盘货信息!$C:$C,盘货信息!$L:$L)=""),_xlfn.XLOOKUP($A462&amp;$B462&amp;$C462,盘货信息!$A:$A&amp;盘货信息!$B:$B&amp;盘货信息!$C:$C,盘货信息!$M:$M)="否"),"【预估到手价"&amp;_xlfn.XLOOKUP($A462&amp;$B462&amp;$C462,盘货信息!$A:$A&amp;盘货信息!$B:$B&amp;盘货信息!$C:$C,盘货信息!$D:$D)&amp;"元】",IF(AND(_xlfn.XLOOKUP($A462&amp;$B462&amp;$C462,盘货信息!$A:$A&amp;盘货信息!$B:$B&amp;盘货信息!$C:$C,盘货信息!$M:$M)="是",OR(_xlfn.XLOOKUP($A462&amp;$B462&amp;$C462,盘货信息!$A:$A&amp;盘货信息!$B:$B&amp;盘货信息!$C:$C,盘货信息!$L:$L)="否",_xlfn.XLOOKUP($A462&amp;$B462&amp;$C462,盘货信息!$A:$A&amp;盘货信息!$B:$B&amp;盘货信息!$C:$C,盘货信息!$L:$L)="")),"【预估到手价"&amp;_xlfn.XLOOKUP($A462&amp;$B462&amp;$C462,盘货信息!$A:$A&amp;盘货信息!$B:$B&amp;盘货信息!$C:$C,盘货信息!$D:$D)&amp;"元】"&amp;CHAR(10)&amp;"【焕新补贴预估价"&amp;ROUND(_xlfn.XLOOKUP($A462&amp;$B462&amp;$C462,盘货信息!$A:$A&amp;盘货信息!$B:$B&amp;盘货信息!$C:$C,盘货信息!$E:$E),0)&amp;"元】","【焕新补贴预估价"&amp;ROUND(_xlfn.XLOOKUP($A462&amp;$B462&amp;$C462,盘货信息!$A:$A&amp;盘货信息!$B:$B&amp;盘货信息!$C:$C,盘货信息!$E:$E),0)&amp;"元】")))</f>
        <v/>
      </c>
      <c r="F462" s="27" t="str" cm="1">
        <f t="array" ref="F462">IF($C462="","",_xlfn.XLOOKUP($A462&amp;$B462&amp;$C462,盘货信息!$A:$A&amp;盘货信息!$B:$B&amp;盘货信息!$C:$C,盘货信息!$D:$D)&amp;"元到手价")</f>
        <v/>
      </c>
      <c r="G462" s="27" t="str" cm="1">
        <f t="array" ref="G462">IF($C462="","",IF(_xlfn.XLOOKUP($A462&amp;$B462&amp;$C462,盘货信息!$A:$A&amp;盘货信息!$B:$B&amp;盘货信息!$C:$C,盘货信息!$G:$G)&lt;1,"",ROUND(_xlfn.XLOOKUP($A462&amp;$B462&amp;$C462,盘货信息!$A:$A&amp;盘货信息!$B:$B&amp;盘货信息!$C:$C,盘货信息!$G:$G),0)&amp;"元88VIP立减"))</f>
        <v/>
      </c>
      <c r="H462" s="27" t="str" cm="1">
        <f t="array" ref="H462">IF($C462="","",IF(_xlfn.XLOOKUP($A462&amp;$B462&amp;$C462,盘货信息!$A:$A&amp;盘货信息!$B:$B&amp;盘货信息!$C:$C,盘货信息!$I:$I)&lt;1,"",_xlfn.XLOOKUP($A462&amp;$B462&amp;$C462,盘货信息!$A:$A&amp;盘货信息!$B:$B&amp;盘货信息!$C:$C,盘货信息!$I:$I)&amp;"元惊喜立减"))</f>
        <v/>
      </c>
      <c r="I462" s="27" t="str" cm="1">
        <f t="array" ref="I462">IF($C462="","",IF(_xlfn.XLOOKUP($A462&amp;$B462&amp;$C462,盘货信息!$A:$A&amp;盘货信息!$B:$B&amp;盘货信息!$C:$C,盘货信息!$H:$H)&lt;1,"",ROUND(_xlfn.XLOOKUP($A462&amp;$B462&amp;$C462,盘货信息!$A:$A&amp;盘货信息!$B:$B&amp;盘货信息!$C:$C,盘货信息!$H:$H),0)&amp;"元消费券"))</f>
        <v/>
      </c>
      <c r="J462" s="27" t="str" cm="1">
        <f t="array" ref="J462">IF($C462="","",IF(_xlfn.XLOOKUP($A462&amp;$B462&amp;$C462,盘货信息!$A:$A&amp;盘货信息!$B:$B&amp;盘货信息!$C:$C,盘货信息!$J:$J)&lt;1,"",ROUND(_xlfn.XLOOKUP($A462&amp;$B462&amp;$C462,盘货信息!$A:$A&amp;盘货信息!$B:$B&amp;盘货信息!$C:$C,盘货信息!$J:$J),0)&amp;"元限时补贴"))</f>
        <v/>
      </c>
      <c r="K462" s="27" t="str" cm="1">
        <f t="array" ref="K462">IF($C462="","",IF(_xlfn.XLOOKUP($A462&amp;$B462&amp;$C462,盘货信息!$A:$A&amp;盘货信息!$B:$B&amp;盘货信息!$C:$C,盘货信息!$K:$K)&lt;1,"",ROUND(_xlfn.XLOOKUP($A462&amp;$B462&amp;$C462,盘货信息!$A:$A&amp;盘货信息!$B:$B&amp;盘货信息!$C:$C,盘货信息!$K:$K),0)&amp;"元预估焕新补贴"))</f>
        <v/>
      </c>
      <c r="L462" s="27" t="str" cm="1">
        <f t="array" ref="L462">IF($C462="","",IF(AND(_xlfn.XLOOKUP($A462&amp;$B462&amp;$C462,盘货信息!$A:$A&amp;盘货信息!$B:$B&amp;盘货信息!$C:$C,盘货信息!$L:$L)="是",_xlfn.XLOOKUP($A462&amp;$B462&amp;$C462,盘货信息!$A:$A&amp;盘货信息!$B:$B&amp;盘货信息!$C:$C,盘货信息!$M:$M)="是",_xlfn.XLOOKUP($A462&amp;$B462&amp;$C462,盘货信息!$A:$A&amp;盘货信息!$B:$B&amp;盘货信息!$C:$C,盘货信息!$K:$K)&gt;0),"【全民可用，不限地址】",IF(AND(OR(_xlfn.XLOOKUP($A462&amp;$B462&amp;$C462,盘货信息!$A:$A&amp;盘货信息!$B:$B&amp;盘货信息!$C:$C,盘货信息!$L:$L)="否",_xlfn.XLOOKUP($A462&amp;$B462&amp;$C462,盘货信息!$A:$A&amp;盘货信息!$B:$B&amp;盘货信息!$C:$C,盘货信息!$L:$L)=""),_xlfn.XLOOKUP($A462&amp;$B462&amp;$C462,盘货信息!$A:$A&amp;盘货信息!$B:$B&amp;盘货信息!$C:$C,盘货信息!$M:$M)="是",_xlfn.XLOOKUP($A462&amp;$B462&amp;$C462,盘货信息!$A:$A&amp;盘货信息!$B:$B&amp;盘货信息!$C:$C,盘货信息!$K:$K)&gt;0),"【详情页领取】","")))</f>
        <v/>
      </c>
      <c r="M462" s="27" t="str" cm="1">
        <f t="array" ref="M462">IF($C462="","",IF(_xlfn.XLOOKUP($A462&amp;$B462&amp;$C462,盘货信息!$A:$A&amp;盘货信息!$B:$B&amp;盘货信息!$C:$C,盘货信息!$F:$F)&lt;1,"",_xlfn.XLOOKUP($A462&amp;$B462&amp;$C462,盘货信息!$A:$A&amp;盘货信息!$B:$B&amp;盘货信息!$C:$C,盘货信息!$F:$F)&amp;"元明卷"))</f>
        <v/>
      </c>
      <c r="N462" s="27" t="str">
        <f t="shared" si="15"/>
        <v/>
      </c>
      <c r="O462" s="27" t="str">
        <f>IF(I462="","","【消费券链接】"&amp;固定信息!$B$6)</f>
        <v/>
      </c>
    </row>
    <row r="463" customHeight="1" spans="1:15">
      <c r="A463" s="23" t="str">
        <f>IF(盘货信息!A463="","",盘货信息!A463)</f>
        <v/>
      </c>
      <c r="B463" s="26" t="str">
        <f>IF(盘货信息!B463="","",盘货信息!B463)</f>
        <v/>
      </c>
      <c r="C463" s="23" t="str">
        <f>IF(盘货信息!C463="","",盘货信息!C463)</f>
        <v/>
      </c>
      <c r="D463" s="27" t="str">
        <f t="shared" si="14"/>
        <v/>
      </c>
      <c r="E463" s="27" t="str" cm="1">
        <f t="array" ref="E463">IF($C463="","",IF(AND(OR(_xlfn.XLOOKUP($A463&amp;$B463&amp;$C463,盘货信息!$A:$A&amp;盘货信息!$B:$B&amp;盘货信息!$C:$C,盘货信息!$L:$L)="否",_xlfn.XLOOKUP($A463&amp;$B463&amp;$C463,盘货信息!$A:$A&amp;盘货信息!$B:$B&amp;盘货信息!$C:$C,盘货信息!$L:$L)=""),_xlfn.XLOOKUP($A463&amp;$B463&amp;$C463,盘货信息!$A:$A&amp;盘货信息!$B:$B&amp;盘货信息!$C:$C,盘货信息!$M:$M)="否"),"【预估到手价"&amp;_xlfn.XLOOKUP($A463&amp;$B463&amp;$C463,盘货信息!$A:$A&amp;盘货信息!$B:$B&amp;盘货信息!$C:$C,盘货信息!$D:$D)&amp;"元】",IF(AND(_xlfn.XLOOKUP($A463&amp;$B463&amp;$C463,盘货信息!$A:$A&amp;盘货信息!$B:$B&amp;盘货信息!$C:$C,盘货信息!$M:$M)="是",OR(_xlfn.XLOOKUP($A463&amp;$B463&amp;$C463,盘货信息!$A:$A&amp;盘货信息!$B:$B&amp;盘货信息!$C:$C,盘货信息!$L:$L)="否",_xlfn.XLOOKUP($A463&amp;$B463&amp;$C463,盘货信息!$A:$A&amp;盘货信息!$B:$B&amp;盘货信息!$C:$C,盘货信息!$L:$L)="")),"【预估到手价"&amp;_xlfn.XLOOKUP($A463&amp;$B463&amp;$C463,盘货信息!$A:$A&amp;盘货信息!$B:$B&amp;盘货信息!$C:$C,盘货信息!$D:$D)&amp;"元】"&amp;CHAR(10)&amp;"【焕新补贴预估价"&amp;ROUND(_xlfn.XLOOKUP($A463&amp;$B463&amp;$C463,盘货信息!$A:$A&amp;盘货信息!$B:$B&amp;盘货信息!$C:$C,盘货信息!$E:$E),0)&amp;"元】","【焕新补贴预估价"&amp;ROUND(_xlfn.XLOOKUP($A463&amp;$B463&amp;$C463,盘货信息!$A:$A&amp;盘货信息!$B:$B&amp;盘货信息!$C:$C,盘货信息!$E:$E),0)&amp;"元】")))</f>
        <v/>
      </c>
      <c r="F463" s="27" t="str" cm="1">
        <f t="array" ref="F463">IF($C463="","",_xlfn.XLOOKUP($A463&amp;$B463&amp;$C463,盘货信息!$A:$A&amp;盘货信息!$B:$B&amp;盘货信息!$C:$C,盘货信息!$D:$D)&amp;"元到手价")</f>
        <v/>
      </c>
      <c r="G463" s="27" t="str" cm="1">
        <f t="array" ref="G463">IF($C463="","",IF(_xlfn.XLOOKUP($A463&amp;$B463&amp;$C463,盘货信息!$A:$A&amp;盘货信息!$B:$B&amp;盘货信息!$C:$C,盘货信息!$G:$G)&lt;1,"",ROUND(_xlfn.XLOOKUP($A463&amp;$B463&amp;$C463,盘货信息!$A:$A&amp;盘货信息!$B:$B&amp;盘货信息!$C:$C,盘货信息!$G:$G),0)&amp;"元88VIP立减"))</f>
        <v/>
      </c>
      <c r="H463" s="27" t="str" cm="1">
        <f t="array" ref="H463">IF($C463="","",IF(_xlfn.XLOOKUP($A463&amp;$B463&amp;$C463,盘货信息!$A:$A&amp;盘货信息!$B:$B&amp;盘货信息!$C:$C,盘货信息!$I:$I)&lt;1,"",_xlfn.XLOOKUP($A463&amp;$B463&amp;$C463,盘货信息!$A:$A&amp;盘货信息!$B:$B&amp;盘货信息!$C:$C,盘货信息!$I:$I)&amp;"元惊喜立减"))</f>
        <v/>
      </c>
      <c r="I463" s="27" t="str" cm="1">
        <f t="array" ref="I463">IF($C463="","",IF(_xlfn.XLOOKUP($A463&amp;$B463&amp;$C463,盘货信息!$A:$A&amp;盘货信息!$B:$B&amp;盘货信息!$C:$C,盘货信息!$H:$H)&lt;1,"",ROUND(_xlfn.XLOOKUP($A463&amp;$B463&amp;$C463,盘货信息!$A:$A&amp;盘货信息!$B:$B&amp;盘货信息!$C:$C,盘货信息!$H:$H),0)&amp;"元消费券"))</f>
        <v/>
      </c>
      <c r="J463" s="27" t="str" cm="1">
        <f t="array" ref="J463">IF($C463="","",IF(_xlfn.XLOOKUP($A463&amp;$B463&amp;$C463,盘货信息!$A:$A&amp;盘货信息!$B:$B&amp;盘货信息!$C:$C,盘货信息!$J:$J)&lt;1,"",ROUND(_xlfn.XLOOKUP($A463&amp;$B463&amp;$C463,盘货信息!$A:$A&amp;盘货信息!$B:$B&amp;盘货信息!$C:$C,盘货信息!$J:$J),0)&amp;"元限时补贴"))</f>
        <v/>
      </c>
      <c r="K463" s="27" t="str" cm="1">
        <f t="array" ref="K463">IF($C463="","",IF(_xlfn.XLOOKUP($A463&amp;$B463&amp;$C463,盘货信息!$A:$A&amp;盘货信息!$B:$B&amp;盘货信息!$C:$C,盘货信息!$K:$K)&lt;1,"",ROUND(_xlfn.XLOOKUP($A463&amp;$B463&amp;$C463,盘货信息!$A:$A&amp;盘货信息!$B:$B&amp;盘货信息!$C:$C,盘货信息!$K:$K),0)&amp;"元预估焕新补贴"))</f>
        <v/>
      </c>
      <c r="L463" s="27" t="str" cm="1">
        <f t="array" ref="L463">IF($C463="","",IF(AND(_xlfn.XLOOKUP($A463&amp;$B463&amp;$C463,盘货信息!$A:$A&amp;盘货信息!$B:$B&amp;盘货信息!$C:$C,盘货信息!$L:$L)="是",_xlfn.XLOOKUP($A463&amp;$B463&amp;$C463,盘货信息!$A:$A&amp;盘货信息!$B:$B&amp;盘货信息!$C:$C,盘货信息!$M:$M)="是",_xlfn.XLOOKUP($A463&amp;$B463&amp;$C463,盘货信息!$A:$A&amp;盘货信息!$B:$B&amp;盘货信息!$C:$C,盘货信息!$K:$K)&gt;0),"【全民可用，不限地址】",IF(AND(OR(_xlfn.XLOOKUP($A463&amp;$B463&amp;$C463,盘货信息!$A:$A&amp;盘货信息!$B:$B&amp;盘货信息!$C:$C,盘货信息!$L:$L)="否",_xlfn.XLOOKUP($A463&amp;$B463&amp;$C463,盘货信息!$A:$A&amp;盘货信息!$B:$B&amp;盘货信息!$C:$C,盘货信息!$L:$L)=""),_xlfn.XLOOKUP($A463&amp;$B463&amp;$C463,盘货信息!$A:$A&amp;盘货信息!$B:$B&amp;盘货信息!$C:$C,盘货信息!$M:$M)="是",_xlfn.XLOOKUP($A463&amp;$B463&amp;$C463,盘货信息!$A:$A&amp;盘货信息!$B:$B&amp;盘货信息!$C:$C,盘货信息!$K:$K)&gt;0),"【详情页领取】","")))</f>
        <v/>
      </c>
      <c r="M463" s="27" t="str" cm="1">
        <f t="array" ref="M463">IF($C463="","",IF(_xlfn.XLOOKUP($A463&amp;$B463&amp;$C463,盘货信息!$A:$A&amp;盘货信息!$B:$B&amp;盘货信息!$C:$C,盘货信息!$F:$F)&lt;1,"",_xlfn.XLOOKUP($A463&amp;$B463&amp;$C463,盘货信息!$A:$A&amp;盘货信息!$B:$B&amp;盘货信息!$C:$C,盘货信息!$F:$F)&amp;"元明卷"))</f>
        <v/>
      </c>
      <c r="N463" s="27" t="str">
        <f t="shared" si="15"/>
        <v/>
      </c>
      <c r="O463" s="27" t="str">
        <f>IF(I463="","","【消费券链接】"&amp;固定信息!$B$6)</f>
        <v/>
      </c>
    </row>
    <row r="464" customHeight="1" spans="1:15">
      <c r="A464" s="23" t="str">
        <f>IF(盘货信息!A464="","",盘货信息!A464)</f>
        <v/>
      </c>
      <c r="B464" s="26" t="str">
        <f>IF(盘货信息!B464="","",盘货信息!B464)</f>
        <v/>
      </c>
      <c r="C464" s="23" t="str">
        <f>IF(盘货信息!C464="","",盘货信息!C464)</f>
        <v/>
      </c>
      <c r="D464" s="27" t="str">
        <f t="shared" si="14"/>
        <v/>
      </c>
      <c r="E464" s="27" t="str" cm="1">
        <f t="array" ref="E464">IF($C464="","",IF(AND(OR(_xlfn.XLOOKUP($A464&amp;$B464&amp;$C464,盘货信息!$A:$A&amp;盘货信息!$B:$B&amp;盘货信息!$C:$C,盘货信息!$L:$L)="否",_xlfn.XLOOKUP($A464&amp;$B464&amp;$C464,盘货信息!$A:$A&amp;盘货信息!$B:$B&amp;盘货信息!$C:$C,盘货信息!$L:$L)=""),_xlfn.XLOOKUP($A464&amp;$B464&amp;$C464,盘货信息!$A:$A&amp;盘货信息!$B:$B&amp;盘货信息!$C:$C,盘货信息!$M:$M)="否"),"【预估到手价"&amp;_xlfn.XLOOKUP($A464&amp;$B464&amp;$C464,盘货信息!$A:$A&amp;盘货信息!$B:$B&amp;盘货信息!$C:$C,盘货信息!$D:$D)&amp;"元】",IF(AND(_xlfn.XLOOKUP($A464&amp;$B464&amp;$C464,盘货信息!$A:$A&amp;盘货信息!$B:$B&amp;盘货信息!$C:$C,盘货信息!$M:$M)="是",OR(_xlfn.XLOOKUP($A464&amp;$B464&amp;$C464,盘货信息!$A:$A&amp;盘货信息!$B:$B&amp;盘货信息!$C:$C,盘货信息!$L:$L)="否",_xlfn.XLOOKUP($A464&amp;$B464&amp;$C464,盘货信息!$A:$A&amp;盘货信息!$B:$B&amp;盘货信息!$C:$C,盘货信息!$L:$L)="")),"【预估到手价"&amp;_xlfn.XLOOKUP($A464&amp;$B464&amp;$C464,盘货信息!$A:$A&amp;盘货信息!$B:$B&amp;盘货信息!$C:$C,盘货信息!$D:$D)&amp;"元】"&amp;CHAR(10)&amp;"【焕新补贴预估价"&amp;ROUND(_xlfn.XLOOKUP($A464&amp;$B464&amp;$C464,盘货信息!$A:$A&amp;盘货信息!$B:$B&amp;盘货信息!$C:$C,盘货信息!$E:$E),0)&amp;"元】","【焕新补贴预估价"&amp;ROUND(_xlfn.XLOOKUP($A464&amp;$B464&amp;$C464,盘货信息!$A:$A&amp;盘货信息!$B:$B&amp;盘货信息!$C:$C,盘货信息!$E:$E),0)&amp;"元】")))</f>
        <v/>
      </c>
      <c r="F464" s="27" t="str" cm="1">
        <f t="array" ref="F464">IF($C464="","",_xlfn.XLOOKUP($A464&amp;$B464&amp;$C464,盘货信息!$A:$A&amp;盘货信息!$B:$B&amp;盘货信息!$C:$C,盘货信息!$D:$D)&amp;"元到手价")</f>
        <v/>
      </c>
      <c r="G464" s="27" t="str" cm="1">
        <f t="array" ref="G464">IF($C464="","",IF(_xlfn.XLOOKUP($A464&amp;$B464&amp;$C464,盘货信息!$A:$A&amp;盘货信息!$B:$B&amp;盘货信息!$C:$C,盘货信息!$G:$G)&lt;1,"",ROUND(_xlfn.XLOOKUP($A464&amp;$B464&amp;$C464,盘货信息!$A:$A&amp;盘货信息!$B:$B&amp;盘货信息!$C:$C,盘货信息!$G:$G),0)&amp;"元88VIP立减"))</f>
        <v/>
      </c>
      <c r="H464" s="27" t="str" cm="1">
        <f t="array" ref="H464">IF($C464="","",IF(_xlfn.XLOOKUP($A464&amp;$B464&amp;$C464,盘货信息!$A:$A&amp;盘货信息!$B:$B&amp;盘货信息!$C:$C,盘货信息!$I:$I)&lt;1,"",_xlfn.XLOOKUP($A464&amp;$B464&amp;$C464,盘货信息!$A:$A&amp;盘货信息!$B:$B&amp;盘货信息!$C:$C,盘货信息!$I:$I)&amp;"元惊喜立减"))</f>
        <v/>
      </c>
      <c r="I464" s="27" t="str" cm="1">
        <f t="array" ref="I464">IF($C464="","",IF(_xlfn.XLOOKUP($A464&amp;$B464&amp;$C464,盘货信息!$A:$A&amp;盘货信息!$B:$B&amp;盘货信息!$C:$C,盘货信息!$H:$H)&lt;1,"",ROUND(_xlfn.XLOOKUP($A464&amp;$B464&amp;$C464,盘货信息!$A:$A&amp;盘货信息!$B:$B&amp;盘货信息!$C:$C,盘货信息!$H:$H),0)&amp;"元消费券"))</f>
        <v/>
      </c>
      <c r="J464" s="27" t="str" cm="1">
        <f t="array" ref="J464">IF($C464="","",IF(_xlfn.XLOOKUP($A464&amp;$B464&amp;$C464,盘货信息!$A:$A&amp;盘货信息!$B:$B&amp;盘货信息!$C:$C,盘货信息!$J:$J)&lt;1,"",ROUND(_xlfn.XLOOKUP($A464&amp;$B464&amp;$C464,盘货信息!$A:$A&amp;盘货信息!$B:$B&amp;盘货信息!$C:$C,盘货信息!$J:$J),0)&amp;"元限时补贴"))</f>
        <v/>
      </c>
      <c r="K464" s="27" t="str" cm="1">
        <f t="array" ref="K464">IF($C464="","",IF(_xlfn.XLOOKUP($A464&amp;$B464&amp;$C464,盘货信息!$A:$A&amp;盘货信息!$B:$B&amp;盘货信息!$C:$C,盘货信息!$K:$K)&lt;1,"",ROUND(_xlfn.XLOOKUP($A464&amp;$B464&amp;$C464,盘货信息!$A:$A&amp;盘货信息!$B:$B&amp;盘货信息!$C:$C,盘货信息!$K:$K),0)&amp;"元预估焕新补贴"))</f>
        <v/>
      </c>
      <c r="L464" s="27" t="str" cm="1">
        <f t="array" ref="L464">IF($C464="","",IF(AND(_xlfn.XLOOKUP($A464&amp;$B464&amp;$C464,盘货信息!$A:$A&amp;盘货信息!$B:$B&amp;盘货信息!$C:$C,盘货信息!$L:$L)="是",_xlfn.XLOOKUP($A464&amp;$B464&amp;$C464,盘货信息!$A:$A&amp;盘货信息!$B:$B&amp;盘货信息!$C:$C,盘货信息!$M:$M)="是",_xlfn.XLOOKUP($A464&amp;$B464&amp;$C464,盘货信息!$A:$A&amp;盘货信息!$B:$B&amp;盘货信息!$C:$C,盘货信息!$K:$K)&gt;0),"【全民可用，不限地址】",IF(AND(OR(_xlfn.XLOOKUP($A464&amp;$B464&amp;$C464,盘货信息!$A:$A&amp;盘货信息!$B:$B&amp;盘货信息!$C:$C,盘货信息!$L:$L)="否",_xlfn.XLOOKUP($A464&amp;$B464&amp;$C464,盘货信息!$A:$A&amp;盘货信息!$B:$B&amp;盘货信息!$C:$C,盘货信息!$L:$L)=""),_xlfn.XLOOKUP($A464&amp;$B464&amp;$C464,盘货信息!$A:$A&amp;盘货信息!$B:$B&amp;盘货信息!$C:$C,盘货信息!$M:$M)="是",_xlfn.XLOOKUP($A464&amp;$B464&amp;$C464,盘货信息!$A:$A&amp;盘货信息!$B:$B&amp;盘货信息!$C:$C,盘货信息!$K:$K)&gt;0),"【详情页领取】","")))</f>
        <v/>
      </c>
      <c r="M464" s="27" t="str" cm="1">
        <f t="array" ref="M464">IF($C464="","",IF(_xlfn.XLOOKUP($A464&amp;$B464&amp;$C464,盘货信息!$A:$A&amp;盘货信息!$B:$B&amp;盘货信息!$C:$C,盘货信息!$F:$F)&lt;1,"",_xlfn.XLOOKUP($A464&amp;$B464&amp;$C464,盘货信息!$A:$A&amp;盘货信息!$B:$B&amp;盘货信息!$C:$C,盘货信息!$F:$F)&amp;"元明卷"))</f>
        <v/>
      </c>
      <c r="N464" s="27" t="str">
        <f t="shared" si="15"/>
        <v/>
      </c>
      <c r="O464" s="27" t="str">
        <f>IF(I464="","","【消费券链接】"&amp;固定信息!$B$6)</f>
        <v/>
      </c>
    </row>
    <row r="465" customHeight="1" spans="1:15">
      <c r="A465" s="23" t="str">
        <f>IF(盘货信息!A465="","",盘货信息!A465)</f>
        <v/>
      </c>
      <c r="B465" s="26" t="str">
        <f>IF(盘货信息!B465="","",盘货信息!B465)</f>
        <v/>
      </c>
      <c r="C465" s="23" t="str">
        <f>IF(盘货信息!C465="","",盘货信息!C465)</f>
        <v/>
      </c>
      <c r="D465" s="27" t="str">
        <f t="shared" si="14"/>
        <v/>
      </c>
      <c r="E465" s="27" t="str" cm="1">
        <f t="array" ref="E465">IF($C465="","",IF(AND(OR(_xlfn.XLOOKUP($A465&amp;$B465&amp;$C465,盘货信息!$A:$A&amp;盘货信息!$B:$B&amp;盘货信息!$C:$C,盘货信息!$L:$L)="否",_xlfn.XLOOKUP($A465&amp;$B465&amp;$C465,盘货信息!$A:$A&amp;盘货信息!$B:$B&amp;盘货信息!$C:$C,盘货信息!$L:$L)=""),_xlfn.XLOOKUP($A465&amp;$B465&amp;$C465,盘货信息!$A:$A&amp;盘货信息!$B:$B&amp;盘货信息!$C:$C,盘货信息!$M:$M)="否"),"【预估到手价"&amp;_xlfn.XLOOKUP($A465&amp;$B465&amp;$C465,盘货信息!$A:$A&amp;盘货信息!$B:$B&amp;盘货信息!$C:$C,盘货信息!$D:$D)&amp;"元】",IF(AND(_xlfn.XLOOKUP($A465&amp;$B465&amp;$C465,盘货信息!$A:$A&amp;盘货信息!$B:$B&amp;盘货信息!$C:$C,盘货信息!$M:$M)="是",OR(_xlfn.XLOOKUP($A465&amp;$B465&amp;$C465,盘货信息!$A:$A&amp;盘货信息!$B:$B&amp;盘货信息!$C:$C,盘货信息!$L:$L)="否",_xlfn.XLOOKUP($A465&amp;$B465&amp;$C465,盘货信息!$A:$A&amp;盘货信息!$B:$B&amp;盘货信息!$C:$C,盘货信息!$L:$L)="")),"【预估到手价"&amp;_xlfn.XLOOKUP($A465&amp;$B465&amp;$C465,盘货信息!$A:$A&amp;盘货信息!$B:$B&amp;盘货信息!$C:$C,盘货信息!$D:$D)&amp;"元】"&amp;CHAR(10)&amp;"【焕新补贴预估价"&amp;ROUND(_xlfn.XLOOKUP($A465&amp;$B465&amp;$C465,盘货信息!$A:$A&amp;盘货信息!$B:$B&amp;盘货信息!$C:$C,盘货信息!$E:$E),0)&amp;"元】","【焕新补贴预估价"&amp;ROUND(_xlfn.XLOOKUP($A465&amp;$B465&amp;$C465,盘货信息!$A:$A&amp;盘货信息!$B:$B&amp;盘货信息!$C:$C,盘货信息!$E:$E),0)&amp;"元】")))</f>
        <v/>
      </c>
      <c r="F465" s="27" t="str" cm="1">
        <f t="array" ref="F465">IF($C465="","",_xlfn.XLOOKUP($A465&amp;$B465&amp;$C465,盘货信息!$A:$A&amp;盘货信息!$B:$B&amp;盘货信息!$C:$C,盘货信息!$D:$D)&amp;"元到手价")</f>
        <v/>
      </c>
      <c r="G465" s="27" t="str" cm="1">
        <f t="array" ref="G465">IF($C465="","",IF(_xlfn.XLOOKUP($A465&amp;$B465&amp;$C465,盘货信息!$A:$A&amp;盘货信息!$B:$B&amp;盘货信息!$C:$C,盘货信息!$G:$G)&lt;1,"",ROUND(_xlfn.XLOOKUP($A465&amp;$B465&amp;$C465,盘货信息!$A:$A&amp;盘货信息!$B:$B&amp;盘货信息!$C:$C,盘货信息!$G:$G),0)&amp;"元88VIP立减"))</f>
        <v/>
      </c>
      <c r="H465" s="27" t="str" cm="1">
        <f t="array" ref="H465">IF($C465="","",IF(_xlfn.XLOOKUP($A465&amp;$B465&amp;$C465,盘货信息!$A:$A&amp;盘货信息!$B:$B&amp;盘货信息!$C:$C,盘货信息!$I:$I)&lt;1,"",_xlfn.XLOOKUP($A465&amp;$B465&amp;$C465,盘货信息!$A:$A&amp;盘货信息!$B:$B&amp;盘货信息!$C:$C,盘货信息!$I:$I)&amp;"元惊喜立减"))</f>
        <v/>
      </c>
      <c r="I465" s="27" t="str" cm="1">
        <f t="array" ref="I465">IF($C465="","",IF(_xlfn.XLOOKUP($A465&amp;$B465&amp;$C465,盘货信息!$A:$A&amp;盘货信息!$B:$B&amp;盘货信息!$C:$C,盘货信息!$H:$H)&lt;1,"",ROUND(_xlfn.XLOOKUP($A465&amp;$B465&amp;$C465,盘货信息!$A:$A&amp;盘货信息!$B:$B&amp;盘货信息!$C:$C,盘货信息!$H:$H),0)&amp;"元消费券"))</f>
        <v/>
      </c>
      <c r="J465" s="27" t="str" cm="1">
        <f t="array" ref="J465">IF($C465="","",IF(_xlfn.XLOOKUP($A465&amp;$B465&amp;$C465,盘货信息!$A:$A&amp;盘货信息!$B:$B&amp;盘货信息!$C:$C,盘货信息!$J:$J)&lt;1,"",ROUND(_xlfn.XLOOKUP($A465&amp;$B465&amp;$C465,盘货信息!$A:$A&amp;盘货信息!$B:$B&amp;盘货信息!$C:$C,盘货信息!$J:$J),0)&amp;"元限时补贴"))</f>
        <v/>
      </c>
      <c r="K465" s="27" t="str" cm="1">
        <f t="array" ref="K465">IF($C465="","",IF(_xlfn.XLOOKUP($A465&amp;$B465&amp;$C465,盘货信息!$A:$A&amp;盘货信息!$B:$B&amp;盘货信息!$C:$C,盘货信息!$K:$K)&lt;1,"",ROUND(_xlfn.XLOOKUP($A465&amp;$B465&amp;$C465,盘货信息!$A:$A&amp;盘货信息!$B:$B&amp;盘货信息!$C:$C,盘货信息!$K:$K),0)&amp;"元预估焕新补贴"))</f>
        <v/>
      </c>
      <c r="L465" s="27" t="str" cm="1">
        <f t="array" ref="L465">IF($C465="","",IF(AND(_xlfn.XLOOKUP($A465&amp;$B465&amp;$C465,盘货信息!$A:$A&amp;盘货信息!$B:$B&amp;盘货信息!$C:$C,盘货信息!$L:$L)="是",_xlfn.XLOOKUP($A465&amp;$B465&amp;$C465,盘货信息!$A:$A&amp;盘货信息!$B:$B&amp;盘货信息!$C:$C,盘货信息!$M:$M)="是",_xlfn.XLOOKUP($A465&amp;$B465&amp;$C465,盘货信息!$A:$A&amp;盘货信息!$B:$B&amp;盘货信息!$C:$C,盘货信息!$K:$K)&gt;0),"【全民可用，不限地址】",IF(AND(OR(_xlfn.XLOOKUP($A465&amp;$B465&amp;$C465,盘货信息!$A:$A&amp;盘货信息!$B:$B&amp;盘货信息!$C:$C,盘货信息!$L:$L)="否",_xlfn.XLOOKUP($A465&amp;$B465&amp;$C465,盘货信息!$A:$A&amp;盘货信息!$B:$B&amp;盘货信息!$C:$C,盘货信息!$L:$L)=""),_xlfn.XLOOKUP($A465&amp;$B465&amp;$C465,盘货信息!$A:$A&amp;盘货信息!$B:$B&amp;盘货信息!$C:$C,盘货信息!$M:$M)="是",_xlfn.XLOOKUP($A465&amp;$B465&amp;$C465,盘货信息!$A:$A&amp;盘货信息!$B:$B&amp;盘货信息!$C:$C,盘货信息!$K:$K)&gt;0),"【详情页领取】","")))</f>
        <v/>
      </c>
      <c r="M465" s="27" t="str" cm="1">
        <f t="array" ref="M465">IF($C465="","",IF(_xlfn.XLOOKUP($A465&amp;$B465&amp;$C465,盘货信息!$A:$A&amp;盘货信息!$B:$B&amp;盘货信息!$C:$C,盘货信息!$F:$F)&lt;1,"",_xlfn.XLOOKUP($A465&amp;$B465&amp;$C465,盘货信息!$A:$A&amp;盘货信息!$B:$B&amp;盘货信息!$C:$C,盘货信息!$F:$F)&amp;"元明卷"))</f>
        <v/>
      </c>
      <c r="N465" s="27" t="str">
        <f t="shared" si="15"/>
        <v/>
      </c>
      <c r="O465" s="27" t="str">
        <f>IF(I465="","","【消费券链接】"&amp;固定信息!$B$6)</f>
        <v/>
      </c>
    </row>
    <row r="466" customHeight="1" spans="1:15">
      <c r="A466" s="23" t="str">
        <f>IF(盘货信息!A466="","",盘货信息!A466)</f>
        <v/>
      </c>
      <c r="B466" s="26" t="str">
        <f>IF(盘货信息!B466="","",盘货信息!B466)</f>
        <v/>
      </c>
      <c r="C466" s="23" t="str">
        <f>IF(盘货信息!C466="","",盘货信息!C466)</f>
        <v/>
      </c>
      <c r="D466" s="27" t="str">
        <f t="shared" si="14"/>
        <v/>
      </c>
      <c r="E466" s="27" t="str" cm="1">
        <f t="array" ref="E466">IF($C466="","",IF(AND(OR(_xlfn.XLOOKUP($A466&amp;$B466&amp;$C466,盘货信息!$A:$A&amp;盘货信息!$B:$B&amp;盘货信息!$C:$C,盘货信息!$L:$L)="否",_xlfn.XLOOKUP($A466&amp;$B466&amp;$C466,盘货信息!$A:$A&amp;盘货信息!$B:$B&amp;盘货信息!$C:$C,盘货信息!$L:$L)=""),_xlfn.XLOOKUP($A466&amp;$B466&amp;$C466,盘货信息!$A:$A&amp;盘货信息!$B:$B&amp;盘货信息!$C:$C,盘货信息!$M:$M)="否"),"【预估到手价"&amp;_xlfn.XLOOKUP($A466&amp;$B466&amp;$C466,盘货信息!$A:$A&amp;盘货信息!$B:$B&amp;盘货信息!$C:$C,盘货信息!$D:$D)&amp;"元】",IF(AND(_xlfn.XLOOKUP($A466&amp;$B466&amp;$C466,盘货信息!$A:$A&amp;盘货信息!$B:$B&amp;盘货信息!$C:$C,盘货信息!$M:$M)="是",OR(_xlfn.XLOOKUP($A466&amp;$B466&amp;$C466,盘货信息!$A:$A&amp;盘货信息!$B:$B&amp;盘货信息!$C:$C,盘货信息!$L:$L)="否",_xlfn.XLOOKUP($A466&amp;$B466&amp;$C466,盘货信息!$A:$A&amp;盘货信息!$B:$B&amp;盘货信息!$C:$C,盘货信息!$L:$L)="")),"【预估到手价"&amp;_xlfn.XLOOKUP($A466&amp;$B466&amp;$C466,盘货信息!$A:$A&amp;盘货信息!$B:$B&amp;盘货信息!$C:$C,盘货信息!$D:$D)&amp;"元】"&amp;CHAR(10)&amp;"【焕新补贴预估价"&amp;ROUND(_xlfn.XLOOKUP($A466&amp;$B466&amp;$C466,盘货信息!$A:$A&amp;盘货信息!$B:$B&amp;盘货信息!$C:$C,盘货信息!$E:$E),0)&amp;"元】","【焕新补贴预估价"&amp;ROUND(_xlfn.XLOOKUP($A466&amp;$B466&amp;$C466,盘货信息!$A:$A&amp;盘货信息!$B:$B&amp;盘货信息!$C:$C,盘货信息!$E:$E),0)&amp;"元】")))</f>
        <v/>
      </c>
      <c r="F466" s="27" t="str" cm="1">
        <f t="array" ref="F466">IF($C466="","",_xlfn.XLOOKUP($A466&amp;$B466&amp;$C466,盘货信息!$A:$A&amp;盘货信息!$B:$B&amp;盘货信息!$C:$C,盘货信息!$D:$D)&amp;"元到手价")</f>
        <v/>
      </c>
      <c r="G466" s="27" t="str" cm="1">
        <f t="array" ref="G466">IF($C466="","",IF(_xlfn.XLOOKUP($A466&amp;$B466&amp;$C466,盘货信息!$A:$A&amp;盘货信息!$B:$B&amp;盘货信息!$C:$C,盘货信息!$G:$G)&lt;1,"",ROUND(_xlfn.XLOOKUP($A466&amp;$B466&amp;$C466,盘货信息!$A:$A&amp;盘货信息!$B:$B&amp;盘货信息!$C:$C,盘货信息!$G:$G),0)&amp;"元88VIP立减"))</f>
        <v/>
      </c>
      <c r="H466" s="27" t="str" cm="1">
        <f t="array" ref="H466">IF($C466="","",IF(_xlfn.XLOOKUP($A466&amp;$B466&amp;$C466,盘货信息!$A:$A&amp;盘货信息!$B:$B&amp;盘货信息!$C:$C,盘货信息!$I:$I)&lt;1,"",_xlfn.XLOOKUP($A466&amp;$B466&amp;$C466,盘货信息!$A:$A&amp;盘货信息!$B:$B&amp;盘货信息!$C:$C,盘货信息!$I:$I)&amp;"元惊喜立减"))</f>
        <v/>
      </c>
      <c r="I466" s="27" t="str" cm="1">
        <f t="array" ref="I466">IF($C466="","",IF(_xlfn.XLOOKUP($A466&amp;$B466&amp;$C466,盘货信息!$A:$A&amp;盘货信息!$B:$B&amp;盘货信息!$C:$C,盘货信息!$H:$H)&lt;1,"",ROUND(_xlfn.XLOOKUP($A466&amp;$B466&amp;$C466,盘货信息!$A:$A&amp;盘货信息!$B:$B&amp;盘货信息!$C:$C,盘货信息!$H:$H),0)&amp;"元消费券"))</f>
        <v/>
      </c>
      <c r="J466" s="27" t="str" cm="1">
        <f t="array" ref="J466">IF($C466="","",IF(_xlfn.XLOOKUP($A466&amp;$B466&amp;$C466,盘货信息!$A:$A&amp;盘货信息!$B:$B&amp;盘货信息!$C:$C,盘货信息!$J:$J)&lt;1,"",ROUND(_xlfn.XLOOKUP($A466&amp;$B466&amp;$C466,盘货信息!$A:$A&amp;盘货信息!$B:$B&amp;盘货信息!$C:$C,盘货信息!$J:$J),0)&amp;"元限时补贴"))</f>
        <v/>
      </c>
      <c r="K466" s="27" t="str" cm="1">
        <f t="array" ref="K466">IF($C466="","",IF(_xlfn.XLOOKUP($A466&amp;$B466&amp;$C466,盘货信息!$A:$A&amp;盘货信息!$B:$B&amp;盘货信息!$C:$C,盘货信息!$K:$K)&lt;1,"",ROUND(_xlfn.XLOOKUP($A466&amp;$B466&amp;$C466,盘货信息!$A:$A&amp;盘货信息!$B:$B&amp;盘货信息!$C:$C,盘货信息!$K:$K),0)&amp;"元预估焕新补贴"))</f>
        <v/>
      </c>
      <c r="L466" s="27" t="str" cm="1">
        <f t="array" ref="L466">IF($C466="","",IF(AND(_xlfn.XLOOKUP($A466&amp;$B466&amp;$C466,盘货信息!$A:$A&amp;盘货信息!$B:$B&amp;盘货信息!$C:$C,盘货信息!$L:$L)="是",_xlfn.XLOOKUP($A466&amp;$B466&amp;$C466,盘货信息!$A:$A&amp;盘货信息!$B:$B&amp;盘货信息!$C:$C,盘货信息!$M:$M)="是",_xlfn.XLOOKUP($A466&amp;$B466&amp;$C466,盘货信息!$A:$A&amp;盘货信息!$B:$B&amp;盘货信息!$C:$C,盘货信息!$K:$K)&gt;0),"【全民可用，不限地址】",IF(AND(OR(_xlfn.XLOOKUP($A466&amp;$B466&amp;$C466,盘货信息!$A:$A&amp;盘货信息!$B:$B&amp;盘货信息!$C:$C,盘货信息!$L:$L)="否",_xlfn.XLOOKUP($A466&amp;$B466&amp;$C466,盘货信息!$A:$A&amp;盘货信息!$B:$B&amp;盘货信息!$C:$C,盘货信息!$L:$L)=""),_xlfn.XLOOKUP($A466&amp;$B466&amp;$C466,盘货信息!$A:$A&amp;盘货信息!$B:$B&amp;盘货信息!$C:$C,盘货信息!$M:$M)="是",_xlfn.XLOOKUP($A466&amp;$B466&amp;$C466,盘货信息!$A:$A&amp;盘货信息!$B:$B&amp;盘货信息!$C:$C,盘货信息!$K:$K)&gt;0),"【详情页领取】","")))</f>
        <v/>
      </c>
      <c r="M466" s="27" t="str" cm="1">
        <f t="array" ref="M466">IF($C466="","",IF(_xlfn.XLOOKUP($A466&amp;$B466&amp;$C466,盘货信息!$A:$A&amp;盘货信息!$B:$B&amp;盘货信息!$C:$C,盘货信息!$F:$F)&lt;1,"",_xlfn.XLOOKUP($A466&amp;$B466&amp;$C466,盘货信息!$A:$A&amp;盘货信息!$B:$B&amp;盘货信息!$C:$C,盘货信息!$F:$F)&amp;"元明卷"))</f>
        <v/>
      </c>
      <c r="N466" s="27" t="str">
        <f t="shared" si="15"/>
        <v/>
      </c>
      <c r="O466" s="27" t="str">
        <f>IF(I466="","","【消费券链接】"&amp;固定信息!$B$6)</f>
        <v/>
      </c>
    </row>
    <row r="467" customHeight="1" spans="1:15">
      <c r="A467" s="23" t="str">
        <f>IF(盘货信息!A467="","",盘货信息!A467)</f>
        <v/>
      </c>
      <c r="B467" s="26" t="str">
        <f>IF(盘货信息!B467="","",盘货信息!B467)</f>
        <v/>
      </c>
      <c r="C467" s="23" t="str">
        <f>IF(盘货信息!C467="","",盘货信息!C467)</f>
        <v/>
      </c>
      <c r="D467" s="27" t="str">
        <f t="shared" si="14"/>
        <v/>
      </c>
      <c r="E467" s="27" t="str" cm="1">
        <f t="array" ref="E467">IF($C467="","",IF(AND(OR(_xlfn.XLOOKUP($A467&amp;$B467&amp;$C467,盘货信息!$A:$A&amp;盘货信息!$B:$B&amp;盘货信息!$C:$C,盘货信息!$L:$L)="否",_xlfn.XLOOKUP($A467&amp;$B467&amp;$C467,盘货信息!$A:$A&amp;盘货信息!$B:$B&amp;盘货信息!$C:$C,盘货信息!$L:$L)=""),_xlfn.XLOOKUP($A467&amp;$B467&amp;$C467,盘货信息!$A:$A&amp;盘货信息!$B:$B&amp;盘货信息!$C:$C,盘货信息!$M:$M)="否"),"【预估到手价"&amp;_xlfn.XLOOKUP($A467&amp;$B467&amp;$C467,盘货信息!$A:$A&amp;盘货信息!$B:$B&amp;盘货信息!$C:$C,盘货信息!$D:$D)&amp;"元】",IF(AND(_xlfn.XLOOKUP($A467&amp;$B467&amp;$C467,盘货信息!$A:$A&amp;盘货信息!$B:$B&amp;盘货信息!$C:$C,盘货信息!$M:$M)="是",OR(_xlfn.XLOOKUP($A467&amp;$B467&amp;$C467,盘货信息!$A:$A&amp;盘货信息!$B:$B&amp;盘货信息!$C:$C,盘货信息!$L:$L)="否",_xlfn.XLOOKUP($A467&amp;$B467&amp;$C467,盘货信息!$A:$A&amp;盘货信息!$B:$B&amp;盘货信息!$C:$C,盘货信息!$L:$L)="")),"【预估到手价"&amp;_xlfn.XLOOKUP($A467&amp;$B467&amp;$C467,盘货信息!$A:$A&amp;盘货信息!$B:$B&amp;盘货信息!$C:$C,盘货信息!$D:$D)&amp;"元】"&amp;CHAR(10)&amp;"【焕新补贴预估价"&amp;ROUND(_xlfn.XLOOKUP($A467&amp;$B467&amp;$C467,盘货信息!$A:$A&amp;盘货信息!$B:$B&amp;盘货信息!$C:$C,盘货信息!$E:$E),0)&amp;"元】","【焕新补贴预估价"&amp;ROUND(_xlfn.XLOOKUP($A467&amp;$B467&amp;$C467,盘货信息!$A:$A&amp;盘货信息!$B:$B&amp;盘货信息!$C:$C,盘货信息!$E:$E),0)&amp;"元】")))</f>
        <v/>
      </c>
      <c r="F467" s="27" t="str" cm="1">
        <f t="array" ref="F467">IF($C467="","",_xlfn.XLOOKUP($A467&amp;$B467&amp;$C467,盘货信息!$A:$A&amp;盘货信息!$B:$B&amp;盘货信息!$C:$C,盘货信息!$D:$D)&amp;"元到手价")</f>
        <v/>
      </c>
      <c r="G467" s="27" t="str" cm="1">
        <f t="array" ref="G467">IF($C467="","",IF(_xlfn.XLOOKUP($A467&amp;$B467&amp;$C467,盘货信息!$A:$A&amp;盘货信息!$B:$B&amp;盘货信息!$C:$C,盘货信息!$G:$G)&lt;1,"",ROUND(_xlfn.XLOOKUP($A467&amp;$B467&amp;$C467,盘货信息!$A:$A&amp;盘货信息!$B:$B&amp;盘货信息!$C:$C,盘货信息!$G:$G),0)&amp;"元88VIP立减"))</f>
        <v/>
      </c>
      <c r="H467" s="27" t="str" cm="1">
        <f t="array" ref="H467">IF($C467="","",IF(_xlfn.XLOOKUP($A467&amp;$B467&amp;$C467,盘货信息!$A:$A&amp;盘货信息!$B:$B&amp;盘货信息!$C:$C,盘货信息!$I:$I)&lt;1,"",_xlfn.XLOOKUP($A467&amp;$B467&amp;$C467,盘货信息!$A:$A&amp;盘货信息!$B:$B&amp;盘货信息!$C:$C,盘货信息!$I:$I)&amp;"元惊喜立减"))</f>
        <v/>
      </c>
      <c r="I467" s="27" t="str" cm="1">
        <f t="array" ref="I467">IF($C467="","",IF(_xlfn.XLOOKUP($A467&amp;$B467&amp;$C467,盘货信息!$A:$A&amp;盘货信息!$B:$B&amp;盘货信息!$C:$C,盘货信息!$H:$H)&lt;1,"",ROUND(_xlfn.XLOOKUP($A467&amp;$B467&amp;$C467,盘货信息!$A:$A&amp;盘货信息!$B:$B&amp;盘货信息!$C:$C,盘货信息!$H:$H),0)&amp;"元消费券"))</f>
        <v/>
      </c>
      <c r="J467" s="27" t="str" cm="1">
        <f t="array" ref="J467">IF($C467="","",IF(_xlfn.XLOOKUP($A467&amp;$B467&amp;$C467,盘货信息!$A:$A&amp;盘货信息!$B:$B&amp;盘货信息!$C:$C,盘货信息!$J:$J)&lt;1,"",ROUND(_xlfn.XLOOKUP($A467&amp;$B467&amp;$C467,盘货信息!$A:$A&amp;盘货信息!$B:$B&amp;盘货信息!$C:$C,盘货信息!$J:$J),0)&amp;"元限时补贴"))</f>
        <v/>
      </c>
      <c r="K467" s="27" t="str" cm="1">
        <f t="array" ref="K467">IF($C467="","",IF(_xlfn.XLOOKUP($A467&amp;$B467&amp;$C467,盘货信息!$A:$A&amp;盘货信息!$B:$B&amp;盘货信息!$C:$C,盘货信息!$K:$K)&lt;1,"",ROUND(_xlfn.XLOOKUP($A467&amp;$B467&amp;$C467,盘货信息!$A:$A&amp;盘货信息!$B:$B&amp;盘货信息!$C:$C,盘货信息!$K:$K),0)&amp;"元预估焕新补贴"))</f>
        <v/>
      </c>
      <c r="L467" s="27" t="str" cm="1">
        <f t="array" ref="L467">IF($C467="","",IF(AND(_xlfn.XLOOKUP($A467&amp;$B467&amp;$C467,盘货信息!$A:$A&amp;盘货信息!$B:$B&amp;盘货信息!$C:$C,盘货信息!$L:$L)="是",_xlfn.XLOOKUP($A467&amp;$B467&amp;$C467,盘货信息!$A:$A&amp;盘货信息!$B:$B&amp;盘货信息!$C:$C,盘货信息!$M:$M)="是",_xlfn.XLOOKUP($A467&amp;$B467&amp;$C467,盘货信息!$A:$A&amp;盘货信息!$B:$B&amp;盘货信息!$C:$C,盘货信息!$K:$K)&gt;0),"【全民可用，不限地址】",IF(AND(OR(_xlfn.XLOOKUP($A467&amp;$B467&amp;$C467,盘货信息!$A:$A&amp;盘货信息!$B:$B&amp;盘货信息!$C:$C,盘货信息!$L:$L)="否",_xlfn.XLOOKUP($A467&amp;$B467&amp;$C467,盘货信息!$A:$A&amp;盘货信息!$B:$B&amp;盘货信息!$C:$C,盘货信息!$L:$L)=""),_xlfn.XLOOKUP($A467&amp;$B467&amp;$C467,盘货信息!$A:$A&amp;盘货信息!$B:$B&amp;盘货信息!$C:$C,盘货信息!$M:$M)="是",_xlfn.XLOOKUP($A467&amp;$B467&amp;$C467,盘货信息!$A:$A&amp;盘货信息!$B:$B&amp;盘货信息!$C:$C,盘货信息!$K:$K)&gt;0),"【详情页领取】","")))</f>
        <v/>
      </c>
      <c r="M467" s="27" t="str" cm="1">
        <f t="array" ref="M467">IF($C467="","",IF(_xlfn.XLOOKUP($A467&amp;$B467&amp;$C467,盘货信息!$A:$A&amp;盘货信息!$B:$B&amp;盘货信息!$C:$C,盘货信息!$F:$F)&lt;1,"",_xlfn.XLOOKUP($A467&amp;$B467&amp;$C467,盘货信息!$A:$A&amp;盘货信息!$B:$B&amp;盘货信息!$C:$C,盘货信息!$F:$F)&amp;"元明卷"))</f>
        <v/>
      </c>
      <c r="N467" s="27" t="str">
        <f t="shared" si="15"/>
        <v/>
      </c>
      <c r="O467" s="27" t="str">
        <f>IF(I467="","","【消费券链接】"&amp;固定信息!$B$6)</f>
        <v/>
      </c>
    </row>
    <row r="468" customHeight="1" spans="1:15">
      <c r="A468" s="23" t="str">
        <f>IF(盘货信息!A468="","",盘货信息!A468)</f>
        <v/>
      </c>
      <c r="B468" s="26" t="str">
        <f>IF(盘货信息!B468="","",盘货信息!B468)</f>
        <v/>
      </c>
      <c r="C468" s="23" t="str">
        <f>IF(盘货信息!C468="","",盘货信息!C468)</f>
        <v/>
      </c>
      <c r="D468" s="27" t="str">
        <f t="shared" si="14"/>
        <v/>
      </c>
      <c r="E468" s="27" t="str" cm="1">
        <f t="array" ref="E468">IF($C468="","",IF(AND(OR(_xlfn.XLOOKUP($A468&amp;$B468&amp;$C468,盘货信息!$A:$A&amp;盘货信息!$B:$B&amp;盘货信息!$C:$C,盘货信息!$L:$L)="否",_xlfn.XLOOKUP($A468&amp;$B468&amp;$C468,盘货信息!$A:$A&amp;盘货信息!$B:$B&amp;盘货信息!$C:$C,盘货信息!$L:$L)=""),_xlfn.XLOOKUP($A468&amp;$B468&amp;$C468,盘货信息!$A:$A&amp;盘货信息!$B:$B&amp;盘货信息!$C:$C,盘货信息!$M:$M)="否"),"【预估到手价"&amp;_xlfn.XLOOKUP($A468&amp;$B468&amp;$C468,盘货信息!$A:$A&amp;盘货信息!$B:$B&amp;盘货信息!$C:$C,盘货信息!$D:$D)&amp;"元】",IF(AND(_xlfn.XLOOKUP($A468&amp;$B468&amp;$C468,盘货信息!$A:$A&amp;盘货信息!$B:$B&amp;盘货信息!$C:$C,盘货信息!$M:$M)="是",OR(_xlfn.XLOOKUP($A468&amp;$B468&amp;$C468,盘货信息!$A:$A&amp;盘货信息!$B:$B&amp;盘货信息!$C:$C,盘货信息!$L:$L)="否",_xlfn.XLOOKUP($A468&amp;$B468&amp;$C468,盘货信息!$A:$A&amp;盘货信息!$B:$B&amp;盘货信息!$C:$C,盘货信息!$L:$L)="")),"【预估到手价"&amp;_xlfn.XLOOKUP($A468&amp;$B468&amp;$C468,盘货信息!$A:$A&amp;盘货信息!$B:$B&amp;盘货信息!$C:$C,盘货信息!$D:$D)&amp;"元】"&amp;CHAR(10)&amp;"【焕新补贴预估价"&amp;ROUND(_xlfn.XLOOKUP($A468&amp;$B468&amp;$C468,盘货信息!$A:$A&amp;盘货信息!$B:$B&amp;盘货信息!$C:$C,盘货信息!$E:$E),0)&amp;"元】","【焕新补贴预估价"&amp;ROUND(_xlfn.XLOOKUP($A468&amp;$B468&amp;$C468,盘货信息!$A:$A&amp;盘货信息!$B:$B&amp;盘货信息!$C:$C,盘货信息!$E:$E),0)&amp;"元】")))</f>
        <v/>
      </c>
      <c r="F468" s="27" t="str" cm="1">
        <f t="array" ref="F468">IF($C468="","",_xlfn.XLOOKUP($A468&amp;$B468&amp;$C468,盘货信息!$A:$A&amp;盘货信息!$B:$B&amp;盘货信息!$C:$C,盘货信息!$D:$D)&amp;"元到手价")</f>
        <v/>
      </c>
      <c r="G468" s="27" t="str" cm="1">
        <f t="array" ref="G468">IF($C468="","",IF(_xlfn.XLOOKUP($A468&amp;$B468&amp;$C468,盘货信息!$A:$A&amp;盘货信息!$B:$B&amp;盘货信息!$C:$C,盘货信息!$G:$G)&lt;1,"",ROUND(_xlfn.XLOOKUP($A468&amp;$B468&amp;$C468,盘货信息!$A:$A&amp;盘货信息!$B:$B&amp;盘货信息!$C:$C,盘货信息!$G:$G),0)&amp;"元88VIP立减"))</f>
        <v/>
      </c>
      <c r="H468" s="27" t="str" cm="1">
        <f t="array" ref="H468">IF($C468="","",IF(_xlfn.XLOOKUP($A468&amp;$B468&amp;$C468,盘货信息!$A:$A&amp;盘货信息!$B:$B&amp;盘货信息!$C:$C,盘货信息!$I:$I)&lt;1,"",_xlfn.XLOOKUP($A468&amp;$B468&amp;$C468,盘货信息!$A:$A&amp;盘货信息!$B:$B&amp;盘货信息!$C:$C,盘货信息!$I:$I)&amp;"元惊喜立减"))</f>
        <v/>
      </c>
      <c r="I468" s="27" t="str" cm="1">
        <f t="array" ref="I468">IF($C468="","",IF(_xlfn.XLOOKUP($A468&amp;$B468&amp;$C468,盘货信息!$A:$A&amp;盘货信息!$B:$B&amp;盘货信息!$C:$C,盘货信息!$H:$H)&lt;1,"",ROUND(_xlfn.XLOOKUP($A468&amp;$B468&amp;$C468,盘货信息!$A:$A&amp;盘货信息!$B:$B&amp;盘货信息!$C:$C,盘货信息!$H:$H),0)&amp;"元消费券"))</f>
        <v/>
      </c>
      <c r="J468" s="27" t="str" cm="1">
        <f t="array" ref="J468">IF($C468="","",IF(_xlfn.XLOOKUP($A468&amp;$B468&amp;$C468,盘货信息!$A:$A&amp;盘货信息!$B:$B&amp;盘货信息!$C:$C,盘货信息!$J:$J)&lt;1,"",ROUND(_xlfn.XLOOKUP($A468&amp;$B468&amp;$C468,盘货信息!$A:$A&amp;盘货信息!$B:$B&amp;盘货信息!$C:$C,盘货信息!$J:$J),0)&amp;"元限时补贴"))</f>
        <v/>
      </c>
      <c r="K468" s="27" t="str" cm="1">
        <f t="array" ref="K468">IF($C468="","",IF(_xlfn.XLOOKUP($A468&amp;$B468&amp;$C468,盘货信息!$A:$A&amp;盘货信息!$B:$B&amp;盘货信息!$C:$C,盘货信息!$K:$K)&lt;1,"",ROUND(_xlfn.XLOOKUP($A468&amp;$B468&amp;$C468,盘货信息!$A:$A&amp;盘货信息!$B:$B&amp;盘货信息!$C:$C,盘货信息!$K:$K),0)&amp;"元预估焕新补贴"))</f>
        <v/>
      </c>
      <c r="L468" s="27" t="str" cm="1">
        <f t="array" ref="L468">IF($C468="","",IF(AND(_xlfn.XLOOKUP($A468&amp;$B468&amp;$C468,盘货信息!$A:$A&amp;盘货信息!$B:$B&amp;盘货信息!$C:$C,盘货信息!$L:$L)="是",_xlfn.XLOOKUP($A468&amp;$B468&amp;$C468,盘货信息!$A:$A&amp;盘货信息!$B:$B&amp;盘货信息!$C:$C,盘货信息!$M:$M)="是",_xlfn.XLOOKUP($A468&amp;$B468&amp;$C468,盘货信息!$A:$A&amp;盘货信息!$B:$B&amp;盘货信息!$C:$C,盘货信息!$K:$K)&gt;0),"【全民可用，不限地址】",IF(AND(OR(_xlfn.XLOOKUP($A468&amp;$B468&amp;$C468,盘货信息!$A:$A&amp;盘货信息!$B:$B&amp;盘货信息!$C:$C,盘货信息!$L:$L)="否",_xlfn.XLOOKUP($A468&amp;$B468&amp;$C468,盘货信息!$A:$A&amp;盘货信息!$B:$B&amp;盘货信息!$C:$C,盘货信息!$L:$L)=""),_xlfn.XLOOKUP($A468&amp;$B468&amp;$C468,盘货信息!$A:$A&amp;盘货信息!$B:$B&amp;盘货信息!$C:$C,盘货信息!$M:$M)="是",_xlfn.XLOOKUP($A468&amp;$B468&amp;$C468,盘货信息!$A:$A&amp;盘货信息!$B:$B&amp;盘货信息!$C:$C,盘货信息!$K:$K)&gt;0),"【详情页领取】","")))</f>
        <v/>
      </c>
      <c r="M468" s="27" t="str" cm="1">
        <f t="array" ref="M468">IF($C468="","",IF(_xlfn.XLOOKUP($A468&amp;$B468&amp;$C468,盘货信息!$A:$A&amp;盘货信息!$B:$B&amp;盘货信息!$C:$C,盘货信息!$F:$F)&lt;1,"",_xlfn.XLOOKUP($A468&amp;$B468&amp;$C468,盘货信息!$A:$A&amp;盘货信息!$B:$B&amp;盘货信息!$C:$C,盘货信息!$F:$F)&amp;"元明卷"))</f>
        <v/>
      </c>
      <c r="N468" s="27" t="str">
        <f t="shared" si="15"/>
        <v/>
      </c>
      <c r="O468" s="27" t="str">
        <f>IF(I468="","","【消费券链接】"&amp;固定信息!$B$6)</f>
        <v/>
      </c>
    </row>
    <row r="469" customHeight="1" spans="1:15">
      <c r="A469" s="23" t="str">
        <f>IF(盘货信息!A469="","",盘货信息!A469)</f>
        <v/>
      </c>
      <c r="B469" s="26" t="str">
        <f>IF(盘货信息!B469="","",盘货信息!B469)</f>
        <v/>
      </c>
      <c r="C469" s="23" t="str">
        <f>IF(盘货信息!C469="","",盘货信息!C469)</f>
        <v/>
      </c>
      <c r="D469" s="27" t="str">
        <f t="shared" si="14"/>
        <v/>
      </c>
      <c r="E469" s="27" t="str" cm="1">
        <f t="array" ref="E469">IF($C469="","",IF(AND(OR(_xlfn.XLOOKUP($A469&amp;$B469&amp;$C469,盘货信息!$A:$A&amp;盘货信息!$B:$B&amp;盘货信息!$C:$C,盘货信息!$L:$L)="否",_xlfn.XLOOKUP($A469&amp;$B469&amp;$C469,盘货信息!$A:$A&amp;盘货信息!$B:$B&amp;盘货信息!$C:$C,盘货信息!$L:$L)=""),_xlfn.XLOOKUP($A469&amp;$B469&amp;$C469,盘货信息!$A:$A&amp;盘货信息!$B:$B&amp;盘货信息!$C:$C,盘货信息!$M:$M)="否"),"【预估到手价"&amp;_xlfn.XLOOKUP($A469&amp;$B469&amp;$C469,盘货信息!$A:$A&amp;盘货信息!$B:$B&amp;盘货信息!$C:$C,盘货信息!$D:$D)&amp;"元】",IF(AND(_xlfn.XLOOKUP($A469&amp;$B469&amp;$C469,盘货信息!$A:$A&amp;盘货信息!$B:$B&amp;盘货信息!$C:$C,盘货信息!$M:$M)="是",OR(_xlfn.XLOOKUP($A469&amp;$B469&amp;$C469,盘货信息!$A:$A&amp;盘货信息!$B:$B&amp;盘货信息!$C:$C,盘货信息!$L:$L)="否",_xlfn.XLOOKUP($A469&amp;$B469&amp;$C469,盘货信息!$A:$A&amp;盘货信息!$B:$B&amp;盘货信息!$C:$C,盘货信息!$L:$L)="")),"【预估到手价"&amp;_xlfn.XLOOKUP($A469&amp;$B469&amp;$C469,盘货信息!$A:$A&amp;盘货信息!$B:$B&amp;盘货信息!$C:$C,盘货信息!$D:$D)&amp;"元】"&amp;CHAR(10)&amp;"【焕新补贴预估价"&amp;ROUND(_xlfn.XLOOKUP($A469&amp;$B469&amp;$C469,盘货信息!$A:$A&amp;盘货信息!$B:$B&amp;盘货信息!$C:$C,盘货信息!$E:$E),0)&amp;"元】","【焕新补贴预估价"&amp;ROUND(_xlfn.XLOOKUP($A469&amp;$B469&amp;$C469,盘货信息!$A:$A&amp;盘货信息!$B:$B&amp;盘货信息!$C:$C,盘货信息!$E:$E),0)&amp;"元】")))</f>
        <v/>
      </c>
      <c r="F469" s="27" t="str" cm="1">
        <f t="array" ref="F469">IF($C469="","",_xlfn.XLOOKUP($A469&amp;$B469&amp;$C469,盘货信息!$A:$A&amp;盘货信息!$B:$B&amp;盘货信息!$C:$C,盘货信息!$D:$D)&amp;"元到手价")</f>
        <v/>
      </c>
      <c r="G469" s="27" t="str" cm="1">
        <f t="array" ref="G469">IF($C469="","",IF(_xlfn.XLOOKUP($A469&amp;$B469&amp;$C469,盘货信息!$A:$A&amp;盘货信息!$B:$B&amp;盘货信息!$C:$C,盘货信息!$G:$G)&lt;1,"",ROUND(_xlfn.XLOOKUP($A469&amp;$B469&amp;$C469,盘货信息!$A:$A&amp;盘货信息!$B:$B&amp;盘货信息!$C:$C,盘货信息!$G:$G),0)&amp;"元88VIP立减"))</f>
        <v/>
      </c>
      <c r="H469" s="27" t="str" cm="1">
        <f t="array" ref="H469">IF($C469="","",IF(_xlfn.XLOOKUP($A469&amp;$B469&amp;$C469,盘货信息!$A:$A&amp;盘货信息!$B:$B&amp;盘货信息!$C:$C,盘货信息!$I:$I)&lt;1,"",_xlfn.XLOOKUP($A469&amp;$B469&amp;$C469,盘货信息!$A:$A&amp;盘货信息!$B:$B&amp;盘货信息!$C:$C,盘货信息!$I:$I)&amp;"元惊喜立减"))</f>
        <v/>
      </c>
      <c r="I469" s="27" t="str" cm="1">
        <f t="array" ref="I469">IF($C469="","",IF(_xlfn.XLOOKUP($A469&amp;$B469&amp;$C469,盘货信息!$A:$A&amp;盘货信息!$B:$B&amp;盘货信息!$C:$C,盘货信息!$H:$H)&lt;1,"",ROUND(_xlfn.XLOOKUP($A469&amp;$B469&amp;$C469,盘货信息!$A:$A&amp;盘货信息!$B:$B&amp;盘货信息!$C:$C,盘货信息!$H:$H),0)&amp;"元消费券"))</f>
        <v/>
      </c>
      <c r="J469" s="27" t="str" cm="1">
        <f t="array" ref="J469">IF($C469="","",IF(_xlfn.XLOOKUP($A469&amp;$B469&amp;$C469,盘货信息!$A:$A&amp;盘货信息!$B:$B&amp;盘货信息!$C:$C,盘货信息!$J:$J)&lt;1,"",ROUND(_xlfn.XLOOKUP($A469&amp;$B469&amp;$C469,盘货信息!$A:$A&amp;盘货信息!$B:$B&amp;盘货信息!$C:$C,盘货信息!$J:$J),0)&amp;"元限时补贴"))</f>
        <v/>
      </c>
      <c r="K469" s="27" t="str" cm="1">
        <f t="array" ref="K469">IF($C469="","",IF(_xlfn.XLOOKUP($A469&amp;$B469&amp;$C469,盘货信息!$A:$A&amp;盘货信息!$B:$B&amp;盘货信息!$C:$C,盘货信息!$K:$K)&lt;1,"",ROUND(_xlfn.XLOOKUP($A469&amp;$B469&amp;$C469,盘货信息!$A:$A&amp;盘货信息!$B:$B&amp;盘货信息!$C:$C,盘货信息!$K:$K),0)&amp;"元预估焕新补贴"))</f>
        <v/>
      </c>
      <c r="L469" s="27" t="str" cm="1">
        <f t="array" ref="L469">IF($C469="","",IF(AND(_xlfn.XLOOKUP($A469&amp;$B469&amp;$C469,盘货信息!$A:$A&amp;盘货信息!$B:$B&amp;盘货信息!$C:$C,盘货信息!$L:$L)="是",_xlfn.XLOOKUP($A469&amp;$B469&amp;$C469,盘货信息!$A:$A&amp;盘货信息!$B:$B&amp;盘货信息!$C:$C,盘货信息!$M:$M)="是",_xlfn.XLOOKUP($A469&amp;$B469&amp;$C469,盘货信息!$A:$A&amp;盘货信息!$B:$B&amp;盘货信息!$C:$C,盘货信息!$K:$K)&gt;0),"【全民可用，不限地址】",IF(AND(OR(_xlfn.XLOOKUP($A469&amp;$B469&amp;$C469,盘货信息!$A:$A&amp;盘货信息!$B:$B&amp;盘货信息!$C:$C,盘货信息!$L:$L)="否",_xlfn.XLOOKUP($A469&amp;$B469&amp;$C469,盘货信息!$A:$A&amp;盘货信息!$B:$B&amp;盘货信息!$C:$C,盘货信息!$L:$L)=""),_xlfn.XLOOKUP($A469&amp;$B469&amp;$C469,盘货信息!$A:$A&amp;盘货信息!$B:$B&amp;盘货信息!$C:$C,盘货信息!$M:$M)="是",_xlfn.XLOOKUP($A469&amp;$B469&amp;$C469,盘货信息!$A:$A&amp;盘货信息!$B:$B&amp;盘货信息!$C:$C,盘货信息!$K:$K)&gt;0),"【详情页领取】","")))</f>
        <v/>
      </c>
      <c r="M469" s="27" t="str" cm="1">
        <f t="array" ref="M469">IF($C469="","",IF(_xlfn.XLOOKUP($A469&amp;$B469&amp;$C469,盘货信息!$A:$A&amp;盘货信息!$B:$B&amp;盘货信息!$C:$C,盘货信息!$F:$F)&lt;1,"",_xlfn.XLOOKUP($A469&amp;$B469&amp;$C469,盘货信息!$A:$A&amp;盘货信息!$B:$B&amp;盘货信息!$C:$C,盘货信息!$F:$F)&amp;"元明卷"))</f>
        <v/>
      </c>
      <c r="N469" s="27" t="str">
        <f t="shared" si="15"/>
        <v/>
      </c>
      <c r="O469" s="27" t="str">
        <f>IF(I469="","","【消费券链接】"&amp;固定信息!$B$6)</f>
        <v/>
      </c>
    </row>
    <row r="470" customHeight="1" spans="1:15">
      <c r="A470" s="23" t="str">
        <f>IF(盘货信息!A470="","",盘货信息!A470)</f>
        <v/>
      </c>
      <c r="B470" s="26" t="str">
        <f>IF(盘货信息!B470="","",盘货信息!B470)</f>
        <v/>
      </c>
      <c r="C470" s="23" t="str">
        <f>IF(盘货信息!C470="","",盘货信息!C470)</f>
        <v/>
      </c>
      <c r="D470" s="27" t="str">
        <f t="shared" si="14"/>
        <v/>
      </c>
      <c r="E470" s="27" t="str" cm="1">
        <f t="array" ref="E470">IF($C470="","",IF(AND(OR(_xlfn.XLOOKUP($A470&amp;$B470&amp;$C470,盘货信息!$A:$A&amp;盘货信息!$B:$B&amp;盘货信息!$C:$C,盘货信息!$L:$L)="否",_xlfn.XLOOKUP($A470&amp;$B470&amp;$C470,盘货信息!$A:$A&amp;盘货信息!$B:$B&amp;盘货信息!$C:$C,盘货信息!$L:$L)=""),_xlfn.XLOOKUP($A470&amp;$B470&amp;$C470,盘货信息!$A:$A&amp;盘货信息!$B:$B&amp;盘货信息!$C:$C,盘货信息!$M:$M)="否"),"【预估到手价"&amp;_xlfn.XLOOKUP($A470&amp;$B470&amp;$C470,盘货信息!$A:$A&amp;盘货信息!$B:$B&amp;盘货信息!$C:$C,盘货信息!$D:$D)&amp;"元】",IF(AND(_xlfn.XLOOKUP($A470&amp;$B470&amp;$C470,盘货信息!$A:$A&amp;盘货信息!$B:$B&amp;盘货信息!$C:$C,盘货信息!$M:$M)="是",OR(_xlfn.XLOOKUP($A470&amp;$B470&amp;$C470,盘货信息!$A:$A&amp;盘货信息!$B:$B&amp;盘货信息!$C:$C,盘货信息!$L:$L)="否",_xlfn.XLOOKUP($A470&amp;$B470&amp;$C470,盘货信息!$A:$A&amp;盘货信息!$B:$B&amp;盘货信息!$C:$C,盘货信息!$L:$L)="")),"【预估到手价"&amp;_xlfn.XLOOKUP($A470&amp;$B470&amp;$C470,盘货信息!$A:$A&amp;盘货信息!$B:$B&amp;盘货信息!$C:$C,盘货信息!$D:$D)&amp;"元】"&amp;CHAR(10)&amp;"【焕新补贴预估价"&amp;ROUND(_xlfn.XLOOKUP($A470&amp;$B470&amp;$C470,盘货信息!$A:$A&amp;盘货信息!$B:$B&amp;盘货信息!$C:$C,盘货信息!$E:$E),0)&amp;"元】","【焕新补贴预估价"&amp;ROUND(_xlfn.XLOOKUP($A470&amp;$B470&amp;$C470,盘货信息!$A:$A&amp;盘货信息!$B:$B&amp;盘货信息!$C:$C,盘货信息!$E:$E),0)&amp;"元】")))</f>
        <v/>
      </c>
      <c r="F470" s="27" t="str" cm="1">
        <f t="array" ref="F470">IF($C470="","",_xlfn.XLOOKUP($A470&amp;$B470&amp;$C470,盘货信息!$A:$A&amp;盘货信息!$B:$B&amp;盘货信息!$C:$C,盘货信息!$D:$D)&amp;"元到手价")</f>
        <v/>
      </c>
      <c r="G470" s="27" t="str" cm="1">
        <f t="array" ref="G470">IF($C470="","",IF(_xlfn.XLOOKUP($A470&amp;$B470&amp;$C470,盘货信息!$A:$A&amp;盘货信息!$B:$B&amp;盘货信息!$C:$C,盘货信息!$G:$G)&lt;1,"",ROUND(_xlfn.XLOOKUP($A470&amp;$B470&amp;$C470,盘货信息!$A:$A&amp;盘货信息!$B:$B&amp;盘货信息!$C:$C,盘货信息!$G:$G),0)&amp;"元88VIP立减"))</f>
        <v/>
      </c>
      <c r="H470" s="27" t="str" cm="1">
        <f t="array" ref="H470">IF($C470="","",IF(_xlfn.XLOOKUP($A470&amp;$B470&amp;$C470,盘货信息!$A:$A&amp;盘货信息!$B:$B&amp;盘货信息!$C:$C,盘货信息!$I:$I)&lt;1,"",_xlfn.XLOOKUP($A470&amp;$B470&amp;$C470,盘货信息!$A:$A&amp;盘货信息!$B:$B&amp;盘货信息!$C:$C,盘货信息!$I:$I)&amp;"元惊喜立减"))</f>
        <v/>
      </c>
      <c r="I470" s="27" t="str" cm="1">
        <f t="array" ref="I470">IF($C470="","",IF(_xlfn.XLOOKUP($A470&amp;$B470&amp;$C470,盘货信息!$A:$A&amp;盘货信息!$B:$B&amp;盘货信息!$C:$C,盘货信息!$H:$H)&lt;1,"",ROUND(_xlfn.XLOOKUP($A470&amp;$B470&amp;$C470,盘货信息!$A:$A&amp;盘货信息!$B:$B&amp;盘货信息!$C:$C,盘货信息!$H:$H),0)&amp;"元消费券"))</f>
        <v/>
      </c>
      <c r="J470" s="27" t="str" cm="1">
        <f t="array" ref="J470">IF($C470="","",IF(_xlfn.XLOOKUP($A470&amp;$B470&amp;$C470,盘货信息!$A:$A&amp;盘货信息!$B:$B&amp;盘货信息!$C:$C,盘货信息!$J:$J)&lt;1,"",ROUND(_xlfn.XLOOKUP($A470&amp;$B470&amp;$C470,盘货信息!$A:$A&amp;盘货信息!$B:$B&amp;盘货信息!$C:$C,盘货信息!$J:$J),0)&amp;"元限时补贴"))</f>
        <v/>
      </c>
      <c r="K470" s="27" t="str" cm="1">
        <f t="array" ref="K470">IF($C470="","",IF(_xlfn.XLOOKUP($A470&amp;$B470&amp;$C470,盘货信息!$A:$A&amp;盘货信息!$B:$B&amp;盘货信息!$C:$C,盘货信息!$K:$K)&lt;1,"",ROUND(_xlfn.XLOOKUP($A470&amp;$B470&amp;$C470,盘货信息!$A:$A&amp;盘货信息!$B:$B&amp;盘货信息!$C:$C,盘货信息!$K:$K),0)&amp;"元预估焕新补贴"))</f>
        <v/>
      </c>
      <c r="L470" s="27" t="str" cm="1">
        <f t="array" ref="L470">IF($C470="","",IF(AND(_xlfn.XLOOKUP($A470&amp;$B470&amp;$C470,盘货信息!$A:$A&amp;盘货信息!$B:$B&amp;盘货信息!$C:$C,盘货信息!$L:$L)="是",_xlfn.XLOOKUP($A470&amp;$B470&amp;$C470,盘货信息!$A:$A&amp;盘货信息!$B:$B&amp;盘货信息!$C:$C,盘货信息!$M:$M)="是",_xlfn.XLOOKUP($A470&amp;$B470&amp;$C470,盘货信息!$A:$A&amp;盘货信息!$B:$B&amp;盘货信息!$C:$C,盘货信息!$K:$K)&gt;0),"【全民可用，不限地址】",IF(AND(OR(_xlfn.XLOOKUP($A470&amp;$B470&amp;$C470,盘货信息!$A:$A&amp;盘货信息!$B:$B&amp;盘货信息!$C:$C,盘货信息!$L:$L)="否",_xlfn.XLOOKUP($A470&amp;$B470&amp;$C470,盘货信息!$A:$A&amp;盘货信息!$B:$B&amp;盘货信息!$C:$C,盘货信息!$L:$L)=""),_xlfn.XLOOKUP($A470&amp;$B470&amp;$C470,盘货信息!$A:$A&amp;盘货信息!$B:$B&amp;盘货信息!$C:$C,盘货信息!$M:$M)="是",_xlfn.XLOOKUP($A470&amp;$B470&amp;$C470,盘货信息!$A:$A&amp;盘货信息!$B:$B&amp;盘货信息!$C:$C,盘货信息!$K:$K)&gt;0),"【详情页领取】","")))</f>
        <v/>
      </c>
      <c r="M470" s="27" t="str" cm="1">
        <f t="array" ref="M470">IF($C470="","",IF(_xlfn.XLOOKUP($A470&amp;$B470&amp;$C470,盘货信息!$A:$A&amp;盘货信息!$B:$B&amp;盘货信息!$C:$C,盘货信息!$F:$F)&lt;1,"",_xlfn.XLOOKUP($A470&amp;$B470&amp;$C470,盘货信息!$A:$A&amp;盘货信息!$B:$B&amp;盘货信息!$C:$C,盘货信息!$F:$F)&amp;"元明卷"))</f>
        <v/>
      </c>
      <c r="N470" s="27" t="str">
        <f t="shared" si="15"/>
        <v/>
      </c>
      <c r="O470" s="27" t="str">
        <f>IF(I470="","","【消费券链接】"&amp;固定信息!$B$6)</f>
        <v/>
      </c>
    </row>
    <row r="471" customHeight="1" spans="1:15">
      <c r="A471" s="23" t="str">
        <f>IF(盘货信息!A471="","",盘货信息!A471)</f>
        <v/>
      </c>
      <c r="B471" s="26" t="str">
        <f>IF(盘货信息!B471="","",盘货信息!B471)</f>
        <v/>
      </c>
      <c r="C471" s="23" t="str">
        <f>IF(盘货信息!C471="","",盘货信息!C471)</f>
        <v/>
      </c>
      <c r="D471" s="27" t="str">
        <f t="shared" si="14"/>
        <v/>
      </c>
      <c r="E471" s="27" t="str" cm="1">
        <f t="array" ref="E471">IF($C471="","",IF(AND(OR(_xlfn.XLOOKUP($A471&amp;$B471&amp;$C471,盘货信息!$A:$A&amp;盘货信息!$B:$B&amp;盘货信息!$C:$C,盘货信息!$L:$L)="否",_xlfn.XLOOKUP($A471&amp;$B471&amp;$C471,盘货信息!$A:$A&amp;盘货信息!$B:$B&amp;盘货信息!$C:$C,盘货信息!$L:$L)=""),_xlfn.XLOOKUP($A471&amp;$B471&amp;$C471,盘货信息!$A:$A&amp;盘货信息!$B:$B&amp;盘货信息!$C:$C,盘货信息!$M:$M)="否"),"【预估到手价"&amp;_xlfn.XLOOKUP($A471&amp;$B471&amp;$C471,盘货信息!$A:$A&amp;盘货信息!$B:$B&amp;盘货信息!$C:$C,盘货信息!$D:$D)&amp;"元】",IF(AND(_xlfn.XLOOKUP($A471&amp;$B471&amp;$C471,盘货信息!$A:$A&amp;盘货信息!$B:$B&amp;盘货信息!$C:$C,盘货信息!$M:$M)="是",OR(_xlfn.XLOOKUP($A471&amp;$B471&amp;$C471,盘货信息!$A:$A&amp;盘货信息!$B:$B&amp;盘货信息!$C:$C,盘货信息!$L:$L)="否",_xlfn.XLOOKUP($A471&amp;$B471&amp;$C471,盘货信息!$A:$A&amp;盘货信息!$B:$B&amp;盘货信息!$C:$C,盘货信息!$L:$L)="")),"【预估到手价"&amp;_xlfn.XLOOKUP($A471&amp;$B471&amp;$C471,盘货信息!$A:$A&amp;盘货信息!$B:$B&amp;盘货信息!$C:$C,盘货信息!$D:$D)&amp;"元】"&amp;CHAR(10)&amp;"【焕新补贴预估价"&amp;ROUND(_xlfn.XLOOKUP($A471&amp;$B471&amp;$C471,盘货信息!$A:$A&amp;盘货信息!$B:$B&amp;盘货信息!$C:$C,盘货信息!$E:$E),0)&amp;"元】","【焕新补贴预估价"&amp;ROUND(_xlfn.XLOOKUP($A471&amp;$B471&amp;$C471,盘货信息!$A:$A&amp;盘货信息!$B:$B&amp;盘货信息!$C:$C,盘货信息!$E:$E),0)&amp;"元】")))</f>
        <v/>
      </c>
      <c r="F471" s="27" t="str" cm="1">
        <f t="array" ref="F471">IF($C471="","",_xlfn.XLOOKUP($A471&amp;$B471&amp;$C471,盘货信息!$A:$A&amp;盘货信息!$B:$B&amp;盘货信息!$C:$C,盘货信息!$D:$D)&amp;"元到手价")</f>
        <v/>
      </c>
      <c r="G471" s="27" t="str" cm="1">
        <f t="array" ref="G471">IF($C471="","",IF(_xlfn.XLOOKUP($A471&amp;$B471&amp;$C471,盘货信息!$A:$A&amp;盘货信息!$B:$B&amp;盘货信息!$C:$C,盘货信息!$G:$G)&lt;1,"",ROUND(_xlfn.XLOOKUP($A471&amp;$B471&amp;$C471,盘货信息!$A:$A&amp;盘货信息!$B:$B&amp;盘货信息!$C:$C,盘货信息!$G:$G),0)&amp;"元88VIP立减"))</f>
        <v/>
      </c>
      <c r="H471" s="27" t="str" cm="1">
        <f t="array" ref="H471">IF($C471="","",IF(_xlfn.XLOOKUP($A471&amp;$B471&amp;$C471,盘货信息!$A:$A&amp;盘货信息!$B:$B&amp;盘货信息!$C:$C,盘货信息!$I:$I)&lt;1,"",_xlfn.XLOOKUP($A471&amp;$B471&amp;$C471,盘货信息!$A:$A&amp;盘货信息!$B:$B&amp;盘货信息!$C:$C,盘货信息!$I:$I)&amp;"元惊喜立减"))</f>
        <v/>
      </c>
      <c r="I471" s="27" t="str" cm="1">
        <f t="array" ref="I471">IF($C471="","",IF(_xlfn.XLOOKUP($A471&amp;$B471&amp;$C471,盘货信息!$A:$A&amp;盘货信息!$B:$B&amp;盘货信息!$C:$C,盘货信息!$H:$H)&lt;1,"",ROUND(_xlfn.XLOOKUP($A471&amp;$B471&amp;$C471,盘货信息!$A:$A&amp;盘货信息!$B:$B&amp;盘货信息!$C:$C,盘货信息!$H:$H),0)&amp;"元消费券"))</f>
        <v/>
      </c>
      <c r="J471" s="27" t="str" cm="1">
        <f t="array" ref="J471">IF($C471="","",IF(_xlfn.XLOOKUP($A471&amp;$B471&amp;$C471,盘货信息!$A:$A&amp;盘货信息!$B:$B&amp;盘货信息!$C:$C,盘货信息!$J:$J)&lt;1,"",ROUND(_xlfn.XLOOKUP($A471&amp;$B471&amp;$C471,盘货信息!$A:$A&amp;盘货信息!$B:$B&amp;盘货信息!$C:$C,盘货信息!$J:$J),0)&amp;"元限时补贴"))</f>
        <v/>
      </c>
      <c r="K471" s="27" t="str" cm="1">
        <f t="array" ref="K471">IF($C471="","",IF(_xlfn.XLOOKUP($A471&amp;$B471&amp;$C471,盘货信息!$A:$A&amp;盘货信息!$B:$B&amp;盘货信息!$C:$C,盘货信息!$K:$K)&lt;1,"",ROUND(_xlfn.XLOOKUP($A471&amp;$B471&amp;$C471,盘货信息!$A:$A&amp;盘货信息!$B:$B&amp;盘货信息!$C:$C,盘货信息!$K:$K),0)&amp;"元预估焕新补贴"))</f>
        <v/>
      </c>
      <c r="L471" s="27" t="str" cm="1">
        <f t="array" ref="L471">IF($C471="","",IF(AND(_xlfn.XLOOKUP($A471&amp;$B471&amp;$C471,盘货信息!$A:$A&amp;盘货信息!$B:$B&amp;盘货信息!$C:$C,盘货信息!$L:$L)="是",_xlfn.XLOOKUP($A471&amp;$B471&amp;$C471,盘货信息!$A:$A&amp;盘货信息!$B:$B&amp;盘货信息!$C:$C,盘货信息!$M:$M)="是",_xlfn.XLOOKUP($A471&amp;$B471&amp;$C471,盘货信息!$A:$A&amp;盘货信息!$B:$B&amp;盘货信息!$C:$C,盘货信息!$K:$K)&gt;0),"【全民可用，不限地址】",IF(AND(OR(_xlfn.XLOOKUP($A471&amp;$B471&amp;$C471,盘货信息!$A:$A&amp;盘货信息!$B:$B&amp;盘货信息!$C:$C,盘货信息!$L:$L)="否",_xlfn.XLOOKUP($A471&amp;$B471&amp;$C471,盘货信息!$A:$A&amp;盘货信息!$B:$B&amp;盘货信息!$C:$C,盘货信息!$L:$L)=""),_xlfn.XLOOKUP($A471&amp;$B471&amp;$C471,盘货信息!$A:$A&amp;盘货信息!$B:$B&amp;盘货信息!$C:$C,盘货信息!$M:$M)="是",_xlfn.XLOOKUP($A471&amp;$B471&amp;$C471,盘货信息!$A:$A&amp;盘货信息!$B:$B&amp;盘货信息!$C:$C,盘货信息!$K:$K)&gt;0),"【详情页领取】","")))</f>
        <v/>
      </c>
      <c r="M471" s="27" t="str" cm="1">
        <f t="array" ref="M471">IF($C471="","",IF(_xlfn.XLOOKUP($A471&amp;$B471&amp;$C471,盘货信息!$A:$A&amp;盘货信息!$B:$B&amp;盘货信息!$C:$C,盘货信息!$F:$F)&lt;1,"",_xlfn.XLOOKUP($A471&amp;$B471&amp;$C471,盘货信息!$A:$A&amp;盘货信息!$B:$B&amp;盘货信息!$C:$C,盘货信息!$F:$F)&amp;"元明卷"))</f>
        <v/>
      </c>
      <c r="N471" s="27" t="str">
        <f t="shared" si="15"/>
        <v/>
      </c>
      <c r="O471" s="27" t="str">
        <f>IF(I471="","","【消费券链接】"&amp;固定信息!$B$6)</f>
        <v/>
      </c>
    </row>
    <row r="472" customHeight="1" spans="1:15">
      <c r="A472" s="23" t="str">
        <f>IF(盘货信息!A472="","",盘货信息!A472)</f>
        <v/>
      </c>
      <c r="B472" s="26" t="str">
        <f>IF(盘货信息!B472="","",盘货信息!B472)</f>
        <v/>
      </c>
      <c r="C472" s="23" t="str">
        <f>IF(盘货信息!C472="","",盘货信息!C472)</f>
        <v/>
      </c>
      <c r="D472" s="27" t="str">
        <f t="shared" si="14"/>
        <v/>
      </c>
      <c r="E472" s="27" t="str" cm="1">
        <f t="array" ref="E472">IF($C472="","",IF(AND(OR(_xlfn.XLOOKUP($A472&amp;$B472&amp;$C472,盘货信息!$A:$A&amp;盘货信息!$B:$B&amp;盘货信息!$C:$C,盘货信息!$L:$L)="否",_xlfn.XLOOKUP($A472&amp;$B472&amp;$C472,盘货信息!$A:$A&amp;盘货信息!$B:$B&amp;盘货信息!$C:$C,盘货信息!$L:$L)=""),_xlfn.XLOOKUP($A472&amp;$B472&amp;$C472,盘货信息!$A:$A&amp;盘货信息!$B:$B&amp;盘货信息!$C:$C,盘货信息!$M:$M)="否"),"【预估到手价"&amp;_xlfn.XLOOKUP($A472&amp;$B472&amp;$C472,盘货信息!$A:$A&amp;盘货信息!$B:$B&amp;盘货信息!$C:$C,盘货信息!$D:$D)&amp;"元】",IF(AND(_xlfn.XLOOKUP($A472&amp;$B472&amp;$C472,盘货信息!$A:$A&amp;盘货信息!$B:$B&amp;盘货信息!$C:$C,盘货信息!$M:$M)="是",OR(_xlfn.XLOOKUP($A472&amp;$B472&amp;$C472,盘货信息!$A:$A&amp;盘货信息!$B:$B&amp;盘货信息!$C:$C,盘货信息!$L:$L)="否",_xlfn.XLOOKUP($A472&amp;$B472&amp;$C472,盘货信息!$A:$A&amp;盘货信息!$B:$B&amp;盘货信息!$C:$C,盘货信息!$L:$L)="")),"【预估到手价"&amp;_xlfn.XLOOKUP($A472&amp;$B472&amp;$C472,盘货信息!$A:$A&amp;盘货信息!$B:$B&amp;盘货信息!$C:$C,盘货信息!$D:$D)&amp;"元】"&amp;CHAR(10)&amp;"【焕新补贴预估价"&amp;ROUND(_xlfn.XLOOKUP($A472&amp;$B472&amp;$C472,盘货信息!$A:$A&amp;盘货信息!$B:$B&amp;盘货信息!$C:$C,盘货信息!$E:$E),0)&amp;"元】","【焕新补贴预估价"&amp;ROUND(_xlfn.XLOOKUP($A472&amp;$B472&amp;$C472,盘货信息!$A:$A&amp;盘货信息!$B:$B&amp;盘货信息!$C:$C,盘货信息!$E:$E),0)&amp;"元】")))</f>
        <v/>
      </c>
      <c r="F472" s="27" t="str" cm="1">
        <f t="array" ref="F472">IF($C472="","",_xlfn.XLOOKUP($A472&amp;$B472&amp;$C472,盘货信息!$A:$A&amp;盘货信息!$B:$B&amp;盘货信息!$C:$C,盘货信息!$D:$D)&amp;"元到手价")</f>
        <v/>
      </c>
      <c r="G472" s="27" t="str" cm="1">
        <f t="array" ref="G472">IF($C472="","",IF(_xlfn.XLOOKUP($A472&amp;$B472&amp;$C472,盘货信息!$A:$A&amp;盘货信息!$B:$B&amp;盘货信息!$C:$C,盘货信息!$G:$G)&lt;1,"",ROUND(_xlfn.XLOOKUP($A472&amp;$B472&amp;$C472,盘货信息!$A:$A&amp;盘货信息!$B:$B&amp;盘货信息!$C:$C,盘货信息!$G:$G),0)&amp;"元88VIP立减"))</f>
        <v/>
      </c>
      <c r="H472" s="27" t="str" cm="1">
        <f t="array" ref="H472">IF($C472="","",IF(_xlfn.XLOOKUP($A472&amp;$B472&amp;$C472,盘货信息!$A:$A&amp;盘货信息!$B:$B&amp;盘货信息!$C:$C,盘货信息!$I:$I)&lt;1,"",_xlfn.XLOOKUP($A472&amp;$B472&amp;$C472,盘货信息!$A:$A&amp;盘货信息!$B:$B&amp;盘货信息!$C:$C,盘货信息!$I:$I)&amp;"元惊喜立减"))</f>
        <v/>
      </c>
      <c r="I472" s="27" t="str" cm="1">
        <f t="array" ref="I472">IF($C472="","",IF(_xlfn.XLOOKUP($A472&amp;$B472&amp;$C472,盘货信息!$A:$A&amp;盘货信息!$B:$B&amp;盘货信息!$C:$C,盘货信息!$H:$H)&lt;1,"",ROUND(_xlfn.XLOOKUP($A472&amp;$B472&amp;$C472,盘货信息!$A:$A&amp;盘货信息!$B:$B&amp;盘货信息!$C:$C,盘货信息!$H:$H),0)&amp;"元消费券"))</f>
        <v/>
      </c>
      <c r="J472" s="27" t="str" cm="1">
        <f t="array" ref="J472">IF($C472="","",IF(_xlfn.XLOOKUP($A472&amp;$B472&amp;$C472,盘货信息!$A:$A&amp;盘货信息!$B:$B&amp;盘货信息!$C:$C,盘货信息!$J:$J)&lt;1,"",ROUND(_xlfn.XLOOKUP($A472&amp;$B472&amp;$C472,盘货信息!$A:$A&amp;盘货信息!$B:$B&amp;盘货信息!$C:$C,盘货信息!$J:$J),0)&amp;"元限时补贴"))</f>
        <v/>
      </c>
      <c r="K472" s="27" t="str" cm="1">
        <f t="array" ref="K472">IF($C472="","",IF(_xlfn.XLOOKUP($A472&amp;$B472&amp;$C472,盘货信息!$A:$A&amp;盘货信息!$B:$B&amp;盘货信息!$C:$C,盘货信息!$K:$K)&lt;1,"",ROUND(_xlfn.XLOOKUP($A472&amp;$B472&amp;$C472,盘货信息!$A:$A&amp;盘货信息!$B:$B&amp;盘货信息!$C:$C,盘货信息!$K:$K),0)&amp;"元预估焕新补贴"))</f>
        <v/>
      </c>
      <c r="L472" s="27" t="str" cm="1">
        <f t="array" ref="L472">IF($C472="","",IF(AND(_xlfn.XLOOKUP($A472&amp;$B472&amp;$C472,盘货信息!$A:$A&amp;盘货信息!$B:$B&amp;盘货信息!$C:$C,盘货信息!$L:$L)="是",_xlfn.XLOOKUP($A472&amp;$B472&amp;$C472,盘货信息!$A:$A&amp;盘货信息!$B:$B&amp;盘货信息!$C:$C,盘货信息!$M:$M)="是",_xlfn.XLOOKUP($A472&amp;$B472&amp;$C472,盘货信息!$A:$A&amp;盘货信息!$B:$B&amp;盘货信息!$C:$C,盘货信息!$K:$K)&gt;0),"【全民可用，不限地址】",IF(AND(OR(_xlfn.XLOOKUP($A472&amp;$B472&amp;$C472,盘货信息!$A:$A&amp;盘货信息!$B:$B&amp;盘货信息!$C:$C,盘货信息!$L:$L)="否",_xlfn.XLOOKUP($A472&amp;$B472&amp;$C472,盘货信息!$A:$A&amp;盘货信息!$B:$B&amp;盘货信息!$C:$C,盘货信息!$L:$L)=""),_xlfn.XLOOKUP($A472&amp;$B472&amp;$C472,盘货信息!$A:$A&amp;盘货信息!$B:$B&amp;盘货信息!$C:$C,盘货信息!$M:$M)="是",_xlfn.XLOOKUP($A472&amp;$B472&amp;$C472,盘货信息!$A:$A&amp;盘货信息!$B:$B&amp;盘货信息!$C:$C,盘货信息!$K:$K)&gt;0),"【详情页领取】","")))</f>
        <v/>
      </c>
      <c r="M472" s="27" t="str" cm="1">
        <f t="array" ref="M472">IF($C472="","",IF(_xlfn.XLOOKUP($A472&amp;$B472&amp;$C472,盘货信息!$A:$A&amp;盘货信息!$B:$B&amp;盘货信息!$C:$C,盘货信息!$F:$F)&lt;1,"",_xlfn.XLOOKUP($A472&amp;$B472&amp;$C472,盘货信息!$A:$A&amp;盘货信息!$B:$B&amp;盘货信息!$C:$C,盘货信息!$F:$F)&amp;"元明卷"))</f>
        <v/>
      </c>
      <c r="N472" s="27" t="str">
        <f t="shared" si="15"/>
        <v/>
      </c>
      <c r="O472" s="27" t="str">
        <f>IF(I472="","","【消费券链接】"&amp;固定信息!$B$6)</f>
        <v/>
      </c>
    </row>
    <row r="473" customHeight="1" spans="1:15">
      <c r="A473" s="23" t="str">
        <f>IF(盘货信息!A473="","",盘货信息!A473)</f>
        <v/>
      </c>
      <c r="B473" s="26" t="str">
        <f>IF(盘货信息!B473="","",盘货信息!B473)</f>
        <v/>
      </c>
      <c r="C473" s="23" t="str">
        <f>IF(盘货信息!C473="","",盘货信息!C473)</f>
        <v/>
      </c>
      <c r="D473" s="27" t="str">
        <f t="shared" si="14"/>
        <v/>
      </c>
      <c r="E473" s="27" t="str" cm="1">
        <f t="array" ref="E473">IF($C473="","",IF(AND(OR(_xlfn.XLOOKUP($A473&amp;$B473&amp;$C473,盘货信息!$A:$A&amp;盘货信息!$B:$B&amp;盘货信息!$C:$C,盘货信息!$L:$L)="否",_xlfn.XLOOKUP($A473&amp;$B473&amp;$C473,盘货信息!$A:$A&amp;盘货信息!$B:$B&amp;盘货信息!$C:$C,盘货信息!$L:$L)=""),_xlfn.XLOOKUP($A473&amp;$B473&amp;$C473,盘货信息!$A:$A&amp;盘货信息!$B:$B&amp;盘货信息!$C:$C,盘货信息!$M:$M)="否"),"【预估到手价"&amp;_xlfn.XLOOKUP($A473&amp;$B473&amp;$C473,盘货信息!$A:$A&amp;盘货信息!$B:$B&amp;盘货信息!$C:$C,盘货信息!$D:$D)&amp;"元】",IF(AND(_xlfn.XLOOKUP($A473&amp;$B473&amp;$C473,盘货信息!$A:$A&amp;盘货信息!$B:$B&amp;盘货信息!$C:$C,盘货信息!$M:$M)="是",OR(_xlfn.XLOOKUP($A473&amp;$B473&amp;$C473,盘货信息!$A:$A&amp;盘货信息!$B:$B&amp;盘货信息!$C:$C,盘货信息!$L:$L)="否",_xlfn.XLOOKUP($A473&amp;$B473&amp;$C473,盘货信息!$A:$A&amp;盘货信息!$B:$B&amp;盘货信息!$C:$C,盘货信息!$L:$L)="")),"【预估到手价"&amp;_xlfn.XLOOKUP($A473&amp;$B473&amp;$C473,盘货信息!$A:$A&amp;盘货信息!$B:$B&amp;盘货信息!$C:$C,盘货信息!$D:$D)&amp;"元】"&amp;CHAR(10)&amp;"【焕新补贴预估价"&amp;ROUND(_xlfn.XLOOKUP($A473&amp;$B473&amp;$C473,盘货信息!$A:$A&amp;盘货信息!$B:$B&amp;盘货信息!$C:$C,盘货信息!$E:$E),0)&amp;"元】","【焕新补贴预估价"&amp;ROUND(_xlfn.XLOOKUP($A473&amp;$B473&amp;$C473,盘货信息!$A:$A&amp;盘货信息!$B:$B&amp;盘货信息!$C:$C,盘货信息!$E:$E),0)&amp;"元】")))</f>
        <v/>
      </c>
      <c r="F473" s="27" t="str" cm="1">
        <f t="array" ref="F473">IF($C473="","",_xlfn.XLOOKUP($A473&amp;$B473&amp;$C473,盘货信息!$A:$A&amp;盘货信息!$B:$B&amp;盘货信息!$C:$C,盘货信息!$D:$D)&amp;"元到手价")</f>
        <v/>
      </c>
      <c r="G473" s="27" t="str" cm="1">
        <f t="array" ref="G473">IF($C473="","",IF(_xlfn.XLOOKUP($A473&amp;$B473&amp;$C473,盘货信息!$A:$A&amp;盘货信息!$B:$B&amp;盘货信息!$C:$C,盘货信息!$G:$G)&lt;1,"",ROUND(_xlfn.XLOOKUP($A473&amp;$B473&amp;$C473,盘货信息!$A:$A&amp;盘货信息!$B:$B&amp;盘货信息!$C:$C,盘货信息!$G:$G),0)&amp;"元88VIP立减"))</f>
        <v/>
      </c>
      <c r="H473" s="27" t="str" cm="1">
        <f t="array" ref="H473">IF($C473="","",IF(_xlfn.XLOOKUP($A473&amp;$B473&amp;$C473,盘货信息!$A:$A&amp;盘货信息!$B:$B&amp;盘货信息!$C:$C,盘货信息!$I:$I)&lt;1,"",_xlfn.XLOOKUP($A473&amp;$B473&amp;$C473,盘货信息!$A:$A&amp;盘货信息!$B:$B&amp;盘货信息!$C:$C,盘货信息!$I:$I)&amp;"元惊喜立减"))</f>
        <v/>
      </c>
      <c r="I473" s="27" t="str" cm="1">
        <f t="array" ref="I473">IF($C473="","",IF(_xlfn.XLOOKUP($A473&amp;$B473&amp;$C473,盘货信息!$A:$A&amp;盘货信息!$B:$B&amp;盘货信息!$C:$C,盘货信息!$H:$H)&lt;1,"",ROUND(_xlfn.XLOOKUP($A473&amp;$B473&amp;$C473,盘货信息!$A:$A&amp;盘货信息!$B:$B&amp;盘货信息!$C:$C,盘货信息!$H:$H),0)&amp;"元消费券"))</f>
        <v/>
      </c>
      <c r="J473" s="27" t="str" cm="1">
        <f t="array" ref="J473">IF($C473="","",IF(_xlfn.XLOOKUP($A473&amp;$B473&amp;$C473,盘货信息!$A:$A&amp;盘货信息!$B:$B&amp;盘货信息!$C:$C,盘货信息!$J:$J)&lt;1,"",ROUND(_xlfn.XLOOKUP($A473&amp;$B473&amp;$C473,盘货信息!$A:$A&amp;盘货信息!$B:$B&amp;盘货信息!$C:$C,盘货信息!$J:$J),0)&amp;"元限时补贴"))</f>
        <v/>
      </c>
      <c r="K473" s="27" t="str" cm="1">
        <f t="array" ref="K473">IF($C473="","",IF(_xlfn.XLOOKUP($A473&amp;$B473&amp;$C473,盘货信息!$A:$A&amp;盘货信息!$B:$B&amp;盘货信息!$C:$C,盘货信息!$K:$K)&lt;1,"",ROUND(_xlfn.XLOOKUP($A473&amp;$B473&amp;$C473,盘货信息!$A:$A&amp;盘货信息!$B:$B&amp;盘货信息!$C:$C,盘货信息!$K:$K),0)&amp;"元预估焕新补贴"))</f>
        <v/>
      </c>
      <c r="L473" s="27" t="str" cm="1">
        <f t="array" ref="L473">IF($C473="","",IF(AND(_xlfn.XLOOKUP($A473&amp;$B473&amp;$C473,盘货信息!$A:$A&amp;盘货信息!$B:$B&amp;盘货信息!$C:$C,盘货信息!$L:$L)="是",_xlfn.XLOOKUP($A473&amp;$B473&amp;$C473,盘货信息!$A:$A&amp;盘货信息!$B:$B&amp;盘货信息!$C:$C,盘货信息!$M:$M)="是",_xlfn.XLOOKUP($A473&amp;$B473&amp;$C473,盘货信息!$A:$A&amp;盘货信息!$B:$B&amp;盘货信息!$C:$C,盘货信息!$K:$K)&gt;0),"【全民可用，不限地址】",IF(AND(OR(_xlfn.XLOOKUP($A473&amp;$B473&amp;$C473,盘货信息!$A:$A&amp;盘货信息!$B:$B&amp;盘货信息!$C:$C,盘货信息!$L:$L)="否",_xlfn.XLOOKUP($A473&amp;$B473&amp;$C473,盘货信息!$A:$A&amp;盘货信息!$B:$B&amp;盘货信息!$C:$C,盘货信息!$L:$L)=""),_xlfn.XLOOKUP($A473&amp;$B473&amp;$C473,盘货信息!$A:$A&amp;盘货信息!$B:$B&amp;盘货信息!$C:$C,盘货信息!$M:$M)="是",_xlfn.XLOOKUP($A473&amp;$B473&amp;$C473,盘货信息!$A:$A&amp;盘货信息!$B:$B&amp;盘货信息!$C:$C,盘货信息!$K:$K)&gt;0),"【详情页领取】","")))</f>
        <v/>
      </c>
      <c r="M473" s="27" t="str" cm="1">
        <f t="array" ref="M473">IF($C473="","",IF(_xlfn.XLOOKUP($A473&amp;$B473&amp;$C473,盘货信息!$A:$A&amp;盘货信息!$B:$B&amp;盘货信息!$C:$C,盘货信息!$F:$F)&lt;1,"",_xlfn.XLOOKUP($A473&amp;$B473&amp;$C473,盘货信息!$A:$A&amp;盘货信息!$B:$B&amp;盘货信息!$C:$C,盘货信息!$F:$F)&amp;"元明卷"))</f>
        <v/>
      </c>
      <c r="N473" s="27" t="str">
        <f t="shared" si="15"/>
        <v/>
      </c>
      <c r="O473" s="27" t="str">
        <f>IF(I473="","","【消费券链接】"&amp;固定信息!$B$6)</f>
        <v/>
      </c>
    </row>
    <row r="474" customHeight="1" spans="1:15">
      <c r="A474" s="23" t="str">
        <f>IF(盘货信息!A474="","",盘货信息!A474)</f>
        <v/>
      </c>
      <c r="B474" s="26" t="str">
        <f>IF(盘货信息!B474="","",盘货信息!B474)</f>
        <v/>
      </c>
      <c r="C474" s="23" t="str">
        <f>IF(盘货信息!C474="","",盘货信息!C474)</f>
        <v/>
      </c>
      <c r="D474" s="27" t="str">
        <f t="shared" si="14"/>
        <v/>
      </c>
      <c r="E474" s="27" t="str" cm="1">
        <f t="array" ref="E474">IF($C474="","",IF(AND(OR(_xlfn.XLOOKUP($A474&amp;$B474&amp;$C474,盘货信息!$A:$A&amp;盘货信息!$B:$B&amp;盘货信息!$C:$C,盘货信息!$L:$L)="否",_xlfn.XLOOKUP($A474&amp;$B474&amp;$C474,盘货信息!$A:$A&amp;盘货信息!$B:$B&amp;盘货信息!$C:$C,盘货信息!$L:$L)=""),_xlfn.XLOOKUP($A474&amp;$B474&amp;$C474,盘货信息!$A:$A&amp;盘货信息!$B:$B&amp;盘货信息!$C:$C,盘货信息!$M:$M)="否"),"【预估到手价"&amp;_xlfn.XLOOKUP($A474&amp;$B474&amp;$C474,盘货信息!$A:$A&amp;盘货信息!$B:$B&amp;盘货信息!$C:$C,盘货信息!$D:$D)&amp;"元】",IF(AND(_xlfn.XLOOKUP($A474&amp;$B474&amp;$C474,盘货信息!$A:$A&amp;盘货信息!$B:$B&amp;盘货信息!$C:$C,盘货信息!$M:$M)="是",OR(_xlfn.XLOOKUP($A474&amp;$B474&amp;$C474,盘货信息!$A:$A&amp;盘货信息!$B:$B&amp;盘货信息!$C:$C,盘货信息!$L:$L)="否",_xlfn.XLOOKUP($A474&amp;$B474&amp;$C474,盘货信息!$A:$A&amp;盘货信息!$B:$B&amp;盘货信息!$C:$C,盘货信息!$L:$L)="")),"【预估到手价"&amp;_xlfn.XLOOKUP($A474&amp;$B474&amp;$C474,盘货信息!$A:$A&amp;盘货信息!$B:$B&amp;盘货信息!$C:$C,盘货信息!$D:$D)&amp;"元】"&amp;CHAR(10)&amp;"【焕新补贴预估价"&amp;ROUND(_xlfn.XLOOKUP($A474&amp;$B474&amp;$C474,盘货信息!$A:$A&amp;盘货信息!$B:$B&amp;盘货信息!$C:$C,盘货信息!$E:$E),0)&amp;"元】","【焕新补贴预估价"&amp;ROUND(_xlfn.XLOOKUP($A474&amp;$B474&amp;$C474,盘货信息!$A:$A&amp;盘货信息!$B:$B&amp;盘货信息!$C:$C,盘货信息!$E:$E),0)&amp;"元】")))</f>
        <v/>
      </c>
      <c r="F474" s="27" t="str" cm="1">
        <f t="array" ref="F474">IF($C474="","",_xlfn.XLOOKUP($A474&amp;$B474&amp;$C474,盘货信息!$A:$A&amp;盘货信息!$B:$B&amp;盘货信息!$C:$C,盘货信息!$D:$D)&amp;"元到手价")</f>
        <v/>
      </c>
      <c r="G474" s="27" t="str" cm="1">
        <f t="array" ref="G474">IF($C474="","",IF(_xlfn.XLOOKUP($A474&amp;$B474&amp;$C474,盘货信息!$A:$A&amp;盘货信息!$B:$B&amp;盘货信息!$C:$C,盘货信息!$G:$G)&lt;1,"",ROUND(_xlfn.XLOOKUP($A474&amp;$B474&amp;$C474,盘货信息!$A:$A&amp;盘货信息!$B:$B&amp;盘货信息!$C:$C,盘货信息!$G:$G),0)&amp;"元88VIP立减"))</f>
        <v/>
      </c>
      <c r="H474" s="27" t="str" cm="1">
        <f t="array" ref="H474">IF($C474="","",IF(_xlfn.XLOOKUP($A474&amp;$B474&amp;$C474,盘货信息!$A:$A&amp;盘货信息!$B:$B&amp;盘货信息!$C:$C,盘货信息!$I:$I)&lt;1,"",_xlfn.XLOOKUP($A474&amp;$B474&amp;$C474,盘货信息!$A:$A&amp;盘货信息!$B:$B&amp;盘货信息!$C:$C,盘货信息!$I:$I)&amp;"元惊喜立减"))</f>
        <v/>
      </c>
      <c r="I474" s="27" t="str" cm="1">
        <f t="array" ref="I474">IF($C474="","",IF(_xlfn.XLOOKUP($A474&amp;$B474&amp;$C474,盘货信息!$A:$A&amp;盘货信息!$B:$B&amp;盘货信息!$C:$C,盘货信息!$H:$H)&lt;1,"",ROUND(_xlfn.XLOOKUP($A474&amp;$B474&amp;$C474,盘货信息!$A:$A&amp;盘货信息!$B:$B&amp;盘货信息!$C:$C,盘货信息!$H:$H),0)&amp;"元消费券"))</f>
        <v/>
      </c>
      <c r="J474" s="27" t="str" cm="1">
        <f t="array" ref="J474">IF($C474="","",IF(_xlfn.XLOOKUP($A474&amp;$B474&amp;$C474,盘货信息!$A:$A&amp;盘货信息!$B:$B&amp;盘货信息!$C:$C,盘货信息!$J:$J)&lt;1,"",ROUND(_xlfn.XLOOKUP($A474&amp;$B474&amp;$C474,盘货信息!$A:$A&amp;盘货信息!$B:$B&amp;盘货信息!$C:$C,盘货信息!$J:$J),0)&amp;"元限时补贴"))</f>
        <v/>
      </c>
      <c r="K474" s="27" t="str" cm="1">
        <f t="array" ref="K474">IF($C474="","",IF(_xlfn.XLOOKUP($A474&amp;$B474&amp;$C474,盘货信息!$A:$A&amp;盘货信息!$B:$B&amp;盘货信息!$C:$C,盘货信息!$K:$K)&lt;1,"",ROUND(_xlfn.XLOOKUP($A474&amp;$B474&amp;$C474,盘货信息!$A:$A&amp;盘货信息!$B:$B&amp;盘货信息!$C:$C,盘货信息!$K:$K),0)&amp;"元预估焕新补贴"))</f>
        <v/>
      </c>
      <c r="L474" s="27" t="str" cm="1">
        <f t="array" ref="L474">IF($C474="","",IF(AND(_xlfn.XLOOKUP($A474&amp;$B474&amp;$C474,盘货信息!$A:$A&amp;盘货信息!$B:$B&amp;盘货信息!$C:$C,盘货信息!$L:$L)="是",_xlfn.XLOOKUP($A474&amp;$B474&amp;$C474,盘货信息!$A:$A&amp;盘货信息!$B:$B&amp;盘货信息!$C:$C,盘货信息!$M:$M)="是",_xlfn.XLOOKUP($A474&amp;$B474&amp;$C474,盘货信息!$A:$A&amp;盘货信息!$B:$B&amp;盘货信息!$C:$C,盘货信息!$K:$K)&gt;0),"【全民可用，不限地址】",IF(AND(OR(_xlfn.XLOOKUP($A474&amp;$B474&amp;$C474,盘货信息!$A:$A&amp;盘货信息!$B:$B&amp;盘货信息!$C:$C,盘货信息!$L:$L)="否",_xlfn.XLOOKUP($A474&amp;$B474&amp;$C474,盘货信息!$A:$A&amp;盘货信息!$B:$B&amp;盘货信息!$C:$C,盘货信息!$L:$L)=""),_xlfn.XLOOKUP($A474&amp;$B474&amp;$C474,盘货信息!$A:$A&amp;盘货信息!$B:$B&amp;盘货信息!$C:$C,盘货信息!$M:$M)="是",_xlfn.XLOOKUP($A474&amp;$B474&amp;$C474,盘货信息!$A:$A&amp;盘货信息!$B:$B&amp;盘货信息!$C:$C,盘货信息!$K:$K)&gt;0),"【详情页领取】","")))</f>
        <v/>
      </c>
      <c r="M474" s="27" t="str" cm="1">
        <f t="array" ref="M474">IF($C474="","",IF(_xlfn.XLOOKUP($A474&amp;$B474&amp;$C474,盘货信息!$A:$A&amp;盘货信息!$B:$B&amp;盘货信息!$C:$C,盘货信息!$F:$F)&lt;1,"",_xlfn.XLOOKUP($A474&amp;$B474&amp;$C474,盘货信息!$A:$A&amp;盘货信息!$B:$B&amp;盘货信息!$C:$C,盘货信息!$F:$F)&amp;"元明卷"))</f>
        <v/>
      </c>
      <c r="N474" s="27" t="str">
        <f t="shared" si="15"/>
        <v/>
      </c>
      <c r="O474" s="27" t="str">
        <f>IF(I474="","","【消费券链接】"&amp;固定信息!$B$6)</f>
        <v/>
      </c>
    </row>
    <row r="475" customHeight="1" spans="1:15">
      <c r="A475" s="23" t="str">
        <f>IF(盘货信息!A475="","",盘货信息!A475)</f>
        <v/>
      </c>
      <c r="B475" s="26" t="str">
        <f>IF(盘货信息!B475="","",盘货信息!B475)</f>
        <v/>
      </c>
      <c r="C475" s="23" t="str">
        <f>IF(盘货信息!C475="","",盘货信息!C475)</f>
        <v/>
      </c>
      <c r="D475" s="27" t="str">
        <f t="shared" si="14"/>
        <v/>
      </c>
      <c r="E475" s="27" t="str" cm="1">
        <f t="array" ref="E475">IF($C475="","",IF(AND(OR(_xlfn.XLOOKUP($A475&amp;$B475&amp;$C475,盘货信息!$A:$A&amp;盘货信息!$B:$B&amp;盘货信息!$C:$C,盘货信息!$L:$L)="否",_xlfn.XLOOKUP($A475&amp;$B475&amp;$C475,盘货信息!$A:$A&amp;盘货信息!$B:$B&amp;盘货信息!$C:$C,盘货信息!$L:$L)=""),_xlfn.XLOOKUP($A475&amp;$B475&amp;$C475,盘货信息!$A:$A&amp;盘货信息!$B:$B&amp;盘货信息!$C:$C,盘货信息!$M:$M)="否"),"【预估到手价"&amp;_xlfn.XLOOKUP($A475&amp;$B475&amp;$C475,盘货信息!$A:$A&amp;盘货信息!$B:$B&amp;盘货信息!$C:$C,盘货信息!$D:$D)&amp;"元】",IF(AND(_xlfn.XLOOKUP($A475&amp;$B475&amp;$C475,盘货信息!$A:$A&amp;盘货信息!$B:$B&amp;盘货信息!$C:$C,盘货信息!$M:$M)="是",OR(_xlfn.XLOOKUP($A475&amp;$B475&amp;$C475,盘货信息!$A:$A&amp;盘货信息!$B:$B&amp;盘货信息!$C:$C,盘货信息!$L:$L)="否",_xlfn.XLOOKUP($A475&amp;$B475&amp;$C475,盘货信息!$A:$A&amp;盘货信息!$B:$B&amp;盘货信息!$C:$C,盘货信息!$L:$L)="")),"【预估到手价"&amp;_xlfn.XLOOKUP($A475&amp;$B475&amp;$C475,盘货信息!$A:$A&amp;盘货信息!$B:$B&amp;盘货信息!$C:$C,盘货信息!$D:$D)&amp;"元】"&amp;CHAR(10)&amp;"【焕新补贴预估价"&amp;ROUND(_xlfn.XLOOKUP($A475&amp;$B475&amp;$C475,盘货信息!$A:$A&amp;盘货信息!$B:$B&amp;盘货信息!$C:$C,盘货信息!$E:$E),0)&amp;"元】","【焕新补贴预估价"&amp;ROUND(_xlfn.XLOOKUP($A475&amp;$B475&amp;$C475,盘货信息!$A:$A&amp;盘货信息!$B:$B&amp;盘货信息!$C:$C,盘货信息!$E:$E),0)&amp;"元】")))</f>
        <v/>
      </c>
      <c r="F475" s="27" t="str" cm="1">
        <f t="array" ref="F475">IF($C475="","",_xlfn.XLOOKUP($A475&amp;$B475&amp;$C475,盘货信息!$A:$A&amp;盘货信息!$B:$B&amp;盘货信息!$C:$C,盘货信息!$D:$D)&amp;"元到手价")</f>
        <v/>
      </c>
      <c r="G475" s="27" t="str" cm="1">
        <f t="array" ref="G475">IF($C475="","",IF(_xlfn.XLOOKUP($A475&amp;$B475&amp;$C475,盘货信息!$A:$A&amp;盘货信息!$B:$B&amp;盘货信息!$C:$C,盘货信息!$G:$G)&lt;1,"",ROUND(_xlfn.XLOOKUP($A475&amp;$B475&amp;$C475,盘货信息!$A:$A&amp;盘货信息!$B:$B&amp;盘货信息!$C:$C,盘货信息!$G:$G),0)&amp;"元88VIP立减"))</f>
        <v/>
      </c>
      <c r="H475" s="27" t="str" cm="1">
        <f t="array" ref="H475">IF($C475="","",IF(_xlfn.XLOOKUP($A475&amp;$B475&amp;$C475,盘货信息!$A:$A&amp;盘货信息!$B:$B&amp;盘货信息!$C:$C,盘货信息!$I:$I)&lt;1,"",_xlfn.XLOOKUP($A475&amp;$B475&amp;$C475,盘货信息!$A:$A&amp;盘货信息!$B:$B&amp;盘货信息!$C:$C,盘货信息!$I:$I)&amp;"元惊喜立减"))</f>
        <v/>
      </c>
      <c r="I475" s="27" t="str" cm="1">
        <f t="array" ref="I475">IF($C475="","",IF(_xlfn.XLOOKUP($A475&amp;$B475&amp;$C475,盘货信息!$A:$A&amp;盘货信息!$B:$B&amp;盘货信息!$C:$C,盘货信息!$H:$H)&lt;1,"",ROUND(_xlfn.XLOOKUP($A475&amp;$B475&amp;$C475,盘货信息!$A:$A&amp;盘货信息!$B:$B&amp;盘货信息!$C:$C,盘货信息!$H:$H),0)&amp;"元消费券"))</f>
        <v/>
      </c>
      <c r="J475" s="27" t="str" cm="1">
        <f t="array" ref="J475">IF($C475="","",IF(_xlfn.XLOOKUP($A475&amp;$B475&amp;$C475,盘货信息!$A:$A&amp;盘货信息!$B:$B&amp;盘货信息!$C:$C,盘货信息!$J:$J)&lt;1,"",ROUND(_xlfn.XLOOKUP($A475&amp;$B475&amp;$C475,盘货信息!$A:$A&amp;盘货信息!$B:$B&amp;盘货信息!$C:$C,盘货信息!$J:$J),0)&amp;"元限时补贴"))</f>
        <v/>
      </c>
      <c r="K475" s="27" t="str" cm="1">
        <f t="array" ref="K475">IF($C475="","",IF(_xlfn.XLOOKUP($A475&amp;$B475&amp;$C475,盘货信息!$A:$A&amp;盘货信息!$B:$B&amp;盘货信息!$C:$C,盘货信息!$K:$K)&lt;1,"",ROUND(_xlfn.XLOOKUP($A475&amp;$B475&amp;$C475,盘货信息!$A:$A&amp;盘货信息!$B:$B&amp;盘货信息!$C:$C,盘货信息!$K:$K),0)&amp;"元预估焕新补贴"))</f>
        <v/>
      </c>
      <c r="L475" s="27" t="str" cm="1">
        <f t="array" ref="L475">IF($C475="","",IF(AND(_xlfn.XLOOKUP($A475&amp;$B475&amp;$C475,盘货信息!$A:$A&amp;盘货信息!$B:$B&amp;盘货信息!$C:$C,盘货信息!$L:$L)="是",_xlfn.XLOOKUP($A475&amp;$B475&amp;$C475,盘货信息!$A:$A&amp;盘货信息!$B:$B&amp;盘货信息!$C:$C,盘货信息!$M:$M)="是",_xlfn.XLOOKUP($A475&amp;$B475&amp;$C475,盘货信息!$A:$A&amp;盘货信息!$B:$B&amp;盘货信息!$C:$C,盘货信息!$K:$K)&gt;0),"【全民可用，不限地址】",IF(AND(OR(_xlfn.XLOOKUP($A475&amp;$B475&amp;$C475,盘货信息!$A:$A&amp;盘货信息!$B:$B&amp;盘货信息!$C:$C,盘货信息!$L:$L)="否",_xlfn.XLOOKUP($A475&amp;$B475&amp;$C475,盘货信息!$A:$A&amp;盘货信息!$B:$B&amp;盘货信息!$C:$C,盘货信息!$L:$L)=""),_xlfn.XLOOKUP($A475&amp;$B475&amp;$C475,盘货信息!$A:$A&amp;盘货信息!$B:$B&amp;盘货信息!$C:$C,盘货信息!$M:$M)="是",_xlfn.XLOOKUP($A475&amp;$B475&amp;$C475,盘货信息!$A:$A&amp;盘货信息!$B:$B&amp;盘货信息!$C:$C,盘货信息!$K:$K)&gt;0),"【详情页领取】","")))</f>
        <v/>
      </c>
      <c r="M475" s="27" t="str" cm="1">
        <f t="array" ref="M475">IF($C475="","",IF(_xlfn.XLOOKUP($A475&amp;$B475&amp;$C475,盘货信息!$A:$A&amp;盘货信息!$B:$B&amp;盘货信息!$C:$C,盘货信息!$F:$F)&lt;1,"",_xlfn.XLOOKUP($A475&amp;$B475&amp;$C475,盘货信息!$A:$A&amp;盘货信息!$B:$B&amp;盘货信息!$C:$C,盘货信息!$F:$F)&amp;"元明卷"))</f>
        <v/>
      </c>
      <c r="N475" s="27" t="str">
        <f t="shared" si="15"/>
        <v/>
      </c>
      <c r="O475" s="27" t="str">
        <f>IF(I475="","","【消费券链接】"&amp;固定信息!$B$6)</f>
        <v/>
      </c>
    </row>
    <row r="476" customHeight="1" spans="1:15">
      <c r="A476" s="23" t="str">
        <f>IF(盘货信息!A476="","",盘货信息!A476)</f>
        <v/>
      </c>
      <c r="B476" s="26" t="str">
        <f>IF(盘货信息!B476="","",盘货信息!B476)</f>
        <v/>
      </c>
      <c r="C476" s="23" t="str">
        <f>IF(盘货信息!C476="","",盘货信息!C476)</f>
        <v/>
      </c>
      <c r="D476" s="27" t="str">
        <f t="shared" si="14"/>
        <v/>
      </c>
      <c r="E476" s="27" t="str" cm="1">
        <f t="array" ref="E476">IF($C476="","",IF(AND(OR(_xlfn.XLOOKUP($A476&amp;$B476&amp;$C476,盘货信息!$A:$A&amp;盘货信息!$B:$B&amp;盘货信息!$C:$C,盘货信息!$L:$L)="否",_xlfn.XLOOKUP($A476&amp;$B476&amp;$C476,盘货信息!$A:$A&amp;盘货信息!$B:$B&amp;盘货信息!$C:$C,盘货信息!$L:$L)=""),_xlfn.XLOOKUP($A476&amp;$B476&amp;$C476,盘货信息!$A:$A&amp;盘货信息!$B:$B&amp;盘货信息!$C:$C,盘货信息!$M:$M)="否"),"【预估到手价"&amp;_xlfn.XLOOKUP($A476&amp;$B476&amp;$C476,盘货信息!$A:$A&amp;盘货信息!$B:$B&amp;盘货信息!$C:$C,盘货信息!$D:$D)&amp;"元】",IF(AND(_xlfn.XLOOKUP($A476&amp;$B476&amp;$C476,盘货信息!$A:$A&amp;盘货信息!$B:$B&amp;盘货信息!$C:$C,盘货信息!$M:$M)="是",OR(_xlfn.XLOOKUP($A476&amp;$B476&amp;$C476,盘货信息!$A:$A&amp;盘货信息!$B:$B&amp;盘货信息!$C:$C,盘货信息!$L:$L)="否",_xlfn.XLOOKUP($A476&amp;$B476&amp;$C476,盘货信息!$A:$A&amp;盘货信息!$B:$B&amp;盘货信息!$C:$C,盘货信息!$L:$L)="")),"【预估到手价"&amp;_xlfn.XLOOKUP($A476&amp;$B476&amp;$C476,盘货信息!$A:$A&amp;盘货信息!$B:$B&amp;盘货信息!$C:$C,盘货信息!$D:$D)&amp;"元】"&amp;CHAR(10)&amp;"【焕新补贴预估价"&amp;ROUND(_xlfn.XLOOKUP($A476&amp;$B476&amp;$C476,盘货信息!$A:$A&amp;盘货信息!$B:$B&amp;盘货信息!$C:$C,盘货信息!$E:$E),0)&amp;"元】","【焕新补贴预估价"&amp;ROUND(_xlfn.XLOOKUP($A476&amp;$B476&amp;$C476,盘货信息!$A:$A&amp;盘货信息!$B:$B&amp;盘货信息!$C:$C,盘货信息!$E:$E),0)&amp;"元】")))</f>
        <v/>
      </c>
      <c r="F476" s="27" t="str" cm="1">
        <f t="array" ref="F476">IF($C476="","",_xlfn.XLOOKUP($A476&amp;$B476&amp;$C476,盘货信息!$A:$A&amp;盘货信息!$B:$B&amp;盘货信息!$C:$C,盘货信息!$D:$D)&amp;"元到手价")</f>
        <v/>
      </c>
      <c r="G476" s="27" t="str" cm="1">
        <f t="array" ref="G476">IF($C476="","",IF(_xlfn.XLOOKUP($A476&amp;$B476&amp;$C476,盘货信息!$A:$A&amp;盘货信息!$B:$B&amp;盘货信息!$C:$C,盘货信息!$G:$G)&lt;1,"",ROUND(_xlfn.XLOOKUP($A476&amp;$B476&amp;$C476,盘货信息!$A:$A&amp;盘货信息!$B:$B&amp;盘货信息!$C:$C,盘货信息!$G:$G),0)&amp;"元88VIP立减"))</f>
        <v/>
      </c>
      <c r="H476" s="27" t="str" cm="1">
        <f t="array" ref="H476">IF($C476="","",IF(_xlfn.XLOOKUP($A476&amp;$B476&amp;$C476,盘货信息!$A:$A&amp;盘货信息!$B:$B&amp;盘货信息!$C:$C,盘货信息!$I:$I)&lt;1,"",_xlfn.XLOOKUP($A476&amp;$B476&amp;$C476,盘货信息!$A:$A&amp;盘货信息!$B:$B&amp;盘货信息!$C:$C,盘货信息!$I:$I)&amp;"元惊喜立减"))</f>
        <v/>
      </c>
      <c r="I476" s="27" t="str" cm="1">
        <f t="array" ref="I476">IF($C476="","",IF(_xlfn.XLOOKUP($A476&amp;$B476&amp;$C476,盘货信息!$A:$A&amp;盘货信息!$B:$B&amp;盘货信息!$C:$C,盘货信息!$H:$H)&lt;1,"",ROUND(_xlfn.XLOOKUP($A476&amp;$B476&amp;$C476,盘货信息!$A:$A&amp;盘货信息!$B:$B&amp;盘货信息!$C:$C,盘货信息!$H:$H),0)&amp;"元消费券"))</f>
        <v/>
      </c>
      <c r="J476" s="27" t="str" cm="1">
        <f t="array" ref="J476">IF($C476="","",IF(_xlfn.XLOOKUP($A476&amp;$B476&amp;$C476,盘货信息!$A:$A&amp;盘货信息!$B:$B&amp;盘货信息!$C:$C,盘货信息!$J:$J)&lt;1,"",ROUND(_xlfn.XLOOKUP($A476&amp;$B476&amp;$C476,盘货信息!$A:$A&amp;盘货信息!$B:$B&amp;盘货信息!$C:$C,盘货信息!$J:$J),0)&amp;"元限时补贴"))</f>
        <v/>
      </c>
      <c r="K476" s="27" t="str" cm="1">
        <f t="array" ref="K476">IF($C476="","",IF(_xlfn.XLOOKUP($A476&amp;$B476&amp;$C476,盘货信息!$A:$A&amp;盘货信息!$B:$B&amp;盘货信息!$C:$C,盘货信息!$K:$K)&lt;1,"",ROUND(_xlfn.XLOOKUP($A476&amp;$B476&amp;$C476,盘货信息!$A:$A&amp;盘货信息!$B:$B&amp;盘货信息!$C:$C,盘货信息!$K:$K),0)&amp;"元预估焕新补贴"))</f>
        <v/>
      </c>
      <c r="L476" s="27" t="str" cm="1">
        <f t="array" ref="L476">IF($C476="","",IF(AND(_xlfn.XLOOKUP($A476&amp;$B476&amp;$C476,盘货信息!$A:$A&amp;盘货信息!$B:$B&amp;盘货信息!$C:$C,盘货信息!$L:$L)="是",_xlfn.XLOOKUP($A476&amp;$B476&amp;$C476,盘货信息!$A:$A&amp;盘货信息!$B:$B&amp;盘货信息!$C:$C,盘货信息!$M:$M)="是",_xlfn.XLOOKUP($A476&amp;$B476&amp;$C476,盘货信息!$A:$A&amp;盘货信息!$B:$B&amp;盘货信息!$C:$C,盘货信息!$K:$K)&gt;0),"【全民可用，不限地址】",IF(AND(OR(_xlfn.XLOOKUP($A476&amp;$B476&amp;$C476,盘货信息!$A:$A&amp;盘货信息!$B:$B&amp;盘货信息!$C:$C,盘货信息!$L:$L)="否",_xlfn.XLOOKUP($A476&amp;$B476&amp;$C476,盘货信息!$A:$A&amp;盘货信息!$B:$B&amp;盘货信息!$C:$C,盘货信息!$L:$L)=""),_xlfn.XLOOKUP($A476&amp;$B476&amp;$C476,盘货信息!$A:$A&amp;盘货信息!$B:$B&amp;盘货信息!$C:$C,盘货信息!$M:$M)="是",_xlfn.XLOOKUP($A476&amp;$B476&amp;$C476,盘货信息!$A:$A&amp;盘货信息!$B:$B&amp;盘货信息!$C:$C,盘货信息!$K:$K)&gt;0),"【详情页领取】","")))</f>
        <v/>
      </c>
      <c r="M476" s="27" t="str" cm="1">
        <f t="array" ref="M476">IF($C476="","",IF(_xlfn.XLOOKUP($A476&amp;$B476&amp;$C476,盘货信息!$A:$A&amp;盘货信息!$B:$B&amp;盘货信息!$C:$C,盘货信息!$F:$F)&lt;1,"",_xlfn.XLOOKUP($A476&amp;$B476&amp;$C476,盘货信息!$A:$A&amp;盘货信息!$B:$B&amp;盘货信息!$C:$C,盘货信息!$F:$F)&amp;"元明卷"))</f>
        <v/>
      </c>
      <c r="N476" s="27" t="str">
        <f t="shared" si="15"/>
        <v/>
      </c>
      <c r="O476" s="27" t="str">
        <f>IF(I476="","","【消费券链接】"&amp;固定信息!$B$6)</f>
        <v/>
      </c>
    </row>
    <row r="477" customHeight="1" spans="1:15">
      <c r="A477" s="23" t="str">
        <f>IF(盘货信息!A477="","",盘货信息!A477)</f>
        <v/>
      </c>
      <c r="B477" s="26" t="str">
        <f>IF(盘货信息!B477="","",盘货信息!B477)</f>
        <v/>
      </c>
      <c r="C477" s="23" t="str">
        <f>IF(盘货信息!C477="","",盘货信息!C477)</f>
        <v/>
      </c>
      <c r="D477" s="27" t="str">
        <f t="shared" si="14"/>
        <v/>
      </c>
      <c r="E477" s="27" t="str" cm="1">
        <f t="array" ref="E477">IF($C477="","",IF(AND(OR(_xlfn.XLOOKUP($A477&amp;$B477&amp;$C477,盘货信息!$A:$A&amp;盘货信息!$B:$B&amp;盘货信息!$C:$C,盘货信息!$L:$L)="否",_xlfn.XLOOKUP($A477&amp;$B477&amp;$C477,盘货信息!$A:$A&amp;盘货信息!$B:$B&amp;盘货信息!$C:$C,盘货信息!$L:$L)=""),_xlfn.XLOOKUP($A477&amp;$B477&amp;$C477,盘货信息!$A:$A&amp;盘货信息!$B:$B&amp;盘货信息!$C:$C,盘货信息!$M:$M)="否"),"【预估到手价"&amp;_xlfn.XLOOKUP($A477&amp;$B477&amp;$C477,盘货信息!$A:$A&amp;盘货信息!$B:$B&amp;盘货信息!$C:$C,盘货信息!$D:$D)&amp;"元】",IF(AND(_xlfn.XLOOKUP($A477&amp;$B477&amp;$C477,盘货信息!$A:$A&amp;盘货信息!$B:$B&amp;盘货信息!$C:$C,盘货信息!$M:$M)="是",OR(_xlfn.XLOOKUP($A477&amp;$B477&amp;$C477,盘货信息!$A:$A&amp;盘货信息!$B:$B&amp;盘货信息!$C:$C,盘货信息!$L:$L)="否",_xlfn.XLOOKUP($A477&amp;$B477&amp;$C477,盘货信息!$A:$A&amp;盘货信息!$B:$B&amp;盘货信息!$C:$C,盘货信息!$L:$L)="")),"【预估到手价"&amp;_xlfn.XLOOKUP($A477&amp;$B477&amp;$C477,盘货信息!$A:$A&amp;盘货信息!$B:$B&amp;盘货信息!$C:$C,盘货信息!$D:$D)&amp;"元】"&amp;CHAR(10)&amp;"【焕新补贴预估价"&amp;ROUND(_xlfn.XLOOKUP($A477&amp;$B477&amp;$C477,盘货信息!$A:$A&amp;盘货信息!$B:$B&amp;盘货信息!$C:$C,盘货信息!$E:$E),0)&amp;"元】","【焕新补贴预估价"&amp;ROUND(_xlfn.XLOOKUP($A477&amp;$B477&amp;$C477,盘货信息!$A:$A&amp;盘货信息!$B:$B&amp;盘货信息!$C:$C,盘货信息!$E:$E),0)&amp;"元】")))</f>
        <v/>
      </c>
      <c r="F477" s="27" t="str" cm="1">
        <f t="array" ref="F477">IF($C477="","",_xlfn.XLOOKUP($A477&amp;$B477&amp;$C477,盘货信息!$A:$A&amp;盘货信息!$B:$B&amp;盘货信息!$C:$C,盘货信息!$D:$D)&amp;"元到手价")</f>
        <v/>
      </c>
      <c r="G477" s="27" t="str" cm="1">
        <f t="array" ref="G477">IF($C477="","",IF(_xlfn.XLOOKUP($A477&amp;$B477&amp;$C477,盘货信息!$A:$A&amp;盘货信息!$B:$B&amp;盘货信息!$C:$C,盘货信息!$G:$G)&lt;1,"",ROUND(_xlfn.XLOOKUP($A477&amp;$B477&amp;$C477,盘货信息!$A:$A&amp;盘货信息!$B:$B&amp;盘货信息!$C:$C,盘货信息!$G:$G),0)&amp;"元88VIP立减"))</f>
        <v/>
      </c>
      <c r="H477" s="27" t="str" cm="1">
        <f t="array" ref="H477">IF($C477="","",IF(_xlfn.XLOOKUP($A477&amp;$B477&amp;$C477,盘货信息!$A:$A&amp;盘货信息!$B:$B&amp;盘货信息!$C:$C,盘货信息!$I:$I)&lt;1,"",_xlfn.XLOOKUP($A477&amp;$B477&amp;$C477,盘货信息!$A:$A&amp;盘货信息!$B:$B&amp;盘货信息!$C:$C,盘货信息!$I:$I)&amp;"元惊喜立减"))</f>
        <v/>
      </c>
      <c r="I477" s="27" t="str" cm="1">
        <f t="array" ref="I477">IF($C477="","",IF(_xlfn.XLOOKUP($A477&amp;$B477&amp;$C477,盘货信息!$A:$A&amp;盘货信息!$B:$B&amp;盘货信息!$C:$C,盘货信息!$H:$H)&lt;1,"",ROUND(_xlfn.XLOOKUP($A477&amp;$B477&amp;$C477,盘货信息!$A:$A&amp;盘货信息!$B:$B&amp;盘货信息!$C:$C,盘货信息!$H:$H),0)&amp;"元消费券"))</f>
        <v/>
      </c>
      <c r="J477" s="27" t="str" cm="1">
        <f t="array" ref="J477">IF($C477="","",IF(_xlfn.XLOOKUP($A477&amp;$B477&amp;$C477,盘货信息!$A:$A&amp;盘货信息!$B:$B&amp;盘货信息!$C:$C,盘货信息!$J:$J)&lt;1,"",ROUND(_xlfn.XLOOKUP($A477&amp;$B477&amp;$C477,盘货信息!$A:$A&amp;盘货信息!$B:$B&amp;盘货信息!$C:$C,盘货信息!$J:$J),0)&amp;"元限时补贴"))</f>
        <v/>
      </c>
      <c r="K477" s="27" t="str" cm="1">
        <f t="array" ref="K477">IF($C477="","",IF(_xlfn.XLOOKUP($A477&amp;$B477&amp;$C477,盘货信息!$A:$A&amp;盘货信息!$B:$B&amp;盘货信息!$C:$C,盘货信息!$K:$K)&lt;1,"",ROUND(_xlfn.XLOOKUP($A477&amp;$B477&amp;$C477,盘货信息!$A:$A&amp;盘货信息!$B:$B&amp;盘货信息!$C:$C,盘货信息!$K:$K),0)&amp;"元预估焕新补贴"))</f>
        <v/>
      </c>
      <c r="L477" s="27" t="str" cm="1">
        <f t="array" ref="L477">IF($C477="","",IF(AND(_xlfn.XLOOKUP($A477&amp;$B477&amp;$C477,盘货信息!$A:$A&amp;盘货信息!$B:$B&amp;盘货信息!$C:$C,盘货信息!$L:$L)="是",_xlfn.XLOOKUP($A477&amp;$B477&amp;$C477,盘货信息!$A:$A&amp;盘货信息!$B:$B&amp;盘货信息!$C:$C,盘货信息!$M:$M)="是",_xlfn.XLOOKUP($A477&amp;$B477&amp;$C477,盘货信息!$A:$A&amp;盘货信息!$B:$B&amp;盘货信息!$C:$C,盘货信息!$K:$K)&gt;0),"【全民可用，不限地址】",IF(AND(OR(_xlfn.XLOOKUP($A477&amp;$B477&amp;$C477,盘货信息!$A:$A&amp;盘货信息!$B:$B&amp;盘货信息!$C:$C,盘货信息!$L:$L)="否",_xlfn.XLOOKUP($A477&amp;$B477&amp;$C477,盘货信息!$A:$A&amp;盘货信息!$B:$B&amp;盘货信息!$C:$C,盘货信息!$L:$L)=""),_xlfn.XLOOKUP($A477&amp;$B477&amp;$C477,盘货信息!$A:$A&amp;盘货信息!$B:$B&amp;盘货信息!$C:$C,盘货信息!$M:$M)="是",_xlfn.XLOOKUP($A477&amp;$B477&amp;$C477,盘货信息!$A:$A&amp;盘货信息!$B:$B&amp;盘货信息!$C:$C,盘货信息!$K:$K)&gt;0),"【详情页领取】","")))</f>
        <v/>
      </c>
      <c r="M477" s="27" t="str" cm="1">
        <f t="array" ref="M477">IF($C477="","",IF(_xlfn.XLOOKUP($A477&amp;$B477&amp;$C477,盘货信息!$A:$A&amp;盘货信息!$B:$B&amp;盘货信息!$C:$C,盘货信息!$F:$F)&lt;1,"",_xlfn.XLOOKUP($A477&amp;$B477&amp;$C477,盘货信息!$A:$A&amp;盘货信息!$B:$B&amp;盘货信息!$C:$C,盘货信息!$F:$F)&amp;"元明卷"))</f>
        <v/>
      </c>
      <c r="N477" s="27" t="str">
        <f t="shared" si="15"/>
        <v/>
      </c>
      <c r="O477" s="27" t="str">
        <f>IF(I477="","","【消费券链接】"&amp;固定信息!$B$6)</f>
        <v/>
      </c>
    </row>
    <row r="478" customHeight="1" spans="1:15">
      <c r="A478" s="23" t="str">
        <f>IF(盘货信息!A478="","",盘货信息!A478)</f>
        <v/>
      </c>
      <c r="B478" s="26" t="str">
        <f>IF(盘货信息!B478="","",盘货信息!B478)</f>
        <v/>
      </c>
      <c r="C478" s="23" t="str">
        <f>IF(盘货信息!C478="","",盘货信息!C478)</f>
        <v/>
      </c>
      <c r="D478" s="27" t="str">
        <f t="shared" si="14"/>
        <v/>
      </c>
      <c r="E478" s="27" t="str" cm="1">
        <f t="array" ref="E478">IF($C478="","",IF(AND(OR(_xlfn.XLOOKUP($A478&amp;$B478&amp;$C478,盘货信息!$A:$A&amp;盘货信息!$B:$B&amp;盘货信息!$C:$C,盘货信息!$L:$L)="否",_xlfn.XLOOKUP($A478&amp;$B478&amp;$C478,盘货信息!$A:$A&amp;盘货信息!$B:$B&amp;盘货信息!$C:$C,盘货信息!$L:$L)=""),_xlfn.XLOOKUP($A478&amp;$B478&amp;$C478,盘货信息!$A:$A&amp;盘货信息!$B:$B&amp;盘货信息!$C:$C,盘货信息!$M:$M)="否"),"【预估到手价"&amp;_xlfn.XLOOKUP($A478&amp;$B478&amp;$C478,盘货信息!$A:$A&amp;盘货信息!$B:$B&amp;盘货信息!$C:$C,盘货信息!$D:$D)&amp;"元】",IF(AND(_xlfn.XLOOKUP($A478&amp;$B478&amp;$C478,盘货信息!$A:$A&amp;盘货信息!$B:$B&amp;盘货信息!$C:$C,盘货信息!$M:$M)="是",OR(_xlfn.XLOOKUP($A478&amp;$B478&amp;$C478,盘货信息!$A:$A&amp;盘货信息!$B:$B&amp;盘货信息!$C:$C,盘货信息!$L:$L)="否",_xlfn.XLOOKUP($A478&amp;$B478&amp;$C478,盘货信息!$A:$A&amp;盘货信息!$B:$B&amp;盘货信息!$C:$C,盘货信息!$L:$L)="")),"【预估到手价"&amp;_xlfn.XLOOKUP($A478&amp;$B478&amp;$C478,盘货信息!$A:$A&amp;盘货信息!$B:$B&amp;盘货信息!$C:$C,盘货信息!$D:$D)&amp;"元】"&amp;CHAR(10)&amp;"【焕新补贴预估价"&amp;ROUND(_xlfn.XLOOKUP($A478&amp;$B478&amp;$C478,盘货信息!$A:$A&amp;盘货信息!$B:$B&amp;盘货信息!$C:$C,盘货信息!$E:$E),0)&amp;"元】","【焕新补贴预估价"&amp;ROUND(_xlfn.XLOOKUP($A478&amp;$B478&amp;$C478,盘货信息!$A:$A&amp;盘货信息!$B:$B&amp;盘货信息!$C:$C,盘货信息!$E:$E),0)&amp;"元】")))</f>
        <v/>
      </c>
      <c r="F478" s="27" t="str" cm="1">
        <f t="array" ref="F478">IF($C478="","",_xlfn.XLOOKUP($A478&amp;$B478&amp;$C478,盘货信息!$A:$A&amp;盘货信息!$B:$B&amp;盘货信息!$C:$C,盘货信息!$D:$D)&amp;"元到手价")</f>
        <v/>
      </c>
      <c r="G478" s="27" t="str" cm="1">
        <f t="array" ref="G478">IF($C478="","",IF(_xlfn.XLOOKUP($A478&amp;$B478&amp;$C478,盘货信息!$A:$A&amp;盘货信息!$B:$B&amp;盘货信息!$C:$C,盘货信息!$G:$G)&lt;1,"",ROUND(_xlfn.XLOOKUP($A478&amp;$B478&amp;$C478,盘货信息!$A:$A&amp;盘货信息!$B:$B&amp;盘货信息!$C:$C,盘货信息!$G:$G),0)&amp;"元88VIP立减"))</f>
        <v/>
      </c>
      <c r="H478" s="27" t="str" cm="1">
        <f t="array" ref="H478">IF($C478="","",IF(_xlfn.XLOOKUP($A478&amp;$B478&amp;$C478,盘货信息!$A:$A&amp;盘货信息!$B:$B&amp;盘货信息!$C:$C,盘货信息!$I:$I)&lt;1,"",_xlfn.XLOOKUP($A478&amp;$B478&amp;$C478,盘货信息!$A:$A&amp;盘货信息!$B:$B&amp;盘货信息!$C:$C,盘货信息!$I:$I)&amp;"元惊喜立减"))</f>
        <v/>
      </c>
      <c r="I478" s="27" t="str" cm="1">
        <f t="array" ref="I478">IF($C478="","",IF(_xlfn.XLOOKUP($A478&amp;$B478&amp;$C478,盘货信息!$A:$A&amp;盘货信息!$B:$B&amp;盘货信息!$C:$C,盘货信息!$H:$H)&lt;1,"",ROUND(_xlfn.XLOOKUP($A478&amp;$B478&amp;$C478,盘货信息!$A:$A&amp;盘货信息!$B:$B&amp;盘货信息!$C:$C,盘货信息!$H:$H),0)&amp;"元消费券"))</f>
        <v/>
      </c>
      <c r="J478" s="27" t="str" cm="1">
        <f t="array" ref="J478">IF($C478="","",IF(_xlfn.XLOOKUP($A478&amp;$B478&amp;$C478,盘货信息!$A:$A&amp;盘货信息!$B:$B&amp;盘货信息!$C:$C,盘货信息!$J:$J)&lt;1,"",ROUND(_xlfn.XLOOKUP($A478&amp;$B478&amp;$C478,盘货信息!$A:$A&amp;盘货信息!$B:$B&amp;盘货信息!$C:$C,盘货信息!$J:$J),0)&amp;"元限时补贴"))</f>
        <v/>
      </c>
      <c r="K478" s="27" t="str" cm="1">
        <f t="array" ref="K478">IF($C478="","",IF(_xlfn.XLOOKUP($A478&amp;$B478&amp;$C478,盘货信息!$A:$A&amp;盘货信息!$B:$B&amp;盘货信息!$C:$C,盘货信息!$K:$K)&lt;1,"",ROUND(_xlfn.XLOOKUP($A478&amp;$B478&amp;$C478,盘货信息!$A:$A&amp;盘货信息!$B:$B&amp;盘货信息!$C:$C,盘货信息!$K:$K),0)&amp;"元预估焕新补贴"))</f>
        <v/>
      </c>
      <c r="L478" s="27" t="str" cm="1">
        <f t="array" ref="L478">IF($C478="","",IF(AND(_xlfn.XLOOKUP($A478&amp;$B478&amp;$C478,盘货信息!$A:$A&amp;盘货信息!$B:$B&amp;盘货信息!$C:$C,盘货信息!$L:$L)="是",_xlfn.XLOOKUP($A478&amp;$B478&amp;$C478,盘货信息!$A:$A&amp;盘货信息!$B:$B&amp;盘货信息!$C:$C,盘货信息!$M:$M)="是",_xlfn.XLOOKUP($A478&amp;$B478&amp;$C478,盘货信息!$A:$A&amp;盘货信息!$B:$B&amp;盘货信息!$C:$C,盘货信息!$K:$K)&gt;0),"【全民可用，不限地址】",IF(AND(OR(_xlfn.XLOOKUP($A478&amp;$B478&amp;$C478,盘货信息!$A:$A&amp;盘货信息!$B:$B&amp;盘货信息!$C:$C,盘货信息!$L:$L)="否",_xlfn.XLOOKUP($A478&amp;$B478&amp;$C478,盘货信息!$A:$A&amp;盘货信息!$B:$B&amp;盘货信息!$C:$C,盘货信息!$L:$L)=""),_xlfn.XLOOKUP($A478&amp;$B478&amp;$C478,盘货信息!$A:$A&amp;盘货信息!$B:$B&amp;盘货信息!$C:$C,盘货信息!$M:$M)="是",_xlfn.XLOOKUP($A478&amp;$B478&amp;$C478,盘货信息!$A:$A&amp;盘货信息!$B:$B&amp;盘货信息!$C:$C,盘货信息!$K:$K)&gt;0),"【详情页领取】","")))</f>
        <v/>
      </c>
      <c r="M478" s="27" t="str" cm="1">
        <f t="array" ref="M478">IF($C478="","",IF(_xlfn.XLOOKUP($A478&amp;$B478&amp;$C478,盘货信息!$A:$A&amp;盘货信息!$B:$B&amp;盘货信息!$C:$C,盘货信息!$F:$F)&lt;1,"",_xlfn.XLOOKUP($A478&amp;$B478&amp;$C478,盘货信息!$A:$A&amp;盘货信息!$B:$B&amp;盘货信息!$C:$C,盘货信息!$F:$F)&amp;"元明卷"))</f>
        <v/>
      </c>
      <c r="N478" s="27" t="str">
        <f t="shared" si="15"/>
        <v/>
      </c>
      <c r="O478" s="27" t="str">
        <f>IF(I478="","","【消费券链接】"&amp;固定信息!$B$6)</f>
        <v/>
      </c>
    </row>
    <row r="479" customHeight="1" spans="1:15">
      <c r="A479" s="23" t="str">
        <f>IF(盘货信息!A479="","",盘货信息!A479)</f>
        <v/>
      </c>
      <c r="B479" s="26" t="str">
        <f>IF(盘货信息!B479="","",盘货信息!B479)</f>
        <v/>
      </c>
      <c r="C479" s="23" t="str">
        <f>IF(盘货信息!C479="","",盘货信息!C479)</f>
        <v/>
      </c>
      <c r="D479" s="27" t="str">
        <f t="shared" si="14"/>
        <v/>
      </c>
      <c r="E479" s="27" t="str" cm="1">
        <f t="array" ref="E479">IF($C479="","",IF(AND(OR(_xlfn.XLOOKUP($A479&amp;$B479&amp;$C479,盘货信息!$A:$A&amp;盘货信息!$B:$B&amp;盘货信息!$C:$C,盘货信息!$L:$L)="否",_xlfn.XLOOKUP($A479&amp;$B479&amp;$C479,盘货信息!$A:$A&amp;盘货信息!$B:$B&amp;盘货信息!$C:$C,盘货信息!$L:$L)=""),_xlfn.XLOOKUP($A479&amp;$B479&amp;$C479,盘货信息!$A:$A&amp;盘货信息!$B:$B&amp;盘货信息!$C:$C,盘货信息!$M:$M)="否"),"【预估到手价"&amp;_xlfn.XLOOKUP($A479&amp;$B479&amp;$C479,盘货信息!$A:$A&amp;盘货信息!$B:$B&amp;盘货信息!$C:$C,盘货信息!$D:$D)&amp;"元】",IF(AND(_xlfn.XLOOKUP($A479&amp;$B479&amp;$C479,盘货信息!$A:$A&amp;盘货信息!$B:$B&amp;盘货信息!$C:$C,盘货信息!$M:$M)="是",OR(_xlfn.XLOOKUP($A479&amp;$B479&amp;$C479,盘货信息!$A:$A&amp;盘货信息!$B:$B&amp;盘货信息!$C:$C,盘货信息!$L:$L)="否",_xlfn.XLOOKUP($A479&amp;$B479&amp;$C479,盘货信息!$A:$A&amp;盘货信息!$B:$B&amp;盘货信息!$C:$C,盘货信息!$L:$L)="")),"【预估到手价"&amp;_xlfn.XLOOKUP($A479&amp;$B479&amp;$C479,盘货信息!$A:$A&amp;盘货信息!$B:$B&amp;盘货信息!$C:$C,盘货信息!$D:$D)&amp;"元】"&amp;CHAR(10)&amp;"【焕新补贴预估价"&amp;ROUND(_xlfn.XLOOKUP($A479&amp;$B479&amp;$C479,盘货信息!$A:$A&amp;盘货信息!$B:$B&amp;盘货信息!$C:$C,盘货信息!$E:$E),0)&amp;"元】","【焕新补贴预估价"&amp;ROUND(_xlfn.XLOOKUP($A479&amp;$B479&amp;$C479,盘货信息!$A:$A&amp;盘货信息!$B:$B&amp;盘货信息!$C:$C,盘货信息!$E:$E),0)&amp;"元】")))</f>
        <v/>
      </c>
      <c r="F479" s="27" t="str" cm="1">
        <f t="array" ref="F479">IF($C479="","",_xlfn.XLOOKUP($A479&amp;$B479&amp;$C479,盘货信息!$A:$A&amp;盘货信息!$B:$B&amp;盘货信息!$C:$C,盘货信息!$D:$D)&amp;"元到手价")</f>
        <v/>
      </c>
      <c r="G479" s="27" t="str" cm="1">
        <f t="array" ref="G479">IF($C479="","",IF(_xlfn.XLOOKUP($A479&amp;$B479&amp;$C479,盘货信息!$A:$A&amp;盘货信息!$B:$B&amp;盘货信息!$C:$C,盘货信息!$G:$G)&lt;1,"",ROUND(_xlfn.XLOOKUP($A479&amp;$B479&amp;$C479,盘货信息!$A:$A&amp;盘货信息!$B:$B&amp;盘货信息!$C:$C,盘货信息!$G:$G),0)&amp;"元88VIP立减"))</f>
        <v/>
      </c>
      <c r="H479" s="27" t="str" cm="1">
        <f t="array" ref="H479">IF($C479="","",IF(_xlfn.XLOOKUP($A479&amp;$B479&amp;$C479,盘货信息!$A:$A&amp;盘货信息!$B:$B&amp;盘货信息!$C:$C,盘货信息!$I:$I)&lt;1,"",_xlfn.XLOOKUP($A479&amp;$B479&amp;$C479,盘货信息!$A:$A&amp;盘货信息!$B:$B&amp;盘货信息!$C:$C,盘货信息!$I:$I)&amp;"元惊喜立减"))</f>
        <v/>
      </c>
      <c r="I479" s="27" t="str" cm="1">
        <f t="array" ref="I479">IF($C479="","",IF(_xlfn.XLOOKUP($A479&amp;$B479&amp;$C479,盘货信息!$A:$A&amp;盘货信息!$B:$B&amp;盘货信息!$C:$C,盘货信息!$H:$H)&lt;1,"",ROUND(_xlfn.XLOOKUP($A479&amp;$B479&amp;$C479,盘货信息!$A:$A&amp;盘货信息!$B:$B&amp;盘货信息!$C:$C,盘货信息!$H:$H),0)&amp;"元消费券"))</f>
        <v/>
      </c>
      <c r="J479" s="27" t="str" cm="1">
        <f t="array" ref="J479">IF($C479="","",IF(_xlfn.XLOOKUP($A479&amp;$B479&amp;$C479,盘货信息!$A:$A&amp;盘货信息!$B:$B&amp;盘货信息!$C:$C,盘货信息!$J:$J)&lt;1,"",ROUND(_xlfn.XLOOKUP($A479&amp;$B479&amp;$C479,盘货信息!$A:$A&amp;盘货信息!$B:$B&amp;盘货信息!$C:$C,盘货信息!$J:$J),0)&amp;"元限时补贴"))</f>
        <v/>
      </c>
      <c r="K479" s="27" t="str" cm="1">
        <f t="array" ref="K479">IF($C479="","",IF(_xlfn.XLOOKUP($A479&amp;$B479&amp;$C479,盘货信息!$A:$A&amp;盘货信息!$B:$B&amp;盘货信息!$C:$C,盘货信息!$K:$K)&lt;1,"",ROUND(_xlfn.XLOOKUP($A479&amp;$B479&amp;$C479,盘货信息!$A:$A&amp;盘货信息!$B:$B&amp;盘货信息!$C:$C,盘货信息!$K:$K),0)&amp;"元预估焕新补贴"))</f>
        <v/>
      </c>
      <c r="L479" s="27" t="str" cm="1">
        <f t="array" ref="L479">IF($C479="","",IF(AND(_xlfn.XLOOKUP($A479&amp;$B479&amp;$C479,盘货信息!$A:$A&amp;盘货信息!$B:$B&amp;盘货信息!$C:$C,盘货信息!$L:$L)="是",_xlfn.XLOOKUP($A479&amp;$B479&amp;$C479,盘货信息!$A:$A&amp;盘货信息!$B:$B&amp;盘货信息!$C:$C,盘货信息!$M:$M)="是",_xlfn.XLOOKUP($A479&amp;$B479&amp;$C479,盘货信息!$A:$A&amp;盘货信息!$B:$B&amp;盘货信息!$C:$C,盘货信息!$K:$K)&gt;0),"【全民可用，不限地址】",IF(AND(OR(_xlfn.XLOOKUP($A479&amp;$B479&amp;$C479,盘货信息!$A:$A&amp;盘货信息!$B:$B&amp;盘货信息!$C:$C,盘货信息!$L:$L)="否",_xlfn.XLOOKUP($A479&amp;$B479&amp;$C479,盘货信息!$A:$A&amp;盘货信息!$B:$B&amp;盘货信息!$C:$C,盘货信息!$L:$L)=""),_xlfn.XLOOKUP($A479&amp;$B479&amp;$C479,盘货信息!$A:$A&amp;盘货信息!$B:$B&amp;盘货信息!$C:$C,盘货信息!$M:$M)="是",_xlfn.XLOOKUP($A479&amp;$B479&amp;$C479,盘货信息!$A:$A&amp;盘货信息!$B:$B&amp;盘货信息!$C:$C,盘货信息!$K:$K)&gt;0),"【详情页领取】","")))</f>
        <v/>
      </c>
      <c r="M479" s="27" t="str" cm="1">
        <f t="array" ref="M479">IF($C479="","",IF(_xlfn.XLOOKUP($A479&amp;$B479&amp;$C479,盘货信息!$A:$A&amp;盘货信息!$B:$B&amp;盘货信息!$C:$C,盘货信息!$F:$F)&lt;1,"",_xlfn.XLOOKUP($A479&amp;$B479&amp;$C479,盘货信息!$A:$A&amp;盘货信息!$B:$B&amp;盘货信息!$C:$C,盘货信息!$F:$F)&amp;"元明卷"))</f>
        <v/>
      </c>
      <c r="N479" s="27" t="str">
        <f t="shared" si="15"/>
        <v/>
      </c>
      <c r="O479" s="27" t="str">
        <f>IF(I479="","","【消费券链接】"&amp;固定信息!$B$6)</f>
        <v/>
      </c>
    </row>
    <row r="480" customHeight="1" spans="1:15">
      <c r="A480" s="23" t="str">
        <f>IF(盘货信息!A480="","",盘货信息!A480)</f>
        <v/>
      </c>
      <c r="B480" s="26" t="str">
        <f>IF(盘货信息!B480="","",盘货信息!B480)</f>
        <v/>
      </c>
      <c r="C480" s="23" t="str">
        <f>IF(盘货信息!C480="","",盘货信息!C480)</f>
        <v/>
      </c>
      <c r="D480" s="27" t="str">
        <f t="shared" si="14"/>
        <v/>
      </c>
      <c r="E480" s="27" t="str" cm="1">
        <f t="array" ref="E480">IF($C480="","",IF(AND(OR(_xlfn.XLOOKUP($A480&amp;$B480&amp;$C480,盘货信息!$A:$A&amp;盘货信息!$B:$B&amp;盘货信息!$C:$C,盘货信息!$L:$L)="否",_xlfn.XLOOKUP($A480&amp;$B480&amp;$C480,盘货信息!$A:$A&amp;盘货信息!$B:$B&amp;盘货信息!$C:$C,盘货信息!$L:$L)=""),_xlfn.XLOOKUP($A480&amp;$B480&amp;$C480,盘货信息!$A:$A&amp;盘货信息!$B:$B&amp;盘货信息!$C:$C,盘货信息!$M:$M)="否"),"【预估到手价"&amp;_xlfn.XLOOKUP($A480&amp;$B480&amp;$C480,盘货信息!$A:$A&amp;盘货信息!$B:$B&amp;盘货信息!$C:$C,盘货信息!$D:$D)&amp;"元】",IF(AND(_xlfn.XLOOKUP($A480&amp;$B480&amp;$C480,盘货信息!$A:$A&amp;盘货信息!$B:$B&amp;盘货信息!$C:$C,盘货信息!$M:$M)="是",OR(_xlfn.XLOOKUP($A480&amp;$B480&amp;$C480,盘货信息!$A:$A&amp;盘货信息!$B:$B&amp;盘货信息!$C:$C,盘货信息!$L:$L)="否",_xlfn.XLOOKUP($A480&amp;$B480&amp;$C480,盘货信息!$A:$A&amp;盘货信息!$B:$B&amp;盘货信息!$C:$C,盘货信息!$L:$L)="")),"【预估到手价"&amp;_xlfn.XLOOKUP($A480&amp;$B480&amp;$C480,盘货信息!$A:$A&amp;盘货信息!$B:$B&amp;盘货信息!$C:$C,盘货信息!$D:$D)&amp;"元】"&amp;CHAR(10)&amp;"【焕新补贴预估价"&amp;ROUND(_xlfn.XLOOKUP($A480&amp;$B480&amp;$C480,盘货信息!$A:$A&amp;盘货信息!$B:$B&amp;盘货信息!$C:$C,盘货信息!$E:$E),0)&amp;"元】","【焕新补贴预估价"&amp;ROUND(_xlfn.XLOOKUP($A480&amp;$B480&amp;$C480,盘货信息!$A:$A&amp;盘货信息!$B:$B&amp;盘货信息!$C:$C,盘货信息!$E:$E),0)&amp;"元】")))</f>
        <v/>
      </c>
      <c r="F480" s="27" t="str" cm="1">
        <f t="array" ref="F480">IF($C480="","",_xlfn.XLOOKUP($A480&amp;$B480&amp;$C480,盘货信息!$A:$A&amp;盘货信息!$B:$B&amp;盘货信息!$C:$C,盘货信息!$D:$D)&amp;"元到手价")</f>
        <v/>
      </c>
      <c r="G480" s="27" t="str" cm="1">
        <f t="array" ref="G480">IF($C480="","",IF(_xlfn.XLOOKUP($A480&amp;$B480&amp;$C480,盘货信息!$A:$A&amp;盘货信息!$B:$B&amp;盘货信息!$C:$C,盘货信息!$G:$G)&lt;1,"",ROUND(_xlfn.XLOOKUP($A480&amp;$B480&amp;$C480,盘货信息!$A:$A&amp;盘货信息!$B:$B&amp;盘货信息!$C:$C,盘货信息!$G:$G),0)&amp;"元88VIP立减"))</f>
        <v/>
      </c>
      <c r="H480" s="27" t="str" cm="1">
        <f t="array" ref="H480">IF($C480="","",IF(_xlfn.XLOOKUP($A480&amp;$B480&amp;$C480,盘货信息!$A:$A&amp;盘货信息!$B:$B&amp;盘货信息!$C:$C,盘货信息!$I:$I)&lt;1,"",_xlfn.XLOOKUP($A480&amp;$B480&amp;$C480,盘货信息!$A:$A&amp;盘货信息!$B:$B&amp;盘货信息!$C:$C,盘货信息!$I:$I)&amp;"元惊喜立减"))</f>
        <v/>
      </c>
      <c r="I480" s="27" t="str" cm="1">
        <f t="array" ref="I480">IF($C480="","",IF(_xlfn.XLOOKUP($A480&amp;$B480&amp;$C480,盘货信息!$A:$A&amp;盘货信息!$B:$B&amp;盘货信息!$C:$C,盘货信息!$H:$H)&lt;1,"",ROUND(_xlfn.XLOOKUP($A480&amp;$B480&amp;$C480,盘货信息!$A:$A&amp;盘货信息!$B:$B&amp;盘货信息!$C:$C,盘货信息!$H:$H),0)&amp;"元消费券"))</f>
        <v/>
      </c>
      <c r="J480" s="27" t="str" cm="1">
        <f t="array" ref="J480">IF($C480="","",IF(_xlfn.XLOOKUP($A480&amp;$B480&amp;$C480,盘货信息!$A:$A&amp;盘货信息!$B:$B&amp;盘货信息!$C:$C,盘货信息!$J:$J)&lt;1,"",ROUND(_xlfn.XLOOKUP($A480&amp;$B480&amp;$C480,盘货信息!$A:$A&amp;盘货信息!$B:$B&amp;盘货信息!$C:$C,盘货信息!$J:$J),0)&amp;"元限时补贴"))</f>
        <v/>
      </c>
      <c r="K480" s="27" t="str" cm="1">
        <f t="array" ref="K480">IF($C480="","",IF(_xlfn.XLOOKUP($A480&amp;$B480&amp;$C480,盘货信息!$A:$A&amp;盘货信息!$B:$B&amp;盘货信息!$C:$C,盘货信息!$K:$K)&lt;1,"",ROUND(_xlfn.XLOOKUP($A480&amp;$B480&amp;$C480,盘货信息!$A:$A&amp;盘货信息!$B:$B&amp;盘货信息!$C:$C,盘货信息!$K:$K),0)&amp;"元预估焕新补贴"))</f>
        <v/>
      </c>
      <c r="L480" s="27" t="str" cm="1">
        <f t="array" ref="L480">IF($C480="","",IF(AND(_xlfn.XLOOKUP($A480&amp;$B480&amp;$C480,盘货信息!$A:$A&amp;盘货信息!$B:$B&amp;盘货信息!$C:$C,盘货信息!$L:$L)="是",_xlfn.XLOOKUP($A480&amp;$B480&amp;$C480,盘货信息!$A:$A&amp;盘货信息!$B:$B&amp;盘货信息!$C:$C,盘货信息!$M:$M)="是",_xlfn.XLOOKUP($A480&amp;$B480&amp;$C480,盘货信息!$A:$A&amp;盘货信息!$B:$B&amp;盘货信息!$C:$C,盘货信息!$K:$K)&gt;0),"【全民可用，不限地址】",IF(AND(OR(_xlfn.XLOOKUP($A480&amp;$B480&amp;$C480,盘货信息!$A:$A&amp;盘货信息!$B:$B&amp;盘货信息!$C:$C,盘货信息!$L:$L)="否",_xlfn.XLOOKUP($A480&amp;$B480&amp;$C480,盘货信息!$A:$A&amp;盘货信息!$B:$B&amp;盘货信息!$C:$C,盘货信息!$L:$L)=""),_xlfn.XLOOKUP($A480&amp;$B480&amp;$C480,盘货信息!$A:$A&amp;盘货信息!$B:$B&amp;盘货信息!$C:$C,盘货信息!$M:$M)="是",_xlfn.XLOOKUP($A480&amp;$B480&amp;$C480,盘货信息!$A:$A&amp;盘货信息!$B:$B&amp;盘货信息!$C:$C,盘货信息!$K:$K)&gt;0),"【详情页领取】","")))</f>
        <v/>
      </c>
      <c r="M480" s="27" t="str" cm="1">
        <f t="array" ref="M480">IF($C480="","",IF(_xlfn.XLOOKUP($A480&amp;$B480&amp;$C480,盘货信息!$A:$A&amp;盘货信息!$B:$B&amp;盘货信息!$C:$C,盘货信息!$F:$F)&lt;1,"",_xlfn.XLOOKUP($A480&amp;$B480&amp;$C480,盘货信息!$A:$A&amp;盘货信息!$B:$B&amp;盘货信息!$C:$C,盘货信息!$F:$F)&amp;"元明卷"))</f>
        <v/>
      </c>
      <c r="N480" s="27" t="str">
        <f t="shared" si="15"/>
        <v/>
      </c>
      <c r="O480" s="27" t="str">
        <f>IF(I480="","","【消费券链接】"&amp;固定信息!$B$6)</f>
        <v/>
      </c>
    </row>
    <row r="481" customHeight="1" spans="1:15">
      <c r="A481" s="23" t="str">
        <f>IF(盘货信息!A481="","",盘货信息!A481)</f>
        <v/>
      </c>
      <c r="B481" s="26" t="str">
        <f>IF(盘货信息!B481="","",盘货信息!B481)</f>
        <v/>
      </c>
      <c r="C481" s="23" t="str">
        <f>IF(盘货信息!C481="","",盘货信息!C481)</f>
        <v/>
      </c>
      <c r="D481" s="27" t="str">
        <f t="shared" si="14"/>
        <v/>
      </c>
      <c r="E481" s="27" t="str" cm="1">
        <f t="array" ref="E481">IF($C481="","",IF(AND(OR(_xlfn.XLOOKUP($A481&amp;$B481&amp;$C481,盘货信息!$A:$A&amp;盘货信息!$B:$B&amp;盘货信息!$C:$C,盘货信息!$L:$L)="否",_xlfn.XLOOKUP($A481&amp;$B481&amp;$C481,盘货信息!$A:$A&amp;盘货信息!$B:$B&amp;盘货信息!$C:$C,盘货信息!$L:$L)=""),_xlfn.XLOOKUP($A481&amp;$B481&amp;$C481,盘货信息!$A:$A&amp;盘货信息!$B:$B&amp;盘货信息!$C:$C,盘货信息!$M:$M)="否"),"【预估到手价"&amp;_xlfn.XLOOKUP($A481&amp;$B481&amp;$C481,盘货信息!$A:$A&amp;盘货信息!$B:$B&amp;盘货信息!$C:$C,盘货信息!$D:$D)&amp;"元】",IF(AND(_xlfn.XLOOKUP($A481&amp;$B481&amp;$C481,盘货信息!$A:$A&amp;盘货信息!$B:$B&amp;盘货信息!$C:$C,盘货信息!$M:$M)="是",OR(_xlfn.XLOOKUP($A481&amp;$B481&amp;$C481,盘货信息!$A:$A&amp;盘货信息!$B:$B&amp;盘货信息!$C:$C,盘货信息!$L:$L)="否",_xlfn.XLOOKUP($A481&amp;$B481&amp;$C481,盘货信息!$A:$A&amp;盘货信息!$B:$B&amp;盘货信息!$C:$C,盘货信息!$L:$L)="")),"【预估到手价"&amp;_xlfn.XLOOKUP($A481&amp;$B481&amp;$C481,盘货信息!$A:$A&amp;盘货信息!$B:$B&amp;盘货信息!$C:$C,盘货信息!$D:$D)&amp;"元】"&amp;CHAR(10)&amp;"【焕新补贴预估价"&amp;ROUND(_xlfn.XLOOKUP($A481&amp;$B481&amp;$C481,盘货信息!$A:$A&amp;盘货信息!$B:$B&amp;盘货信息!$C:$C,盘货信息!$E:$E),0)&amp;"元】","【焕新补贴预估价"&amp;ROUND(_xlfn.XLOOKUP($A481&amp;$B481&amp;$C481,盘货信息!$A:$A&amp;盘货信息!$B:$B&amp;盘货信息!$C:$C,盘货信息!$E:$E),0)&amp;"元】")))</f>
        <v/>
      </c>
      <c r="F481" s="27" t="str" cm="1">
        <f t="array" ref="F481">IF($C481="","",_xlfn.XLOOKUP($A481&amp;$B481&amp;$C481,盘货信息!$A:$A&amp;盘货信息!$B:$B&amp;盘货信息!$C:$C,盘货信息!$D:$D)&amp;"元到手价")</f>
        <v/>
      </c>
      <c r="G481" s="27" t="str" cm="1">
        <f t="array" ref="G481">IF($C481="","",IF(_xlfn.XLOOKUP($A481&amp;$B481&amp;$C481,盘货信息!$A:$A&amp;盘货信息!$B:$B&amp;盘货信息!$C:$C,盘货信息!$G:$G)&lt;1,"",ROUND(_xlfn.XLOOKUP($A481&amp;$B481&amp;$C481,盘货信息!$A:$A&amp;盘货信息!$B:$B&amp;盘货信息!$C:$C,盘货信息!$G:$G),0)&amp;"元88VIP立减"))</f>
        <v/>
      </c>
      <c r="H481" s="27" t="str" cm="1">
        <f t="array" ref="H481">IF($C481="","",IF(_xlfn.XLOOKUP($A481&amp;$B481&amp;$C481,盘货信息!$A:$A&amp;盘货信息!$B:$B&amp;盘货信息!$C:$C,盘货信息!$I:$I)&lt;1,"",_xlfn.XLOOKUP($A481&amp;$B481&amp;$C481,盘货信息!$A:$A&amp;盘货信息!$B:$B&amp;盘货信息!$C:$C,盘货信息!$I:$I)&amp;"元惊喜立减"))</f>
        <v/>
      </c>
      <c r="I481" s="27" t="str" cm="1">
        <f t="array" ref="I481">IF($C481="","",IF(_xlfn.XLOOKUP($A481&amp;$B481&amp;$C481,盘货信息!$A:$A&amp;盘货信息!$B:$B&amp;盘货信息!$C:$C,盘货信息!$H:$H)&lt;1,"",ROUND(_xlfn.XLOOKUP($A481&amp;$B481&amp;$C481,盘货信息!$A:$A&amp;盘货信息!$B:$B&amp;盘货信息!$C:$C,盘货信息!$H:$H),0)&amp;"元消费券"))</f>
        <v/>
      </c>
      <c r="J481" s="27" t="str" cm="1">
        <f t="array" ref="J481">IF($C481="","",IF(_xlfn.XLOOKUP($A481&amp;$B481&amp;$C481,盘货信息!$A:$A&amp;盘货信息!$B:$B&amp;盘货信息!$C:$C,盘货信息!$J:$J)&lt;1,"",ROUND(_xlfn.XLOOKUP($A481&amp;$B481&amp;$C481,盘货信息!$A:$A&amp;盘货信息!$B:$B&amp;盘货信息!$C:$C,盘货信息!$J:$J),0)&amp;"元限时补贴"))</f>
        <v/>
      </c>
      <c r="K481" s="27" t="str" cm="1">
        <f t="array" ref="K481">IF($C481="","",IF(_xlfn.XLOOKUP($A481&amp;$B481&amp;$C481,盘货信息!$A:$A&amp;盘货信息!$B:$B&amp;盘货信息!$C:$C,盘货信息!$K:$K)&lt;1,"",ROUND(_xlfn.XLOOKUP($A481&amp;$B481&amp;$C481,盘货信息!$A:$A&amp;盘货信息!$B:$B&amp;盘货信息!$C:$C,盘货信息!$K:$K),0)&amp;"元预估焕新补贴"))</f>
        <v/>
      </c>
      <c r="L481" s="27" t="str" cm="1">
        <f t="array" ref="L481">IF($C481="","",IF(AND(_xlfn.XLOOKUP($A481&amp;$B481&amp;$C481,盘货信息!$A:$A&amp;盘货信息!$B:$B&amp;盘货信息!$C:$C,盘货信息!$L:$L)="是",_xlfn.XLOOKUP($A481&amp;$B481&amp;$C481,盘货信息!$A:$A&amp;盘货信息!$B:$B&amp;盘货信息!$C:$C,盘货信息!$M:$M)="是",_xlfn.XLOOKUP($A481&amp;$B481&amp;$C481,盘货信息!$A:$A&amp;盘货信息!$B:$B&amp;盘货信息!$C:$C,盘货信息!$K:$K)&gt;0),"【全民可用，不限地址】",IF(AND(OR(_xlfn.XLOOKUP($A481&amp;$B481&amp;$C481,盘货信息!$A:$A&amp;盘货信息!$B:$B&amp;盘货信息!$C:$C,盘货信息!$L:$L)="否",_xlfn.XLOOKUP($A481&amp;$B481&amp;$C481,盘货信息!$A:$A&amp;盘货信息!$B:$B&amp;盘货信息!$C:$C,盘货信息!$L:$L)=""),_xlfn.XLOOKUP($A481&amp;$B481&amp;$C481,盘货信息!$A:$A&amp;盘货信息!$B:$B&amp;盘货信息!$C:$C,盘货信息!$M:$M)="是",_xlfn.XLOOKUP($A481&amp;$B481&amp;$C481,盘货信息!$A:$A&amp;盘货信息!$B:$B&amp;盘货信息!$C:$C,盘货信息!$K:$K)&gt;0),"【详情页领取】","")))</f>
        <v/>
      </c>
      <c r="M481" s="27" t="str" cm="1">
        <f t="array" ref="M481">IF($C481="","",IF(_xlfn.XLOOKUP($A481&amp;$B481&amp;$C481,盘货信息!$A:$A&amp;盘货信息!$B:$B&amp;盘货信息!$C:$C,盘货信息!$F:$F)&lt;1,"",_xlfn.XLOOKUP($A481&amp;$B481&amp;$C481,盘货信息!$A:$A&amp;盘货信息!$B:$B&amp;盘货信息!$C:$C,盘货信息!$F:$F)&amp;"元明卷"))</f>
        <v/>
      </c>
      <c r="N481" s="27" t="str">
        <f t="shared" si="15"/>
        <v/>
      </c>
      <c r="O481" s="27" t="str">
        <f>IF(I481="","","【消费券链接】"&amp;固定信息!$B$6)</f>
        <v/>
      </c>
    </row>
    <row r="482" customHeight="1" spans="1:15">
      <c r="A482" s="23" t="str">
        <f>IF(盘货信息!A482="","",盘货信息!A482)</f>
        <v/>
      </c>
      <c r="B482" s="26" t="str">
        <f>IF(盘货信息!B482="","",盘货信息!B482)</f>
        <v/>
      </c>
      <c r="C482" s="23" t="str">
        <f>IF(盘货信息!C482="","",盘货信息!C482)</f>
        <v/>
      </c>
      <c r="D482" s="27" t="str">
        <f t="shared" si="14"/>
        <v/>
      </c>
      <c r="E482" s="27" t="str" cm="1">
        <f t="array" ref="E482">IF($C482="","",IF(AND(OR(_xlfn.XLOOKUP($A482&amp;$B482&amp;$C482,盘货信息!$A:$A&amp;盘货信息!$B:$B&amp;盘货信息!$C:$C,盘货信息!$L:$L)="否",_xlfn.XLOOKUP($A482&amp;$B482&amp;$C482,盘货信息!$A:$A&amp;盘货信息!$B:$B&amp;盘货信息!$C:$C,盘货信息!$L:$L)=""),_xlfn.XLOOKUP($A482&amp;$B482&amp;$C482,盘货信息!$A:$A&amp;盘货信息!$B:$B&amp;盘货信息!$C:$C,盘货信息!$M:$M)="否"),"【预估到手价"&amp;_xlfn.XLOOKUP($A482&amp;$B482&amp;$C482,盘货信息!$A:$A&amp;盘货信息!$B:$B&amp;盘货信息!$C:$C,盘货信息!$D:$D)&amp;"元】",IF(AND(_xlfn.XLOOKUP($A482&amp;$B482&amp;$C482,盘货信息!$A:$A&amp;盘货信息!$B:$B&amp;盘货信息!$C:$C,盘货信息!$M:$M)="是",OR(_xlfn.XLOOKUP($A482&amp;$B482&amp;$C482,盘货信息!$A:$A&amp;盘货信息!$B:$B&amp;盘货信息!$C:$C,盘货信息!$L:$L)="否",_xlfn.XLOOKUP($A482&amp;$B482&amp;$C482,盘货信息!$A:$A&amp;盘货信息!$B:$B&amp;盘货信息!$C:$C,盘货信息!$L:$L)="")),"【预估到手价"&amp;_xlfn.XLOOKUP($A482&amp;$B482&amp;$C482,盘货信息!$A:$A&amp;盘货信息!$B:$B&amp;盘货信息!$C:$C,盘货信息!$D:$D)&amp;"元】"&amp;CHAR(10)&amp;"【焕新补贴预估价"&amp;ROUND(_xlfn.XLOOKUP($A482&amp;$B482&amp;$C482,盘货信息!$A:$A&amp;盘货信息!$B:$B&amp;盘货信息!$C:$C,盘货信息!$E:$E),0)&amp;"元】","【焕新补贴预估价"&amp;ROUND(_xlfn.XLOOKUP($A482&amp;$B482&amp;$C482,盘货信息!$A:$A&amp;盘货信息!$B:$B&amp;盘货信息!$C:$C,盘货信息!$E:$E),0)&amp;"元】")))</f>
        <v/>
      </c>
      <c r="F482" s="27" t="str" cm="1">
        <f t="array" ref="F482">IF($C482="","",_xlfn.XLOOKUP($A482&amp;$B482&amp;$C482,盘货信息!$A:$A&amp;盘货信息!$B:$B&amp;盘货信息!$C:$C,盘货信息!$D:$D)&amp;"元到手价")</f>
        <v/>
      </c>
      <c r="G482" s="27" t="str" cm="1">
        <f t="array" ref="G482">IF($C482="","",IF(_xlfn.XLOOKUP($A482&amp;$B482&amp;$C482,盘货信息!$A:$A&amp;盘货信息!$B:$B&amp;盘货信息!$C:$C,盘货信息!$G:$G)&lt;1,"",ROUND(_xlfn.XLOOKUP($A482&amp;$B482&amp;$C482,盘货信息!$A:$A&amp;盘货信息!$B:$B&amp;盘货信息!$C:$C,盘货信息!$G:$G),0)&amp;"元88VIP立减"))</f>
        <v/>
      </c>
      <c r="H482" s="27" t="str" cm="1">
        <f t="array" ref="H482">IF($C482="","",IF(_xlfn.XLOOKUP($A482&amp;$B482&amp;$C482,盘货信息!$A:$A&amp;盘货信息!$B:$B&amp;盘货信息!$C:$C,盘货信息!$I:$I)&lt;1,"",_xlfn.XLOOKUP($A482&amp;$B482&amp;$C482,盘货信息!$A:$A&amp;盘货信息!$B:$B&amp;盘货信息!$C:$C,盘货信息!$I:$I)&amp;"元惊喜立减"))</f>
        <v/>
      </c>
      <c r="I482" s="27" t="str" cm="1">
        <f t="array" ref="I482">IF($C482="","",IF(_xlfn.XLOOKUP($A482&amp;$B482&amp;$C482,盘货信息!$A:$A&amp;盘货信息!$B:$B&amp;盘货信息!$C:$C,盘货信息!$H:$H)&lt;1,"",ROUND(_xlfn.XLOOKUP($A482&amp;$B482&amp;$C482,盘货信息!$A:$A&amp;盘货信息!$B:$B&amp;盘货信息!$C:$C,盘货信息!$H:$H),0)&amp;"元消费券"))</f>
        <v/>
      </c>
      <c r="J482" s="27" t="str" cm="1">
        <f t="array" ref="J482">IF($C482="","",IF(_xlfn.XLOOKUP($A482&amp;$B482&amp;$C482,盘货信息!$A:$A&amp;盘货信息!$B:$B&amp;盘货信息!$C:$C,盘货信息!$J:$J)&lt;1,"",ROUND(_xlfn.XLOOKUP($A482&amp;$B482&amp;$C482,盘货信息!$A:$A&amp;盘货信息!$B:$B&amp;盘货信息!$C:$C,盘货信息!$J:$J),0)&amp;"元限时补贴"))</f>
        <v/>
      </c>
      <c r="K482" s="27" t="str" cm="1">
        <f t="array" ref="K482">IF($C482="","",IF(_xlfn.XLOOKUP($A482&amp;$B482&amp;$C482,盘货信息!$A:$A&amp;盘货信息!$B:$B&amp;盘货信息!$C:$C,盘货信息!$K:$K)&lt;1,"",ROUND(_xlfn.XLOOKUP($A482&amp;$B482&amp;$C482,盘货信息!$A:$A&amp;盘货信息!$B:$B&amp;盘货信息!$C:$C,盘货信息!$K:$K),0)&amp;"元预估焕新补贴"))</f>
        <v/>
      </c>
      <c r="L482" s="27" t="str" cm="1">
        <f t="array" ref="L482">IF($C482="","",IF(AND(_xlfn.XLOOKUP($A482&amp;$B482&amp;$C482,盘货信息!$A:$A&amp;盘货信息!$B:$B&amp;盘货信息!$C:$C,盘货信息!$L:$L)="是",_xlfn.XLOOKUP($A482&amp;$B482&amp;$C482,盘货信息!$A:$A&amp;盘货信息!$B:$B&amp;盘货信息!$C:$C,盘货信息!$M:$M)="是",_xlfn.XLOOKUP($A482&amp;$B482&amp;$C482,盘货信息!$A:$A&amp;盘货信息!$B:$B&amp;盘货信息!$C:$C,盘货信息!$K:$K)&gt;0),"【全民可用，不限地址】",IF(AND(OR(_xlfn.XLOOKUP($A482&amp;$B482&amp;$C482,盘货信息!$A:$A&amp;盘货信息!$B:$B&amp;盘货信息!$C:$C,盘货信息!$L:$L)="否",_xlfn.XLOOKUP($A482&amp;$B482&amp;$C482,盘货信息!$A:$A&amp;盘货信息!$B:$B&amp;盘货信息!$C:$C,盘货信息!$L:$L)=""),_xlfn.XLOOKUP($A482&amp;$B482&amp;$C482,盘货信息!$A:$A&amp;盘货信息!$B:$B&amp;盘货信息!$C:$C,盘货信息!$M:$M)="是",_xlfn.XLOOKUP($A482&amp;$B482&amp;$C482,盘货信息!$A:$A&amp;盘货信息!$B:$B&amp;盘货信息!$C:$C,盘货信息!$K:$K)&gt;0),"【详情页领取】","")))</f>
        <v/>
      </c>
      <c r="M482" s="27" t="str" cm="1">
        <f t="array" ref="M482">IF($C482="","",IF(_xlfn.XLOOKUP($A482&amp;$B482&amp;$C482,盘货信息!$A:$A&amp;盘货信息!$B:$B&amp;盘货信息!$C:$C,盘货信息!$F:$F)&lt;1,"",_xlfn.XLOOKUP($A482&amp;$B482&amp;$C482,盘货信息!$A:$A&amp;盘货信息!$B:$B&amp;盘货信息!$C:$C,盘货信息!$F:$F)&amp;"元明卷"))</f>
        <v/>
      </c>
      <c r="N482" s="27" t="str">
        <f t="shared" si="15"/>
        <v/>
      </c>
      <c r="O482" s="27" t="str">
        <f>IF(I482="","","【消费券链接】"&amp;固定信息!$B$6)</f>
        <v/>
      </c>
    </row>
    <row r="483" customHeight="1" spans="1:15">
      <c r="A483" s="23" t="str">
        <f>IF(盘货信息!A483="","",盘货信息!A483)</f>
        <v/>
      </c>
      <c r="B483" s="26" t="str">
        <f>IF(盘货信息!B483="","",盘货信息!B483)</f>
        <v/>
      </c>
      <c r="C483" s="23" t="str">
        <f>IF(盘货信息!C483="","",盘货信息!C483)</f>
        <v/>
      </c>
      <c r="D483" s="27" t="str">
        <f t="shared" si="14"/>
        <v/>
      </c>
      <c r="E483" s="27" t="str" cm="1">
        <f t="array" ref="E483">IF($C483="","",IF(AND(OR(_xlfn.XLOOKUP($A483&amp;$B483&amp;$C483,盘货信息!$A:$A&amp;盘货信息!$B:$B&amp;盘货信息!$C:$C,盘货信息!$L:$L)="否",_xlfn.XLOOKUP($A483&amp;$B483&amp;$C483,盘货信息!$A:$A&amp;盘货信息!$B:$B&amp;盘货信息!$C:$C,盘货信息!$L:$L)=""),_xlfn.XLOOKUP($A483&amp;$B483&amp;$C483,盘货信息!$A:$A&amp;盘货信息!$B:$B&amp;盘货信息!$C:$C,盘货信息!$M:$M)="否"),"【预估到手价"&amp;_xlfn.XLOOKUP($A483&amp;$B483&amp;$C483,盘货信息!$A:$A&amp;盘货信息!$B:$B&amp;盘货信息!$C:$C,盘货信息!$D:$D)&amp;"元】",IF(AND(_xlfn.XLOOKUP($A483&amp;$B483&amp;$C483,盘货信息!$A:$A&amp;盘货信息!$B:$B&amp;盘货信息!$C:$C,盘货信息!$M:$M)="是",OR(_xlfn.XLOOKUP($A483&amp;$B483&amp;$C483,盘货信息!$A:$A&amp;盘货信息!$B:$B&amp;盘货信息!$C:$C,盘货信息!$L:$L)="否",_xlfn.XLOOKUP($A483&amp;$B483&amp;$C483,盘货信息!$A:$A&amp;盘货信息!$B:$B&amp;盘货信息!$C:$C,盘货信息!$L:$L)="")),"【预估到手价"&amp;_xlfn.XLOOKUP($A483&amp;$B483&amp;$C483,盘货信息!$A:$A&amp;盘货信息!$B:$B&amp;盘货信息!$C:$C,盘货信息!$D:$D)&amp;"元】"&amp;CHAR(10)&amp;"【焕新补贴预估价"&amp;ROUND(_xlfn.XLOOKUP($A483&amp;$B483&amp;$C483,盘货信息!$A:$A&amp;盘货信息!$B:$B&amp;盘货信息!$C:$C,盘货信息!$E:$E),0)&amp;"元】","【焕新补贴预估价"&amp;ROUND(_xlfn.XLOOKUP($A483&amp;$B483&amp;$C483,盘货信息!$A:$A&amp;盘货信息!$B:$B&amp;盘货信息!$C:$C,盘货信息!$E:$E),0)&amp;"元】")))</f>
        <v/>
      </c>
      <c r="F483" s="27" t="str" cm="1">
        <f t="array" ref="F483">IF($C483="","",_xlfn.XLOOKUP($A483&amp;$B483&amp;$C483,盘货信息!$A:$A&amp;盘货信息!$B:$B&amp;盘货信息!$C:$C,盘货信息!$D:$D)&amp;"元到手价")</f>
        <v/>
      </c>
      <c r="G483" s="27" t="str" cm="1">
        <f t="array" ref="G483">IF($C483="","",IF(_xlfn.XLOOKUP($A483&amp;$B483&amp;$C483,盘货信息!$A:$A&amp;盘货信息!$B:$B&amp;盘货信息!$C:$C,盘货信息!$G:$G)&lt;1,"",ROUND(_xlfn.XLOOKUP($A483&amp;$B483&amp;$C483,盘货信息!$A:$A&amp;盘货信息!$B:$B&amp;盘货信息!$C:$C,盘货信息!$G:$G),0)&amp;"元88VIP立减"))</f>
        <v/>
      </c>
      <c r="H483" s="27" t="str" cm="1">
        <f t="array" ref="H483">IF($C483="","",IF(_xlfn.XLOOKUP($A483&amp;$B483&amp;$C483,盘货信息!$A:$A&amp;盘货信息!$B:$B&amp;盘货信息!$C:$C,盘货信息!$I:$I)&lt;1,"",_xlfn.XLOOKUP($A483&amp;$B483&amp;$C483,盘货信息!$A:$A&amp;盘货信息!$B:$B&amp;盘货信息!$C:$C,盘货信息!$I:$I)&amp;"元惊喜立减"))</f>
        <v/>
      </c>
      <c r="I483" s="27" t="str" cm="1">
        <f t="array" ref="I483">IF($C483="","",IF(_xlfn.XLOOKUP($A483&amp;$B483&amp;$C483,盘货信息!$A:$A&amp;盘货信息!$B:$B&amp;盘货信息!$C:$C,盘货信息!$H:$H)&lt;1,"",ROUND(_xlfn.XLOOKUP($A483&amp;$B483&amp;$C483,盘货信息!$A:$A&amp;盘货信息!$B:$B&amp;盘货信息!$C:$C,盘货信息!$H:$H),0)&amp;"元消费券"))</f>
        <v/>
      </c>
      <c r="J483" s="27" t="str" cm="1">
        <f t="array" ref="J483">IF($C483="","",IF(_xlfn.XLOOKUP($A483&amp;$B483&amp;$C483,盘货信息!$A:$A&amp;盘货信息!$B:$B&amp;盘货信息!$C:$C,盘货信息!$J:$J)&lt;1,"",ROUND(_xlfn.XLOOKUP($A483&amp;$B483&amp;$C483,盘货信息!$A:$A&amp;盘货信息!$B:$B&amp;盘货信息!$C:$C,盘货信息!$J:$J),0)&amp;"元限时补贴"))</f>
        <v/>
      </c>
      <c r="K483" s="27" t="str" cm="1">
        <f t="array" ref="K483">IF($C483="","",IF(_xlfn.XLOOKUP($A483&amp;$B483&amp;$C483,盘货信息!$A:$A&amp;盘货信息!$B:$B&amp;盘货信息!$C:$C,盘货信息!$K:$K)&lt;1,"",ROUND(_xlfn.XLOOKUP($A483&amp;$B483&amp;$C483,盘货信息!$A:$A&amp;盘货信息!$B:$B&amp;盘货信息!$C:$C,盘货信息!$K:$K),0)&amp;"元预估焕新补贴"))</f>
        <v/>
      </c>
      <c r="L483" s="27" t="str" cm="1">
        <f t="array" ref="L483">IF($C483="","",IF(AND(_xlfn.XLOOKUP($A483&amp;$B483&amp;$C483,盘货信息!$A:$A&amp;盘货信息!$B:$B&amp;盘货信息!$C:$C,盘货信息!$L:$L)="是",_xlfn.XLOOKUP($A483&amp;$B483&amp;$C483,盘货信息!$A:$A&amp;盘货信息!$B:$B&amp;盘货信息!$C:$C,盘货信息!$M:$M)="是",_xlfn.XLOOKUP($A483&amp;$B483&amp;$C483,盘货信息!$A:$A&amp;盘货信息!$B:$B&amp;盘货信息!$C:$C,盘货信息!$K:$K)&gt;0),"【全民可用，不限地址】",IF(AND(OR(_xlfn.XLOOKUP($A483&amp;$B483&amp;$C483,盘货信息!$A:$A&amp;盘货信息!$B:$B&amp;盘货信息!$C:$C,盘货信息!$L:$L)="否",_xlfn.XLOOKUP($A483&amp;$B483&amp;$C483,盘货信息!$A:$A&amp;盘货信息!$B:$B&amp;盘货信息!$C:$C,盘货信息!$L:$L)=""),_xlfn.XLOOKUP($A483&amp;$B483&amp;$C483,盘货信息!$A:$A&amp;盘货信息!$B:$B&amp;盘货信息!$C:$C,盘货信息!$M:$M)="是",_xlfn.XLOOKUP($A483&amp;$B483&amp;$C483,盘货信息!$A:$A&amp;盘货信息!$B:$B&amp;盘货信息!$C:$C,盘货信息!$K:$K)&gt;0),"【详情页领取】","")))</f>
        <v/>
      </c>
      <c r="M483" s="27" t="str" cm="1">
        <f t="array" ref="M483">IF($C483="","",IF(_xlfn.XLOOKUP($A483&amp;$B483&amp;$C483,盘货信息!$A:$A&amp;盘货信息!$B:$B&amp;盘货信息!$C:$C,盘货信息!$F:$F)&lt;1,"",_xlfn.XLOOKUP($A483&amp;$B483&amp;$C483,盘货信息!$A:$A&amp;盘货信息!$B:$B&amp;盘货信息!$C:$C,盘货信息!$F:$F)&amp;"元明卷"))</f>
        <v/>
      </c>
      <c r="N483" s="27" t="str">
        <f t="shared" si="15"/>
        <v/>
      </c>
      <c r="O483" s="27" t="str">
        <f>IF(I483="","","【消费券链接】"&amp;固定信息!$B$6)</f>
        <v/>
      </c>
    </row>
    <row r="484" customHeight="1" spans="1:15">
      <c r="A484" s="23" t="str">
        <f>IF(盘货信息!A484="","",盘货信息!A484)</f>
        <v/>
      </c>
      <c r="B484" s="26" t="str">
        <f>IF(盘货信息!B484="","",盘货信息!B484)</f>
        <v/>
      </c>
      <c r="C484" s="23" t="str">
        <f>IF(盘货信息!C484="","",盘货信息!C484)</f>
        <v/>
      </c>
      <c r="D484" s="27" t="str">
        <f t="shared" si="14"/>
        <v/>
      </c>
      <c r="E484" s="27" t="str" cm="1">
        <f t="array" ref="E484">IF($C484="","",IF(AND(OR(_xlfn.XLOOKUP($A484&amp;$B484&amp;$C484,盘货信息!$A:$A&amp;盘货信息!$B:$B&amp;盘货信息!$C:$C,盘货信息!$L:$L)="否",_xlfn.XLOOKUP($A484&amp;$B484&amp;$C484,盘货信息!$A:$A&amp;盘货信息!$B:$B&amp;盘货信息!$C:$C,盘货信息!$L:$L)=""),_xlfn.XLOOKUP($A484&amp;$B484&amp;$C484,盘货信息!$A:$A&amp;盘货信息!$B:$B&amp;盘货信息!$C:$C,盘货信息!$M:$M)="否"),"【预估到手价"&amp;_xlfn.XLOOKUP($A484&amp;$B484&amp;$C484,盘货信息!$A:$A&amp;盘货信息!$B:$B&amp;盘货信息!$C:$C,盘货信息!$D:$D)&amp;"元】",IF(AND(_xlfn.XLOOKUP($A484&amp;$B484&amp;$C484,盘货信息!$A:$A&amp;盘货信息!$B:$B&amp;盘货信息!$C:$C,盘货信息!$M:$M)="是",OR(_xlfn.XLOOKUP($A484&amp;$B484&amp;$C484,盘货信息!$A:$A&amp;盘货信息!$B:$B&amp;盘货信息!$C:$C,盘货信息!$L:$L)="否",_xlfn.XLOOKUP($A484&amp;$B484&amp;$C484,盘货信息!$A:$A&amp;盘货信息!$B:$B&amp;盘货信息!$C:$C,盘货信息!$L:$L)="")),"【预估到手价"&amp;_xlfn.XLOOKUP($A484&amp;$B484&amp;$C484,盘货信息!$A:$A&amp;盘货信息!$B:$B&amp;盘货信息!$C:$C,盘货信息!$D:$D)&amp;"元】"&amp;CHAR(10)&amp;"【焕新补贴预估价"&amp;ROUND(_xlfn.XLOOKUP($A484&amp;$B484&amp;$C484,盘货信息!$A:$A&amp;盘货信息!$B:$B&amp;盘货信息!$C:$C,盘货信息!$E:$E),0)&amp;"元】","【焕新补贴预估价"&amp;ROUND(_xlfn.XLOOKUP($A484&amp;$B484&amp;$C484,盘货信息!$A:$A&amp;盘货信息!$B:$B&amp;盘货信息!$C:$C,盘货信息!$E:$E),0)&amp;"元】")))</f>
        <v/>
      </c>
      <c r="F484" s="27" t="str" cm="1">
        <f t="array" ref="F484">IF($C484="","",_xlfn.XLOOKUP($A484&amp;$B484&amp;$C484,盘货信息!$A:$A&amp;盘货信息!$B:$B&amp;盘货信息!$C:$C,盘货信息!$D:$D)&amp;"元到手价")</f>
        <v/>
      </c>
      <c r="G484" s="27" t="str" cm="1">
        <f t="array" ref="G484">IF($C484="","",IF(_xlfn.XLOOKUP($A484&amp;$B484&amp;$C484,盘货信息!$A:$A&amp;盘货信息!$B:$B&amp;盘货信息!$C:$C,盘货信息!$G:$G)&lt;1,"",ROUND(_xlfn.XLOOKUP($A484&amp;$B484&amp;$C484,盘货信息!$A:$A&amp;盘货信息!$B:$B&amp;盘货信息!$C:$C,盘货信息!$G:$G),0)&amp;"元88VIP立减"))</f>
        <v/>
      </c>
      <c r="H484" s="27" t="str" cm="1">
        <f t="array" ref="H484">IF($C484="","",IF(_xlfn.XLOOKUP($A484&amp;$B484&amp;$C484,盘货信息!$A:$A&amp;盘货信息!$B:$B&amp;盘货信息!$C:$C,盘货信息!$I:$I)&lt;1,"",_xlfn.XLOOKUP($A484&amp;$B484&amp;$C484,盘货信息!$A:$A&amp;盘货信息!$B:$B&amp;盘货信息!$C:$C,盘货信息!$I:$I)&amp;"元惊喜立减"))</f>
        <v/>
      </c>
      <c r="I484" s="27" t="str" cm="1">
        <f t="array" ref="I484">IF($C484="","",IF(_xlfn.XLOOKUP($A484&amp;$B484&amp;$C484,盘货信息!$A:$A&amp;盘货信息!$B:$B&amp;盘货信息!$C:$C,盘货信息!$H:$H)&lt;1,"",ROUND(_xlfn.XLOOKUP($A484&amp;$B484&amp;$C484,盘货信息!$A:$A&amp;盘货信息!$B:$B&amp;盘货信息!$C:$C,盘货信息!$H:$H),0)&amp;"元消费券"))</f>
        <v/>
      </c>
      <c r="J484" s="27" t="str" cm="1">
        <f t="array" ref="J484">IF($C484="","",IF(_xlfn.XLOOKUP($A484&amp;$B484&amp;$C484,盘货信息!$A:$A&amp;盘货信息!$B:$B&amp;盘货信息!$C:$C,盘货信息!$J:$J)&lt;1,"",ROUND(_xlfn.XLOOKUP($A484&amp;$B484&amp;$C484,盘货信息!$A:$A&amp;盘货信息!$B:$B&amp;盘货信息!$C:$C,盘货信息!$J:$J),0)&amp;"元限时补贴"))</f>
        <v/>
      </c>
      <c r="K484" s="27" t="str" cm="1">
        <f t="array" ref="K484">IF($C484="","",IF(_xlfn.XLOOKUP($A484&amp;$B484&amp;$C484,盘货信息!$A:$A&amp;盘货信息!$B:$B&amp;盘货信息!$C:$C,盘货信息!$K:$K)&lt;1,"",ROUND(_xlfn.XLOOKUP($A484&amp;$B484&amp;$C484,盘货信息!$A:$A&amp;盘货信息!$B:$B&amp;盘货信息!$C:$C,盘货信息!$K:$K),0)&amp;"元预估焕新补贴"))</f>
        <v/>
      </c>
      <c r="L484" s="27" t="str" cm="1">
        <f t="array" ref="L484">IF($C484="","",IF(AND(_xlfn.XLOOKUP($A484&amp;$B484&amp;$C484,盘货信息!$A:$A&amp;盘货信息!$B:$B&amp;盘货信息!$C:$C,盘货信息!$L:$L)="是",_xlfn.XLOOKUP($A484&amp;$B484&amp;$C484,盘货信息!$A:$A&amp;盘货信息!$B:$B&amp;盘货信息!$C:$C,盘货信息!$M:$M)="是",_xlfn.XLOOKUP($A484&amp;$B484&amp;$C484,盘货信息!$A:$A&amp;盘货信息!$B:$B&amp;盘货信息!$C:$C,盘货信息!$K:$K)&gt;0),"【全民可用，不限地址】",IF(AND(OR(_xlfn.XLOOKUP($A484&amp;$B484&amp;$C484,盘货信息!$A:$A&amp;盘货信息!$B:$B&amp;盘货信息!$C:$C,盘货信息!$L:$L)="否",_xlfn.XLOOKUP($A484&amp;$B484&amp;$C484,盘货信息!$A:$A&amp;盘货信息!$B:$B&amp;盘货信息!$C:$C,盘货信息!$L:$L)=""),_xlfn.XLOOKUP($A484&amp;$B484&amp;$C484,盘货信息!$A:$A&amp;盘货信息!$B:$B&amp;盘货信息!$C:$C,盘货信息!$M:$M)="是",_xlfn.XLOOKUP($A484&amp;$B484&amp;$C484,盘货信息!$A:$A&amp;盘货信息!$B:$B&amp;盘货信息!$C:$C,盘货信息!$K:$K)&gt;0),"【详情页领取】","")))</f>
        <v/>
      </c>
      <c r="M484" s="27" t="str" cm="1">
        <f t="array" ref="M484">IF($C484="","",IF(_xlfn.XLOOKUP($A484&amp;$B484&amp;$C484,盘货信息!$A:$A&amp;盘货信息!$B:$B&amp;盘货信息!$C:$C,盘货信息!$F:$F)&lt;1,"",_xlfn.XLOOKUP($A484&amp;$B484&amp;$C484,盘货信息!$A:$A&amp;盘货信息!$B:$B&amp;盘货信息!$C:$C,盘货信息!$F:$F)&amp;"元明卷"))</f>
        <v/>
      </c>
      <c r="N484" s="27" t="str">
        <f t="shared" si="15"/>
        <v/>
      </c>
      <c r="O484" s="27" t="str">
        <f>IF(I484="","","【消费券链接】"&amp;固定信息!$B$6)</f>
        <v/>
      </c>
    </row>
    <row r="485" customHeight="1" spans="1:15">
      <c r="A485" s="23" t="str">
        <f>IF(盘货信息!A485="","",盘货信息!A485)</f>
        <v/>
      </c>
      <c r="B485" s="26" t="str">
        <f>IF(盘货信息!B485="","",盘货信息!B485)</f>
        <v/>
      </c>
      <c r="C485" s="23" t="str">
        <f>IF(盘货信息!C485="","",盘货信息!C485)</f>
        <v/>
      </c>
      <c r="D485" s="27" t="str">
        <f t="shared" si="14"/>
        <v/>
      </c>
      <c r="E485" s="27" t="str" cm="1">
        <f t="array" ref="E485">IF($C485="","",IF(AND(OR(_xlfn.XLOOKUP($A485&amp;$B485&amp;$C485,盘货信息!$A:$A&amp;盘货信息!$B:$B&amp;盘货信息!$C:$C,盘货信息!$L:$L)="否",_xlfn.XLOOKUP($A485&amp;$B485&amp;$C485,盘货信息!$A:$A&amp;盘货信息!$B:$B&amp;盘货信息!$C:$C,盘货信息!$L:$L)=""),_xlfn.XLOOKUP($A485&amp;$B485&amp;$C485,盘货信息!$A:$A&amp;盘货信息!$B:$B&amp;盘货信息!$C:$C,盘货信息!$M:$M)="否"),"【预估到手价"&amp;_xlfn.XLOOKUP($A485&amp;$B485&amp;$C485,盘货信息!$A:$A&amp;盘货信息!$B:$B&amp;盘货信息!$C:$C,盘货信息!$D:$D)&amp;"元】",IF(AND(_xlfn.XLOOKUP($A485&amp;$B485&amp;$C485,盘货信息!$A:$A&amp;盘货信息!$B:$B&amp;盘货信息!$C:$C,盘货信息!$M:$M)="是",OR(_xlfn.XLOOKUP($A485&amp;$B485&amp;$C485,盘货信息!$A:$A&amp;盘货信息!$B:$B&amp;盘货信息!$C:$C,盘货信息!$L:$L)="否",_xlfn.XLOOKUP($A485&amp;$B485&amp;$C485,盘货信息!$A:$A&amp;盘货信息!$B:$B&amp;盘货信息!$C:$C,盘货信息!$L:$L)="")),"【预估到手价"&amp;_xlfn.XLOOKUP($A485&amp;$B485&amp;$C485,盘货信息!$A:$A&amp;盘货信息!$B:$B&amp;盘货信息!$C:$C,盘货信息!$D:$D)&amp;"元】"&amp;CHAR(10)&amp;"【焕新补贴预估价"&amp;ROUND(_xlfn.XLOOKUP($A485&amp;$B485&amp;$C485,盘货信息!$A:$A&amp;盘货信息!$B:$B&amp;盘货信息!$C:$C,盘货信息!$E:$E),0)&amp;"元】","【焕新补贴预估价"&amp;ROUND(_xlfn.XLOOKUP($A485&amp;$B485&amp;$C485,盘货信息!$A:$A&amp;盘货信息!$B:$B&amp;盘货信息!$C:$C,盘货信息!$E:$E),0)&amp;"元】")))</f>
        <v/>
      </c>
      <c r="F485" s="27" t="str" cm="1">
        <f t="array" ref="F485">IF($C485="","",_xlfn.XLOOKUP($A485&amp;$B485&amp;$C485,盘货信息!$A:$A&amp;盘货信息!$B:$B&amp;盘货信息!$C:$C,盘货信息!$D:$D)&amp;"元到手价")</f>
        <v/>
      </c>
      <c r="G485" s="27" t="str" cm="1">
        <f t="array" ref="G485">IF($C485="","",IF(_xlfn.XLOOKUP($A485&amp;$B485&amp;$C485,盘货信息!$A:$A&amp;盘货信息!$B:$B&amp;盘货信息!$C:$C,盘货信息!$G:$G)&lt;1,"",ROUND(_xlfn.XLOOKUP($A485&amp;$B485&amp;$C485,盘货信息!$A:$A&amp;盘货信息!$B:$B&amp;盘货信息!$C:$C,盘货信息!$G:$G),0)&amp;"元88VIP立减"))</f>
        <v/>
      </c>
      <c r="H485" s="27" t="str" cm="1">
        <f t="array" ref="H485">IF($C485="","",IF(_xlfn.XLOOKUP($A485&amp;$B485&amp;$C485,盘货信息!$A:$A&amp;盘货信息!$B:$B&amp;盘货信息!$C:$C,盘货信息!$I:$I)&lt;1,"",_xlfn.XLOOKUP($A485&amp;$B485&amp;$C485,盘货信息!$A:$A&amp;盘货信息!$B:$B&amp;盘货信息!$C:$C,盘货信息!$I:$I)&amp;"元惊喜立减"))</f>
        <v/>
      </c>
      <c r="I485" s="27" t="str" cm="1">
        <f t="array" ref="I485">IF($C485="","",IF(_xlfn.XLOOKUP($A485&amp;$B485&amp;$C485,盘货信息!$A:$A&amp;盘货信息!$B:$B&amp;盘货信息!$C:$C,盘货信息!$H:$H)&lt;1,"",ROUND(_xlfn.XLOOKUP($A485&amp;$B485&amp;$C485,盘货信息!$A:$A&amp;盘货信息!$B:$B&amp;盘货信息!$C:$C,盘货信息!$H:$H),0)&amp;"元消费券"))</f>
        <v/>
      </c>
      <c r="J485" s="27" t="str" cm="1">
        <f t="array" ref="J485">IF($C485="","",IF(_xlfn.XLOOKUP($A485&amp;$B485&amp;$C485,盘货信息!$A:$A&amp;盘货信息!$B:$B&amp;盘货信息!$C:$C,盘货信息!$J:$J)&lt;1,"",ROUND(_xlfn.XLOOKUP($A485&amp;$B485&amp;$C485,盘货信息!$A:$A&amp;盘货信息!$B:$B&amp;盘货信息!$C:$C,盘货信息!$J:$J),0)&amp;"元限时补贴"))</f>
        <v/>
      </c>
      <c r="K485" s="27" t="str" cm="1">
        <f t="array" ref="K485">IF($C485="","",IF(_xlfn.XLOOKUP($A485&amp;$B485&amp;$C485,盘货信息!$A:$A&amp;盘货信息!$B:$B&amp;盘货信息!$C:$C,盘货信息!$K:$K)&lt;1,"",ROUND(_xlfn.XLOOKUP($A485&amp;$B485&amp;$C485,盘货信息!$A:$A&amp;盘货信息!$B:$B&amp;盘货信息!$C:$C,盘货信息!$K:$K),0)&amp;"元预估焕新补贴"))</f>
        <v/>
      </c>
      <c r="L485" s="27" t="str" cm="1">
        <f t="array" ref="L485">IF($C485="","",IF(AND(_xlfn.XLOOKUP($A485&amp;$B485&amp;$C485,盘货信息!$A:$A&amp;盘货信息!$B:$B&amp;盘货信息!$C:$C,盘货信息!$L:$L)="是",_xlfn.XLOOKUP($A485&amp;$B485&amp;$C485,盘货信息!$A:$A&amp;盘货信息!$B:$B&amp;盘货信息!$C:$C,盘货信息!$M:$M)="是",_xlfn.XLOOKUP($A485&amp;$B485&amp;$C485,盘货信息!$A:$A&amp;盘货信息!$B:$B&amp;盘货信息!$C:$C,盘货信息!$K:$K)&gt;0),"【全民可用，不限地址】",IF(AND(OR(_xlfn.XLOOKUP($A485&amp;$B485&amp;$C485,盘货信息!$A:$A&amp;盘货信息!$B:$B&amp;盘货信息!$C:$C,盘货信息!$L:$L)="否",_xlfn.XLOOKUP($A485&amp;$B485&amp;$C485,盘货信息!$A:$A&amp;盘货信息!$B:$B&amp;盘货信息!$C:$C,盘货信息!$L:$L)=""),_xlfn.XLOOKUP($A485&amp;$B485&amp;$C485,盘货信息!$A:$A&amp;盘货信息!$B:$B&amp;盘货信息!$C:$C,盘货信息!$M:$M)="是",_xlfn.XLOOKUP($A485&amp;$B485&amp;$C485,盘货信息!$A:$A&amp;盘货信息!$B:$B&amp;盘货信息!$C:$C,盘货信息!$K:$K)&gt;0),"【详情页领取】","")))</f>
        <v/>
      </c>
      <c r="M485" s="27" t="str" cm="1">
        <f t="array" ref="M485">IF($C485="","",IF(_xlfn.XLOOKUP($A485&amp;$B485&amp;$C485,盘货信息!$A:$A&amp;盘货信息!$B:$B&amp;盘货信息!$C:$C,盘货信息!$F:$F)&lt;1,"",_xlfn.XLOOKUP($A485&amp;$B485&amp;$C485,盘货信息!$A:$A&amp;盘货信息!$B:$B&amp;盘货信息!$C:$C,盘货信息!$F:$F)&amp;"元明卷"))</f>
        <v/>
      </c>
      <c r="N485" s="27" t="str">
        <f t="shared" si="15"/>
        <v/>
      </c>
      <c r="O485" s="27" t="str">
        <f>IF(I485="","","【消费券链接】"&amp;固定信息!$B$6)</f>
        <v/>
      </c>
    </row>
    <row r="486" customHeight="1" spans="1:15">
      <c r="A486" s="23" t="str">
        <f>IF(盘货信息!A486="","",盘货信息!A486)</f>
        <v/>
      </c>
      <c r="B486" s="26" t="str">
        <f>IF(盘货信息!B486="","",盘货信息!B486)</f>
        <v/>
      </c>
      <c r="C486" s="23" t="str">
        <f>IF(盘货信息!C486="","",盘货信息!C486)</f>
        <v/>
      </c>
      <c r="D486" s="27" t="str">
        <f t="shared" si="14"/>
        <v/>
      </c>
      <c r="E486" s="27" t="str" cm="1">
        <f t="array" ref="E486">IF($C486="","",IF(AND(OR(_xlfn.XLOOKUP($A486&amp;$B486&amp;$C486,盘货信息!$A:$A&amp;盘货信息!$B:$B&amp;盘货信息!$C:$C,盘货信息!$L:$L)="否",_xlfn.XLOOKUP($A486&amp;$B486&amp;$C486,盘货信息!$A:$A&amp;盘货信息!$B:$B&amp;盘货信息!$C:$C,盘货信息!$L:$L)=""),_xlfn.XLOOKUP($A486&amp;$B486&amp;$C486,盘货信息!$A:$A&amp;盘货信息!$B:$B&amp;盘货信息!$C:$C,盘货信息!$M:$M)="否"),"【预估到手价"&amp;_xlfn.XLOOKUP($A486&amp;$B486&amp;$C486,盘货信息!$A:$A&amp;盘货信息!$B:$B&amp;盘货信息!$C:$C,盘货信息!$D:$D)&amp;"元】",IF(AND(_xlfn.XLOOKUP($A486&amp;$B486&amp;$C486,盘货信息!$A:$A&amp;盘货信息!$B:$B&amp;盘货信息!$C:$C,盘货信息!$M:$M)="是",OR(_xlfn.XLOOKUP($A486&amp;$B486&amp;$C486,盘货信息!$A:$A&amp;盘货信息!$B:$B&amp;盘货信息!$C:$C,盘货信息!$L:$L)="否",_xlfn.XLOOKUP($A486&amp;$B486&amp;$C486,盘货信息!$A:$A&amp;盘货信息!$B:$B&amp;盘货信息!$C:$C,盘货信息!$L:$L)="")),"【预估到手价"&amp;_xlfn.XLOOKUP($A486&amp;$B486&amp;$C486,盘货信息!$A:$A&amp;盘货信息!$B:$B&amp;盘货信息!$C:$C,盘货信息!$D:$D)&amp;"元】"&amp;CHAR(10)&amp;"【焕新补贴预估价"&amp;ROUND(_xlfn.XLOOKUP($A486&amp;$B486&amp;$C486,盘货信息!$A:$A&amp;盘货信息!$B:$B&amp;盘货信息!$C:$C,盘货信息!$E:$E),0)&amp;"元】","【焕新补贴预估价"&amp;ROUND(_xlfn.XLOOKUP($A486&amp;$B486&amp;$C486,盘货信息!$A:$A&amp;盘货信息!$B:$B&amp;盘货信息!$C:$C,盘货信息!$E:$E),0)&amp;"元】")))</f>
        <v/>
      </c>
      <c r="F486" s="27" t="str" cm="1">
        <f t="array" ref="F486">IF($C486="","",_xlfn.XLOOKUP($A486&amp;$B486&amp;$C486,盘货信息!$A:$A&amp;盘货信息!$B:$B&amp;盘货信息!$C:$C,盘货信息!$D:$D)&amp;"元到手价")</f>
        <v/>
      </c>
      <c r="G486" s="27" t="str" cm="1">
        <f t="array" ref="G486">IF($C486="","",IF(_xlfn.XLOOKUP($A486&amp;$B486&amp;$C486,盘货信息!$A:$A&amp;盘货信息!$B:$B&amp;盘货信息!$C:$C,盘货信息!$G:$G)&lt;1,"",ROUND(_xlfn.XLOOKUP($A486&amp;$B486&amp;$C486,盘货信息!$A:$A&amp;盘货信息!$B:$B&amp;盘货信息!$C:$C,盘货信息!$G:$G),0)&amp;"元88VIP立减"))</f>
        <v/>
      </c>
      <c r="H486" s="27" t="str" cm="1">
        <f t="array" ref="H486">IF($C486="","",IF(_xlfn.XLOOKUP($A486&amp;$B486&amp;$C486,盘货信息!$A:$A&amp;盘货信息!$B:$B&amp;盘货信息!$C:$C,盘货信息!$I:$I)&lt;1,"",_xlfn.XLOOKUP($A486&amp;$B486&amp;$C486,盘货信息!$A:$A&amp;盘货信息!$B:$B&amp;盘货信息!$C:$C,盘货信息!$I:$I)&amp;"元惊喜立减"))</f>
        <v/>
      </c>
      <c r="I486" s="27" t="str" cm="1">
        <f t="array" ref="I486">IF($C486="","",IF(_xlfn.XLOOKUP($A486&amp;$B486&amp;$C486,盘货信息!$A:$A&amp;盘货信息!$B:$B&amp;盘货信息!$C:$C,盘货信息!$H:$H)&lt;1,"",ROUND(_xlfn.XLOOKUP($A486&amp;$B486&amp;$C486,盘货信息!$A:$A&amp;盘货信息!$B:$B&amp;盘货信息!$C:$C,盘货信息!$H:$H),0)&amp;"元消费券"))</f>
        <v/>
      </c>
      <c r="J486" s="27" t="str" cm="1">
        <f t="array" ref="J486">IF($C486="","",IF(_xlfn.XLOOKUP($A486&amp;$B486&amp;$C486,盘货信息!$A:$A&amp;盘货信息!$B:$B&amp;盘货信息!$C:$C,盘货信息!$J:$J)&lt;1,"",ROUND(_xlfn.XLOOKUP($A486&amp;$B486&amp;$C486,盘货信息!$A:$A&amp;盘货信息!$B:$B&amp;盘货信息!$C:$C,盘货信息!$J:$J),0)&amp;"元限时补贴"))</f>
        <v/>
      </c>
      <c r="K486" s="27" t="str" cm="1">
        <f t="array" ref="K486">IF($C486="","",IF(_xlfn.XLOOKUP($A486&amp;$B486&amp;$C486,盘货信息!$A:$A&amp;盘货信息!$B:$B&amp;盘货信息!$C:$C,盘货信息!$K:$K)&lt;1,"",ROUND(_xlfn.XLOOKUP($A486&amp;$B486&amp;$C486,盘货信息!$A:$A&amp;盘货信息!$B:$B&amp;盘货信息!$C:$C,盘货信息!$K:$K),0)&amp;"元预估焕新补贴"))</f>
        <v/>
      </c>
      <c r="L486" s="27" t="str" cm="1">
        <f t="array" ref="L486">IF($C486="","",IF(AND(_xlfn.XLOOKUP($A486&amp;$B486&amp;$C486,盘货信息!$A:$A&amp;盘货信息!$B:$B&amp;盘货信息!$C:$C,盘货信息!$L:$L)="是",_xlfn.XLOOKUP($A486&amp;$B486&amp;$C486,盘货信息!$A:$A&amp;盘货信息!$B:$B&amp;盘货信息!$C:$C,盘货信息!$M:$M)="是",_xlfn.XLOOKUP($A486&amp;$B486&amp;$C486,盘货信息!$A:$A&amp;盘货信息!$B:$B&amp;盘货信息!$C:$C,盘货信息!$K:$K)&gt;0),"【全民可用，不限地址】",IF(AND(OR(_xlfn.XLOOKUP($A486&amp;$B486&amp;$C486,盘货信息!$A:$A&amp;盘货信息!$B:$B&amp;盘货信息!$C:$C,盘货信息!$L:$L)="否",_xlfn.XLOOKUP($A486&amp;$B486&amp;$C486,盘货信息!$A:$A&amp;盘货信息!$B:$B&amp;盘货信息!$C:$C,盘货信息!$L:$L)=""),_xlfn.XLOOKUP($A486&amp;$B486&amp;$C486,盘货信息!$A:$A&amp;盘货信息!$B:$B&amp;盘货信息!$C:$C,盘货信息!$M:$M)="是",_xlfn.XLOOKUP($A486&amp;$B486&amp;$C486,盘货信息!$A:$A&amp;盘货信息!$B:$B&amp;盘货信息!$C:$C,盘货信息!$K:$K)&gt;0),"【详情页领取】","")))</f>
        <v/>
      </c>
      <c r="M486" s="27" t="str" cm="1">
        <f t="array" ref="M486">IF($C486="","",IF(_xlfn.XLOOKUP($A486&amp;$B486&amp;$C486,盘货信息!$A:$A&amp;盘货信息!$B:$B&amp;盘货信息!$C:$C,盘货信息!$F:$F)&lt;1,"",_xlfn.XLOOKUP($A486&amp;$B486&amp;$C486,盘货信息!$A:$A&amp;盘货信息!$B:$B&amp;盘货信息!$C:$C,盘货信息!$F:$F)&amp;"元明卷"))</f>
        <v/>
      </c>
      <c r="N486" s="27" t="str">
        <f t="shared" si="15"/>
        <v/>
      </c>
      <c r="O486" s="27" t="str">
        <f>IF(I486="","","【消费券链接】"&amp;固定信息!$B$6)</f>
        <v/>
      </c>
    </row>
    <row r="487" customHeight="1" spans="1:15">
      <c r="A487" s="23" t="str">
        <f>IF(盘货信息!A487="","",盘货信息!A487)</f>
        <v/>
      </c>
      <c r="B487" s="26" t="str">
        <f>IF(盘货信息!B487="","",盘货信息!B487)</f>
        <v/>
      </c>
      <c r="C487" s="23" t="str">
        <f>IF(盘货信息!C487="","",盘货信息!C487)</f>
        <v/>
      </c>
      <c r="D487" s="27" t="str">
        <f t="shared" si="14"/>
        <v/>
      </c>
      <c r="E487" s="27" t="str" cm="1">
        <f t="array" ref="E487">IF($C487="","",IF(AND(OR(_xlfn.XLOOKUP($A487&amp;$B487&amp;$C487,盘货信息!$A:$A&amp;盘货信息!$B:$B&amp;盘货信息!$C:$C,盘货信息!$L:$L)="否",_xlfn.XLOOKUP($A487&amp;$B487&amp;$C487,盘货信息!$A:$A&amp;盘货信息!$B:$B&amp;盘货信息!$C:$C,盘货信息!$L:$L)=""),_xlfn.XLOOKUP($A487&amp;$B487&amp;$C487,盘货信息!$A:$A&amp;盘货信息!$B:$B&amp;盘货信息!$C:$C,盘货信息!$M:$M)="否"),"【预估到手价"&amp;_xlfn.XLOOKUP($A487&amp;$B487&amp;$C487,盘货信息!$A:$A&amp;盘货信息!$B:$B&amp;盘货信息!$C:$C,盘货信息!$D:$D)&amp;"元】",IF(AND(_xlfn.XLOOKUP($A487&amp;$B487&amp;$C487,盘货信息!$A:$A&amp;盘货信息!$B:$B&amp;盘货信息!$C:$C,盘货信息!$M:$M)="是",OR(_xlfn.XLOOKUP($A487&amp;$B487&amp;$C487,盘货信息!$A:$A&amp;盘货信息!$B:$B&amp;盘货信息!$C:$C,盘货信息!$L:$L)="否",_xlfn.XLOOKUP($A487&amp;$B487&amp;$C487,盘货信息!$A:$A&amp;盘货信息!$B:$B&amp;盘货信息!$C:$C,盘货信息!$L:$L)="")),"【预估到手价"&amp;_xlfn.XLOOKUP($A487&amp;$B487&amp;$C487,盘货信息!$A:$A&amp;盘货信息!$B:$B&amp;盘货信息!$C:$C,盘货信息!$D:$D)&amp;"元】"&amp;CHAR(10)&amp;"【焕新补贴预估价"&amp;ROUND(_xlfn.XLOOKUP($A487&amp;$B487&amp;$C487,盘货信息!$A:$A&amp;盘货信息!$B:$B&amp;盘货信息!$C:$C,盘货信息!$E:$E),0)&amp;"元】","【焕新补贴预估价"&amp;ROUND(_xlfn.XLOOKUP($A487&amp;$B487&amp;$C487,盘货信息!$A:$A&amp;盘货信息!$B:$B&amp;盘货信息!$C:$C,盘货信息!$E:$E),0)&amp;"元】")))</f>
        <v/>
      </c>
      <c r="F487" s="27" t="str" cm="1">
        <f t="array" ref="F487">IF($C487="","",_xlfn.XLOOKUP($A487&amp;$B487&amp;$C487,盘货信息!$A:$A&amp;盘货信息!$B:$B&amp;盘货信息!$C:$C,盘货信息!$D:$D)&amp;"元到手价")</f>
        <v/>
      </c>
      <c r="G487" s="27" t="str" cm="1">
        <f t="array" ref="G487">IF($C487="","",IF(_xlfn.XLOOKUP($A487&amp;$B487&amp;$C487,盘货信息!$A:$A&amp;盘货信息!$B:$B&amp;盘货信息!$C:$C,盘货信息!$G:$G)&lt;1,"",ROUND(_xlfn.XLOOKUP($A487&amp;$B487&amp;$C487,盘货信息!$A:$A&amp;盘货信息!$B:$B&amp;盘货信息!$C:$C,盘货信息!$G:$G),0)&amp;"元88VIP立减"))</f>
        <v/>
      </c>
      <c r="H487" s="27" t="str" cm="1">
        <f t="array" ref="H487">IF($C487="","",IF(_xlfn.XLOOKUP($A487&amp;$B487&amp;$C487,盘货信息!$A:$A&amp;盘货信息!$B:$B&amp;盘货信息!$C:$C,盘货信息!$I:$I)&lt;1,"",_xlfn.XLOOKUP($A487&amp;$B487&amp;$C487,盘货信息!$A:$A&amp;盘货信息!$B:$B&amp;盘货信息!$C:$C,盘货信息!$I:$I)&amp;"元惊喜立减"))</f>
        <v/>
      </c>
      <c r="I487" s="27" t="str" cm="1">
        <f t="array" ref="I487">IF($C487="","",IF(_xlfn.XLOOKUP($A487&amp;$B487&amp;$C487,盘货信息!$A:$A&amp;盘货信息!$B:$B&amp;盘货信息!$C:$C,盘货信息!$H:$H)&lt;1,"",ROUND(_xlfn.XLOOKUP($A487&amp;$B487&amp;$C487,盘货信息!$A:$A&amp;盘货信息!$B:$B&amp;盘货信息!$C:$C,盘货信息!$H:$H),0)&amp;"元消费券"))</f>
        <v/>
      </c>
      <c r="J487" s="27" t="str" cm="1">
        <f t="array" ref="J487">IF($C487="","",IF(_xlfn.XLOOKUP($A487&amp;$B487&amp;$C487,盘货信息!$A:$A&amp;盘货信息!$B:$B&amp;盘货信息!$C:$C,盘货信息!$J:$J)&lt;1,"",ROUND(_xlfn.XLOOKUP($A487&amp;$B487&amp;$C487,盘货信息!$A:$A&amp;盘货信息!$B:$B&amp;盘货信息!$C:$C,盘货信息!$J:$J),0)&amp;"元限时补贴"))</f>
        <v/>
      </c>
      <c r="K487" s="27" t="str" cm="1">
        <f t="array" ref="K487">IF($C487="","",IF(_xlfn.XLOOKUP($A487&amp;$B487&amp;$C487,盘货信息!$A:$A&amp;盘货信息!$B:$B&amp;盘货信息!$C:$C,盘货信息!$K:$K)&lt;1,"",ROUND(_xlfn.XLOOKUP($A487&amp;$B487&amp;$C487,盘货信息!$A:$A&amp;盘货信息!$B:$B&amp;盘货信息!$C:$C,盘货信息!$K:$K),0)&amp;"元预估焕新补贴"))</f>
        <v/>
      </c>
      <c r="L487" s="27" t="str" cm="1">
        <f t="array" ref="L487">IF($C487="","",IF(AND(_xlfn.XLOOKUP($A487&amp;$B487&amp;$C487,盘货信息!$A:$A&amp;盘货信息!$B:$B&amp;盘货信息!$C:$C,盘货信息!$L:$L)="是",_xlfn.XLOOKUP($A487&amp;$B487&amp;$C487,盘货信息!$A:$A&amp;盘货信息!$B:$B&amp;盘货信息!$C:$C,盘货信息!$M:$M)="是",_xlfn.XLOOKUP($A487&amp;$B487&amp;$C487,盘货信息!$A:$A&amp;盘货信息!$B:$B&amp;盘货信息!$C:$C,盘货信息!$K:$K)&gt;0),"【全民可用，不限地址】",IF(AND(OR(_xlfn.XLOOKUP($A487&amp;$B487&amp;$C487,盘货信息!$A:$A&amp;盘货信息!$B:$B&amp;盘货信息!$C:$C,盘货信息!$L:$L)="否",_xlfn.XLOOKUP($A487&amp;$B487&amp;$C487,盘货信息!$A:$A&amp;盘货信息!$B:$B&amp;盘货信息!$C:$C,盘货信息!$L:$L)=""),_xlfn.XLOOKUP($A487&amp;$B487&amp;$C487,盘货信息!$A:$A&amp;盘货信息!$B:$B&amp;盘货信息!$C:$C,盘货信息!$M:$M)="是",_xlfn.XLOOKUP($A487&amp;$B487&amp;$C487,盘货信息!$A:$A&amp;盘货信息!$B:$B&amp;盘货信息!$C:$C,盘货信息!$K:$K)&gt;0),"【详情页领取】","")))</f>
        <v/>
      </c>
      <c r="M487" s="27" t="str" cm="1">
        <f t="array" ref="M487">IF($C487="","",IF(_xlfn.XLOOKUP($A487&amp;$B487&amp;$C487,盘货信息!$A:$A&amp;盘货信息!$B:$B&amp;盘货信息!$C:$C,盘货信息!$F:$F)&lt;1,"",_xlfn.XLOOKUP($A487&amp;$B487&amp;$C487,盘货信息!$A:$A&amp;盘货信息!$B:$B&amp;盘货信息!$C:$C,盘货信息!$F:$F)&amp;"元明卷"))</f>
        <v/>
      </c>
      <c r="N487" s="27" t="str">
        <f t="shared" si="15"/>
        <v/>
      </c>
      <c r="O487" s="27" t="str">
        <f>IF(I487="","","【消费券链接】"&amp;固定信息!$B$6)</f>
        <v/>
      </c>
    </row>
    <row r="488" customHeight="1" spans="1:15">
      <c r="A488" s="23" t="str">
        <f>IF(盘货信息!A488="","",盘货信息!A488)</f>
        <v/>
      </c>
      <c r="B488" s="26" t="str">
        <f>IF(盘货信息!B488="","",盘货信息!B488)</f>
        <v/>
      </c>
      <c r="C488" s="23" t="str">
        <f>IF(盘货信息!C488="","",盘货信息!C488)</f>
        <v/>
      </c>
      <c r="D488" s="27" t="str">
        <f t="shared" si="14"/>
        <v/>
      </c>
      <c r="E488" s="27" t="str" cm="1">
        <f t="array" ref="E488">IF($C488="","",IF(AND(OR(_xlfn.XLOOKUP($A488&amp;$B488&amp;$C488,盘货信息!$A:$A&amp;盘货信息!$B:$B&amp;盘货信息!$C:$C,盘货信息!$L:$L)="否",_xlfn.XLOOKUP($A488&amp;$B488&amp;$C488,盘货信息!$A:$A&amp;盘货信息!$B:$B&amp;盘货信息!$C:$C,盘货信息!$L:$L)=""),_xlfn.XLOOKUP($A488&amp;$B488&amp;$C488,盘货信息!$A:$A&amp;盘货信息!$B:$B&amp;盘货信息!$C:$C,盘货信息!$M:$M)="否"),"【预估到手价"&amp;_xlfn.XLOOKUP($A488&amp;$B488&amp;$C488,盘货信息!$A:$A&amp;盘货信息!$B:$B&amp;盘货信息!$C:$C,盘货信息!$D:$D)&amp;"元】",IF(AND(_xlfn.XLOOKUP($A488&amp;$B488&amp;$C488,盘货信息!$A:$A&amp;盘货信息!$B:$B&amp;盘货信息!$C:$C,盘货信息!$M:$M)="是",OR(_xlfn.XLOOKUP($A488&amp;$B488&amp;$C488,盘货信息!$A:$A&amp;盘货信息!$B:$B&amp;盘货信息!$C:$C,盘货信息!$L:$L)="否",_xlfn.XLOOKUP($A488&amp;$B488&amp;$C488,盘货信息!$A:$A&amp;盘货信息!$B:$B&amp;盘货信息!$C:$C,盘货信息!$L:$L)="")),"【预估到手价"&amp;_xlfn.XLOOKUP($A488&amp;$B488&amp;$C488,盘货信息!$A:$A&amp;盘货信息!$B:$B&amp;盘货信息!$C:$C,盘货信息!$D:$D)&amp;"元】"&amp;CHAR(10)&amp;"【焕新补贴预估价"&amp;ROUND(_xlfn.XLOOKUP($A488&amp;$B488&amp;$C488,盘货信息!$A:$A&amp;盘货信息!$B:$B&amp;盘货信息!$C:$C,盘货信息!$E:$E),0)&amp;"元】","【焕新补贴预估价"&amp;ROUND(_xlfn.XLOOKUP($A488&amp;$B488&amp;$C488,盘货信息!$A:$A&amp;盘货信息!$B:$B&amp;盘货信息!$C:$C,盘货信息!$E:$E),0)&amp;"元】")))</f>
        <v/>
      </c>
      <c r="F488" s="27" t="str" cm="1">
        <f t="array" ref="F488">IF($C488="","",_xlfn.XLOOKUP($A488&amp;$B488&amp;$C488,盘货信息!$A:$A&amp;盘货信息!$B:$B&amp;盘货信息!$C:$C,盘货信息!$D:$D)&amp;"元到手价")</f>
        <v/>
      </c>
      <c r="G488" s="27" t="str" cm="1">
        <f t="array" ref="G488">IF($C488="","",IF(_xlfn.XLOOKUP($A488&amp;$B488&amp;$C488,盘货信息!$A:$A&amp;盘货信息!$B:$B&amp;盘货信息!$C:$C,盘货信息!$G:$G)&lt;1,"",ROUND(_xlfn.XLOOKUP($A488&amp;$B488&amp;$C488,盘货信息!$A:$A&amp;盘货信息!$B:$B&amp;盘货信息!$C:$C,盘货信息!$G:$G),0)&amp;"元88VIP立减"))</f>
        <v/>
      </c>
      <c r="H488" s="27" t="str" cm="1">
        <f t="array" ref="H488">IF($C488="","",IF(_xlfn.XLOOKUP($A488&amp;$B488&amp;$C488,盘货信息!$A:$A&amp;盘货信息!$B:$B&amp;盘货信息!$C:$C,盘货信息!$I:$I)&lt;1,"",_xlfn.XLOOKUP($A488&amp;$B488&amp;$C488,盘货信息!$A:$A&amp;盘货信息!$B:$B&amp;盘货信息!$C:$C,盘货信息!$I:$I)&amp;"元惊喜立减"))</f>
        <v/>
      </c>
      <c r="I488" s="27" t="str" cm="1">
        <f t="array" ref="I488">IF($C488="","",IF(_xlfn.XLOOKUP($A488&amp;$B488&amp;$C488,盘货信息!$A:$A&amp;盘货信息!$B:$B&amp;盘货信息!$C:$C,盘货信息!$H:$H)&lt;1,"",ROUND(_xlfn.XLOOKUP($A488&amp;$B488&amp;$C488,盘货信息!$A:$A&amp;盘货信息!$B:$B&amp;盘货信息!$C:$C,盘货信息!$H:$H),0)&amp;"元消费券"))</f>
        <v/>
      </c>
      <c r="J488" s="27" t="str" cm="1">
        <f t="array" ref="J488">IF($C488="","",IF(_xlfn.XLOOKUP($A488&amp;$B488&amp;$C488,盘货信息!$A:$A&amp;盘货信息!$B:$B&amp;盘货信息!$C:$C,盘货信息!$J:$J)&lt;1,"",ROUND(_xlfn.XLOOKUP($A488&amp;$B488&amp;$C488,盘货信息!$A:$A&amp;盘货信息!$B:$B&amp;盘货信息!$C:$C,盘货信息!$J:$J),0)&amp;"元限时补贴"))</f>
        <v/>
      </c>
      <c r="K488" s="27" t="str" cm="1">
        <f t="array" ref="K488">IF($C488="","",IF(_xlfn.XLOOKUP($A488&amp;$B488&amp;$C488,盘货信息!$A:$A&amp;盘货信息!$B:$B&amp;盘货信息!$C:$C,盘货信息!$K:$K)&lt;1,"",ROUND(_xlfn.XLOOKUP($A488&amp;$B488&amp;$C488,盘货信息!$A:$A&amp;盘货信息!$B:$B&amp;盘货信息!$C:$C,盘货信息!$K:$K),0)&amp;"元预估焕新补贴"))</f>
        <v/>
      </c>
      <c r="L488" s="27" t="str" cm="1">
        <f t="array" ref="L488">IF($C488="","",IF(AND(_xlfn.XLOOKUP($A488&amp;$B488&amp;$C488,盘货信息!$A:$A&amp;盘货信息!$B:$B&amp;盘货信息!$C:$C,盘货信息!$L:$L)="是",_xlfn.XLOOKUP($A488&amp;$B488&amp;$C488,盘货信息!$A:$A&amp;盘货信息!$B:$B&amp;盘货信息!$C:$C,盘货信息!$M:$M)="是",_xlfn.XLOOKUP($A488&amp;$B488&amp;$C488,盘货信息!$A:$A&amp;盘货信息!$B:$B&amp;盘货信息!$C:$C,盘货信息!$K:$K)&gt;0),"【全民可用，不限地址】",IF(AND(OR(_xlfn.XLOOKUP($A488&amp;$B488&amp;$C488,盘货信息!$A:$A&amp;盘货信息!$B:$B&amp;盘货信息!$C:$C,盘货信息!$L:$L)="否",_xlfn.XLOOKUP($A488&amp;$B488&amp;$C488,盘货信息!$A:$A&amp;盘货信息!$B:$B&amp;盘货信息!$C:$C,盘货信息!$L:$L)=""),_xlfn.XLOOKUP($A488&amp;$B488&amp;$C488,盘货信息!$A:$A&amp;盘货信息!$B:$B&amp;盘货信息!$C:$C,盘货信息!$M:$M)="是",_xlfn.XLOOKUP($A488&amp;$B488&amp;$C488,盘货信息!$A:$A&amp;盘货信息!$B:$B&amp;盘货信息!$C:$C,盘货信息!$K:$K)&gt;0),"【详情页领取】","")))</f>
        <v/>
      </c>
      <c r="M488" s="27" t="str" cm="1">
        <f t="array" ref="M488">IF($C488="","",IF(_xlfn.XLOOKUP($A488&amp;$B488&amp;$C488,盘货信息!$A:$A&amp;盘货信息!$B:$B&amp;盘货信息!$C:$C,盘货信息!$F:$F)&lt;1,"",_xlfn.XLOOKUP($A488&amp;$B488&amp;$C488,盘货信息!$A:$A&amp;盘货信息!$B:$B&amp;盘货信息!$C:$C,盘货信息!$F:$F)&amp;"元明卷"))</f>
        <v/>
      </c>
      <c r="N488" s="27" t="str">
        <f t="shared" si="15"/>
        <v/>
      </c>
      <c r="O488" s="27" t="str">
        <f>IF(I488="","","【消费券链接】"&amp;固定信息!$B$6)</f>
        <v/>
      </c>
    </row>
    <row r="489" customHeight="1" spans="1:15">
      <c r="A489" s="23" t="str">
        <f>IF(盘货信息!A489="","",盘货信息!A489)</f>
        <v/>
      </c>
      <c r="B489" s="26" t="str">
        <f>IF(盘货信息!B489="","",盘货信息!B489)</f>
        <v/>
      </c>
      <c r="C489" s="23" t="str">
        <f>IF(盘货信息!C489="","",盘货信息!C489)</f>
        <v/>
      </c>
      <c r="D489" s="27" t="str">
        <f t="shared" si="14"/>
        <v/>
      </c>
      <c r="E489" s="27" t="str" cm="1">
        <f t="array" ref="E489">IF($C489="","",IF(AND(OR(_xlfn.XLOOKUP($A489&amp;$B489&amp;$C489,盘货信息!$A:$A&amp;盘货信息!$B:$B&amp;盘货信息!$C:$C,盘货信息!$L:$L)="否",_xlfn.XLOOKUP($A489&amp;$B489&amp;$C489,盘货信息!$A:$A&amp;盘货信息!$B:$B&amp;盘货信息!$C:$C,盘货信息!$L:$L)=""),_xlfn.XLOOKUP($A489&amp;$B489&amp;$C489,盘货信息!$A:$A&amp;盘货信息!$B:$B&amp;盘货信息!$C:$C,盘货信息!$M:$M)="否"),"【预估到手价"&amp;_xlfn.XLOOKUP($A489&amp;$B489&amp;$C489,盘货信息!$A:$A&amp;盘货信息!$B:$B&amp;盘货信息!$C:$C,盘货信息!$D:$D)&amp;"元】",IF(AND(_xlfn.XLOOKUP($A489&amp;$B489&amp;$C489,盘货信息!$A:$A&amp;盘货信息!$B:$B&amp;盘货信息!$C:$C,盘货信息!$M:$M)="是",OR(_xlfn.XLOOKUP($A489&amp;$B489&amp;$C489,盘货信息!$A:$A&amp;盘货信息!$B:$B&amp;盘货信息!$C:$C,盘货信息!$L:$L)="否",_xlfn.XLOOKUP($A489&amp;$B489&amp;$C489,盘货信息!$A:$A&amp;盘货信息!$B:$B&amp;盘货信息!$C:$C,盘货信息!$L:$L)="")),"【预估到手价"&amp;_xlfn.XLOOKUP($A489&amp;$B489&amp;$C489,盘货信息!$A:$A&amp;盘货信息!$B:$B&amp;盘货信息!$C:$C,盘货信息!$D:$D)&amp;"元】"&amp;CHAR(10)&amp;"【焕新补贴预估价"&amp;ROUND(_xlfn.XLOOKUP($A489&amp;$B489&amp;$C489,盘货信息!$A:$A&amp;盘货信息!$B:$B&amp;盘货信息!$C:$C,盘货信息!$E:$E),0)&amp;"元】","【焕新补贴预估价"&amp;ROUND(_xlfn.XLOOKUP($A489&amp;$B489&amp;$C489,盘货信息!$A:$A&amp;盘货信息!$B:$B&amp;盘货信息!$C:$C,盘货信息!$E:$E),0)&amp;"元】")))</f>
        <v/>
      </c>
      <c r="F489" s="27" t="str" cm="1">
        <f t="array" ref="F489">IF($C489="","",_xlfn.XLOOKUP($A489&amp;$B489&amp;$C489,盘货信息!$A:$A&amp;盘货信息!$B:$B&amp;盘货信息!$C:$C,盘货信息!$D:$D)&amp;"元到手价")</f>
        <v/>
      </c>
      <c r="G489" s="27" t="str" cm="1">
        <f t="array" ref="G489">IF($C489="","",IF(_xlfn.XLOOKUP($A489&amp;$B489&amp;$C489,盘货信息!$A:$A&amp;盘货信息!$B:$B&amp;盘货信息!$C:$C,盘货信息!$G:$G)&lt;1,"",ROUND(_xlfn.XLOOKUP($A489&amp;$B489&amp;$C489,盘货信息!$A:$A&amp;盘货信息!$B:$B&amp;盘货信息!$C:$C,盘货信息!$G:$G),0)&amp;"元88VIP立减"))</f>
        <v/>
      </c>
      <c r="H489" s="27" t="str" cm="1">
        <f t="array" ref="H489">IF($C489="","",IF(_xlfn.XLOOKUP($A489&amp;$B489&amp;$C489,盘货信息!$A:$A&amp;盘货信息!$B:$B&amp;盘货信息!$C:$C,盘货信息!$I:$I)&lt;1,"",_xlfn.XLOOKUP($A489&amp;$B489&amp;$C489,盘货信息!$A:$A&amp;盘货信息!$B:$B&amp;盘货信息!$C:$C,盘货信息!$I:$I)&amp;"元惊喜立减"))</f>
        <v/>
      </c>
      <c r="I489" s="27" t="str" cm="1">
        <f t="array" ref="I489">IF($C489="","",IF(_xlfn.XLOOKUP($A489&amp;$B489&amp;$C489,盘货信息!$A:$A&amp;盘货信息!$B:$B&amp;盘货信息!$C:$C,盘货信息!$H:$H)&lt;1,"",ROUND(_xlfn.XLOOKUP($A489&amp;$B489&amp;$C489,盘货信息!$A:$A&amp;盘货信息!$B:$B&amp;盘货信息!$C:$C,盘货信息!$H:$H),0)&amp;"元消费券"))</f>
        <v/>
      </c>
      <c r="J489" s="27" t="str" cm="1">
        <f t="array" ref="J489">IF($C489="","",IF(_xlfn.XLOOKUP($A489&amp;$B489&amp;$C489,盘货信息!$A:$A&amp;盘货信息!$B:$B&amp;盘货信息!$C:$C,盘货信息!$J:$J)&lt;1,"",ROUND(_xlfn.XLOOKUP($A489&amp;$B489&amp;$C489,盘货信息!$A:$A&amp;盘货信息!$B:$B&amp;盘货信息!$C:$C,盘货信息!$J:$J),0)&amp;"元限时补贴"))</f>
        <v/>
      </c>
      <c r="K489" s="27" t="str" cm="1">
        <f t="array" ref="K489">IF($C489="","",IF(_xlfn.XLOOKUP($A489&amp;$B489&amp;$C489,盘货信息!$A:$A&amp;盘货信息!$B:$B&amp;盘货信息!$C:$C,盘货信息!$K:$K)&lt;1,"",ROUND(_xlfn.XLOOKUP($A489&amp;$B489&amp;$C489,盘货信息!$A:$A&amp;盘货信息!$B:$B&amp;盘货信息!$C:$C,盘货信息!$K:$K),0)&amp;"元预估焕新补贴"))</f>
        <v/>
      </c>
      <c r="L489" s="27" t="str" cm="1">
        <f t="array" ref="L489">IF($C489="","",IF(AND(_xlfn.XLOOKUP($A489&amp;$B489&amp;$C489,盘货信息!$A:$A&amp;盘货信息!$B:$B&amp;盘货信息!$C:$C,盘货信息!$L:$L)="是",_xlfn.XLOOKUP($A489&amp;$B489&amp;$C489,盘货信息!$A:$A&amp;盘货信息!$B:$B&amp;盘货信息!$C:$C,盘货信息!$M:$M)="是",_xlfn.XLOOKUP($A489&amp;$B489&amp;$C489,盘货信息!$A:$A&amp;盘货信息!$B:$B&amp;盘货信息!$C:$C,盘货信息!$K:$K)&gt;0),"【全民可用，不限地址】",IF(AND(OR(_xlfn.XLOOKUP($A489&amp;$B489&amp;$C489,盘货信息!$A:$A&amp;盘货信息!$B:$B&amp;盘货信息!$C:$C,盘货信息!$L:$L)="否",_xlfn.XLOOKUP($A489&amp;$B489&amp;$C489,盘货信息!$A:$A&amp;盘货信息!$B:$B&amp;盘货信息!$C:$C,盘货信息!$L:$L)=""),_xlfn.XLOOKUP($A489&amp;$B489&amp;$C489,盘货信息!$A:$A&amp;盘货信息!$B:$B&amp;盘货信息!$C:$C,盘货信息!$M:$M)="是",_xlfn.XLOOKUP($A489&amp;$B489&amp;$C489,盘货信息!$A:$A&amp;盘货信息!$B:$B&amp;盘货信息!$C:$C,盘货信息!$K:$K)&gt;0),"【详情页领取】","")))</f>
        <v/>
      </c>
      <c r="M489" s="27" t="str" cm="1">
        <f t="array" ref="M489">IF($C489="","",IF(_xlfn.XLOOKUP($A489&amp;$B489&amp;$C489,盘货信息!$A:$A&amp;盘货信息!$B:$B&amp;盘货信息!$C:$C,盘货信息!$F:$F)&lt;1,"",_xlfn.XLOOKUP($A489&amp;$B489&amp;$C489,盘货信息!$A:$A&amp;盘货信息!$B:$B&amp;盘货信息!$C:$C,盘货信息!$F:$F)&amp;"元明卷"))</f>
        <v/>
      </c>
      <c r="N489" s="27" t="str">
        <f t="shared" si="15"/>
        <v/>
      </c>
      <c r="O489" s="27" t="str">
        <f>IF(I489="","","【消费券链接】"&amp;固定信息!$B$6)</f>
        <v/>
      </c>
    </row>
    <row r="490" customHeight="1" spans="1:15">
      <c r="A490" s="23" t="str">
        <f>IF(盘货信息!A490="","",盘货信息!A490)</f>
        <v/>
      </c>
      <c r="B490" s="26" t="str">
        <f>IF(盘货信息!B490="","",盘货信息!B490)</f>
        <v/>
      </c>
      <c r="C490" s="23" t="str">
        <f>IF(盘货信息!C490="","",盘货信息!C490)</f>
        <v/>
      </c>
      <c r="D490" s="27" t="str">
        <f t="shared" si="14"/>
        <v/>
      </c>
      <c r="E490" s="27" t="str" cm="1">
        <f t="array" ref="E490">IF($C490="","",IF(AND(OR(_xlfn.XLOOKUP($A490&amp;$B490&amp;$C490,盘货信息!$A:$A&amp;盘货信息!$B:$B&amp;盘货信息!$C:$C,盘货信息!$L:$L)="否",_xlfn.XLOOKUP($A490&amp;$B490&amp;$C490,盘货信息!$A:$A&amp;盘货信息!$B:$B&amp;盘货信息!$C:$C,盘货信息!$L:$L)=""),_xlfn.XLOOKUP($A490&amp;$B490&amp;$C490,盘货信息!$A:$A&amp;盘货信息!$B:$B&amp;盘货信息!$C:$C,盘货信息!$M:$M)="否"),"【预估到手价"&amp;_xlfn.XLOOKUP($A490&amp;$B490&amp;$C490,盘货信息!$A:$A&amp;盘货信息!$B:$B&amp;盘货信息!$C:$C,盘货信息!$D:$D)&amp;"元】",IF(AND(_xlfn.XLOOKUP($A490&amp;$B490&amp;$C490,盘货信息!$A:$A&amp;盘货信息!$B:$B&amp;盘货信息!$C:$C,盘货信息!$M:$M)="是",OR(_xlfn.XLOOKUP($A490&amp;$B490&amp;$C490,盘货信息!$A:$A&amp;盘货信息!$B:$B&amp;盘货信息!$C:$C,盘货信息!$L:$L)="否",_xlfn.XLOOKUP($A490&amp;$B490&amp;$C490,盘货信息!$A:$A&amp;盘货信息!$B:$B&amp;盘货信息!$C:$C,盘货信息!$L:$L)="")),"【预估到手价"&amp;_xlfn.XLOOKUP($A490&amp;$B490&amp;$C490,盘货信息!$A:$A&amp;盘货信息!$B:$B&amp;盘货信息!$C:$C,盘货信息!$D:$D)&amp;"元】"&amp;CHAR(10)&amp;"【焕新补贴预估价"&amp;ROUND(_xlfn.XLOOKUP($A490&amp;$B490&amp;$C490,盘货信息!$A:$A&amp;盘货信息!$B:$B&amp;盘货信息!$C:$C,盘货信息!$E:$E),0)&amp;"元】","【焕新补贴预估价"&amp;ROUND(_xlfn.XLOOKUP($A490&amp;$B490&amp;$C490,盘货信息!$A:$A&amp;盘货信息!$B:$B&amp;盘货信息!$C:$C,盘货信息!$E:$E),0)&amp;"元】")))</f>
        <v/>
      </c>
      <c r="F490" s="27" t="str" cm="1">
        <f t="array" ref="F490">IF($C490="","",_xlfn.XLOOKUP($A490&amp;$B490&amp;$C490,盘货信息!$A:$A&amp;盘货信息!$B:$B&amp;盘货信息!$C:$C,盘货信息!$D:$D)&amp;"元到手价")</f>
        <v/>
      </c>
      <c r="G490" s="27" t="str" cm="1">
        <f t="array" ref="G490">IF($C490="","",IF(_xlfn.XLOOKUP($A490&amp;$B490&amp;$C490,盘货信息!$A:$A&amp;盘货信息!$B:$B&amp;盘货信息!$C:$C,盘货信息!$G:$G)&lt;1,"",ROUND(_xlfn.XLOOKUP($A490&amp;$B490&amp;$C490,盘货信息!$A:$A&amp;盘货信息!$B:$B&amp;盘货信息!$C:$C,盘货信息!$G:$G),0)&amp;"元88VIP立减"))</f>
        <v/>
      </c>
      <c r="H490" s="27" t="str" cm="1">
        <f t="array" ref="H490">IF($C490="","",IF(_xlfn.XLOOKUP($A490&amp;$B490&amp;$C490,盘货信息!$A:$A&amp;盘货信息!$B:$B&amp;盘货信息!$C:$C,盘货信息!$I:$I)&lt;1,"",_xlfn.XLOOKUP($A490&amp;$B490&amp;$C490,盘货信息!$A:$A&amp;盘货信息!$B:$B&amp;盘货信息!$C:$C,盘货信息!$I:$I)&amp;"元惊喜立减"))</f>
        <v/>
      </c>
      <c r="I490" s="27" t="str" cm="1">
        <f t="array" ref="I490">IF($C490="","",IF(_xlfn.XLOOKUP($A490&amp;$B490&amp;$C490,盘货信息!$A:$A&amp;盘货信息!$B:$B&amp;盘货信息!$C:$C,盘货信息!$H:$H)&lt;1,"",ROUND(_xlfn.XLOOKUP($A490&amp;$B490&amp;$C490,盘货信息!$A:$A&amp;盘货信息!$B:$B&amp;盘货信息!$C:$C,盘货信息!$H:$H),0)&amp;"元消费券"))</f>
        <v/>
      </c>
      <c r="J490" s="27" t="str" cm="1">
        <f t="array" ref="J490">IF($C490="","",IF(_xlfn.XLOOKUP($A490&amp;$B490&amp;$C490,盘货信息!$A:$A&amp;盘货信息!$B:$B&amp;盘货信息!$C:$C,盘货信息!$J:$J)&lt;1,"",ROUND(_xlfn.XLOOKUP($A490&amp;$B490&amp;$C490,盘货信息!$A:$A&amp;盘货信息!$B:$B&amp;盘货信息!$C:$C,盘货信息!$J:$J),0)&amp;"元限时补贴"))</f>
        <v/>
      </c>
      <c r="K490" s="27" t="str" cm="1">
        <f t="array" ref="K490">IF($C490="","",IF(_xlfn.XLOOKUP($A490&amp;$B490&amp;$C490,盘货信息!$A:$A&amp;盘货信息!$B:$B&amp;盘货信息!$C:$C,盘货信息!$K:$K)&lt;1,"",ROUND(_xlfn.XLOOKUP($A490&amp;$B490&amp;$C490,盘货信息!$A:$A&amp;盘货信息!$B:$B&amp;盘货信息!$C:$C,盘货信息!$K:$K),0)&amp;"元预估焕新补贴"))</f>
        <v/>
      </c>
      <c r="L490" s="27" t="str" cm="1">
        <f t="array" ref="L490">IF($C490="","",IF(AND(_xlfn.XLOOKUP($A490&amp;$B490&amp;$C490,盘货信息!$A:$A&amp;盘货信息!$B:$B&amp;盘货信息!$C:$C,盘货信息!$L:$L)="是",_xlfn.XLOOKUP($A490&amp;$B490&amp;$C490,盘货信息!$A:$A&amp;盘货信息!$B:$B&amp;盘货信息!$C:$C,盘货信息!$M:$M)="是",_xlfn.XLOOKUP($A490&amp;$B490&amp;$C490,盘货信息!$A:$A&amp;盘货信息!$B:$B&amp;盘货信息!$C:$C,盘货信息!$K:$K)&gt;0),"【全民可用，不限地址】",IF(AND(OR(_xlfn.XLOOKUP($A490&amp;$B490&amp;$C490,盘货信息!$A:$A&amp;盘货信息!$B:$B&amp;盘货信息!$C:$C,盘货信息!$L:$L)="否",_xlfn.XLOOKUP($A490&amp;$B490&amp;$C490,盘货信息!$A:$A&amp;盘货信息!$B:$B&amp;盘货信息!$C:$C,盘货信息!$L:$L)=""),_xlfn.XLOOKUP($A490&amp;$B490&amp;$C490,盘货信息!$A:$A&amp;盘货信息!$B:$B&amp;盘货信息!$C:$C,盘货信息!$M:$M)="是",_xlfn.XLOOKUP($A490&amp;$B490&amp;$C490,盘货信息!$A:$A&amp;盘货信息!$B:$B&amp;盘货信息!$C:$C,盘货信息!$K:$K)&gt;0),"【详情页领取】","")))</f>
        <v/>
      </c>
      <c r="M490" s="27" t="str" cm="1">
        <f t="array" ref="M490">IF($C490="","",IF(_xlfn.XLOOKUP($A490&amp;$B490&amp;$C490,盘货信息!$A:$A&amp;盘货信息!$B:$B&amp;盘货信息!$C:$C,盘货信息!$F:$F)&lt;1,"",_xlfn.XLOOKUP($A490&amp;$B490&amp;$C490,盘货信息!$A:$A&amp;盘货信息!$B:$B&amp;盘货信息!$C:$C,盘货信息!$F:$F)&amp;"元明卷"))</f>
        <v/>
      </c>
      <c r="N490" s="27" t="str">
        <f t="shared" si="15"/>
        <v/>
      </c>
      <c r="O490" s="27" t="str">
        <f>IF(I490="","","【消费券链接】"&amp;固定信息!$B$6)</f>
        <v/>
      </c>
    </row>
    <row r="491" customHeight="1" spans="1:15">
      <c r="A491" s="23" t="str">
        <f>IF(盘货信息!A491="","",盘货信息!A491)</f>
        <v/>
      </c>
      <c r="B491" s="26" t="str">
        <f>IF(盘货信息!B491="","",盘货信息!B491)</f>
        <v/>
      </c>
      <c r="C491" s="23" t="str">
        <f>IF(盘货信息!C491="","",盘货信息!C491)</f>
        <v/>
      </c>
      <c r="D491" s="27" t="str">
        <f t="shared" si="14"/>
        <v/>
      </c>
      <c r="E491" s="27" t="str" cm="1">
        <f t="array" ref="E491">IF($C491="","",IF(AND(OR(_xlfn.XLOOKUP($A491&amp;$B491&amp;$C491,盘货信息!$A:$A&amp;盘货信息!$B:$B&amp;盘货信息!$C:$C,盘货信息!$L:$L)="否",_xlfn.XLOOKUP($A491&amp;$B491&amp;$C491,盘货信息!$A:$A&amp;盘货信息!$B:$B&amp;盘货信息!$C:$C,盘货信息!$L:$L)=""),_xlfn.XLOOKUP($A491&amp;$B491&amp;$C491,盘货信息!$A:$A&amp;盘货信息!$B:$B&amp;盘货信息!$C:$C,盘货信息!$M:$M)="否"),"【预估到手价"&amp;_xlfn.XLOOKUP($A491&amp;$B491&amp;$C491,盘货信息!$A:$A&amp;盘货信息!$B:$B&amp;盘货信息!$C:$C,盘货信息!$D:$D)&amp;"元】",IF(AND(_xlfn.XLOOKUP($A491&amp;$B491&amp;$C491,盘货信息!$A:$A&amp;盘货信息!$B:$B&amp;盘货信息!$C:$C,盘货信息!$M:$M)="是",OR(_xlfn.XLOOKUP($A491&amp;$B491&amp;$C491,盘货信息!$A:$A&amp;盘货信息!$B:$B&amp;盘货信息!$C:$C,盘货信息!$L:$L)="否",_xlfn.XLOOKUP($A491&amp;$B491&amp;$C491,盘货信息!$A:$A&amp;盘货信息!$B:$B&amp;盘货信息!$C:$C,盘货信息!$L:$L)="")),"【预估到手价"&amp;_xlfn.XLOOKUP($A491&amp;$B491&amp;$C491,盘货信息!$A:$A&amp;盘货信息!$B:$B&amp;盘货信息!$C:$C,盘货信息!$D:$D)&amp;"元】"&amp;CHAR(10)&amp;"【焕新补贴预估价"&amp;ROUND(_xlfn.XLOOKUP($A491&amp;$B491&amp;$C491,盘货信息!$A:$A&amp;盘货信息!$B:$B&amp;盘货信息!$C:$C,盘货信息!$E:$E),0)&amp;"元】","【焕新补贴预估价"&amp;ROUND(_xlfn.XLOOKUP($A491&amp;$B491&amp;$C491,盘货信息!$A:$A&amp;盘货信息!$B:$B&amp;盘货信息!$C:$C,盘货信息!$E:$E),0)&amp;"元】")))</f>
        <v/>
      </c>
      <c r="F491" s="27" t="str" cm="1">
        <f t="array" ref="F491">IF($C491="","",_xlfn.XLOOKUP($A491&amp;$B491&amp;$C491,盘货信息!$A:$A&amp;盘货信息!$B:$B&amp;盘货信息!$C:$C,盘货信息!$D:$D)&amp;"元到手价")</f>
        <v/>
      </c>
      <c r="G491" s="27" t="str" cm="1">
        <f t="array" ref="G491">IF($C491="","",IF(_xlfn.XLOOKUP($A491&amp;$B491&amp;$C491,盘货信息!$A:$A&amp;盘货信息!$B:$B&amp;盘货信息!$C:$C,盘货信息!$G:$G)&lt;1,"",ROUND(_xlfn.XLOOKUP($A491&amp;$B491&amp;$C491,盘货信息!$A:$A&amp;盘货信息!$B:$B&amp;盘货信息!$C:$C,盘货信息!$G:$G),0)&amp;"元88VIP立减"))</f>
        <v/>
      </c>
      <c r="H491" s="27" t="str" cm="1">
        <f t="array" ref="H491">IF($C491="","",IF(_xlfn.XLOOKUP($A491&amp;$B491&amp;$C491,盘货信息!$A:$A&amp;盘货信息!$B:$B&amp;盘货信息!$C:$C,盘货信息!$I:$I)&lt;1,"",_xlfn.XLOOKUP($A491&amp;$B491&amp;$C491,盘货信息!$A:$A&amp;盘货信息!$B:$B&amp;盘货信息!$C:$C,盘货信息!$I:$I)&amp;"元惊喜立减"))</f>
        <v/>
      </c>
      <c r="I491" s="27" t="str" cm="1">
        <f t="array" ref="I491">IF($C491="","",IF(_xlfn.XLOOKUP($A491&amp;$B491&amp;$C491,盘货信息!$A:$A&amp;盘货信息!$B:$B&amp;盘货信息!$C:$C,盘货信息!$H:$H)&lt;1,"",ROUND(_xlfn.XLOOKUP($A491&amp;$B491&amp;$C491,盘货信息!$A:$A&amp;盘货信息!$B:$B&amp;盘货信息!$C:$C,盘货信息!$H:$H),0)&amp;"元消费券"))</f>
        <v/>
      </c>
      <c r="J491" s="27" t="str" cm="1">
        <f t="array" ref="J491">IF($C491="","",IF(_xlfn.XLOOKUP($A491&amp;$B491&amp;$C491,盘货信息!$A:$A&amp;盘货信息!$B:$B&amp;盘货信息!$C:$C,盘货信息!$J:$J)&lt;1,"",ROUND(_xlfn.XLOOKUP($A491&amp;$B491&amp;$C491,盘货信息!$A:$A&amp;盘货信息!$B:$B&amp;盘货信息!$C:$C,盘货信息!$J:$J),0)&amp;"元限时补贴"))</f>
        <v/>
      </c>
      <c r="K491" s="27" t="str" cm="1">
        <f t="array" ref="K491">IF($C491="","",IF(_xlfn.XLOOKUP($A491&amp;$B491&amp;$C491,盘货信息!$A:$A&amp;盘货信息!$B:$B&amp;盘货信息!$C:$C,盘货信息!$K:$K)&lt;1,"",ROUND(_xlfn.XLOOKUP($A491&amp;$B491&amp;$C491,盘货信息!$A:$A&amp;盘货信息!$B:$B&amp;盘货信息!$C:$C,盘货信息!$K:$K),0)&amp;"元预估焕新补贴"))</f>
        <v/>
      </c>
      <c r="L491" s="27" t="str" cm="1">
        <f t="array" ref="L491">IF($C491="","",IF(AND(_xlfn.XLOOKUP($A491&amp;$B491&amp;$C491,盘货信息!$A:$A&amp;盘货信息!$B:$B&amp;盘货信息!$C:$C,盘货信息!$L:$L)="是",_xlfn.XLOOKUP($A491&amp;$B491&amp;$C491,盘货信息!$A:$A&amp;盘货信息!$B:$B&amp;盘货信息!$C:$C,盘货信息!$M:$M)="是",_xlfn.XLOOKUP($A491&amp;$B491&amp;$C491,盘货信息!$A:$A&amp;盘货信息!$B:$B&amp;盘货信息!$C:$C,盘货信息!$K:$K)&gt;0),"【全民可用，不限地址】",IF(AND(OR(_xlfn.XLOOKUP($A491&amp;$B491&amp;$C491,盘货信息!$A:$A&amp;盘货信息!$B:$B&amp;盘货信息!$C:$C,盘货信息!$L:$L)="否",_xlfn.XLOOKUP($A491&amp;$B491&amp;$C491,盘货信息!$A:$A&amp;盘货信息!$B:$B&amp;盘货信息!$C:$C,盘货信息!$L:$L)=""),_xlfn.XLOOKUP($A491&amp;$B491&amp;$C491,盘货信息!$A:$A&amp;盘货信息!$B:$B&amp;盘货信息!$C:$C,盘货信息!$M:$M)="是",_xlfn.XLOOKUP($A491&amp;$B491&amp;$C491,盘货信息!$A:$A&amp;盘货信息!$B:$B&amp;盘货信息!$C:$C,盘货信息!$K:$K)&gt;0),"【详情页领取】","")))</f>
        <v/>
      </c>
      <c r="M491" s="27" t="str" cm="1">
        <f t="array" ref="M491">IF($C491="","",IF(_xlfn.XLOOKUP($A491&amp;$B491&amp;$C491,盘货信息!$A:$A&amp;盘货信息!$B:$B&amp;盘货信息!$C:$C,盘货信息!$F:$F)&lt;1,"",_xlfn.XLOOKUP($A491&amp;$B491&amp;$C491,盘货信息!$A:$A&amp;盘货信息!$B:$B&amp;盘货信息!$C:$C,盘货信息!$F:$F)&amp;"元明卷"))</f>
        <v/>
      </c>
      <c r="N491" s="27" t="str">
        <f t="shared" si="15"/>
        <v/>
      </c>
      <c r="O491" s="27" t="str">
        <f>IF(I491="","","【消费券链接】"&amp;固定信息!$B$6)</f>
        <v/>
      </c>
    </row>
    <row r="492" customHeight="1" spans="1:15">
      <c r="A492" s="23" t="str">
        <f>IF(盘货信息!A492="","",盘货信息!A492)</f>
        <v/>
      </c>
      <c r="B492" s="26" t="str">
        <f>IF(盘货信息!B492="","",盘货信息!B492)</f>
        <v/>
      </c>
      <c r="C492" s="23" t="str">
        <f>IF(盘货信息!C492="","",盘货信息!C492)</f>
        <v/>
      </c>
      <c r="D492" s="27" t="str">
        <f t="shared" si="14"/>
        <v/>
      </c>
      <c r="E492" s="27" t="str" cm="1">
        <f t="array" ref="E492">IF($C492="","",IF(AND(OR(_xlfn.XLOOKUP($A492&amp;$B492&amp;$C492,盘货信息!$A:$A&amp;盘货信息!$B:$B&amp;盘货信息!$C:$C,盘货信息!$L:$L)="否",_xlfn.XLOOKUP($A492&amp;$B492&amp;$C492,盘货信息!$A:$A&amp;盘货信息!$B:$B&amp;盘货信息!$C:$C,盘货信息!$L:$L)=""),_xlfn.XLOOKUP($A492&amp;$B492&amp;$C492,盘货信息!$A:$A&amp;盘货信息!$B:$B&amp;盘货信息!$C:$C,盘货信息!$M:$M)="否"),"【预估到手价"&amp;_xlfn.XLOOKUP($A492&amp;$B492&amp;$C492,盘货信息!$A:$A&amp;盘货信息!$B:$B&amp;盘货信息!$C:$C,盘货信息!$D:$D)&amp;"元】",IF(AND(_xlfn.XLOOKUP($A492&amp;$B492&amp;$C492,盘货信息!$A:$A&amp;盘货信息!$B:$B&amp;盘货信息!$C:$C,盘货信息!$M:$M)="是",OR(_xlfn.XLOOKUP($A492&amp;$B492&amp;$C492,盘货信息!$A:$A&amp;盘货信息!$B:$B&amp;盘货信息!$C:$C,盘货信息!$L:$L)="否",_xlfn.XLOOKUP($A492&amp;$B492&amp;$C492,盘货信息!$A:$A&amp;盘货信息!$B:$B&amp;盘货信息!$C:$C,盘货信息!$L:$L)="")),"【预估到手价"&amp;_xlfn.XLOOKUP($A492&amp;$B492&amp;$C492,盘货信息!$A:$A&amp;盘货信息!$B:$B&amp;盘货信息!$C:$C,盘货信息!$D:$D)&amp;"元】"&amp;CHAR(10)&amp;"【焕新补贴预估价"&amp;ROUND(_xlfn.XLOOKUP($A492&amp;$B492&amp;$C492,盘货信息!$A:$A&amp;盘货信息!$B:$B&amp;盘货信息!$C:$C,盘货信息!$E:$E),0)&amp;"元】","【焕新补贴预估价"&amp;ROUND(_xlfn.XLOOKUP($A492&amp;$B492&amp;$C492,盘货信息!$A:$A&amp;盘货信息!$B:$B&amp;盘货信息!$C:$C,盘货信息!$E:$E),0)&amp;"元】")))</f>
        <v/>
      </c>
      <c r="F492" s="27" t="str" cm="1">
        <f t="array" ref="F492">IF($C492="","",_xlfn.XLOOKUP($A492&amp;$B492&amp;$C492,盘货信息!$A:$A&amp;盘货信息!$B:$B&amp;盘货信息!$C:$C,盘货信息!$D:$D)&amp;"元到手价")</f>
        <v/>
      </c>
      <c r="G492" s="27" t="str" cm="1">
        <f t="array" ref="G492">IF($C492="","",IF(_xlfn.XLOOKUP($A492&amp;$B492&amp;$C492,盘货信息!$A:$A&amp;盘货信息!$B:$B&amp;盘货信息!$C:$C,盘货信息!$G:$G)&lt;1,"",ROUND(_xlfn.XLOOKUP($A492&amp;$B492&amp;$C492,盘货信息!$A:$A&amp;盘货信息!$B:$B&amp;盘货信息!$C:$C,盘货信息!$G:$G),0)&amp;"元88VIP立减"))</f>
        <v/>
      </c>
      <c r="H492" s="27" t="str" cm="1">
        <f t="array" ref="H492">IF($C492="","",IF(_xlfn.XLOOKUP($A492&amp;$B492&amp;$C492,盘货信息!$A:$A&amp;盘货信息!$B:$B&amp;盘货信息!$C:$C,盘货信息!$I:$I)&lt;1,"",_xlfn.XLOOKUP($A492&amp;$B492&amp;$C492,盘货信息!$A:$A&amp;盘货信息!$B:$B&amp;盘货信息!$C:$C,盘货信息!$I:$I)&amp;"元惊喜立减"))</f>
        <v/>
      </c>
      <c r="I492" s="27" t="str" cm="1">
        <f t="array" ref="I492">IF($C492="","",IF(_xlfn.XLOOKUP($A492&amp;$B492&amp;$C492,盘货信息!$A:$A&amp;盘货信息!$B:$B&amp;盘货信息!$C:$C,盘货信息!$H:$H)&lt;1,"",ROUND(_xlfn.XLOOKUP($A492&amp;$B492&amp;$C492,盘货信息!$A:$A&amp;盘货信息!$B:$B&amp;盘货信息!$C:$C,盘货信息!$H:$H),0)&amp;"元消费券"))</f>
        <v/>
      </c>
      <c r="J492" s="27" t="str" cm="1">
        <f t="array" ref="J492">IF($C492="","",IF(_xlfn.XLOOKUP($A492&amp;$B492&amp;$C492,盘货信息!$A:$A&amp;盘货信息!$B:$B&amp;盘货信息!$C:$C,盘货信息!$J:$J)&lt;1,"",ROUND(_xlfn.XLOOKUP($A492&amp;$B492&amp;$C492,盘货信息!$A:$A&amp;盘货信息!$B:$B&amp;盘货信息!$C:$C,盘货信息!$J:$J),0)&amp;"元限时补贴"))</f>
        <v/>
      </c>
      <c r="K492" s="27" t="str" cm="1">
        <f t="array" ref="K492">IF($C492="","",IF(_xlfn.XLOOKUP($A492&amp;$B492&amp;$C492,盘货信息!$A:$A&amp;盘货信息!$B:$B&amp;盘货信息!$C:$C,盘货信息!$K:$K)&lt;1,"",ROUND(_xlfn.XLOOKUP($A492&amp;$B492&amp;$C492,盘货信息!$A:$A&amp;盘货信息!$B:$B&amp;盘货信息!$C:$C,盘货信息!$K:$K),0)&amp;"元预估焕新补贴"))</f>
        <v/>
      </c>
      <c r="L492" s="27" t="str" cm="1">
        <f t="array" ref="L492">IF($C492="","",IF(AND(_xlfn.XLOOKUP($A492&amp;$B492&amp;$C492,盘货信息!$A:$A&amp;盘货信息!$B:$B&amp;盘货信息!$C:$C,盘货信息!$L:$L)="是",_xlfn.XLOOKUP($A492&amp;$B492&amp;$C492,盘货信息!$A:$A&amp;盘货信息!$B:$B&amp;盘货信息!$C:$C,盘货信息!$M:$M)="是",_xlfn.XLOOKUP($A492&amp;$B492&amp;$C492,盘货信息!$A:$A&amp;盘货信息!$B:$B&amp;盘货信息!$C:$C,盘货信息!$K:$K)&gt;0),"【全民可用，不限地址】",IF(AND(OR(_xlfn.XLOOKUP($A492&amp;$B492&amp;$C492,盘货信息!$A:$A&amp;盘货信息!$B:$B&amp;盘货信息!$C:$C,盘货信息!$L:$L)="否",_xlfn.XLOOKUP($A492&amp;$B492&amp;$C492,盘货信息!$A:$A&amp;盘货信息!$B:$B&amp;盘货信息!$C:$C,盘货信息!$L:$L)=""),_xlfn.XLOOKUP($A492&amp;$B492&amp;$C492,盘货信息!$A:$A&amp;盘货信息!$B:$B&amp;盘货信息!$C:$C,盘货信息!$M:$M)="是",_xlfn.XLOOKUP($A492&amp;$B492&amp;$C492,盘货信息!$A:$A&amp;盘货信息!$B:$B&amp;盘货信息!$C:$C,盘货信息!$K:$K)&gt;0),"【详情页领取】","")))</f>
        <v/>
      </c>
      <c r="M492" s="27" t="str" cm="1">
        <f t="array" ref="M492">IF($C492="","",IF(_xlfn.XLOOKUP($A492&amp;$B492&amp;$C492,盘货信息!$A:$A&amp;盘货信息!$B:$B&amp;盘货信息!$C:$C,盘货信息!$F:$F)&lt;1,"",_xlfn.XLOOKUP($A492&amp;$B492&amp;$C492,盘货信息!$A:$A&amp;盘货信息!$B:$B&amp;盘货信息!$C:$C,盘货信息!$F:$F)&amp;"元明卷"))</f>
        <v/>
      </c>
      <c r="N492" s="27" t="str">
        <f t="shared" si="15"/>
        <v/>
      </c>
      <c r="O492" s="27" t="str">
        <f>IF(I492="","","【消费券链接】"&amp;固定信息!$B$6)</f>
        <v/>
      </c>
    </row>
    <row r="493" customHeight="1" spans="1:15">
      <c r="A493" s="23" t="str">
        <f>IF(盘货信息!A493="","",盘货信息!A493)</f>
        <v/>
      </c>
      <c r="B493" s="26" t="str">
        <f>IF(盘货信息!B493="","",盘货信息!B493)</f>
        <v/>
      </c>
      <c r="C493" s="23" t="str">
        <f>IF(盘货信息!C493="","",盘货信息!C493)</f>
        <v/>
      </c>
      <c r="D493" s="27" t="str">
        <f t="shared" si="14"/>
        <v/>
      </c>
      <c r="E493" s="27" t="str" cm="1">
        <f t="array" ref="E493">IF($C493="","",IF(AND(OR(_xlfn.XLOOKUP($A493&amp;$B493&amp;$C493,盘货信息!$A:$A&amp;盘货信息!$B:$B&amp;盘货信息!$C:$C,盘货信息!$L:$L)="否",_xlfn.XLOOKUP($A493&amp;$B493&amp;$C493,盘货信息!$A:$A&amp;盘货信息!$B:$B&amp;盘货信息!$C:$C,盘货信息!$L:$L)=""),_xlfn.XLOOKUP($A493&amp;$B493&amp;$C493,盘货信息!$A:$A&amp;盘货信息!$B:$B&amp;盘货信息!$C:$C,盘货信息!$M:$M)="否"),"【预估到手价"&amp;_xlfn.XLOOKUP($A493&amp;$B493&amp;$C493,盘货信息!$A:$A&amp;盘货信息!$B:$B&amp;盘货信息!$C:$C,盘货信息!$D:$D)&amp;"元】",IF(AND(_xlfn.XLOOKUP($A493&amp;$B493&amp;$C493,盘货信息!$A:$A&amp;盘货信息!$B:$B&amp;盘货信息!$C:$C,盘货信息!$M:$M)="是",OR(_xlfn.XLOOKUP($A493&amp;$B493&amp;$C493,盘货信息!$A:$A&amp;盘货信息!$B:$B&amp;盘货信息!$C:$C,盘货信息!$L:$L)="否",_xlfn.XLOOKUP($A493&amp;$B493&amp;$C493,盘货信息!$A:$A&amp;盘货信息!$B:$B&amp;盘货信息!$C:$C,盘货信息!$L:$L)="")),"【预估到手价"&amp;_xlfn.XLOOKUP($A493&amp;$B493&amp;$C493,盘货信息!$A:$A&amp;盘货信息!$B:$B&amp;盘货信息!$C:$C,盘货信息!$D:$D)&amp;"元】"&amp;CHAR(10)&amp;"【焕新补贴预估价"&amp;ROUND(_xlfn.XLOOKUP($A493&amp;$B493&amp;$C493,盘货信息!$A:$A&amp;盘货信息!$B:$B&amp;盘货信息!$C:$C,盘货信息!$E:$E),0)&amp;"元】","【焕新补贴预估价"&amp;ROUND(_xlfn.XLOOKUP($A493&amp;$B493&amp;$C493,盘货信息!$A:$A&amp;盘货信息!$B:$B&amp;盘货信息!$C:$C,盘货信息!$E:$E),0)&amp;"元】")))</f>
        <v/>
      </c>
      <c r="F493" s="27" t="str" cm="1">
        <f t="array" ref="F493">IF($C493="","",_xlfn.XLOOKUP($A493&amp;$B493&amp;$C493,盘货信息!$A:$A&amp;盘货信息!$B:$B&amp;盘货信息!$C:$C,盘货信息!$D:$D)&amp;"元到手价")</f>
        <v/>
      </c>
      <c r="G493" s="27" t="str" cm="1">
        <f t="array" ref="G493">IF($C493="","",IF(_xlfn.XLOOKUP($A493&amp;$B493&amp;$C493,盘货信息!$A:$A&amp;盘货信息!$B:$B&amp;盘货信息!$C:$C,盘货信息!$G:$G)&lt;1,"",ROUND(_xlfn.XLOOKUP($A493&amp;$B493&amp;$C493,盘货信息!$A:$A&amp;盘货信息!$B:$B&amp;盘货信息!$C:$C,盘货信息!$G:$G),0)&amp;"元88VIP立减"))</f>
        <v/>
      </c>
      <c r="H493" s="27" t="str" cm="1">
        <f t="array" ref="H493">IF($C493="","",IF(_xlfn.XLOOKUP($A493&amp;$B493&amp;$C493,盘货信息!$A:$A&amp;盘货信息!$B:$B&amp;盘货信息!$C:$C,盘货信息!$I:$I)&lt;1,"",_xlfn.XLOOKUP($A493&amp;$B493&amp;$C493,盘货信息!$A:$A&amp;盘货信息!$B:$B&amp;盘货信息!$C:$C,盘货信息!$I:$I)&amp;"元惊喜立减"))</f>
        <v/>
      </c>
      <c r="I493" s="27" t="str" cm="1">
        <f t="array" ref="I493">IF($C493="","",IF(_xlfn.XLOOKUP($A493&amp;$B493&amp;$C493,盘货信息!$A:$A&amp;盘货信息!$B:$B&amp;盘货信息!$C:$C,盘货信息!$H:$H)&lt;1,"",ROUND(_xlfn.XLOOKUP($A493&amp;$B493&amp;$C493,盘货信息!$A:$A&amp;盘货信息!$B:$B&amp;盘货信息!$C:$C,盘货信息!$H:$H),0)&amp;"元消费券"))</f>
        <v/>
      </c>
      <c r="J493" s="27" t="str" cm="1">
        <f t="array" ref="J493">IF($C493="","",IF(_xlfn.XLOOKUP($A493&amp;$B493&amp;$C493,盘货信息!$A:$A&amp;盘货信息!$B:$B&amp;盘货信息!$C:$C,盘货信息!$J:$J)&lt;1,"",ROUND(_xlfn.XLOOKUP($A493&amp;$B493&amp;$C493,盘货信息!$A:$A&amp;盘货信息!$B:$B&amp;盘货信息!$C:$C,盘货信息!$J:$J),0)&amp;"元限时补贴"))</f>
        <v/>
      </c>
      <c r="K493" s="27" t="str" cm="1">
        <f t="array" ref="K493">IF($C493="","",IF(_xlfn.XLOOKUP($A493&amp;$B493&amp;$C493,盘货信息!$A:$A&amp;盘货信息!$B:$B&amp;盘货信息!$C:$C,盘货信息!$K:$K)&lt;1,"",ROUND(_xlfn.XLOOKUP($A493&amp;$B493&amp;$C493,盘货信息!$A:$A&amp;盘货信息!$B:$B&amp;盘货信息!$C:$C,盘货信息!$K:$K),0)&amp;"元预估焕新补贴"))</f>
        <v/>
      </c>
      <c r="L493" s="27" t="str" cm="1">
        <f t="array" ref="L493">IF($C493="","",IF(AND(_xlfn.XLOOKUP($A493&amp;$B493&amp;$C493,盘货信息!$A:$A&amp;盘货信息!$B:$B&amp;盘货信息!$C:$C,盘货信息!$L:$L)="是",_xlfn.XLOOKUP($A493&amp;$B493&amp;$C493,盘货信息!$A:$A&amp;盘货信息!$B:$B&amp;盘货信息!$C:$C,盘货信息!$M:$M)="是",_xlfn.XLOOKUP($A493&amp;$B493&amp;$C493,盘货信息!$A:$A&amp;盘货信息!$B:$B&amp;盘货信息!$C:$C,盘货信息!$K:$K)&gt;0),"【全民可用，不限地址】",IF(AND(OR(_xlfn.XLOOKUP($A493&amp;$B493&amp;$C493,盘货信息!$A:$A&amp;盘货信息!$B:$B&amp;盘货信息!$C:$C,盘货信息!$L:$L)="否",_xlfn.XLOOKUP($A493&amp;$B493&amp;$C493,盘货信息!$A:$A&amp;盘货信息!$B:$B&amp;盘货信息!$C:$C,盘货信息!$L:$L)=""),_xlfn.XLOOKUP($A493&amp;$B493&amp;$C493,盘货信息!$A:$A&amp;盘货信息!$B:$B&amp;盘货信息!$C:$C,盘货信息!$M:$M)="是",_xlfn.XLOOKUP($A493&amp;$B493&amp;$C493,盘货信息!$A:$A&amp;盘货信息!$B:$B&amp;盘货信息!$C:$C,盘货信息!$K:$K)&gt;0),"【详情页领取】","")))</f>
        <v/>
      </c>
      <c r="M493" s="27" t="str" cm="1">
        <f t="array" ref="M493">IF($C493="","",IF(_xlfn.XLOOKUP($A493&amp;$B493&amp;$C493,盘货信息!$A:$A&amp;盘货信息!$B:$B&amp;盘货信息!$C:$C,盘货信息!$F:$F)&lt;1,"",_xlfn.XLOOKUP($A493&amp;$B493&amp;$C493,盘货信息!$A:$A&amp;盘货信息!$B:$B&amp;盘货信息!$C:$C,盘货信息!$F:$F)&amp;"元明卷"))</f>
        <v/>
      </c>
      <c r="N493" s="27" t="str">
        <f t="shared" si="15"/>
        <v/>
      </c>
      <c r="O493" s="27" t="str">
        <f>IF(I493="","","【消费券链接】"&amp;固定信息!$B$6)</f>
        <v/>
      </c>
    </row>
    <row r="494" customHeight="1" spans="1:15">
      <c r="A494" s="23" t="str">
        <f>IF(盘货信息!A494="","",盘货信息!A494)</f>
        <v/>
      </c>
      <c r="B494" s="26" t="str">
        <f>IF(盘货信息!B494="","",盘货信息!B494)</f>
        <v/>
      </c>
      <c r="C494" s="23" t="str">
        <f>IF(盘货信息!C494="","",盘货信息!C494)</f>
        <v/>
      </c>
      <c r="D494" s="27" t="str">
        <f t="shared" si="14"/>
        <v/>
      </c>
      <c r="E494" s="27" t="str" cm="1">
        <f t="array" ref="E494">IF($C494="","",IF(AND(OR(_xlfn.XLOOKUP($A494&amp;$B494&amp;$C494,盘货信息!$A:$A&amp;盘货信息!$B:$B&amp;盘货信息!$C:$C,盘货信息!$L:$L)="否",_xlfn.XLOOKUP($A494&amp;$B494&amp;$C494,盘货信息!$A:$A&amp;盘货信息!$B:$B&amp;盘货信息!$C:$C,盘货信息!$L:$L)=""),_xlfn.XLOOKUP($A494&amp;$B494&amp;$C494,盘货信息!$A:$A&amp;盘货信息!$B:$B&amp;盘货信息!$C:$C,盘货信息!$M:$M)="否"),"【预估到手价"&amp;_xlfn.XLOOKUP($A494&amp;$B494&amp;$C494,盘货信息!$A:$A&amp;盘货信息!$B:$B&amp;盘货信息!$C:$C,盘货信息!$D:$D)&amp;"元】",IF(AND(_xlfn.XLOOKUP($A494&amp;$B494&amp;$C494,盘货信息!$A:$A&amp;盘货信息!$B:$B&amp;盘货信息!$C:$C,盘货信息!$M:$M)="是",OR(_xlfn.XLOOKUP($A494&amp;$B494&amp;$C494,盘货信息!$A:$A&amp;盘货信息!$B:$B&amp;盘货信息!$C:$C,盘货信息!$L:$L)="否",_xlfn.XLOOKUP($A494&amp;$B494&amp;$C494,盘货信息!$A:$A&amp;盘货信息!$B:$B&amp;盘货信息!$C:$C,盘货信息!$L:$L)="")),"【预估到手价"&amp;_xlfn.XLOOKUP($A494&amp;$B494&amp;$C494,盘货信息!$A:$A&amp;盘货信息!$B:$B&amp;盘货信息!$C:$C,盘货信息!$D:$D)&amp;"元】"&amp;CHAR(10)&amp;"【焕新补贴预估价"&amp;ROUND(_xlfn.XLOOKUP($A494&amp;$B494&amp;$C494,盘货信息!$A:$A&amp;盘货信息!$B:$B&amp;盘货信息!$C:$C,盘货信息!$E:$E),0)&amp;"元】","【焕新补贴预估价"&amp;ROUND(_xlfn.XLOOKUP($A494&amp;$B494&amp;$C494,盘货信息!$A:$A&amp;盘货信息!$B:$B&amp;盘货信息!$C:$C,盘货信息!$E:$E),0)&amp;"元】")))</f>
        <v/>
      </c>
      <c r="F494" s="27" t="str" cm="1">
        <f t="array" ref="F494">IF($C494="","",_xlfn.XLOOKUP($A494&amp;$B494&amp;$C494,盘货信息!$A:$A&amp;盘货信息!$B:$B&amp;盘货信息!$C:$C,盘货信息!$D:$D)&amp;"元到手价")</f>
        <v/>
      </c>
      <c r="G494" s="27" t="str" cm="1">
        <f t="array" ref="G494">IF($C494="","",IF(_xlfn.XLOOKUP($A494&amp;$B494&amp;$C494,盘货信息!$A:$A&amp;盘货信息!$B:$B&amp;盘货信息!$C:$C,盘货信息!$G:$G)&lt;1,"",ROUND(_xlfn.XLOOKUP($A494&amp;$B494&amp;$C494,盘货信息!$A:$A&amp;盘货信息!$B:$B&amp;盘货信息!$C:$C,盘货信息!$G:$G),0)&amp;"元88VIP立减"))</f>
        <v/>
      </c>
      <c r="H494" s="27" t="str" cm="1">
        <f t="array" ref="H494">IF($C494="","",IF(_xlfn.XLOOKUP($A494&amp;$B494&amp;$C494,盘货信息!$A:$A&amp;盘货信息!$B:$B&amp;盘货信息!$C:$C,盘货信息!$I:$I)&lt;1,"",_xlfn.XLOOKUP($A494&amp;$B494&amp;$C494,盘货信息!$A:$A&amp;盘货信息!$B:$B&amp;盘货信息!$C:$C,盘货信息!$I:$I)&amp;"元惊喜立减"))</f>
        <v/>
      </c>
      <c r="I494" s="27" t="str" cm="1">
        <f t="array" ref="I494">IF($C494="","",IF(_xlfn.XLOOKUP($A494&amp;$B494&amp;$C494,盘货信息!$A:$A&amp;盘货信息!$B:$B&amp;盘货信息!$C:$C,盘货信息!$H:$H)&lt;1,"",ROUND(_xlfn.XLOOKUP($A494&amp;$B494&amp;$C494,盘货信息!$A:$A&amp;盘货信息!$B:$B&amp;盘货信息!$C:$C,盘货信息!$H:$H),0)&amp;"元消费券"))</f>
        <v/>
      </c>
      <c r="J494" s="27" t="str" cm="1">
        <f t="array" ref="J494">IF($C494="","",IF(_xlfn.XLOOKUP($A494&amp;$B494&amp;$C494,盘货信息!$A:$A&amp;盘货信息!$B:$B&amp;盘货信息!$C:$C,盘货信息!$J:$J)&lt;1,"",ROUND(_xlfn.XLOOKUP($A494&amp;$B494&amp;$C494,盘货信息!$A:$A&amp;盘货信息!$B:$B&amp;盘货信息!$C:$C,盘货信息!$J:$J),0)&amp;"元限时补贴"))</f>
        <v/>
      </c>
      <c r="K494" s="27" t="str" cm="1">
        <f t="array" ref="K494">IF($C494="","",IF(_xlfn.XLOOKUP($A494&amp;$B494&amp;$C494,盘货信息!$A:$A&amp;盘货信息!$B:$B&amp;盘货信息!$C:$C,盘货信息!$K:$K)&lt;1,"",ROUND(_xlfn.XLOOKUP($A494&amp;$B494&amp;$C494,盘货信息!$A:$A&amp;盘货信息!$B:$B&amp;盘货信息!$C:$C,盘货信息!$K:$K),0)&amp;"元预估焕新补贴"))</f>
        <v/>
      </c>
      <c r="L494" s="27" t="str" cm="1">
        <f t="array" ref="L494">IF($C494="","",IF(AND(_xlfn.XLOOKUP($A494&amp;$B494&amp;$C494,盘货信息!$A:$A&amp;盘货信息!$B:$B&amp;盘货信息!$C:$C,盘货信息!$L:$L)="是",_xlfn.XLOOKUP($A494&amp;$B494&amp;$C494,盘货信息!$A:$A&amp;盘货信息!$B:$B&amp;盘货信息!$C:$C,盘货信息!$M:$M)="是",_xlfn.XLOOKUP($A494&amp;$B494&amp;$C494,盘货信息!$A:$A&amp;盘货信息!$B:$B&amp;盘货信息!$C:$C,盘货信息!$K:$K)&gt;0),"【全民可用，不限地址】",IF(AND(OR(_xlfn.XLOOKUP($A494&amp;$B494&amp;$C494,盘货信息!$A:$A&amp;盘货信息!$B:$B&amp;盘货信息!$C:$C,盘货信息!$L:$L)="否",_xlfn.XLOOKUP($A494&amp;$B494&amp;$C494,盘货信息!$A:$A&amp;盘货信息!$B:$B&amp;盘货信息!$C:$C,盘货信息!$L:$L)=""),_xlfn.XLOOKUP($A494&amp;$B494&amp;$C494,盘货信息!$A:$A&amp;盘货信息!$B:$B&amp;盘货信息!$C:$C,盘货信息!$M:$M)="是",_xlfn.XLOOKUP($A494&amp;$B494&amp;$C494,盘货信息!$A:$A&amp;盘货信息!$B:$B&amp;盘货信息!$C:$C,盘货信息!$K:$K)&gt;0),"【详情页领取】","")))</f>
        <v/>
      </c>
      <c r="M494" s="27" t="str" cm="1">
        <f t="array" ref="M494">IF($C494="","",IF(_xlfn.XLOOKUP($A494&amp;$B494&amp;$C494,盘货信息!$A:$A&amp;盘货信息!$B:$B&amp;盘货信息!$C:$C,盘货信息!$F:$F)&lt;1,"",_xlfn.XLOOKUP($A494&amp;$B494&amp;$C494,盘货信息!$A:$A&amp;盘货信息!$B:$B&amp;盘货信息!$C:$C,盘货信息!$F:$F)&amp;"元明卷"))</f>
        <v/>
      </c>
      <c r="N494" s="27" t="str">
        <f t="shared" si="15"/>
        <v/>
      </c>
      <c r="O494" s="27" t="str">
        <f>IF(I494="","","【消费券链接】"&amp;固定信息!$B$6)</f>
        <v/>
      </c>
    </row>
    <row r="495" customHeight="1" spans="1:15">
      <c r="A495" s="23" t="str">
        <f>IF(盘货信息!A495="","",盘货信息!A495)</f>
        <v/>
      </c>
      <c r="B495" s="26" t="str">
        <f>IF(盘货信息!B495="","",盘货信息!B495)</f>
        <v/>
      </c>
      <c r="C495" s="23" t="str">
        <f>IF(盘货信息!C495="","",盘货信息!C495)</f>
        <v/>
      </c>
      <c r="D495" s="27" t="str">
        <f t="shared" si="14"/>
        <v/>
      </c>
      <c r="E495" s="27" t="str" cm="1">
        <f t="array" ref="E495">IF($C495="","",IF(AND(OR(_xlfn.XLOOKUP($A495&amp;$B495&amp;$C495,盘货信息!$A:$A&amp;盘货信息!$B:$B&amp;盘货信息!$C:$C,盘货信息!$L:$L)="否",_xlfn.XLOOKUP($A495&amp;$B495&amp;$C495,盘货信息!$A:$A&amp;盘货信息!$B:$B&amp;盘货信息!$C:$C,盘货信息!$L:$L)=""),_xlfn.XLOOKUP($A495&amp;$B495&amp;$C495,盘货信息!$A:$A&amp;盘货信息!$B:$B&amp;盘货信息!$C:$C,盘货信息!$M:$M)="否"),"【预估到手价"&amp;_xlfn.XLOOKUP($A495&amp;$B495&amp;$C495,盘货信息!$A:$A&amp;盘货信息!$B:$B&amp;盘货信息!$C:$C,盘货信息!$D:$D)&amp;"元】",IF(AND(_xlfn.XLOOKUP($A495&amp;$B495&amp;$C495,盘货信息!$A:$A&amp;盘货信息!$B:$B&amp;盘货信息!$C:$C,盘货信息!$M:$M)="是",OR(_xlfn.XLOOKUP($A495&amp;$B495&amp;$C495,盘货信息!$A:$A&amp;盘货信息!$B:$B&amp;盘货信息!$C:$C,盘货信息!$L:$L)="否",_xlfn.XLOOKUP($A495&amp;$B495&amp;$C495,盘货信息!$A:$A&amp;盘货信息!$B:$B&amp;盘货信息!$C:$C,盘货信息!$L:$L)="")),"【预估到手价"&amp;_xlfn.XLOOKUP($A495&amp;$B495&amp;$C495,盘货信息!$A:$A&amp;盘货信息!$B:$B&amp;盘货信息!$C:$C,盘货信息!$D:$D)&amp;"元】"&amp;CHAR(10)&amp;"【焕新补贴预估价"&amp;ROUND(_xlfn.XLOOKUP($A495&amp;$B495&amp;$C495,盘货信息!$A:$A&amp;盘货信息!$B:$B&amp;盘货信息!$C:$C,盘货信息!$E:$E),0)&amp;"元】","【焕新补贴预估价"&amp;ROUND(_xlfn.XLOOKUP($A495&amp;$B495&amp;$C495,盘货信息!$A:$A&amp;盘货信息!$B:$B&amp;盘货信息!$C:$C,盘货信息!$E:$E),0)&amp;"元】")))</f>
        <v/>
      </c>
      <c r="F495" s="27" t="str" cm="1">
        <f t="array" ref="F495">IF($C495="","",_xlfn.XLOOKUP($A495&amp;$B495&amp;$C495,盘货信息!$A:$A&amp;盘货信息!$B:$B&amp;盘货信息!$C:$C,盘货信息!$D:$D)&amp;"元到手价")</f>
        <v/>
      </c>
      <c r="G495" s="27" t="str" cm="1">
        <f t="array" ref="G495">IF($C495="","",IF(_xlfn.XLOOKUP($A495&amp;$B495&amp;$C495,盘货信息!$A:$A&amp;盘货信息!$B:$B&amp;盘货信息!$C:$C,盘货信息!$G:$G)&lt;1,"",ROUND(_xlfn.XLOOKUP($A495&amp;$B495&amp;$C495,盘货信息!$A:$A&amp;盘货信息!$B:$B&amp;盘货信息!$C:$C,盘货信息!$G:$G),0)&amp;"元88VIP立减"))</f>
        <v/>
      </c>
      <c r="H495" s="27" t="str" cm="1">
        <f t="array" ref="H495">IF($C495="","",IF(_xlfn.XLOOKUP($A495&amp;$B495&amp;$C495,盘货信息!$A:$A&amp;盘货信息!$B:$B&amp;盘货信息!$C:$C,盘货信息!$I:$I)&lt;1,"",_xlfn.XLOOKUP($A495&amp;$B495&amp;$C495,盘货信息!$A:$A&amp;盘货信息!$B:$B&amp;盘货信息!$C:$C,盘货信息!$I:$I)&amp;"元惊喜立减"))</f>
        <v/>
      </c>
      <c r="I495" s="27" t="str" cm="1">
        <f t="array" ref="I495">IF($C495="","",IF(_xlfn.XLOOKUP($A495&amp;$B495&amp;$C495,盘货信息!$A:$A&amp;盘货信息!$B:$B&amp;盘货信息!$C:$C,盘货信息!$H:$H)&lt;1,"",ROUND(_xlfn.XLOOKUP($A495&amp;$B495&amp;$C495,盘货信息!$A:$A&amp;盘货信息!$B:$B&amp;盘货信息!$C:$C,盘货信息!$H:$H),0)&amp;"元消费券"))</f>
        <v/>
      </c>
      <c r="J495" s="27" t="str" cm="1">
        <f t="array" ref="J495">IF($C495="","",IF(_xlfn.XLOOKUP($A495&amp;$B495&amp;$C495,盘货信息!$A:$A&amp;盘货信息!$B:$B&amp;盘货信息!$C:$C,盘货信息!$J:$J)&lt;1,"",ROUND(_xlfn.XLOOKUP($A495&amp;$B495&amp;$C495,盘货信息!$A:$A&amp;盘货信息!$B:$B&amp;盘货信息!$C:$C,盘货信息!$J:$J),0)&amp;"元限时补贴"))</f>
        <v/>
      </c>
      <c r="K495" s="27" t="str" cm="1">
        <f t="array" ref="K495">IF($C495="","",IF(_xlfn.XLOOKUP($A495&amp;$B495&amp;$C495,盘货信息!$A:$A&amp;盘货信息!$B:$B&amp;盘货信息!$C:$C,盘货信息!$K:$K)&lt;1,"",ROUND(_xlfn.XLOOKUP($A495&amp;$B495&amp;$C495,盘货信息!$A:$A&amp;盘货信息!$B:$B&amp;盘货信息!$C:$C,盘货信息!$K:$K),0)&amp;"元预估焕新补贴"))</f>
        <v/>
      </c>
      <c r="L495" s="27" t="str" cm="1">
        <f t="array" ref="L495">IF($C495="","",IF(AND(_xlfn.XLOOKUP($A495&amp;$B495&amp;$C495,盘货信息!$A:$A&amp;盘货信息!$B:$B&amp;盘货信息!$C:$C,盘货信息!$L:$L)="是",_xlfn.XLOOKUP($A495&amp;$B495&amp;$C495,盘货信息!$A:$A&amp;盘货信息!$B:$B&amp;盘货信息!$C:$C,盘货信息!$M:$M)="是",_xlfn.XLOOKUP($A495&amp;$B495&amp;$C495,盘货信息!$A:$A&amp;盘货信息!$B:$B&amp;盘货信息!$C:$C,盘货信息!$K:$K)&gt;0),"【全民可用，不限地址】",IF(AND(OR(_xlfn.XLOOKUP($A495&amp;$B495&amp;$C495,盘货信息!$A:$A&amp;盘货信息!$B:$B&amp;盘货信息!$C:$C,盘货信息!$L:$L)="否",_xlfn.XLOOKUP($A495&amp;$B495&amp;$C495,盘货信息!$A:$A&amp;盘货信息!$B:$B&amp;盘货信息!$C:$C,盘货信息!$L:$L)=""),_xlfn.XLOOKUP($A495&amp;$B495&amp;$C495,盘货信息!$A:$A&amp;盘货信息!$B:$B&amp;盘货信息!$C:$C,盘货信息!$M:$M)="是",_xlfn.XLOOKUP($A495&amp;$B495&amp;$C495,盘货信息!$A:$A&amp;盘货信息!$B:$B&amp;盘货信息!$C:$C,盘货信息!$K:$K)&gt;0),"【详情页领取】","")))</f>
        <v/>
      </c>
      <c r="M495" s="27" t="str" cm="1">
        <f t="array" ref="M495">IF($C495="","",IF(_xlfn.XLOOKUP($A495&amp;$B495&amp;$C495,盘货信息!$A:$A&amp;盘货信息!$B:$B&amp;盘货信息!$C:$C,盘货信息!$F:$F)&lt;1,"",_xlfn.XLOOKUP($A495&amp;$B495&amp;$C495,盘货信息!$A:$A&amp;盘货信息!$B:$B&amp;盘货信息!$C:$C,盘货信息!$F:$F)&amp;"元明卷"))</f>
        <v/>
      </c>
      <c r="N495" s="27" t="str">
        <f t="shared" si="15"/>
        <v/>
      </c>
      <c r="O495" s="27" t="str">
        <f>IF(I495="","","【消费券链接】"&amp;固定信息!$B$6)</f>
        <v/>
      </c>
    </row>
    <row r="496" customHeight="1" spans="1:15">
      <c r="A496" s="23" t="str">
        <f>IF(盘货信息!A496="","",盘货信息!A496)</f>
        <v/>
      </c>
      <c r="B496" s="26" t="str">
        <f>IF(盘货信息!B496="","",盘货信息!B496)</f>
        <v/>
      </c>
      <c r="C496" s="23" t="str">
        <f>IF(盘货信息!C496="","",盘货信息!C496)</f>
        <v/>
      </c>
      <c r="D496" s="27" t="str">
        <f t="shared" si="14"/>
        <v/>
      </c>
      <c r="E496" s="27" t="str" cm="1">
        <f t="array" ref="E496">IF($C496="","",IF(AND(OR(_xlfn.XLOOKUP($A496&amp;$B496&amp;$C496,盘货信息!$A:$A&amp;盘货信息!$B:$B&amp;盘货信息!$C:$C,盘货信息!$L:$L)="否",_xlfn.XLOOKUP($A496&amp;$B496&amp;$C496,盘货信息!$A:$A&amp;盘货信息!$B:$B&amp;盘货信息!$C:$C,盘货信息!$L:$L)=""),_xlfn.XLOOKUP($A496&amp;$B496&amp;$C496,盘货信息!$A:$A&amp;盘货信息!$B:$B&amp;盘货信息!$C:$C,盘货信息!$M:$M)="否"),"【预估到手价"&amp;_xlfn.XLOOKUP($A496&amp;$B496&amp;$C496,盘货信息!$A:$A&amp;盘货信息!$B:$B&amp;盘货信息!$C:$C,盘货信息!$D:$D)&amp;"元】",IF(AND(_xlfn.XLOOKUP($A496&amp;$B496&amp;$C496,盘货信息!$A:$A&amp;盘货信息!$B:$B&amp;盘货信息!$C:$C,盘货信息!$M:$M)="是",OR(_xlfn.XLOOKUP($A496&amp;$B496&amp;$C496,盘货信息!$A:$A&amp;盘货信息!$B:$B&amp;盘货信息!$C:$C,盘货信息!$L:$L)="否",_xlfn.XLOOKUP($A496&amp;$B496&amp;$C496,盘货信息!$A:$A&amp;盘货信息!$B:$B&amp;盘货信息!$C:$C,盘货信息!$L:$L)="")),"【预估到手价"&amp;_xlfn.XLOOKUP($A496&amp;$B496&amp;$C496,盘货信息!$A:$A&amp;盘货信息!$B:$B&amp;盘货信息!$C:$C,盘货信息!$D:$D)&amp;"元】"&amp;CHAR(10)&amp;"【焕新补贴预估价"&amp;ROUND(_xlfn.XLOOKUP($A496&amp;$B496&amp;$C496,盘货信息!$A:$A&amp;盘货信息!$B:$B&amp;盘货信息!$C:$C,盘货信息!$E:$E),0)&amp;"元】","【焕新补贴预估价"&amp;ROUND(_xlfn.XLOOKUP($A496&amp;$B496&amp;$C496,盘货信息!$A:$A&amp;盘货信息!$B:$B&amp;盘货信息!$C:$C,盘货信息!$E:$E),0)&amp;"元】")))</f>
        <v/>
      </c>
      <c r="F496" s="27" t="str" cm="1">
        <f t="array" ref="F496">IF($C496="","",_xlfn.XLOOKUP($A496&amp;$B496&amp;$C496,盘货信息!$A:$A&amp;盘货信息!$B:$B&amp;盘货信息!$C:$C,盘货信息!$D:$D)&amp;"元到手价")</f>
        <v/>
      </c>
      <c r="G496" s="27" t="str" cm="1">
        <f t="array" ref="G496">IF($C496="","",IF(_xlfn.XLOOKUP($A496&amp;$B496&amp;$C496,盘货信息!$A:$A&amp;盘货信息!$B:$B&amp;盘货信息!$C:$C,盘货信息!$G:$G)&lt;1,"",ROUND(_xlfn.XLOOKUP($A496&amp;$B496&amp;$C496,盘货信息!$A:$A&amp;盘货信息!$B:$B&amp;盘货信息!$C:$C,盘货信息!$G:$G),0)&amp;"元88VIP立减"))</f>
        <v/>
      </c>
      <c r="H496" s="27" t="str" cm="1">
        <f t="array" ref="H496">IF($C496="","",IF(_xlfn.XLOOKUP($A496&amp;$B496&amp;$C496,盘货信息!$A:$A&amp;盘货信息!$B:$B&amp;盘货信息!$C:$C,盘货信息!$I:$I)&lt;1,"",_xlfn.XLOOKUP($A496&amp;$B496&amp;$C496,盘货信息!$A:$A&amp;盘货信息!$B:$B&amp;盘货信息!$C:$C,盘货信息!$I:$I)&amp;"元惊喜立减"))</f>
        <v/>
      </c>
      <c r="I496" s="27" t="str" cm="1">
        <f t="array" ref="I496">IF($C496="","",IF(_xlfn.XLOOKUP($A496&amp;$B496&amp;$C496,盘货信息!$A:$A&amp;盘货信息!$B:$B&amp;盘货信息!$C:$C,盘货信息!$H:$H)&lt;1,"",ROUND(_xlfn.XLOOKUP($A496&amp;$B496&amp;$C496,盘货信息!$A:$A&amp;盘货信息!$B:$B&amp;盘货信息!$C:$C,盘货信息!$H:$H),0)&amp;"元消费券"))</f>
        <v/>
      </c>
      <c r="J496" s="27" t="str" cm="1">
        <f t="array" ref="J496">IF($C496="","",IF(_xlfn.XLOOKUP($A496&amp;$B496&amp;$C496,盘货信息!$A:$A&amp;盘货信息!$B:$B&amp;盘货信息!$C:$C,盘货信息!$J:$J)&lt;1,"",ROUND(_xlfn.XLOOKUP($A496&amp;$B496&amp;$C496,盘货信息!$A:$A&amp;盘货信息!$B:$B&amp;盘货信息!$C:$C,盘货信息!$J:$J),0)&amp;"元限时补贴"))</f>
        <v/>
      </c>
      <c r="K496" s="27" t="str" cm="1">
        <f t="array" ref="K496">IF($C496="","",IF(_xlfn.XLOOKUP($A496&amp;$B496&amp;$C496,盘货信息!$A:$A&amp;盘货信息!$B:$B&amp;盘货信息!$C:$C,盘货信息!$K:$K)&lt;1,"",ROUND(_xlfn.XLOOKUP($A496&amp;$B496&amp;$C496,盘货信息!$A:$A&amp;盘货信息!$B:$B&amp;盘货信息!$C:$C,盘货信息!$K:$K),0)&amp;"元预估焕新补贴"))</f>
        <v/>
      </c>
      <c r="L496" s="27" t="str" cm="1">
        <f t="array" ref="L496">IF($C496="","",IF(AND(_xlfn.XLOOKUP($A496&amp;$B496&amp;$C496,盘货信息!$A:$A&amp;盘货信息!$B:$B&amp;盘货信息!$C:$C,盘货信息!$L:$L)="是",_xlfn.XLOOKUP($A496&amp;$B496&amp;$C496,盘货信息!$A:$A&amp;盘货信息!$B:$B&amp;盘货信息!$C:$C,盘货信息!$M:$M)="是",_xlfn.XLOOKUP($A496&amp;$B496&amp;$C496,盘货信息!$A:$A&amp;盘货信息!$B:$B&amp;盘货信息!$C:$C,盘货信息!$K:$K)&gt;0),"【全民可用，不限地址】",IF(AND(OR(_xlfn.XLOOKUP($A496&amp;$B496&amp;$C496,盘货信息!$A:$A&amp;盘货信息!$B:$B&amp;盘货信息!$C:$C,盘货信息!$L:$L)="否",_xlfn.XLOOKUP($A496&amp;$B496&amp;$C496,盘货信息!$A:$A&amp;盘货信息!$B:$B&amp;盘货信息!$C:$C,盘货信息!$L:$L)=""),_xlfn.XLOOKUP($A496&amp;$B496&amp;$C496,盘货信息!$A:$A&amp;盘货信息!$B:$B&amp;盘货信息!$C:$C,盘货信息!$M:$M)="是",_xlfn.XLOOKUP($A496&amp;$B496&amp;$C496,盘货信息!$A:$A&amp;盘货信息!$B:$B&amp;盘货信息!$C:$C,盘货信息!$K:$K)&gt;0),"【详情页领取】","")))</f>
        <v/>
      </c>
      <c r="M496" s="27" t="str" cm="1">
        <f t="array" ref="M496">IF($C496="","",IF(_xlfn.XLOOKUP($A496&amp;$B496&amp;$C496,盘货信息!$A:$A&amp;盘货信息!$B:$B&amp;盘货信息!$C:$C,盘货信息!$F:$F)&lt;1,"",_xlfn.XLOOKUP($A496&amp;$B496&amp;$C496,盘货信息!$A:$A&amp;盘货信息!$B:$B&amp;盘货信息!$C:$C,盘货信息!$F:$F)&amp;"元明卷"))</f>
        <v/>
      </c>
      <c r="N496" s="27" t="str">
        <f t="shared" si="15"/>
        <v/>
      </c>
      <c r="O496" s="27" t="str">
        <f>IF(I496="","","【消费券链接】"&amp;固定信息!$B$6)</f>
        <v/>
      </c>
    </row>
    <row r="497" customHeight="1" spans="1:15">
      <c r="A497" s="23" t="str">
        <f>IF(盘货信息!A497="","",盘货信息!A497)</f>
        <v/>
      </c>
      <c r="B497" s="26" t="str">
        <f>IF(盘货信息!B497="","",盘货信息!B497)</f>
        <v/>
      </c>
      <c r="C497" s="23" t="str">
        <f>IF(盘货信息!C497="","",盘货信息!C497)</f>
        <v/>
      </c>
      <c r="D497" s="27" t="str">
        <f t="shared" si="14"/>
        <v/>
      </c>
      <c r="E497" s="27" t="str" cm="1">
        <f t="array" ref="E497">IF($C497="","",IF(AND(OR(_xlfn.XLOOKUP($A497&amp;$B497&amp;$C497,盘货信息!$A:$A&amp;盘货信息!$B:$B&amp;盘货信息!$C:$C,盘货信息!$L:$L)="否",_xlfn.XLOOKUP($A497&amp;$B497&amp;$C497,盘货信息!$A:$A&amp;盘货信息!$B:$B&amp;盘货信息!$C:$C,盘货信息!$L:$L)=""),_xlfn.XLOOKUP($A497&amp;$B497&amp;$C497,盘货信息!$A:$A&amp;盘货信息!$B:$B&amp;盘货信息!$C:$C,盘货信息!$M:$M)="否"),"【预估到手价"&amp;_xlfn.XLOOKUP($A497&amp;$B497&amp;$C497,盘货信息!$A:$A&amp;盘货信息!$B:$B&amp;盘货信息!$C:$C,盘货信息!$D:$D)&amp;"元】",IF(AND(_xlfn.XLOOKUP($A497&amp;$B497&amp;$C497,盘货信息!$A:$A&amp;盘货信息!$B:$B&amp;盘货信息!$C:$C,盘货信息!$M:$M)="是",OR(_xlfn.XLOOKUP($A497&amp;$B497&amp;$C497,盘货信息!$A:$A&amp;盘货信息!$B:$B&amp;盘货信息!$C:$C,盘货信息!$L:$L)="否",_xlfn.XLOOKUP($A497&amp;$B497&amp;$C497,盘货信息!$A:$A&amp;盘货信息!$B:$B&amp;盘货信息!$C:$C,盘货信息!$L:$L)="")),"【预估到手价"&amp;_xlfn.XLOOKUP($A497&amp;$B497&amp;$C497,盘货信息!$A:$A&amp;盘货信息!$B:$B&amp;盘货信息!$C:$C,盘货信息!$D:$D)&amp;"元】"&amp;CHAR(10)&amp;"【焕新补贴预估价"&amp;ROUND(_xlfn.XLOOKUP($A497&amp;$B497&amp;$C497,盘货信息!$A:$A&amp;盘货信息!$B:$B&amp;盘货信息!$C:$C,盘货信息!$E:$E),0)&amp;"元】","【焕新补贴预估价"&amp;ROUND(_xlfn.XLOOKUP($A497&amp;$B497&amp;$C497,盘货信息!$A:$A&amp;盘货信息!$B:$B&amp;盘货信息!$C:$C,盘货信息!$E:$E),0)&amp;"元】")))</f>
        <v/>
      </c>
      <c r="F497" s="27" t="str" cm="1">
        <f t="array" ref="F497">IF($C497="","",_xlfn.XLOOKUP($A497&amp;$B497&amp;$C497,盘货信息!$A:$A&amp;盘货信息!$B:$B&amp;盘货信息!$C:$C,盘货信息!$D:$D)&amp;"元到手价")</f>
        <v/>
      </c>
      <c r="G497" s="27" t="str" cm="1">
        <f t="array" ref="G497">IF($C497="","",IF(_xlfn.XLOOKUP($A497&amp;$B497&amp;$C497,盘货信息!$A:$A&amp;盘货信息!$B:$B&amp;盘货信息!$C:$C,盘货信息!$G:$G)&lt;1,"",ROUND(_xlfn.XLOOKUP($A497&amp;$B497&amp;$C497,盘货信息!$A:$A&amp;盘货信息!$B:$B&amp;盘货信息!$C:$C,盘货信息!$G:$G),0)&amp;"元88VIP立减"))</f>
        <v/>
      </c>
      <c r="H497" s="27" t="str" cm="1">
        <f t="array" ref="H497">IF($C497="","",IF(_xlfn.XLOOKUP($A497&amp;$B497&amp;$C497,盘货信息!$A:$A&amp;盘货信息!$B:$B&amp;盘货信息!$C:$C,盘货信息!$I:$I)&lt;1,"",_xlfn.XLOOKUP($A497&amp;$B497&amp;$C497,盘货信息!$A:$A&amp;盘货信息!$B:$B&amp;盘货信息!$C:$C,盘货信息!$I:$I)&amp;"元惊喜立减"))</f>
        <v/>
      </c>
      <c r="I497" s="27" t="str" cm="1">
        <f t="array" ref="I497">IF($C497="","",IF(_xlfn.XLOOKUP($A497&amp;$B497&amp;$C497,盘货信息!$A:$A&amp;盘货信息!$B:$B&amp;盘货信息!$C:$C,盘货信息!$H:$H)&lt;1,"",ROUND(_xlfn.XLOOKUP($A497&amp;$B497&amp;$C497,盘货信息!$A:$A&amp;盘货信息!$B:$B&amp;盘货信息!$C:$C,盘货信息!$H:$H),0)&amp;"元消费券"))</f>
        <v/>
      </c>
      <c r="J497" s="27" t="str" cm="1">
        <f t="array" ref="J497">IF($C497="","",IF(_xlfn.XLOOKUP($A497&amp;$B497&amp;$C497,盘货信息!$A:$A&amp;盘货信息!$B:$B&amp;盘货信息!$C:$C,盘货信息!$J:$J)&lt;1,"",ROUND(_xlfn.XLOOKUP($A497&amp;$B497&amp;$C497,盘货信息!$A:$A&amp;盘货信息!$B:$B&amp;盘货信息!$C:$C,盘货信息!$J:$J),0)&amp;"元限时补贴"))</f>
        <v/>
      </c>
      <c r="K497" s="27" t="str" cm="1">
        <f t="array" ref="K497">IF($C497="","",IF(_xlfn.XLOOKUP($A497&amp;$B497&amp;$C497,盘货信息!$A:$A&amp;盘货信息!$B:$B&amp;盘货信息!$C:$C,盘货信息!$K:$K)&lt;1,"",ROUND(_xlfn.XLOOKUP($A497&amp;$B497&amp;$C497,盘货信息!$A:$A&amp;盘货信息!$B:$B&amp;盘货信息!$C:$C,盘货信息!$K:$K),0)&amp;"元预估焕新补贴"))</f>
        <v/>
      </c>
      <c r="L497" s="27" t="str" cm="1">
        <f t="array" ref="L497">IF($C497="","",IF(AND(_xlfn.XLOOKUP($A497&amp;$B497&amp;$C497,盘货信息!$A:$A&amp;盘货信息!$B:$B&amp;盘货信息!$C:$C,盘货信息!$L:$L)="是",_xlfn.XLOOKUP($A497&amp;$B497&amp;$C497,盘货信息!$A:$A&amp;盘货信息!$B:$B&amp;盘货信息!$C:$C,盘货信息!$M:$M)="是",_xlfn.XLOOKUP($A497&amp;$B497&amp;$C497,盘货信息!$A:$A&amp;盘货信息!$B:$B&amp;盘货信息!$C:$C,盘货信息!$K:$K)&gt;0),"【全民可用，不限地址】",IF(AND(OR(_xlfn.XLOOKUP($A497&amp;$B497&amp;$C497,盘货信息!$A:$A&amp;盘货信息!$B:$B&amp;盘货信息!$C:$C,盘货信息!$L:$L)="否",_xlfn.XLOOKUP($A497&amp;$B497&amp;$C497,盘货信息!$A:$A&amp;盘货信息!$B:$B&amp;盘货信息!$C:$C,盘货信息!$L:$L)=""),_xlfn.XLOOKUP($A497&amp;$B497&amp;$C497,盘货信息!$A:$A&amp;盘货信息!$B:$B&amp;盘货信息!$C:$C,盘货信息!$M:$M)="是",_xlfn.XLOOKUP($A497&amp;$B497&amp;$C497,盘货信息!$A:$A&amp;盘货信息!$B:$B&amp;盘货信息!$C:$C,盘货信息!$K:$K)&gt;0),"【详情页领取】","")))</f>
        <v/>
      </c>
      <c r="M497" s="27" t="str" cm="1">
        <f t="array" ref="M497">IF($C497="","",IF(_xlfn.XLOOKUP($A497&amp;$B497&amp;$C497,盘货信息!$A:$A&amp;盘货信息!$B:$B&amp;盘货信息!$C:$C,盘货信息!$F:$F)&lt;1,"",_xlfn.XLOOKUP($A497&amp;$B497&amp;$C497,盘货信息!$A:$A&amp;盘货信息!$B:$B&amp;盘货信息!$C:$C,盘货信息!$F:$F)&amp;"元明卷"))</f>
        <v/>
      </c>
      <c r="N497" s="27" t="str">
        <f t="shared" si="15"/>
        <v/>
      </c>
      <c r="O497" s="27" t="str">
        <f>IF(I497="","","【消费券链接】"&amp;固定信息!$B$6)</f>
        <v/>
      </c>
    </row>
    <row r="498" customHeight="1" spans="1:15">
      <c r="A498" s="23" t="str">
        <f>IF(盘货信息!A498="","",盘货信息!A498)</f>
        <v/>
      </c>
      <c r="B498" s="26" t="str">
        <f>IF(盘货信息!B498="","",盘货信息!B498)</f>
        <v/>
      </c>
      <c r="C498" s="23" t="str">
        <f>IF(盘货信息!C498="","",盘货信息!C498)</f>
        <v/>
      </c>
      <c r="D498" s="27" t="str">
        <f t="shared" si="14"/>
        <v/>
      </c>
      <c r="E498" s="27" t="str" cm="1">
        <f t="array" ref="E498">IF($C498="","",IF(AND(OR(_xlfn.XLOOKUP($A498&amp;$B498&amp;$C498,盘货信息!$A:$A&amp;盘货信息!$B:$B&amp;盘货信息!$C:$C,盘货信息!$L:$L)="否",_xlfn.XLOOKUP($A498&amp;$B498&amp;$C498,盘货信息!$A:$A&amp;盘货信息!$B:$B&amp;盘货信息!$C:$C,盘货信息!$L:$L)=""),_xlfn.XLOOKUP($A498&amp;$B498&amp;$C498,盘货信息!$A:$A&amp;盘货信息!$B:$B&amp;盘货信息!$C:$C,盘货信息!$M:$M)="否"),"【预估到手价"&amp;_xlfn.XLOOKUP($A498&amp;$B498&amp;$C498,盘货信息!$A:$A&amp;盘货信息!$B:$B&amp;盘货信息!$C:$C,盘货信息!$D:$D)&amp;"元】",IF(AND(_xlfn.XLOOKUP($A498&amp;$B498&amp;$C498,盘货信息!$A:$A&amp;盘货信息!$B:$B&amp;盘货信息!$C:$C,盘货信息!$M:$M)="是",OR(_xlfn.XLOOKUP($A498&amp;$B498&amp;$C498,盘货信息!$A:$A&amp;盘货信息!$B:$B&amp;盘货信息!$C:$C,盘货信息!$L:$L)="否",_xlfn.XLOOKUP($A498&amp;$B498&amp;$C498,盘货信息!$A:$A&amp;盘货信息!$B:$B&amp;盘货信息!$C:$C,盘货信息!$L:$L)="")),"【预估到手价"&amp;_xlfn.XLOOKUP($A498&amp;$B498&amp;$C498,盘货信息!$A:$A&amp;盘货信息!$B:$B&amp;盘货信息!$C:$C,盘货信息!$D:$D)&amp;"元】"&amp;CHAR(10)&amp;"【焕新补贴预估价"&amp;ROUND(_xlfn.XLOOKUP($A498&amp;$B498&amp;$C498,盘货信息!$A:$A&amp;盘货信息!$B:$B&amp;盘货信息!$C:$C,盘货信息!$E:$E),0)&amp;"元】","【焕新补贴预估价"&amp;ROUND(_xlfn.XLOOKUP($A498&amp;$B498&amp;$C498,盘货信息!$A:$A&amp;盘货信息!$B:$B&amp;盘货信息!$C:$C,盘货信息!$E:$E),0)&amp;"元】")))</f>
        <v/>
      </c>
      <c r="F498" s="27" t="str" cm="1">
        <f t="array" ref="F498">IF($C498="","",_xlfn.XLOOKUP($A498&amp;$B498&amp;$C498,盘货信息!$A:$A&amp;盘货信息!$B:$B&amp;盘货信息!$C:$C,盘货信息!$D:$D)&amp;"元到手价")</f>
        <v/>
      </c>
      <c r="G498" s="27" t="str" cm="1">
        <f t="array" ref="G498">IF($C498="","",IF(_xlfn.XLOOKUP($A498&amp;$B498&amp;$C498,盘货信息!$A:$A&amp;盘货信息!$B:$B&amp;盘货信息!$C:$C,盘货信息!$G:$G)&lt;1,"",ROUND(_xlfn.XLOOKUP($A498&amp;$B498&amp;$C498,盘货信息!$A:$A&amp;盘货信息!$B:$B&amp;盘货信息!$C:$C,盘货信息!$G:$G),0)&amp;"元88VIP立减"))</f>
        <v/>
      </c>
      <c r="H498" s="27" t="str" cm="1">
        <f t="array" ref="H498">IF($C498="","",IF(_xlfn.XLOOKUP($A498&amp;$B498&amp;$C498,盘货信息!$A:$A&amp;盘货信息!$B:$B&amp;盘货信息!$C:$C,盘货信息!$I:$I)&lt;1,"",_xlfn.XLOOKUP($A498&amp;$B498&amp;$C498,盘货信息!$A:$A&amp;盘货信息!$B:$B&amp;盘货信息!$C:$C,盘货信息!$I:$I)&amp;"元惊喜立减"))</f>
        <v/>
      </c>
      <c r="I498" s="27" t="str" cm="1">
        <f t="array" ref="I498">IF($C498="","",IF(_xlfn.XLOOKUP($A498&amp;$B498&amp;$C498,盘货信息!$A:$A&amp;盘货信息!$B:$B&amp;盘货信息!$C:$C,盘货信息!$H:$H)&lt;1,"",ROUND(_xlfn.XLOOKUP($A498&amp;$B498&amp;$C498,盘货信息!$A:$A&amp;盘货信息!$B:$B&amp;盘货信息!$C:$C,盘货信息!$H:$H),0)&amp;"元消费券"))</f>
        <v/>
      </c>
      <c r="J498" s="27" t="str" cm="1">
        <f t="array" ref="J498">IF($C498="","",IF(_xlfn.XLOOKUP($A498&amp;$B498&amp;$C498,盘货信息!$A:$A&amp;盘货信息!$B:$B&amp;盘货信息!$C:$C,盘货信息!$J:$J)&lt;1,"",ROUND(_xlfn.XLOOKUP($A498&amp;$B498&amp;$C498,盘货信息!$A:$A&amp;盘货信息!$B:$B&amp;盘货信息!$C:$C,盘货信息!$J:$J),0)&amp;"元限时补贴"))</f>
        <v/>
      </c>
      <c r="K498" s="27" t="str" cm="1">
        <f t="array" ref="K498">IF($C498="","",IF(_xlfn.XLOOKUP($A498&amp;$B498&amp;$C498,盘货信息!$A:$A&amp;盘货信息!$B:$B&amp;盘货信息!$C:$C,盘货信息!$K:$K)&lt;1,"",ROUND(_xlfn.XLOOKUP($A498&amp;$B498&amp;$C498,盘货信息!$A:$A&amp;盘货信息!$B:$B&amp;盘货信息!$C:$C,盘货信息!$K:$K),0)&amp;"元预估焕新补贴"))</f>
        <v/>
      </c>
      <c r="L498" s="27" t="str" cm="1">
        <f t="array" ref="L498">IF($C498="","",IF(AND(_xlfn.XLOOKUP($A498&amp;$B498&amp;$C498,盘货信息!$A:$A&amp;盘货信息!$B:$B&amp;盘货信息!$C:$C,盘货信息!$L:$L)="是",_xlfn.XLOOKUP($A498&amp;$B498&amp;$C498,盘货信息!$A:$A&amp;盘货信息!$B:$B&amp;盘货信息!$C:$C,盘货信息!$M:$M)="是",_xlfn.XLOOKUP($A498&amp;$B498&amp;$C498,盘货信息!$A:$A&amp;盘货信息!$B:$B&amp;盘货信息!$C:$C,盘货信息!$K:$K)&gt;0),"【全民可用，不限地址】",IF(AND(OR(_xlfn.XLOOKUP($A498&amp;$B498&amp;$C498,盘货信息!$A:$A&amp;盘货信息!$B:$B&amp;盘货信息!$C:$C,盘货信息!$L:$L)="否",_xlfn.XLOOKUP($A498&amp;$B498&amp;$C498,盘货信息!$A:$A&amp;盘货信息!$B:$B&amp;盘货信息!$C:$C,盘货信息!$L:$L)=""),_xlfn.XLOOKUP($A498&amp;$B498&amp;$C498,盘货信息!$A:$A&amp;盘货信息!$B:$B&amp;盘货信息!$C:$C,盘货信息!$M:$M)="是",_xlfn.XLOOKUP($A498&amp;$B498&amp;$C498,盘货信息!$A:$A&amp;盘货信息!$B:$B&amp;盘货信息!$C:$C,盘货信息!$K:$K)&gt;0),"【详情页领取】","")))</f>
        <v/>
      </c>
      <c r="M498" s="27" t="str" cm="1">
        <f t="array" ref="M498">IF($C498="","",IF(_xlfn.XLOOKUP($A498&amp;$B498&amp;$C498,盘货信息!$A:$A&amp;盘货信息!$B:$B&amp;盘货信息!$C:$C,盘货信息!$F:$F)&lt;1,"",_xlfn.XLOOKUP($A498&amp;$B498&amp;$C498,盘货信息!$A:$A&amp;盘货信息!$B:$B&amp;盘货信息!$C:$C,盘货信息!$F:$F)&amp;"元明卷"))</f>
        <v/>
      </c>
      <c r="N498" s="27" t="str">
        <f t="shared" si="15"/>
        <v/>
      </c>
      <c r="O498" s="27" t="str">
        <f>IF(I498="","","【消费券链接】"&amp;固定信息!$B$6)</f>
        <v/>
      </c>
    </row>
    <row r="499" customHeight="1" spans="1:15">
      <c r="A499" s="23" t="str">
        <f>IF(盘货信息!A499="","",盘货信息!A499)</f>
        <v/>
      </c>
      <c r="B499" s="26" t="str">
        <f>IF(盘货信息!B499="","",盘货信息!B499)</f>
        <v/>
      </c>
      <c r="C499" s="23" t="str">
        <f>IF(盘货信息!C499="","",盘货信息!C499)</f>
        <v/>
      </c>
      <c r="D499" s="27" t="str">
        <f t="shared" si="14"/>
        <v/>
      </c>
      <c r="E499" s="27" t="str" cm="1">
        <f t="array" ref="E499">IF($C499="","",IF(AND(OR(_xlfn.XLOOKUP($A499&amp;$B499&amp;$C499,盘货信息!$A:$A&amp;盘货信息!$B:$B&amp;盘货信息!$C:$C,盘货信息!$L:$L)="否",_xlfn.XLOOKUP($A499&amp;$B499&amp;$C499,盘货信息!$A:$A&amp;盘货信息!$B:$B&amp;盘货信息!$C:$C,盘货信息!$L:$L)=""),_xlfn.XLOOKUP($A499&amp;$B499&amp;$C499,盘货信息!$A:$A&amp;盘货信息!$B:$B&amp;盘货信息!$C:$C,盘货信息!$M:$M)="否"),"【预估到手价"&amp;_xlfn.XLOOKUP($A499&amp;$B499&amp;$C499,盘货信息!$A:$A&amp;盘货信息!$B:$B&amp;盘货信息!$C:$C,盘货信息!$D:$D)&amp;"元】",IF(AND(_xlfn.XLOOKUP($A499&amp;$B499&amp;$C499,盘货信息!$A:$A&amp;盘货信息!$B:$B&amp;盘货信息!$C:$C,盘货信息!$M:$M)="是",OR(_xlfn.XLOOKUP($A499&amp;$B499&amp;$C499,盘货信息!$A:$A&amp;盘货信息!$B:$B&amp;盘货信息!$C:$C,盘货信息!$L:$L)="否",_xlfn.XLOOKUP($A499&amp;$B499&amp;$C499,盘货信息!$A:$A&amp;盘货信息!$B:$B&amp;盘货信息!$C:$C,盘货信息!$L:$L)="")),"【预估到手价"&amp;_xlfn.XLOOKUP($A499&amp;$B499&amp;$C499,盘货信息!$A:$A&amp;盘货信息!$B:$B&amp;盘货信息!$C:$C,盘货信息!$D:$D)&amp;"元】"&amp;CHAR(10)&amp;"【焕新补贴预估价"&amp;ROUND(_xlfn.XLOOKUP($A499&amp;$B499&amp;$C499,盘货信息!$A:$A&amp;盘货信息!$B:$B&amp;盘货信息!$C:$C,盘货信息!$E:$E),0)&amp;"元】","【焕新补贴预估价"&amp;ROUND(_xlfn.XLOOKUP($A499&amp;$B499&amp;$C499,盘货信息!$A:$A&amp;盘货信息!$B:$B&amp;盘货信息!$C:$C,盘货信息!$E:$E),0)&amp;"元】")))</f>
        <v/>
      </c>
      <c r="F499" s="27" t="str" cm="1">
        <f t="array" ref="F499">IF($C499="","",_xlfn.XLOOKUP($A499&amp;$B499&amp;$C499,盘货信息!$A:$A&amp;盘货信息!$B:$B&amp;盘货信息!$C:$C,盘货信息!$D:$D)&amp;"元到手价")</f>
        <v/>
      </c>
      <c r="G499" s="27" t="str" cm="1">
        <f t="array" ref="G499">IF($C499="","",IF(_xlfn.XLOOKUP($A499&amp;$B499&amp;$C499,盘货信息!$A:$A&amp;盘货信息!$B:$B&amp;盘货信息!$C:$C,盘货信息!$G:$G)&lt;1,"",ROUND(_xlfn.XLOOKUP($A499&amp;$B499&amp;$C499,盘货信息!$A:$A&amp;盘货信息!$B:$B&amp;盘货信息!$C:$C,盘货信息!$G:$G),0)&amp;"元88VIP立减"))</f>
        <v/>
      </c>
      <c r="H499" s="27" t="str" cm="1">
        <f t="array" ref="H499">IF($C499="","",IF(_xlfn.XLOOKUP($A499&amp;$B499&amp;$C499,盘货信息!$A:$A&amp;盘货信息!$B:$B&amp;盘货信息!$C:$C,盘货信息!$I:$I)&lt;1,"",_xlfn.XLOOKUP($A499&amp;$B499&amp;$C499,盘货信息!$A:$A&amp;盘货信息!$B:$B&amp;盘货信息!$C:$C,盘货信息!$I:$I)&amp;"元惊喜立减"))</f>
        <v/>
      </c>
      <c r="I499" s="27" t="str" cm="1">
        <f t="array" ref="I499">IF($C499="","",IF(_xlfn.XLOOKUP($A499&amp;$B499&amp;$C499,盘货信息!$A:$A&amp;盘货信息!$B:$B&amp;盘货信息!$C:$C,盘货信息!$H:$H)&lt;1,"",ROUND(_xlfn.XLOOKUP($A499&amp;$B499&amp;$C499,盘货信息!$A:$A&amp;盘货信息!$B:$B&amp;盘货信息!$C:$C,盘货信息!$H:$H),0)&amp;"元消费券"))</f>
        <v/>
      </c>
      <c r="J499" s="27" t="str" cm="1">
        <f t="array" ref="J499">IF($C499="","",IF(_xlfn.XLOOKUP($A499&amp;$B499&amp;$C499,盘货信息!$A:$A&amp;盘货信息!$B:$B&amp;盘货信息!$C:$C,盘货信息!$J:$J)&lt;1,"",ROUND(_xlfn.XLOOKUP($A499&amp;$B499&amp;$C499,盘货信息!$A:$A&amp;盘货信息!$B:$B&amp;盘货信息!$C:$C,盘货信息!$J:$J),0)&amp;"元限时补贴"))</f>
        <v/>
      </c>
      <c r="K499" s="27" t="str" cm="1">
        <f t="array" ref="K499">IF($C499="","",IF(_xlfn.XLOOKUP($A499&amp;$B499&amp;$C499,盘货信息!$A:$A&amp;盘货信息!$B:$B&amp;盘货信息!$C:$C,盘货信息!$K:$K)&lt;1,"",ROUND(_xlfn.XLOOKUP($A499&amp;$B499&amp;$C499,盘货信息!$A:$A&amp;盘货信息!$B:$B&amp;盘货信息!$C:$C,盘货信息!$K:$K),0)&amp;"元预估焕新补贴"))</f>
        <v/>
      </c>
      <c r="L499" s="27" t="str" cm="1">
        <f t="array" ref="L499">IF($C499="","",IF(AND(_xlfn.XLOOKUP($A499&amp;$B499&amp;$C499,盘货信息!$A:$A&amp;盘货信息!$B:$B&amp;盘货信息!$C:$C,盘货信息!$L:$L)="是",_xlfn.XLOOKUP($A499&amp;$B499&amp;$C499,盘货信息!$A:$A&amp;盘货信息!$B:$B&amp;盘货信息!$C:$C,盘货信息!$M:$M)="是",_xlfn.XLOOKUP($A499&amp;$B499&amp;$C499,盘货信息!$A:$A&amp;盘货信息!$B:$B&amp;盘货信息!$C:$C,盘货信息!$K:$K)&gt;0),"【全民可用，不限地址】",IF(AND(OR(_xlfn.XLOOKUP($A499&amp;$B499&amp;$C499,盘货信息!$A:$A&amp;盘货信息!$B:$B&amp;盘货信息!$C:$C,盘货信息!$L:$L)="否",_xlfn.XLOOKUP($A499&amp;$B499&amp;$C499,盘货信息!$A:$A&amp;盘货信息!$B:$B&amp;盘货信息!$C:$C,盘货信息!$L:$L)=""),_xlfn.XLOOKUP($A499&amp;$B499&amp;$C499,盘货信息!$A:$A&amp;盘货信息!$B:$B&amp;盘货信息!$C:$C,盘货信息!$M:$M)="是",_xlfn.XLOOKUP($A499&amp;$B499&amp;$C499,盘货信息!$A:$A&amp;盘货信息!$B:$B&amp;盘货信息!$C:$C,盘货信息!$K:$K)&gt;0),"【详情页领取】","")))</f>
        <v/>
      </c>
      <c r="M499" s="27" t="str" cm="1">
        <f t="array" ref="M499">IF($C499="","",IF(_xlfn.XLOOKUP($A499&amp;$B499&amp;$C499,盘货信息!$A:$A&amp;盘货信息!$B:$B&amp;盘货信息!$C:$C,盘货信息!$F:$F)&lt;1,"",_xlfn.XLOOKUP($A499&amp;$B499&amp;$C499,盘货信息!$A:$A&amp;盘货信息!$B:$B&amp;盘货信息!$C:$C,盘货信息!$F:$F)&amp;"元明卷"))</f>
        <v/>
      </c>
      <c r="N499" s="27" t="str">
        <f t="shared" si="15"/>
        <v/>
      </c>
      <c r="O499" s="27" t="str">
        <f>IF(I499="","","【消费券链接】"&amp;固定信息!$B$6)</f>
        <v/>
      </c>
    </row>
    <row r="500" customHeight="1" spans="1:15">
      <c r="A500" s="23" t="str">
        <f>IF(盘货信息!A500="","",盘货信息!A500)</f>
        <v/>
      </c>
      <c r="B500" s="26" t="str">
        <f>IF(盘货信息!B500="","",盘货信息!B500)</f>
        <v/>
      </c>
      <c r="C500" s="23" t="str">
        <f>IF(盘货信息!C500="","",盘货信息!C500)</f>
        <v/>
      </c>
      <c r="D500" s="27" t="str">
        <f t="shared" si="14"/>
        <v/>
      </c>
      <c r="E500" s="27" t="str" cm="1">
        <f t="array" ref="E500">IF($C500="","",IF(AND(OR(_xlfn.XLOOKUP($A500&amp;$B500&amp;$C500,盘货信息!$A:$A&amp;盘货信息!$B:$B&amp;盘货信息!$C:$C,盘货信息!$L:$L)="否",_xlfn.XLOOKUP($A500&amp;$B500&amp;$C500,盘货信息!$A:$A&amp;盘货信息!$B:$B&amp;盘货信息!$C:$C,盘货信息!$L:$L)=""),_xlfn.XLOOKUP($A500&amp;$B500&amp;$C500,盘货信息!$A:$A&amp;盘货信息!$B:$B&amp;盘货信息!$C:$C,盘货信息!$M:$M)="否"),"【预估到手价"&amp;_xlfn.XLOOKUP($A500&amp;$B500&amp;$C500,盘货信息!$A:$A&amp;盘货信息!$B:$B&amp;盘货信息!$C:$C,盘货信息!$D:$D)&amp;"元】",IF(AND(_xlfn.XLOOKUP($A500&amp;$B500&amp;$C500,盘货信息!$A:$A&amp;盘货信息!$B:$B&amp;盘货信息!$C:$C,盘货信息!$M:$M)="是",OR(_xlfn.XLOOKUP($A500&amp;$B500&amp;$C500,盘货信息!$A:$A&amp;盘货信息!$B:$B&amp;盘货信息!$C:$C,盘货信息!$L:$L)="否",_xlfn.XLOOKUP($A500&amp;$B500&amp;$C500,盘货信息!$A:$A&amp;盘货信息!$B:$B&amp;盘货信息!$C:$C,盘货信息!$L:$L)="")),"【预估到手价"&amp;_xlfn.XLOOKUP($A500&amp;$B500&amp;$C500,盘货信息!$A:$A&amp;盘货信息!$B:$B&amp;盘货信息!$C:$C,盘货信息!$D:$D)&amp;"元】"&amp;CHAR(10)&amp;"【焕新补贴预估价"&amp;ROUND(_xlfn.XLOOKUP($A500&amp;$B500&amp;$C500,盘货信息!$A:$A&amp;盘货信息!$B:$B&amp;盘货信息!$C:$C,盘货信息!$E:$E),0)&amp;"元】","【焕新补贴预估价"&amp;ROUND(_xlfn.XLOOKUP($A500&amp;$B500&amp;$C500,盘货信息!$A:$A&amp;盘货信息!$B:$B&amp;盘货信息!$C:$C,盘货信息!$E:$E),0)&amp;"元】")))</f>
        <v/>
      </c>
      <c r="F500" s="27" t="str" cm="1">
        <f t="array" ref="F500">IF($C500="","",_xlfn.XLOOKUP($A500&amp;$B500&amp;$C500,盘货信息!$A:$A&amp;盘货信息!$B:$B&amp;盘货信息!$C:$C,盘货信息!$D:$D)&amp;"元到手价")</f>
        <v/>
      </c>
      <c r="G500" s="27" t="str" cm="1">
        <f t="array" ref="G500">IF($C500="","",IF(_xlfn.XLOOKUP($A500&amp;$B500&amp;$C500,盘货信息!$A:$A&amp;盘货信息!$B:$B&amp;盘货信息!$C:$C,盘货信息!$G:$G)&lt;1,"",ROUND(_xlfn.XLOOKUP($A500&amp;$B500&amp;$C500,盘货信息!$A:$A&amp;盘货信息!$B:$B&amp;盘货信息!$C:$C,盘货信息!$G:$G),0)&amp;"元88VIP立减"))</f>
        <v/>
      </c>
      <c r="H500" s="27" t="str" cm="1">
        <f t="array" ref="H500">IF($C500="","",IF(_xlfn.XLOOKUP($A500&amp;$B500&amp;$C500,盘货信息!$A:$A&amp;盘货信息!$B:$B&amp;盘货信息!$C:$C,盘货信息!$I:$I)&lt;1,"",_xlfn.XLOOKUP($A500&amp;$B500&amp;$C500,盘货信息!$A:$A&amp;盘货信息!$B:$B&amp;盘货信息!$C:$C,盘货信息!$I:$I)&amp;"元惊喜立减"))</f>
        <v/>
      </c>
      <c r="I500" s="27" t="str" cm="1">
        <f t="array" ref="I500">IF($C500="","",IF(_xlfn.XLOOKUP($A500&amp;$B500&amp;$C500,盘货信息!$A:$A&amp;盘货信息!$B:$B&amp;盘货信息!$C:$C,盘货信息!$H:$H)&lt;1,"",ROUND(_xlfn.XLOOKUP($A500&amp;$B500&amp;$C500,盘货信息!$A:$A&amp;盘货信息!$B:$B&amp;盘货信息!$C:$C,盘货信息!$H:$H),0)&amp;"元消费券"))</f>
        <v/>
      </c>
      <c r="J500" s="27" t="str" cm="1">
        <f t="array" ref="J500">IF($C500="","",IF(_xlfn.XLOOKUP($A500&amp;$B500&amp;$C500,盘货信息!$A:$A&amp;盘货信息!$B:$B&amp;盘货信息!$C:$C,盘货信息!$J:$J)&lt;1,"",ROUND(_xlfn.XLOOKUP($A500&amp;$B500&amp;$C500,盘货信息!$A:$A&amp;盘货信息!$B:$B&amp;盘货信息!$C:$C,盘货信息!$J:$J),0)&amp;"元限时补贴"))</f>
        <v/>
      </c>
      <c r="K500" s="27" t="str" cm="1">
        <f t="array" ref="K500">IF($C500="","",IF(_xlfn.XLOOKUP($A500&amp;$B500&amp;$C500,盘货信息!$A:$A&amp;盘货信息!$B:$B&amp;盘货信息!$C:$C,盘货信息!$K:$K)&lt;1,"",ROUND(_xlfn.XLOOKUP($A500&amp;$B500&amp;$C500,盘货信息!$A:$A&amp;盘货信息!$B:$B&amp;盘货信息!$C:$C,盘货信息!$K:$K),0)&amp;"元预估焕新补贴"))</f>
        <v/>
      </c>
      <c r="L500" s="27" t="str" cm="1">
        <f t="array" ref="L500">IF($C500="","",IF(AND(_xlfn.XLOOKUP($A500&amp;$B500&amp;$C500,盘货信息!$A:$A&amp;盘货信息!$B:$B&amp;盘货信息!$C:$C,盘货信息!$L:$L)="是",_xlfn.XLOOKUP($A500&amp;$B500&amp;$C500,盘货信息!$A:$A&amp;盘货信息!$B:$B&amp;盘货信息!$C:$C,盘货信息!$M:$M)="是",_xlfn.XLOOKUP($A500&amp;$B500&amp;$C500,盘货信息!$A:$A&amp;盘货信息!$B:$B&amp;盘货信息!$C:$C,盘货信息!$K:$K)&gt;0),"【全民可用，不限地址】",IF(AND(OR(_xlfn.XLOOKUP($A500&amp;$B500&amp;$C500,盘货信息!$A:$A&amp;盘货信息!$B:$B&amp;盘货信息!$C:$C,盘货信息!$L:$L)="否",_xlfn.XLOOKUP($A500&amp;$B500&amp;$C500,盘货信息!$A:$A&amp;盘货信息!$B:$B&amp;盘货信息!$C:$C,盘货信息!$L:$L)=""),_xlfn.XLOOKUP($A500&amp;$B500&amp;$C500,盘货信息!$A:$A&amp;盘货信息!$B:$B&amp;盘货信息!$C:$C,盘货信息!$M:$M)="是",_xlfn.XLOOKUP($A500&amp;$B500&amp;$C500,盘货信息!$A:$A&amp;盘货信息!$B:$B&amp;盘货信息!$C:$C,盘货信息!$K:$K)&gt;0),"【详情页领取】","")))</f>
        <v/>
      </c>
      <c r="M500" s="27" t="str" cm="1">
        <f t="array" ref="M500">IF($C500="","",IF(_xlfn.XLOOKUP($A500&amp;$B500&amp;$C500,盘货信息!$A:$A&amp;盘货信息!$B:$B&amp;盘货信息!$C:$C,盘货信息!$F:$F)&lt;1,"",_xlfn.XLOOKUP($A500&amp;$B500&amp;$C500,盘货信息!$A:$A&amp;盘货信息!$B:$B&amp;盘货信息!$C:$C,盘货信息!$F:$F)&amp;"元明卷"))</f>
        <v/>
      </c>
      <c r="N500" s="27" t="str">
        <f t="shared" si="15"/>
        <v/>
      </c>
      <c r="O500" s="27" t="str">
        <f>IF(I500="","","【消费券链接】"&amp;固定信息!$B$6)</f>
        <v/>
      </c>
    </row>
    <row r="501" customHeight="1" spans="1:15">
      <c r="A501" s="23" t="str">
        <f>IF(盘货信息!A501="","",盘货信息!A501)</f>
        <v/>
      </c>
      <c r="B501" s="26" t="str">
        <f>IF(盘货信息!B501="","",盘货信息!B501)</f>
        <v/>
      </c>
      <c r="C501" s="23" t="str">
        <f>IF(盘货信息!C501="","",盘货信息!C501)</f>
        <v/>
      </c>
      <c r="D501" s="27" t="str">
        <f t="shared" si="14"/>
        <v/>
      </c>
      <c r="E501" s="27" t="str" cm="1">
        <f t="array" ref="E501">IF($C501="","",IF(AND(OR(_xlfn.XLOOKUP($A501&amp;$B501&amp;$C501,盘货信息!$A:$A&amp;盘货信息!$B:$B&amp;盘货信息!$C:$C,盘货信息!$L:$L)="否",_xlfn.XLOOKUP($A501&amp;$B501&amp;$C501,盘货信息!$A:$A&amp;盘货信息!$B:$B&amp;盘货信息!$C:$C,盘货信息!$L:$L)=""),_xlfn.XLOOKUP($A501&amp;$B501&amp;$C501,盘货信息!$A:$A&amp;盘货信息!$B:$B&amp;盘货信息!$C:$C,盘货信息!$M:$M)="否"),"【预估到手价"&amp;_xlfn.XLOOKUP($A501&amp;$B501&amp;$C501,盘货信息!$A:$A&amp;盘货信息!$B:$B&amp;盘货信息!$C:$C,盘货信息!$D:$D)&amp;"元】",IF(AND(_xlfn.XLOOKUP($A501&amp;$B501&amp;$C501,盘货信息!$A:$A&amp;盘货信息!$B:$B&amp;盘货信息!$C:$C,盘货信息!$M:$M)="是",OR(_xlfn.XLOOKUP($A501&amp;$B501&amp;$C501,盘货信息!$A:$A&amp;盘货信息!$B:$B&amp;盘货信息!$C:$C,盘货信息!$L:$L)="否",_xlfn.XLOOKUP($A501&amp;$B501&amp;$C501,盘货信息!$A:$A&amp;盘货信息!$B:$B&amp;盘货信息!$C:$C,盘货信息!$L:$L)="")),"【预估到手价"&amp;_xlfn.XLOOKUP($A501&amp;$B501&amp;$C501,盘货信息!$A:$A&amp;盘货信息!$B:$B&amp;盘货信息!$C:$C,盘货信息!$D:$D)&amp;"元】"&amp;CHAR(10)&amp;"【焕新补贴预估价"&amp;ROUND(_xlfn.XLOOKUP($A501&amp;$B501&amp;$C501,盘货信息!$A:$A&amp;盘货信息!$B:$B&amp;盘货信息!$C:$C,盘货信息!$E:$E),0)&amp;"元】","【焕新补贴预估价"&amp;ROUND(_xlfn.XLOOKUP($A501&amp;$B501&amp;$C501,盘货信息!$A:$A&amp;盘货信息!$B:$B&amp;盘货信息!$C:$C,盘货信息!$E:$E),0)&amp;"元】")))</f>
        <v/>
      </c>
      <c r="F501" s="27" t="str" cm="1">
        <f t="array" ref="F501">IF($C501="","",_xlfn.XLOOKUP($A501&amp;$B501&amp;$C501,盘货信息!$A:$A&amp;盘货信息!$B:$B&amp;盘货信息!$C:$C,盘货信息!$D:$D)&amp;"元到手价")</f>
        <v/>
      </c>
      <c r="G501" s="27" t="str" cm="1">
        <f t="array" ref="G501">IF($C501="","",IF(_xlfn.XLOOKUP($A501&amp;$B501&amp;$C501,盘货信息!$A:$A&amp;盘货信息!$B:$B&amp;盘货信息!$C:$C,盘货信息!$G:$G)&lt;1,"",ROUND(_xlfn.XLOOKUP($A501&amp;$B501&amp;$C501,盘货信息!$A:$A&amp;盘货信息!$B:$B&amp;盘货信息!$C:$C,盘货信息!$G:$G),0)&amp;"元88VIP立减"))</f>
        <v/>
      </c>
      <c r="H501" s="27" t="str" cm="1">
        <f t="array" ref="H501">IF($C501="","",IF(_xlfn.XLOOKUP($A501&amp;$B501&amp;$C501,盘货信息!$A:$A&amp;盘货信息!$B:$B&amp;盘货信息!$C:$C,盘货信息!$I:$I)&lt;1,"",_xlfn.XLOOKUP($A501&amp;$B501&amp;$C501,盘货信息!$A:$A&amp;盘货信息!$B:$B&amp;盘货信息!$C:$C,盘货信息!$I:$I)&amp;"元惊喜立减"))</f>
        <v/>
      </c>
      <c r="I501" s="27" t="str" cm="1">
        <f t="array" ref="I501">IF($C501="","",IF(_xlfn.XLOOKUP($A501&amp;$B501&amp;$C501,盘货信息!$A:$A&amp;盘货信息!$B:$B&amp;盘货信息!$C:$C,盘货信息!$H:$H)&lt;1,"",ROUND(_xlfn.XLOOKUP($A501&amp;$B501&amp;$C501,盘货信息!$A:$A&amp;盘货信息!$B:$B&amp;盘货信息!$C:$C,盘货信息!$H:$H),0)&amp;"元消费券"))</f>
        <v/>
      </c>
      <c r="J501" s="27" t="str" cm="1">
        <f t="array" ref="J501">IF($C501="","",IF(_xlfn.XLOOKUP($A501&amp;$B501&amp;$C501,盘货信息!$A:$A&amp;盘货信息!$B:$B&amp;盘货信息!$C:$C,盘货信息!$J:$J)&lt;1,"",ROUND(_xlfn.XLOOKUP($A501&amp;$B501&amp;$C501,盘货信息!$A:$A&amp;盘货信息!$B:$B&amp;盘货信息!$C:$C,盘货信息!$J:$J),0)&amp;"元限时补贴"))</f>
        <v/>
      </c>
      <c r="K501" s="27" t="str" cm="1">
        <f t="array" ref="K501">IF($C501="","",IF(_xlfn.XLOOKUP($A501&amp;$B501&amp;$C501,盘货信息!$A:$A&amp;盘货信息!$B:$B&amp;盘货信息!$C:$C,盘货信息!$K:$K)&lt;1,"",ROUND(_xlfn.XLOOKUP($A501&amp;$B501&amp;$C501,盘货信息!$A:$A&amp;盘货信息!$B:$B&amp;盘货信息!$C:$C,盘货信息!$K:$K),0)&amp;"元预估焕新补贴"))</f>
        <v/>
      </c>
      <c r="L501" s="27" t="str" cm="1">
        <f t="array" ref="L501">IF($C501="","",IF(AND(_xlfn.XLOOKUP($A501&amp;$B501&amp;$C501,盘货信息!$A:$A&amp;盘货信息!$B:$B&amp;盘货信息!$C:$C,盘货信息!$L:$L)="是",_xlfn.XLOOKUP($A501&amp;$B501&amp;$C501,盘货信息!$A:$A&amp;盘货信息!$B:$B&amp;盘货信息!$C:$C,盘货信息!$M:$M)="是",_xlfn.XLOOKUP($A501&amp;$B501&amp;$C501,盘货信息!$A:$A&amp;盘货信息!$B:$B&amp;盘货信息!$C:$C,盘货信息!$K:$K)&gt;0),"【全民可用，不限地址】",IF(AND(OR(_xlfn.XLOOKUP($A501&amp;$B501&amp;$C501,盘货信息!$A:$A&amp;盘货信息!$B:$B&amp;盘货信息!$C:$C,盘货信息!$L:$L)="否",_xlfn.XLOOKUP($A501&amp;$B501&amp;$C501,盘货信息!$A:$A&amp;盘货信息!$B:$B&amp;盘货信息!$C:$C,盘货信息!$L:$L)=""),_xlfn.XLOOKUP($A501&amp;$B501&amp;$C501,盘货信息!$A:$A&amp;盘货信息!$B:$B&amp;盘货信息!$C:$C,盘货信息!$M:$M)="是",_xlfn.XLOOKUP($A501&amp;$B501&amp;$C501,盘货信息!$A:$A&amp;盘货信息!$B:$B&amp;盘货信息!$C:$C,盘货信息!$K:$K)&gt;0),"【详情页领取】","")))</f>
        <v/>
      </c>
      <c r="M501" s="27" t="str" cm="1">
        <f t="array" ref="M501">IF($C501="","",IF(_xlfn.XLOOKUP($A501&amp;$B501&amp;$C501,盘货信息!$A:$A&amp;盘货信息!$B:$B&amp;盘货信息!$C:$C,盘货信息!$F:$F)&lt;1,"",_xlfn.XLOOKUP($A501&amp;$B501&amp;$C501,盘货信息!$A:$A&amp;盘货信息!$B:$B&amp;盘货信息!$C:$C,盘货信息!$F:$F)&amp;"元明卷"))</f>
        <v/>
      </c>
      <c r="N501" s="27" t="str">
        <f t="shared" si="15"/>
        <v/>
      </c>
      <c r="O501" s="27" t="str">
        <f>IF(I501="","","【消费券链接】"&amp;固定信息!$B$6)</f>
        <v/>
      </c>
    </row>
  </sheetData>
  <autoFilter xmlns:etc="http://www.wps.cn/officeDocument/2017/etCustomData" ref="A1:O50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50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88983050847458" defaultRowHeight="15" customHeight="1" outlineLevelCol="6"/>
  <cols>
    <col min="1" max="1" width="23.1101694915254" style="12" customWidth="1"/>
    <col min="2" max="2" width="23.6271186440678" style="13" customWidth="1"/>
    <col min="3" max="3" width="34.0762711864407" style="12" customWidth="1"/>
    <col min="4" max="4" width="27.8898305084746" style="12" customWidth="1"/>
    <col min="5" max="7" width="10.7796610169492" style="12" customWidth="1"/>
    <col min="8" max="16384" width="8.88983050847458" style="14"/>
  </cols>
  <sheetData>
    <row r="1" customHeight="1" spans="1:7">
      <c r="A1" s="15" t="str">
        <f>IF(盘货信息!A1="","",盘货信息!A1)</f>
        <v>ID</v>
      </c>
      <c r="B1" s="15" t="str">
        <f>IF(盘货信息!B1="","",盘货信息!B1)</f>
        <v>skuid</v>
      </c>
      <c r="C1" s="16" t="str">
        <f>IF(盘货信息!C1="","",盘货信息!C1)</f>
        <v>型号</v>
      </c>
      <c r="D1" s="16" t="s">
        <v>48</v>
      </c>
      <c r="E1" s="16" t="s">
        <v>55</v>
      </c>
      <c r="F1" s="16" t="s">
        <v>56</v>
      </c>
      <c r="G1" s="16" t="s">
        <v>57</v>
      </c>
    </row>
    <row r="2" customHeight="1" spans="1:7">
      <c r="A2" s="17" t="str">
        <f>IF(盘货信息!A2="","",盘货信息!A2)</f>
        <v/>
      </c>
      <c r="B2" s="17" t="str">
        <f>IF(盘货信息!B2="","",盘货信息!B2)</f>
        <v/>
      </c>
      <c r="C2" s="18" t="str">
        <f>IF(盘货信息!C2="","",盘货信息!C2)</f>
        <v/>
      </c>
      <c r="D2" s="18" t="str">
        <f>IF(C2="","","【服务】"&amp;_xlfn.TEXTJOIN("，",TRUE,E2:G2))</f>
        <v/>
      </c>
      <c r="E2" s="18" t="str" cm="1">
        <f t="array" ref="E2">IF(_xlfn.XLOOKUP($A2&amp;$B2&amp;$C2,盘货信息!$A:$A&amp;盘货信息!$B:$B&amp;盘货信息!$C:$C,盘货信息!$AA:$AA)="","",_xlfn.XLOOKUP($A2&amp;$B2&amp;$C2,盘货信息!$A:$A&amp;盘货信息!$B:$B&amp;盘货信息!$C:$C,盘货信息!$AA:$AA)&amp;"免息")</f>
        <v/>
      </c>
      <c r="F2" s="18" t="str" cm="1">
        <f t="array" ref="F2">IF(_xlfn.XLOOKUP($A2&amp;$B2&amp;$C2,盘货信息!$A:$A&amp;盘货信息!$B:$B&amp;盘货信息!$C:$C,盘货信息!$AB:$AB)="","",_xlfn.XLOOKUP($A2&amp;$B2&amp;$C2,盘货信息!$A:$A&amp;盘货信息!$B:$B&amp;盘货信息!$C:$C,盘货信息!$AB:$AB))</f>
        <v/>
      </c>
      <c r="G2" s="18"/>
    </row>
    <row r="3" customHeight="1" spans="1:7">
      <c r="A3" s="17" t="str">
        <f>IF(盘货信息!A3="","",盘货信息!A3)</f>
        <v/>
      </c>
      <c r="B3" s="17" t="str">
        <f>IF(盘货信息!B3="","",盘货信息!B3)</f>
        <v/>
      </c>
      <c r="C3" s="18" t="str">
        <f>IF(盘货信息!C3="","",盘货信息!C3)</f>
        <v/>
      </c>
      <c r="D3" s="18" t="str">
        <f t="shared" ref="D3:D66" si="0">IF(C3="","","【服务】"&amp;_xlfn.TEXTJOIN("，",TRUE,E3:G3))</f>
        <v/>
      </c>
      <c r="E3" s="18" t="str" cm="1">
        <f t="array" ref="E3">IF(_xlfn.XLOOKUP($A3&amp;$B3&amp;$C3,盘货信息!$A:$A&amp;盘货信息!$B:$B&amp;盘货信息!$C:$C,盘货信息!$AA:$AA)="","",_xlfn.XLOOKUP($A3&amp;$B3&amp;$C3,盘货信息!$A:$A&amp;盘货信息!$B:$B&amp;盘货信息!$C:$C,盘货信息!$AA:$AA)&amp;"免息")</f>
        <v/>
      </c>
      <c r="F3" s="18" t="str" cm="1">
        <f t="array" ref="F3">IF(_xlfn.XLOOKUP($A3&amp;$B3&amp;$C3,盘货信息!$A:$A&amp;盘货信息!$B:$B&amp;盘货信息!$C:$C,盘货信息!$AB:$AB)="","",_xlfn.XLOOKUP($A3&amp;$B3&amp;$C3,盘货信息!$A:$A&amp;盘货信息!$B:$B&amp;盘货信息!$C:$C,盘货信息!$AB:$AB))</f>
        <v/>
      </c>
      <c r="G3" s="18"/>
    </row>
    <row r="4" customHeight="1" spans="1:7">
      <c r="A4" s="17" t="str">
        <f>IF(盘货信息!A4="","",盘货信息!A4)</f>
        <v/>
      </c>
      <c r="B4" s="17" t="str">
        <f>IF(盘货信息!B4="","",盘货信息!B4)</f>
        <v/>
      </c>
      <c r="C4" s="18" t="str">
        <f>IF(盘货信息!C4="","",盘货信息!C4)</f>
        <v/>
      </c>
      <c r="D4" s="18" t="str">
        <f t="shared" si="0"/>
        <v/>
      </c>
      <c r="E4" s="18" t="str" cm="1">
        <f t="array" ref="E4">IF(_xlfn.XLOOKUP($A4&amp;$B4&amp;$C4,盘货信息!$A:$A&amp;盘货信息!$B:$B&amp;盘货信息!$C:$C,盘货信息!$AA:$AA)="","",_xlfn.XLOOKUP($A4&amp;$B4&amp;$C4,盘货信息!$A:$A&amp;盘货信息!$B:$B&amp;盘货信息!$C:$C,盘货信息!$AA:$AA)&amp;"免息")</f>
        <v/>
      </c>
      <c r="F4" s="18" t="str" cm="1">
        <f t="array" ref="F4">IF(_xlfn.XLOOKUP($A4&amp;$B4&amp;$C4,盘货信息!$A:$A&amp;盘货信息!$B:$B&amp;盘货信息!$C:$C,盘货信息!$AB:$AB)="","",_xlfn.XLOOKUP($A4&amp;$B4&amp;$C4,盘货信息!$A:$A&amp;盘货信息!$B:$B&amp;盘货信息!$C:$C,盘货信息!$AB:$AB))</f>
        <v/>
      </c>
      <c r="G4" s="18"/>
    </row>
    <row r="5" customHeight="1" spans="1:7">
      <c r="A5" s="17" t="str">
        <f>IF(盘货信息!A5="","",盘货信息!A5)</f>
        <v/>
      </c>
      <c r="B5" s="17" t="str">
        <f>IF(盘货信息!B5="","",盘货信息!B5)</f>
        <v/>
      </c>
      <c r="C5" s="18" t="str">
        <f>IF(盘货信息!C5="","",盘货信息!C5)</f>
        <v/>
      </c>
      <c r="D5" s="18" t="str">
        <f t="shared" si="0"/>
        <v/>
      </c>
      <c r="E5" s="18" t="str" cm="1">
        <f t="array" ref="E5">IF(_xlfn.XLOOKUP($A5&amp;$B5&amp;$C5,盘货信息!$A:$A&amp;盘货信息!$B:$B&amp;盘货信息!$C:$C,盘货信息!$AA:$AA)="","",_xlfn.XLOOKUP($A5&amp;$B5&amp;$C5,盘货信息!$A:$A&amp;盘货信息!$B:$B&amp;盘货信息!$C:$C,盘货信息!$AA:$AA)&amp;"免息")</f>
        <v/>
      </c>
      <c r="F5" s="18" t="str" cm="1">
        <f t="array" ref="F5">IF(_xlfn.XLOOKUP($A5&amp;$B5&amp;$C5,盘货信息!$A:$A&amp;盘货信息!$B:$B&amp;盘货信息!$C:$C,盘货信息!$AB:$AB)="","",_xlfn.XLOOKUP($A5&amp;$B5&amp;$C5,盘货信息!$A:$A&amp;盘货信息!$B:$B&amp;盘货信息!$C:$C,盘货信息!$AB:$AB))</f>
        <v/>
      </c>
      <c r="G5" s="18"/>
    </row>
    <row r="6" customHeight="1" spans="1:7">
      <c r="A6" s="17" t="str">
        <f>IF(盘货信息!A6="","",盘货信息!A6)</f>
        <v/>
      </c>
      <c r="B6" s="17" t="str">
        <f>IF(盘货信息!B6="","",盘货信息!B6)</f>
        <v/>
      </c>
      <c r="C6" s="18" t="str">
        <f>IF(盘货信息!C6="","",盘货信息!C6)</f>
        <v/>
      </c>
      <c r="D6" s="18" t="str">
        <f t="shared" si="0"/>
        <v/>
      </c>
      <c r="E6" s="18" t="str" cm="1">
        <f t="array" ref="E6">IF(_xlfn.XLOOKUP($A6&amp;$B6&amp;$C6,盘货信息!$A:$A&amp;盘货信息!$B:$B&amp;盘货信息!$C:$C,盘货信息!$AA:$AA)="","",_xlfn.XLOOKUP($A6&amp;$B6&amp;$C6,盘货信息!$A:$A&amp;盘货信息!$B:$B&amp;盘货信息!$C:$C,盘货信息!$AA:$AA)&amp;"免息")</f>
        <v/>
      </c>
      <c r="F6" s="18" t="str" cm="1">
        <f t="array" ref="F6">IF(_xlfn.XLOOKUP($A6&amp;$B6&amp;$C6,盘货信息!$A:$A&amp;盘货信息!$B:$B&amp;盘货信息!$C:$C,盘货信息!$AB:$AB)="","",_xlfn.XLOOKUP($A6&amp;$B6&amp;$C6,盘货信息!$A:$A&amp;盘货信息!$B:$B&amp;盘货信息!$C:$C,盘货信息!$AB:$AB))</f>
        <v/>
      </c>
      <c r="G6" s="18"/>
    </row>
    <row r="7" customHeight="1" spans="1:7">
      <c r="A7" s="17" t="str">
        <f>IF(盘货信息!A7="","",盘货信息!A7)</f>
        <v/>
      </c>
      <c r="B7" s="17" t="str">
        <f>IF(盘货信息!B7="","",盘货信息!B7)</f>
        <v/>
      </c>
      <c r="C7" s="18" t="str">
        <f>IF(盘货信息!C7="","",盘货信息!C7)</f>
        <v/>
      </c>
      <c r="D7" s="18" t="str">
        <f t="shared" si="0"/>
        <v/>
      </c>
      <c r="E7" s="18" t="str" cm="1">
        <f t="array" ref="E7">IF(_xlfn.XLOOKUP($A7&amp;$B7&amp;$C7,盘货信息!$A:$A&amp;盘货信息!$B:$B&amp;盘货信息!$C:$C,盘货信息!$AA:$AA)="","",_xlfn.XLOOKUP($A7&amp;$B7&amp;$C7,盘货信息!$A:$A&amp;盘货信息!$B:$B&amp;盘货信息!$C:$C,盘货信息!$AA:$AA)&amp;"免息")</f>
        <v/>
      </c>
      <c r="F7" s="18" t="str" cm="1">
        <f t="array" ref="F7">IF(_xlfn.XLOOKUP($A7&amp;$B7&amp;$C7,盘货信息!$A:$A&amp;盘货信息!$B:$B&amp;盘货信息!$C:$C,盘货信息!$AB:$AB)="","",_xlfn.XLOOKUP($A7&amp;$B7&amp;$C7,盘货信息!$A:$A&amp;盘货信息!$B:$B&amp;盘货信息!$C:$C,盘货信息!$AB:$AB))</f>
        <v/>
      </c>
      <c r="G7" s="18"/>
    </row>
    <row r="8" customHeight="1" spans="1:7">
      <c r="A8" s="17" t="str">
        <f>IF(盘货信息!A8="","",盘货信息!A8)</f>
        <v/>
      </c>
      <c r="B8" s="17" t="str">
        <f>IF(盘货信息!B8="","",盘货信息!B8)</f>
        <v/>
      </c>
      <c r="C8" s="18" t="str">
        <f>IF(盘货信息!C8="","",盘货信息!C8)</f>
        <v/>
      </c>
      <c r="D8" s="18" t="str">
        <f t="shared" si="0"/>
        <v/>
      </c>
      <c r="E8" s="18" t="str" cm="1">
        <f t="array" ref="E8">IF(_xlfn.XLOOKUP($A8&amp;$B8&amp;$C8,盘货信息!$A:$A&amp;盘货信息!$B:$B&amp;盘货信息!$C:$C,盘货信息!$AA:$AA)="","",_xlfn.XLOOKUP($A8&amp;$B8&amp;$C8,盘货信息!$A:$A&amp;盘货信息!$B:$B&amp;盘货信息!$C:$C,盘货信息!$AA:$AA)&amp;"免息")</f>
        <v/>
      </c>
      <c r="F8" s="18" t="str" cm="1">
        <f t="array" ref="F8">IF(_xlfn.XLOOKUP($A8&amp;$B8&amp;$C8,盘货信息!$A:$A&amp;盘货信息!$B:$B&amp;盘货信息!$C:$C,盘货信息!$AB:$AB)="","",_xlfn.XLOOKUP($A8&amp;$B8&amp;$C8,盘货信息!$A:$A&amp;盘货信息!$B:$B&amp;盘货信息!$C:$C,盘货信息!$AB:$AB))</f>
        <v/>
      </c>
      <c r="G8" s="18"/>
    </row>
    <row r="9" customHeight="1" spans="1:7">
      <c r="A9" s="17" t="str">
        <f>IF(盘货信息!A9="","",盘货信息!A9)</f>
        <v/>
      </c>
      <c r="B9" s="17" t="str">
        <f>IF(盘货信息!B9="","",盘货信息!B9)</f>
        <v/>
      </c>
      <c r="C9" s="18" t="str">
        <f>IF(盘货信息!C9="","",盘货信息!C9)</f>
        <v/>
      </c>
      <c r="D9" s="18" t="str">
        <f t="shared" si="0"/>
        <v/>
      </c>
      <c r="E9" s="18" t="str" cm="1">
        <f t="array" ref="E9">IF(_xlfn.XLOOKUP($A9&amp;$B9&amp;$C9,盘货信息!$A:$A&amp;盘货信息!$B:$B&amp;盘货信息!$C:$C,盘货信息!$AA:$AA)="","",_xlfn.XLOOKUP($A9&amp;$B9&amp;$C9,盘货信息!$A:$A&amp;盘货信息!$B:$B&amp;盘货信息!$C:$C,盘货信息!$AA:$AA)&amp;"免息")</f>
        <v/>
      </c>
      <c r="F9" s="18" t="str" cm="1">
        <f t="array" ref="F9">IF(_xlfn.XLOOKUP($A9&amp;$B9&amp;$C9,盘货信息!$A:$A&amp;盘货信息!$B:$B&amp;盘货信息!$C:$C,盘货信息!$AB:$AB)="","",_xlfn.XLOOKUP($A9&amp;$B9&amp;$C9,盘货信息!$A:$A&amp;盘货信息!$B:$B&amp;盘货信息!$C:$C,盘货信息!$AB:$AB))</f>
        <v/>
      </c>
      <c r="G9" s="18"/>
    </row>
    <row r="10" customHeight="1" spans="1:7">
      <c r="A10" s="17" t="str">
        <f>IF(盘货信息!A10="","",盘货信息!A10)</f>
        <v/>
      </c>
      <c r="B10" s="17" t="str">
        <f>IF(盘货信息!B10="","",盘货信息!B10)</f>
        <v/>
      </c>
      <c r="C10" s="18" t="str">
        <f>IF(盘货信息!C10="","",盘货信息!C10)</f>
        <v/>
      </c>
      <c r="D10" s="18" t="str">
        <f t="shared" si="0"/>
        <v/>
      </c>
      <c r="E10" s="18" t="str" cm="1">
        <f t="array" ref="E10">IF(_xlfn.XLOOKUP($A10&amp;$B10&amp;$C10,盘货信息!$A:$A&amp;盘货信息!$B:$B&amp;盘货信息!$C:$C,盘货信息!$AA:$AA)="","",_xlfn.XLOOKUP($A10&amp;$B10&amp;$C10,盘货信息!$A:$A&amp;盘货信息!$B:$B&amp;盘货信息!$C:$C,盘货信息!$AA:$AA)&amp;"免息")</f>
        <v/>
      </c>
      <c r="F10" s="18" t="str" cm="1">
        <f t="array" ref="F10">IF(_xlfn.XLOOKUP($A10&amp;$B10&amp;$C10,盘货信息!$A:$A&amp;盘货信息!$B:$B&amp;盘货信息!$C:$C,盘货信息!$AB:$AB)="","",_xlfn.XLOOKUP($A10&amp;$B10&amp;$C10,盘货信息!$A:$A&amp;盘货信息!$B:$B&amp;盘货信息!$C:$C,盘货信息!$AB:$AB))</f>
        <v/>
      </c>
      <c r="G10" s="18"/>
    </row>
    <row r="11" customHeight="1" spans="1:7">
      <c r="A11" s="17" t="str">
        <f>IF(盘货信息!A11="","",盘货信息!A11)</f>
        <v/>
      </c>
      <c r="B11" s="17" t="str">
        <f>IF(盘货信息!B11="","",盘货信息!B11)</f>
        <v/>
      </c>
      <c r="C11" s="18" t="str">
        <f>IF(盘货信息!C11="","",盘货信息!C11)</f>
        <v/>
      </c>
      <c r="D11" s="18" t="str">
        <f t="shared" si="0"/>
        <v/>
      </c>
      <c r="E11" s="18" t="str" cm="1">
        <f t="array" ref="E11">IF(_xlfn.XLOOKUP($A11&amp;$B11&amp;$C11,盘货信息!$A:$A&amp;盘货信息!$B:$B&amp;盘货信息!$C:$C,盘货信息!$AA:$AA)="","",_xlfn.XLOOKUP($A11&amp;$B11&amp;$C11,盘货信息!$A:$A&amp;盘货信息!$B:$B&amp;盘货信息!$C:$C,盘货信息!$AA:$AA)&amp;"免息")</f>
        <v/>
      </c>
      <c r="F11" s="18" t="str" cm="1">
        <f t="array" ref="F11">IF(_xlfn.XLOOKUP($A11&amp;$B11&amp;$C11,盘货信息!$A:$A&amp;盘货信息!$B:$B&amp;盘货信息!$C:$C,盘货信息!$AB:$AB)="","",_xlfn.XLOOKUP($A11&amp;$B11&amp;$C11,盘货信息!$A:$A&amp;盘货信息!$B:$B&amp;盘货信息!$C:$C,盘货信息!$AB:$AB))</f>
        <v/>
      </c>
      <c r="G11" s="18"/>
    </row>
    <row r="12" customHeight="1" spans="1:7">
      <c r="A12" s="17" t="str">
        <f>IF(盘货信息!A12="","",盘货信息!A12)</f>
        <v/>
      </c>
      <c r="B12" s="17" t="str">
        <f>IF(盘货信息!B12="","",盘货信息!B12)</f>
        <v/>
      </c>
      <c r="C12" s="18" t="str">
        <f>IF(盘货信息!C12="","",盘货信息!C12)</f>
        <v/>
      </c>
      <c r="D12" s="18" t="str">
        <f t="shared" si="0"/>
        <v/>
      </c>
      <c r="E12" s="18" t="str" cm="1">
        <f t="array" ref="E12">IF(_xlfn.XLOOKUP($A12&amp;$B12&amp;$C12,盘货信息!$A:$A&amp;盘货信息!$B:$B&amp;盘货信息!$C:$C,盘货信息!$AA:$AA)="","",_xlfn.XLOOKUP($A12&amp;$B12&amp;$C12,盘货信息!$A:$A&amp;盘货信息!$B:$B&amp;盘货信息!$C:$C,盘货信息!$AA:$AA)&amp;"免息")</f>
        <v/>
      </c>
      <c r="F12" s="18" t="str" cm="1">
        <f t="array" ref="F12">IF(_xlfn.XLOOKUP($A12&amp;$B12&amp;$C12,盘货信息!$A:$A&amp;盘货信息!$B:$B&amp;盘货信息!$C:$C,盘货信息!$AB:$AB)="","",_xlfn.XLOOKUP($A12&amp;$B12&amp;$C12,盘货信息!$A:$A&amp;盘货信息!$B:$B&amp;盘货信息!$C:$C,盘货信息!$AB:$AB))</f>
        <v/>
      </c>
      <c r="G12" s="18"/>
    </row>
    <row r="13" customHeight="1" spans="1:7">
      <c r="A13" s="17" t="str">
        <f>IF(盘货信息!A13="","",盘货信息!A13)</f>
        <v/>
      </c>
      <c r="B13" s="17" t="str">
        <f>IF(盘货信息!B13="","",盘货信息!B13)</f>
        <v/>
      </c>
      <c r="C13" s="18" t="str">
        <f>IF(盘货信息!C13="","",盘货信息!C13)</f>
        <v/>
      </c>
      <c r="D13" s="18" t="str">
        <f t="shared" si="0"/>
        <v/>
      </c>
      <c r="E13" s="18" t="str" cm="1">
        <f t="array" ref="E13">IF(_xlfn.XLOOKUP($A13&amp;$B13&amp;$C13,盘货信息!$A:$A&amp;盘货信息!$B:$B&amp;盘货信息!$C:$C,盘货信息!$AA:$AA)="","",_xlfn.XLOOKUP($A13&amp;$B13&amp;$C13,盘货信息!$A:$A&amp;盘货信息!$B:$B&amp;盘货信息!$C:$C,盘货信息!$AA:$AA)&amp;"免息")</f>
        <v/>
      </c>
      <c r="F13" s="18" t="str" cm="1">
        <f t="array" ref="F13">IF(_xlfn.XLOOKUP($A13&amp;$B13&amp;$C13,盘货信息!$A:$A&amp;盘货信息!$B:$B&amp;盘货信息!$C:$C,盘货信息!$AB:$AB)="","",_xlfn.XLOOKUP($A13&amp;$B13&amp;$C13,盘货信息!$A:$A&amp;盘货信息!$B:$B&amp;盘货信息!$C:$C,盘货信息!$AB:$AB))</f>
        <v/>
      </c>
      <c r="G13" s="18"/>
    </row>
    <row r="14" customHeight="1" spans="1:7">
      <c r="A14" s="17" t="str">
        <f>IF(盘货信息!A14="","",盘货信息!A14)</f>
        <v/>
      </c>
      <c r="B14" s="17" t="str">
        <f>IF(盘货信息!B14="","",盘货信息!B14)</f>
        <v/>
      </c>
      <c r="C14" s="18" t="str">
        <f>IF(盘货信息!C14="","",盘货信息!C14)</f>
        <v/>
      </c>
      <c r="D14" s="18" t="str">
        <f t="shared" si="0"/>
        <v/>
      </c>
      <c r="E14" s="18" t="str" cm="1">
        <f t="array" ref="E14">IF(_xlfn.XLOOKUP($A14&amp;$B14&amp;$C14,盘货信息!$A:$A&amp;盘货信息!$B:$B&amp;盘货信息!$C:$C,盘货信息!$AA:$AA)="","",_xlfn.XLOOKUP($A14&amp;$B14&amp;$C14,盘货信息!$A:$A&amp;盘货信息!$B:$B&amp;盘货信息!$C:$C,盘货信息!$AA:$AA)&amp;"免息")</f>
        <v/>
      </c>
      <c r="F14" s="18" t="str" cm="1">
        <f t="array" ref="F14">IF(_xlfn.XLOOKUP($A14&amp;$B14&amp;$C14,盘货信息!$A:$A&amp;盘货信息!$B:$B&amp;盘货信息!$C:$C,盘货信息!$AB:$AB)="","",_xlfn.XLOOKUP($A14&amp;$B14&amp;$C14,盘货信息!$A:$A&amp;盘货信息!$B:$B&amp;盘货信息!$C:$C,盘货信息!$AB:$AB))</f>
        <v/>
      </c>
      <c r="G14" s="18"/>
    </row>
    <row r="15" customHeight="1" spans="1:7">
      <c r="A15" s="17" t="str">
        <f>IF(盘货信息!A15="","",盘货信息!A15)</f>
        <v/>
      </c>
      <c r="B15" s="17" t="str">
        <f>IF(盘货信息!B15="","",盘货信息!B15)</f>
        <v/>
      </c>
      <c r="C15" s="18" t="str">
        <f>IF(盘货信息!C15="","",盘货信息!C15)</f>
        <v/>
      </c>
      <c r="D15" s="18" t="str">
        <f t="shared" si="0"/>
        <v/>
      </c>
      <c r="E15" s="18" t="str" cm="1">
        <f t="array" ref="E15">IF(_xlfn.XLOOKUP($A15&amp;$B15&amp;$C15,盘货信息!$A:$A&amp;盘货信息!$B:$B&amp;盘货信息!$C:$C,盘货信息!$AA:$AA)="","",_xlfn.XLOOKUP($A15&amp;$B15&amp;$C15,盘货信息!$A:$A&amp;盘货信息!$B:$B&amp;盘货信息!$C:$C,盘货信息!$AA:$AA)&amp;"免息")</f>
        <v/>
      </c>
      <c r="F15" s="18" t="str" cm="1">
        <f t="array" ref="F15">IF(_xlfn.XLOOKUP($A15&amp;$B15&amp;$C15,盘货信息!$A:$A&amp;盘货信息!$B:$B&amp;盘货信息!$C:$C,盘货信息!$AB:$AB)="","",_xlfn.XLOOKUP($A15&amp;$B15&amp;$C15,盘货信息!$A:$A&amp;盘货信息!$B:$B&amp;盘货信息!$C:$C,盘货信息!$AB:$AB))</f>
        <v/>
      </c>
      <c r="G15" s="18"/>
    </row>
    <row r="16" customHeight="1" spans="1:7">
      <c r="A16" s="17" t="str">
        <f>IF(盘货信息!A16="","",盘货信息!A16)</f>
        <v/>
      </c>
      <c r="B16" s="17" t="str">
        <f>IF(盘货信息!B16="","",盘货信息!B16)</f>
        <v/>
      </c>
      <c r="C16" s="18" t="str">
        <f>IF(盘货信息!C16="","",盘货信息!C16)</f>
        <v/>
      </c>
      <c r="D16" s="18" t="str">
        <f t="shared" si="0"/>
        <v/>
      </c>
      <c r="E16" s="18" t="str" cm="1">
        <f t="array" ref="E16">IF(_xlfn.XLOOKUP($A16&amp;$B16&amp;$C16,盘货信息!$A:$A&amp;盘货信息!$B:$B&amp;盘货信息!$C:$C,盘货信息!$AA:$AA)="","",_xlfn.XLOOKUP($A16&amp;$B16&amp;$C16,盘货信息!$A:$A&amp;盘货信息!$B:$B&amp;盘货信息!$C:$C,盘货信息!$AA:$AA)&amp;"免息")</f>
        <v/>
      </c>
      <c r="F16" s="18" t="str" cm="1">
        <f t="array" ref="F16">IF(_xlfn.XLOOKUP($A16&amp;$B16&amp;$C16,盘货信息!$A:$A&amp;盘货信息!$B:$B&amp;盘货信息!$C:$C,盘货信息!$AB:$AB)="","",_xlfn.XLOOKUP($A16&amp;$B16&amp;$C16,盘货信息!$A:$A&amp;盘货信息!$B:$B&amp;盘货信息!$C:$C,盘货信息!$AB:$AB))</f>
        <v/>
      </c>
      <c r="G16" s="18"/>
    </row>
    <row r="17" customHeight="1" spans="1:7">
      <c r="A17" s="17" t="str">
        <f>IF(盘货信息!A17="","",盘货信息!A17)</f>
        <v/>
      </c>
      <c r="B17" s="17" t="str">
        <f>IF(盘货信息!B17="","",盘货信息!B17)</f>
        <v/>
      </c>
      <c r="C17" s="18" t="str">
        <f>IF(盘货信息!C17="","",盘货信息!C17)</f>
        <v/>
      </c>
      <c r="D17" s="18" t="str">
        <f t="shared" si="0"/>
        <v/>
      </c>
      <c r="E17" s="18" t="str" cm="1">
        <f t="array" ref="E17">IF(_xlfn.XLOOKUP($A17&amp;$B17&amp;$C17,盘货信息!$A:$A&amp;盘货信息!$B:$B&amp;盘货信息!$C:$C,盘货信息!$AA:$AA)="","",_xlfn.XLOOKUP($A17&amp;$B17&amp;$C17,盘货信息!$A:$A&amp;盘货信息!$B:$B&amp;盘货信息!$C:$C,盘货信息!$AA:$AA)&amp;"免息")</f>
        <v/>
      </c>
      <c r="F17" s="18" t="str" cm="1">
        <f t="array" ref="F17">IF(_xlfn.XLOOKUP($A17&amp;$B17&amp;$C17,盘货信息!$A:$A&amp;盘货信息!$B:$B&amp;盘货信息!$C:$C,盘货信息!$AB:$AB)="","",_xlfn.XLOOKUP($A17&amp;$B17&amp;$C17,盘货信息!$A:$A&amp;盘货信息!$B:$B&amp;盘货信息!$C:$C,盘货信息!$AB:$AB))</f>
        <v/>
      </c>
      <c r="G17" s="18"/>
    </row>
    <row r="18" customHeight="1" spans="1:7">
      <c r="A18" s="17" t="str">
        <f>IF(盘货信息!A18="","",盘货信息!A18)</f>
        <v/>
      </c>
      <c r="B18" s="17" t="str">
        <f>IF(盘货信息!B18="","",盘货信息!B18)</f>
        <v/>
      </c>
      <c r="C18" s="18" t="str">
        <f>IF(盘货信息!C18="","",盘货信息!C18)</f>
        <v/>
      </c>
      <c r="D18" s="18" t="str">
        <f t="shared" si="0"/>
        <v/>
      </c>
      <c r="E18" s="18" t="str" cm="1">
        <f t="array" ref="E18">IF(_xlfn.XLOOKUP($A18&amp;$B18&amp;$C18,盘货信息!$A:$A&amp;盘货信息!$B:$B&amp;盘货信息!$C:$C,盘货信息!$AA:$AA)="","",_xlfn.XLOOKUP($A18&amp;$B18&amp;$C18,盘货信息!$A:$A&amp;盘货信息!$B:$B&amp;盘货信息!$C:$C,盘货信息!$AA:$AA)&amp;"免息")</f>
        <v/>
      </c>
      <c r="F18" s="18" t="str" cm="1">
        <f t="array" ref="F18">IF(_xlfn.XLOOKUP($A18&amp;$B18&amp;$C18,盘货信息!$A:$A&amp;盘货信息!$B:$B&amp;盘货信息!$C:$C,盘货信息!$AB:$AB)="","",_xlfn.XLOOKUP($A18&amp;$B18&amp;$C18,盘货信息!$A:$A&amp;盘货信息!$B:$B&amp;盘货信息!$C:$C,盘货信息!$AB:$AB))</f>
        <v/>
      </c>
      <c r="G18" s="18"/>
    </row>
    <row r="19" customHeight="1" spans="1:7">
      <c r="A19" s="17" t="str">
        <f>IF(盘货信息!A19="","",盘货信息!A19)</f>
        <v/>
      </c>
      <c r="B19" s="17" t="str">
        <f>IF(盘货信息!B19="","",盘货信息!B19)</f>
        <v/>
      </c>
      <c r="C19" s="18" t="str">
        <f>IF(盘货信息!C19="","",盘货信息!C19)</f>
        <v/>
      </c>
      <c r="D19" s="18" t="str">
        <f t="shared" si="0"/>
        <v/>
      </c>
      <c r="E19" s="18" t="str" cm="1">
        <f t="array" ref="E19">IF(_xlfn.XLOOKUP($A19&amp;$B19&amp;$C19,盘货信息!$A:$A&amp;盘货信息!$B:$B&amp;盘货信息!$C:$C,盘货信息!$AA:$AA)="","",_xlfn.XLOOKUP($A19&amp;$B19&amp;$C19,盘货信息!$A:$A&amp;盘货信息!$B:$B&amp;盘货信息!$C:$C,盘货信息!$AA:$AA)&amp;"免息")</f>
        <v/>
      </c>
      <c r="F19" s="18" t="str" cm="1">
        <f t="array" ref="F19">IF(_xlfn.XLOOKUP($A19&amp;$B19&amp;$C19,盘货信息!$A:$A&amp;盘货信息!$B:$B&amp;盘货信息!$C:$C,盘货信息!$AB:$AB)="","",_xlfn.XLOOKUP($A19&amp;$B19&amp;$C19,盘货信息!$A:$A&amp;盘货信息!$B:$B&amp;盘货信息!$C:$C,盘货信息!$AB:$AB))</f>
        <v/>
      </c>
      <c r="G19" s="18"/>
    </row>
    <row r="20" customHeight="1" spans="1:7">
      <c r="A20" s="17" t="str">
        <f>IF(盘货信息!A20="","",盘货信息!A20)</f>
        <v/>
      </c>
      <c r="B20" s="17" t="str">
        <f>IF(盘货信息!B20="","",盘货信息!B20)</f>
        <v/>
      </c>
      <c r="C20" s="18" t="str">
        <f>IF(盘货信息!C20="","",盘货信息!C20)</f>
        <v/>
      </c>
      <c r="D20" s="18" t="str">
        <f t="shared" si="0"/>
        <v/>
      </c>
      <c r="E20" s="18" t="str" cm="1">
        <f t="array" ref="E20">IF(_xlfn.XLOOKUP($A20&amp;$B20&amp;$C20,盘货信息!$A:$A&amp;盘货信息!$B:$B&amp;盘货信息!$C:$C,盘货信息!$AA:$AA)="","",_xlfn.XLOOKUP($A20&amp;$B20&amp;$C20,盘货信息!$A:$A&amp;盘货信息!$B:$B&amp;盘货信息!$C:$C,盘货信息!$AA:$AA)&amp;"免息")</f>
        <v/>
      </c>
      <c r="F20" s="18" t="str" cm="1">
        <f t="array" ref="F20">IF(_xlfn.XLOOKUP($A20&amp;$B20&amp;$C20,盘货信息!$A:$A&amp;盘货信息!$B:$B&amp;盘货信息!$C:$C,盘货信息!$AB:$AB)="","",_xlfn.XLOOKUP($A20&amp;$B20&amp;$C20,盘货信息!$A:$A&amp;盘货信息!$B:$B&amp;盘货信息!$C:$C,盘货信息!$AB:$AB))</f>
        <v/>
      </c>
      <c r="G20" s="18"/>
    </row>
    <row r="21" customHeight="1" spans="1:7">
      <c r="A21" s="17" t="str">
        <f>IF(盘货信息!A21="","",盘货信息!A21)</f>
        <v/>
      </c>
      <c r="B21" s="17" t="str">
        <f>IF(盘货信息!B21="","",盘货信息!B21)</f>
        <v/>
      </c>
      <c r="C21" s="18" t="str">
        <f>IF(盘货信息!C21="","",盘货信息!C21)</f>
        <v/>
      </c>
      <c r="D21" s="18" t="str">
        <f t="shared" si="0"/>
        <v/>
      </c>
      <c r="E21" s="18" t="str" cm="1">
        <f t="array" ref="E21">IF(_xlfn.XLOOKUP($A21&amp;$B21&amp;$C21,盘货信息!$A:$A&amp;盘货信息!$B:$B&amp;盘货信息!$C:$C,盘货信息!$AA:$AA)="","",_xlfn.XLOOKUP($A21&amp;$B21&amp;$C21,盘货信息!$A:$A&amp;盘货信息!$B:$B&amp;盘货信息!$C:$C,盘货信息!$AA:$AA)&amp;"免息")</f>
        <v/>
      </c>
      <c r="F21" s="18" t="str" cm="1">
        <f t="array" ref="F21">IF(_xlfn.XLOOKUP($A21&amp;$B21&amp;$C21,盘货信息!$A:$A&amp;盘货信息!$B:$B&amp;盘货信息!$C:$C,盘货信息!$AB:$AB)="","",_xlfn.XLOOKUP($A21&amp;$B21&amp;$C21,盘货信息!$A:$A&amp;盘货信息!$B:$B&amp;盘货信息!$C:$C,盘货信息!$AB:$AB))</f>
        <v/>
      </c>
      <c r="G21" s="18"/>
    </row>
    <row r="22" customHeight="1" spans="1:7">
      <c r="A22" s="17" t="str">
        <f>IF(盘货信息!A22="","",盘货信息!A22)</f>
        <v/>
      </c>
      <c r="B22" s="17" t="str">
        <f>IF(盘货信息!B22="","",盘货信息!B22)</f>
        <v/>
      </c>
      <c r="C22" s="18" t="str">
        <f>IF(盘货信息!C22="","",盘货信息!C22)</f>
        <v/>
      </c>
      <c r="D22" s="18" t="str">
        <f t="shared" si="0"/>
        <v/>
      </c>
      <c r="E22" s="18" t="str" cm="1">
        <f t="array" ref="E22">IF(_xlfn.XLOOKUP($A22&amp;$B22&amp;$C22,盘货信息!$A:$A&amp;盘货信息!$B:$B&amp;盘货信息!$C:$C,盘货信息!$AA:$AA)="","",_xlfn.XLOOKUP($A22&amp;$B22&amp;$C22,盘货信息!$A:$A&amp;盘货信息!$B:$B&amp;盘货信息!$C:$C,盘货信息!$AA:$AA)&amp;"免息")</f>
        <v/>
      </c>
      <c r="F22" s="18" t="str" cm="1">
        <f t="array" ref="F22">IF(_xlfn.XLOOKUP($A22&amp;$B22&amp;$C22,盘货信息!$A:$A&amp;盘货信息!$B:$B&amp;盘货信息!$C:$C,盘货信息!$AB:$AB)="","",_xlfn.XLOOKUP($A22&amp;$B22&amp;$C22,盘货信息!$A:$A&amp;盘货信息!$B:$B&amp;盘货信息!$C:$C,盘货信息!$AB:$AB))</f>
        <v/>
      </c>
      <c r="G22" s="18"/>
    </row>
    <row r="23" customHeight="1" spans="1:7">
      <c r="A23" s="17" t="str">
        <f>IF(盘货信息!A23="","",盘货信息!A23)</f>
        <v/>
      </c>
      <c r="B23" s="17" t="str">
        <f>IF(盘货信息!B23="","",盘货信息!B23)</f>
        <v/>
      </c>
      <c r="C23" s="18" t="str">
        <f>IF(盘货信息!C23="","",盘货信息!C23)</f>
        <v/>
      </c>
      <c r="D23" s="18" t="str">
        <f t="shared" si="0"/>
        <v/>
      </c>
      <c r="E23" s="18" t="str" cm="1">
        <f t="array" ref="E23">IF(_xlfn.XLOOKUP($A23&amp;$B23&amp;$C23,盘货信息!$A:$A&amp;盘货信息!$B:$B&amp;盘货信息!$C:$C,盘货信息!$AA:$AA)="","",_xlfn.XLOOKUP($A23&amp;$B23&amp;$C23,盘货信息!$A:$A&amp;盘货信息!$B:$B&amp;盘货信息!$C:$C,盘货信息!$AA:$AA)&amp;"免息")</f>
        <v/>
      </c>
      <c r="F23" s="18" t="str" cm="1">
        <f t="array" ref="F23">IF(_xlfn.XLOOKUP($A23&amp;$B23&amp;$C23,盘货信息!$A:$A&amp;盘货信息!$B:$B&amp;盘货信息!$C:$C,盘货信息!$AB:$AB)="","",_xlfn.XLOOKUP($A23&amp;$B23&amp;$C23,盘货信息!$A:$A&amp;盘货信息!$B:$B&amp;盘货信息!$C:$C,盘货信息!$AB:$AB))</f>
        <v/>
      </c>
      <c r="G23" s="18"/>
    </row>
    <row r="24" customHeight="1" spans="1:7">
      <c r="A24" s="17" t="str">
        <f>IF(盘货信息!A24="","",盘货信息!A24)</f>
        <v/>
      </c>
      <c r="B24" s="17" t="str">
        <f>IF(盘货信息!B24="","",盘货信息!B24)</f>
        <v/>
      </c>
      <c r="C24" s="18" t="str">
        <f>IF(盘货信息!C24="","",盘货信息!C24)</f>
        <v/>
      </c>
      <c r="D24" s="18" t="str">
        <f t="shared" si="0"/>
        <v/>
      </c>
      <c r="E24" s="18" t="str" cm="1">
        <f t="array" ref="E24">IF(_xlfn.XLOOKUP($A24&amp;$B24&amp;$C24,盘货信息!$A:$A&amp;盘货信息!$B:$B&amp;盘货信息!$C:$C,盘货信息!$AA:$AA)="","",_xlfn.XLOOKUP($A24&amp;$B24&amp;$C24,盘货信息!$A:$A&amp;盘货信息!$B:$B&amp;盘货信息!$C:$C,盘货信息!$AA:$AA)&amp;"免息")</f>
        <v/>
      </c>
      <c r="F24" s="18" t="str" cm="1">
        <f t="array" ref="F24">IF(_xlfn.XLOOKUP($A24&amp;$B24&amp;$C24,盘货信息!$A:$A&amp;盘货信息!$B:$B&amp;盘货信息!$C:$C,盘货信息!$AB:$AB)="","",_xlfn.XLOOKUP($A24&amp;$B24&amp;$C24,盘货信息!$A:$A&amp;盘货信息!$B:$B&amp;盘货信息!$C:$C,盘货信息!$AB:$AB))</f>
        <v/>
      </c>
      <c r="G24" s="18"/>
    </row>
    <row r="25" customHeight="1" spans="1:7">
      <c r="A25" s="17" t="str">
        <f>IF(盘货信息!A25="","",盘货信息!A25)</f>
        <v/>
      </c>
      <c r="B25" s="17" t="str">
        <f>IF(盘货信息!B25="","",盘货信息!B25)</f>
        <v/>
      </c>
      <c r="C25" s="18" t="str">
        <f>IF(盘货信息!C25="","",盘货信息!C25)</f>
        <v/>
      </c>
      <c r="D25" s="18" t="str">
        <f t="shared" si="0"/>
        <v/>
      </c>
      <c r="E25" s="18" t="str" cm="1">
        <f t="array" ref="E25">IF(_xlfn.XLOOKUP($A25&amp;$B25&amp;$C25,盘货信息!$A:$A&amp;盘货信息!$B:$B&amp;盘货信息!$C:$C,盘货信息!$AA:$AA)="","",_xlfn.XLOOKUP($A25&amp;$B25&amp;$C25,盘货信息!$A:$A&amp;盘货信息!$B:$B&amp;盘货信息!$C:$C,盘货信息!$AA:$AA)&amp;"免息")</f>
        <v/>
      </c>
      <c r="F25" s="18" t="str" cm="1">
        <f t="array" ref="F25">IF(_xlfn.XLOOKUP($A25&amp;$B25&amp;$C25,盘货信息!$A:$A&amp;盘货信息!$B:$B&amp;盘货信息!$C:$C,盘货信息!$AB:$AB)="","",_xlfn.XLOOKUP($A25&amp;$B25&amp;$C25,盘货信息!$A:$A&amp;盘货信息!$B:$B&amp;盘货信息!$C:$C,盘货信息!$AB:$AB))</f>
        <v/>
      </c>
      <c r="G25" s="18"/>
    </row>
    <row r="26" customHeight="1" spans="1:7">
      <c r="A26" s="17" t="str">
        <f>IF(盘货信息!A26="","",盘货信息!A26)</f>
        <v/>
      </c>
      <c r="B26" s="17" t="str">
        <f>IF(盘货信息!B26="","",盘货信息!B26)</f>
        <v/>
      </c>
      <c r="C26" s="18" t="str">
        <f>IF(盘货信息!C26="","",盘货信息!C26)</f>
        <v/>
      </c>
      <c r="D26" s="18" t="str">
        <f t="shared" si="0"/>
        <v/>
      </c>
      <c r="E26" s="18" t="str" cm="1">
        <f t="array" ref="E26">IF(_xlfn.XLOOKUP($A26&amp;$B26&amp;$C26,盘货信息!$A:$A&amp;盘货信息!$B:$B&amp;盘货信息!$C:$C,盘货信息!$AA:$AA)="","",_xlfn.XLOOKUP($A26&amp;$B26&amp;$C26,盘货信息!$A:$A&amp;盘货信息!$B:$B&amp;盘货信息!$C:$C,盘货信息!$AA:$AA)&amp;"免息")</f>
        <v/>
      </c>
      <c r="F26" s="18" t="str" cm="1">
        <f t="array" ref="F26">IF(_xlfn.XLOOKUP($A26&amp;$B26&amp;$C26,盘货信息!$A:$A&amp;盘货信息!$B:$B&amp;盘货信息!$C:$C,盘货信息!$AB:$AB)="","",_xlfn.XLOOKUP($A26&amp;$B26&amp;$C26,盘货信息!$A:$A&amp;盘货信息!$B:$B&amp;盘货信息!$C:$C,盘货信息!$AB:$AB))</f>
        <v/>
      </c>
      <c r="G26" s="18"/>
    </row>
    <row r="27" customHeight="1" spans="1:7">
      <c r="A27" s="17" t="str">
        <f>IF(盘货信息!A27="","",盘货信息!A27)</f>
        <v/>
      </c>
      <c r="B27" s="17" t="str">
        <f>IF(盘货信息!B27="","",盘货信息!B27)</f>
        <v/>
      </c>
      <c r="C27" s="18" t="str">
        <f>IF(盘货信息!C27="","",盘货信息!C27)</f>
        <v/>
      </c>
      <c r="D27" s="18" t="str">
        <f t="shared" si="0"/>
        <v/>
      </c>
      <c r="E27" s="18" t="str" cm="1">
        <f t="array" ref="E27">IF(_xlfn.XLOOKUP($A27&amp;$B27&amp;$C27,盘货信息!$A:$A&amp;盘货信息!$B:$B&amp;盘货信息!$C:$C,盘货信息!$AA:$AA)="","",_xlfn.XLOOKUP($A27&amp;$B27&amp;$C27,盘货信息!$A:$A&amp;盘货信息!$B:$B&amp;盘货信息!$C:$C,盘货信息!$AA:$AA)&amp;"免息")</f>
        <v/>
      </c>
      <c r="F27" s="18" t="str" cm="1">
        <f t="array" ref="F27">IF(_xlfn.XLOOKUP($A27&amp;$B27&amp;$C27,盘货信息!$A:$A&amp;盘货信息!$B:$B&amp;盘货信息!$C:$C,盘货信息!$AB:$AB)="","",_xlfn.XLOOKUP($A27&amp;$B27&amp;$C27,盘货信息!$A:$A&amp;盘货信息!$B:$B&amp;盘货信息!$C:$C,盘货信息!$AB:$AB))</f>
        <v/>
      </c>
      <c r="G27" s="18"/>
    </row>
    <row r="28" customHeight="1" spans="1:7">
      <c r="A28" s="17" t="str">
        <f>IF(盘货信息!A28="","",盘货信息!A28)</f>
        <v/>
      </c>
      <c r="B28" s="17" t="str">
        <f>IF(盘货信息!B28="","",盘货信息!B28)</f>
        <v/>
      </c>
      <c r="C28" s="18" t="str">
        <f>IF(盘货信息!C28="","",盘货信息!C28)</f>
        <v/>
      </c>
      <c r="D28" s="18" t="str">
        <f t="shared" si="0"/>
        <v/>
      </c>
      <c r="E28" s="18" t="str" cm="1">
        <f t="array" ref="E28">IF(_xlfn.XLOOKUP($A28&amp;$B28&amp;$C28,盘货信息!$A:$A&amp;盘货信息!$B:$B&amp;盘货信息!$C:$C,盘货信息!$AA:$AA)="","",_xlfn.XLOOKUP($A28&amp;$B28&amp;$C28,盘货信息!$A:$A&amp;盘货信息!$B:$B&amp;盘货信息!$C:$C,盘货信息!$AA:$AA)&amp;"免息")</f>
        <v/>
      </c>
      <c r="F28" s="18" t="str" cm="1">
        <f t="array" ref="F28">IF(_xlfn.XLOOKUP($A28&amp;$B28&amp;$C28,盘货信息!$A:$A&amp;盘货信息!$B:$B&amp;盘货信息!$C:$C,盘货信息!$AB:$AB)="","",_xlfn.XLOOKUP($A28&amp;$B28&amp;$C28,盘货信息!$A:$A&amp;盘货信息!$B:$B&amp;盘货信息!$C:$C,盘货信息!$AB:$AB))</f>
        <v/>
      </c>
      <c r="G28" s="18"/>
    </row>
    <row r="29" customHeight="1" spans="1:7">
      <c r="A29" s="17" t="str">
        <f>IF(盘货信息!A29="","",盘货信息!A29)</f>
        <v/>
      </c>
      <c r="B29" s="17" t="str">
        <f>IF(盘货信息!B29="","",盘货信息!B29)</f>
        <v/>
      </c>
      <c r="C29" s="18" t="str">
        <f>IF(盘货信息!C29="","",盘货信息!C29)</f>
        <v/>
      </c>
      <c r="D29" s="18" t="str">
        <f t="shared" si="0"/>
        <v/>
      </c>
      <c r="E29" s="18" t="str" cm="1">
        <f t="array" ref="E29">IF(_xlfn.XLOOKUP($A29&amp;$B29&amp;$C29,盘货信息!$A:$A&amp;盘货信息!$B:$B&amp;盘货信息!$C:$C,盘货信息!$AA:$AA)="","",_xlfn.XLOOKUP($A29&amp;$B29&amp;$C29,盘货信息!$A:$A&amp;盘货信息!$B:$B&amp;盘货信息!$C:$C,盘货信息!$AA:$AA)&amp;"免息")</f>
        <v/>
      </c>
      <c r="F29" s="18" t="str" cm="1">
        <f t="array" ref="F29">IF(_xlfn.XLOOKUP($A29&amp;$B29&amp;$C29,盘货信息!$A:$A&amp;盘货信息!$B:$B&amp;盘货信息!$C:$C,盘货信息!$AB:$AB)="","",_xlfn.XLOOKUP($A29&amp;$B29&amp;$C29,盘货信息!$A:$A&amp;盘货信息!$B:$B&amp;盘货信息!$C:$C,盘货信息!$AB:$AB))</f>
        <v/>
      </c>
      <c r="G29" s="18"/>
    </row>
    <row r="30" customHeight="1" spans="1:7">
      <c r="A30" s="17" t="str">
        <f>IF(盘货信息!A30="","",盘货信息!A30)</f>
        <v/>
      </c>
      <c r="B30" s="17" t="str">
        <f>IF(盘货信息!B30="","",盘货信息!B30)</f>
        <v/>
      </c>
      <c r="C30" s="18" t="str">
        <f>IF(盘货信息!C30="","",盘货信息!C30)</f>
        <v/>
      </c>
      <c r="D30" s="18" t="str">
        <f t="shared" si="0"/>
        <v/>
      </c>
      <c r="E30" s="18" t="str" cm="1">
        <f t="array" ref="E30">IF(_xlfn.XLOOKUP($A30&amp;$B30&amp;$C30,盘货信息!$A:$A&amp;盘货信息!$B:$B&amp;盘货信息!$C:$C,盘货信息!$AA:$AA)="","",_xlfn.XLOOKUP($A30&amp;$B30&amp;$C30,盘货信息!$A:$A&amp;盘货信息!$B:$B&amp;盘货信息!$C:$C,盘货信息!$AA:$AA)&amp;"免息")</f>
        <v/>
      </c>
      <c r="F30" s="18" t="str" cm="1">
        <f t="array" ref="F30">IF(_xlfn.XLOOKUP($A30&amp;$B30&amp;$C30,盘货信息!$A:$A&amp;盘货信息!$B:$B&amp;盘货信息!$C:$C,盘货信息!$AB:$AB)="","",_xlfn.XLOOKUP($A30&amp;$B30&amp;$C30,盘货信息!$A:$A&amp;盘货信息!$B:$B&amp;盘货信息!$C:$C,盘货信息!$AB:$AB))</f>
        <v/>
      </c>
      <c r="G30" s="18"/>
    </row>
    <row r="31" customHeight="1" spans="1:7">
      <c r="A31" s="17" t="str">
        <f>IF(盘货信息!A31="","",盘货信息!A31)</f>
        <v/>
      </c>
      <c r="B31" s="17" t="str">
        <f>IF(盘货信息!B31="","",盘货信息!B31)</f>
        <v/>
      </c>
      <c r="C31" s="18" t="str">
        <f>IF(盘货信息!C31="","",盘货信息!C31)</f>
        <v/>
      </c>
      <c r="D31" s="18" t="str">
        <f t="shared" si="0"/>
        <v/>
      </c>
      <c r="E31" s="18" t="str" cm="1">
        <f t="array" ref="E31">IF(_xlfn.XLOOKUP($A31&amp;$B31&amp;$C31,盘货信息!$A:$A&amp;盘货信息!$B:$B&amp;盘货信息!$C:$C,盘货信息!$AA:$AA)="","",_xlfn.XLOOKUP($A31&amp;$B31&amp;$C31,盘货信息!$A:$A&amp;盘货信息!$B:$B&amp;盘货信息!$C:$C,盘货信息!$AA:$AA)&amp;"免息")</f>
        <v/>
      </c>
      <c r="F31" s="18" t="str" cm="1">
        <f t="array" ref="F31">IF(_xlfn.XLOOKUP($A31&amp;$B31&amp;$C31,盘货信息!$A:$A&amp;盘货信息!$B:$B&amp;盘货信息!$C:$C,盘货信息!$AB:$AB)="","",_xlfn.XLOOKUP($A31&amp;$B31&amp;$C31,盘货信息!$A:$A&amp;盘货信息!$B:$B&amp;盘货信息!$C:$C,盘货信息!$AB:$AB))</f>
        <v/>
      </c>
      <c r="G31" s="18"/>
    </row>
    <row r="32" customHeight="1" spans="1:7">
      <c r="A32" s="17" t="str">
        <f>IF(盘货信息!A32="","",盘货信息!A32)</f>
        <v/>
      </c>
      <c r="B32" s="17" t="str">
        <f>IF(盘货信息!B32="","",盘货信息!B32)</f>
        <v/>
      </c>
      <c r="C32" s="18" t="str">
        <f>IF(盘货信息!C32="","",盘货信息!C32)</f>
        <v/>
      </c>
      <c r="D32" s="18" t="str">
        <f t="shared" si="0"/>
        <v/>
      </c>
      <c r="E32" s="18" t="str" cm="1">
        <f t="array" ref="E32">IF(_xlfn.XLOOKUP($A32&amp;$B32&amp;$C32,盘货信息!$A:$A&amp;盘货信息!$B:$B&amp;盘货信息!$C:$C,盘货信息!$AA:$AA)="","",_xlfn.XLOOKUP($A32&amp;$B32&amp;$C32,盘货信息!$A:$A&amp;盘货信息!$B:$B&amp;盘货信息!$C:$C,盘货信息!$AA:$AA)&amp;"免息")</f>
        <v/>
      </c>
      <c r="F32" s="18" t="str" cm="1">
        <f t="array" ref="F32">IF(_xlfn.XLOOKUP($A32&amp;$B32&amp;$C32,盘货信息!$A:$A&amp;盘货信息!$B:$B&amp;盘货信息!$C:$C,盘货信息!$AB:$AB)="","",_xlfn.XLOOKUP($A32&amp;$B32&amp;$C32,盘货信息!$A:$A&amp;盘货信息!$B:$B&amp;盘货信息!$C:$C,盘货信息!$AB:$AB))</f>
        <v/>
      </c>
      <c r="G32" s="18"/>
    </row>
    <row r="33" customHeight="1" spans="1:7">
      <c r="A33" s="17" t="str">
        <f>IF(盘货信息!A33="","",盘货信息!A33)</f>
        <v/>
      </c>
      <c r="B33" s="17" t="str">
        <f>IF(盘货信息!B33="","",盘货信息!B33)</f>
        <v/>
      </c>
      <c r="C33" s="18" t="str">
        <f>IF(盘货信息!C33="","",盘货信息!C33)</f>
        <v/>
      </c>
      <c r="D33" s="18" t="str">
        <f t="shared" si="0"/>
        <v/>
      </c>
      <c r="E33" s="18" t="str" cm="1">
        <f t="array" ref="E33">IF(_xlfn.XLOOKUP($A33&amp;$B33&amp;$C33,盘货信息!$A:$A&amp;盘货信息!$B:$B&amp;盘货信息!$C:$C,盘货信息!$AA:$AA)="","",_xlfn.XLOOKUP($A33&amp;$B33&amp;$C33,盘货信息!$A:$A&amp;盘货信息!$B:$B&amp;盘货信息!$C:$C,盘货信息!$AA:$AA)&amp;"免息")</f>
        <v/>
      </c>
      <c r="F33" s="18" t="str" cm="1">
        <f t="array" ref="F33">IF(_xlfn.XLOOKUP($A33&amp;$B33&amp;$C33,盘货信息!$A:$A&amp;盘货信息!$B:$B&amp;盘货信息!$C:$C,盘货信息!$AB:$AB)="","",_xlfn.XLOOKUP($A33&amp;$B33&amp;$C33,盘货信息!$A:$A&amp;盘货信息!$B:$B&amp;盘货信息!$C:$C,盘货信息!$AB:$AB))</f>
        <v/>
      </c>
      <c r="G33" s="18"/>
    </row>
    <row r="34" customHeight="1" spans="1:7">
      <c r="A34" s="17" t="str">
        <f>IF(盘货信息!A34="","",盘货信息!A34)</f>
        <v/>
      </c>
      <c r="B34" s="17" t="str">
        <f>IF(盘货信息!B34="","",盘货信息!B34)</f>
        <v/>
      </c>
      <c r="C34" s="18" t="str">
        <f>IF(盘货信息!C34="","",盘货信息!C34)</f>
        <v/>
      </c>
      <c r="D34" s="18" t="str">
        <f t="shared" si="0"/>
        <v/>
      </c>
      <c r="E34" s="18" t="str" cm="1">
        <f t="array" ref="E34">IF(_xlfn.XLOOKUP($A34&amp;$B34&amp;$C34,盘货信息!$A:$A&amp;盘货信息!$B:$B&amp;盘货信息!$C:$C,盘货信息!$AA:$AA)="","",_xlfn.XLOOKUP($A34&amp;$B34&amp;$C34,盘货信息!$A:$A&amp;盘货信息!$B:$B&amp;盘货信息!$C:$C,盘货信息!$AA:$AA)&amp;"免息")</f>
        <v/>
      </c>
      <c r="F34" s="18" t="str" cm="1">
        <f t="array" ref="F34">IF(_xlfn.XLOOKUP($A34&amp;$B34&amp;$C34,盘货信息!$A:$A&amp;盘货信息!$B:$B&amp;盘货信息!$C:$C,盘货信息!$AB:$AB)="","",_xlfn.XLOOKUP($A34&amp;$B34&amp;$C34,盘货信息!$A:$A&amp;盘货信息!$B:$B&amp;盘货信息!$C:$C,盘货信息!$AB:$AB))</f>
        <v/>
      </c>
      <c r="G34" s="18"/>
    </row>
    <row r="35" customHeight="1" spans="1:7">
      <c r="A35" s="17" t="str">
        <f>IF(盘货信息!A35="","",盘货信息!A35)</f>
        <v/>
      </c>
      <c r="B35" s="17" t="str">
        <f>IF(盘货信息!B35="","",盘货信息!B35)</f>
        <v/>
      </c>
      <c r="C35" s="18" t="str">
        <f>IF(盘货信息!C35="","",盘货信息!C35)</f>
        <v/>
      </c>
      <c r="D35" s="18" t="str">
        <f t="shared" si="0"/>
        <v/>
      </c>
      <c r="E35" s="18" t="str" cm="1">
        <f t="array" ref="E35">IF(_xlfn.XLOOKUP($A35&amp;$B35&amp;$C35,盘货信息!$A:$A&amp;盘货信息!$B:$B&amp;盘货信息!$C:$C,盘货信息!$AA:$AA)="","",_xlfn.XLOOKUP($A35&amp;$B35&amp;$C35,盘货信息!$A:$A&amp;盘货信息!$B:$B&amp;盘货信息!$C:$C,盘货信息!$AA:$AA)&amp;"免息")</f>
        <v/>
      </c>
      <c r="F35" s="18" t="str" cm="1">
        <f t="array" ref="F35">IF(_xlfn.XLOOKUP($A35&amp;$B35&amp;$C35,盘货信息!$A:$A&amp;盘货信息!$B:$B&amp;盘货信息!$C:$C,盘货信息!$AB:$AB)="","",_xlfn.XLOOKUP($A35&amp;$B35&amp;$C35,盘货信息!$A:$A&amp;盘货信息!$B:$B&amp;盘货信息!$C:$C,盘货信息!$AB:$AB))</f>
        <v/>
      </c>
      <c r="G35" s="18"/>
    </row>
    <row r="36" customHeight="1" spans="1:7">
      <c r="A36" s="17" t="str">
        <f>IF(盘货信息!A36="","",盘货信息!A36)</f>
        <v/>
      </c>
      <c r="B36" s="17" t="str">
        <f>IF(盘货信息!B36="","",盘货信息!B36)</f>
        <v/>
      </c>
      <c r="C36" s="18" t="str">
        <f>IF(盘货信息!C36="","",盘货信息!C36)</f>
        <v/>
      </c>
      <c r="D36" s="18" t="str">
        <f t="shared" si="0"/>
        <v/>
      </c>
      <c r="E36" s="18" t="str" cm="1">
        <f t="array" ref="E36">IF(_xlfn.XLOOKUP($A36&amp;$B36&amp;$C36,盘货信息!$A:$A&amp;盘货信息!$B:$B&amp;盘货信息!$C:$C,盘货信息!$AA:$AA)="","",_xlfn.XLOOKUP($A36&amp;$B36&amp;$C36,盘货信息!$A:$A&amp;盘货信息!$B:$B&amp;盘货信息!$C:$C,盘货信息!$AA:$AA)&amp;"免息")</f>
        <v/>
      </c>
      <c r="F36" s="18" t="str" cm="1">
        <f t="array" ref="F36">IF(_xlfn.XLOOKUP($A36&amp;$B36&amp;$C36,盘货信息!$A:$A&amp;盘货信息!$B:$B&amp;盘货信息!$C:$C,盘货信息!$AB:$AB)="","",_xlfn.XLOOKUP($A36&amp;$B36&amp;$C36,盘货信息!$A:$A&amp;盘货信息!$B:$B&amp;盘货信息!$C:$C,盘货信息!$AB:$AB))</f>
        <v/>
      </c>
      <c r="G36" s="18"/>
    </row>
    <row r="37" customHeight="1" spans="1:7">
      <c r="A37" s="17" t="str">
        <f>IF(盘货信息!A37="","",盘货信息!A37)</f>
        <v/>
      </c>
      <c r="B37" s="17" t="str">
        <f>IF(盘货信息!B37="","",盘货信息!B37)</f>
        <v/>
      </c>
      <c r="C37" s="18" t="str">
        <f>IF(盘货信息!C37="","",盘货信息!C37)</f>
        <v/>
      </c>
      <c r="D37" s="18" t="str">
        <f t="shared" si="0"/>
        <v/>
      </c>
      <c r="E37" s="18" t="str" cm="1">
        <f t="array" ref="E37">IF(_xlfn.XLOOKUP($A37&amp;$B37&amp;$C37,盘货信息!$A:$A&amp;盘货信息!$B:$B&amp;盘货信息!$C:$C,盘货信息!$AA:$AA)="","",_xlfn.XLOOKUP($A37&amp;$B37&amp;$C37,盘货信息!$A:$A&amp;盘货信息!$B:$B&amp;盘货信息!$C:$C,盘货信息!$AA:$AA)&amp;"免息")</f>
        <v/>
      </c>
      <c r="F37" s="18" t="str" cm="1">
        <f t="array" ref="F37">IF(_xlfn.XLOOKUP($A37&amp;$B37&amp;$C37,盘货信息!$A:$A&amp;盘货信息!$B:$B&amp;盘货信息!$C:$C,盘货信息!$AB:$AB)="","",_xlfn.XLOOKUP($A37&amp;$B37&amp;$C37,盘货信息!$A:$A&amp;盘货信息!$B:$B&amp;盘货信息!$C:$C,盘货信息!$AB:$AB))</f>
        <v/>
      </c>
      <c r="G37" s="18"/>
    </row>
    <row r="38" customHeight="1" spans="1:7">
      <c r="A38" s="17" t="str">
        <f>IF(盘货信息!A38="","",盘货信息!A38)</f>
        <v/>
      </c>
      <c r="B38" s="17" t="str">
        <f>IF(盘货信息!B38="","",盘货信息!B38)</f>
        <v/>
      </c>
      <c r="C38" s="18" t="str">
        <f>IF(盘货信息!C38="","",盘货信息!C38)</f>
        <v/>
      </c>
      <c r="D38" s="18" t="str">
        <f t="shared" si="0"/>
        <v/>
      </c>
      <c r="E38" s="18" t="str" cm="1">
        <f t="array" ref="E38">IF(_xlfn.XLOOKUP($A38&amp;$B38&amp;$C38,盘货信息!$A:$A&amp;盘货信息!$B:$B&amp;盘货信息!$C:$C,盘货信息!$AA:$AA)="","",_xlfn.XLOOKUP($A38&amp;$B38&amp;$C38,盘货信息!$A:$A&amp;盘货信息!$B:$B&amp;盘货信息!$C:$C,盘货信息!$AA:$AA)&amp;"免息")</f>
        <v/>
      </c>
      <c r="F38" s="18" t="str" cm="1">
        <f t="array" ref="F38">IF(_xlfn.XLOOKUP($A38&amp;$B38&amp;$C38,盘货信息!$A:$A&amp;盘货信息!$B:$B&amp;盘货信息!$C:$C,盘货信息!$AB:$AB)="","",_xlfn.XLOOKUP($A38&amp;$B38&amp;$C38,盘货信息!$A:$A&amp;盘货信息!$B:$B&amp;盘货信息!$C:$C,盘货信息!$AB:$AB))</f>
        <v/>
      </c>
      <c r="G38" s="18"/>
    </row>
    <row r="39" customHeight="1" spans="1:7">
      <c r="A39" s="17" t="str">
        <f>IF(盘货信息!A39="","",盘货信息!A39)</f>
        <v/>
      </c>
      <c r="B39" s="17" t="str">
        <f>IF(盘货信息!B39="","",盘货信息!B39)</f>
        <v/>
      </c>
      <c r="C39" s="18" t="str">
        <f>IF(盘货信息!C39="","",盘货信息!C39)</f>
        <v/>
      </c>
      <c r="D39" s="18" t="str">
        <f t="shared" si="0"/>
        <v/>
      </c>
      <c r="E39" s="18" t="str" cm="1">
        <f t="array" ref="E39">IF(_xlfn.XLOOKUP($A39&amp;$B39&amp;$C39,盘货信息!$A:$A&amp;盘货信息!$B:$B&amp;盘货信息!$C:$C,盘货信息!$AA:$AA)="","",_xlfn.XLOOKUP($A39&amp;$B39&amp;$C39,盘货信息!$A:$A&amp;盘货信息!$B:$B&amp;盘货信息!$C:$C,盘货信息!$AA:$AA)&amp;"免息")</f>
        <v/>
      </c>
      <c r="F39" s="18" t="str" cm="1">
        <f t="array" ref="F39">IF(_xlfn.XLOOKUP($A39&amp;$B39&amp;$C39,盘货信息!$A:$A&amp;盘货信息!$B:$B&amp;盘货信息!$C:$C,盘货信息!$AB:$AB)="","",_xlfn.XLOOKUP($A39&amp;$B39&amp;$C39,盘货信息!$A:$A&amp;盘货信息!$B:$B&amp;盘货信息!$C:$C,盘货信息!$AB:$AB))</f>
        <v/>
      </c>
      <c r="G39" s="18"/>
    </row>
    <row r="40" customHeight="1" spans="1:7">
      <c r="A40" s="17" t="str">
        <f>IF(盘货信息!A40="","",盘货信息!A40)</f>
        <v/>
      </c>
      <c r="B40" s="17" t="str">
        <f>IF(盘货信息!B40="","",盘货信息!B40)</f>
        <v/>
      </c>
      <c r="C40" s="18" t="str">
        <f>IF(盘货信息!C40="","",盘货信息!C40)</f>
        <v/>
      </c>
      <c r="D40" s="18" t="str">
        <f t="shared" si="0"/>
        <v/>
      </c>
      <c r="E40" s="18" t="str" cm="1">
        <f t="array" ref="E40">IF(_xlfn.XLOOKUP($A40&amp;$B40&amp;$C40,盘货信息!$A:$A&amp;盘货信息!$B:$B&amp;盘货信息!$C:$C,盘货信息!$AA:$AA)="","",_xlfn.XLOOKUP($A40&amp;$B40&amp;$C40,盘货信息!$A:$A&amp;盘货信息!$B:$B&amp;盘货信息!$C:$C,盘货信息!$AA:$AA)&amp;"免息")</f>
        <v/>
      </c>
      <c r="F40" s="18" t="str" cm="1">
        <f t="array" ref="F40">IF(_xlfn.XLOOKUP($A40&amp;$B40&amp;$C40,盘货信息!$A:$A&amp;盘货信息!$B:$B&amp;盘货信息!$C:$C,盘货信息!$AB:$AB)="","",_xlfn.XLOOKUP($A40&amp;$B40&amp;$C40,盘货信息!$A:$A&amp;盘货信息!$B:$B&amp;盘货信息!$C:$C,盘货信息!$AB:$AB))</f>
        <v/>
      </c>
      <c r="G40" s="18"/>
    </row>
    <row r="41" customHeight="1" spans="1:7">
      <c r="A41" s="17" t="str">
        <f>IF(盘货信息!A41="","",盘货信息!A41)</f>
        <v/>
      </c>
      <c r="B41" s="17" t="str">
        <f>IF(盘货信息!B41="","",盘货信息!B41)</f>
        <v/>
      </c>
      <c r="C41" s="18" t="str">
        <f>IF(盘货信息!C41="","",盘货信息!C41)</f>
        <v/>
      </c>
      <c r="D41" s="18" t="str">
        <f t="shared" si="0"/>
        <v/>
      </c>
      <c r="E41" s="18" t="str" cm="1">
        <f t="array" ref="E41">IF(_xlfn.XLOOKUP($A41&amp;$B41&amp;$C41,盘货信息!$A:$A&amp;盘货信息!$B:$B&amp;盘货信息!$C:$C,盘货信息!$AA:$AA)="","",_xlfn.XLOOKUP($A41&amp;$B41&amp;$C41,盘货信息!$A:$A&amp;盘货信息!$B:$B&amp;盘货信息!$C:$C,盘货信息!$AA:$AA)&amp;"免息")</f>
        <v/>
      </c>
      <c r="F41" s="18" t="str" cm="1">
        <f t="array" ref="F41">IF(_xlfn.XLOOKUP($A41&amp;$B41&amp;$C41,盘货信息!$A:$A&amp;盘货信息!$B:$B&amp;盘货信息!$C:$C,盘货信息!$AB:$AB)="","",_xlfn.XLOOKUP($A41&amp;$B41&amp;$C41,盘货信息!$A:$A&amp;盘货信息!$B:$B&amp;盘货信息!$C:$C,盘货信息!$AB:$AB))</f>
        <v/>
      </c>
      <c r="G41" s="18"/>
    </row>
    <row r="42" customHeight="1" spans="1:7">
      <c r="A42" s="17" t="str">
        <f>IF(盘货信息!A42="","",盘货信息!A42)</f>
        <v/>
      </c>
      <c r="B42" s="17" t="str">
        <f>IF(盘货信息!B42="","",盘货信息!B42)</f>
        <v/>
      </c>
      <c r="C42" s="18" t="str">
        <f>IF(盘货信息!C42="","",盘货信息!C42)</f>
        <v/>
      </c>
      <c r="D42" s="18" t="str">
        <f t="shared" si="0"/>
        <v/>
      </c>
      <c r="E42" s="18" t="str" cm="1">
        <f t="array" ref="E42">IF(_xlfn.XLOOKUP($A42&amp;$B42&amp;$C42,盘货信息!$A:$A&amp;盘货信息!$B:$B&amp;盘货信息!$C:$C,盘货信息!$AA:$AA)="","",_xlfn.XLOOKUP($A42&amp;$B42&amp;$C42,盘货信息!$A:$A&amp;盘货信息!$B:$B&amp;盘货信息!$C:$C,盘货信息!$AA:$AA)&amp;"免息")</f>
        <v/>
      </c>
      <c r="F42" s="18" t="str" cm="1">
        <f t="array" ref="F42">IF(_xlfn.XLOOKUP($A42&amp;$B42&amp;$C42,盘货信息!$A:$A&amp;盘货信息!$B:$B&amp;盘货信息!$C:$C,盘货信息!$AB:$AB)="","",_xlfn.XLOOKUP($A42&amp;$B42&amp;$C42,盘货信息!$A:$A&amp;盘货信息!$B:$B&amp;盘货信息!$C:$C,盘货信息!$AB:$AB))</f>
        <v/>
      </c>
      <c r="G42" s="18"/>
    </row>
    <row r="43" customHeight="1" spans="1:7">
      <c r="A43" s="17" t="str">
        <f>IF(盘货信息!A43="","",盘货信息!A43)</f>
        <v/>
      </c>
      <c r="B43" s="17" t="str">
        <f>IF(盘货信息!B43="","",盘货信息!B43)</f>
        <v/>
      </c>
      <c r="C43" s="18" t="str">
        <f>IF(盘货信息!C43="","",盘货信息!C43)</f>
        <v/>
      </c>
      <c r="D43" s="18" t="str">
        <f t="shared" si="0"/>
        <v/>
      </c>
      <c r="E43" s="18" t="str" cm="1">
        <f t="array" ref="E43">IF(_xlfn.XLOOKUP($A43&amp;$B43&amp;$C43,盘货信息!$A:$A&amp;盘货信息!$B:$B&amp;盘货信息!$C:$C,盘货信息!$AA:$AA)="","",_xlfn.XLOOKUP($A43&amp;$B43&amp;$C43,盘货信息!$A:$A&amp;盘货信息!$B:$B&amp;盘货信息!$C:$C,盘货信息!$AA:$AA)&amp;"免息")</f>
        <v/>
      </c>
      <c r="F43" s="18" t="str" cm="1">
        <f t="array" ref="F43">IF(_xlfn.XLOOKUP($A43&amp;$B43&amp;$C43,盘货信息!$A:$A&amp;盘货信息!$B:$B&amp;盘货信息!$C:$C,盘货信息!$AB:$AB)="","",_xlfn.XLOOKUP($A43&amp;$B43&amp;$C43,盘货信息!$A:$A&amp;盘货信息!$B:$B&amp;盘货信息!$C:$C,盘货信息!$AB:$AB))</f>
        <v/>
      </c>
      <c r="G43" s="18"/>
    </row>
    <row r="44" customHeight="1" spans="1:7">
      <c r="A44" s="17" t="str">
        <f>IF(盘货信息!A44="","",盘货信息!A44)</f>
        <v/>
      </c>
      <c r="B44" s="17" t="str">
        <f>IF(盘货信息!B44="","",盘货信息!B44)</f>
        <v/>
      </c>
      <c r="C44" s="18" t="str">
        <f>IF(盘货信息!C44="","",盘货信息!C44)</f>
        <v/>
      </c>
      <c r="D44" s="18" t="str">
        <f t="shared" si="0"/>
        <v/>
      </c>
      <c r="E44" s="18" t="str" cm="1">
        <f t="array" ref="E44">IF(_xlfn.XLOOKUP($A44&amp;$B44&amp;$C44,盘货信息!$A:$A&amp;盘货信息!$B:$B&amp;盘货信息!$C:$C,盘货信息!$AA:$AA)="","",_xlfn.XLOOKUP($A44&amp;$B44&amp;$C44,盘货信息!$A:$A&amp;盘货信息!$B:$B&amp;盘货信息!$C:$C,盘货信息!$AA:$AA)&amp;"免息")</f>
        <v/>
      </c>
      <c r="F44" s="18" t="str" cm="1">
        <f t="array" ref="F44">IF(_xlfn.XLOOKUP($A44&amp;$B44&amp;$C44,盘货信息!$A:$A&amp;盘货信息!$B:$B&amp;盘货信息!$C:$C,盘货信息!$AB:$AB)="","",_xlfn.XLOOKUP($A44&amp;$B44&amp;$C44,盘货信息!$A:$A&amp;盘货信息!$B:$B&amp;盘货信息!$C:$C,盘货信息!$AB:$AB))</f>
        <v/>
      </c>
      <c r="G44" s="18"/>
    </row>
    <row r="45" customHeight="1" spans="1:7">
      <c r="A45" s="17" t="str">
        <f>IF(盘货信息!A45="","",盘货信息!A45)</f>
        <v/>
      </c>
      <c r="B45" s="17" t="str">
        <f>IF(盘货信息!B45="","",盘货信息!B45)</f>
        <v/>
      </c>
      <c r="C45" s="18" t="str">
        <f>IF(盘货信息!C45="","",盘货信息!C45)</f>
        <v/>
      </c>
      <c r="D45" s="18" t="str">
        <f t="shared" si="0"/>
        <v/>
      </c>
      <c r="E45" s="18" t="str" cm="1">
        <f t="array" ref="E45">IF(_xlfn.XLOOKUP($A45&amp;$B45&amp;$C45,盘货信息!$A:$A&amp;盘货信息!$B:$B&amp;盘货信息!$C:$C,盘货信息!$AA:$AA)="","",_xlfn.XLOOKUP($A45&amp;$B45&amp;$C45,盘货信息!$A:$A&amp;盘货信息!$B:$B&amp;盘货信息!$C:$C,盘货信息!$AA:$AA)&amp;"免息")</f>
        <v/>
      </c>
      <c r="F45" s="18" t="str" cm="1">
        <f t="array" ref="F45">IF(_xlfn.XLOOKUP($A45&amp;$B45&amp;$C45,盘货信息!$A:$A&amp;盘货信息!$B:$B&amp;盘货信息!$C:$C,盘货信息!$AB:$AB)="","",_xlfn.XLOOKUP($A45&amp;$B45&amp;$C45,盘货信息!$A:$A&amp;盘货信息!$B:$B&amp;盘货信息!$C:$C,盘货信息!$AB:$AB))</f>
        <v/>
      </c>
      <c r="G45" s="18"/>
    </row>
    <row r="46" customHeight="1" spans="1:7">
      <c r="A46" s="17" t="str">
        <f>IF(盘货信息!A46="","",盘货信息!A46)</f>
        <v/>
      </c>
      <c r="B46" s="17" t="str">
        <f>IF(盘货信息!B46="","",盘货信息!B46)</f>
        <v/>
      </c>
      <c r="C46" s="18" t="str">
        <f>IF(盘货信息!C46="","",盘货信息!C46)</f>
        <v/>
      </c>
      <c r="D46" s="18" t="str">
        <f t="shared" si="0"/>
        <v/>
      </c>
      <c r="E46" s="18" t="str" cm="1">
        <f t="array" ref="E46">IF(_xlfn.XLOOKUP($A46&amp;$B46&amp;$C46,盘货信息!$A:$A&amp;盘货信息!$B:$B&amp;盘货信息!$C:$C,盘货信息!$AA:$AA)="","",_xlfn.XLOOKUP($A46&amp;$B46&amp;$C46,盘货信息!$A:$A&amp;盘货信息!$B:$B&amp;盘货信息!$C:$C,盘货信息!$AA:$AA)&amp;"免息")</f>
        <v/>
      </c>
      <c r="F46" s="18" t="str" cm="1">
        <f t="array" ref="F46">IF(_xlfn.XLOOKUP($A46&amp;$B46&amp;$C46,盘货信息!$A:$A&amp;盘货信息!$B:$B&amp;盘货信息!$C:$C,盘货信息!$AB:$AB)="","",_xlfn.XLOOKUP($A46&amp;$B46&amp;$C46,盘货信息!$A:$A&amp;盘货信息!$B:$B&amp;盘货信息!$C:$C,盘货信息!$AB:$AB))</f>
        <v/>
      </c>
      <c r="G46" s="18"/>
    </row>
    <row r="47" customHeight="1" spans="1:7">
      <c r="A47" s="17" t="str">
        <f>IF(盘货信息!A47="","",盘货信息!A47)</f>
        <v/>
      </c>
      <c r="B47" s="17" t="str">
        <f>IF(盘货信息!B47="","",盘货信息!B47)</f>
        <v/>
      </c>
      <c r="C47" s="18" t="str">
        <f>IF(盘货信息!C47="","",盘货信息!C47)</f>
        <v/>
      </c>
      <c r="D47" s="18" t="str">
        <f t="shared" si="0"/>
        <v/>
      </c>
      <c r="E47" s="18" t="str" cm="1">
        <f t="array" ref="E47">IF(_xlfn.XLOOKUP($A47&amp;$B47&amp;$C47,盘货信息!$A:$A&amp;盘货信息!$B:$B&amp;盘货信息!$C:$C,盘货信息!$AA:$AA)="","",_xlfn.XLOOKUP($A47&amp;$B47&amp;$C47,盘货信息!$A:$A&amp;盘货信息!$B:$B&amp;盘货信息!$C:$C,盘货信息!$AA:$AA)&amp;"免息")</f>
        <v/>
      </c>
      <c r="F47" s="18" t="str" cm="1">
        <f t="array" ref="F47">IF(_xlfn.XLOOKUP($A47&amp;$B47&amp;$C47,盘货信息!$A:$A&amp;盘货信息!$B:$B&amp;盘货信息!$C:$C,盘货信息!$AB:$AB)="","",_xlfn.XLOOKUP($A47&amp;$B47&amp;$C47,盘货信息!$A:$A&amp;盘货信息!$B:$B&amp;盘货信息!$C:$C,盘货信息!$AB:$AB))</f>
        <v/>
      </c>
      <c r="G47" s="18"/>
    </row>
    <row r="48" customHeight="1" spans="1:7">
      <c r="A48" s="17" t="str">
        <f>IF(盘货信息!A48="","",盘货信息!A48)</f>
        <v/>
      </c>
      <c r="B48" s="17" t="str">
        <f>IF(盘货信息!B48="","",盘货信息!B48)</f>
        <v/>
      </c>
      <c r="C48" s="18" t="str">
        <f>IF(盘货信息!C48="","",盘货信息!C48)</f>
        <v/>
      </c>
      <c r="D48" s="18" t="str">
        <f t="shared" si="0"/>
        <v/>
      </c>
      <c r="E48" s="18" t="str" cm="1">
        <f t="array" ref="E48">IF(_xlfn.XLOOKUP($A48&amp;$B48&amp;$C48,盘货信息!$A:$A&amp;盘货信息!$B:$B&amp;盘货信息!$C:$C,盘货信息!$AA:$AA)="","",_xlfn.XLOOKUP($A48&amp;$B48&amp;$C48,盘货信息!$A:$A&amp;盘货信息!$B:$B&amp;盘货信息!$C:$C,盘货信息!$AA:$AA)&amp;"免息")</f>
        <v/>
      </c>
      <c r="F48" s="18" t="str" cm="1">
        <f t="array" ref="F48">IF(_xlfn.XLOOKUP($A48&amp;$B48&amp;$C48,盘货信息!$A:$A&amp;盘货信息!$B:$B&amp;盘货信息!$C:$C,盘货信息!$AB:$AB)="","",_xlfn.XLOOKUP($A48&amp;$B48&amp;$C48,盘货信息!$A:$A&amp;盘货信息!$B:$B&amp;盘货信息!$C:$C,盘货信息!$AB:$AB))</f>
        <v/>
      </c>
      <c r="G48" s="18"/>
    </row>
    <row r="49" customHeight="1" spans="1:7">
      <c r="A49" s="17" t="str">
        <f>IF(盘货信息!A49="","",盘货信息!A49)</f>
        <v/>
      </c>
      <c r="B49" s="17" t="str">
        <f>IF(盘货信息!B49="","",盘货信息!B49)</f>
        <v/>
      </c>
      <c r="C49" s="18" t="str">
        <f>IF(盘货信息!C49="","",盘货信息!C49)</f>
        <v/>
      </c>
      <c r="D49" s="18" t="str">
        <f t="shared" si="0"/>
        <v/>
      </c>
      <c r="E49" s="18" t="str" cm="1">
        <f t="array" ref="E49">IF(_xlfn.XLOOKUP($A49&amp;$B49&amp;$C49,盘货信息!$A:$A&amp;盘货信息!$B:$B&amp;盘货信息!$C:$C,盘货信息!$AA:$AA)="","",_xlfn.XLOOKUP($A49&amp;$B49&amp;$C49,盘货信息!$A:$A&amp;盘货信息!$B:$B&amp;盘货信息!$C:$C,盘货信息!$AA:$AA)&amp;"免息")</f>
        <v/>
      </c>
      <c r="F49" s="18" t="str" cm="1">
        <f t="array" ref="F49">IF(_xlfn.XLOOKUP($A49&amp;$B49&amp;$C49,盘货信息!$A:$A&amp;盘货信息!$B:$B&amp;盘货信息!$C:$C,盘货信息!$AB:$AB)="","",_xlfn.XLOOKUP($A49&amp;$B49&amp;$C49,盘货信息!$A:$A&amp;盘货信息!$B:$B&amp;盘货信息!$C:$C,盘货信息!$AB:$AB))</f>
        <v/>
      </c>
      <c r="G49" s="18"/>
    </row>
    <row r="50" customHeight="1" spans="1:7">
      <c r="A50" s="17" t="str">
        <f>IF(盘货信息!A50="","",盘货信息!A50)</f>
        <v/>
      </c>
      <c r="B50" s="17" t="str">
        <f>IF(盘货信息!B50="","",盘货信息!B50)</f>
        <v/>
      </c>
      <c r="C50" s="18" t="str">
        <f>IF(盘货信息!C50="","",盘货信息!C50)</f>
        <v/>
      </c>
      <c r="D50" s="18" t="str">
        <f t="shared" si="0"/>
        <v/>
      </c>
      <c r="E50" s="18" t="str" cm="1">
        <f t="array" ref="E50">IF(_xlfn.XLOOKUP($A50&amp;$B50&amp;$C50,盘货信息!$A:$A&amp;盘货信息!$B:$B&amp;盘货信息!$C:$C,盘货信息!$AA:$AA)="","",_xlfn.XLOOKUP($A50&amp;$B50&amp;$C50,盘货信息!$A:$A&amp;盘货信息!$B:$B&amp;盘货信息!$C:$C,盘货信息!$AA:$AA)&amp;"免息")</f>
        <v/>
      </c>
      <c r="F50" s="18" t="str" cm="1">
        <f t="array" ref="F50">IF(_xlfn.XLOOKUP($A50&amp;$B50&amp;$C50,盘货信息!$A:$A&amp;盘货信息!$B:$B&amp;盘货信息!$C:$C,盘货信息!$AB:$AB)="","",_xlfn.XLOOKUP($A50&amp;$B50&amp;$C50,盘货信息!$A:$A&amp;盘货信息!$B:$B&amp;盘货信息!$C:$C,盘货信息!$AB:$AB))</f>
        <v/>
      </c>
      <c r="G50" s="18"/>
    </row>
    <row r="51" customHeight="1" spans="1:7">
      <c r="A51" s="17" t="str">
        <f>IF(盘货信息!A51="","",盘货信息!A51)</f>
        <v/>
      </c>
      <c r="B51" s="17" t="str">
        <f>IF(盘货信息!B51="","",盘货信息!B51)</f>
        <v/>
      </c>
      <c r="C51" s="18" t="str">
        <f>IF(盘货信息!C51="","",盘货信息!C51)</f>
        <v/>
      </c>
      <c r="D51" s="18" t="str">
        <f t="shared" si="0"/>
        <v/>
      </c>
      <c r="E51" s="18" t="str" cm="1">
        <f t="array" ref="E51">IF(_xlfn.XLOOKUP($A51&amp;$B51&amp;$C51,盘货信息!$A:$A&amp;盘货信息!$B:$B&amp;盘货信息!$C:$C,盘货信息!$AA:$AA)="","",_xlfn.XLOOKUP($A51&amp;$B51&amp;$C51,盘货信息!$A:$A&amp;盘货信息!$B:$B&amp;盘货信息!$C:$C,盘货信息!$AA:$AA)&amp;"免息")</f>
        <v/>
      </c>
      <c r="F51" s="18" t="str" cm="1">
        <f t="array" ref="F51">IF(_xlfn.XLOOKUP($A51&amp;$B51&amp;$C51,盘货信息!$A:$A&amp;盘货信息!$B:$B&amp;盘货信息!$C:$C,盘货信息!$AB:$AB)="","",_xlfn.XLOOKUP($A51&amp;$B51&amp;$C51,盘货信息!$A:$A&amp;盘货信息!$B:$B&amp;盘货信息!$C:$C,盘货信息!$AB:$AB))</f>
        <v/>
      </c>
      <c r="G51" s="18"/>
    </row>
    <row r="52" customHeight="1" spans="1:7">
      <c r="A52" s="17" t="str">
        <f>IF(盘货信息!A52="","",盘货信息!A52)</f>
        <v/>
      </c>
      <c r="B52" s="17" t="str">
        <f>IF(盘货信息!B52="","",盘货信息!B52)</f>
        <v/>
      </c>
      <c r="C52" s="18" t="str">
        <f>IF(盘货信息!C52="","",盘货信息!C52)</f>
        <v/>
      </c>
      <c r="D52" s="18" t="str">
        <f t="shared" si="0"/>
        <v/>
      </c>
      <c r="E52" s="18" t="str" cm="1">
        <f t="array" ref="E52">IF(_xlfn.XLOOKUP($A52&amp;$B52&amp;$C52,盘货信息!$A:$A&amp;盘货信息!$B:$B&amp;盘货信息!$C:$C,盘货信息!$AA:$AA)="","",_xlfn.XLOOKUP($A52&amp;$B52&amp;$C52,盘货信息!$A:$A&amp;盘货信息!$B:$B&amp;盘货信息!$C:$C,盘货信息!$AA:$AA)&amp;"免息")</f>
        <v/>
      </c>
      <c r="F52" s="18" t="str" cm="1">
        <f t="array" ref="F52">IF(_xlfn.XLOOKUP($A52&amp;$B52&amp;$C52,盘货信息!$A:$A&amp;盘货信息!$B:$B&amp;盘货信息!$C:$C,盘货信息!$AB:$AB)="","",_xlfn.XLOOKUP($A52&amp;$B52&amp;$C52,盘货信息!$A:$A&amp;盘货信息!$B:$B&amp;盘货信息!$C:$C,盘货信息!$AB:$AB))</f>
        <v/>
      </c>
      <c r="G52" s="18"/>
    </row>
    <row r="53" customHeight="1" spans="1:7">
      <c r="A53" s="17" t="str">
        <f>IF(盘货信息!A53="","",盘货信息!A53)</f>
        <v/>
      </c>
      <c r="B53" s="17" t="str">
        <f>IF(盘货信息!B53="","",盘货信息!B53)</f>
        <v/>
      </c>
      <c r="C53" s="18" t="str">
        <f>IF(盘货信息!C53="","",盘货信息!C53)</f>
        <v/>
      </c>
      <c r="D53" s="18" t="str">
        <f t="shared" si="0"/>
        <v/>
      </c>
      <c r="E53" s="18" t="str" cm="1">
        <f t="array" ref="E53">IF(_xlfn.XLOOKUP($A53&amp;$B53&amp;$C53,盘货信息!$A:$A&amp;盘货信息!$B:$B&amp;盘货信息!$C:$C,盘货信息!$AA:$AA)="","",_xlfn.XLOOKUP($A53&amp;$B53&amp;$C53,盘货信息!$A:$A&amp;盘货信息!$B:$B&amp;盘货信息!$C:$C,盘货信息!$AA:$AA)&amp;"免息")</f>
        <v/>
      </c>
      <c r="F53" s="18" t="str" cm="1">
        <f t="array" ref="F53">IF(_xlfn.XLOOKUP($A53&amp;$B53&amp;$C53,盘货信息!$A:$A&amp;盘货信息!$B:$B&amp;盘货信息!$C:$C,盘货信息!$AB:$AB)="","",_xlfn.XLOOKUP($A53&amp;$B53&amp;$C53,盘货信息!$A:$A&amp;盘货信息!$B:$B&amp;盘货信息!$C:$C,盘货信息!$AB:$AB))</f>
        <v/>
      </c>
      <c r="G53" s="18"/>
    </row>
    <row r="54" customHeight="1" spans="1:7">
      <c r="A54" s="17" t="str">
        <f>IF(盘货信息!A54="","",盘货信息!A54)</f>
        <v/>
      </c>
      <c r="B54" s="17" t="str">
        <f>IF(盘货信息!B54="","",盘货信息!B54)</f>
        <v/>
      </c>
      <c r="C54" s="18" t="str">
        <f>IF(盘货信息!C54="","",盘货信息!C54)</f>
        <v/>
      </c>
      <c r="D54" s="18" t="str">
        <f t="shared" si="0"/>
        <v/>
      </c>
      <c r="E54" s="18" t="str" cm="1">
        <f t="array" ref="E54">IF(_xlfn.XLOOKUP($A54&amp;$B54&amp;$C54,盘货信息!$A:$A&amp;盘货信息!$B:$B&amp;盘货信息!$C:$C,盘货信息!$AA:$AA)="","",_xlfn.XLOOKUP($A54&amp;$B54&amp;$C54,盘货信息!$A:$A&amp;盘货信息!$B:$B&amp;盘货信息!$C:$C,盘货信息!$AA:$AA)&amp;"免息")</f>
        <v/>
      </c>
      <c r="F54" s="18" t="str" cm="1">
        <f t="array" ref="F54">IF(_xlfn.XLOOKUP($A54&amp;$B54&amp;$C54,盘货信息!$A:$A&amp;盘货信息!$B:$B&amp;盘货信息!$C:$C,盘货信息!$AB:$AB)="","",_xlfn.XLOOKUP($A54&amp;$B54&amp;$C54,盘货信息!$A:$A&amp;盘货信息!$B:$B&amp;盘货信息!$C:$C,盘货信息!$AB:$AB))</f>
        <v/>
      </c>
      <c r="G54" s="18"/>
    </row>
    <row r="55" customHeight="1" spans="1:7">
      <c r="A55" s="17" t="str">
        <f>IF(盘货信息!A55="","",盘货信息!A55)</f>
        <v/>
      </c>
      <c r="B55" s="17" t="str">
        <f>IF(盘货信息!B55="","",盘货信息!B55)</f>
        <v/>
      </c>
      <c r="C55" s="18" t="str">
        <f>IF(盘货信息!C55="","",盘货信息!C55)</f>
        <v/>
      </c>
      <c r="D55" s="18" t="str">
        <f t="shared" si="0"/>
        <v/>
      </c>
      <c r="E55" s="18" t="str" cm="1">
        <f t="array" ref="E55">IF(_xlfn.XLOOKUP($A55&amp;$B55&amp;$C55,盘货信息!$A:$A&amp;盘货信息!$B:$B&amp;盘货信息!$C:$C,盘货信息!$AA:$AA)="","",_xlfn.XLOOKUP($A55&amp;$B55&amp;$C55,盘货信息!$A:$A&amp;盘货信息!$B:$B&amp;盘货信息!$C:$C,盘货信息!$AA:$AA)&amp;"免息")</f>
        <v/>
      </c>
      <c r="F55" s="18" t="str" cm="1">
        <f t="array" ref="F55">IF(_xlfn.XLOOKUP($A55&amp;$B55&amp;$C55,盘货信息!$A:$A&amp;盘货信息!$B:$B&amp;盘货信息!$C:$C,盘货信息!$AB:$AB)="","",_xlfn.XLOOKUP($A55&amp;$B55&amp;$C55,盘货信息!$A:$A&amp;盘货信息!$B:$B&amp;盘货信息!$C:$C,盘货信息!$AB:$AB))</f>
        <v/>
      </c>
      <c r="G55" s="18"/>
    </row>
    <row r="56" customHeight="1" spans="1:7">
      <c r="A56" s="17" t="str">
        <f>IF(盘货信息!A56="","",盘货信息!A56)</f>
        <v/>
      </c>
      <c r="B56" s="17" t="str">
        <f>IF(盘货信息!B56="","",盘货信息!B56)</f>
        <v/>
      </c>
      <c r="C56" s="18" t="str">
        <f>IF(盘货信息!C56="","",盘货信息!C56)</f>
        <v/>
      </c>
      <c r="D56" s="18" t="str">
        <f t="shared" si="0"/>
        <v/>
      </c>
      <c r="E56" s="18" t="str" cm="1">
        <f t="array" ref="E56">IF(_xlfn.XLOOKUP($A56&amp;$B56&amp;$C56,盘货信息!$A:$A&amp;盘货信息!$B:$B&amp;盘货信息!$C:$C,盘货信息!$AA:$AA)="","",_xlfn.XLOOKUP($A56&amp;$B56&amp;$C56,盘货信息!$A:$A&amp;盘货信息!$B:$B&amp;盘货信息!$C:$C,盘货信息!$AA:$AA)&amp;"免息")</f>
        <v/>
      </c>
      <c r="F56" s="18" t="str" cm="1">
        <f t="array" ref="F56">IF(_xlfn.XLOOKUP($A56&amp;$B56&amp;$C56,盘货信息!$A:$A&amp;盘货信息!$B:$B&amp;盘货信息!$C:$C,盘货信息!$AB:$AB)="","",_xlfn.XLOOKUP($A56&amp;$B56&amp;$C56,盘货信息!$A:$A&amp;盘货信息!$B:$B&amp;盘货信息!$C:$C,盘货信息!$AB:$AB))</f>
        <v/>
      </c>
      <c r="G56" s="18"/>
    </row>
    <row r="57" customHeight="1" spans="1:7">
      <c r="A57" s="17" t="str">
        <f>IF(盘货信息!A57="","",盘货信息!A57)</f>
        <v/>
      </c>
      <c r="B57" s="17" t="str">
        <f>IF(盘货信息!B57="","",盘货信息!B57)</f>
        <v/>
      </c>
      <c r="C57" s="18" t="str">
        <f>IF(盘货信息!C57="","",盘货信息!C57)</f>
        <v/>
      </c>
      <c r="D57" s="18" t="str">
        <f t="shared" si="0"/>
        <v/>
      </c>
      <c r="E57" s="18" t="str" cm="1">
        <f t="array" ref="E57">IF(_xlfn.XLOOKUP($A57&amp;$B57&amp;$C57,盘货信息!$A:$A&amp;盘货信息!$B:$B&amp;盘货信息!$C:$C,盘货信息!$AA:$AA)="","",_xlfn.XLOOKUP($A57&amp;$B57&amp;$C57,盘货信息!$A:$A&amp;盘货信息!$B:$B&amp;盘货信息!$C:$C,盘货信息!$AA:$AA)&amp;"免息")</f>
        <v/>
      </c>
      <c r="F57" s="18" t="str" cm="1">
        <f t="array" ref="F57">IF(_xlfn.XLOOKUP($A57&amp;$B57&amp;$C57,盘货信息!$A:$A&amp;盘货信息!$B:$B&amp;盘货信息!$C:$C,盘货信息!$AB:$AB)="","",_xlfn.XLOOKUP($A57&amp;$B57&amp;$C57,盘货信息!$A:$A&amp;盘货信息!$B:$B&amp;盘货信息!$C:$C,盘货信息!$AB:$AB))</f>
        <v/>
      </c>
      <c r="G57" s="18"/>
    </row>
    <row r="58" customHeight="1" spans="1:7">
      <c r="A58" s="17" t="str">
        <f>IF(盘货信息!A58="","",盘货信息!A58)</f>
        <v/>
      </c>
      <c r="B58" s="17" t="str">
        <f>IF(盘货信息!B58="","",盘货信息!B58)</f>
        <v/>
      </c>
      <c r="C58" s="18" t="str">
        <f>IF(盘货信息!C58="","",盘货信息!C58)</f>
        <v/>
      </c>
      <c r="D58" s="18" t="str">
        <f t="shared" si="0"/>
        <v/>
      </c>
      <c r="E58" s="18" t="str" cm="1">
        <f t="array" ref="E58">IF(_xlfn.XLOOKUP($A58&amp;$B58&amp;$C58,盘货信息!$A:$A&amp;盘货信息!$B:$B&amp;盘货信息!$C:$C,盘货信息!$AA:$AA)="","",_xlfn.XLOOKUP($A58&amp;$B58&amp;$C58,盘货信息!$A:$A&amp;盘货信息!$B:$B&amp;盘货信息!$C:$C,盘货信息!$AA:$AA)&amp;"免息")</f>
        <v/>
      </c>
      <c r="F58" s="18" t="str" cm="1">
        <f t="array" ref="F58">IF(_xlfn.XLOOKUP($A58&amp;$B58&amp;$C58,盘货信息!$A:$A&amp;盘货信息!$B:$B&amp;盘货信息!$C:$C,盘货信息!$AB:$AB)="","",_xlfn.XLOOKUP($A58&amp;$B58&amp;$C58,盘货信息!$A:$A&amp;盘货信息!$B:$B&amp;盘货信息!$C:$C,盘货信息!$AB:$AB))</f>
        <v/>
      </c>
      <c r="G58" s="18"/>
    </row>
    <row r="59" customHeight="1" spans="1:7">
      <c r="A59" s="17" t="str">
        <f>IF(盘货信息!A59="","",盘货信息!A59)</f>
        <v/>
      </c>
      <c r="B59" s="17" t="str">
        <f>IF(盘货信息!B59="","",盘货信息!B59)</f>
        <v/>
      </c>
      <c r="C59" s="18" t="str">
        <f>IF(盘货信息!C59="","",盘货信息!C59)</f>
        <v/>
      </c>
      <c r="D59" s="18" t="str">
        <f t="shared" si="0"/>
        <v/>
      </c>
      <c r="E59" s="18" t="str" cm="1">
        <f t="array" ref="E59">IF(_xlfn.XLOOKUP($A59&amp;$B59&amp;$C59,盘货信息!$A:$A&amp;盘货信息!$B:$B&amp;盘货信息!$C:$C,盘货信息!$AA:$AA)="","",_xlfn.XLOOKUP($A59&amp;$B59&amp;$C59,盘货信息!$A:$A&amp;盘货信息!$B:$B&amp;盘货信息!$C:$C,盘货信息!$AA:$AA)&amp;"免息")</f>
        <v/>
      </c>
      <c r="F59" s="18" t="str" cm="1">
        <f t="array" ref="F59">IF(_xlfn.XLOOKUP($A59&amp;$B59&amp;$C59,盘货信息!$A:$A&amp;盘货信息!$B:$B&amp;盘货信息!$C:$C,盘货信息!$AB:$AB)="","",_xlfn.XLOOKUP($A59&amp;$B59&amp;$C59,盘货信息!$A:$A&amp;盘货信息!$B:$B&amp;盘货信息!$C:$C,盘货信息!$AB:$AB))</f>
        <v/>
      </c>
      <c r="G59" s="18"/>
    </row>
    <row r="60" customHeight="1" spans="1:7">
      <c r="A60" s="17" t="str">
        <f>IF(盘货信息!A60="","",盘货信息!A60)</f>
        <v/>
      </c>
      <c r="B60" s="17" t="str">
        <f>IF(盘货信息!B60="","",盘货信息!B60)</f>
        <v/>
      </c>
      <c r="C60" s="18" t="str">
        <f>IF(盘货信息!C60="","",盘货信息!C60)</f>
        <v/>
      </c>
      <c r="D60" s="18" t="str">
        <f t="shared" si="0"/>
        <v/>
      </c>
      <c r="E60" s="18" t="str" cm="1">
        <f t="array" ref="E60">IF(_xlfn.XLOOKUP($A60&amp;$B60&amp;$C60,盘货信息!$A:$A&amp;盘货信息!$B:$B&amp;盘货信息!$C:$C,盘货信息!$AA:$AA)="","",_xlfn.XLOOKUP($A60&amp;$B60&amp;$C60,盘货信息!$A:$A&amp;盘货信息!$B:$B&amp;盘货信息!$C:$C,盘货信息!$AA:$AA)&amp;"免息")</f>
        <v/>
      </c>
      <c r="F60" s="18" t="str" cm="1">
        <f t="array" ref="F60">IF(_xlfn.XLOOKUP($A60&amp;$B60&amp;$C60,盘货信息!$A:$A&amp;盘货信息!$B:$B&amp;盘货信息!$C:$C,盘货信息!$AB:$AB)="","",_xlfn.XLOOKUP($A60&amp;$B60&amp;$C60,盘货信息!$A:$A&amp;盘货信息!$B:$B&amp;盘货信息!$C:$C,盘货信息!$AB:$AB))</f>
        <v/>
      </c>
      <c r="G60" s="18"/>
    </row>
    <row r="61" customHeight="1" spans="1:7">
      <c r="A61" s="17" t="str">
        <f>IF(盘货信息!A61="","",盘货信息!A61)</f>
        <v/>
      </c>
      <c r="B61" s="17" t="str">
        <f>IF(盘货信息!B61="","",盘货信息!B61)</f>
        <v/>
      </c>
      <c r="C61" s="18" t="str">
        <f>IF(盘货信息!C61="","",盘货信息!C61)</f>
        <v/>
      </c>
      <c r="D61" s="18" t="str">
        <f t="shared" si="0"/>
        <v/>
      </c>
      <c r="E61" s="18" t="str" cm="1">
        <f t="array" ref="E61">IF(_xlfn.XLOOKUP($A61&amp;$B61&amp;$C61,盘货信息!$A:$A&amp;盘货信息!$B:$B&amp;盘货信息!$C:$C,盘货信息!$AA:$AA)="","",_xlfn.XLOOKUP($A61&amp;$B61&amp;$C61,盘货信息!$A:$A&amp;盘货信息!$B:$B&amp;盘货信息!$C:$C,盘货信息!$AA:$AA)&amp;"免息")</f>
        <v/>
      </c>
      <c r="F61" s="18" t="str" cm="1">
        <f t="array" ref="F61">IF(_xlfn.XLOOKUP($A61&amp;$B61&amp;$C61,盘货信息!$A:$A&amp;盘货信息!$B:$B&amp;盘货信息!$C:$C,盘货信息!$AB:$AB)="","",_xlfn.XLOOKUP($A61&amp;$B61&amp;$C61,盘货信息!$A:$A&amp;盘货信息!$B:$B&amp;盘货信息!$C:$C,盘货信息!$AB:$AB))</f>
        <v/>
      </c>
      <c r="G61" s="18"/>
    </row>
    <row r="62" customHeight="1" spans="1:7">
      <c r="A62" s="17" t="str">
        <f>IF(盘货信息!A62="","",盘货信息!A62)</f>
        <v/>
      </c>
      <c r="B62" s="17" t="str">
        <f>IF(盘货信息!B62="","",盘货信息!B62)</f>
        <v/>
      </c>
      <c r="C62" s="18" t="str">
        <f>IF(盘货信息!C62="","",盘货信息!C62)</f>
        <v/>
      </c>
      <c r="D62" s="18" t="str">
        <f t="shared" si="0"/>
        <v/>
      </c>
      <c r="E62" s="18" t="str" cm="1">
        <f t="array" ref="E62">IF(_xlfn.XLOOKUP($A62&amp;$B62&amp;$C62,盘货信息!$A:$A&amp;盘货信息!$B:$B&amp;盘货信息!$C:$C,盘货信息!$AA:$AA)="","",_xlfn.XLOOKUP($A62&amp;$B62&amp;$C62,盘货信息!$A:$A&amp;盘货信息!$B:$B&amp;盘货信息!$C:$C,盘货信息!$AA:$AA)&amp;"免息")</f>
        <v/>
      </c>
      <c r="F62" s="18" t="str" cm="1">
        <f t="array" ref="F62">IF(_xlfn.XLOOKUP($A62&amp;$B62&amp;$C62,盘货信息!$A:$A&amp;盘货信息!$B:$B&amp;盘货信息!$C:$C,盘货信息!$AB:$AB)="","",_xlfn.XLOOKUP($A62&amp;$B62&amp;$C62,盘货信息!$A:$A&amp;盘货信息!$B:$B&amp;盘货信息!$C:$C,盘货信息!$AB:$AB))</f>
        <v/>
      </c>
      <c r="G62" s="18"/>
    </row>
    <row r="63" customHeight="1" spans="1:7">
      <c r="A63" s="17" t="str">
        <f>IF(盘货信息!A63="","",盘货信息!A63)</f>
        <v/>
      </c>
      <c r="B63" s="17" t="str">
        <f>IF(盘货信息!B63="","",盘货信息!B63)</f>
        <v/>
      </c>
      <c r="C63" s="18" t="str">
        <f>IF(盘货信息!C63="","",盘货信息!C63)</f>
        <v/>
      </c>
      <c r="D63" s="18" t="str">
        <f t="shared" si="0"/>
        <v/>
      </c>
      <c r="E63" s="18" t="str" cm="1">
        <f t="array" ref="E63">IF(_xlfn.XLOOKUP($A63&amp;$B63&amp;$C63,盘货信息!$A:$A&amp;盘货信息!$B:$B&amp;盘货信息!$C:$C,盘货信息!$AA:$AA)="","",_xlfn.XLOOKUP($A63&amp;$B63&amp;$C63,盘货信息!$A:$A&amp;盘货信息!$B:$B&amp;盘货信息!$C:$C,盘货信息!$AA:$AA)&amp;"免息")</f>
        <v/>
      </c>
      <c r="F63" s="18" t="str" cm="1">
        <f t="array" ref="F63">IF(_xlfn.XLOOKUP($A63&amp;$B63&amp;$C63,盘货信息!$A:$A&amp;盘货信息!$B:$B&amp;盘货信息!$C:$C,盘货信息!$AB:$AB)="","",_xlfn.XLOOKUP($A63&amp;$B63&amp;$C63,盘货信息!$A:$A&amp;盘货信息!$B:$B&amp;盘货信息!$C:$C,盘货信息!$AB:$AB))</f>
        <v/>
      </c>
      <c r="G63" s="18"/>
    </row>
    <row r="64" customHeight="1" spans="1:7">
      <c r="A64" s="17" t="str">
        <f>IF(盘货信息!A64="","",盘货信息!A64)</f>
        <v/>
      </c>
      <c r="B64" s="17" t="str">
        <f>IF(盘货信息!B64="","",盘货信息!B64)</f>
        <v/>
      </c>
      <c r="C64" s="18" t="str">
        <f>IF(盘货信息!C64="","",盘货信息!C64)</f>
        <v/>
      </c>
      <c r="D64" s="18" t="str">
        <f t="shared" si="0"/>
        <v/>
      </c>
      <c r="E64" s="18" t="str" cm="1">
        <f t="array" ref="E64">IF(_xlfn.XLOOKUP($A64&amp;$B64&amp;$C64,盘货信息!$A:$A&amp;盘货信息!$B:$B&amp;盘货信息!$C:$C,盘货信息!$AA:$AA)="","",_xlfn.XLOOKUP($A64&amp;$B64&amp;$C64,盘货信息!$A:$A&amp;盘货信息!$B:$B&amp;盘货信息!$C:$C,盘货信息!$AA:$AA)&amp;"免息")</f>
        <v/>
      </c>
      <c r="F64" s="18" t="str" cm="1">
        <f t="array" ref="F64">IF(_xlfn.XLOOKUP($A64&amp;$B64&amp;$C64,盘货信息!$A:$A&amp;盘货信息!$B:$B&amp;盘货信息!$C:$C,盘货信息!$AB:$AB)="","",_xlfn.XLOOKUP($A64&amp;$B64&amp;$C64,盘货信息!$A:$A&amp;盘货信息!$B:$B&amp;盘货信息!$C:$C,盘货信息!$AB:$AB))</f>
        <v/>
      </c>
      <c r="G64" s="18"/>
    </row>
    <row r="65" customHeight="1" spans="1:7">
      <c r="A65" s="17" t="str">
        <f>IF(盘货信息!A65="","",盘货信息!A65)</f>
        <v/>
      </c>
      <c r="B65" s="17" t="str">
        <f>IF(盘货信息!B65="","",盘货信息!B65)</f>
        <v/>
      </c>
      <c r="C65" s="18" t="str">
        <f>IF(盘货信息!C65="","",盘货信息!C65)</f>
        <v/>
      </c>
      <c r="D65" s="18" t="str">
        <f t="shared" si="0"/>
        <v/>
      </c>
      <c r="E65" s="18" t="str" cm="1">
        <f t="array" ref="E65">IF(_xlfn.XLOOKUP($A65&amp;$B65&amp;$C65,盘货信息!$A:$A&amp;盘货信息!$B:$B&amp;盘货信息!$C:$C,盘货信息!$AA:$AA)="","",_xlfn.XLOOKUP($A65&amp;$B65&amp;$C65,盘货信息!$A:$A&amp;盘货信息!$B:$B&amp;盘货信息!$C:$C,盘货信息!$AA:$AA)&amp;"免息")</f>
        <v/>
      </c>
      <c r="F65" s="18" t="str" cm="1">
        <f t="array" ref="F65">IF(_xlfn.XLOOKUP($A65&amp;$B65&amp;$C65,盘货信息!$A:$A&amp;盘货信息!$B:$B&amp;盘货信息!$C:$C,盘货信息!$AB:$AB)="","",_xlfn.XLOOKUP($A65&amp;$B65&amp;$C65,盘货信息!$A:$A&amp;盘货信息!$B:$B&amp;盘货信息!$C:$C,盘货信息!$AB:$AB))</f>
        <v/>
      </c>
      <c r="G65" s="18"/>
    </row>
    <row r="66" customHeight="1" spans="1:7">
      <c r="A66" s="17" t="str">
        <f>IF(盘货信息!A66="","",盘货信息!A66)</f>
        <v/>
      </c>
      <c r="B66" s="17" t="str">
        <f>IF(盘货信息!B66="","",盘货信息!B66)</f>
        <v/>
      </c>
      <c r="C66" s="18" t="str">
        <f>IF(盘货信息!C66="","",盘货信息!C66)</f>
        <v/>
      </c>
      <c r="D66" s="18" t="str">
        <f t="shared" si="0"/>
        <v/>
      </c>
      <c r="E66" s="18" t="str" cm="1">
        <f t="array" ref="E66">IF(_xlfn.XLOOKUP($A66&amp;$B66&amp;$C66,盘货信息!$A:$A&amp;盘货信息!$B:$B&amp;盘货信息!$C:$C,盘货信息!$AA:$AA)="","",_xlfn.XLOOKUP($A66&amp;$B66&amp;$C66,盘货信息!$A:$A&amp;盘货信息!$B:$B&amp;盘货信息!$C:$C,盘货信息!$AA:$AA)&amp;"免息")</f>
        <v/>
      </c>
      <c r="F66" s="18" t="str" cm="1">
        <f t="array" ref="F66">IF(_xlfn.XLOOKUP($A66&amp;$B66&amp;$C66,盘货信息!$A:$A&amp;盘货信息!$B:$B&amp;盘货信息!$C:$C,盘货信息!$AB:$AB)="","",_xlfn.XLOOKUP($A66&amp;$B66&amp;$C66,盘货信息!$A:$A&amp;盘货信息!$B:$B&amp;盘货信息!$C:$C,盘货信息!$AB:$AB))</f>
        <v/>
      </c>
      <c r="G66" s="18"/>
    </row>
    <row r="67" customHeight="1" spans="1:7">
      <c r="A67" s="17" t="str">
        <f>IF(盘货信息!A67="","",盘货信息!A67)</f>
        <v/>
      </c>
      <c r="B67" s="17" t="str">
        <f>IF(盘货信息!B67="","",盘货信息!B67)</f>
        <v/>
      </c>
      <c r="C67" s="18" t="str">
        <f>IF(盘货信息!C67="","",盘货信息!C67)</f>
        <v/>
      </c>
      <c r="D67" s="18" t="str">
        <f t="shared" ref="D67:D130" si="1">IF(C67="","","【服务】"&amp;_xlfn.TEXTJOIN("，",TRUE,E67:G67))</f>
        <v/>
      </c>
      <c r="E67" s="18" t="str" cm="1">
        <f t="array" ref="E67">IF(_xlfn.XLOOKUP($A67&amp;$B67&amp;$C67,盘货信息!$A:$A&amp;盘货信息!$B:$B&amp;盘货信息!$C:$C,盘货信息!$AA:$AA)="","",_xlfn.XLOOKUP($A67&amp;$B67&amp;$C67,盘货信息!$A:$A&amp;盘货信息!$B:$B&amp;盘货信息!$C:$C,盘货信息!$AA:$AA)&amp;"免息")</f>
        <v/>
      </c>
      <c r="F67" s="18" t="str" cm="1">
        <f t="array" ref="F67">IF(_xlfn.XLOOKUP($A67&amp;$B67&amp;$C67,盘货信息!$A:$A&amp;盘货信息!$B:$B&amp;盘货信息!$C:$C,盘货信息!$AB:$AB)="","",_xlfn.XLOOKUP($A67&amp;$B67&amp;$C67,盘货信息!$A:$A&amp;盘货信息!$B:$B&amp;盘货信息!$C:$C,盘货信息!$AB:$AB))</f>
        <v/>
      </c>
      <c r="G67" s="18"/>
    </row>
    <row r="68" customHeight="1" spans="1:7">
      <c r="A68" s="17" t="str">
        <f>IF(盘货信息!A68="","",盘货信息!A68)</f>
        <v/>
      </c>
      <c r="B68" s="17" t="str">
        <f>IF(盘货信息!B68="","",盘货信息!B68)</f>
        <v/>
      </c>
      <c r="C68" s="18" t="str">
        <f>IF(盘货信息!C68="","",盘货信息!C68)</f>
        <v/>
      </c>
      <c r="D68" s="18" t="str">
        <f t="shared" si="1"/>
        <v/>
      </c>
      <c r="E68" s="18" t="str" cm="1">
        <f t="array" ref="E68">IF(_xlfn.XLOOKUP($A68&amp;$B68&amp;$C68,盘货信息!$A:$A&amp;盘货信息!$B:$B&amp;盘货信息!$C:$C,盘货信息!$AA:$AA)="","",_xlfn.XLOOKUP($A68&amp;$B68&amp;$C68,盘货信息!$A:$A&amp;盘货信息!$B:$B&amp;盘货信息!$C:$C,盘货信息!$AA:$AA)&amp;"免息")</f>
        <v/>
      </c>
      <c r="F68" s="18" t="str" cm="1">
        <f t="array" ref="F68">IF(_xlfn.XLOOKUP($A68&amp;$B68&amp;$C68,盘货信息!$A:$A&amp;盘货信息!$B:$B&amp;盘货信息!$C:$C,盘货信息!$AB:$AB)="","",_xlfn.XLOOKUP($A68&amp;$B68&amp;$C68,盘货信息!$A:$A&amp;盘货信息!$B:$B&amp;盘货信息!$C:$C,盘货信息!$AB:$AB))</f>
        <v/>
      </c>
      <c r="G68" s="18"/>
    </row>
    <row r="69" customHeight="1" spans="1:7">
      <c r="A69" s="17" t="str">
        <f>IF(盘货信息!A69="","",盘货信息!A69)</f>
        <v/>
      </c>
      <c r="B69" s="17" t="str">
        <f>IF(盘货信息!B69="","",盘货信息!B69)</f>
        <v/>
      </c>
      <c r="C69" s="18" t="str">
        <f>IF(盘货信息!C69="","",盘货信息!C69)</f>
        <v/>
      </c>
      <c r="D69" s="18" t="str">
        <f t="shared" si="1"/>
        <v/>
      </c>
      <c r="E69" s="18" t="str" cm="1">
        <f t="array" ref="E69">IF(_xlfn.XLOOKUP($A69&amp;$B69&amp;$C69,盘货信息!$A:$A&amp;盘货信息!$B:$B&amp;盘货信息!$C:$C,盘货信息!$AA:$AA)="","",_xlfn.XLOOKUP($A69&amp;$B69&amp;$C69,盘货信息!$A:$A&amp;盘货信息!$B:$B&amp;盘货信息!$C:$C,盘货信息!$AA:$AA)&amp;"免息")</f>
        <v/>
      </c>
      <c r="F69" s="18" t="str" cm="1">
        <f t="array" ref="F69">IF(_xlfn.XLOOKUP($A69&amp;$B69&amp;$C69,盘货信息!$A:$A&amp;盘货信息!$B:$B&amp;盘货信息!$C:$C,盘货信息!$AB:$AB)="","",_xlfn.XLOOKUP($A69&amp;$B69&amp;$C69,盘货信息!$A:$A&amp;盘货信息!$B:$B&amp;盘货信息!$C:$C,盘货信息!$AB:$AB))</f>
        <v/>
      </c>
      <c r="G69" s="18"/>
    </row>
    <row r="70" customHeight="1" spans="1:7">
      <c r="A70" s="17" t="str">
        <f>IF(盘货信息!A70="","",盘货信息!A70)</f>
        <v/>
      </c>
      <c r="B70" s="17" t="str">
        <f>IF(盘货信息!B70="","",盘货信息!B70)</f>
        <v/>
      </c>
      <c r="C70" s="18" t="str">
        <f>IF(盘货信息!C70="","",盘货信息!C70)</f>
        <v/>
      </c>
      <c r="D70" s="18" t="str">
        <f t="shared" si="1"/>
        <v/>
      </c>
      <c r="E70" s="18" t="str" cm="1">
        <f t="array" ref="E70">IF(_xlfn.XLOOKUP($A70&amp;$B70&amp;$C70,盘货信息!$A:$A&amp;盘货信息!$B:$B&amp;盘货信息!$C:$C,盘货信息!$AA:$AA)="","",_xlfn.XLOOKUP($A70&amp;$B70&amp;$C70,盘货信息!$A:$A&amp;盘货信息!$B:$B&amp;盘货信息!$C:$C,盘货信息!$AA:$AA)&amp;"免息")</f>
        <v/>
      </c>
      <c r="F70" s="18" t="str" cm="1">
        <f t="array" ref="F70">IF(_xlfn.XLOOKUP($A70&amp;$B70&amp;$C70,盘货信息!$A:$A&amp;盘货信息!$B:$B&amp;盘货信息!$C:$C,盘货信息!$AB:$AB)="","",_xlfn.XLOOKUP($A70&amp;$B70&amp;$C70,盘货信息!$A:$A&amp;盘货信息!$B:$B&amp;盘货信息!$C:$C,盘货信息!$AB:$AB))</f>
        <v/>
      </c>
      <c r="G70" s="18"/>
    </row>
    <row r="71" customHeight="1" spans="1:7">
      <c r="A71" s="17" t="str">
        <f>IF(盘货信息!A71="","",盘货信息!A71)</f>
        <v/>
      </c>
      <c r="B71" s="17" t="str">
        <f>IF(盘货信息!B71="","",盘货信息!B71)</f>
        <v/>
      </c>
      <c r="C71" s="18" t="str">
        <f>IF(盘货信息!C71="","",盘货信息!C71)</f>
        <v/>
      </c>
      <c r="D71" s="18" t="str">
        <f t="shared" si="1"/>
        <v/>
      </c>
      <c r="E71" s="18" t="str" cm="1">
        <f t="array" ref="E71">IF(_xlfn.XLOOKUP($A71&amp;$B71&amp;$C71,盘货信息!$A:$A&amp;盘货信息!$B:$B&amp;盘货信息!$C:$C,盘货信息!$AA:$AA)="","",_xlfn.XLOOKUP($A71&amp;$B71&amp;$C71,盘货信息!$A:$A&amp;盘货信息!$B:$B&amp;盘货信息!$C:$C,盘货信息!$AA:$AA)&amp;"免息")</f>
        <v/>
      </c>
      <c r="F71" s="18" t="str" cm="1">
        <f t="array" ref="F71">IF(_xlfn.XLOOKUP($A71&amp;$B71&amp;$C71,盘货信息!$A:$A&amp;盘货信息!$B:$B&amp;盘货信息!$C:$C,盘货信息!$AB:$AB)="","",_xlfn.XLOOKUP($A71&amp;$B71&amp;$C71,盘货信息!$A:$A&amp;盘货信息!$B:$B&amp;盘货信息!$C:$C,盘货信息!$AB:$AB))</f>
        <v/>
      </c>
      <c r="G71" s="18"/>
    </row>
    <row r="72" customHeight="1" spans="1:7">
      <c r="A72" s="17" t="str">
        <f>IF(盘货信息!A72="","",盘货信息!A72)</f>
        <v/>
      </c>
      <c r="B72" s="17" t="str">
        <f>IF(盘货信息!B72="","",盘货信息!B72)</f>
        <v/>
      </c>
      <c r="C72" s="18" t="str">
        <f>IF(盘货信息!C72="","",盘货信息!C72)</f>
        <v/>
      </c>
      <c r="D72" s="18" t="str">
        <f t="shared" si="1"/>
        <v/>
      </c>
      <c r="E72" s="18" t="str" cm="1">
        <f t="array" ref="E72">IF(_xlfn.XLOOKUP($A72&amp;$B72&amp;$C72,盘货信息!$A:$A&amp;盘货信息!$B:$B&amp;盘货信息!$C:$C,盘货信息!$AA:$AA)="","",_xlfn.XLOOKUP($A72&amp;$B72&amp;$C72,盘货信息!$A:$A&amp;盘货信息!$B:$B&amp;盘货信息!$C:$C,盘货信息!$AA:$AA)&amp;"免息")</f>
        <v/>
      </c>
      <c r="F72" s="18" t="str" cm="1">
        <f t="array" ref="F72">IF(_xlfn.XLOOKUP($A72&amp;$B72&amp;$C72,盘货信息!$A:$A&amp;盘货信息!$B:$B&amp;盘货信息!$C:$C,盘货信息!$AB:$AB)="","",_xlfn.XLOOKUP($A72&amp;$B72&amp;$C72,盘货信息!$A:$A&amp;盘货信息!$B:$B&amp;盘货信息!$C:$C,盘货信息!$AB:$AB))</f>
        <v/>
      </c>
      <c r="G72" s="18"/>
    </row>
    <row r="73" customHeight="1" spans="1:7">
      <c r="A73" s="17" t="str">
        <f>IF(盘货信息!A73="","",盘货信息!A73)</f>
        <v/>
      </c>
      <c r="B73" s="17" t="str">
        <f>IF(盘货信息!B73="","",盘货信息!B73)</f>
        <v/>
      </c>
      <c r="C73" s="18" t="str">
        <f>IF(盘货信息!C73="","",盘货信息!C73)</f>
        <v/>
      </c>
      <c r="D73" s="18" t="str">
        <f t="shared" si="1"/>
        <v/>
      </c>
      <c r="E73" s="18" t="str" cm="1">
        <f t="array" ref="E73">IF(_xlfn.XLOOKUP($A73&amp;$B73&amp;$C73,盘货信息!$A:$A&amp;盘货信息!$B:$B&amp;盘货信息!$C:$C,盘货信息!$AA:$AA)="","",_xlfn.XLOOKUP($A73&amp;$B73&amp;$C73,盘货信息!$A:$A&amp;盘货信息!$B:$B&amp;盘货信息!$C:$C,盘货信息!$AA:$AA)&amp;"免息")</f>
        <v/>
      </c>
      <c r="F73" s="18" t="str" cm="1">
        <f t="array" ref="F73">IF(_xlfn.XLOOKUP($A73&amp;$B73&amp;$C73,盘货信息!$A:$A&amp;盘货信息!$B:$B&amp;盘货信息!$C:$C,盘货信息!$AB:$AB)="","",_xlfn.XLOOKUP($A73&amp;$B73&amp;$C73,盘货信息!$A:$A&amp;盘货信息!$B:$B&amp;盘货信息!$C:$C,盘货信息!$AB:$AB))</f>
        <v/>
      </c>
      <c r="G73" s="18"/>
    </row>
    <row r="74" customHeight="1" spans="1:7">
      <c r="A74" s="17" t="str">
        <f>IF(盘货信息!A74="","",盘货信息!A74)</f>
        <v/>
      </c>
      <c r="B74" s="17" t="str">
        <f>IF(盘货信息!B74="","",盘货信息!B74)</f>
        <v/>
      </c>
      <c r="C74" s="18" t="str">
        <f>IF(盘货信息!C74="","",盘货信息!C74)</f>
        <v/>
      </c>
      <c r="D74" s="18" t="str">
        <f t="shared" si="1"/>
        <v/>
      </c>
      <c r="E74" s="18" t="str" cm="1">
        <f t="array" ref="E74">IF(_xlfn.XLOOKUP($A74&amp;$B74&amp;$C74,盘货信息!$A:$A&amp;盘货信息!$B:$B&amp;盘货信息!$C:$C,盘货信息!$AA:$AA)="","",_xlfn.XLOOKUP($A74&amp;$B74&amp;$C74,盘货信息!$A:$A&amp;盘货信息!$B:$B&amp;盘货信息!$C:$C,盘货信息!$AA:$AA)&amp;"免息")</f>
        <v/>
      </c>
      <c r="F74" s="18" t="str" cm="1">
        <f t="array" ref="F74">IF(_xlfn.XLOOKUP($A74&amp;$B74&amp;$C74,盘货信息!$A:$A&amp;盘货信息!$B:$B&amp;盘货信息!$C:$C,盘货信息!$AB:$AB)="","",_xlfn.XLOOKUP($A74&amp;$B74&amp;$C74,盘货信息!$A:$A&amp;盘货信息!$B:$B&amp;盘货信息!$C:$C,盘货信息!$AB:$AB))</f>
        <v/>
      </c>
      <c r="G74" s="18"/>
    </row>
    <row r="75" customHeight="1" spans="1:7">
      <c r="A75" s="17" t="str">
        <f>IF(盘货信息!A75="","",盘货信息!A75)</f>
        <v/>
      </c>
      <c r="B75" s="17" t="str">
        <f>IF(盘货信息!B75="","",盘货信息!B75)</f>
        <v/>
      </c>
      <c r="C75" s="18" t="str">
        <f>IF(盘货信息!C75="","",盘货信息!C75)</f>
        <v/>
      </c>
      <c r="D75" s="18" t="str">
        <f t="shared" si="1"/>
        <v/>
      </c>
      <c r="E75" s="18" t="str" cm="1">
        <f t="array" ref="E75">IF(_xlfn.XLOOKUP($A75&amp;$B75&amp;$C75,盘货信息!$A:$A&amp;盘货信息!$B:$B&amp;盘货信息!$C:$C,盘货信息!$AA:$AA)="","",_xlfn.XLOOKUP($A75&amp;$B75&amp;$C75,盘货信息!$A:$A&amp;盘货信息!$B:$B&amp;盘货信息!$C:$C,盘货信息!$AA:$AA)&amp;"免息")</f>
        <v/>
      </c>
      <c r="F75" s="18" t="str" cm="1">
        <f t="array" ref="F75">IF(_xlfn.XLOOKUP($A75&amp;$B75&amp;$C75,盘货信息!$A:$A&amp;盘货信息!$B:$B&amp;盘货信息!$C:$C,盘货信息!$AB:$AB)="","",_xlfn.XLOOKUP($A75&amp;$B75&amp;$C75,盘货信息!$A:$A&amp;盘货信息!$B:$B&amp;盘货信息!$C:$C,盘货信息!$AB:$AB))</f>
        <v/>
      </c>
      <c r="G75" s="18"/>
    </row>
    <row r="76" customHeight="1" spans="1:7">
      <c r="A76" s="17" t="str">
        <f>IF(盘货信息!A76="","",盘货信息!A76)</f>
        <v/>
      </c>
      <c r="B76" s="17" t="str">
        <f>IF(盘货信息!B76="","",盘货信息!B76)</f>
        <v/>
      </c>
      <c r="C76" s="18" t="str">
        <f>IF(盘货信息!C76="","",盘货信息!C76)</f>
        <v/>
      </c>
      <c r="D76" s="18" t="str">
        <f t="shared" si="1"/>
        <v/>
      </c>
      <c r="E76" s="18" t="str" cm="1">
        <f t="array" ref="E76">IF(_xlfn.XLOOKUP($A76&amp;$B76&amp;$C76,盘货信息!$A:$A&amp;盘货信息!$B:$B&amp;盘货信息!$C:$C,盘货信息!$AA:$AA)="","",_xlfn.XLOOKUP($A76&amp;$B76&amp;$C76,盘货信息!$A:$A&amp;盘货信息!$B:$B&amp;盘货信息!$C:$C,盘货信息!$AA:$AA)&amp;"免息")</f>
        <v/>
      </c>
      <c r="F76" s="18" t="str" cm="1">
        <f t="array" ref="F76">IF(_xlfn.XLOOKUP($A76&amp;$B76&amp;$C76,盘货信息!$A:$A&amp;盘货信息!$B:$B&amp;盘货信息!$C:$C,盘货信息!$AB:$AB)="","",_xlfn.XLOOKUP($A76&amp;$B76&amp;$C76,盘货信息!$A:$A&amp;盘货信息!$B:$B&amp;盘货信息!$C:$C,盘货信息!$AB:$AB))</f>
        <v/>
      </c>
      <c r="G76" s="18"/>
    </row>
    <row r="77" customHeight="1" spans="1:7">
      <c r="A77" s="17" t="str">
        <f>IF(盘货信息!A77="","",盘货信息!A77)</f>
        <v/>
      </c>
      <c r="B77" s="17" t="str">
        <f>IF(盘货信息!B77="","",盘货信息!B77)</f>
        <v/>
      </c>
      <c r="C77" s="18" t="str">
        <f>IF(盘货信息!C77="","",盘货信息!C77)</f>
        <v/>
      </c>
      <c r="D77" s="18" t="str">
        <f t="shared" si="1"/>
        <v/>
      </c>
      <c r="E77" s="18" t="str" cm="1">
        <f t="array" ref="E77">IF(_xlfn.XLOOKUP($A77&amp;$B77&amp;$C77,盘货信息!$A:$A&amp;盘货信息!$B:$B&amp;盘货信息!$C:$C,盘货信息!$AA:$AA)="","",_xlfn.XLOOKUP($A77&amp;$B77&amp;$C77,盘货信息!$A:$A&amp;盘货信息!$B:$B&amp;盘货信息!$C:$C,盘货信息!$AA:$AA)&amp;"免息")</f>
        <v/>
      </c>
      <c r="F77" s="18" t="str" cm="1">
        <f t="array" ref="F77">IF(_xlfn.XLOOKUP($A77&amp;$B77&amp;$C77,盘货信息!$A:$A&amp;盘货信息!$B:$B&amp;盘货信息!$C:$C,盘货信息!$AB:$AB)="","",_xlfn.XLOOKUP($A77&amp;$B77&amp;$C77,盘货信息!$A:$A&amp;盘货信息!$B:$B&amp;盘货信息!$C:$C,盘货信息!$AB:$AB))</f>
        <v/>
      </c>
      <c r="G77" s="18"/>
    </row>
    <row r="78" customHeight="1" spans="1:7">
      <c r="A78" s="17" t="str">
        <f>IF(盘货信息!A78="","",盘货信息!A78)</f>
        <v/>
      </c>
      <c r="B78" s="17" t="str">
        <f>IF(盘货信息!B78="","",盘货信息!B78)</f>
        <v/>
      </c>
      <c r="C78" s="18" t="str">
        <f>IF(盘货信息!C78="","",盘货信息!C78)</f>
        <v/>
      </c>
      <c r="D78" s="18" t="str">
        <f t="shared" si="1"/>
        <v/>
      </c>
      <c r="E78" s="18" t="str" cm="1">
        <f t="array" ref="E78">IF(_xlfn.XLOOKUP($A78&amp;$B78&amp;$C78,盘货信息!$A:$A&amp;盘货信息!$B:$B&amp;盘货信息!$C:$C,盘货信息!$AA:$AA)="","",_xlfn.XLOOKUP($A78&amp;$B78&amp;$C78,盘货信息!$A:$A&amp;盘货信息!$B:$B&amp;盘货信息!$C:$C,盘货信息!$AA:$AA)&amp;"免息")</f>
        <v/>
      </c>
      <c r="F78" s="18" t="str" cm="1">
        <f t="array" ref="F78">IF(_xlfn.XLOOKUP($A78&amp;$B78&amp;$C78,盘货信息!$A:$A&amp;盘货信息!$B:$B&amp;盘货信息!$C:$C,盘货信息!$AB:$AB)="","",_xlfn.XLOOKUP($A78&amp;$B78&amp;$C78,盘货信息!$A:$A&amp;盘货信息!$B:$B&amp;盘货信息!$C:$C,盘货信息!$AB:$AB))</f>
        <v/>
      </c>
      <c r="G78" s="18"/>
    </row>
    <row r="79" customHeight="1" spans="1:7">
      <c r="A79" s="19" t="str">
        <f>IF(盘货信息!A79="","",盘货信息!A79)</f>
        <v/>
      </c>
      <c r="B79" s="19" t="str">
        <f>IF(盘货信息!B79="","",盘货信息!B79)</f>
        <v/>
      </c>
      <c r="C79" s="18" t="str">
        <f>IF(盘货信息!C79="","",盘货信息!C79)</f>
        <v/>
      </c>
      <c r="D79" s="18" t="str">
        <f t="shared" si="1"/>
        <v/>
      </c>
      <c r="E79" s="18" t="str" cm="1">
        <f t="array" ref="E79">IF(_xlfn.XLOOKUP($A79&amp;$B79&amp;$C79,盘货信息!$A:$A&amp;盘货信息!$B:$B&amp;盘货信息!$C:$C,盘货信息!$AA:$AA)="","",_xlfn.XLOOKUP($A79&amp;$B79&amp;$C79,盘货信息!$A:$A&amp;盘货信息!$B:$B&amp;盘货信息!$C:$C,盘货信息!$AA:$AA)&amp;"免息")</f>
        <v/>
      </c>
      <c r="F79" s="18" t="str" cm="1">
        <f t="array" ref="F79">IF(_xlfn.XLOOKUP($A79&amp;$B79&amp;$C79,盘货信息!$A:$A&amp;盘货信息!$B:$B&amp;盘货信息!$C:$C,盘货信息!$AB:$AB)="","",_xlfn.XLOOKUP($A79&amp;$B79&amp;$C79,盘货信息!$A:$A&amp;盘货信息!$B:$B&amp;盘货信息!$C:$C,盘货信息!$AB:$AB))</f>
        <v/>
      </c>
      <c r="G79" s="18"/>
    </row>
    <row r="80" customHeight="1" spans="1:7">
      <c r="A80" s="17" t="str">
        <f>IF(盘货信息!A80="","",盘货信息!A80)</f>
        <v/>
      </c>
      <c r="B80" s="17" t="str">
        <f>IF(盘货信息!B80="","",盘货信息!B80)</f>
        <v/>
      </c>
      <c r="C80" s="18" t="str">
        <f>IF(盘货信息!C80="","",盘货信息!C80)</f>
        <v/>
      </c>
      <c r="D80" s="18" t="str">
        <f t="shared" si="1"/>
        <v/>
      </c>
      <c r="E80" s="18" t="str" cm="1">
        <f t="array" ref="E80">IF(_xlfn.XLOOKUP($A80&amp;$B80&amp;$C80,盘货信息!$A:$A&amp;盘货信息!$B:$B&amp;盘货信息!$C:$C,盘货信息!$AA:$AA)="","",_xlfn.XLOOKUP($A80&amp;$B80&amp;$C80,盘货信息!$A:$A&amp;盘货信息!$B:$B&amp;盘货信息!$C:$C,盘货信息!$AA:$AA)&amp;"免息")</f>
        <v/>
      </c>
      <c r="F80" s="18" t="str" cm="1">
        <f t="array" ref="F80">IF(_xlfn.XLOOKUP($A80&amp;$B80&amp;$C80,盘货信息!$A:$A&amp;盘货信息!$B:$B&amp;盘货信息!$C:$C,盘货信息!$AB:$AB)="","",_xlfn.XLOOKUP($A80&amp;$B80&amp;$C80,盘货信息!$A:$A&amp;盘货信息!$B:$B&amp;盘货信息!$C:$C,盘货信息!$AB:$AB))</f>
        <v/>
      </c>
      <c r="G80" s="18"/>
    </row>
    <row r="81" customHeight="1" spans="1:7">
      <c r="A81" s="17" t="str">
        <f>IF(盘货信息!A81="","",盘货信息!A81)</f>
        <v/>
      </c>
      <c r="B81" s="17" t="str">
        <f>IF(盘货信息!B81="","",盘货信息!B81)</f>
        <v/>
      </c>
      <c r="C81" s="18" t="str">
        <f>IF(盘货信息!C81="","",盘货信息!C81)</f>
        <v/>
      </c>
      <c r="D81" s="18" t="str">
        <f t="shared" si="1"/>
        <v/>
      </c>
      <c r="E81" s="18" t="str" cm="1">
        <f t="array" ref="E81">IF(_xlfn.XLOOKUP($A81&amp;$B81&amp;$C81,盘货信息!$A:$A&amp;盘货信息!$B:$B&amp;盘货信息!$C:$C,盘货信息!$AA:$AA)="","",_xlfn.XLOOKUP($A81&amp;$B81&amp;$C81,盘货信息!$A:$A&amp;盘货信息!$B:$B&amp;盘货信息!$C:$C,盘货信息!$AA:$AA)&amp;"免息")</f>
        <v/>
      </c>
      <c r="F81" s="18" t="str" cm="1">
        <f t="array" ref="F81">IF(_xlfn.XLOOKUP($A81&amp;$B81&amp;$C81,盘货信息!$A:$A&amp;盘货信息!$B:$B&amp;盘货信息!$C:$C,盘货信息!$AB:$AB)="","",_xlfn.XLOOKUP($A81&amp;$B81&amp;$C81,盘货信息!$A:$A&amp;盘货信息!$B:$B&amp;盘货信息!$C:$C,盘货信息!$AB:$AB))</f>
        <v/>
      </c>
      <c r="G81" s="18"/>
    </row>
    <row r="82" customHeight="1" spans="1:7">
      <c r="A82" s="17" t="str">
        <f>IF(盘货信息!A82="","",盘货信息!A82)</f>
        <v/>
      </c>
      <c r="B82" s="17" t="str">
        <f>IF(盘货信息!B82="","",盘货信息!B82)</f>
        <v/>
      </c>
      <c r="C82" s="18" t="str">
        <f>IF(盘货信息!C82="","",盘货信息!C82)</f>
        <v/>
      </c>
      <c r="D82" s="18" t="str">
        <f t="shared" si="1"/>
        <v/>
      </c>
      <c r="E82" s="18" t="str" cm="1">
        <f t="array" ref="E82">IF(_xlfn.XLOOKUP($A82&amp;$B82&amp;$C82,盘货信息!$A:$A&amp;盘货信息!$B:$B&amp;盘货信息!$C:$C,盘货信息!$AA:$AA)="","",_xlfn.XLOOKUP($A82&amp;$B82&amp;$C82,盘货信息!$A:$A&amp;盘货信息!$B:$B&amp;盘货信息!$C:$C,盘货信息!$AA:$AA)&amp;"免息")</f>
        <v/>
      </c>
      <c r="F82" s="18" t="str" cm="1">
        <f t="array" ref="F82">IF(_xlfn.XLOOKUP($A82&amp;$B82&amp;$C82,盘货信息!$A:$A&amp;盘货信息!$B:$B&amp;盘货信息!$C:$C,盘货信息!$AB:$AB)="","",_xlfn.XLOOKUP($A82&amp;$B82&amp;$C82,盘货信息!$A:$A&amp;盘货信息!$B:$B&amp;盘货信息!$C:$C,盘货信息!$AB:$AB))</f>
        <v/>
      </c>
      <c r="G82" s="18"/>
    </row>
    <row r="83" customHeight="1" spans="1:7">
      <c r="A83" s="17" t="str">
        <f>IF(盘货信息!A83="","",盘货信息!A83)</f>
        <v/>
      </c>
      <c r="B83" s="17" t="str">
        <f>IF(盘货信息!B83="","",盘货信息!B83)</f>
        <v/>
      </c>
      <c r="C83" s="18" t="str">
        <f>IF(盘货信息!C83="","",盘货信息!C83)</f>
        <v/>
      </c>
      <c r="D83" s="18" t="str">
        <f t="shared" si="1"/>
        <v/>
      </c>
      <c r="E83" s="18" t="str" cm="1">
        <f t="array" ref="E83">IF(_xlfn.XLOOKUP($A83&amp;$B83&amp;$C83,盘货信息!$A:$A&amp;盘货信息!$B:$B&amp;盘货信息!$C:$C,盘货信息!$AA:$AA)="","",_xlfn.XLOOKUP($A83&amp;$B83&amp;$C83,盘货信息!$A:$A&amp;盘货信息!$B:$B&amp;盘货信息!$C:$C,盘货信息!$AA:$AA)&amp;"免息")</f>
        <v/>
      </c>
      <c r="F83" s="18" t="str" cm="1">
        <f t="array" ref="F83">IF(_xlfn.XLOOKUP($A83&amp;$B83&amp;$C83,盘货信息!$A:$A&amp;盘货信息!$B:$B&amp;盘货信息!$C:$C,盘货信息!$AB:$AB)="","",_xlfn.XLOOKUP($A83&amp;$B83&amp;$C83,盘货信息!$A:$A&amp;盘货信息!$B:$B&amp;盘货信息!$C:$C,盘货信息!$AB:$AB))</f>
        <v/>
      </c>
      <c r="G83" s="18"/>
    </row>
    <row r="84" customHeight="1" spans="1:7">
      <c r="A84" s="17" t="str">
        <f>IF(盘货信息!A84="","",盘货信息!A84)</f>
        <v/>
      </c>
      <c r="B84" s="17" t="str">
        <f>IF(盘货信息!B84="","",盘货信息!B84)</f>
        <v/>
      </c>
      <c r="C84" s="18" t="str">
        <f>IF(盘货信息!C84="","",盘货信息!C84)</f>
        <v/>
      </c>
      <c r="D84" s="18" t="str">
        <f t="shared" si="1"/>
        <v/>
      </c>
      <c r="E84" s="18" t="str" cm="1">
        <f t="array" ref="E84">IF(_xlfn.XLOOKUP($A84&amp;$B84&amp;$C84,盘货信息!$A:$A&amp;盘货信息!$B:$B&amp;盘货信息!$C:$C,盘货信息!$AA:$AA)="","",_xlfn.XLOOKUP($A84&amp;$B84&amp;$C84,盘货信息!$A:$A&amp;盘货信息!$B:$B&amp;盘货信息!$C:$C,盘货信息!$AA:$AA)&amp;"免息")</f>
        <v/>
      </c>
      <c r="F84" s="18" t="str" cm="1">
        <f t="array" ref="F84">IF(_xlfn.XLOOKUP($A84&amp;$B84&amp;$C84,盘货信息!$A:$A&amp;盘货信息!$B:$B&amp;盘货信息!$C:$C,盘货信息!$AB:$AB)="","",_xlfn.XLOOKUP($A84&amp;$B84&amp;$C84,盘货信息!$A:$A&amp;盘货信息!$B:$B&amp;盘货信息!$C:$C,盘货信息!$AB:$AB))</f>
        <v/>
      </c>
      <c r="G84" s="18"/>
    </row>
    <row r="85" customHeight="1" spans="1:7">
      <c r="A85" s="17" t="str">
        <f>IF(盘货信息!A85="","",盘货信息!A85)</f>
        <v/>
      </c>
      <c r="B85" s="17" t="str">
        <f>IF(盘货信息!B85="","",盘货信息!B85)</f>
        <v/>
      </c>
      <c r="C85" s="18" t="str">
        <f>IF(盘货信息!C85="","",盘货信息!C85)</f>
        <v/>
      </c>
      <c r="D85" s="18" t="str">
        <f t="shared" si="1"/>
        <v/>
      </c>
      <c r="E85" s="18" t="str" cm="1">
        <f t="array" ref="E85">IF(_xlfn.XLOOKUP($A85&amp;$B85&amp;$C85,盘货信息!$A:$A&amp;盘货信息!$B:$B&amp;盘货信息!$C:$C,盘货信息!$AA:$AA)="","",_xlfn.XLOOKUP($A85&amp;$B85&amp;$C85,盘货信息!$A:$A&amp;盘货信息!$B:$B&amp;盘货信息!$C:$C,盘货信息!$AA:$AA)&amp;"免息")</f>
        <v/>
      </c>
      <c r="F85" s="18" t="str" cm="1">
        <f t="array" ref="F85">IF(_xlfn.XLOOKUP($A85&amp;$B85&amp;$C85,盘货信息!$A:$A&amp;盘货信息!$B:$B&amp;盘货信息!$C:$C,盘货信息!$AB:$AB)="","",_xlfn.XLOOKUP($A85&amp;$B85&amp;$C85,盘货信息!$A:$A&amp;盘货信息!$B:$B&amp;盘货信息!$C:$C,盘货信息!$AB:$AB))</f>
        <v/>
      </c>
      <c r="G85" s="18"/>
    </row>
    <row r="86" customHeight="1" spans="1:7">
      <c r="A86" s="17" t="str">
        <f>IF(盘货信息!A86="","",盘货信息!A86)</f>
        <v/>
      </c>
      <c r="B86" s="17" t="str">
        <f>IF(盘货信息!B86="","",盘货信息!B86)</f>
        <v/>
      </c>
      <c r="C86" s="18" t="str">
        <f>IF(盘货信息!C86="","",盘货信息!C86)</f>
        <v/>
      </c>
      <c r="D86" s="18" t="str">
        <f t="shared" si="1"/>
        <v/>
      </c>
      <c r="E86" s="18" t="str" cm="1">
        <f t="array" ref="E86">IF(_xlfn.XLOOKUP($A86&amp;$B86&amp;$C86,盘货信息!$A:$A&amp;盘货信息!$B:$B&amp;盘货信息!$C:$C,盘货信息!$AA:$AA)="","",_xlfn.XLOOKUP($A86&amp;$B86&amp;$C86,盘货信息!$A:$A&amp;盘货信息!$B:$B&amp;盘货信息!$C:$C,盘货信息!$AA:$AA)&amp;"免息")</f>
        <v/>
      </c>
      <c r="F86" s="18" t="str" cm="1">
        <f t="array" ref="F86">IF(_xlfn.XLOOKUP($A86&amp;$B86&amp;$C86,盘货信息!$A:$A&amp;盘货信息!$B:$B&amp;盘货信息!$C:$C,盘货信息!$AB:$AB)="","",_xlfn.XLOOKUP($A86&amp;$B86&amp;$C86,盘货信息!$A:$A&amp;盘货信息!$B:$B&amp;盘货信息!$C:$C,盘货信息!$AB:$AB))</f>
        <v/>
      </c>
      <c r="G86" s="18"/>
    </row>
    <row r="87" customHeight="1" spans="1:7">
      <c r="A87" s="17" t="str">
        <f>IF(盘货信息!A87="","",盘货信息!A87)</f>
        <v/>
      </c>
      <c r="B87" s="17" t="str">
        <f>IF(盘货信息!B87="","",盘货信息!B87)</f>
        <v/>
      </c>
      <c r="C87" s="18" t="str">
        <f>IF(盘货信息!C87="","",盘货信息!C87)</f>
        <v/>
      </c>
      <c r="D87" s="18" t="str">
        <f t="shared" si="1"/>
        <v/>
      </c>
      <c r="E87" s="18" t="str" cm="1">
        <f t="array" ref="E87">IF(_xlfn.XLOOKUP($A87&amp;$B87&amp;$C87,盘货信息!$A:$A&amp;盘货信息!$B:$B&amp;盘货信息!$C:$C,盘货信息!$AA:$AA)="","",_xlfn.XLOOKUP($A87&amp;$B87&amp;$C87,盘货信息!$A:$A&amp;盘货信息!$B:$B&amp;盘货信息!$C:$C,盘货信息!$AA:$AA)&amp;"免息")</f>
        <v/>
      </c>
      <c r="F87" s="18" t="str" cm="1">
        <f t="array" ref="F87">IF(_xlfn.XLOOKUP($A87&amp;$B87&amp;$C87,盘货信息!$A:$A&amp;盘货信息!$B:$B&amp;盘货信息!$C:$C,盘货信息!$AB:$AB)="","",_xlfn.XLOOKUP($A87&amp;$B87&amp;$C87,盘货信息!$A:$A&amp;盘货信息!$B:$B&amp;盘货信息!$C:$C,盘货信息!$AB:$AB))</f>
        <v/>
      </c>
      <c r="G87" s="18"/>
    </row>
    <row r="88" customHeight="1" spans="1:7">
      <c r="A88" s="17" t="str">
        <f>IF(盘货信息!A88="","",盘货信息!A88)</f>
        <v/>
      </c>
      <c r="B88" s="17" t="str">
        <f>IF(盘货信息!B88="","",盘货信息!B88)</f>
        <v/>
      </c>
      <c r="C88" s="18" t="str">
        <f>IF(盘货信息!C88="","",盘货信息!C88)</f>
        <v/>
      </c>
      <c r="D88" s="18" t="str">
        <f t="shared" si="1"/>
        <v/>
      </c>
      <c r="E88" s="18" t="str" cm="1">
        <f t="array" ref="E88">IF(_xlfn.XLOOKUP($A88&amp;$B88&amp;$C88,盘货信息!$A:$A&amp;盘货信息!$B:$B&amp;盘货信息!$C:$C,盘货信息!$AA:$AA)="","",_xlfn.XLOOKUP($A88&amp;$B88&amp;$C88,盘货信息!$A:$A&amp;盘货信息!$B:$B&amp;盘货信息!$C:$C,盘货信息!$AA:$AA)&amp;"免息")</f>
        <v/>
      </c>
      <c r="F88" s="18" t="str" cm="1">
        <f t="array" ref="F88">IF(_xlfn.XLOOKUP($A88&amp;$B88&amp;$C88,盘货信息!$A:$A&amp;盘货信息!$B:$B&amp;盘货信息!$C:$C,盘货信息!$AB:$AB)="","",_xlfn.XLOOKUP($A88&amp;$B88&amp;$C88,盘货信息!$A:$A&amp;盘货信息!$B:$B&amp;盘货信息!$C:$C,盘货信息!$AB:$AB))</f>
        <v/>
      </c>
      <c r="G88" s="18"/>
    </row>
    <row r="89" customHeight="1" spans="1:7">
      <c r="A89" s="17" t="str">
        <f>IF(盘货信息!A89="","",盘货信息!A89)</f>
        <v/>
      </c>
      <c r="B89" s="17" t="str">
        <f>IF(盘货信息!B89="","",盘货信息!B89)</f>
        <v/>
      </c>
      <c r="C89" s="18" t="str">
        <f>IF(盘货信息!C89="","",盘货信息!C89)</f>
        <v/>
      </c>
      <c r="D89" s="18" t="str">
        <f t="shared" si="1"/>
        <v/>
      </c>
      <c r="E89" s="18" t="str" cm="1">
        <f t="array" ref="E89">IF(_xlfn.XLOOKUP($A89&amp;$B89&amp;$C89,盘货信息!$A:$A&amp;盘货信息!$B:$B&amp;盘货信息!$C:$C,盘货信息!$AA:$AA)="","",_xlfn.XLOOKUP($A89&amp;$B89&amp;$C89,盘货信息!$A:$A&amp;盘货信息!$B:$B&amp;盘货信息!$C:$C,盘货信息!$AA:$AA)&amp;"免息")</f>
        <v/>
      </c>
      <c r="F89" s="18" t="str" cm="1">
        <f t="array" ref="F89">IF(_xlfn.XLOOKUP($A89&amp;$B89&amp;$C89,盘货信息!$A:$A&amp;盘货信息!$B:$B&amp;盘货信息!$C:$C,盘货信息!$AB:$AB)="","",_xlfn.XLOOKUP($A89&amp;$B89&amp;$C89,盘货信息!$A:$A&amp;盘货信息!$B:$B&amp;盘货信息!$C:$C,盘货信息!$AB:$AB))</f>
        <v/>
      </c>
      <c r="G89" s="18"/>
    </row>
    <row r="90" customHeight="1" spans="1:7">
      <c r="A90" s="17" t="str">
        <f>IF(盘货信息!A90="","",盘货信息!A90)</f>
        <v/>
      </c>
      <c r="B90" s="17" t="str">
        <f>IF(盘货信息!B90="","",盘货信息!B90)</f>
        <v/>
      </c>
      <c r="C90" s="18" t="str">
        <f>IF(盘货信息!C90="","",盘货信息!C90)</f>
        <v/>
      </c>
      <c r="D90" s="18" t="str">
        <f t="shared" si="1"/>
        <v/>
      </c>
      <c r="E90" s="18" t="str" cm="1">
        <f t="array" ref="E90">IF(_xlfn.XLOOKUP($A90&amp;$B90&amp;$C90,盘货信息!$A:$A&amp;盘货信息!$B:$B&amp;盘货信息!$C:$C,盘货信息!$AA:$AA)="","",_xlfn.XLOOKUP($A90&amp;$B90&amp;$C90,盘货信息!$A:$A&amp;盘货信息!$B:$B&amp;盘货信息!$C:$C,盘货信息!$AA:$AA)&amp;"免息")</f>
        <v/>
      </c>
      <c r="F90" s="18" t="str" cm="1">
        <f t="array" ref="F90">IF(_xlfn.XLOOKUP($A90&amp;$B90&amp;$C90,盘货信息!$A:$A&amp;盘货信息!$B:$B&amp;盘货信息!$C:$C,盘货信息!$AB:$AB)="","",_xlfn.XLOOKUP($A90&amp;$B90&amp;$C90,盘货信息!$A:$A&amp;盘货信息!$B:$B&amp;盘货信息!$C:$C,盘货信息!$AB:$AB))</f>
        <v/>
      </c>
      <c r="G90" s="18"/>
    </row>
    <row r="91" customHeight="1" spans="1:7">
      <c r="A91" s="17" t="str">
        <f>IF(盘货信息!A91="","",盘货信息!A91)</f>
        <v/>
      </c>
      <c r="B91" s="17" t="str">
        <f>IF(盘货信息!B91="","",盘货信息!B91)</f>
        <v/>
      </c>
      <c r="C91" s="18" t="str">
        <f>IF(盘货信息!C91="","",盘货信息!C91)</f>
        <v/>
      </c>
      <c r="D91" s="18" t="str">
        <f t="shared" si="1"/>
        <v/>
      </c>
      <c r="E91" s="18" t="str" cm="1">
        <f t="array" ref="E91">IF(_xlfn.XLOOKUP($A91&amp;$B91&amp;$C91,盘货信息!$A:$A&amp;盘货信息!$B:$B&amp;盘货信息!$C:$C,盘货信息!$AA:$AA)="","",_xlfn.XLOOKUP($A91&amp;$B91&amp;$C91,盘货信息!$A:$A&amp;盘货信息!$B:$B&amp;盘货信息!$C:$C,盘货信息!$AA:$AA)&amp;"免息")</f>
        <v/>
      </c>
      <c r="F91" s="18" t="str" cm="1">
        <f t="array" ref="F91">IF(_xlfn.XLOOKUP($A91&amp;$B91&amp;$C91,盘货信息!$A:$A&amp;盘货信息!$B:$B&amp;盘货信息!$C:$C,盘货信息!$AB:$AB)="","",_xlfn.XLOOKUP($A91&amp;$B91&amp;$C91,盘货信息!$A:$A&amp;盘货信息!$B:$B&amp;盘货信息!$C:$C,盘货信息!$AB:$AB))</f>
        <v/>
      </c>
      <c r="G91" s="18"/>
    </row>
    <row r="92" customHeight="1" spans="1:7">
      <c r="A92" s="17" t="str">
        <f>IF(盘货信息!A92="","",盘货信息!A92)</f>
        <v/>
      </c>
      <c r="B92" s="17" t="str">
        <f>IF(盘货信息!B92="","",盘货信息!B92)</f>
        <v/>
      </c>
      <c r="C92" s="18" t="str">
        <f>IF(盘货信息!C92="","",盘货信息!C92)</f>
        <v/>
      </c>
      <c r="D92" s="18" t="str">
        <f t="shared" si="1"/>
        <v/>
      </c>
      <c r="E92" s="18" t="str" cm="1">
        <f t="array" ref="E92">IF(_xlfn.XLOOKUP($A92&amp;$B92&amp;$C92,盘货信息!$A:$A&amp;盘货信息!$B:$B&amp;盘货信息!$C:$C,盘货信息!$AA:$AA)="","",_xlfn.XLOOKUP($A92&amp;$B92&amp;$C92,盘货信息!$A:$A&amp;盘货信息!$B:$B&amp;盘货信息!$C:$C,盘货信息!$AA:$AA)&amp;"免息")</f>
        <v/>
      </c>
      <c r="F92" s="18" t="str" cm="1">
        <f t="array" ref="F92">IF(_xlfn.XLOOKUP($A92&amp;$B92&amp;$C92,盘货信息!$A:$A&amp;盘货信息!$B:$B&amp;盘货信息!$C:$C,盘货信息!$AB:$AB)="","",_xlfn.XLOOKUP($A92&amp;$B92&amp;$C92,盘货信息!$A:$A&amp;盘货信息!$B:$B&amp;盘货信息!$C:$C,盘货信息!$AB:$AB))</f>
        <v/>
      </c>
      <c r="G92" s="18"/>
    </row>
    <row r="93" customHeight="1" spans="1:7">
      <c r="A93" s="17" t="str">
        <f>IF(盘货信息!A93="","",盘货信息!A93)</f>
        <v/>
      </c>
      <c r="B93" s="17" t="str">
        <f>IF(盘货信息!B93="","",盘货信息!B93)</f>
        <v/>
      </c>
      <c r="C93" s="20" t="str">
        <f>IF(盘货信息!C93="","",盘货信息!C93)</f>
        <v/>
      </c>
      <c r="D93" s="18" t="str">
        <f t="shared" si="1"/>
        <v/>
      </c>
      <c r="E93" s="18" t="str" cm="1">
        <f t="array" ref="E93">IF(_xlfn.XLOOKUP($A93&amp;$B93&amp;$C93,盘货信息!$A:$A&amp;盘货信息!$B:$B&amp;盘货信息!$C:$C,盘货信息!$AA:$AA)="","",_xlfn.XLOOKUP($A93&amp;$B93&amp;$C93,盘货信息!$A:$A&amp;盘货信息!$B:$B&amp;盘货信息!$C:$C,盘货信息!$AA:$AA)&amp;"免息")</f>
        <v/>
      </c>
      <c r="F93" s="18" t="str" cm="1">
        <f t="array" ref="F93">IF(_xlfn.XLOOKUP($A93&amp;$B93&amp;$C93,盘货信息!$A:$A&amp;盘货信息!$B:$B&amp;盘货信息!$C:$C,盘货信息!$AB:$AB)="","",_xlfn.XLOOKUP($A93&amp;$B93&amp;$C93,盘货信息!$A:$A&amp;盘货信息!$B:$B&amp;盘货信息!$C:$C,盘货信息!$AB:$AB))</f>
        <v/>
      </c>
      <c r="G93" s="18"/>
    </row>
    <row r="94" customHeight="1" spans="1:7">
      <c r="A94" s="17" t="str">
        <f>IF(盘货信息!A94="","",盘货信息!A94)</f>
        <v/>
      </c>
      <c r="B94" s="17" t="str">
        <f>IF(盘货信息!B94="","",盘货信息!B94)</f>
        <v/>
      </c>
      <c r="C94" s="17" t="str">
        <f>IF(盘货信息!C94="","",盘货信息!C94)</f>
        <v/>
      </c>
      <c r="D94" s="18" t="str">
        <f t="shared" si="1"/>
        <v/>
      </c>
      <c r="E94" s="18" t="str" cm="1">
        <f t="array" ref="E94">IF(_xlfn.XLOOKUP($A94&amp;$B94&amp;$C94,盘货信息!$A:$A&amp;盘货信息!$B:$B&amp;盘货信息!$C:$C,盘货信息!$AA:$AA)="","",_xlfn.XLOOKUP($A94&amp;$B94&amp;$C94,盘货信息!$A:$A&amp;盘货信息!$B:$B&amp;盘货信息!$C:$C,盘货信息!$AA:$AA)&amp;"免息")</f>
        <v/>
      </c>
      <c r="F94" s="18" t="str" cm="1">
        <f t="array" ref="F94">IF(_xlfn.XLOOKUP($A94&amp;$B94&amp;$C94,盘货信息!$A:$A&amp;盘货信息!$B:$B&amp;盘货信息!$C:$C,盘货信息!$AB:$AB)="","",_xlfn.XLOOKUP($A94&amp;$B94&amp;$C94,盘货信息!$A:$A&amp;盘货信息!$B:$B&amp;盘货信息!$C:$C,盘货信息!$AB:$AB))</f>
        <v/>
      </c>
      <c r="G94" s="18"/>
    </row>
    <row r="95" customHeight="1" spans="1:7">
      <c r="A95" s="17" t="str">
        <f>IF(盘货信息!A95="","",盘货信息!A95)</f>
        <v/>
      </c>
      <c r="B95" s="17" t="str">
        <f>IF(盘货信息!B95="","",盘货信息!B95)</f>
        <v/>
      </c>
      <c r="C95" s="20" t="str">
        <f>IF(盘货信息!C95="","",盘货信息!C95)</f>
        <v/>
      </c>
      <c r="D95" s="18" t="str">
        <f t="shared" si="1"/>
        <v/>
      </c>
      <c r="E95" s="18" t="str" cm="1">
        <f t="array" ref="E95">IF(_xlfn.XLOOKUP($A95&amp;$B95&amp;$C95,盘货信息!$A:$A&amp;盘货信息!$B:$B&amp;盘货信息!$C:$C,盘货信息!$AA:$AA)="","",_xlfn.XLOOKUP($A95&amp;$B95&amp;$C95,盘货信息!$A:$A&amp;盘货信息!$B:$B&amp;盘货信息!$C:$C,盘货信息!$AA:$AA)&amp;"免息")</f>
        <v/>
      </c>
      <c r="F95" s="18" t="str" cm="1">
        <f t="array" ref="F95">IF(_xlfn.XLOOKUP($A95&amp;$B95&amp;$C95,盘货信息!$A:$A&amp;盘货信息!$B:$B&amp;盘货信息!$C:$C,盘货信息!$AB:$AB)="","",_xlfn.XLOOKUP($A95&amp;$B95&amp;$C95,盘货信息!$A:$A&amp;盘货信息!$B:$B&amp;盘货信息!$C:$C,盘货信息!$AB:$AB))</f>
        <v/>
      </c>
      <c r="G95" s="18"/>
    </row>
    <row r="96" customHeight="1" spans="1:7">
      <c r="A96" s="17" t="str">
        <f>IF(盘货信息!A96="","",盘货信息!A96)</f>
        <v/>
      </c>
      <c r="B96" s="17" t="str">
        <f>IF(盘货信息!B96="","",盘货信息!B96)</f>
        <v/>
      </c>
      <c r="C96" s="20" t="str">
        <f>IF(盘货信息!C96="","",盘货信息!C96)</f>
        <v/>
      </c>
      <c r="D96" s="18" t="str">
        <f t="shared" si="1"/>
        <v/>
      </c>
      <c r="E96" s="18" t="str" cm="1">
        <f t="array" ref="E96">IF(_xlfn.XLOOKUP($A96&amp;$B96&amp;$C96,盘货信息!$A:$A&amp;盘货信息!$B:$B&amp;盘货信息!$C:$C,盘货信息!$AA:$AA)="","",_xlfn.XLOOKUP($A96&amp;$B96&amp;$C96,盘货信息!$A:$A&amp;盘货信息!$B:$B&amp;盘货信息!$C:$C,盘货信息!$AA:$AA)&amp;"免息")</f>
        <v/>
      </c>
      <c r="F96" s="18" t="str" cm="1">
        <f t="array" ref="F96">IF(_xlfn.XLOOKUP($A96&amp;$B96&amp;$C96,盘货信息!$A:$A&amp;盘货信息!$B:$B&amp;盘货信息!$C:$C,盘货信息!$AB:$AB)="","",_xlfn.XLOOKUP($A96&amp;$B96&amp;$C96,盘货信息!$A:$A&amp;盘货信息!$B:$B&amp;盘货信息!$C:$C,盘货信息!$AB:$AB))</f>
        <v/>
      </c>
      <c r="G96" s="18"/>
    </row>
    <row r="97" customHeight="1" spans="1:7">
      <c r="A97" s="17" t="str">
        <f>IF(盘货信息!A97="","",盘货信息!A97)</f>
        <v/>
      </c>
      <c r="B97" s="17" t="str">
        <f>IF(盘货信息!B97="","",盘货信息!B97)</f>
        <v/>
      </c>
      <c r="C97" s="20" t="str">
        <f>IF(盘货信息!C97="","",盘货信息!C97)</f>
        <v/>
      </c>
      <c r="D97" s="18" t="str">
        <f t="shared" si="1"/>
        <v/>
      </c>
      <c r="E97" s="18" t="str" cm="1">
        <f t="array" ref="E97">IF(_xlfn.XLOOKUP($A97&amp;$B97&amp;$C97,盘货信息!$A:$A&amp;盘货信息!$B:$B&amp;盘货信息!$C:$C,盘货信息!$AA:$AA)="","",_xlfn.XLOOKUP($A97&amp;$B97&amp;$C97,盘货信息!$A:$A&amp;盘货信息!$B:$B&amp;盘货信息!$C:$C,盘货信息!$AA:$AA)&amp;"免息")</f>
        <v/>
      </c>
      <c r="F97" s="18" t="str" cm="1">
        <f t="array" ref="F97">IF(_xlfn.XLOOKUP($A97&amp;$B97&amp;$C97,盘货信息!$A:$A&amp;盘货信息!$B:$B&amp;盘货信息!$C:$C,盘货信息!$AB:$AB)="","",_xlfn.XLOOKUP($A97&amp;$B97&amp;$C97,盘货信息!$A:$A&amp;盘货信息!$B:$B&amp;盘货信息!$C:$C,盘货信息!$AB:$AB))</f>
        <v/>
      </c>
      <c r="G97" s="18"/>
    </row>
    <row r="98" customHeight="1" spans="1:7">
      <c r="A98" s="17" t="str">
        <f>IF(盘货信息!A98="","",盘货信息!A98)</f>
        <v/>
      </c>
      <c r="B98" s="17" t="str">
        <f>IF(盘货信息!B98="","",盘货信息!B98)</f>
        <v/>
      </c>
      <c r="C98" s="20" t="str">
        <f>IF(盘货信息!C98="","",盘货信息!C98)</f>
        <v/>
      </c>
      <c r="D98" s="18" t="str">
        <f t="shared" si="1"/>
        <v/>
      </c>
      <c r="E98" s="18" t="str" cm="1">
        <f t="array" ref="E98">IF(_xlfn.XLOOKUP($A98&amp;$B98&amp;$C98,盘货信息!$A:$A&amp;盘货信息!$B:$B&amp;盘货信息!$C:$C,盘货信息!$AA:$AA)="","",_xlfn.XLOOKUP($A98&amp;$B98&amp;$C98,盘货信息!$A:$A&amp;盘货信息!$B:$B&amp;盘货信息!$C:$C,盘货信息!$AA:$AA)&amp;"免息")</f>
        <v/>
      </c>
      <c r="F98" s="18" t="str" cm="1">
        <f t="array" ref="F98">IF(_xlfn.XLOOKUP($A98&amp;$B98&amp;$C98,盘货信息!$A:$A&amp;盘货信息!$B:$B&amp;盘货信息!$C:$C,盘货信息!$AB:$AB)="","",_xlfn.XLOOKUP($A98&amp;$B98&amp;$C98,盘货信息!$A:$A&amp;盘货信息!$B:$B&amp;盘货信息!$C:$C,盘货信息!$AB:$AB))</f>
        <v/>
      </c>
      <c r="G98" s="18"/>
    </row>
    <row r="99" customHeight="1" spans="1:7">
      <c r="A99" s="17" t="str">
        <f>IF(盘货信息!A99="","",盘货信息!A99)</f>
        <v/>
      </c>
      <c r="B99" s="17" t="str">
        <f>IF(盘货信息!B99="","",盘货信息!B99)</f>
        <v/>
      </c>
      <c r="C99" s="20" t="str">
        <f>IF(盘货信息!C99="","",盘货信息!C99)</f>
        <v/>
      </c>
      <c r="D99" s="18" t="str">
        <f t="shared" si="1"/>
        <v/>
      </c>
      <c r="E99" s="18" t="str" cm="1">
        <f t="array" ref="E99">IF(_xlfn.XLOOKUP($A99&amp;$B99&amp;$C99,盘货信息!$A:$A&amp;盘货信息!$B:$B&amp;盘货信息!$C:$C,盘货信息!$AA:$AA)="","",_xlfn.XLOOKUP($A99&amp;$B99&amp;$C99,盘货信息!$A:$A&amp;盘货信息!$B:$B&amp;盘货信息!$C:$C,盘货信息!$AA:$AA)&amp;"免息")</f>
        <v/>
      </c>
      <c r="F99" s="18" t="str" cm="1">
        <f t="array" ref="F99">IF(_xlfn.XLOOKUP($A99&amp;$B99&amp;$C99,盘货信息!$A:$A&amp;盘货信息!$B:$B&amp;盘货信息!$C:$C,盘货信息!$AB:$AB)="","",_xlfn.XLOOKUP($A99&amp;$B99&amp;$C99,盘货信息!$A:$A&amp;盘货信息!$B:$B&amp;盘货信息!$C:$C,盘货信息!$AB:$AB))</f>
        <v/>
      </c>
      <c r="G99" s="18"/>
    </row>
    <row r="100" customHeight="1" spans="1:7">
      <c r="A100" s="17" t="str">
        <f>IF(盘货信息!A100="","",盘货信息!A100)</f>
        <v/>
      </c>
      <c r="B100" s="17" t="str">
        <f>IF(盘货信息!B100="","",盘货信息!B100)</f>
        <v/>
      </c>
      <c r="C100" s="20" t="str">
        <f>IF(盘货信息!C100="","",盘货信息!C100)</f>
        <v/>
      </c>
      <c r="D100" s="18" t="str">
        <f t="shared" si="1"/>
        <v/>
      </c>
      <c r="E100" s="18" t="str" cm="1">
        <f t="array" ref="E100">IF(_xlfn.XLOOKUP($A100&amp;$B100&amp;$C100,盘货信息!$A:$A&amp;盘货信息!$B:$B&amp;盘货信息!$C:$C,盘货信息!$AA:$AA)="","",_xlfn.XLOOKUP($A100&amp;$B100&amp;$C100,盘货信息!$A:$A&amp;盘货信息!$B:$B&amp;盘货信息!$C:$C,盘货信息!$AA:$AA)&amp;"免息")</f>
        <v/>
      </c>
      <c r="F100" s="18" t="str" cm="1">
        <f t="array" ref="F100">IF(_xlfn.XLOOKUP($A100&amp;$B100&amp;$C100,盘货信息!$A:$A&amp;盘货信息!$B:$B&amp;盘货信息!$C:$C,盘货信息!$AB:$AB)="","",_xlfn.XLOOKUP($A100&amp;$B100&amp;$C100,盘货信息!$A:$A&amp;盘货信息!$B:$B&amp;盘货信息!$C:$C,盘货信息!$AB:$AB))</f>
        <v/>
      </c>
      <c r="G100" s="18"/>
    </row>
    <row r="101" customHeight="1" spans="1:7">
      <c r="A101" s="17" t="str">
        <f>IF(盘货信息!A101="","",盘货信息!A101)</f>
        <v/>
      </c>
      <c r="B101" s="17" t="str">
        <f>IF(盘货信息!B101="","",盘货信息!B101)</f>
        <v/>
      </c>
      <c r="C101" s="20" t="str">
        <f>IF(盘货信息!C101="","",盘货信息!C101)</f>
        <v/>
      </c>
      <c r="D101" s="18" t="str">
        <f t="shared" si="1"/>
        <v/>
      </c>
      <c r="E101" s="18" t="str" cm="1">
        <f t="array" ref="E101">IF(_xlfn.XLOOKUP($A101&amp;$B101&amp;$C101,盘货信息!$A:$A&amp;盘货信息!$B:$B&amp;盘货信息!$C:$C,盘货信息!$AA:$AA)="","",_xlfn.XLOOKUP($A101&amp;$B101&amp;$C101,盘货信息!$A:$A&amp;盘货信息!$B:$B&amp;盘货信息!$C:$C,盘货信息!$AA:$AA)&amp;"免息")</f>
        <v/>
      </c>
      <c r="F101" s="18" t="str" cm="1">
        <f t="array" ref="F101">IF(_xlfn.XLOOKUP($A101&amp;$B101&amp;$C101,盘货信息!$A:$A&amp;盘货信息!$B:$B&amp;盘货信息!$C:$C,盘货信息!$AB:$AB)="","",_xlfn.XLOOKUP($A101&amp;$B101&amp;$C101,盘货信息!$A:$A&amp;盘货信息!$B:$B&amp;盘货信息!$C:$C,盘货信息!$AB:$AB))</f>
        <v/>
      </c>
      <c r="G101" s="18"/>
    </row>
    <row r="102" customHeight="1" spans="1:7">
      <c r="A102" s="17" t="str">
        <f>IF(盘货信息!A102="","",盘货信息!A102)</f>
        <v/>
      </c>
      <c r="B102" s="17" t="str">
        <f>IF(盘货信息!B102="","",盘货信息!B102)</f>
        <v/>
      </c>
      <c r="C102" s="20" t="str">
        <f>IF(盘货信息!C102="","",盘货信息!C102)</f>
        <v/>
      </c>
      <c r="D102" s="18" t="str">
        <f t="shared" si="1"/>
        <v/>
      </c>
      <c r="E102" s="18" t="str" cm="1">
        <f t="array" ref="E102">IF(_xlfn.XLOOKUP($A102&amp;$B102&amp;$C102,盘货信息!$A:$A&amp;盘货信息!$B:$B&amp;盘货信息!$C:$C,盘货信息!$AA:$AA)="","",_xlfn.XLOOKUP($A102&amp;$B102&amp;$C102,盘货信息!$A:$A&amp;盘货信息!$B:$B&amp;盘货信息!$C:$C,盘货信息!$AA:$AA)&amp;"免息")</f>
        <v/>
      </c>
      <c r="F102" s="18" t="str" cm="1">
        <f t="array" ref="F102">IF(_xlfn.XLOOKUP($A102&amp;$B102&amp;$C102,盘货信息!$A:$A&amp;盘货信息!$B:$B&amp;盘货信息!$C:$C,盘货信息!$AB:$AB)="","",_xlfn.XLOOKUP($A102&amp;$B102&amp;$C102,盘货信息!$A:$A&amp;盘货信息!$B:$B&amp;盘货信息!$C:$C,盘货信息!$AB:$AB))</f>
        <v/>
      </c>
      <c r="G102" s="18"/>
    </row>
    <row r="103" customHeight="1" spans="1:7">
      <c r="A103" s="17" t="str">
        <f>IF(盘货信息!A103="","",盘货信息!A103)</f>
        <v/>
      </c>
      <c r="B103" s="17" t="str">
        <f>IF(盘货信息!B103="","",盘货信息!B103)</f>
        <v/>
      </c>
      <c r="C103" s="20" t="str">
        <f>IF(盘货信息!C103="","",盘货信息!C103)</f>
        <v/>
      </c>
      <c r="D103" s="18" t="str">
        <f t="shared" si="1"/>
        <v/>
      </c>
      <c r="E103" s="18" t="str" cm="1">
        <f t="array" ref="E103">IF(_xlfn.XLOOKUP($A103&amp;$B103&amp;$C103,盘货信息!$A:$A&amp;盘货信息!$B:$B&amp;盘货信息!$C:$C,盘货信息!$AA:$AA)="","",_xlfn.XLOOKUP($A103&amp;$B103&amp;$C103,盘货信息!$A:$A&amp;盘货信息!$B:$B&amp;盘货信息!$C:$C,盘货信息!$AA:$AA)&amp;"免息")</f>
        <v/>
      </c>
      <c r="F103" s="18" t="str" cm="1">
        <f t="array" ref="F103">IF(_xlfn.XLOOKUP($A103&amp;$B103&amp;$C103,盘货信息!$A:$A&amp;盘货信息!$B:$B&amp;盘货信息!$C:$C,盘货信息!$AB:$AB)="","",_xlfn.XLOOKUP($A103&amp;$B103&amp;$C103,盘货信息!$A:$A&amp;盘货信息!$B:$B&amp;盘货信息!$C:$C,盘货信息!$AB:$AB))</f>
        <v/>
      </c>
      <c r="G103" s="18"/>
    </row>
    <row r="104" customHeight="1" spans="1:7">
      <c r="A104" s="17" t="str">
        <f>IF(盘货信息!A104="","",盘货信息!A104)</f>
        <v/>
      </c>
      <c r="B104" s="17" t="str">
        <f>IF(盘货信息!B104="","",盘货信息!B104)</f>
        <v/>
      </c>
      <c r="C104" s="20" t="str">
        <f>IF(盘货信息!C104="","",盘货信息!C104)</f>
        <v/>
      </c>
      <c r="D104" s="18" t="str">
        <f t="shared" si="1"/>
        <v/>
      </c>
      <c r="E104" s="18" t="str" cm="1">
        <f t="array" ref="E104">IF(_xlfn.XLOOKUP($A104&amp;$B104&amp;$C104,盘货信息!$A:$A&amp;盘货信息!$B:$B&amp;盘货信息!$C:$C,盘货信息!$AA:$AA)="","",_xlfn.XLOOKUP($A104&amp;$B104&amp;$C104,盘货信息!$A:$A&amp;盘货信息!$B:$B&amp;盘货信息!$C:$C,盘货信息!$AA:$AA)&amp;"免息")</f>
        <v/>
      </c>
      <c r="F104" s="18" t="str" cm="1">
        <f t="array" ref="F104">IF(_xlfn.XLOOKUP($A104&amp;$B104&amp;$C104,盘货信息!$A:$A&amp;盘货信息!$B:$B&amp;盘货信息!$C:$C,盘货信息!$AB:$AB)="","",_xlfn.XLOOKUP($A104&amp;$B104&amp;$C104,盘货信息!$A:$A&amp;盘货信息!$B:$B&amp;盘货信息!$C:$C,盘货信息!$AB:$AB))</f>
        <v/>
      </c>
      <c r="G104" s="18"/>
    </row>
    <row r="105" customHeight="1" spans="1:7">
      <c r="A105" s="17" t="str">
        <f>IF(盘货信息!A105="","",盘货信息!A105)</f>
        <v/>
      </c>
      <c r="B105" s="17" t="str">
        <f>IF(盘货信息!B105="","",盘货信息!B105)</f>
        <v/>
      </c>
      <c r="C105" s="20" t="str">
        <f>IF(盘货信息!C105="","",盘货信息!C105)</f>
        <v/>
      </c>
      <c r="D105" s="18" t="str">
        <f t="shared" si="1"/>
        <v/>
      </c>
      <c r="E105" s="18" t="str" cm="1">
        <f t="array" ref="E105">IF(_xlfn.XLOOKUP($A105&amp;$B105&amp;$C105,盘货信息!$A:$A&amp;盘货信息!$B:$B&amp;盘货信息!$C:$C,盘货信息!$AA:$AA)="","",_xlfn.XLOOKUP($A105&amp;$B105&amp;$C105,盘货信息!$A:$A&amp;盘货信息!$B:$B&amp;盘货信息!$C:$C,盘货信息!$AA:$AA)&amp;"免息")</f>
        <v/>
      </c>
      <c r="F105" s="18" t="str" cm="1">
        <f t="array" ref="F105">IF(_xlfn.XLOOKUP($A105&amp;$B105&amp;$C105,盘货信息!$A:$A&amp;盘货信息!$B:$B&amp;盘货信息!$C:$C,盘货信息!$AB:$AB)="","",_xlfn.XLOOKUP($A105&amp;$B105&amp;$C105,盘货信息!$A:$A&amp;盘货信息!$B:$B&amp;盘货信息!$C:$C,盘货信息!$AB:$AB))</f>
        <v/>
      </c>
      <c r="G105" s="18"/>
    </row>
    <row r="106" customHeight="1" spans="1:7">
      <c r="A106" s="17" t="str">
        <f>IF(盘货信息!A106="","",盘货信息!A106)</f>
        <v/>
      </c>
      <c r="B106" s="17" t="str">
        <f>IF(盘货信息!B106="","",盘货信息!B106)</f>
        <v/>
      </c>
      <c r="C106" s="17" t="str">
        <f>IF(盘货信息!C106="","",盘货信息!C106)</f>
        <v/>
      </c>
      <c r="D106" s="18" t="str">
        <f t="shared" si="1"/>
        <v/>
      </c>
      <c r="E106" s="18" t="str" cm="1">
        <f t="array" ref="E106">IF(_xlfn.XLOOKUP($A106&amp;$B106&amp;$C106,盘货信息!$A:$A&amp;盘货信息!$B:$B&amp;盘货信息!$C:$C,盘货信息!$AA:$AA)="","",_xlfn.XLOOKUP($A106&amp;$B106&amp;$C106,盘货信息!$A:$A&amp;盘货信息!$B:$B&amp;盘货信息!$C:$C,盘货信息!$AA:$AA)&amp;"免息")</f>
        <v/>
      </c>
      <c r="F106" s="18" t="str" cm="1">
        <f t="array" ref="F106">IF(_xlfn.XLOOKUP($A106&amp;$B106&amp;$C106,盘货信息!$A:$A&amp;盘货信息!$B:$B&amp;盘货信息!$C:$C,盘货信息!$AB:$AB)="","",_xlfn.XLOOKUP($A106&amp;$B106&amp;$C106,盘货信息!$A:$A&amp;盘货信息!$B:$B&amp;盘货信息!$C:$C,盘货信息!$AB:$AB))</f>
        <v/>
      </c>
      <c r="G106" s="18"/>
    </row>
    <row r="107" customHeight="1" spans="1:7">
      <c r="A107" s="17" t="str">
        <f>IF(盘货信息!A107="","",盘货信息!A107)</f>
        <v/>
      </c>
      <c r="B107" s="17" t="str">
        <f>IF(盘货信息!B107="","",盘货信息!B107)</f>
        <v/>
      </c>
      <c r="C107" s="17" t="str">
        <f>IF(盘货信息!C107="","",盘货信息!C107)</f>
        <v/>
      </c>
      <c r="D107" s="18" t="str">
        <f t="shared" si="1"/>
        <v/>
      </c>
      <c r="E107" s="18" t="str" cm="1">
        <f t="array" ref="E107">IF(_xlfn.XLOOKUP($A107&amp;$B107&amp;$C107,盘货信息!$A:$A&amp;盘货信息!$B:$B&amp;盘货信息!$C:$C,盘货信息!$AA:$AA)="","",_xlfn.XLOOKUP($A107&amp;$B107&amp;$C107,盘货信息!$A:$A&amp;盘货信息!$B:$B&amp;盘货信息!$C:$C,盘货信息!$AA:$AA)&amp;"免息")</f>
        <v/>
      </c>
      <c r="F107" s="18" t="str" cm="1">
        <f t="array" ref="F107">IF(_xlfn.XLOOKUP($A107&amp;$B107&amp;$C107,盘货信息!$A:$A&amp;盘货信息!$B:$B&amp;盘货信息!$C:$C,盘货信息!$AB:$AB)="","",_xlfn.XLOOKUP($A107&amp;$B107&amp;$C107,盘货信息!$A:$A&amp;盘货信息!$B:$B&amp;盘货信息!$C:$C,盘货信息!$AB:$AB))</f>
        <v/>
      </c>
      <c r="G107" s="18"/>
    </row>
    <row r="108" customHeight="1" spans="1:7">
      <c r="A108" s="17" t="str">
        <f>IF(盘货信息!A108="","",盘货信息!A108)</f>
        <v/>
      </c>
      <c r="B108" s="17" t="str">
        <f>IF(盘货信息!B108="","",盘货信息!B108)</f>
        <v/>
      </c>
      <c r="C108" s="20" t="str">
        <f>IF(盘货信息!C108="","",盘货信息!C108)</f>
        <v/>
      </c>
      <c r="D108" s="18" t="str">
        <f t="shared" si="1"/>
        <v/>
      </c>
      <c r="E108" s="18" t="str" cm="1">
        <f t="array" ref="E108">IF(_xlfn.XLOOKUP($A108&amp;$B108&amp;$C108,盘货信息!$A:$A&amp;盘货信息!$B:$B&amp;盘货信息!$C:$C,盘货信息!$AA:$AA)="","",_xlfn.XLOOKUP($A108&amp;$B108&amp;$C108,盘货信息!$A:$A&amp;盘货信息!$B:$B&amp;盘货信息!$C:$C,盘货信息!$AA:$AA)&amp;"免息")</f>
        <v/>
      </c>
      <c r="F108" s="18" t="str" cm="1">
        <f t="array" ref="F108">IF(_xlfn.XLOOKUP($A108&amp;$B108&amp;$C108,盘货信息!$A:$A&amp;盘货信息!$B:$B&amp;盘货信息!$C:$C,盘货信息!$AB:$AB)="","",_xlfn.XLOOKUP($A108&amp;$B108&amp;$C108,盘货信息!$A:$A&amp;盘货信息!$B:$B&amp;盘货信息!$C:$C,盘货信息!$AB:$AB))</f>
        <v/>
      </c>
      <c r="G108" s="18"/>
    </row>
    <row r="109" customHeight="1" spans="1:7">
      <c r="A109" s="17" t="str">
        <f>IF(盘货信息!A109="","",盘货信息!A109)</f>
        <v/>
      </c>
      <c r="B109" s="17" t="str">
        <f>IF(盘货信息!B109="","",盘货信息!B109)</f>
        <v/>
      </c>
      <c r="C109" s="17" t="str">
        <f>IF(盘货信息!C109="","",盘货信息!C109)</f>
        <v/>
      </c>
      <c r="D109" s="18" t="str">
        <f t="shared" si="1"/>
        <v/>
      </c>
      <c r="E109" s="18" t="str" cm="1">
        <f t="array" ref="E109">IF(_xlfn.XLOOKUP($A109&amp;$B109&amp;$C109,盘货信息!$A:$A&amp;盘货信息!$B:$B&amp;盘货信息!$C:$C,盘货信息!$AA:$AA)="","",_xlfn.XLOOKUP($A109&amp;$B109&amp;$C109,盘货信息!$A:$A&amp;盘货信息!$B:$B&amp;盘货信息!$C:$C,盘货信息!$AA:$AA)&amp;"免息")</f>
        <v/>
      </c>
      <c r="F109" s="18" t="str" cm="1">
        <f t="array" ref="F109">IF(_xlfn.XLOOKUP($A109&amp;$B109&amp;$C109,盘货信息!$A:$A&amp;盘货信息!$B:$B&amp;盘货信息!$C:$C,盘货信息!$AB:$AB)="","",_xlfn.XLOOKUP($A109&amp;$B109&amp;$C109,盘货信息!$A:$A&amp;盘货信息!$B:$B&amp;盘货信息!$C:$C,盘货信息!$AB:$AB))</f>
        <v/>
      </c>
      <c r="G109" s="18"/>
    </row>
    <row r="110" customHeight="1" spans="1:7">
      <c r="A110" s="17" t="str">
        <f>IF(盘货信息!A110="","",盘货信息!A110)</f>
        <v/>
      </c>
      <c r="B110" s="17" t="str">
        <f>IF(盘货信息!B110="","",盘货信息!B110)</f>
        <v/>
      </c>
      <c r="C110" s="17" t="str">
        <f>IF(盘货信息!C110="","",盘货信息!C110)</f>
        <v/>
      </c>
      <c r="D110" s="18" t="str">
        <f t="shared" si="1"/>
        <v/>
      </c>
      <c r="E110" s="18" t="str" cm="1">
        <f t="array" ref="E110">IF(_xlfn.XLOOKUP($A110&amp;$B110&amp;$C110,盘货信息!$A:$A&amp;盘货信息!$B:$B&amp;盘货信息!$C:$C,盘货信息!$AA:$AA)="","",_xlfn.XLOOKUP($A110&amp;$B110&amp;$C110,盘货信息!$A:$A&amp;盘货信息!$B:$B&amp;盘货信息!$C:$C,盘货信息!$AA:$AA)&amp;"免息")</f>
        <v/>
      </c>
      <c r="F110" s="18" t="str" cm="1">
        <f t="array" ref="F110">IF(_xlfn.XLOOKUP($A110&amp;$B110&amp;$C110,盘货信息!$A:$A&amp;盘货信息!$B:$B&amp;盘货信息!$C:$C,盘货信息!$AB:$AB)="","",_xlfn.XLOOKUP($A110&amp;$B110&amp;$C110,盘货信息!$A:$A&amp;盘货信息!$B:$B&amp;盘货信息!$C:$C,盘货信息!$AB:$AB))</f>
        <v/>
      </c>
      <c r="G110" s="18"/>
    </row>
    <row r="111" customHeight="1" spans="1:7">
      <c r="A111" s="17" t="str">
        <f>IF(盘货信息!A111="","",盘货信息!A111)</f>
        <v/>
      </c>
      <c r="B111" s="17" t="str">
        <f>IF(盘货信息!B111="","",盘货信息!B111)</f>
        <v/>
      </c>
      <c r="C111" s="20" t="str">
        <f>IF(盘货信息!C111="","",盘货信息!C111)</f>
        <v/>
      </c>
      <c r="D111" s="18" t="str">
        <f t="shared" si="1"/>
        <v/>
      </c>
      <c r="E111" s="18" t="str" cm="1">
        <f t="array" ref="E111">IF(_xlfn.XLOOKUP($A111&amp;$B111&amp;$C111,盘货信息!$A:$A&amp;盘货信息!$B:$B&amp;盘货信息!$C:$C,盘货信息!$AA:$AA)="","",_xlfn.XLOOKUP($A111&amp;$B111&amp;$C111,盘货信息!$A:$A&amp;盘货信息!$B:$B&amp;盘货信息!$C:$C,盘货信息!$AA:$AA)&amp;"免息")</f>
        <v/>
      </c>
      <c r="F111" s="18" t="str" cm="1">
        <f t="array" ref="F111">IF(_xlfn.XLOOKUP($A111&amp;$B111&amp;$C111,盘货信息!$A:$A&amp;盘货信息!$B:$B&amp;盘货信息!$C:$C,盘货信息!$AB:$AB)="","",_xlfn.XLOOKUP($A111&amp;$B111&amp;$C111,盘货信息!$A:$A&amp;盘货信息!$B:$B&amp;盘货信息!$C:$C,盘货信息!$AB:$AB))</f>
        <v/>
      </c>
      <c r="G111" s="18"/>
    </row>
    <row r="112" customHeight="1" spans="1:7">
      <c r="A112" s="17" t="str">
        <f>IF(盘货信息!A112="","",盘货信息!A112)</f>
        <v/>
      </c>
      <c r="B112" s="17" t="str">
        <f>IF(盘货信息!B112="","",盘货信息!B112)</f>
        <v/>
      </c>
      <c r="C112" s="20" t="str">
        <f>IF(盘货信息!C112="","",盘货信息!C112)</f>
        <v/>
      </c>
      <c r="D112" s="18" t="str">
        <f t="shared" si="1"/>
        <v/>
      </c>
      <c r="E112" s="18" t="str" cm="1">
        <f t="array" ref="E112">IF(_xlfn.XLOOKUP($A112&amp;$B112&amp;$C112,盘货信息!$A:$A&amp;盘货信息!$B:$B&amp;盘货信息!$C:$C,盘货信息!$AA:$AA)="","",_xlfn.XLOOKUP($A112&amp;$B112&amp;$C112,盘货信息!$A:$A&amp;盘货信息!$B:$B&amp;盘货信息!$C:$C,盘货信息!$AA:$AA)&amp;"免息")</f>
        <v/>
      </c>
      <c r="F112" s="18" t="str" cm="1">
        <f t="array" ref="F112">IF(_xlfn.XLOOKUP($A112&amp;$B112&amp;$C112,盘货信息!$A:$A&amp;盘货信息!$B:$B&amp;盘货信息!$C:$C,盘货信息!$AB:$AB)="","",_xlfn.XLOOKUP($A112&amp;$B112&amp;$C112,盘货信息!$A:$A&amp;盘货信息!$B:$B&amp;盘货信息!$C:$C,盘货信息!$AB:$AB))</f>
        <v/>
      </c>
      <c r="G112" s="18"/>
    </row>
    <row r="113" customHeight="1" spans="1:7">
      <c r="A113" s="17" t="str">
        <f>IF(盘货信息!A113="","",盘货信息!A113)</f>
        <v/>
      </c>
      <c r="B113" s="17" t="str">
        <f>IF(盘货信息!B113="","",盘货信息!B113)</f>
        <v/>
      </c>
      <c r="C113" s="20" t="str">
        <f>IF(盘货信息!C113="","",盘货信息!C113)</f>
        <v/>
      </c>
      <c r="D113" s="18" t="str">
        <f t="shared" si="1"/>
        <v/>
      </c>
      <c r="E113" s="18" t="str" cm="1">
        <f t="array" ref="E113">IF(_xlfn.XLOOKUP($A113&amp;$B113&amp;$C113,盘货信息!$A:$A&amp;盘货信息!$B:$B&amp;盘货信息!$C:$C,盘货信息!$AA:$AA)="","",_xlfn.XLOOKUP($A113&amp;$B113&amp;$C113,盘货信息!$A:$A&amp;盘货信息!$B:$B&amp;盘货信息!$C:$C,盘货信息!$AA:$AA)&amp;"免息")</f>
        <v/>
      </c>
      <c r="F113" s="18" t="str" cm="1">
        <f t="array" ref="F113">IF(_xlfn.XLOOKUP($A113&amp;$B113&amp;$C113,盘货信息!$A:$A&amp;盘货信息!$B:$B&amp;盘货信息!$C:$C,盘货信息!$AB:$AB)="","",_xlfn.XLOOKUP($A113&amp;$B113&amp;$C113,盘货信息!$A:$A&amp;盘货信息!$B:$B&amp;盘货信息!$C:$C,盘货信息!$AB:$AB))</f>
        <v/>
      </c>
      <c r="G113" s="18"/>
    </row>
    <row r="114" customHeight="1" spans="1:7">
      <c r="A114" s="17" t="str">
        <f>IF(盘货信息!A114="","",盘货信息!A114)</f>
        <v/>
      </c>
      <c r="B114" s="17" t="str">
        <f>IF(盘货信息!B114="","",盘货信息!B114)</f>
        <v/>
      </c>
      <c r="C114" s="17" t="str">
        <f>IF(盘货信息!C114="","",盘货信息!C114)</f>
        <v/>
      </c>
      <c r="D114" s="18" t="str">
        <f t="shared" si="1"/>
        <v/>
      </c>
      <c r="E114" s="18" t="str" cm="1">
        <f t="array" ref="E114">IF(_xlfn.XLOOKUP($A114&amp;$B114&amp;$C114,盘货信息!$A:$A&amp;盘货信息!$B:$B&amp;盘货信息!$C:$C,盘货信息!$AA:$AA)="","",_xlfn.XLOOKUP($A114&amp;$B114&amp;$C114,盘货信息!$A:$A&amp;盘货信息!$B:$B&amp;盘货信息!$C:$C,盘货信息!$AA:$AA)&amp;"免息")</f>
        <v/>
      </c>
      <c r="F114" s="18" t="str" cm="1">
        <f t="array" ref="F114">IF(_xlfn.XLOOKUP($A114&amp;$B114&amp;$C114,盘货信息!$A:$A&amp;盘货信息!$B:$B&amp;盘货信息!$C:$C,盘货信息!$AB:$AB)="","",_xlfn.XLOOKUP($A114&amp;$B114&amp;$C114,盘货信息!$A:$A&amp;盘货信息!$B:$B&amp;盘货信息!$C:$C,盘货信息!$AB:$AB))</f>
        <v/>
      </c>
      <c r="G114" s="18"/>
    </row>
    <row r="115" customHeight="1" spans="1:7">
      <c r="A115" s="17" t="str">
        <f>IF(盘货信息!A115="","",盘货信息!A115)</f>
        <v/>
      </c>
      <c r="B115" s="17" t="str">
        <f>IF(盘货信息!B115="","",盘货信息!B115)</f>
        <v/>
      </c>
      <c r="C115" s="17" t="str">
        <f>IF(盘货信息!C115="","",盘货信息!C115)</f>
        <v/>
      </c>
      <c r="D115" s="18" t="str">
        <f t="shared" si="1"/>
        <v/>
      </c>
      <c r="E115" s="18" t="str" cm="1">
        <f t="array" ref="E115">IF(_xlfn.XLOOKUP($A115&amp;$B115&amp;$C115,盘货信息!$A:$A&amp;盘货信息!$B:$B&amp;盘货信息!$C:$C,盘货信息!$AA:$AA)="","",_xlfn.XLOOKUP($A115&amp;$B115&amp;$C115,盘货信息!$A:$A&amp;盘货信息!$B:$B&amp;盘货信息!$C:$C,盘货信息!$AA:$AA)&amp;"免息")</f>
        <v/>
      </c>
      <c r="F115" s="18" t="str" cm="1">
        <f t="array" ref="F115">IF(_xlfn.XLOOKUP($A115&amp;$B115&amp;$C115,盘货信息!$A:$A&amp;盘货信息!$B:$B&amp;盘货信息!$C:$C,盘货信息!$AB:$AB)="","",_xlfn.XLOOKUP($A115&amp;$B115&amp;$C115,盘货信息!$A:$A&amp;盘货信息!$B:$B&amp;盘货信息!$C:$C,盘货信息!$AB:$AB))</f>
        <v/>
      </c>
      <c r="G115" s="18"/>
    </row>
    <row r="116" customHeight="1" spans="1:7">
      <c r="A116" s="17" t="str">
        <f>IF(盘货信息!A116="","",盘货信息!A116)</f>
        <v/>
      </c>
      <c r="B116" s="17" t="str">
        <f>IF(盘货信息!B116="","",盘货信息!B116)</f>
        <v/>
      </c>
      <c r="C116" s="17" t="str">
        <f>IF(盘货信息!C116="","",盘货信息!C116)</f>
        <v/>
      </c>
      <c r="D116" s="18" t="str">
        <f t="shared" si="1"/>
        <v/>
      </c>
      <c r="E116" s="18" t="str" cm="1">
        <f t="array" ref="E116">IF(_xlfn.XLOOKUP($A116&amp;$B116&amp;$C116,盘货信息!$A:$A&amp;盘货信息!$B:$B&amp;盘货信息!$C:$C,盘货信息!$AA:$AA)="","",_xlfn.XLOOKUP($A116&amp;$B116&amp;$C116,盘货信息!$A:$A&amp;盘货信息!$B:$B&amp;盘货信息!$C:$C,盘货信息!$AA:$AA)&amp;"免息")</f>
        <v/>
      </c>
      <c r="F116" s="18" t="str" cm="1">
        <f t="array" ref="F116">IF(_xlfn.XLOOKUP($A116&amp;$B116&amp;$C116,盘货信息!$A:$A&amp;盘货信息!$B:$B&amp;盘货信息!$C:$C,盘货信息!$AB:$AB)="","",_xlfn.XLOOKUP($A116&amp;$B116&amp;$C116,盘货信息!$A:$A&amp;盘货信息!$B:$B&amp;盘货信息!$C:$C,盘货信息!$AB:$AB))</f>
        <v/>
      </c>
      <c r="G116" s="18"/>
    </row>
    <row r="117" customHeight="1" spans="1:7">
      <c r="A117" s="17" t="str">
        <f>IF(盘货信息!A117="","",盘货信息!A117)</f>
        <v/>
      </c>
      <c r="B117" s="17" t="str">
        <f>IF(盘货信息!B117="","",盘货信息!B117)</f>
        <v/>
      </c>
      <c r="C117" s="20" t="str">
        <f>IF(盘货信息!C117="","",盘货信息!C117)</f>
        <v/>
      </c>
      <c r="D117" s="18" t="str">
        <f t="shared" si="1"/>
        <v/>
      </c>
      <c r="E117" s="18" t="str" cm="1">
        <f t="array" ref="E117">IF(_xlfn.XLOOKUP($A117&amp;$B117&amp;$C117,盘货信息!$A:$A&amp;盘货信息!$B:$B&amp;盘货信息!$C:$C,盘货信息!$AA:$AA)="","",_xlfn.XLOOKUP($A117&amp;$B117&amp;$C117,盘货信息!$A:$A&amp;盘货信息!$B:$B&amp;盘货信息!$C:$C,盘货信息!$AA:$AA)&amp;"免息")</f>
        <v/>
      </c>
      <c r="F117" s="18" t="str" cm="1">
        <f t="array" ref="F117">IF(_xlfn.XLOOKUP($A117&amp;$B117&amp;$C117,盘货信息!$A:$A&amp;盘货信息!$B:$B&amp;盘货信息!$C:$C,盘货信息!$AB:$AB)="","",_xlfn.XLOOKUP($A117&amp;$B117&amp;$C117,盘货信息!$A:$A&amp;盘货信息!$B:$B&amp;盘货信息!$C:$C,盘货信息!$AB:$AB))</f>
        <v/>
      </c>
      <c r="G117" s="18"/>
    </row>
    <row r="118" customHeight="1" spans="1:7">
      <c r="A118" s="17" t="str">
        <f>IF(盘货信息!A118="","",盘货信息!A118)</f>
        <v/>
      </c>
      <c r="B118" s="17" t="str">
        <f>IF(盘货信息!B118="","",盘货信息!B118)</f>
        <v/>
      </c>
      <c r="C118" s="17" t="str">
        <f>IF(盘货信息!C118="","",盘货信息!C118)</f>
        <v/>
      </c>
      <c r="D118" s="18" t="str">
        <f t="shared" si="1"/>
        <v/>
      </c>
      <c r="E118" s="18" t="str" cm="1">
        <f t="array" ref="E118">IF(_xlfn.XLOOKUP($A118&amp;$B118&amp;$C118,盘货信息!$A:$A&amp;盘货信息!$B:$B&amp;盘货信息!$C:$C,盘货信息!$AA:$AA)="","",_xlfn.XLOOKUP($A118&amp;$B118&amp;$C118,盘货信息!$A:$A&amp;盘货信息!$B:$B&amp;盘货信息!$C:$C,盘货信息!$AA:$AA)&amp;"免息")</f>
        <v/>
      </c>
      <c r="F118" s="18" t="str" cm="1">
        <f t="array" ref="F118">IF(_xlfn.XLOOKUP($A118&amp;$B118&amp;$C118,盘货信息!$A:$A&amp;盘货信息!$B:$B&amp;盘货信息!$C:$C,盘货信息!$AB:$AB)="","",_xlfn.XLOOKUP($A118&amp;$B118&amp;$C118,盘货信息!$A:$A&amp;盘货信息!$B:$B&amp;盘货信息!$C:$C,盘货信息!$AB:$AB))</f>
        <v/>
      </c>
      <c r="G118" s="18"/>
    </row>
    <row r="119" customHeight="1" spans="1:7">
      <c r="A119" s="17" t="str">
        <f>IF(盘货信息!A119="","",盘货信息!A119)</f>
        <v/>
      </c>
      <c r="B119" s="17" t="str">
        <f>IF(盘货信息!B119="","",盘货信息!B119)</f>
        <v/>
      </c>
      <c r="C119" s="17" t="str">
        <f>IF(盘货信息!C119="","",盘货信息!C119)</f>
        <v/>
      </c>
      <c r="D119" s="18" t="str">
        <f t="shared" si="1"/>
        <v/>
      </c>
      <c r="E119" s="18" t="str" cm="1">
        <f t="array" ref="E119">IF(_xlfn.XLOOKUP($A119&amp;$B119&amp;$C119,盘货信息!$A:$A&amp;盘货信息!$B:$B&amp;盘货信息!$C:$C,盘货信息!$AA:$AA)="","",_xlfn.XLOOKUP($A119&amp;$B119&amp;$C119,盘货信息!$A:$A&amp;盘货信息!$B:$B&amp;盘货信息!$C:$C,盘货信息!$AA:$AA)&amp;"免息")</f>
        <v/>
      </c>
      <c r="F119" s="18" t="str" cm="1">
        <f t="array" ref="F119">IF(_xlfn.XLOOKUP($A119&amp;$B119&amp;$C119,盘货信息!$A:$A&amp;盘货信息!$B:$B&amp;盘货信息!$C:$C,盘货信息!$AB:$AB)="","",_xlfn.XLOOKUP($A119&amp;$B119&amp;$C119,盘货信息!$A:$A&amp;盘货信息!$B:$B&amp;盘货信息!$C:$C,盘货信息!$AB:$AB))</f>
        <v/>
      </c>
      <c r="G119" s="18"/>
    </row>
    <row r="120" customHeight="1" spans="1:7">
      <c r="A120" s="17" t="str">
        <f>IF(盘货信息!A120="","",盘货信息!A120)</f>
        <v/>
      </c>
      <c r="B120" s="17" t="str">
        <f>IF(盘货信息!B120="","",盘货信息!B120)</f>
        <v/>
      </c>
      <c r="C120" s="20" t="str">
        <f>IF(盘货信息!C120="","",盘货信息!C120)</f>
        <v/>
      </c>
      <c r="D120" s="18" t="str">
        <f t="shared" si="1"/>
        <v/>
      </c>
      <c r="E120" s="18" t="str" cm="1">
        <f t="array" ref="E120">IF(_xlfn.XLOOKUP($A120&amp;$B120&amp;$C120,盘货信息!$A:$A&amp;盘货信息!$B:$B&amp;盘货信息!$C:$C,盘货信息!$AA:$AA)="","",_xlfn.XLOOKUP($A120&amp;$B120&amp;$C120,盘货信息!$A:$A&amp;盘货信息!$B:$B&amp;盘货信息!$C:$C,盘货信息!$AA:$AA)&amp;"免息")</f>
        <v/>
      </c>
      <c r="F120" s="18" t="str" cm="1">
        <f t="array" ref="F120">IF(_xlfn.XLOOKUP($A120&amp;$B120&amp;$C120,盘货信息!$A:$A&amp;盘货信息!$B:$B&amp;盘货信息!$C:$C,盘货信息!$AB:$AB)="","",_xlfn.XLOOKUP($A120&amp;$B120&amp;$C120,盘货信息!$A:$A&amp;盘货信息!$B:$B&amp;盘货信息!$C:$C,盘货信息!$AB:$AB))</f>
        <v/>
      </c>
      <c r="G120" s="18"/>
    </row>
    <row r="121" customHeight="1" spans="1:7">
      <c r="A121" s="17" t="str">
        <f>IF(盘货信息!A121="","",盘货信息!A121)</f>
        <v/>
      </c>
      <c r="B121" s="17" t="str">
        <f>IF(盘货信息!B121="","",盘货信息!B121)</f>
        <v/>
      </c>
      <c r="C121" s="20" t="str">
        <f>IF(盘货信息!C121="","",盘货信息!C121)</f>
        <v/>
      </c>
      <c r="D121" s="18" t="str">
        <f t="shared" si="1"/>
        <v/>
      </c>
      <c r="E121" s="18" t="str" cm="1">
        <f t="array" ref="E121">IF(_xlfn.XLOOKUP($A121&amp;$B121&amp;$C121,盘货信息!$A:$A&amp;盘货信息!$B:$B&amp;盘货信息!$C:$C,盘货信息!$AA:$AA)="","",_xlfn.XLOOKUP($A121&amp;$B121&amp;$C121,盘货信息!$A:$A&amp;盘货信息!$B:$B&amp;盘货信息!$C:$C,盘货信息!$AA:$AA)&amp;"免息")</f>
        <v/>
      </c>
      <c r="F121" s="18" t="str" cm="1">
        <f t="array" ref="F121">IF(_xlfn.XLOOKUP($A121&amp;$B121&amp;$C121,盘货信息!$A:$A&amp;盘货信息!$B:$B&amp;盘货信息!$C:$C,盘货信息!$AB:$AB)="","",_xlfn.XLOOKUP($A121&amp;$B121&amp;$C121,盘货信息!$A:$A&amp;盘货信息!$B:$B&amp;盘货信息!$C:$C,盘货信息!$AB:$AB))</f>
        <v/>
      </c>
      <c r="G121" s="18"/>
    </row>
    <row r="122" customHeight="1" spans="1:7">
      <c r="A122" s="17" t="str">
        <f>IF(盘货信息!A122="","",盘货信息!A122)</f>
        <v/>
      </c>
      <c r="B122" s="17" t="str">
        <f>IF(盘货信息!B122="","",盘货信息!B122)</f>
        <v/>
      </c>
      <c r="C122" s="20" t="str">
        <f>IF(盘货信息!C122="","",盘货信息!C122)</f>
        <v/>
      </c>
      <c r="D122" s="18" t="str">
        <f t="shared" si="1"/>
        <v/>
      </c>
      <c r="E122" s="18" t="str" cm="1">
        <f t="array" ref="E122">IF(_xlfn.XLOOKUP($A122&amp;$B122&amp;$C122,盘货信息!$A:$A&amp;盘货信息!$B:$B&amp;盘货信息!$C:$C,盘货信息!$AA:$AA)="","",_xlfn.XLOOKUP($A122&amp;$B122&amp;$C122,盘货信息!$A:$A&amp;盘货信息!$B:$B&amp;盘货信息!$C:$C,盘货信息!$AA:$AA)&amp;"免息")</f>
        <v/>
      </c>
      <c r="F122" s="18" t="str" cm="1">
        <f t="array" ref="F122">IF(_xlfn.XLOOKUP($A122&amp;$B122&amp;$C122,盘货信息!$A:$A&amp;盘货信息!$B:$B&amp;盘货信息!$C:$C,盘货信息!$AB:$AB)="","",_xlfn.XLOOKUP($A122&amp;$B122&amp;$C122,盘货信息!$A:$A&amp;盘货信息!$B:$B&amp;盘货信息!$C:$C,盘货信息!$AB:$AB))</f>
        <v/>
      </c>
      <c r="G122" s="18"/>
    </row>
    <row r="123" customHeight="1" spans="1:7">
      <c r="A123" s="17" t="str">
        <f>IF(盘货信息!A123="","",盘货信息!A123)</f>
        <v/>
      </c>
      <c r="B123" s="17" t="str">
        <f>IF(盘货信息!B123="","",盘货信息!B123)</f>
        <v/>
      </c>
      <c r="C123" s="20" t="str">
        <f>IF(盘货信息!C123="","",盘货信息!C123)</f>
        <v/>
      </c>
      <c r="D123" s="18" t="str">
        <f t="shared" si="1"/>
        <v/>
      </c>
      <c r="E123" s="18" t="str" cm="1">
        <f t="array" ref="E123">IF(_xlfn.XLOOKUP($A123&amp;$B123&amp;$C123,盘货信息!$A:$A&amp;盘货信息!$B:$B&amp;盘货信息!$C:$C,盘货信息!$AA:$AA)="","",_xlfn.XLOOKUP($A123&amp;$B123&amp;$C123,盘货信息!$A:$A&amp;盘货信息!$B:$B&amp;盘货信息!$C:$C,盘货信息!$AA:$AA)&amp;"免息")</f>
        <v/>
      </c>
      <c r="F123" s="18" t="str" cm="1">
        <f t="array" ref="F123">IF(_xlfn.XLOOKUP($A123&amp;$B123&amp;$C123,盘货信息!$A:$A&amp;盘货信息!$B:$B&amp;盘货信息!$C:$C,盘货信息!$AB:$AB)="","",_xlfn.XLOOKUP($A123&amp;$B123&amp;$C123,盘货信息!$A:$A&amp;盘货信息!$B:$B&amp;盘货信息!$C:$C,盘货信息!$AB:$AB))</f>
        <v/>
      </c>
      <c r="G123" s="18"/>
    </row>
    <row r="124" customHeight="1" spans="1:7">
      <c r="A124" s="17" t="str">
        <f>IF(盘货信息!A124="","",盘货信息!A124)</f>
        <v/>
      </c>
      <c r="B124" s="17" t="str">
        <f>IF(盘货信息!B124="","",盘货信息!B124)</f>
        <v/>
      </c>
      <c r="C124" s="17" t="str">
        <f>IF(盘货信息!C124="","",盘货信息!C124)</f>
        <v/>
      </c>
      <c r="D124" s="18" t="str">
        <f t="shared" si="1"/>
        <v/>
      </c>
      <c r="E124" s="18" t="str" cm="1">
        <f t="array" ref="E124">IF(_xlfn.XLOOKUP($A124&amp;$B124&amp;$C124,盘货信息!$A:$A&amp;盘货信息!$B:$B&amp;盘货信息!$C:$C,盘货信息!$AA:$AA)="","",_xlfn.XLOOKUP($A124&amp;$B124&amp;$C124,盘货信息!$A:$A&amp;盘货信息!$B:$B&amp;盘货信息!$C:$C,盘货信息!$AA:$AA)&amp;"免息")</f>
        <v/>
      </c>
      <c r="F124" s="18" t="str" cm="1">
        <f t="array" ref="F124">IF(_xlfn.XLOOKUP($A124&amp;$B124&amp;$C124,盘货信息!$A:$A&amp;盘货信息!$B:$B&amp;盘货信息!$C:$C,盘货信息!$AB:$AB)="","",_xlfn.XLOOKUP($A124&amp;$B124&amp;$C124,盘货信息!$A:$A&amp;盘货信息!$B:$B&amp;盘货信息!$C:$C,盘货信息!$AB:$AB))</f>
        <v/>
      </c>
      <c r="G124" s="18"/>
    </row>
    <row r="125" customHeight="1" spans="1:7">
      <c r="A125" s="17" t="str">
        <f>IF(盘货信息!A125="","",盘货信息!A125)</f>
        <v/>
      </c>
      <c r="B125" s="17" t="str">
        <f>IF(盘货信息!B125="","",盘货信息!B125)</f>
        <v/>
      </c>
      <c r="C125" s="17" t="str">
        <f>IF(盘货信息!C125="","",盘货信息!C125)</f>
        <v/>
      </c>
      <c r="D125" s="18" t="str">
        <f t="shared" si="1"/>
        <v/>
      </c>
      <c r="E125" s="18" t="str" cm="1">
        <f t="array" ref="E125">IF(_xlfn.XLOOKUP($A125&amp;$B125&amp;$C125,盘货信息!$A:$A&amp;盘货信息!$B:$B&amp;盘货信息!$C:$C,盘货信息!$AA:$AA)="","",_xlfn.XLOOKUP($A125&amp;$B125&amp;$C125,盘货信息!$A:$A&amp;盘货信息!$B:$B&amp;盘货信息!$C:$C,盘货信息!$AA:$AA)&amp;"免息")</f>
        <v/>
      </c>
      <c r="F125" s="18" t="str" cm="1">
        <f t="array" ref="F125">IF(_xlfn.XLOOKUP($A125&amp;$B125&amp;$C125,盘货信息!$A:$A&amp;盘货信息!$B:$B&amp;盘货信息!$C:$C,盘货信息!$AB:$AB)="","",_xlfn.XLOOKUP($A125&amp;$B125&amp;$C125,盘货信息!$A:$A&amp;盘货信息!$B:$B&amp;盘货信息!$C:$C,盘货信息!$AB:$AB))</f>
        <v/>
      </c>
      <c r="G125" s="18"/>
    </row>
    <row r="126" customHeight="1" spans="1:7">
      <c r="A126" s="17" t="str">
        <f>IF(盘货信息!A126="","",盘货信息!A126)</f>
        <v/>
      </c>
      <c r="B126" s="17" t="str">
        <f>IF(盘货信息!B126="","",盘货信息!B126)</f>
        <v/>
      </c>
      <c r="C126" s="17" t="str">
        <f>IF(盘货信息!C126="","",盘货信息!C126)</f>
        <v/>
      </c>
      <c r="D126" s="18" t="str">
        <f t="shared" si="1"/>
        <v/>
      </c>
      <c r="E126" s="18" t="str" cm="1">
        <f t="array" ref="E126">IF(_xlfn.XLOOKUP($A126&amp;$B126&amp;$C126,盘货信息!$A:$A&amp;盘货信息!$B:$B&amp;盘货信息!$C:$C,盘货信息!$AA:$AA)="","",_xlfn.XLOOKUP($A126&amp;$B126&amp;$C126,盘货信息!$A:$A&amp;盘货信息!$B:$B&amp;盘货信息!$C:$C,盘货信息!$AA:$AA)&amp;"免息")</f>
        <v/>
      </c>
      <c r="F126" s="18" t="str" cm="1">
        <f t="array" ref="F126">IF(_xlfn.XLOOKUP($A126&amp;$B126&amp;$C126,盘货信息!$A:$A&amp;盘货信息!$B:$B&amp;盘货信息!$C:$C,盘货信息!$AB:$AB)="","",_xlfn.XLOOKUP($A126&amp;$B126&amp;$C126,盘货信息!$A:$A&amp;盘货信息!$B:$B&amp;盘货信息!$C:$C,盘货信息!$AB:$AB))</f>
        <v/>
      </c>
      <c r="G126" s="18"/>
    </row>
    <row r="127" customHeight="1" spans="1:7">
      <c r="A127" s="17" t="str">
        <f>IF(盘货信息!A127="","",盘货信息!A127)</f>
        <v/>
      </c>
      <c r="B127" s="17" t="str">
        <f>IF(盘货信息!B127="","",盘货信息!B127)</f>
        <v/>
      </c>
      <c r="C127" s="17" t="str">
        <f>IF(盘货信息!C127="","",盘货信息!C127)</f>
        <v/>
      </c>
      <c r="D127" s="18" t="str">
        <f t="shared" si="1"/>
        <v/>
      </c>
      <c r="E127" s="18" t="str" cm="1">
        <f t="array" ref="E127">IF(_xlfn.XLOOKUP($A127&amp;$B127&amp;$C127,盘货信息!$A:$A&amp;盘货信息!$B:$B&amp;盘货信息!$C:$C,盘货信息!$AA:$AA)="","",_xlfn.XLOOKUP($A127&amp;$B127&amp;$C127,盘货信息!$A:$A&amp;盘货信息!$B:$B&amp;盘货信息!$C:$C,盘货信息!$AA:$AA)&amp;"免息")</f>
        <v/>
      </c>
      <c r="F127" s="18" t="str" cm="1">
        <f t="array" ref="F127">IF(_xlfn.XLOOKUP($A127&amp;$B127&amp;$C127,盘货信息!$A:$A&amp;盘货信息!$B:$B&amp;盘货信息!$C:$C,盘货信息!$AB:$AB)="","",_xlfn.XLOOKUP($A127&amp;$B127&amp;$C127,盘货信息!$A:$A&amp;盘货信息!$B:$B&amp;盘货信息!$C:$C,盘货信息!$AB:$AB))</f>
        <v/>
      </c>
      <c r="G127" s="18"/>
    </row>
    <row r="128" customHeight="1" spans="1:7">
      <c r="A128" s="17" t="str">
        <f>IF(盘货信息!A128="","",盘货信息!A128)</f>
        <v/>
      </c>
      <c r="B128" s="17" t="str">
        <f>IF(盘货信息!B128="","",盘货信息!B128)</f>
        <v/>
      </c>
      <c r="C128" s="17" t="str">
        <f>IF(盘货信息!C128="","",盘货信息!C128)</f>
        <v/>
      </c>
      <c r="D128" s="18" t="str">
        <f t="shared" si="1"/>
        <v/>
      </c>
      <c r="E128" s="18" t="str" cm="1">
        <f t="array" ref="E128">IF(_xlfn.XLOOKUP($A128&amp;$B128&amp;$C128,盘货信息!$A:$A&amp;盘货信息!$B:$B&amp;盘货信息!$C:$C,盘货信息!$AA:$AA)="","",_xlfn.XLOOKUP($A128&amp;$B128&amp;$C128,盘货信息!$A:$A&amp;盘货信息!$B:$B&amp;盘货信息!$C:$C,盘货信息!$AA:$AA)&amp;"免息")</f>
        <v/>
      </c>
      <c r="F128" s="18" t="str" cm="1">
        <f t="array" ref="F128">IF(_xlfn.XLOOKUP($A128&amp;$B128&amp;$C128,盘货信息!$A:$A&amp;盘货信息!$B:$B&amp;盘货信息!$C:$C,盘货信息!$AB:$AB)="","",_xlfn.XLOOKUP($A128&amp;$B128&amp;$C128,盘货信息!$A:$A&amp;盘货信息!$B:$B&amp;盘货信息!$C:$C,盘货信息!$AB:$AB))</f>
        <v/>
      </c>
      <c r="G128" s="18"/>
    </row>
    <row r="129" customHeight="1" spans="1:7">
      <c r="A129" s="17" t="str">
        <f>IF(盘货信息!A129="","",盘货信息!A129)</f>
        <v/>
      </c>
      <c r="B129" s="17" t="str">
        <f>IF(盘货信息!B129="","",盘货信息!B129)</f>
        <v/>
      </c>
      <c r="C129" s="17" t="str">
        <f>IF(盘货信息!C129="","",盘货信息!C129)</f>
        <v/>
      </c>
      <c r="D129" s="18" t="str">
        <f t="shared" si="1"/>
        <v/>
      </c>
      <c r="E129" s="18" t="str" cm="1">
        <f t="array" ref="E129">IF(_xlfn.XLOOKUP($A129&amp;$B129&amp;$C129,盘货信息!$A:$A&amp;盘货信息!$B:$B&amp;盘货信息!$C:$C,盘货信息!$AA:$AA)="","",_xlfn.XLOOKUP($A129&amp;$B129&amp;$C129,盘货信息!$A:$A&amp;盘货信息!$B:$B&amp;盘货信息!$C:$C,盘货信息!$AA:$AA)&amp;"免息")</f>
        <v/>
      </c>
      <c r="F129" s="18" t="str" cm="1">
        <f t="array" ref="F129">IF(_xlfn.XLOOKUP($A129&amp;$B129&amp;$C129,盘货信息!$A:$A&amp;盘货信息!$B:$B&amp;盘货信息!$C:$C,盘货信息!$AB:$AB)="","",_xlfn.XLOOKUP($A129&amp;$B129&amp;$C129,盘货信息!$A:$A&amp;盘货信息!$B:$B&amp;盘货信息!$C:$C,盘货信息!$AB:$AB))</f>
        <v/>
      </c>
      <c r="G129" s="18"/>
    </row>
    <row r="130" customHeight="1" spans="1:7">
      <c r="A130" s="17" t="str">
        <f>IF(盘货信息!A130="","",盘货信息!A130)</f>
        <v/>
      </c>
      <c r="B130" s="17" t="str">
        <f>IF(盘货信息!B130="","",盘货信息!B130)</f>
        <v/>
      </c>
      <c r="C130" s="17" t="str">
        <f>IF(盘货信息!C130="","",盘货信息!C130)</f>
        <v/>
      </c>
      <c r="D130" s="18" t="str">
        <f t="shared" si="1"/>
        <v/>
      </c>
      <c r="E130" s="18" t="str" cm="1">
        <f t="array" ref="E130">IF(_xlfn.XLOOKUP($A130&amp;$B130&amp;$C130,盘货信息!$A:$A&amp;盘货信息!$B:$B&amp;盘货信息!$C:$C,盘货信息!$AA:$AA)="","",_xlfn.XLOOKUP($A130&amp;$B130&amp;$C130,盘货信息!$A:$A&amp;盘货信息!$B:$B&amp;盘货信息!$C:$C,盘货信息!$AA:$AA)&amp;"免息")</f>
        <v/>
      </c>
      <c r="F130" s="18" t="str" cm="1">
        <f t="array" ref="F130">IF(_xlfn.XLOOKUP($A130&amp;$B130&amp;$C130,盘货信息!$A:$A&amp;盘货信息!$B:$B&amp;盘货信息!$C:$C,盘货信息!$AB:$AB)="","",_xlfn.XLOOKUP($A130&amp;$B130&amp;$C130,盘货信息!$A:$A&amp;盘货信息!$B:$B&amp;盘货信息!$C:$C,盘货信息!$AB:$AB))</f>
        <v/>
      </c>
      <c r="G130" s="18"/>
    </row>
    <row r="131" customHeight="1" spans="1:7">
      <c r="A131" s="17" t="str">
        <f>IF(盘货信息!A131="","",盘货信息!A131)</f>
        <v/>
      </c>
      <c r="B131" s="17" t="str">
        <f>IF(盘货信息!B131="","",盘货信息!B131)</f>
        <v/>
      </c>
      <c r="C131" s="17" t="str">
        <f>IF(盘货信息!C131="","",盘货信息!C131)</f>
        <v/>
      </c>
      <c r="D131" s="18" t="str">
        <f t="shared" ref="D131:D194" si="2">IF(C131="","","【服务】"&amp;_xlfn.TEXTJOIN("，",TRUE,E131:G131))</f>
        <v/>
      </c>
      <c r="E131" s="18" t="str" cm="1">
        <f t="array" ref="E131">IF(_xlfn.XLOOKUP($A131&amp;$B131&amp;$C131,盘货信息!$A:$A&amp;盘货信息!$B:$B&amp;盘货信息!$C:$C,盘货信息!$AA:$AA)="","",_xlfn.XLOOKUP($A131&amp;$B131&amp;$C131,盘货信息!$A:$A&amp;盘货信息!$B:$B&amp;盘货信息!$C:$C,盘货信息!$AA:$AA)&amp;"免息")</f>
        <v/>
      </c>
      <c r="F131" s="18" t="str" cm="1">
        <f t="array" ref="F131">IF(_xlfn.XLOOKUP($A131&amp;$B131&amp;$C131,盘货信息!$A:$A&amp;盘货信息!$B:$B&amp;盘货信息!$C:$C,盘货信息!$AB:$AB)="","",_xlfn.XLOOKUP($A131&amp;$B131&amp;$C131,盘货信息!$A:$A&amp;盘货信息!$B:$B&amp;盘货信息!$C:$C,盘货信息!$AB:$AB))</f>
        <v/>
      </c>
      <c r="G131" s="18"/>
    </row>
    <row r="132" customHeight="1" spans="1:7">
      <c r="A132" s="17" t="str">
        <f>IF(盘货信息!A132="","",盘货信息!A132)</f>
        <v/>
      </c>
      <c r="B132" s="17" t="str">
        <f>IF(盘货信息!B132="","",盘货信息!B132)</f>
        <v/>
      </c>
      <c r="C132" s="17" t="str">
        <f>IF(盘货信息!C132="","",盘货信息!C132)</f>
        <v/>
      </c>
      <c r="D132" s="18" t="str">
        <f t="shared" si="2"/>
        <v/>
      </c>
      <c r="E132" s="18" t="str" cm="1">
        <f t="array" ref="E132">IF(_xlfn.XLOOKUP($A132&amp;$B132&amp;$C132,盘货信息!$A:$A&amp;盘货信息!$B:$B&amp;盘货信息!$C:$C,盘货信息!$AA:$AA)="","",_xlfn.XLOOKUP($A132&amp;$B132&amp;$C132,盘货信息!$A:$A&amp;盘货信息!$B:$B&amp;盘货信息!$C:$C,盘货信息!$AA:$AA)&amp;"免息")</f>
        <v/>
      </c>
      <c r="F132" s="18" t="str" cm="1">
        <f t="array" ref="F132">IF(_xlfn.XLOOKUP($A132&amp;$B132&amp;$C132,盘货信息!$A:$A&amp;盘货信息!$B:$B&amp;盘货信息!$C:$C,盘货信息!$AB:$AB)="","",_xlfn.XLOOKUP($A132&amp;$B132&amp;$C132,盘货信息!$A:$A&amp;盘货信息!$B:$B&amp;盘货信息!$C:$C,盘货信息!$AB:$AB))</f>
        <v/>
      </c>
      <c r="G132" s="18"/>
    </row>
    <row r="133" customHeight="1" spans="1:7">
      <c r="A133" s="17" t="str">
        <f>IF(盘货信息!A133="","",盘货信息!A133)</f>
        <v/>
      </c>
      <c r="B133" s="17" t="str">
        <f>IF(盘货信息!B133="","",盘货信息!B133)</f>
        <v/>
      </c>
      <c r="C133" s="17" t="str">
        <f>IF(盘货信息!C133="","",盘货信息!C133)</f>
        <v/>
      </c>
      <c r="D133" s="18" t="str">
        <f t="shared" si="2"/>
        <v/>
      </c>
      <c r="E133" s="18" t="str" cm="1">
        <f t="array" ref="E133">IF(_xlfn.XLOOKUP($A133&amp;$B133&amp;$C133,盘货信息!$A:$A&amp;盘货信息!$B:$B&amp;盘货信息!$C:$C,盘货信息!$AA:$AA)="","",_xlfn.XLOOKUP($A133&amp;$B133&amp;$C133,盘货信息!$A:$A&amp;盘货信息!$B:$B&amp;盘货信息!$C:$C,盘货信息!$AA:$AA)&amp;"免息")</f>
        <v/>
      </c>
      <c r="F133" s="18" t="str" cm="1">
        <f t="array" ref="F133">IF(_xlfn.XLOOKUP($A133&amp;$B133&amp;$C133,盘货信息!$A:$A&amp;盘货信息!$B:$B&amp;盘货信息!$C:$C,盘货信息!$AB:$AB)="","",_xlfn.XLOOKUP($A133&amp;$B133&amp;$C133,盘货信息!$A:$A&amp;盘货信息!$B:$B&amp;盘货信息!$C:$C,盘货信息!$AB:$AB))</f>
        <v/>
      </c>
      <c r="G133" s="18"/>
    </row>
    <row r="134" customHeight="1" spans="1:7">
      <c r="A134" s="17" t="str">
        <f>IF(盘货信息!A134="","",盘货信息!A134)</f>
        <v/>
      </c>
      <c r="B134" s="17" t="str">
        <f>IF(盘货信息!B134="","",盘货信息!B134)</f>
        <v/>
      </c>
      <c r="C134" s="17" t="str">
        <f>IF(盘货信息!C134="","",盘货信息!C134)</f>
        <v/>
      </c>
      <c r="D134" s="18" t="str">
        <f t="shared" si="2"/>
        <v/>
      </c>
      <c r="E134" s="18" t="str" cm="1">
        <f t="array" ref="E134">IF(_xlfn.XLOOKUP($A134&amp;$B134&amp;$C134,盘货信息!$A:$A&amp;盘货信息!$B:$B&amp;盘货信息!$C:$C,盘货信息!$AA:$AA)="","",_xlfn.XLOOKUP($A134&amp;$B134&amp;$C134,盘货信息!$A:$A&amp;盘货信息!$B:$B&amp;盘货信息!$C:$C,盘货信息!$AA:$AA)&amp;"免息")</f>
        <v/>
      </c>
      <c r="F134" s="18" t="str" cm="1">
        <f t="array" ref="F134">IF(_xlfn.XLOOKUP($A134&amp;$B134&amp;$C134,盘货信息!$A:$A&amp;盘货信息!$B:$B&amp;盘货信息!$C:$C,盘货信息!$AB:$AB)="","",_xlfn.XLOOKUP($A134&amp;$B134&amp;$C134,盘货信息!$A:$A&amp;盘货信息!$B:$B&amp;盘货信息!$C:$C,盘货信息!$AB:$AB))</f>
        <v/>
      </c>
      <c r="G134" s="18"/>
    </row>
    <row r="135" customHeight="1" spans="1:7">
      <c r="A135" s="17" t="str">
        <f>IF(盘货信息!A135="","",盘货信息!A135)</f>
        <v/>
      </c>
      <c r="B135" s="17" t="str">
        <f>IF(盘货信息!B135="","",盘货信息!B135)</f>
        <v/>
      </c>
      <c r="C135" s="17" t="str">
        <f>IF(盘货信息!C135="","",盘货信息!C135)</f>
        <v/>
      </c>
      <c r="D135" s="18" t="str">
        <f t="shared" si="2"/>
        <v/>
      </c>
      <c r="E135" s="18" t="str" cm="1">
        <f t="array" ref="E135">IF(_xlfn.XLOOKUP($A135&amp;$B135&amp;$C135,盘货信息!$A:$A&amp;盘货信息!$B:$B&amp;盘货信息!$C:$C,盘货信息!$AA:$AA)="","",_xlfn.XLOOKUP($A135&amp;$B135&amp;$C135,盘货信息!$A:$A&amp;盘货信息!$B:$B&amp;盘货信息!$C:$C,盘货信息!$AA:$AA)&amp;"免息")</f>
        <v/>
      </c>
      <c r="F135" s="18" t="str" cm="1">
        <f t="array" ref="F135">IF(_xlfn.XLOOKUP($A135&amp;$B135&amp;$C135,盘货信息!$A:$A&amp;盘货信息!$B:$B&amp;盘货信息!$C:$C,盘货信息!$AB:$AB)="","",_xlfn.XLOOKUP($A135&amp;$B135&amp;$C135,盘货信息!$A:$A&amp;盘货信息!$B:$B&amp;盘货信息!$C:$C,盘货信息!$AB:$AB))</f>
        <v/>
      </c>
      <c r="G135" s="18"/>
    </row>
    <row r="136" customHeight="1" spans="1:7">
      <c r="A136" s="17" t="str">
        <f>IF(盘货信息!A136="","",盘货信息!A136)</f>
        <v/>
      </c>
      <c r="B136" s="17" t="str">
        <f>IF(盘货信息!B136="","",盘货信息!B136)</f>
        <v/>
      </c>
      <c r="C136" s="17" t="str">
        <f>IF(盘货信息!C136="","",盘货信息!C136)</f>
        <v/>
      </c>
      <c r="D136" s="18" t="str">
        <f t="shared" si="2"/>
        <v/>
      </c>
      <c r="E136" s="18" t="str" cm="1">
        <f t="array" ref="E136">IF(_xlfn.XLOOKUP($A136&amp;$B136&amp;$C136,盘货信息!$A:$A&amp;盘货信息!$B:$B&amp;盘货信息!$C:$C,盘货信息!$AA:$AA)="","",_xlfn.XLOOKUP($A136&amp;$B136&amp;$C136,盘货信息!$A:$A&amp;盘货信息!$B:$B&amp;盘货信息!$C:$C,盘货信息!$AA:$AA)&amp;"免息")</f>
        <v/>
      </c>
      <c r="F136" s="18" t="str" cm="1">
        <f t="array" ref="F136">IF(_xlfn.XLOOKUP($A136&amp;$B136&amp;$C136,盘货信息!$A:$A&amp;盘货信息!$B:$B&amp;盘货信息!$C:$C,盘货信息!$AB:$AB)="","",_xlfn.XLOOKUP($A136&amp;$B136&amp;$C136,盘货信息!$A:$A&amp;盘货信息!$B:$B&amp;盘货信息!$C:$C,盘货信息!$AB:$AB))</f>
        <v/>
      </c>
      <c r="G136" s="18"/>
    </row>
    <row r="137" customHeight="1" spans="1:7">
      <c r="A137" s="17" t="str">
        <f>IF(盘货信息!A137="","",盘货信息!A137)</f>
        <v/>
      </c>
      <c r="B137" s="17" t="str">
        <f>IF(盘货信息!B137="","",盘货信息!B137)</f>
        <v/>
      </c>
      <c r="C137" s="20" t="str">
        <f>IF(盘货信息!C137="","",盘货信息!C137)</f>
        <v/>
      </c>
      <c r="D137" s="18" t="str">
        <f t="shared" si="2"/>
        <v/>
      </c>
      <c r="E137" s="18" t="str" cm="1">
        <f t="array" ref="E137">IF(_xlfn.XLOOKUP($A137&amp;$B137&amp;$C137,盘货信息!$A:$A&amp;盘货信息!$B:$B&amp;盘货信息!$C:$C,盘货信息!$AA:$AA)="","",_xlfn.XLOOKUP($A137&amp;$B137&amp;$C137,盘货信息!$A:$A&amp;盘货信息!$B:$B&amp;盘货信息!$C:$C,盘货信息!$AA:$AA)&amp;"免息")</f>
        <v/>
      </c>
      <c r="F137" s="18" t="str" cm="1">
        <f t="array" ref="F137">IF(_xlfn.XLOOKUP($A137&amp;$B137&amp;$C137,盘货信息!$A:$A&amp;盘货信息!$B:$B&amp;盘货信息!$C:$C,盘货信息!$AB:$AB)="","",_xlfn.XLOOKUP($A137&amp;$B137&amp;$C137,盘货信息!$A:$A&amp;盘货信息!$B:$B&amp;盘货信息!$C:$C,盘货信息!$AB:$AB))</f>
        <v/>
      </c>
      <c r="G137" s="18"/>
    </row>
    <row r="138" customHeight="1" spans="1:7">
      <c r="A138" s="17" t="str">
        <f>IF(盘货信息!A138="","",盘货信息!A138)</f>
        <v/>
      </c>
      <c r="B138" s="17" t="str">
        <f>IF(盘货信息!B138="","",盘货信息!B138)</f>
        <v/>
      </c>
      <c r="C138" s="17" t="str">
        <f>IF(盘货信息!C138="","",盘货信息!C138)</f>
        <v/>
      </c>
      <c r="D138" s="18" t="str">
        <f t="shared" si="2"/>
        <v/>
      </c>
      <c r="E138" s="18" t="str" cm="1">
        <f t="array" ref="E138">IF(_xlfn.XLOOKUP($A138&amp;$B138&amp;$C138,盘货信息!$A:$A&amp;盘货信息!$B:$B&amp;盘货信息!$C:$C,盘货信息!$AA:$AA)="","",_xlfn.XLOOKUP($A138&amp;$B138&amp;$C138,盘货信息!$A:$A&amp;盘货信息!$B:$B&amp;盘货信息!$C:$C,盘货信息!$AA:$AA)&amp;"免息")</f>
        <v/>
      </c>
      <c r="F138" s="18" t="str" cm="1">
        <f t="array" ref="F138">IF(_xlfn.XLOOKUP($A138&amp;$B138&amp;$C138,盘货信息!$A:$A&amp;盘货信息!$B:$B&amp;盘货信息!$C:$C,盘货信息!$AB:$AB)="","",_xlfn.XLOOKUP($A138&amp;$B138&amp;$C138,盘货信息!$A:$A&amp;盘货信息!$B:$B&amp;盘货信息!$C:$C,盘货信息!$AB:$AB))</f>
        <v/>
      </c>
      <c r="G138" s="18"/>
    </row>
    <row r="139" customHeight="1" spans="1:7">
      <c r="A139" s="17" t="str">
        <f>IF(盘货信息!A139="","",盘货信息!A139)</f>
        <v/>
      </c>
      <c r="B139" s="17" t="str">
        <f>IF(盘货信息!B139="","",盘货信息!B139)</f>
        <v/>
      </c>
      <c r="C139" s="20" t="str">
        <f>IF(盘货信息!C139="","",盘货信息!C139)</f>
        <v/>
      </c>
      <c r="D139" s="18" t="str">
        <f t="shared" si="2"/>
        <v/>
      </c>
      <c r="E139" s="18" t="str" cm="1">
        <f t="array" ref="E139">IF(_xlfn.XLOOKUP($A139&amp;$B139&amp;$C139,盘货信息!$A:$A&amp;盘货信息!$B:$B&amp;盘货信息!$C:$C,盘货信息!$AA:$AA)="","",_xlfn.XLOOKUP($A139&amp;$B139&amp;$C139,盘货信息!$A:$A&amp;盘货信息!$B:$B&amp;盘货信息!$C:$C,盘货信息!$AA:$AA)&amp;"免息")</f>
        <v/>
      </c>
      <c r="F139" s="18" t="str" cm="1">
        <f t="array" ref="F139">IF(_xlfn.XLOOKUP($A139&amp;$B139&amp;$C139,盘货信息!$A:$A&amp;盘货信息!$B:$B&amp;盘货信息!$C:$C,盘货信息!$AB:$AB)="","",_xlfn.XLOOKUP($A139&amp;$B139&amp;$C139,盘货信息!$A:$A&amp;盘货信息!$B:$B&amp;盘货信息!$C:$C,盘货信息!$AB:$AB))</f>
        <v/>
      </c>
      <c r="G139" s="18"/>
    </row>
    <row r="140" customHeight="1" spans="1:7">
      <c r="A140" s="17" t="str">
        <f>IF(盘货信息!A140="","",盘货信息!A140)</f>
        <v/>
      </c>
      <c r="B140" s="17" t="str">
        <f>IF(盘货信息!B140="","",盘货信息!B140)</f>
        <v/>
      </c>
      <c r="C140" s="20" t="str">
        <f>IF(盘货信息!C140="","",盘货信息!C140)</f>
        <v/>
      </c>
      <c r="D140" s="18" t="str">
        <f t="shared" si="2"/>
        <v/>
      </c>
      <c r="E140" s="18" t="str" cm="1">
        <f t="array" ref="E140">IF(_xlfn.XLOOKUP($A140&amp;$B140&amp;$C140,盘货信息!$A:$A&amp;盘货信息!$B:$B&amp;盘货信息!$C:$C,盘货信息!$AA:$AA)="","",_xlfn.XLOOKUP($A140&amp;$B140&amp;$C140,盘货信息!$A:$A&amp;盘货信息!$B:$B&amp;盘货信息!$C:$C,盘货信息!$AA:$AA)&amp;"免息")</f>
        <v/>
      </c>
      <c r="F140" s="18" t="str" cm="1">
        <f t="array" ref="F140">IF(_xlfn.XLOOKUP($A140&amp;$B140&amp;$C140,盘货信息!$A:$A&amp;盘货信息!$B:$B&amp;盘货信息!$C:$C,盘货信息!$AB:$AB)="","",_xlfn.XLOOKUP($A140&amp;$B140&amp;$C140,盘货信息!$A:$A&amp;盘货信息!$B:$B&amp;盘货信息!$C:$C,盘货信息!$AB:$AB))</f>
        <v/>
      </c>
      <c r="G140" s="18"/>
    </row>
    <row r="141" customHeight="1" spans="1:7">
      <c r="A141" s="17" t="str">
        <f>IF(盘货信息!A141="","",盘货信息!A141)</f>
        <v/>
      </c>
      <c r="B141" s="17" t="str">
        <f>IF(盘货信息!B141="","",盘货信息!B141)</f>
        <v/>
      </c>
      <c r="C141" s="20" t="str">
        <f>IF(盘货信息!C141="","",盘货信息!C141)</f>
        <v/>
      </c>
      <c r="D141" s="18" t="str">
        <f t="shared" si="2"/>
        <v/>
      </c>
      <c r="E141" s="18" t="str" cm="1">
        <f t="array" ref="E141">IF(_xlfn.XLOOKUP($A141&amp;$B141&amp;$C141,盘货信息!$A:$A&amp;盘货信息!$B:$B&amp;盘货信息!$C:$C,盘货信息!$AA:$AA)="","",_xlfn.XLOOKUP($A141&amp;$B141&amp;$C141,盘货信息!$A:$A&amp;盘货信息!$B:$B&amp;盘货信息!$C:$C,盘货信息!$AA:$AA)&amp;"免息")</f>
        <v/>
      </c>
      <c r="F141" s="18" t="str" cm="1">
        <f t="array" ref="F141">IF(_xlfn.XLOOKUP($A141&amp;$B141&amp;$C141,盘货信息!$A:$A&amp;盘货信息!$B:$B&amp;盘货信息!$C:$C,盘货信息!$AB:$AB)="","",_xlfn.XLOOKUP($A141&amp;$B141&amp;$C141,盘货信息!$A:$A&amp;盘货信息!$B:$B&amp;盘货信息!$C:$C,盘货信息!$AB:$AB))</f>
        <v/>
      </c>
      <c r="G141" s="18"/>
    </row>
    <row r="142" customHeight="1" spans="1:7">
      <c r="A142" s="17" t="str">
        <f>IF(盘货信息!A142="","",盘货信息!A142)</f>
        <v/>
      </c>
      <c r="B142" s="17" t="str">
        <f>IF(盘货信息!B142="","",盘货信息!B142)</f>
        <v/>
      </c>
      <c r="C142" s="20" t="str">
        <f>IF(盘货信息!C142="","",盘货信息!C142)</f>
        <v/>
      </c>
      <c r="D142" s="18" t="str">
        <f t="shared" si="2"/>
        <v/>
      </c>
      <c r="E142" s="18" t="str" cm="1">
        <f t="array" ref="E142">IF(_xlfn.XLOOKUP($A142&amp;$B142&amp;$C142,盘货信息!$A:$A&amp;盘货信息!$B:$B&amp;盘货信息!$C:$C,盘货信息!$AA:$AA)="","",_xlfn.XLOOKUP($A142&amp;$B142&amp;$C142,盘货信息!$A:$A&amp;盘货信息!$B:$B&amp;盘货信息!$C:$C,盘货信息!$AA:$AA)&amp;"免息")</f>
        <v/>
      </c>
      <c r="F142" s="18" t="str" cm="1">
        <f t="array" ref="F142">IF(_xlfn.XLOOKUP($A142&amp;$B142&amp;$C142,盘货信息!$A:$A&amp;盘货信息!$B:$B&amp;盘货信息!$C:$C,盘货信息!$AB:$AB)="","",_xlfn.XLOOKUP($A142&amp;$B142&amp;$C142,盘货信息!$A:$A&amp;盘货信息!$B:$B&amp;盘货信息!$C:$C,盘货信息!$AB:$AB))</f>
        <v/>
      </c>
      <c r="G142" s="18"/>
    </row>
    <row r="143" customHeight="1" spans="1:7">
      <c r="A143" s="17" t="str">
        <f>IF(盘货信息!A143="","",盘货信息!A143)</f>
        <v/>
      </c>
      <c r="B143" s="17" t="str">
        <f>IF(盘货信息!B143="","",盘货信息!B143)</f>
        <v/>
      </c>
      <c r="C143" s="20" t="str">
        <f>IF(盘货信息!C143="","",盘货信息!C143)</f>
        <v/>
      </c>
      <c r="D143" s="18" t="str">
        <f t="shared" si="2"/>
        <v/>
      </c>
      <c r="E143" s="18" t="str" cm="1">
        <f t="array" ref="E143">IF(_xlfn.XLOOKUP($A143&amp;$B143&amp;$C143,盘货信息!$A:$A&amp;盘货信息!$B:$B&amp;盘货信息!$C:$C,盘货信息!$AA:$AA)="","",_xlfn.XLOOKUP($A143&amp;$B143&amp;$C143,盘货信息!$A:$A&amp;盘货信息!$B:$B&amp;盘货信息!$C:$C,盘货信息!$AA:$AA)&amp;"免息")</f>
        <v/>
      </c>
      <c r="F143" s="18" t="str" cm="1">
        <f t="array" ref="F143">IF(_xlfn.XLOOKUP($A143&amp;$B143&amp;$C143,盘货信息!$A:$A&amp;盘货信息!$B:$B&amp;盘货信息!$C:$C,盘货信息!$AB:$AB)="","",_xlfn.XLOOKUP($A143&amp;$B143&amp;$C143,盘货信息!$A:$A&amp;盘货信息!$B:$B&amp;盘货信息!$C:$C,盘货信息!$AB:$AB))</f>
        <v/>
      </c>
      <c r="G143" s="18"/>
    </row>
    <row r="144" customHeight="1" spans="1:7">
      <c r="A144" s="17" t="str">
        <f>IF(盘货信息!A144="","",盘货信息!A144)</f>
        <v/>
      </c>
      <c r="B144" s="17" t="str">
        <f>IF(盘货信息!B144="","",盘货信息!B144)</f>
        <v/>
      </c>
      <c r="C144" s="20" t="str">
        <f>IF(盘货信息!C144="","",盘货信息!C144)</f>
        <v/>
      </c>
      <c r="D144" s="18" t="str">
        <f t="shared" si="2"/>
        <v/>
      </c>
      <c r="E144" s="18" t="str" cm="1">
        <f t="array" ref="E144">IF(_xlfn.XLOOKUP($A144&amp;$B144&amp;$C144,盘货信息!$A:$A&amp;盘货信息!$B:$B&amp;盘货信息!$C:$C,盘货信息!$AA:$AA)="","",_xlfn.XLOOKUP($A144&amp;$B144&amp;$C144,盘货信息!$A:$A&amp;盘货信息!$B:$B&amp;盘货信息!$C:$C,盘货信息!$AA:$AA)&amp;"免息")</f>
        <v/>
      </c>
      <c r="F144" s="18" t="str" cm="1">
        <f t="array" ref="F144">IF(_xlfn.XLOOKUP($A144&amp;$B144&amp;$C144,盘货信息!$A:$A&amp;盘货信息!$B:$B&amp;盘货信息!$C:$C,盘货信息!$AB:$AB)="","",_xlfn.XLOOKUP($A144&amp;$B144&amp;$C144,盘货信息!$A:$A&amp;盘货信息!$B:$B&amp;盘货信息!$C:$C,盘货信息!$AB:$AB))</f>
        <v/>
      </c>
      <c r="G144" s="18"/>
    </row>
    <row r="145" customHeight="1" spans="1:7">
      <c r="A145" s="17" t="str">
        <f>IF(盘货信息!A145="","",盘货信息!A145)</f>
        <v/>
      </c>
      <c r="B145" s="17" t="str">
        <f>IF(盘货信息!B145="","",盘货信息!B145)</f>
        <v/>
      </c>
      <c r="C145" s="20" t="str">
        <f>IF(盘货信息!C145="","",盘货信息!C145)</f>
        <v/>
      </c>
      <c r="D145" s="18" t="str">
        <f t="shared" si="2"/>
        <v/>
      </c>
      <c r="E145" s="18" t="str" cm="1">
        <f t="array" ref="E145">IF(_xlfn.XLOOKUP($A145&amp;$B145&amp;$C145,盘货信息!$A:$A&amp;盘货信息!$B:$B&amp;盘货信息!$C:$C,盘货信息!$AA:$AA)="","",_xlfn.XLOOKUP($A145&amp;$B145&amp;$C145,盘货信息!$A:$A&amp;盘货信息!$B:$B&amp;盘货信息!$C:$C,盘货信息!$AA:$AA)&amp;"免息")</f>
        <v/>
      </c>
      <c r="F145" s="18" t="str" cm="1">
        <f t="array" ref="F145">IF(_xlfn.XLOOKUP($A145&amp;$B145&amp;$C145,盘货信息!$A:$A&amp;盘货信息!$B:$B&amp;盘货信息!$C:$C,盘货信息!$AB:$AB)="","",_xlfn.XLOOKUP($A145&amp;$B145&amp;$C145,盘货信息!$A:$A&amp;盘货信息!$B:$B&amp;盘货信息!$C:$C,盘货信息!$AB:$AB))</f>
        <v/>
      </c>
      <c r="G145" s="18"/>
    </row>
    <row r="146" customHeight="1" spans="1:7">
      <c r="A146" s="17" t="str">
        <f>IF(盘货信息!A146="","",盘货信息!A146)</f>
        <v/>
      </c>
      <c r="B146" s="17" t="str">
        <f>IF(盘货信息!B146="","",盘货信息!B146)</f>
        <v/>
      </c>
      <c r="C146" s="20" t="str">
        <f>IF(盘货信息!C146="","",盘货信息!C146)</f>
        <v/>
      </c>
      <c r="D146" s="18" t="str">
        <f t="shared" si="2"/>
        <v/>
      </c>
      <c r="E146" s="18" t="str" cm="1">
        <f t="array" ref="E146">IF(_xlfn.XLOOKUP($A146&amp;$B146&amp;$C146,盘货信息!$A:$A&amp;盘货信息!$B:$B&amp;盘货信息!$C:$C,盘货信息!$AA:$AA)="","",_xlfn.XLOOKUP($A146&amp;$B146&amp;$C146,盘货信息!$A:$A&amp;盘货信息!$B:$B&amp;盘货信息!$C:$C,盘货信息!$AA:$AA)&amp;"免息")</f>
        <v/>
      </c>
      <c r="F146" s="18" t="str" cm="1">
        <f t="array" ref="F146">IF(_xlfn.XLOOKUP($A146&amp;$B146&amp;$C146,盘货信息!$A:$A&amp;盘货信息!$B:$B&amp;盘货信息!$C:$C,盘货信息!$AB:$AB)="","",_xlfn.XLOOKUP($A146&amp;$B146&amp;$C146,盘货信息!$A:$A&amp;盘货信息!$B:$B&amp;盘货信息!$C:$C,盘货信息!$AB:$AB))</f>
        <v/>
      </c>
      <c r="G146" s="18"/>
    </row>
    <row r="147" customHeight="1" spans="1:7">
      <c r="A147" s="17" t="str">
        <f>IF(盘货信息!A147="","",盘货信息!A147)</f>
        <v/>
      </c>
      <c r="B147" s="17" t="str">
        <f>IF(盘货信息!B147="","",盘货信息!B147)</f>
        <v/>
      </c>
      <c r="C147" s="20" t="str">
        <f>IF(盘货信息!C147="","",盘货信息!C147)</f>
        <v/>
      </c>
      <c r="D147" s="18" t="str">
        <f t="shared" si="2"/>
        <v/>
      </c>
      <c r="E147" s="18" t="str" cm="1">
        <f t="array" ref="E147">IF(_xlfn.XLOOKUP($A147&amp;$B147&amp;$C147,盘货信息!$A:$A&amp;盘货信息!$B:$B&amp;盘货信息!$C:$C,盘货信息!$AA:$AA)="","",_xlfn.XLOOKUP($A147&amp;$B147&amp;$C147,盘货信息!$A:$A&amp;盘货信息!$B:$B&amp;盘货信息!$C:$C,盘货信息!$AA:$AA)&amp;"免息")</f>
        <v/>
      </c>
      <c r="F147" s="18" t="str" cm="1">
        <f t="array" ref="F147">IF(_xlfn.XLOOKUP($A147&amp;$B147&amp;$C147,盘货信息!$A:$A&amp;盘货信息!$B:$B&amp;盘货信息!$C:$C,盘货信息!$AB:$AB)="","",_xlfn.XLOOKUP($A147&amp;$B147&amp;$C147,盘货信息!$A:$A&amp;盘货信息!$B:$B&amp;盘货信息!$C:$C,盘货信息!$AB:$AB))</f>
        <v/>
      </c>
      <c r="G147" s="18"/>
    </row>
    <row r="148" customHeight="1" spans="1:7">
      <c r="A148" s="17" t="str">
        <f>IF(盘货信息!A148="","",盘货信息!A148)</f>
        <v/>
      </c>
      <c r="B148" s="17" t="str">
        <f>IF(盘货信息!B148="","",盘货信息!B148)</f>
        <v/>
      </c>
      <c r="C148" s="20" t="str">
        <f>IF(盘货信息!C148="","",盘货信息!C148)</f>
        <v/>
      </c>
      <c r="D148" s="18" t="str">
        <f t="shared" si="2"/>
        <v/>
      </c>
      <c r="E148" s="18" t="str" cm="1">
        <f t="array" ref="E148">IF(_xlfn.XLOOKUP($A148&amp;$B148&amp;$C148,盘货信息!$A:$A&amp;盘货信息!$B:$B&amp;盘货信息!$C:$C,盘货信息!$AA:$AA)="","",_xlfn.XLOOKUP($A148&amp;$B148&amp;$C148,盘货信息!$A:$A&amp;盘货信息!$B:$B&amp;盘货信息!$C:$C,盘货信息!$AA:$AA)&amp;"免息")</f>
        <v/>
      </c>
      <c r="F148" s="18" t="str" cm="1">
        <f t="array" ref="F148">IF(_xlfn.XLOOKUP($A148&amp;$B148&amp;$C148,盘货信息!$A:$A&amp;盘货信息!$B:$B&amp;盘货信息!$C:$C,盘货信息!$AB:$AB)="","",_xlfn.XLOOKUP($A148&amp;$B148&amp;$C148,盘货信息!$A:$A&amp;盘货信息!$B:$B&amp;盘货信息!$C:$C,盘货信息!$AB:$AB))</f>
        <v/>
      </c>
      <c r="G148" s="18"/>
    </row>
    <row r="149" customHeight="1" spans="1:7">
      <c r="A149" s="17" t="str">
        <f>IF(盘货信息!A149="","",盘货信息!A149)</f>
        <v/>
      </c>
      <c r="B149" s="17" t="str">
        <f>IF(盘货信息!B149="","",盘货信息!B149)</f>
        <v/>
      </c>
      <c r="C149" s="20" t="str">
        <f>IF(盘货信息!C149="","",盘货信息!C149)</f>
        <v/>
      </c>
      <c r="D149" s="18" t="str">
        <f t="shared" si="2"/>
        <v/>
      </c>
      <c r="E149" s="18" t="str" cm="1">
        <f t="array" ref="E149">IF(_xlfn.XLOOKUP($A149&amp;$B149&amp;$C149,盘货信息!$A:$A&amp;盘货信息!$B:$B&amp;盘货信息!$C:$C,盘货信息!$AA:$AA)="","",_xlfn.XLOOKUP($A149&amp;$B149&amp;$C149,盘货信息!$A:$A&amp;盘货信息!$B:$B&amp;盘货信息!$C:$C,盘货信息!$AA:$AA)&amp;"免息")</f>
        <v/>
      </c>
      <c r="F149" s="18" t="str" cm="1">
        <f t="array" ref="F149">IF(_xlfn.XLOOKUP($A149&amp;$B149&amp;$C149,盘货信息!$A:$A&amp;盘货信息!$B:$B&amp;盘货信息!$C:$C,盘货信息!$AB:$AB)="","",_xlfn.XLOOKUP($A149&amp;$B149&amp;$C149,盘货信息!$A:$A&amp;盘货信息!$B:$B&amp;盘货信息!$C:$C,盘货信息!$AB:$AB))</f>
        <v/>
      </c>
      <c r="G149" s="18"/>
    </row>
    <row r="150" customHeight="1" spans="1:7">
      <c r="A150" s="17" t="str">
        <f>IF(盘货信息!A150="","",盘货信息!A150)</f>
        <v/>
      </c>
      <c r="B150" s="17" t="str">
        <f>IF(盘货信息!B150="","",盘货信息!B150)</f>
        <v/>
      </c>
      <c r="C150" s="20" t="str">
        <f>IF(盘货信息!C150="","",盘货信息!C150)</f>
        <v/>
      </c>
      <c r="D150" s="18" t="str">
        <f t="shared" si="2"/>
        <v/>
      </c>
      <c r="E150" s="18" t="str" cm="1">
        <f t="array" ref="E150">IF(_xlfn.XLOOKUP($A150&amp;$B150&amp;$C150,盘货信息!$A:$A&amp;盘货信息!$B:$B&amp;盘货信息!$C:$C,盘货信息!$AA:$AA)="","",_xlfn.XLOOKUP($A150&amp;$B150&amp;$C150,盘货信息!$A:$A&amp;盘货信息!$B:$B&amp;盘货信息!$C:$C,盘货信息!$AA:$AA)&amp;"免息")</f>
        <v/>
      </c>
      <c r="F150" s="18" t="str" cm="1">
        <f t="array" ref="F150">IF(_xlfn.XLOOKUP($A150&amp;$B150&amp;$C150,盘货信息!$A:$A&amp;盘货信息!$B:$B&amp;盘货信息!$C:$C,盘货信息!$AB:$AB)="","",_xlfn.XLOOKUP($A150&amp;$B150&amp;$C150,盘货信息!$A:$A&amp;盘货信息!$B:$B&amp;盘货信息!$C:$C,盘货信息!$AB:$AB))</f>
        <v/>
      </c>
      <c r="G150" s="18"/>
    </row>
    <row r="151" customHeight="1" spans="1:7">
      <c r="A151" s="17" t="str">
        <f>IF(盘货信息!A151="","",盘货信息!A151)</f>
        <v/>
      </c>
      <c r="B151" s="17" t="str">
        <f>IF(盘货信息!B151="","",盘货信息!B151)</f>
        <v/>
      </c>
      <c r="C151" s="20" t="str">
        <f>IF(盘货信息!C151="","",盘货信息!C151)</f>
        <v/>
      </c>
      <c r="D151" s="18" t="str">
        <f t="shared" si="2"/>
        <v/>
      </c>
      <c r="E151" s="18" t="str" cm="1">
        <f t="array" ref="E151">IF(_xlfn.XLOOKUP($A151&amp;$B151&amp;$C151,盘货信息!$A:$A&amp;盘货信息!$B:$B&amp;盘货信息!$C:$C,盘货信息!$AA:$AA)="","",_xlfn.XLOOKUP($A151&amp;$B151&amp;$C151,盘货信息!$A:$A&amp;盘货信息!$B:$B&amp;盘货信息!$C:$C,盘货信息!$AA:$AA)&amp;"免息")</f>
        <v/>
      </c>
      <c r="F151" s="18" t="str" cm="1">
        <f t="array" ref="F151">IF(_xlfn.XLOOKUP($A151&amp;$B151&amp;$C151,盘货信息!$A:$A&amp;盘货信息!$B:$B&amp;盘货信息!$C:$C,盘货信息!$AB:$AB)="","",_xlfn.XLOOKUP($A151&amp;$B151&amp;$C151,盘货信息!$A:$A&amp;盘货信息!$B:$B&amp;盘货信息!$C:$C,盘货信息!$AB:$AB))</f>
        <v/>
      </c>
      <c r="G151" s="18"/>
    </row>
    <row r="152" customHeight="1" spans="1:7">
      <c r="A152" s="20" t="str">
        <f>IF(盘货信息!A152="","",盘货信息!A152)</f>
        <v/>
      </c>
      <c r="B152" s="17" t="str">
        <f>IF(盘货信息!B152="","",盘货信息!B152)</f>
        <v/>
      </c>
      <c r="C152" s="20" t="str">
        <f>IF(盘货信息!C152="","",盘货信息!C152)</f>
        <v/>
      </c>
      <c r="D152" s="18" t="str">
        <f t="shared" si="2"/>
        <v/>
      </c>
      <c r="E152" s="18" t="str" cm="1">
        <f t="array" ref="E152">IF(_xlfn.XLOOKUP($A152&amp;$B152&amp;$C152,盘货信息!$A:$A&amp;盘货信息!$B:$B&amp;盘货信息!$C:$C,盘货信息!$AA:$AA)="","",_xlfn.XLOOKUP($A152&amp;$B152&amp;$C152,盘货信息!$A:$A&amp;盘货信息!$B:$B&amp;盘货信息!$C:$C,盘货信息!$AA:$AA)&amp;"免息")</f>
        <v/>
      </c>
      <c r="F152" s="18" t="str" cm="1">
        <f t="array" ref="F152">IF(_xlfn.XLOOKUP($A152&amp;$B152&amp;$C152,盘货信息!$A:$A&amp;盘货信息!$B:$B&amp;盘货信息!$C:$C,盘货信息!$AB:$AB)="","",_xlfn.XLOOKUP($A152&amp;$B152&amp;$C152,盘货信息!$A:$A&amp;盘货信息!$B:$B&amp;盘货信息!$C:$C,盘货信息!$AB:$AB))</f>
        <v/>
      </c>
      <c r="G152" s="18"/>
    </row>
    <row r="153" customHeight="1" spans="1:7">
      <c r="A153" s="20" t="str">
        <f>IF(盘货信息!A153="","",盘货信息!A153)</f>
        <v/>
      </c>
      <c r="B153" s="17" t="str">
        <f>IF(盘货信息!B153="","",盘货信息!B153)</f>
        <v/>
      </c>
      <c r="C153" s="20" t="str">
        <f>IF(盘货信息!C153="","",盘货信息!C153)</f>
        <v/>
      </c>
      <c r="D153" s="18" t="str">
        <f t="shared" si="2"/>
        <v/>
      </c>
      <c r="E153" s="18" t="str" cm="1">
        <f t="array" ref="E153">IF(_xlfn.XLOOKUP($A153&amp;$B153&amp;$C153,盘货信息!$A:$A&amp;盘货信息!$B:$B&amp;盘货信息!$C:$C,盘货信息!$AA:$AA)="","",_xlfn.XLOOKUP($A153&amp;$B153&amp;$C153,盘货信息!$A:$A&amp;盘货信息!$B:$B&amp;盘货信息!$C:$C,盘货信息!$AA:$AA)&amp;"免息")</f>
        <v/>
      </c>
      <c r="F153" s="18" t="str" cm="1">
        <f t="array" ref="F153">IF(_xlfn.XLOOKUP($A153&amp;$B153&amp;$C153,盘货信息!$A:$A&amp;盘货信息!$B:$B&amp;盘货信息!$C:$C,盘货信息!$AB:$AB)="","",_xlfn.XLOOKUP($A153&amp;$B153&amp;$C153,盘货信息!$A:$A&amp;盘货信息!$B:$B&amp;盘货信息!$C:$C,盘货信息!$AB:$AB))</f>
        <v/>
      </c>
      <c r="G153" s="18"/>
    </row>
    <row r="154" customHeight="1" spans="1:7">
      <c r="A154" s="20" t="str">
        <f>IF(盘货信息!A154="","",盘货信息!A154)</f>
        <v/>
      </c>
      <c r="B154" s="17" t="str">
        <f>IF(盘货信息!B154="","",盘货信息!B154)</f>
        <v/>
      </c>
      <c r="C154" s="20" t="str">
        <f>IF(盘货信息!C154="","",盘货信息!C154)</f>
        <v/>
      </c>
      <c r="D154" s="18" t="str">
        <f t="shared" si="2"/>
        <v/>
      </c>
      <c r="E154" s="18" t="str" cm="1">
        <f t="array" ref="E154">IF(_xlfn.XLOOKUP($A154&amp;$B154&amp;$C154,盘货信息!$A:$A&amp;盘货信息!$B:$B&amp;盘货信息!$C:$C,盘货信息!$AA:$AA)="","",_xlfn.XLOOKUP($A154&amp;$B154&amp;$C154,盘货信息!$A:$A&amp;盘货信息!$B:$B&amp;盘货信息!$C:$C,盘货信息!$AA:$AA)&amp;"免息")</f>
        <v/>
      </c>
      <c r="F154" s="18" t="str" cm="1">
        <f t="array" ref="F154">IF(_xlfn.XLOOKUP($A154&amp;$B154&amp;$C154,盘货信息!$A:$A&amp;盘货信息!$B:$B&amp;盘货信息!$C:$C,盘货信息!$AB:$AB)="","",_xlfn.XLOOKUP($A154&amp;$B154&amp;$C154,盘货信息!$A:$A&amp;盘货信息!$B:$B&amp;盘货信息!$C:$C,盘货信息!$AB:$AB))</f>
        <v/>
      </c>
      <c r="G154" s="18"/>
    </row>
    <row r="155" customHeight="1" spans="1:7">
      <c r="A155" s="20" t="str">
        <f>IF(盘货信息!A155="","",盘货信息!A155)</f>
        <v/>
      </c>
      <c r="B155" s="17" t="str">
        <f>IF(盘货信息!B155="","",盘货信息!B155)</f>
        <v/>
      </c>
      <c r="C155" s="20" t="str">
        <f>IF(盘货信息!C155="","",盘货信息!C155)</f>
        <v/>
      </c>
      <c r="D155" s="18" t="str">
        <f t="shared" si="2"/>
        <v/>
      </c>
      <c r="E155" s="18" t="str" cm="1">
        <f t="array" ref="E155">IF(_xlfn.XLOOKUP($A155&amp;$B155&amp;$C155,盘货信息!$A:$A&amp;盘货信息!$B:$B&amp;盘货信息!$C:$C,盘货信息!$AA:$AA)="","",_xlfn.XLOOKUP($A155&amp;$B155&amp;$C155,盘货信息!$A:$A&amp;盘货信息!$B:$B&amp;盘货信息!$C:$C,盘货信息!$AA:$AA)&amp;"免息")</f>
        <v/>
      </c>
      <c r="F155" s="18" t="str" cm="1">
        <f t="array" ref="F155">IF(_xlfn.XLOOKUP($A155&amp;$B155&amp;$C155,盘货信息!$A:$A&amp;盘货信息!$B:$B&amp;盘货信息!$C:$C,盘货信息!$AB:$AB)="","",_xlfn.XLOOKUP($A155&amp;$B155&amp;$C155,盘货信息!$A:$A&amp;盘货信息!$B:$B&amp;盘货信息!$C:$C,盘货信息!$AB:$AB))</f>
        <v/>
      </c>
      <c r="G155" s="18"/>
    </row>
    <row r="156" customHeight="1" spans="1:7">
      <c r="A156" s="20" t="str">
        <f>IF(盘货信息!A156="","",盘货信息!A156)</f>
        <v/>
      </c>
      <c r="B156" s="17" t="str">
        <f>IF(盘货信息!B156="","",盘货信息!B156)</f>
        <v/>
      </c>
      <c r="C156" s="20" t="str">
        <f>IF(盘货信息!C156="","",盘货信息!C156)</f>
        <v/>
      </c>
      <c r="D156" s="18" t="str">
        <f t="shared" si="2"/>
        <v/>
      </c>
      <c r="E156" s="18" t="str" cm="1">
        <f t="array" ref="E156">IF(_xlfn.XLOOKUP($A156&amp;$B156&amp;$C156,盘货信息!$A:$A&amp;盘货信息!$B:$B&amp;盘货信息!$C:$C,盘货信息!$AA:$AA)="","",_xlfn.XLOOKUP($A156&amp;$B156&amp;$C156,盘货信息!$A:$A&amp;盘货信息!$B:$B&amp;盘货信息!$C:$C,盘货信息!$AA:$AA)&amp;"免息")</f>
        <v/>
      </c>
      <c r="F156" s="18" t="str" cm="1">
        <f t="array" ref="F156">IF(_xlfn.XLOOKUP($A156&amp;$B156&amp;$C156,盘货信息!$A:$A&amp;盘货信息!$B:$B&amp;盘货信息!$C:$C,盘货信息!$AB:$AB)="","",_xlfn.XLOOKUP($A156&amp;$B156&amp;$C156,盘货信息!$A:$A&amp;盘货信息!$B:$B&amp;盘货信息!$C:$C,盘货信息!$AB:$AB))</f>
        <v/>
      </c>
      <c r="G156" s="18"/>
    </row>
    <row r="157" customHeight="1" spans="1:7">
      <c r="A157" s="20" t="str">
        <f>IF(盘货信息!A157="","",盘货信息!A157)</f>
        <v/>
      </c>
      <c r="B157" s="17" t="str">
        <f>IF(盘货信息!B157="","",盘货信息!B157)</f>
        <v/>
      </c>
      <c r="C157" s="20" t="str">
        <f>IF(盘货信息!C157="","",盘货信息!C157)</f>
        <v/>
      </c>
      <c r="D157" s="18" t="str">
        <f t="shared" si="2"/>
        <v/>
      </c>
      <c r="E157" s="18" t="str" cm="1">
        <f t="array" ref="E157">IF(_xlfn.XLOOKUP($A157&amp;$B157&amp;$C157,盘货信息!$A:$A&amp;盘货信息!$B:$B&amp;盘货信息!$C:$C,盘货信息!$AA:$AA)="","",_xlfn.XLOOKUP($A157&amp;$B157&amp;$C157,盘货信息!$A:$A&amp;盘货信息!$B:$B&amp;盘货信息!$C:$C,盘货信息!$AA:$AA)&amp;"免息")</f>
        <v/>
      </c>
      <c r="F157" s="18" t="str" cm="1">
        <f t="array" ref="F157">IF(_xlfn.XLOOKUP($A157&amp;$B157&amp;$C157,盘货信息!$A:$A&amp;盘货信息!$B:$B&amp;盘货信息!$C:$C,盘货信息!$AB:$AB)="","",_xlfn.XLOOKUP($A157&amp;$B157&amp;$C157,盘货信息!$A:$A&amp;盘货信息!$B:$B&amp;盘货信息!$C:$C,盘货信息!$AB:$AB))</f>
        <v/>
      </c>
      <c r="G157" s="18"/>
    </row>
    <row r="158" customHeight="1" spans="1:7">
      <c r="A158" s="20" t="str">
        <f>IF(盘货信息!A158="","",盘货信息!A158)</f>
        <v/>
      </c>
      <c r="B158" s="17" t="str">
        <f>IF(盘货信息!B158="","",盘货信息!B158)</f>
        <v/>
      </c>
      <c r="C158" s="20" t="str">
        <f>IF(盘货信息!C158="","",盘货信息!C158)</f>
        <v/>
      </c>
      <c r="D158" s="18" t="str">
        <f t="shared" si="2"/>
        <v/>
      </c>
      <c r="E158" s="18" t="str" cm="1">
        <f t="array" ref="E158">IF(_xlfn.XLOOKUP($A158&amp;$B158&amp;$C158,盘货信息!$A:$A&amp;盘货信息!$B:$B&amp;盘货信息!$C:$C,盘货信息!$AA:$AA)="","",_xlfn.XLOOKUP($A158&amp;$B158&amp;$C158,盘货信息!$A:$A&amp;盘货信息!$B:$B&amp;盘货信息!$C:$C,盘货信息!$AA:$AA)&amp;"免息")</f>
        <v/>
      </c>
      <c r="F158" s="18" t="str" cm="1">
        <f t="array" ref="F158">IF(_xlfn.XLOOKUP($A158&amp;$B158&amp;$C158,盘货信息!$A:$A&amp;盘货信息!$B:$B&amp;盘货信息!$C:$C,盘货信息!$AB:$AB)="","",_xlfn.XLOOKUP($A158&amp;$B158&amp;$C158,盘货信息!$A:$A&amp;盘货信息!$B:$B&amp;盘货信息!$C:$C,盘货信息!$AB:$AB))</f>
        <v/>
      </c>
      <c r="G158" s="18"/>
    </row>
    <row r="159" customHeight="1" spans="1:7">
      <c r="A159" s="20" t="str">
        <f>IF(盘货信息!A159="","",盘货信息!A159)</f>
        <v/>
      </c>
      <c r="B159" s="17" t="str">
        <f>IF(盘货信息!B159="","",盘货信息!B159)</f>
        <v/>
      </c>
      <c r="C159" s="20" t="str">
        <f>IF(盘货信息!C159="","",盘货信息!C159)</f>
        <v/>
      </c>
      <c r="D159" s="18" t="str">
        <f t="shared" si="2"/>
        <v/>
      </c>
      <c r="E159" s="18" t="str" cm="1">
        <f t="array" ref="E159">IF(_xlfn.XLOOKUP($A159&amp;$B159&amp;$C159,盘货信息!$A:$A&amp;盘货信息!$B:$B&amp;盘货信息!$C:$C,盘货信息!$AA:$AA)="","",_xlfn.XLOOKUP($A159&amp;$B159&amp;$C159,盘货信息!$A:$A&amp;盘货信息!$B:$B&amp;盘货信息!$C:$C,盘货信息!$AA:$AA)&amp;"免息")</f>
        <v/>
      </c>
      <c r="F159" s="18" t="str" cm="1">
        <f t="array" ref="F159">IF(_xlfn.XLOOKUP($A159&amp;$B159&amp;$C159,盘货信息!$A:$A&amp;盘货信息!$B:$B&amp;盘货信息!$C:$C,盘货信息!$AB:$AB)="","",_xlfn.XLOOKUP($A159&amp;$B159&amp;$C159,盘货信息!$A:$A&amp;盘货信息!$B:$B&amp;盘货信息!$C:$C,盘货信息!$AB:$AB))</f>
        <v/>
      </c>
      <c r="G159" s="18"/>
    </row>
    <row r="160" customHeight="1" spans="1:7">
      <c r="A160" s="20" t="str">
        <f>IF(盘货信息!A160="","",盘货信息!A160)</f>
        <v/>
      </c>
      <c r="B160" s="17" t="str">
        <f>IF(盘货信息!B160="","",盘货信息!B160)</f>
        <v/>
      </c>
      <c r="C160" s="20" t="str">
        <f>IF(盘货信息!C160="","",盘货信息!C160)</f>
        <v/>
      </c>
      <c r="D160" s="18" t="str">
        <f t="shared" si="2"/>
        <v/>
      </c>
      <c r="E160" s="18" t="str" cm="1">
        <f t="array" ref="E160">IF(_xlfn.XLOOKUP($A160&amp;$B160&amp;$C160,盘货信息!$A:$A&amp;盘货信息!$B:$B&amp;盘货信息!$C:$C,盘货信息!$AA:$AA)="","",_xlfn.XLOOKUP($A160&amp;$B160&amp;$C160,盘货信息!$A:$A&amp;盘货信息!$B:$B&amp;盘货信息!$C:$C,盘货信息!$AA:$AA)&amp;"免息")</f>
        <v/>
      </c>
      <c r="F160" s="18" t="str" cm="1">
        <f t="array" ref="F160">IF(_xlfn.XLOOKUP($A160&amp;$B160&amp;$C160,盘货信息!$A:$A&amp;盘货信息!$B:$B&amp;盘货信息!$C:$C,盘货信息!$AB:$AB)="","",_xlfn.XLOOKUP($A160&amp;$B160&amp;$C160,盘货信息!$A:$A&amp;盘货信息!$B:$B&amp;盘货信息!$C:$C,盘货信息!$AB:$AB))</f>
        <v/>
      </c>
      <c r="G160" s="18"/>
    </row>
    <row r="161" customHeight="1" spans="1:7">
      <c r="A161" s="20" t="str">
        <f>IF(盘货信息!A161="","",盘货信息!A161)</f>
        <v/>
      </c>
      <c r="B161" s="17" t="str">
        <f>IF(盘货信息!B161="","",盘货信息!B161)</f>
        <v/>
      </c>
      <c r="C161" s="20" t="str">
        <f>IF(盘货信息!C161="","",盘货信息!C161)</f>
        <v/>
      </c>
      <c r="D161" s="18" t="str">
        <f t="shared" si="2"/>
        <v/>
      </c>
      <c r="E161" s="18" t="str" cm="1">
        <f t="array" ref="E161">IF(_xlfn.XLOOKUP($A161&amp;$B161&amp;$C161,盘货信息!$A:$A&amp;盘货信息!$B:$B&amp;盘货信息!$C:$C,盘货信息!$AA:$AA)="","",_xlfn.XLOOKUP($A161&amp;$B161&amp;$C161,盘货信息!$A:$A&amp;盘货信息!$B:$B&amp;盘货信息!$C:$C,盘货信息!$AA:$AA)&amp;"免息")</f>
        <v/>
      </c>
      <c r="F161" s="18" t="str" cm="1">
        <f t="array" ref="F161">IF(_xlfn.XLOOKUP($A161&amp;$B161&amp;$C161,盘货信息!$A:$A&amp;盘货信息!$B:$B&amp;盘货信息!$C:$C,盘货信息!$AB:$AB)="","",_xlfn.XLOOKUP($A161&amp;$B161&amp;$C161,盘货信息!$A:$A&amp;盘货信息!$B:$B&amp;盘货信息!$C:$C,盘货信息!$AB:$AB))</f>
        <v/>
      </c>
      <c r="G161" s="18"/>
    </row>
    <row r="162" customHeight="1" spans="1:7">
      <c r="A162" s="20" t="str">
        <f>IF(盘货信息!A162="","",盘货信息!A162)</f>
        <v/>
      </c>
      <c r="B162" s="17" t="str">
        <f>IF(盘货信息!B162="","",盘货信息!B162)</f>
        <v/>
      </c>
      <c r="C162" s="20" t="str">
        <f>IF(盘货信息!C162="","",盘货信息!C162)</f>
        <v/>
      </c>
      <c r="D162" s="18" t="str">
        <f t="shared" si="2"/>
        <v/>
      </c>
      <c r="E162" s="18" t="str" cm="1">
        <f t="array" ref="E162">IF(_xlfn.XLOOKUP($A162&amp;$B162&amp;$C162,盘货信息!$A:$A&amp;盘货信息!$B:$B&amp;盘货信息!$C:$C,盘货信息!$AA:$AA)="","",_xlfn.XLOOKUP($A162&amp;$B162&amp;$C162,盘货信息!$A:$A&amp;盘货信息!$B:$B&amp;盘货信息!$C:$C,盘货信息!$AA:$AA)&amp;"免息")</f>
        <v/>
      </c>
      <c r="F162" s="18" t="str" cm="1">
        <f t="array" ref="F162">IF(_xlfn.XLOOKUP($A162&amp;$B162&amp;$C162,盘货信息!$A:$A&amp;盘货信息!$B:$B&amp;盘货信息!$C:$C,盘货信息!$AB:$AB)="","",_xlfn.XLOOKUP($A162&amp;$B162&amp;$C162,盘货信息!$A:$A&amp;盘货信息!$B:$B&amp;盘货信息!$C:$C,盘货信息!$AB:$AB))</f>
        <v/>
      </c>
      <c r="G162" s="18"/>
    </row>
    <row r="163" customHeight="1" spans="1:7">
      <c r="A163" s="20" t="str">
        <f>IF(盘货信息!A163="","",盘货信息!A163)</f>
        <v/>
      </c>
      <c r="B163" s="17" t="str">
        <f>IF(盘货信息!B163="","",盘货信息!B163)</f>
        <v/>
      </c>
      <c r="C163" s="20" t="str">
        <f>IF(盘货信息!C163="","",盘货信息!C163)</f>
        <v/>
      </c>
      <c r="D163" s="18" t="str">
        <f t="shared" si="2"/>
        <v/>
      </c>
      <c r="E163" s="18" t="str" cm="1">
        <f t="array" ref="E163">IF(_xlfn.XLOOKUP($A163&amp;$B163&amp;$C163,盘货信息!$A:$A&amp;盘货信息!$B:$B&amp;盘货信息!$C:$C,盘货信息!$AA:$AA)="","",_xlfn.XLOOKUP($A163&amp;$B163&amp;$C163,盘货信息!$A:$A&amp;盘货信息!$B:$B&amp;盘货信息!$C:$C,盘货信息!$AA:$AA)&amp;"免息")</f>
        <v/>
      </c>
      <c r="F163" s="18" t="str" cm="1">
        <f t="array" ref="F163">IF(_xlfn.XLOOKUP($A163&amp;$B163&amp;$C163,盘货信息!$A:$A&amp;盘货信息!$B:$B&amp;盘货信息!$C:$C,盘货信息!$AB:$AB)="","",_xlfn.XLOOKUP($A163&amp;$B163&amp;$C163,盘货信息!$A:$A&amp;盘货信息!$B:$B&amp;盘货信息!$C:$C,盘货信息!$AB:$AB))</f>
        <v/>
      </c>
      <c r="G163" s="18"/>
    </row>
    <row r="164" customHeight="1" spans="1:7">
      <c r="A164" s="20" t="str">
        <f>IF(盘货信息!A164="","",盘货信息!A164)</f>
        <v/>
      </c>
      <c r="B164" s="17" t="str">
        <f>IF(盘货信息!B164="","",盘货信息!B164)</f>
        <v/>
      </c>
      <c r="C164" s="20" t="str">
        <f>IF(盘货信息!C164="","",盘货信息!C164)</f>
        <v/>
      </c>
      <c r="D164" s="18" t="str">
        <f t="shared" si="2"/>
        <v/>
      </c>
      <c r="E164" s="18" t="str" cm="1">
        <f t="array" ref="E164">IF(_xlfn.XLOOKUP($A164&amp;$B164&amp;$C164,盘货信息!$A:$A&amp;盘货信息!$B:$B&amp;盘货信息!$C:$C,盘货信息!$AA:$AA)="","",_xlfn.XLOOKUP($A164&amp;$B164&amp;$C164,盘货信息!$A:$A&amp;盘货信息!$B:$B&amp;盘货信息!$C:$C,盘货信息!$AA:$AA)&amp;"免息")</f>
        <v/>
      </c>
      <c r="F164" s="18" t="str" cm="1">
        <f t="array" ref="F164">IF(_xlfn.XLOOKUP($A164&amp;$B164&amp;$C164,盘货信息!$A:$A&amp;盘货信息!$B:$B&amp;盘货信息!$C:$C,盘货信息!$AB:$AB)="","",_xlfn.XLOOKUP($A164&amp;$B164&amp;$C164,盘货信息!$A:$A&amp;盘货信息!$B:$B&amp;盘货信息!$C:$C,盘货信息!$AB:$AB))</f>
        <v/>
      </c>
      <c r="G164" s="18"/>
    </row>
    <row r="165" customHeight="1" spans="1:7">
      <c r="A165" s="20" t="str">
        <f>IF(盘货信息!A165="","",盘货信息!A165)</f>
        <v/>
      </c>
      <c r="B165" s="17" t="str">
        <f>IF(盘货信息!B165="","",盘货信息!B165)</f>
        <v/>
      </c>
      <c r="C165" s="20" t="str">
        <f>IF(盘货信息!C165="","",盘货信息!C165)</f>
        <v/>
      </c>
      <c r="D165" s="18" t="str">
        <f t="shared" si="2"/>
        <v/>
      </c>
      <c r="E165" s="18" t="str" cm="1">
        <f t="array" ref="E165">IF(_xlfn.XLOOKUP($A165&amp;$B165&amp;$C165,盘货信息!$A:$A&amp;盘货信息!$B:$B&amp;盘货信息!$C:$C,盘货信息!$AA:$AA)="","",_xlfn.XLOOKUP($A165&amp;$B165&amp;$C165,盘货信息!$A:$A&amp;盘货信息!$B:$B&amp;盘货信息!$C:$C,盘货信息!$AA:$AA)&amp;"免息")</f>
        <v/>
      </c>
      <c r="F165" s="18" t="str" cm="1">
        <f t="array" ref="F165">IF(_xlfn.XLOOKUP($A165&amp;$B165&amp;$C165,盘货信息!$A:$A&amp;盘货信息!$B:$B&amp;盘货信息!$C:$C,盘货信息!$AB:$AB)="","",_xlfn.XLOOKUP($A165&amp;$B165&amp;$C165,盘货信息!$A:$A&amp;盘货信息!$B:$B&amp;盘货信息!$C:$C,盘货信息!$AB:$AB))</f>
        <v/>
      </c>
      <c r="G165" s="18"/>
    </row>
    <row r="166" customHeight="1" spans="1:7">
      <c r="A166" s="20" t="str">
        <f>IF(盘货信息!A166="","",盘货信息!A166)</f>
        <v/>
      </c>
      <c r="B166" s="17" t="str">
        <f>IF(盘货信息!B166="","",盘货信息!B166)</f>
        <v/>
      </c>
      <c r="C166" s="20" t="str">
        <f>IF(盘货信息!C166="","",盘货信息!C166)</f>
        <v/>
      </c>
      <c r="D166" s="18" t="str">
        <f t="shared" si="2"/>
        <v/>
      </c>
      <c r="E166" s="18" t="str" cm="1">
        <f t="array" ref="E166">IF(_xlfn.XLOOKUP($A166&amp;$B166&amp;$C166,盘货信息!$A:$A&amp;盘货信息!$B:$B&amp;盘货信息!$C:$C,盘货信息!$AA:$AA)="","",_xlfn.XLOOKUP($A166&amp;$B166&amp;$C166,盘货信息!$A:$A&amp;盘货信息!$B:$B&amp;盘货信息!$C:$C,盘货信息!$AA:$AA)&amp;"免息")</f>
        <v/>
      </c>
      <c r="F166" s="18" t="str" cm="1">
        <f t="array" ref="F166">IF(_xlfn.XLOOKUP($A166&amp;$B166&amp;$C166,盘货信息!$A:$A&amp;盘货信息!$B:$B&amp;盘货信息!$C:$C,盘货信息!$AB:$AB)="","",_xlfn.XLOOKUP($A166&amp;$B166&amp;$C166,盘货信息!$A:$A&amp;盘货信息!$B:$B&amp;盘货信息!$C:$C,盘货信息!$AB:$AB))</f>
        <v/>
      </c>
      <c r="G166" s="18"/>
    </row>
    <row r="167" customHeight="1" spans="1:7">
      <c r="A167" s="20" t="str">
        <f>IF(盘货信息!A167="","",盘货信息!A167)</f>
        <v/>
      </c>
      <c r="B167" s="17" t="str">
        <f>IF(盘货信息!B167="","",盘货信息!B167)</f>
        <v/>
      </c>
      <c r="C167" s="20" t="str">
        <f>IF(盘货信息!C167="","",盘货信息!C167)</f>
        <v/>
      </c>
      <c r="D167" s="18" t="str">
        <f t="shared" si="2"/>
        <v/>
      </c>
      <c r="E167" s="18" t="str" cm="1">
        <f t="array" ref="E167">IF(_xlfn.XLOOKUP($A167&amp;$B167&amp;$C167,盘货信息!$A:$A&amp;盘货信息!$B:$B&amp;盘货信息!$C:$C,盘货信息!$AA:$AA)="","",_xlfn.XLOOKUP($A167&amp;$B167&amp;$C167,盘货信息!$A:$A&amp;盘货信息!$B:$B&amp;盘货信息!$C:$C,盘货信息!$AA:$AA)&amp;"免息")</f>
        <v/>
      </c>
      <c r="F167" s="18" t="str" cm="1">
        <f t="array" ref="F167">IF(_xlfn.XLOOKUP($A167&amp;$B167&amp;$C167,盘货信息!$A:$A&amp;盘货信息!$B:$B&amp;盘货信息!$C:$C,盘货信息!$AB:$AB)="","",_xlfn.XLOOKUP($A167&amp;$B167&amp;$C167,盘货信息!$A:$A&amp;盘货信息!$B:$B&amp;盘货信息!$C:$C,盘货信息!$AB:$AB))</f>
        <v/>
      </c>
      <c r="G167" s="18"/>
    </row>
    <row r="168" customHeight="1" spans="1:7">
      <c r="A168" s="20" t="str">
        <f>IF(盘货信息!A168="","",盘货信息!A168)</f>
        <v/>
      </c>
      <c r="B168" s="17" t="str">
        <f>IF(盘货信息!B168="","",盘货信息!B168)</f>
        <v/>
      </c>
      <c r="C168" s="20" t="str">
        <f>IF(盘货信息!C168="","",盘货信息!C168)</f>
        <v/>
      </c>
      <c r="D168" s="18" t="str">
        <f t="shared" si="2"/>
        <v/>
      </c>
      <c r="E168" s="18" t="str" cm="1">
        <f t="array" ref="E168">IF(_xlfn.XLOOKUP($A168&amp;$B168&amp;$C168,盘货信息!$A:$A&amp;盘货信息!$B:$B&amp;盘货信息!$C:$C,盘货信息!$AA:$AA)="","",_xlfn.XLOOKUP($A168&amp;$B168&amp;$C168,盘货信息!$A:$A&amp;盘货信息!$B:$B&amp;盘货信息!$C:$C,盘货信息!$AA:$AA)&amp;"免息")</f>
        <v/>
      </c>
      <c r="F168" s="18" t="str" cm="1">
        <f t="array" ref="F168">IF(_xlfn.XLOOKUP($A168&amp;$B168&amp;$C168,盘货信息!$A:$A&amp;盘货信息!$B:$B&amp;盘货信息!$C:$C,盘货信息!$AB:$AB)="","",_xlfn.XLOOKUP($A168&amp;$B168&amp;$C168,盘货信息!$A:$A&amp;盘货信息!$B:$B&amp;盘货信息!$C:$C,盘货信息!$AB:$AB))</f>
        <v/>
      </c>
      <c r="G168" s="18"/>
    </row>
    <row r="169" customHeight="1" spans="1:7">
      <c r="A169" s="20" t="str">
        <f>IF(盘货信息!A169="","",盘货信息!A169)</f>
        <v/>
      </c>
      <c r="B169" s="17" t="str">
        <f>IF(盘货信息!B169="","",盘货信息!B169)</f>
        <v/>
      </c>
      <c r="C169" s="20" t="str">
        <f>IF(盘货信息!C169="","",盘货信息!C169)</f>
        <v/>
      </c>
      <c r="D169" s="18" t="str">
        <f t="shared" si="2"/>
        <v/>
      </c>
      <c r="E169" s="18" t="str" cm="1">
        <f t="array" ref="E169">IF(_xlfn.XLOOKUP($A169&amp;$B169&amp;$C169,盘货信息!$A:$A&amp;盘货信息!$B:$B&amp;盘货信息!$C:$C,盘货信息!$AA:$AA)="","",_xlfn.XLOOKUP($A169&amp;$B169&amp;$C169,盘货信息!$A:$A&amp;盘货信息!$B:$B&amp;盘货信息!$C:$C,盘货信息!$AA:$AA)&amp;"免息")</f>
        <v/>
      </c>
      <c r="F169" s="18" t="str" cm="1">
        <f t="array" ref="F169">IF(_xlfn.XLOOKUP($A169&amp;$B169&amp;$C169,盘货信息!$A:$A&amp;盘货信息!$B:$B&amp;盘货信息!$C:$C,盘货信息!$AB:$AB)="","",_xlfn.XLOOKUP($A169&amp;$B169&amp;$C169,盘货信息!$A:$A&amp;盘货信息!$B:$B&amp;盘货信息!$C:$C,盘货信息!$AB:$AB))</f>
        <v/>
      </c>
      <c r="G169" s="18"/>
    </row>
    <row r="170" customHeight="1" spans="1:7">
      <c r="A170" s="20" t="str">
        <f>IF(盘货信息!A170="","",盘货信息!A170)</f>
        <v/>
      </c>
      <c r="B170" s="17" t="str">
        <f>IF(盘货信息!B170="","",盘货信息!B170)</f>
        <v/>
      </c>
      <c r="C170" s="20" t="str">
        <f>IF(盘货信息!C170="","",盘货信息!C170)</f>
        <v/>
      </c>
      <c r="D170" s="18" t="str">
        <f t="shared" si="2"/>
        <v/>
      </c>
      <c r="E170" s="18" t="str" cm="1">
        <f t="array" ref="E170">IF(_xlfn.XLOOKUP($A170&amp;$B170&amp;$C170,盘货信息!$A:$A&amp;盘货信息!$B:$B&amp;盘货信息!$C:$C,盘货信息!$AA:$AA)="","",_xlfn.XLOOKUP($A170&amp;$B170&amp;$C170,盘货信息!$A:$A&amp;盘货信息!$B:$B&amp;盘货信息!$C:$C,盘货信息!$AA:$AA)&amp;"免息")</f>
        <v/>
      </c>
      <c r="F170" s="18" t="str" cm="1">
        <f t="array" ref="F170">IF(_xlfn.XLOOKUP($A170&amp;$B170&amp;$C170,盘货信息!$A:$A&amp;盘货信息!$B:$B&amp;盘货信息!$C:$C,盘货信息!$AB:$AB)="","",_xlfn.XLOOKUP($A170&amp;$B170&amp;$C170,盘货信息!$A:$A&amp;盘货信息!$B:$B&amp;盘货信息!$C:$C,盘货信息!$AB:$AB))</f>
        <v/>
      </c>
      <c r="G170" s="18"/>
    </row>
    <row r="171" customHeight="1" spans="1:7">
      <c r="A171" s="20" t="str">
        <f>IF(盘货信息!A171="","",盘货信息!A171)</f>
        <v/>
      </c>
      <c r="B171" s="17" t="str">
        <f>IF(盘货信息!B171="","",盘货信息!B171)</f>
        <v/>
      </c>
      <c r="C171" s="20" t="str">
        <f>IF(盘货信息!C171="","",盘货信息!C171)</f>
        <v/>
      </c>
      <c r="D171" s="18" t="str">
        <f t="shared" si="2"/>
        <v/>
      </c>
      <c r="E171" s="18" t="str" cm="1">
        <f t="array" ref="E171">IF(_xlfn.XLOOKUP($A171&amp;$B171&amp;$C171,盘货信息!$A:$A&amp;盘货信息!$B:$B&amp;盘货信息!$C:$C,盘货信息!$AA:$AA)="","",_xlfn.XLOOKUP($A171&amp;$B171&amp;$C171,盘货信息!$A:$A&amp;盘货信息!$B:$B&amp;盘货信息!$C:$C,盘货信息!$AA:$AA)&amp;"免息")</f>
        <v/>
      </c>
      <c r="F171" s="18" t="str" cm="1">
        <f t="array" ref="F171">IF(_xlfn.XLOOKUP($A171&amp;$B171&amp;$C171,盘货信息!$A:$A&amp;盘货信息!$B:$B&amp;盘货信息!$C:$C,盘货信息!$AB:$AB)="","",_xlfn.XLOOKUP($A171&amp;$B171&amp;$C171,盘货信息!$A:$A&amp;盘货信息!$B:$B&amp;盘货信息!$C:$C,盘货信息!$AB:$AB))</f>
        <v/>
      </c>
      <c r="G171" s="18"/>
    </row>
    <row r="172" customHeight="1" spans="1:7">
      <c r="A172" s="20" t="str">
        <f>IF(盘货信息!A172="","",盘货信息!A172)</f>
        <v/>
      </c>
      <c r="B172" s="17" t="str">
        <f>IF(盘货信息!B172="","",盘货信息!B172)</f>
        <v/>
      </c>
      <c r="C172" s="20" t="str">
        <f>IF(盘货信息!C172="","",盘货信息!C172)</f>
        <v/>
      </c>
      <c r="D172" s="18" t="str">
        <f t="shared" si="2"/>
        <v/>
      </c>
      <c r="E172" s="18" t="str" cm="1">
        <f t="array" ref="E172">IF(_xlfn.XLOOKUP($A172&amp;$B172&amp;$C172,盘货信息!$A:$A&amp;盘货信息!$B:$B&amp;盘货信息!$C:$C,盘货信息!$AA:$AA)="","",_xlfn.XLOOKUP($A172&amp;$B172&amp;$C172,盘货信息!$A:$A&amp;盘货信息!$B:$B&amp;盘货信息!$C:$C,盘货信息!$AA:$AA)&amp;"免息")</f>
        <v/>
      </c>
      <c r="F172" s="18" t="str" cm="1">
        <f t="array" ref="F172">IF(_xlfn.XLOOKUP($A172&amp;$B172&amp;$C172,盘货信息!$A:$A&amp;盘货信息!$B:$B&amp;盘货信息!$C:$C,盘货信息!$AB:$AB)="","",_xlfn.XLOOKUP($A172&amp;$B172&amp;$C172,盘货信息!$A:$A&amp;盘货信息!$B:$B&amp;盘货信息!$C:$C,盘货信息!$AB:$AB))</f>
        <v/>
      </c>
      <c r="G172" s="18"/>
    </row>
    <row r="173" customHeight="1" spans="1:7">
      <c r="A173" s="20" t="str">
        <f>IF(盘货信息!A173="","",盘货信息!A173)</f>
        <v/>
      </c>
      <c r="B173" s="17" t="str">
        <f>IF(盘货信息!B173="","",盘货信息!B173)</f>
        <v/>
      </c>
      <c r="C173" s="20" t="str">
        <f>IF(盘货信息!C173="","",盘货信息!C173)</f>
        <v/>
      </c>
      <c r="D173" s="18" t="str">
        <f t="shared" si="2"/>
        <v/>
      </c>
      <c r="E173" s="18" t="str" cm="1">
        <f t="array" ref="E173">IF(_xlfn.XLOOKUP($A173&amp;$B173&amp;$C173,盘货信息!$A:$A&amp;盘货信息!$B:$B&amp;盘货信息!$C:$C,盘货信息!$AA:$AA)="","",_xlfn.XLOOKUP($A173&amp;$B173&amp;$C173,盘货信息!$A:$A&amp;盘货信息!$B:$B&amp;盘货信息!$C:$C,盘货信息!$AA:$AA)&amp;"免息")</f>
        <v/>
      </c>
      <c r="F173" s="18" t="str" cm="1">
        <f t="array" ref="F173">IF(_xlfn.XLOOKUP($A173&amp;$B173&amp;$C173,盘货信息!$A:$A&amp;盘货信息!$B:$B&amp;盘货信息!$C:$C,盘货信息!$AB:$AB)="","",_xlfn.XLOOKUP($A173&amp;$B173&amp;$C173,盘货信息!$A:$A&amp;盘货信息!$B:$B&amp;盘货信息!$C:$C,盘货信息!$AB:$AB))</f>
        <v/>
      </c>
      <c r="G173" s="18"/>
    </row>
    <row r="174" customHeight="1" spans="1:7">
      <c r="A174" s="20" t="str">
        <f>IF(盘货信息!A174="","",盘货信息!A174)</f>
        <v/>
      </c>
      <c r="B174" s="17" t="str">
        <f>IF(盘货信息!B174="","",盘货信息!B174)</f>
        <v/>
      </c>
      <c r="C174" s="20" t="str">
        <f>IF(盘货信息!C174="","",盘货信息!C174)</f>
        <v/>
      </c>
      <c r="D174" s="18" t="str">
        <f t="shared" si="2"/>
        <v/>
      </c>
      <c r="E174" s="18" t="str" cm="1">
        <f t="array" ref="E174">IF(_xlfn.XLOOKUP($A174&amp;$B174&amp;$C174,盘货信息!$A:$A&amp;盘货信息!$B:$B&amp;盘货信息!$C:$C,盘货信息!$AA:$AA)="","",_xlfn.XLOOKUP($A174&amp;$B174&amp;$C174,盘货信息!$A:$A&amp;盘货信息!$B:$B&amp;盘货信息!$C:$C,盘货信息!$AA:$AA)&amp;"免息")</f>
        <v/>
      </c>
      <c r="F174" s="18" t="str" cm="1">
        <f t="array" ref="F174">IF(_xlfn.XLOOKUP($A174&amp;$B174&amp;$C174,盘货信息!$A:$A&amp;盘货信息!$B:$B&amp;盘货信息!$C:$C,盘货信息!$AB:$AB)="","",_xlfn.XLOOKUP($A174&amp;$B174&amp;$C174,盘货信息!$A:$A&amp;盘货信息!$B:$B&amp;盘货信息!$C:$C,盘货信息!$AB:$AB))</f>
        <v/>
      </c>
      <c r="G174" s="18"/>
    </row>
    <row r="175" customHeight="1" spans="1:7">
      <c r="A175" s="20" t="str">
        <f>IF(盘货信息!A175="","",盘货信息!A175)</f>
        <v/>
      </c>
      <c r="B175" s="17" t="str">
        <f>IF(盘货信息!B175="","",盘货信息!B175)</f>
        <v/>
      </c>
      <c r="C175" s="20" t="str">
        <f>IF(盘货信息!C175="","",盘货信息!C175)</f>
        <v/>
      </c>
      <c r="D175" s="18" t="str">
        <f t="shared" si="2"/>
        <v/>
      </c>
      <c r="E175" s="18" t="str" cm="1">
        <f t="array" ref="E175">IF(_xlfn.XLOOKUP($A175&amp;$B175&amp;$C175,盘货信息!$A:$A&amp;盘货信息!$B:$B&amp;盘货信息!$C:$C,盘货信息!$AA:$AA)="","",_xlfn.XLOOKUP($A175&amp;$B175&amp;$C175,盘货信息!$A:$A&amp;盘货信息!$B:$B&amp;盘货信息!$C:$C,盘货信息!$AA:$AA)&amp;"免息")</f>
        <v/>
      </c>
      <c r="F175" s="18" t="str" cm="1">
        <f t="array" ref="F175">IF(_xlfn.XLOOKUP($A175&amp;$B175&amp;$C175,盘货信息!$A:$A&amp;盘货信息!$B:$B&amp;盘货信息!$C:$C,盘货信息!$AB:$AB)="","",_xlfn.XLOOKUP($A175&amp;$B175&amp;$C175,盘货信息!$A:$A&amp;盘货信息!$B:$B&amp;盘货信息!$C:$C,盘货信息!$AB:$AB))</f>
        <v/>
      </c>
      <c r="G175" s="18"/>
    </row>
    <row r="176" customHeight="1" spans="1:7">
      <c r="A176" s="20" t="str">
        <f>IF(盘货信息!A176="","",盘货信息!A176)</f>
        <v/>
      </c>
      <c r="B176" s="17" t="str">
        <f>IF(盘货信息!B176="","",盘货信息!B176)</f>
        <v/>
      </c>
      <c r="C176" s="20" t="str">
        <f>IF(盘货信息!C176="","",盘货信息!C176)</f>
        <v/>
      </c>
      <c r="D176" s="18" t="str">
        <f t="shared" si="2"/>
        <v/>
      </c>
      <c r="E176" s="18" t="str" cm="1">
        <f t="array" ref="E176">IF(_xlfn.XLOOKUP($A176&amp;$B176&amp;$C176,盘货信息!$A:$A&amp;盘货信息!$B:$B&amp;盘货信息!$C:$C,盘货信息!$AA:$AA)="","",_xlfn.XLOOKUP($A176&amp;$B176&amp;$C176,盘货信息!$A:$A&amp;盘货信息!$B:$B&amp;盘货信息!$C:$C,盘货信息!$AA:$AA)&amp;"免息")</f>
        <v/>
      </c>
      <c r="F176" s="18" t="str" cm="1">
        <f t="array" ref="F176">IF(_xlfn.XLOOKUP($A176&amp;$B176&amp;$C176,盘货信息!$A:$A&amp;盘货信息!$B:$B&amp;盘货信息!$C:$C,盘货信息!$AB:$AB)="","",_xlfn.XLOOKUP($A176&amp;$B176&amp;$C176,盘货信息!$A:$A&amp;盘货信息!$B:$B&amp;盘货信息!$C:$C,盘货信息!$AB:$AB))</f>
        <v/>
      </c>
      <c r="G176" s="18"/>
    </row>
    <row r="177" customHeight="1" spans="1:7">
      <c r="A177" s="20" t="str">
        <f>IF(盘货信息!A177="","",盘货信息!A177)</f>
        <v/>
      </c>
      <c r="B177" s="17" t="str">
        <f>IF(盘货信息!B177="","",盘货信息!B177)</f>
        <v/>
      </c>
      <c r="C177" s="20" t="str">
        <f>IF(盘货信息!C177="","",盘货信息!C177)</f>
        <v/>
      </c>
      <c r="D177" s="18" t="str">
        <f t="shared" si="2"/>
        <v/>
      </c>
      <c r="E177" s="18" t="str" cm="1">
        <f t="array" ref="E177">IF(_xlfn.XLOOKUP($A177&amp;$B177&amp;$C177,盘货信息!$A:$A&amp;盘货信息!$B:$B&amp;盘货信息!$C:$C,盘货信息!$AA:$AA)="","",_xlfn.XLOOKUP($A177&amp;$B177&amp;$C177,盘货信息!$A:$A&amp;盘货信息!$B:$B&amp;盘货信息!$C:$C,盘货信息!$AA:$AA)&amp;"免息")</f>
        <v/>
      </c>
      <c r="F177" s="18" t="str" cm="1">
        <f t="array" ref="F177">IF(_xlfn.XLOOKUP($A177&amp;$B177&amp;$C177,盘货信息!$A:$A&amp;盘货信息!$B:$B&amp;盘货信息!$C:$C,盘货信息!$AB:$AB)="","",_xlfn.XLOOKUP($A177&amp;$B177&amp;$C177,盘货信息!$A:$A&amp;盘货信息!$B:$B&amp;盘货信息!$C:$C,盘货信息!$AB:$AB))</f>
        <v/>
      </c>
      <c r="G177" s="18"/>
    </row>
    <row r="178" customHeight="1" spans="1:7">
      <c r="A178" s="20" t="str">
        <f>IF(盘货信息!A178="","",盘货信息!A178)</f>
        <v/>
      </c>
      <c r="B178" s="17" t="str">
        <f>IF(盘货信息!B178="","",盘货信息!B178)</f>
        <v/>
      </c>
      <c r="C178" s="20" t="str">
        <f>IF(盘货信息!C178="","",盘货信息!C178)</f>
        <v/>
      </c>
      <c r="D178" s="18" t="str">
        <f t="shared" si="2"/>
        <v/>
      </c>
      <c r="E178" s="18" t="str" cm="1">
        <f t="array" ref="E178">IF(_xlfn.XLOOKUP($A178&amp;$B178&amp;$C178,盘货信息!$A:$A&amp;盘货信息!$B:$B&amp;盘货信息!$C:$C,盘货信息!$AA:$AA)="","",_xlfn.XLOOKUP($A178&amp;$B178&amp;$C178,盘货信息!$A:$A&amp;盘货信息!$B:$B&amp;盘货信息!$C:$C,盘货信息!$AA:$AA)&amp;"免息")</f>
        <v/>
      </c>
      <c r="F178" s="18" t="str" cm="1">
        <f t="array" ref="F178">IF(_xlfn.XLOOKUP($A178&amp;$B178&amp;$C178,盘货信息!$A:$A&amp;盘货信息!$B:$B&amp;盘货信息!$C:$C,盘货信息!$AB:$AB)="","",_xlfn.XLOOKUP($A178&amp;$B178&amp;$C178,盘货信息!$A:$A&amp;盘货信息!$B:$B&amp;盘货信息!$C:$C,盘货信息!$AB:$AB))</f>
        <v/>
      </c>
      <c r="G178" s="18"/>
    </row>
    <row r="179" customHeight="1" spans="1:7">
      <c r="A179" s="20" t="str">
        <f>IF(盘货信息!A179="","",盘货信息!A179)</f>
        <v/>
      </c>
      <c r="B179" s="17" t="str">
        <f>IF(盘货信息!B179="","",盘货信息!B179)</f>
        <v/>
      </c>
      <c r="C179" s="20" t="str">
        <f>IF(盘货信息!C179="","",盘货信息!C179)</f>
        <v/>
      </c>
      <c r="D179" s="18" t="str">
        <f t="shared" si="2"/>
        <v/>
      </c>
      <c r="E179" s="18" t="str" cm="1">
        <f t="array" ref="E179">IF(_xlfn.XLOOKUP($A179&amp;$B179&amp;$C179,盘货信息!$A:$A&amp;盘货信息!$B:$B&amp;盘货信息!$C:$C,盘货信息!$AA:$AA)="","",_xlfn.XLOOKUP($A179&amp;$B179&amp;$C179,盘货信息!$A:$A&amp;盘货信息!$B:$B&amp;盘货信息!$C:$C,盘货信息!$AA:$AA)&amp;"免息")</f>
        <v/>
      </c>
      <c r="F179" s="18" t="str" cm="1">
        <f t="array" ref="F179">IF(_xlfn.XLOOKUP($A179&amp;$B179&amp;$C179,盘货信息!$A:$A&amp;盘货信息!$B:$B&amp;盘货信息!$C:$C,盘货信息!$AB:$AB)="","",_xlfn.XLOOKUP($A179&amp;$B179&amp;$C179,盘货信息!$A:$A&amp;盘货信息!$B:$B&amp;盘货信息!$C:$C,盘货信息!$AB:$AB))</f>
        <v/>
      </c>
      <c r="G179" s="18"/>
    </row>
    <row r="180" customHeight="1" spans="1:7">
      <c r="A180" s="20" t="str">
        <f>IF(盘货信息!A180="","",盘货信息!A180)</f>
        <v/>
      </c>
      <c r="B180" s="17" t="str">
        <f>IF(盘货信息!B180="","",盘货信息!B180)</f>
        <v/>
      </c>
      <c r="C180" s="20" t="str">
        <f>IF(盘货信息!C180="","",盘货信息!C180)</f>
        <v/>
      </c>
      <c r="D180" s="18" t="str">
        <f t="shared" si="2"/>
        <v/>
      </c>
      <c r="E180" s="18" t="str" cm="1">
        <f t="array" ref="E180">IF(_xlfn.XLOOKUP($A180&amp;$B180&amp;$C180,盘货信息!$A:$A&amp;盘货信息!$B:$B&amp;盘货信息!$C:$C,盘货信息!$AA:$AA)="","",_xlfn.XLOOKUP($A180&amp;$B180&amp;$C180,盘货信息!$A:$A&amp;盘货信息!$B:$B&amp;盘货信息!$C:$C,盘货信息!$AA:$AA)&amp;"免息")</f>
        <v/>
      </c>
      <c r="F180" s="18" t="str" cm="1">
        <f t="array" ref="F180">IF(_xlfn.XLOOKUP($A180&amp;$B180&amp;$C180,盘货信息!$A:$A&amp;盘货信息!$B:$B&amp;盘货信息!$C:$C,盘货信息!$AB:$AB)="","",_xlfn.XLOOKUP($A180&amp;$B180&amp;$C180,盘货信息!$A:$A&amp;盘货信息!$B:$B&amp;盘货信息!$C:$C,盘货信息!$AB:$AB))</f>
        <v/>
      </c>
      <c r="G180" s="18"/>
    </row>
    <row r="181" customHeight="1" spans="1:7">
      <c r="A181" s="20" t="str">
        <f>IF(盘货信息!A181="","",盘货信息!A181)</f>
        <v/>
      </c>
      <c r="B181" s="17" t="str">
        <f>IF(盘货信息!B181="","",盘货信息!B181)</f>
        <v/>
      </c>
      <c r="C181" s="20" t="str">
        <f>IF(盘货信息!C181="","",盘货信息!C181)</f>
        <v/>
      </c>
      <c r="D181" s="18" t="str">
        <f t="shared" si="2"/>
        <v/>
      </c>
      <c r="E181" s="18" t="str" cm="1">
        <f t="array" ref="E181">IF(_xlfn.XLOOKUP($A181&amp;$B181&amp;$C181,盘货信息!$A:$A&amp;盘货信息!$B:$B&amp;盘货信息!$C:$C,盘货信息!$AA:$AA)="","",_xlfn.XLOOKUP($A181&amp;$B181&amp;$C181,盘货信息!$A:$A&amp;盘货信息!$B:$B&amp;盘货信息!$C:$C,盘货信息!$AA:$AA)&amp;"免息")</f>
        <v/>
      </c>
      <c r="F181" s="18" t="str" cm="1">
        <f t="array" ref="F181">IF(_xlfn.XLOOKUP($A181&amp;$B181&amp;$C181,盘货信息!$A:$A&amp;盘货信息!$B:$B&amp;盘货信息!$C:$C,盘货信息!$AB:$AB)="","",_xlfn.XLOOKUP($A181&amp;$B181&amp;$C181,盘货信息!$A:$A&amp;盘货信息!$B:$B&amp;盘货信息!$C:$C,盘货信息!$AB:$AB))</f>
        <v/>
      </c>
      <c r="G181" s="18"/>
    </row>
    <row r="182" customHeight="1" spans="1:7">
      <c r="A182" s="20" t="str">
        <f>IF(盘货信息!A182="","",盘货信息!A182)</f>
        <v/>
      </c>
      <c r="B182" s="17" t="str">
        <f>IF(盘货信息!B182="","",盘货信息!B182)</f>
        <v/>
      </c>
      <c r="C182" s="20" t="str">
        <f>IF(盘货信息!C182="","",盘货信息!C182)</f>
        <v/>
      </c>
      <c r="D182" s="18" t="str">
        <f t="shared" si="2"/>
        <v/>
      </c>
      <c r="E182" s="18" t="str" cm="1">
        <f t="array" ref="E182">IF(_xlfn.XLOOKUP($A182&amp;$B182&amp;$C182,盘货信息!$A:$A&amp;盘货信息!$B:$B&amp;盘货信息!$C:$C,盘货信息!$AA:$AA)="","",_xlfn.XLOOKUP($A182&amp;$B182&amp;$C182,盘货信息!$A:$A&amp;盘货信息!$B:$B&amp;盘货信息!$C:$C,盘货信息!$AA:$AA)&amp;"免息")</f>
        <v/>
      </c>
      <c r="F182" s="18" t="str" cm="1">
        <f t="array" ref="F182">IF(_xlfn.XLOOKUP($A182&amp;$B182&amp;$C182,盘货信息!$A:$A&amp;盘货信息!$B:$B&amp;盘货信息!$C:$C,盘货信息!$AB:$AB)="","",_xlfn.XLOOKUP($A182&amp;$B182&amp;$C182,盘货信息!$A:$A&amp;盘货信息!$B:$B&amp;盘货信息!$C:$C,盘货信息!$AB:$AB))</f>
        <v/>
      </c>
      <c r="G182" s="18"/>
    </row>
    <row r="183" customHeight="1" spans="1:7">
      <c r="A183" s="20" t="str">
        <f>IF(盘货信息!A183="","",盘货信息!A183)</f>
        <v/>
      </c>
      <c r="B183" s="17" t="str">
        <f>IF(盘货信息!B183="","",盘货信息!B183)</f>
        <v/>
      </c>
      <c r="C183" s="20" t="str">
        <f>IF(盘货信息!C183="","",盘货信息!C183)</f>
        <v/>
      </c>
      <c r="D183" s="18" t="str">
        <f t="shared" si="2"/>
        <v/>
      </c>
      <c r="E183" s="18" t="str" cm="1">
        <f t="array" ref="E183">IF(_xlfn.XLOOKUP($A183&amp;$B183&amp;$C183,盘货信息!$A:$A&amp;盘货信息!$B:$B&amp;盘货信息!$C:$C,盘货信息!$AA:$AA)="","",_xlfn.XLOOKUP($A183&amp;$B183&amp;$C183,盘货信息!$A:$A&amp;盘货信息!$B:$B&amp;盘货信息!$C:$C,盘货信息!$AA:$AA)&amp;"免息")</f>
        <v/>
      </c>
      <c r="F183" s="18" t="str" cm="1">
        <f t="array" ref="F183">IF(_xlfn.XLOOKUP($A183&amp;$B183&amp;$C183,盘货信息!$A:$A&amp;盘货信息!$B:$B&amp;盘货信息!$C:$C,盘货信息!$AB:$AB)="","",_xlfn.XLOOKUP($A183&amp;$B183&amp;$C183,盘货信息!$A:$A&amp;盘货信息!$B:$B&amp;盘货信息!$C:$C,盘货信息!$AB:$AB))</f>
        <v/>
      </c>
      <c r="G183" s="18"/>
    </row>
    <row r="184" customHeight="1" spans="1:7">
      <c r="A184" s="20" t="str">
        <f>IF(盘货信息!A184="","",盘货信息!A184)</f>
        <v/>
      </c>
      <c r="B184" s="17" t="str">
        <f>IF(盘货信息!B184="","",盘货信息!B184)</f>
        <v/>
      </c>
      <c r="C184" s="20" t="str">
        <f>IF(盘货信息!C184="","",盘货信息!C184)</f>
        <v/>
      </c>
      <c r="D184" s="18" t="str">
        <f t="shared" si="2"/>
        <v/>
      </c>
      <c r="E184" s="18" t="str" cm="1">
        <f t="array" ref="E184">IF(_xlfn.XLOOKUP($A184&amp;$B184&amp;$C184,盘货信息!$A:$A&amp;盘货信息!$B:$B&amp;盘货信息!$C:$C,盘货信息!$AA:$AA)="","",_xlfn.XLOOKUP($A184&amp;$B184&amp;$C184,盘货信息!$A:$A&amp;盘货信息!$B:$B&amp;盘货信息!$C:$C,盘货信息!$AA:$AA)&amp;"免息")</f>
        <v/>
      </c>
      <c r="F184" s="18" t="str" cm="1">
        <f t="array" ref="F184">IF(_xlfn.XLOOKUP($A184&amp;$B184&amp;$C184,盘货信息!$A:$A&amp;盘货信息!$B:$B&amp;盘货信息!$C:$C,盘货信息!$AB:$AB)="","",_xlfn.XLOOKUP($A184&amp;$B184&amp;$C184,盘货信息!$A:$A&amp;盘货信息!$B:$B&amp;盘货信息!$C:$C,盘货信息!$AB:$AB))</f>
        <v/>
      </c>
      <c r="G184" s="18"/>
    </row>
    <row r="185" customHeight="1" spans="1:7">
      <c r="A185" s="20" t="str">
        <f>IF(盘货信息!A185="","",盘货信息!A185)</f>
        <v/>
      </c>
      <c r="B185" s="17" t="str">
        <f>IF(盘货信息!B185="","",盘货信息!B185)</f>
        <v/>
      </c>
      <c r="C185" s="20" t="str">
        <f>IF(盘货信息!C185="","",盘货信息!C185)</f>
        <v/>
      </c>
      <c r="D185" s="18" t="str">
        <f t="shared" si="2"/>
        <v/>
      </c>
      <c r="E185" s="18" t="str" cm="1">
        <f t="array" ref="E185">IF(_xlfn.XLOOKUP($A185&amp;$B185&amp;$C185,盘货信息!$A:$A&amp;盘货信息!$B:$B&amp;盘货信息!$C:$C,盘货信息!$AA:$AA)="","",_xlfn.XLOOKUP($A185&amp;$B185&amp;$C185,盘货信息!$A:$A&amp;盘货信息!$B:$B&amp;盘货信息!$C:$C,盘货信息!$AA:$AA)&amp;"免息")</f>
        <v/>
      </c>
      <c r="F185" s="18" t="str" cm="1">
        <f t="array" ref="F185">IF(_xlfn.XLOOKUP($A185&amp;$B185&amp;$C185,盘货信息!$A:$A&amp;盘货信息!$B:$B&amp;盘货信息!$C:$C,盘货信息!$AB:$AB)="","",_xlfn.XLOOKUP($A185&amp;$B185&amp;$C185,盘货信息!$A:$A&amp;盘货信息!$B:$B&amp;盘货信息!$C:$C,盘货信息!$AB:$AB))</f>
        <v/>
      </c>
      <c r="G185" s="18"/>
    </row>
    <row r="186" customHeight="1" spans="1:7">
      <c r="A186" s="20" t="str">
        <f>IF(盘货信息!A186="","",盘货信息!A186)</f>
        <v/>
      </c>
      <c r="B186" s="17" t="str">
        <f>IF(盘货信息!B186="","",盘货信息!B186)</f>
        <v/>
      </c>
      <c r="C186" s="20" t="str">
        <f>IF(盘货信息!C186="","",盘货信息!C186)</f>
        <v/>
      </c>
      <c r="D186" s="18" t="str">
        <f t="shared" si="2"/>
        <v/>
      </c>
      <c r="E186" s="18" t="str" cm="1">
        <f t="array" ref="E186">IF(_xlfn.XLOOKUP($A186&amp;$B186&amp;$C186,盘货信息!$A:$A&amp;盘货信息!$B:$B&amp;盘货信息!$C:$C,盘货信息!$AA:$AA)="","",_xlfn.XLOOKUP($A186&amp;$B186&amp;$C186,盘货信息!$A:$A&amp;盘货信息!$B:$B&amp;盘货信息!$C:$C,盘货信息!$AA:$AA)&amp;"免息")</f>
        <v/>
      </c>
      <c r="F186" s="18" t="str" cm="1">
        <f t="array" ref="F186">IF(_xlfn.XLOOKUP($A186&amp;$B186&amp;$C186,盘货信息!$A:$A&amp;盘货信息!$B:$B&amp;盘货信息!$C:$C,盘货信息!$AB:$AB)="","",_xlfn.XLOOKUP($A186&amp;$B186&amp;$C186,盘货信息!$A:$A&amp;盘货信息!$B:$B&amp;盘货信息!$C:$C,盘货信息!$AB:$AB))</f>
        <v/>
      </c>
      <c r="G186" s="18"/>
    </row>
    <row r="187" customHeight="1" spans="1:7">
      <c r="A187" s="20" t="str">
        <f>IF(盘货信息!A187="","",盘货信息!A187)</f>
        <v/>
      </c>
      <c r="B187" s="17" t="str">
        <f>IF(盘货信息!B187="","",盘货信息!B187)</f>
        <v/>
      </c>
      <c r="C187" s="20" t="str">
        <f>IF(盘货信息!C187="","",盘货信息!C187)</f>
        <v/>
      </c>
      <c r="D187" s="18" t="str">
        <f t="shared" si="2"/>
        <v/>
      </c>
      <c r="E187" s="18" t="str" cm="1">
        <f t="array" ref="E187">IF(_xlfn.XLOOKUP($A187&amp;$B187&amp;$C187,盘货信息!$A:$A&amp;盘货信息!$B:$B&amp;盘货信息!$C:$C,盘货信息!$AA:$AA)="","",_xlfn.XLOOKUP($A187&amp;$B187&amp;$C187,盘货信息!$A:$A&amp;盘货信息!$B:$B&amp;盘货信息!$C:$C,盘货信息!$AA:$AA)&amp;"免息")</f>
        <v/>
      </c>
      <c r="F187" s="18" t="str" cm="1">
        <f t="array" ref="F187">IF(_xlfn.XLOOKUP($A187&amp;$B187&amp;$C187,盘货信息!$A:$A&amp;盘货信息!$B:$B&amp;盘货信息!$C:$C,盘货信息!$AB:$AB)="","",_xlfn.XLOOKUP($A187&amp;$B187&amp;$C187,盘货信息!$A:$A&amp;盘货信息!$B:$B&amp;盘货信息!$C:$C,盘货信息!$AB:$AB))</f>
        <v/>
      </c>
      <c r="G187" s="18"/>
    </row>
    <row r="188" customHeight="1" spans="1:7">
      <c r="A188" s="20" t="str">
        <f>IF(盘货信息!A188="","",盘货信息!A188)</f>
        <v/>
      </c>
      <c r="B188" s="17" t="str">
        <f>IF(盘货信息!B188="","",盘货信息!B188)</f>
        <v/>
      </c>
      <c r="C188" s="20" t="str">
        <f>IF(盘货信息!C188="","",盘货信息!C188)</f>
        <v/>
      </c>
      <c r="D188" s="18" t="str">
        <f t="shared" si="2"/>
        <v/>
      </c>
      <c r="E188" s="18" t="str" cm="1">
        <f t="array" ref="E188">IF(_xlfn.XLOOKUP($A188&amp;$B188&amp;$C188,盘货信息!$A:$A&amp;盘货信息!$B:$B&amp;盘货信息!$C:$C,盘货信息!$AA:$AA)="","",_xlfn.XLOOKUP($A188&amp;$B188&amp;$C188,盘货信息!$A:$A&amp;盘货信息!$B:$B&amp;盘货信息!$C:$C,盘货信息!$AA:$AA)&amp;"免息")</f>
        <v/>
      </c>
      <c r="F188" s="18" t="str" cm="1">
        <f t="array" ref="F188">IF(_xlfn.XLOOKUP($A188&amp;$B188&amp;$C188,盘货信息!$A:$A&amp;盘货信息!$B:$B&amp;盘货信息!$C:$C,盘货信息!$AB:$AB)="","",_xlfn.XLOOKUP($A188&amp;$B188&amp;$C188,盘货信息!$A:$A&amp;盘货信息!$B:$B&amp;盘货信息!$C:$C,盘货信息!$AB:$AB))</f>
        <v/>
      </c>
      <c r="G188" s="18"/>
    </row>
    <row r="189" customHeight="1" spans="1:7">
      <c r="A189" s="20" t="str">
        <f>IF(盘货信息!A189="","",盘货信息!A189)</f>
        <v/>
      </c>
      <c r="B189" s="17" t="str">
        <f>IF(盘货信息!B189="","",盘货信息!B189)</f>
        <v/>
      </c>
      <c r="C189" s="20" t="str">
        <f>IF(盘货信息!C189="","",盘货信息!C189)</f>
        <v/>
      </c>
      <c r="D189" s="18" t="str">
        <f t="shared" si="2"/>
        <v/>
      </c>
      <c r="E189" s="18" t="str" cm="1">
        <f t="array" ref="E189">IF(_xlfn.XLOOKUP($A189&amp;$B189&amp;$C189,盘货信息!$A:$A&amp;盘货信息!$B:$B&amp;盘货信息!$C:$C,盘货信息!$AA:$AA)="","",_xlfn.XLOOKUP($A189&amp;$B189&amp;$C189,盘货信息!$A:$A&amp;盘货信息!$B:$B&amp;盘货信息!$C:$C,盘货信息!$AA:$AA)&amp;"免息")</f>
        <v/>
      </c>
      <c r="F189" s="18" t="str" cm="1">
        <f t="array" ref="F189">IF(_xlfn.XLOOKUP($A189&amp;$B189&amp;$C189,盘货信息!$A:$A&amp;盘货信息!$B:$B&amp;盘货信息!$C:$C,盘货信息!$AB:$AB)="","",_xlfn.XLOOKUP($A189&amp;$B189&amp;$C189,盘货信息!$A:$A&amp;盘货信息!$B:$B&amp;盘货信息!$C:$C,盘货信息!$AB:$AB))</f>
        <v/>
      </c>
      <c r="G189" s="18"/>
    </row>
    <row r="190" customHeight="1" spans="1:7">
      <c r="A190" s="20" t="str">
        <f>IF(盘货信息!A190="","",盘货信息!A190)</f>
        <v/>
      </c>
      <c r="B190" s="17" t="str">
        <f>IF(盘货信息!B190="","",盘货信息!B190)</f>
        <v/>
      </c>
      <c r="C190" s="20" t="str">
        <f>IF(盘货信息!C190="","",盘货信息!C190)</f>
        <v/>
      </c>
      <c r="D190" s="18" t="str">
        <f t="shared" si="2"/>
        <v/>
      </c>
      <c r="E190" s="18" t="str" cm="1">
        <f t="array" ref="E190">IF(_xlfn.XLOOKUP($A190&amp;$B190&amp;$C190,盘货信息!$A:$A&amp;盘货信息!$B:$B&amp;盘货信息!$C:$C,盘货信息!$AA:$AA)="","",_xlfn.XLOOKUP($A190&amp;$B190&amp;$C190,盘货信息!$A:$A&amp;盘货信息!$B:$B&amp;盘货信息!$C:$C,盘货信息!$AA:$AA)&amp;"免息")</f>
        <v/>
      </c>
      <c r="F190" s="18" t="str" cm="1">
        <f t="array" ref="F190">IF(_xlfn.XLOOKUP($A190&amp;$B190&amp;$C190,盘货信息!$A:$A&amp;盘货信息!$B:$B&amp;盘货信息!$C:$C,盘货信息!$AB:$AB)="","",_xlfn.XLOOKUP($A190&amp;$B190&amp;$C190,盘货信息!$A:$A&amp;盘货信息!$B:$B&amp;盘货信息!$C:$C,盘货信息!$AB:$AB))</f>
        <v/>
      </c>
      <c r="G190" s="18"/>
    </row>
    <row r="191" customHeight="1" spans="1:7">
      <c r="A191" s="20" t="str">
        <f>IF(盘货信息!A191="","",盘货信息!A191)</f>
        <v/>
      </c>
      <c r="B191" s="17" t="str">
        <f>IF(盘货信息!B191="","",盘货信息!B191)</f>
        <v/>
      </c>
      <c r="C191" s="20" t="str">
        <f>IF(盘货信息!C191="","",盘货信息!C191)</f>
        <v/>
      </c>
      <c r="D191" s="18" t="str">
        <f t="shared" si="2"/>
        <v/>
      </c>
      <c r="E191" s="18" t="str" cm="1">
        <f t="array" ref="E191">IF(_xlfn.XLOOKUP($A191&amp;$B191&amp;$C191,盘货信息!$A:$A&amp;盘货信息!$B:$B&amp;盘货信息!$C:$C,盘货信息!$AA:$AA)="","",_xlfn.XLOOKUP($A191&amp;$B191&amp;$C191,盘货信息!$A:$A&amp;盘货信息!$B:$B&amp;盘货信息!$C:$C,盘货信息!$AA:$AA)&amp;"免息")</f>
        <v/>
      </c>
      <c r="F191" s="18" t="str" cm="1">
        <f t="array" ref="F191">IF(_xlfn.XLOOKUP($A191&amp;$B191&amp;$C191,盘货信息!$A:$A&amp;盘货信息!$B:$B&amp;盘货信息!$C:$C,盘货信息!$AB:$AB)="","",_xlfn.XLOOKUP($A191&amp;$B191&amp;$C191,盘货信息!$A:$A&amp;盘货信息!$B:$B&amp;盘货信息!$C:$C,盘货信息!$AB:$AB))</f>
        <v/>
      </c>
      <c r="G191" s="18"/>
    </row>
    <row r="192" customHeight="1" spans="1:7">
      <c r="A192" s="20" t="str">
        <f>IF(盘货信息!A192="","",盘货信息!A192)</f>
        <v/>
      </c>
      <c r="B192" s="17" t="str">
        <f>IF(盘货信息!B192="","",盘货信息!B192)</f>
        <v/>
      </c>
      <c r="C192" s="20" t="str">
        <f>IF(盘货信息!C192="","",盘货信息!C192)</f>
        <v/>
      </c>
      <c r="D192" s="18" t="str">
        <f t="shared" si="2"/>
        <v/>
      </c>
      <c r="E192" s="18" t="str" cm="1">
        <f t="array" ref="E192">IF(_xlfn.XLOOKUP($A192&amp;$B192&amp;$C192,盘货信息!$A:$A&amp;盘货信息!$B:$B&amp;盘货信息!$C:$C,盘货信息!$AA:$AA)="","",_xlfn.XLOOKUP($A192&amp;$B192&amp;$C192,盘货信息!$A:$A&amp;盘货信息!$B:$B&amp;盘货信息!$C:$C,盘货信息!$AA:$AA)&amp;"免息")</f>
        <v/>
      </c>
      <c r="F192" s="18" t="str" cm="1">
        <f t="array" ref="F192">IF(_xlfn.XLOOKUP($A192&amp;$B192&amp;$C192,盘货信息!$A:$A&amp;盘货信息!$B:$B&amp;盘货信息!$C:$C,盘货信息!$AB:$AB)="","",_xlfn.XLOOKUP($A192&amp;$B192&amp;$C192,盘货信息!$A:$A&amp;盘货信息!$B:$B&amp;盘货信息!$C:$C,盘货信息!$AB:$AB))</f>
        <v/>
      </c>
      <c r="G192" s="18"/>
    </row>
    <row r="193" customHeight="1" spans="1:7">
      <c r="A193" s="20" t="str">
        <f>IF(盘货信息!A193="","",盘货信息!A193)</f>
        <v/>
      </c>
      <c r="B193" s="17" t="str">
        <f>IF(盘货信息!B193="","",盘货信息!B193)</f>
        <v/>
      </c>
      <c r="C193" s="20" t="str">
        <f>IF(盘货信息!C193="","",盘货信息!C193)</f>
        <v/>
      </c>
      <c r="D193" s="18" t="str">
        <f t="shared" si="2"/>
        <v/>
      </c>
      <c r="E193" s="18" t="str" cm="1">
        <f t="array" ref="E193">IF(_xlfn.XLOOKUP($A193&amp;$B193&amp;$C193,盘货信息!$A:$A&amp;盘货信息!$B:$B&amp;盘货信息!$C:$C,盘货信息!$AA:$AA)="","",_xlfn.XLOOKUP($A193&amp;$B193&amp;$C193,盘货信息!$A:$A&amp;盘货信息!$B:$B&amp;盘货信息!$C:$C,盘货信息!$AA:$AA)&amp;"免息")</f>
        <v/>
      </c>
      <c r="F193" s="18" t="str" cm="1">
        <f t="array" ref="F193">IF(_xlfn.XLOOKUP($A193&amp;$B193&amp;$C193,盘货信息!$A:$A&amp;盘货信息!$B:$B&amp;盘货信息!$C:$C,盘货信息!$AB:$AB)="","",_xlfn.XLOOKUP($A193&amp;$B193&amp;$C193,盘货信息!$A:$A&amp;盘货信息!$B:$B&amp;盘货信息!$C:$C,盘货信息!$AB:$AB))</f>
        <v/>
      </c>
      <c r="G193" s="18"/>
    </row>
    <row r="194" customHeight="1" spans="1:7">
      <c r="A194" s="20" t="str">
        <f>IF(盘货信息!A194="","",盘货信息!A194)</f>
        <v/>
      </c>
      <c r="B194" s="17" t="str">
        <f>IF(盘货信息!B194="","",盘货信息!B194)</f>
        <v/>
      </c>
      <c r="C194" s="20" t="str">
        <f>IF(盘货信息!C194="","",盘货信息!C194)</f>
        <v/>
      </c>
      <c r="D194" s="18" t="str">
        <f t="shared" si="2"/>
        <v/>
      </c>
      <c r="E194" s="18" t="str" cm="1">
        <f t="array" ref="E194">IF(_xlfn.XLOOKUP($A194&amp;$B194&amp;$C194,盘货信息!$A:$A&amp;盘货信息!$B:$B&amp;盘货信息!$C:$C,盘货信息!$AA:$AA)="","",_xlfn.XLOOKUP($A194&amp;$B194&amp;$C194,盘货信息!$A:$A&amp;盘货信息!$B:$B&amp;盘货信息!$C:$C,盘货信息!$AA:$AA)&amp;"免息")</f>
        <v/>
      </c>
      <c r="F194" s="18" t="str" cm="1">
        <f t="array" ref="F194">IF(_xlfn.XLOOKUP($A194&amp;$B194&amp;$C194,盘货信息!$A:$A&amp;盘货信息!$B:$B&amp;盘货信息!$C:$C,盘货信息!$AB:$AB)="","",_xlfn.XLOOKUP($A194&amp;$B194&amp;$C194,盘货信息!$A:$A&amp;盘货信息!$B:$B&amp;盘货信息!$C:$C,盘货信息!$AB:$AB))</f>
        <v/>
      </c>
      <c r="G194" s="18"/>
    </row>
    <row r="195" customHeight="1" spans="1:7">
      <c r="A195" s="20" t="str">
        <f>IF(盘货信息!A195="","",盘货信息!A195)</f>
        <v/>
      </c>
      <c r="B195" s="17" t="str">
        <f>IF(盘货信息!B195="","",盘货信息!B195)</f>
        <v/>
      </c>
      <c r="C195" s="20" t="str">
        <f>IF(盘货信息!C195="","",盘货信息!C195)</f>
        <v/>
      </c>
      <c r="D195" s="18" t="str">
        <f t="shared" ref="D195:D258" si="3">IF(C195="","","【服务】"&amp;_xlfn.TEXTJOIN("，",TRUE,E195:G195))</f>
        <v/>
      </c>
      <c r="E195" s="18" t="str" cm="1">
        <f t="array" ref="E195">IF(_xlfn.XLOOKUP($A195&amp;$B195&amp;$C195,盘货信息!$A:$A&amp;盘货信息!$B:$B&amp;盘货信息!$C:$C,盘货信息!$AA:$AA)="","",_xlfn.XLOOKUP($A195&amp;$B195&amp;$C195,盘货信息!$A:$A&amp;盘货信息!$B:$B&amp;盘货信息!$C:$C,盘货信息!$AA:$AA)&amp;"免息")</f>
        <v/>
      </c>
      <c r="F195" s="18" t="str" cm="1">
        <f t="array" ref="F195">IF(_xlfn.XLOOKUP($A195&amp;$B195&amp;$C195,盘货信息!$A:$A&amp;盘货信息!$B:$B&amp;盘货信息!$C:$C,盘货信息!$AB:$AB)="","",_xlfn.XLOOKUP($A195&amp;$B195&amp;$C195,盘货信息!$A:$A&amp;盘货信息!$B:$B&amp;盘货信息!$C:$C,盘货信息!$AB:$AB))</f>
        <v/>
      </c>
      <c r="G195" s="18"/>
    </row>
    <row r="196" customHeight="1" spans="1:7">
      <c r="A196" s="20" t="str">
        <f>IF(盘货信息!A196="","",盘货信息!A196)</f>
        <v/>
      </c>
      <c r="B196" s="17" t="str">
        <f>IF(盘货信息!B196="","",盘货信息!B196)</f>
        <v/>
      </c>
      <c r="C196" s="20" t="str">
        <f>IF(盘货信息!C196="","",盘货信息!C196)</f>
        <v/>
      </c>
      <c r="D196" s="18" t="str">
        <f t="shared" si="3"/>
        <v/>
      </c>
      <c r="E196" s="18" t="str" cm="1">
        <f t="array" ref="E196">IF(_xlfn.XLOOKUP($A196&amp;$B196&amp;$C196,盘货信息!$A:$A&amp;盘货信息!$B:$B&amp;盘货信息!$C:$C,盘货信息!$AA:$AA)="","",_xlfn.XLOOKUP($A196&amp;$B196&amp;$C196,盘货信息!$A:$A&amp;盘货信息!$B:$B&amp;盘货信息!$C:$C,盘货信息!$AA:$AA)&amp;"免息")</f>
        <v/>
      </c>
      <c r="F196" s="18" t="str" cm="1">
        <f t="array" ref="F196">IF(_xlfn.XLOOKUP($A196&amp;$B196&amp;$C196,盘货信息!$A:$A&amp;盘货信息!$B:$B&amp;盘货信息!$C:$C,盘货信息!$AB:$AB)="","",_xlfn.XLOOKUP($A196&amp;$B196&amp;$C196,盘货信息!$A:$A&amp;盘货信息!$B:$B&amp;盘货信息!$C:$C,盘货信息!$AB:$AB))</f>
        <v/>
      </c>
      <c r="G196" s="18"/>
    </row>
    <row r="197" customHeight="1" spans="1:7">
      <c r="A197" s="20" t="str">
        <f>IF(盘货信息!A197="","",盘货信息!A197)</f>
        <v/>
      </c>
      <c r="B197" s="17" t="str">
        <f>IF(盘货信息!B197="","",盘货信息!B197)</f>
        <v/>
      </c>
      <c r="C197" s="20" t="str">
        <f>IF(盘货信息!C197="","",盘货信息!C197)</f>
        <v/>
      </c>
      <c r="D197" s="18" t="str">
        <f t="shared" si="3"/>
        <v/>
      </c>
      <c r="E197" s="18" t="str" cm="1">
        <f t="array" ref="E197">IF(_xlfn.XLOOKUP($A197&amp;$B197&amp;$C197,盘货信息!$A:$A&amp;盘货信息!$B:$B&amp;盘货信息!$C:$C,盘货信息!$AA:$AA)="","",_xlfn.XLOOKUP($A197&amp;$B197&amp;$C197,盘货信息!$A:$A&amp;盘货信息!$B:$B&amp;盘货信息!$C:$C,盘货信息!$AA:$AA)&amp;"免息")</f>
        <v/>
      </c>
      <c r="F197" s="18" t="str" cm="1">
        <f t="array" ref="F197">IF(_xlfn.XLOOKUP($A197&amp;$B197&amp;$C197,盘货信息!$A:$A&amp;盘货信息!$B:$B&amp;盘货信息!$C:$C,盘货信息!$AB:$AB)="","",_xlfn.XLOOKUP($A197&amp;$B197&amp;$C197,盘货信息!$A:$A&amp;盘货信息!$B:$B&amp;盘货信息!$C:$C,盘货信息!$AB:$AB))</f>
        <v/>
      </c>
      <c r="G197" s="18"/>
    </row>
    <row r="198" customHeight="1" spans="1:7">
      <c r="A198" s="20" t="str">
        <f>IF(盘货信息!A198="","",盘货信息!A198)</f>
        <v/>
      </c>
      <c r="B198" s="17" t="str">
        <f>IF(盘货信息!B198="","",盘货信息!B198)</f>
        <v/>
      </c>
      <c r="C198" s="20" t="str">
        <f>IF(盘货信息!C198="","",盘货信息!C198)</f>
        <v/>
      </c>
      <c r="D198" s="18" t="str">
        <f t="shared" si="3"/>
        <v/>
      </c>
      <c r="E198" s="18" t="str" cm="1">
        <f t="array" ref="E198">IF(_xlfn.XLOOKUP($A198&amp;$B198&amp;$C198,盘货信息!$A:$A&amp;盘货信息!$B:$B&amp;盘货信息!$C:$C,盘货信息!$AA:$AA)="","",_xlfn.XLOOKUP($A198&amp;$B198&amp;$C198,盘货信息!$A:$A&amp;盘货信息!$B:$B&amp;盘货信息!$C:$C,盘货信息!$AA:$AA)&amp;"免息")</f>
        <v/>
      </c>
      <c r="F198" s="18" t="str" cm="1">
        <f t="array" ref="F198">IF(_xlfn.XLOOKUP($A198&amp;$B198&amp;$C198,盘货信息!$A:$A&amp;盘货信息!$B:$B&amp;盘货信息!$C:$C,盘货信息!$AB:$AB)="","",_xlfn.XLOOKUP($A198&amp;$B198&amp;$C198,盘货信息!$A:$A&amp;盘货信息!$B:$B&amp;盘货信息!$C:$C,盘货信息!$AB:$AB))</f>
        <v/>
      </c>
      <c r="G198" s="18"/>
    </row>
    <row r="199" customHeight="1" spans="1:7">
      <c r="A199" s="20" t="str">
        <f>IF(盘货信息!A199="","",盘货信息!A199)</f>
        <v/>
      </c>
      <c r="B199" s="17" t="str">
        <f>IF(盘货信息!B199="","",盘货信息!B199)</f>
        <v/>
      </c>
      <c r="C199" s="20" t="str">
        <f>IF(盘货信息!C199="","",盘货信息!C199)</f>
        <v/>
      </c>
      <c r="D199" s="18" t="str">
        <f t="shared" si="3"/>
        <v/>
      </c>
      <c r="E199" s="18" t="str" cm="1">
        <f t="array" ref="E199">IF(_xlfn.XLOOKUP($A199&amp;$B199&amp;$C199,盘货信息!$A:$A&amp;盘货信息!$B:$B&amp;盘货信息!$C:$C,盘货信息!$AA:$AA)="","",_xlfn.XLOOKUP($A199&amp;$B199&amp;$C199,盘货信息!$A:$A&amp;盘货信息!$B:$B&amp;盘货信息!$C:$C,盘货信息!$AA:$AA)&amp;"免息")</f>
        <v/>
      </c>
      <c r="F199" s="18" t="str" cm="1">
        <f t="array" ref="F199">IF(_xlfn.XLOOKUP($A199&amp;$B199&amp;$C199,盘货信息!$A:$A&amp;盘货信息!$B:$B&amp;盘货信息!$C:$C,盘货信息!$AB:$AB)="","",_xlfn.XLOOKUP($A199&amp;$B199&amp;$C199,盘货信息!$A:$A&amp;盘货信息!$B:$B&amp;盘货信息!$C:$C,盘货信息!$AB:$AB))</f>
        <v/>
      </c>
      <c r="G199" s="18"/>
    </row>
    <row r="200" customHeight="1" spans="1:7">
      <c r="A200" s="20" t="str">
        <f>IF(盘货信息!A200="","",盘货信息!A200)</f>
        <v/>
      </c>
      <c r="B200" s="17" t="str">
        <f>IF(盘货信息!B200="","",盘货信息!B200)</f>
        <v/>
      </c>
      <c r="C200" s="20" t="str">
        <f>IF(盘货信息!C200="","",盘货信息!C200)</f>
        <v/>
      </c>
      <c r="D200" s="18" t="str">
        <f t="shared" si="3"/>
        <v/>
      </c>
      <c r="E200" s="18" t="str" cm="1">
        <f t="array" ref="E200">IF(_xlfn.XLOOKUP($A200&amp;$B200&amp;$C200,盘货信息!$A:$A&amp;盘货信息!$B:$B&amp;盘货信息!$C:$C,盘货信息!$AA:$AA)="","",_xlfn.XLOOKUP($A200&amp;$B200&amp;$C200,盘货信息!$A:$A&amp;盘货信息!$B:$B&amp;盘货信息!$C:$C,盘货信息!$AA:$AA)&amp;"免息")</f>
        <v/>
      </c>
      <c r="F200" s="18" t="str" cm="1">
        <f t="array" ref="F200">IF(_xlfn.XLOOKUP($A200&amp;$B200&amp;$C200,盘货信息!$A:$A&amp;盘货信息!$B:$B&amp;盘货信息!$C:$C,盘货信息!$AB:$AB)="","",_xlfn.XLOOKUP($A200&amp;$B200&amp;$C200,盘货信息!$A:$A&amp;盘货信息!$B:$B&amp;盘货信息!$C:$C,盘货信息!$AB:$AB))</f>
        <v/>
      </c>
      <c r="G200" s="18"/>
    </row>
    <row r="201" customHeight="1" spans="1:7">
      <c r="A201" s="20" t="str">
        <f>IF(盘货信息!A201="","",盘货信息!A201)</f>
        <v/>
      </c>
      <c r="B201" s="17" t="str">
        <f>IF(盘货信息!B201="","",盘货信息!B201)</f>
        <v/>
      </c>
      <c r="C201" s="20" t="str">
        <f>IF(盘货信息!C201="","",盘货信息!C201)</f>
        <v/>
      </c>
      <c r="D201" s="18" t="str">
        <f t="shared" si="3"/>
        <v/>
      </c>
      <c r="E201" s="18" t="str" cm="1">
        <f t="array" ref="E201">IF(_xlfn.XLOOKUP($A201&amp;$B201&amp;$C201,盘货信息!$A:$A&amp;盘货信息!$B:$B&amp;盘货信息!$C:$C,盘货信息!$AA:$AA)="","",_xlfn.XLOOKUP($A201&amp;$B201&amp;$C201,盘货信息!$A:$A&amp;盘货信息!$B:$B&amp;盘货信息!$C:$C,盘货信息!$AA:$AA)&amp;"免息")</f>
        <v/>
      </c>
      <c r="F201" s="18" t="str" cm="1">
        <f t="array" ref="F201">IF(_xlfn.XLOOKUP($A201&amp;$B201&amp;$C201,盘货信息!$A:$A&amp;盘货信息!$B:$B&amp;盘货信息!$C:$C,盘货信息!$AB:$AB)="","",_xlfn.XLOOKUP($A201&amp;$B201&amp;$C201,盘货信息!$A:$A&amp;盘货信息!$B:$B&amp;盘货信息!$C:$C,盘货信息!$AB:$AB))</f>
        <v/>
      </c>
      <c r="G201" s="18"/>
    </row>
    <row r="202" customHeight="1" spans="1:7">
      <c r="A202" s="20" t="str">
        <f>IF(盘货信息!A202="","",盘货信息!A202)</f>
        <v/>
      </c>
      <c r="B202" s="17" t="str">
        <f>IF(盘货信息!B202="","",盘货信息!B202)</f>
        <v/>
      </c>
      <c r="C202" s="20" t="str">
        <f>IF(盘货信息!C202="","",盘货信息!C202)</f>
        <v/>
      </c>
      <c r="D202" s="18" t="str">
        <f t="shared" si="3"/>
        <v/>
      </c>
      <c r="E202" s="18" t="str" cm="1">
        <f t="array" ref="E202">IF(_xlfn.XLOOKUP($A202&amp;$B202&amp;$C202,盘货信息!$A:$A&amp;盘货信息!$B:$B&amp;盘货信息!$C:$C,盘货信息!$AA:$AA)="","",_xlfn.XLOOKUP($A202&amp;$B202&amp;$C202,盘货信息!$A:$A&amp;盘货信息!$B:$B&amp;盘货信息!$C:$C,盘货信息!$AA:$AA)&amp;"免息")</f>
        <v/>
      </c>
      <c r="F202" s="18" t="str" cm="1">
        <f t="array" ref="F202">IF(_xlfn.XLOOKUP($A202&amp;$B202&amp;$C202,盘货信息!$A:$A&amp;盘货信息!$B:$B&amp;盘货信息!$C:$C,盘货信息!$AB:$AB)="","",_xlfn.XLOOKUP($A202&amp;$B202&amp;$C202,盘货信息!$A:$A&amp;盘货信息!$B:$B&amp;盘货信息!$C:$C,盘货信息!$AB:$AB))</f>
        <v/>
      </c>
      <c r="G202" s="18"/>
    </row>
    <row r="203" customHeight="1" spans="1:7">
      <c r="A203" s="20" t="str">
        <f>IF(盘货信息!A203="","",盘货信息!A203)</f>
        <v/>
      </c>
      <c r="B203" s="17" t="str">
        <f>IF(盘货信息!B203="","",盘货信息!B203)</f>
        <v/>
      </c>
      <c r="C203" s="20" t="str">
        <f>IF(盘货信息!C203="","",盘货信息!C203)</f>
        <v/>
      </c>
      <c r="D203" s="18" t="str">
        <f t="shared" si="3"/>
        <v/>
      </c>
      <c r="E203" s="18" t="str" cm="1">
        <f t="array" ref="E203">IF(_xlfn.XLOOKUP($A203&amp;$B203&amp;$C203,盘货信息!$A:$A&amp;盘货信息!$B:$B&amp;盘货信息!$C:$C,盘货信息!$AA:$AA)="","",_xlfn.XLOOKUP($A203&amp;$B203&amp;$C203,盘货信息!$A:$A&amp;盘货信息!$B:$B&amp;盘货信息!$C:$C,盘货信息!$AA:$AA)&amp;"免息")</f>
        <v/>
      </c>
      <c r="F203" s="18" t="str" cm="1">
        <f t="array" ref="F203">IF(_xlfn.XLOOKUP($A203&amp;$B203&amp;$C203,盘货信息!$A:$A&amp;盘货信息!$B:$B&amp;盘货信息!$C:$C,盘货信息!$AB:$AB)="","",_xlfn.XLOOKUP($A203&amp;$B203&amp;$C203,盘货信息!$A:$A&amp;盘货信息!$B:$B&amp;盘货信息!$C:$C,盘货信息!$AB:$AB))</f>
        <v/>
      </c>
      <c r="G203" s="18"/>
    </row>
    <row r="204" customHeight="1" spans="1:7">
      <c r="A204" s="20" t="str">
        <f>IF(盘货信息!A204="","",盘货信息!A204)</f>
        <v/>
      </c>
      <c r="B204" s="17" t="str">
        <f>IF(盘货信息!B204="","",盘货信息!B204)</f>
        <v/>
      </c>
      <c r="C204" s="20" t="str">
        <f>IF(盘货信息!C204="","",盘货信息!C204)</f>
        <v/>
      </c>
      <c r="D204" s="18" t="str">
        <f t="shared" si="3"/>
        <v/>
      </c>
      <c r="E204" s="18" t="str" cm="1">
        <f t="array" ref="E204">IF(_xlfn.XLOOKUP($A204&amp;$B204&amp;$C204,盘货信息!$A:$A&amp;盘货信息!$B:$B&amp;盘货信息!$C:$C,盘货信息!$AA:$AA)="","",_xlfn.XLOOKUP($A204&amp;$B204&amp;$C204,盘货信息!$A:$A&amp;盘货信息!$B:$B&amp;盘货信息!$C:$C,盘货信息!$AA:$AA)&amp;"免息")</f>
        <v/>
      </c>
      <c r="F204" s="18" t="str" cm="1">
        <f t="array" ref="F204">IF(_xlfn.XLOOKUP($A204&amp;$B204&amp;$C204,盘货信息!$A:$A&amp;盘货信息!$B:$B&amp;盘货信息!$C:$C,盘货信息!$AB:$AB)="","",_xlfn.XLOOKUP($A204&amp;$B204&amp;$C204,盘货信息!$A:$A&amp;盘货信息!$B:$B&amp;盘货信息!$C:$C,盘货信息!$AB:$AB))</f>
        <v/>
      </c>
      <c r="G204" s="18"/>
    </row>
    <row r="205" customHeight="1" spans="1:7">
      <c r="A205" s="20" t="str">
        <f>IF(盘货信息!A205="","",盘货信息!A205)</f>
        <v/>
      </c>
      <c r="B205" s="17" t="str">
        <f>IF(盘货信息!B205="","",盘货信息!B205)</f>
        <v/>
      </c>
      <c r="C205" s="20" t="str">
        <f>IF(盘货信息!C205="","",盘货信息!C205)</f>
        <v/>
      </c>
      <c r="D205" s="18" t="str">
        <f t="shared" si="3"/>
        <v/>
      </c>
      <c r="E205" s="18" t="str" cm="1">
        <f t="array" ref="E205">IF(_xlfn.XLOOKUP($A205&amp;$B205&amp;$C205,盘货信息!$A:$A&amp;盘货信息!$B:$B&amp;盘货信息!$C:$C,盘货信息!$AA:$AA)="","",_xlfn.XLOOKUP($A205&amp;$B205&amp;$C205,盘货信息!$A:$A&amp;盘货信息!$B:$B&amp;盘货信息!$C:$C,盘货信息!$AA:$AA)&amp;"免息")</f>
        <v/>
      </c>
      <c r="F205" s="18" t="str" cm="1">
        <f t="array" ref="F205">IF(_xlfn.XLOOKUP($A205&amp;$B205&amp;$C205,盘货信息!$A:$A&amp;盘货信息!$B:$B&amp;盘货信息!$C:$C,盘货信息!$AB:$AB)="","",_xlfn.XLOOKUP($A205&amp;$B205&amp;$C205,盘货信息!$A:$A&amp;盘货信息!$B:$B&amp;盘货信息!$C:$C,盘货信息!$AB:$AB))</f>
        <v/>
      </c>
      <c r="G205" s="18"/>
    </row>
    <row r="206" customHeight="1" spans="1:7">
      <c r="A206" s="20" t="str">
        <f>IF(盘货信息!A206="","",盘货信息!A206)</f>
        <v/>
      </c>
      <c r="B206" s="17" t="str">
        <f>IF(盘货信息!B206="","",盘货信息!B206)</f>
        <v/>
      </c>
      <c r="C206" s="20" t="str">
        <f>IF(盘货信息!C206="","",盘货信息!C206)</f>
        <v/>
      </c>
      <c r="D206" s="18" t="str">
        <f t="shared" si="3"/>
        <v/>
      </c>
      <c r="E206" s="18" t="str" cm="1">
        <f t="array" ref="E206">IF(_xlfn.XLOOKUP($A206&amp;$B206&amp;$C206,盘货信息!$A:$A&amp;盘货信息!$B:$B&amp;盘货信息!$C:$C,盘货信息!$AA:$AA)="","",_xlfn.XLOOKUP($A206&amp;$B206&amp;$C206,盘货信息!$A:$A&amp;盘货信息!$B:$B&amp;盘货信息!$C:$C,盘货信息!$AA:$AA)&amp;"免息")</f>
        <v/>
      </c>
      <c r="F206" s="18" t="str" cm="1">
        <f t="array" ref="F206">IF(_xlfn.XLOOKUP($A206&amp;$B206&amp;$C206,盘货信息!$A:$A&amp;盘货信息!$B:$B&amp;盘货信息!$C:$C,盘货信息!$AB:$AB)="","",_xlfn.XLOOKUP($A206&amp;$B206&amp;$C206,盘货信息!$A:$A&amp;盘货信息!$B:$B&amp;盘货信息!$C:$C,盘货信息!$AB:$AB))</f>
        <v/>
      </c>
      <c r="G206" s="18"/>
    </row>
    <row r="207" customHeight="1" spans="1:7">
      <c r="A207" s="20" t="str">
        <f>IF(盘货信息!A207="","",盘货信息!A207)</f>
        <v/>
      </c>
      <c r="B207" s="17" t="str">
        <f>IF(盘货信息!B207="","",盘货信息!B207)</f>
        <v/>
      </c>
      <c r="C207" s="20" t="str">
        <f>IF(盘货信息!C207="","",盘货信息!C207)</f>
        <v/>
      </c>
      <c r="D207" s="18" t="str">
        <f t="shared" si="3"/>
        <v/>
      </c>
      <c r="E207" s="18" t="str" cm="1">
        <f t="array" ref="E207">IF(_xlfn.XLOOKUP($A207&amp;$B207&amp;$C207,盘货信息!$A:$A&amp;盘货信息!$B:$B&amp;盘货信息!$C:$C,盘货信息!$AA:$AA)="","",_xlfn.XLOOKUP($A207&amp;$B207&amp;$C207,盘货信息!$A:$A&amp;盘货信息!$B:$B&amp;盘货信息!$C:$C,盘货信息!$AA:$AA)&amp;"免息")</f>
        <v/>
      </c>
      <c r="F207" s="18" t="str" cm="1">
        <f t="array" ref="F207">IF(_xlfn.XLOOKUP($A207&amp;$B207&amp;$C207,盘货信息!$A:$A&amp;盘货信息!$B:$B&amp;盘货信息!$C:$C,盘货信息!$AB:$AB)="","",_xlfn.XLOOKUP($A207&amp;$B207&amp;$C207,盘货信息!$A:$A&amp;盘货信息!$B:$B&amp;盘货信息!$C:$C,盘货信息!$AB:$AB))</f>
        <v/>
      </c>
      <c r="G207" s="18"/>
    </row>
    <row r="208" customHeight="1" spans="1:7">
      <c r="A208" s="20" t="str">
        <f>IF(盘货信息!A208="","",盘货信息!A208)</f>
        <v/>
      </c>
      <c r="B208" s="17" t="str">
        <f>IF(盘货信息!B208="","",盘货信息!B208)</f>
        <v/>
      </c>
      <c r="C208" s="20" t="str">
        <f>IF(盘货信息!C208="","",盘货信息!C208)</f>
        <v/>
      </c>
      <c r="D208" s="18" t="str">
        <f t="shared" si="3"/>
        <v/>
      </c>
      <c r="E208" s="18" t="str" cm="1">
        <f t="array" ref="E208">IF(_xlfn.XLOOKUP($A208&amp;$B208&amp;$C208,盘货信息!$A:$A&amp;盘货信息!$B:$B&amp;盘货信息!$C:$C,盘货信息!$AA:$AA)="","",_xlfn.XLOOKUP($A208&amp;$B208&amp;$C208,盘货信息!$A:$A&amp;盘货信息!$B:$B&amp;盘货信息!$C:$C,盘货信息!$AA:$AA)&amp;"免息")</f>
        <v/>
      </c>
      <c r="F208" s="18" t="str" cm="1">
        <f t="array" ref="F208">IF(_xlfn.XLOOKUP($A208&amp;$B208&amp;$C208,盘货信息!$A:$A&amp;盘货信息!$B:$B&amp;盘货信息!$C:$C,盘货信息!$AB:$AB)="","",_xlfn.XLOOKUP($A208&amp;$B208&amp;$C208,盘货信息!$A:$A&amp;盘货信息!$B:$B&amp;盘货信息!$C:$C,盘货信息!$AB:$AB))</f>
        <v/>
      </c>
      <c r="G208" s="18"/>
    </row>
    <row r="209" customHeight="1" spans="1:7">
      <c r="A209" s="20" t="str">
        <f>IF(盘货信息!A209="","",盘货信息!A209)</f>
        <v/>
      </c>
      <c r="B209" s="17" t="str">
        <f>IF(盘货信息!B209="","",盘货信息!B209)</f>
        <v/>
      </c>
      <c r="C209" s="20" t="str">
        <f>IF(盘货信息!C209="","",盘货信息!C209)</f>
        <v/>
      </c>
      <c r="D209" s="18" t="str">
        <f t="shared" si="3"/>
        <v/>
      </c>
      <c r="E209" s="18" t="str" cm="1">
        <f t="array" ref="E209">IF(_xlfn.XLOOKUP($A209&amp;$B209&amp;$C209,盘货信息!$A:$A&amp;盘货信息!$B:$B&amp;盘货信息!$C:$C,盘货信息!$AA:$AA)="","",_xlfn.XLOOKUP($A209&amp;$B209&amp;$C209,盘货信息!$A:$A&amp;盘货信息!$B:$B&amp;盘货信息!$C:$C,盘货信息!$AA:$AA)&amp;"免息")</f>
        <v/>
      </c>
      <c r="F209" s="18" t="str" cm="1">
        <f t="array" ref="F209">IF(_xlfn.XLOOKUP($A209&amp;$B209&amp;$C209,盘货信息!$A:$A&amp;盘货信息!$B:$B&amp;盘货信息!$C:$C,盘货信息!$AB:$AB)="","",_xlfn.XLOOKUP($A209&amp;$B209&amp;$C209,盘货信息!$A:$A&amp;盘货信息!$B:$B&amp;盘货信息!$C:$C,盘货信息!$AB:$AB))</f>
        <v/>
      </c>
      <c r="G209" s="18"/>
    </row>
    <row r="210" customHeight="1" spans="1:7">
      <c r="A210" s="20" t="str">
        <f>IF(盘货信息!A210="","",盘货信息!A210)</f>
        <v/>
      </c>
      <c r="B210" s="17" t="str">
        <f>IF(盘货信息!B210="","",盘货信息!B210)</f>
        <v/>
      </c>
      <c r="C210" s="20" t="str">
        <f>IF(盘货信息!C210="","",盘货信息!C210)</f>
        <v/>
      </c>
      <c r="D210" s="18" t="str">
        <f t="shared" si="3"/>
        <v/>
      </c>
      <c r="E210" s="18" t="str" cm="1">
        <f t="array" ref="E210">IF(_xlfn.XLOOKUP($A210&amp;$B210&amp;$C210,盘货信息!$A:$A&amp;盘货信息!$B:$B&amp;盘货信息!$C:$C,盘货信息!$AA:$AA)="","",_xlfn.XLOOKUP($A210&amp;$B210&amp;$C210,盘货信息!$A:$A&amp;盘货信息!$B:$B&amp;盘货信息!$C:$C,盘货信息!$AA:$AA)&amp;"免息")</f>
        <v/>
      </c>
      <c r="F210" s="18" t="str" cm="1">
        <f t="array" ref="F210">IF(_xlfn.XLOOKUP($A210&amp;$B210&amp;$C210,盘货信息!$A:$A&amp;盘货信息!$B:$B&amp;盘货信息!$C:$C,盘货信息!$AB:$AB)="","",_xlfn.XLOOKUP($A210&amp;$B210&amp;$C210,盘货信息!$A:$A&amp;盘货信息!$B:$B&amp;盘货信息!$C:$C,盘货信息!$AB:$AB))</f>
        <v/>
      </c>
      <c r="G210" s="18"/>
    </row>
    <row r="211" customHeight="1" spans="1:7">
      <c r="A211" s="20" t="str">
        <f>IF(盘货信息!A211="","",盘货信息!A211)</f>
        <v/>
      </c>
      <c r="B211" s="17" t="str">
        <f>IF(盘货信息!B211="","",盘货信息!B211)</f>
        <v/>
      </c>
      <c r="C211" s="20" t="str">
        <f>IF(盘货信息!C211="","",盘货信息!C211)</f>
        <v/>
      </c>
      <c r="D211" s="18" t="str">
        <f t="shared" si="3"/>
        <v/>
      </c>
      <c r="E211" s="18" t="str" cm="1">
        <f t="array" ref="E211">IF(_xlfn.XLOOKUP($A211&amp;$B211&amp;$C211,盘货信息!$A:$A&amp;盘货信息!$B:$B&amp;盘货信息!$C:$C,盘货信息!$AA:$AA)="","",_xlfn.XLOOKUP($A211&amp;$B211&amp;$C211,盘货信息!$A:$A&amp;盘货信息!$B:$B&amp;盘货信息!$C:$C,盘货信息!$AA:$AA)&amp;"免息")</f>
        <v/>
      </c>
      <c r="F211" s="18" t="str" cm="1">
        <f t="array" ref="F211">IF(_xlfn.XLOOKUP($A211&amp;$B211&amp;$C211,盘货信息!$A:$A&amp;盘货信息!$B:$B&amp;盘货信息!$C:$C,盘货信息!$AB:$AB)="","",_xlfn.XLOOKUP($A211&amp;$B211&amp;$C211,盘货信息!$A:$A&amp;盘货信息!$B:$B&amp;盘货信息!$C:$C,盘货信息!$AB:$AB))</f>
        <v/>
      </c>
      <c r="G211" s="18"/>
    </row>
    <row r="212" customHeight="1" spans="1:7">
      <c r="A212" s="20" t="str">
        <f>IF(盘货信息!A212="","",盘货信息!A212)</f>
        <v/>
      </c>
      <c r="B212" s="17" t="str">
        <f>IF(盘货信息!B212="","",盘货信息!B212)</f>
        <v/>
      </c>
      <c r="C212" s="20" t="str">
        <f>IF(盘货信息!C212="","",盘货信息!C212)</f>
        <v/>
      </c>
      <c r="D212" s="18" t="str">
        <f t="shared" si="3"/>
        <v/>
      </c>
      <c r="E212" s="18" t="str" cm="1">
        <f t="array" ref="E212">IF(_xlfn.XLOOKUP($A212&amp;$B212&amp;$C212,盘货信息!$A:$A&amp;盘货信息!$B:$B&amp;盘货信息!$C:$C,盘货信息!$AA:$AA)="","",_xlfn.XLOOKUP($A212&amp;$B212&amp;$C212,盘货信息!$A:$A&amp;盘货信息!$B:$B&amp;盘货信息!$C:$C,盘货信息!$AA:$AA)&amp;"免息")</f>
        <v/>
      </c>
      <c r="F212" s="18" t="str" cm="1">
        <f t="array" ref="F212">IF(_xlfn.XLOOKUP($A212&amp;$B212&amp;$C212,盘货信息!$A:$A&amp;盘货信息!$B:$B&amp;盘货信息!$C:$C,盘货信息!$AB:$AB)="","",_xlfn.XLOOKUP($A212&amp;$B212&amp;$C212,盘货信息!$A:$A&amp;盘货信息!$B:$B&amp;盘货信息!$C:$C,盘货信息!$AB:$AB))</f>
        <v/>
      </c>
      <c r="G212" s="18"/>
    </row>
    <row r="213" customHeight="1" spans="1:7">
      <c r="A213" s="20" t="str">
        <f>IF(盘货信息!A213="","",盘货信息!A213)</f>
        <v/>
      </c>
      <c r="B213" s="17" t="str">
        <f>IF(盘货信息!B213="","",盘货信息!B213)</f>
        <v/>
      </c>
      <c r="C213" s="20" t="str">
        <f>IF(盘货信息!C213="","",盘货信息!C213)</f>
        <v/>
      </c>
      <c r="D213" s="18" t="str">
        <f t="shared" si="3"/>
        <v/>
      </c>
      <c r="E213" s="18" t="str" cm="1">
        <f t="array" ref="E213">IF(_xlfn.XLOOKUP($A213&amp;$B213&amp;$C213,盘货信息!$A:$A&amp;盘货信息!$B:$B&amp;盘货信息!$C:$C,盘货信息!$AA:$AA)="","",_xlfn.XLOOKUP($A213&amp;$B213&amp;$C213,盘货信息!$A:$A&amp;盘货信息!$B:$B&amp;盘货信息!$C:$C,盘货信息!$AA:$AA)&amp;"免息")</f>
        <v/>
      </c>
      <c r="F213" s="18" t="str" cm="1">
        <f t="array" ref="F213">IF(_xlfn.XLOOKUP($A213&amp;$B213&amp;$C213,盘货信息!$A:$A&amp;盘货信息!$B:$B&amp;盘货信息!$C:$C,盘货信息!$AB:$AB)="","",_xlfn.XLOOKUP($A213&amp;$B213&amp;$C213,盘货信息!$A:$A&amp;盘货信息!$B:$B&amp;盘货信息!$C:$C,盘货信息!$AB:$AB))</f>
        <v/>
      </c>
      <c r="G213" s="18"/>
    </row>
    <row r="214" customHeight="1" spans="1:7">
      <c r="A214" s="20" t="str">
        <f>IF(盘货信息!A214="","",盘货信息!A214)</f>
        <v/>
      </c>
      <c r="B214" s="17" t="str">
        <f>IF(盘货信息!B214="","",盘货信息!B214)</f>
        <v/>
      </c>
      <c r="C214" s="20" t="str">
        <f>IF(盘货信息!C214="","",盘货信息!C214)</f>
        <v/>
      </c>
      <c r="D214" s="18" t="str">
        <f t="shared" si="3"/>
        <v/>
      </c>
      <c r="E214" s="18" t="str" cm="1">
        <f t="array" ref="E214">IF(_xlfn.XLOOKUP($A214&amp;$B214&amp;$C214,盘货信息!$A:$A&amp;盘货信息!$B:$B&amp;盘货信息!$C:$C,盘货信息!$AA:$AA)="","",_xlfn.XLOOKUP($A214&amp;$B214&amp;$C214,盘货信息!$A:$A&amp;盘货信息!$B:$B&amp;盘货信息!$C:$C,盘货信息!$AA:$AA)&amp;"免息")</f>
        <v/>
      </c>
      <c r="F214" s="18" t="str" cm="1">
        <f t="array" ref="F214">IF(_xlfn.XLOOKUP($A214&amp;$B214&amp;$C214,盘货信息!$A:$A&amp;盘货信息!$B:$B&amp;盘货信息!$C:$C,盘货信息!$AB:$AB)="","",_xlfn.XLOOKUP($A214&amp;$B214&amp;$C214,盘货信息!$A:$A&amp;盘货信息!$B:$B&amp;盘货信息!$C:$C,盘货信息!$AB:$AB))</f>
        <v/>
      </c>
      <c r="G214" s="18"/>
    </row>
    <row r="215" customHeight="1" spans="1:7">
      <c r="A215" s="20" t="str">
        <f>IF(盘货信息!A215="","",盘货信息!A215)</f>
        <v/>
      </c>
      <c r="B215" s="17" t="str">
        <f>IF(盘货信息!B215="","",盘货信息!B215)</f>
        <v/>
      </c>
      <c r="C215" s="20" t="str">
        <f>IF(盘货信息!C215="","",盘货信息!C215)</f>
        <v/>
      </c>
      <c r="D215" s="18" t="str">
        <f t="shared" si="3"/>
        <v/>
      </c>
      <c r="E215" s="18" t="str" cm="1">
        <f t="array" ref="E215">IF(_xlfn.XLOOKUP($A215&amp;$B215&amp;$C215,盘货信息!$A:$A&amp;盘货信息!$B:$B&amp;盘货信息!$C:$C,盘货信息!$AA:$AA)="","",_xlfn.XLOOKUP($A215&amp;$B215&amp;$C215,盘货信息!$A:$A&amp;盘货信息!$B:$B&amp;盘货信息!$C:$C,盘货信息!$AA:$AA)&amp;"免息")</f>
        <v/>
      </c>
      <c r="F215" s="18" t="str" cm="1">
        <f t="array" ref="F215">IF(_xlfn.XLOOKUP($A215&amp;$B215&amp;$C215,盘货信息!$A:$A&amp;盘货信息!$B:$B&amp;盘货信息!$C:$C,盘货信息!$AB:$AB)="","",_xlfn.XLOOKUP($A215&amp;$B215&amp;$C215,盘货信息!$A:$A&amp;盘货信息!$B:$B&amp;盘货信息!$C:$C,盘货信息!$AB:$AB))</f>
        <v/>
      </c>
      <c r="G215" s="18"/>
    </row>
    <row r="216" customHeight="1" spans="1:7">
      <c r="A216" s="20" t="str">
        <f>IF(盘货信息!A216="","",盘货信息!A216)</f>
        <v/>
      </c>
      <c r="B216" s="17" t="str">
        <f>IF(盘货信息!B216="","",盘货信息!B216)</f>
        <v/>
      </c>
      <c r="C216" s="20" t="str">
        <f>IF(盘货信息!C216="","",盘货信息!C216)</f>
        <v/>
      </c>
      <c r="D216" s="18" t="str">
        <f t="shared" si="3"/>
        <v/>
      </c>
      <c r="E216" s="18" t="str" cm="1">
        <f t="array" ref="E216">IF(_xlfn.XLOOKUP($A216&amp;$B216&amp;$C216,盘货信息!$A:$A&amp;盘货信息!$B:$B&amp;盘货信息!$C:$C,盘货信息!$AA:$AA)="","",_xlfn.XLOOKUP($A216&amp;$B216&amp;$C216,盘货信息!$A:$A&amp;盘货信息!$B:$B&amp;盘货信息!$C:$C,盘货信息!$AA:$AA)&amp;"免息")</f>
        <v/>
      </c>
      <c r="F216" s="18" t="str" cm="1">
        <f t="array" ref="F216">IF(_xlfn.XLOOKUP($A216&amp;$B216&amp;$C216,盘货信息!$A:$A&amp;盘货信息!$B:$B&amp;盘货信息!$C:$C,盘货信息!$AB:$AB)="","",_xlfn.XLOOKUP($A216&amp;$B216&amp;$C216,盘货信息!$A:$A&amp;盘货信息!$B:$B&amp;盘货信息!$C:$C,盘货信息!$AB:$AB))</f>
        <v/>
      </c>
      <c r="G216" s="18"/>
    </row>
    <row r="217" customHeight="1" spans="1:7">
      <c r="A217" s="20" t="str">
        <f>IF(盘货信息!A217="","",盘货信息!A217)</f>
        <v/>
      </c>
      <c r="B217" s="17" t="str">
        <f>IF(盘货信息!B217="","",盘货信息!B217)</f>
        <v/>
      </c>
      <c r="C217" s="20" t="str">
        <f>IF(盘货信息!C217="","",盘货信息!C217)</f>
        <v/>
      </c>
      <c r="D217" s="18" t="str">
        <f t="shared" si="3"/>
        <v/>
      </c>
      <c r="E217" s="18" t="str" cm="1">
        <f t="array" ref="E217">IF(_xlfn.XLOOKUP($A217&amp;$B217&amp;$C217,盘货信息!$A:$A&amp;盘货信息!$B:$B&amp;盘货信息!$C:$C,盘货信息!$AA:$AA)="","",_xlfn.XLOOKUP($A217&amp;$B217&amp;$C217,盘货信息!$A:$A&amp;盘货信息!$B:$B&amp;盘货信息!$C:$C,盘货信息!$AA:$AA)&amp;"免息")</f>
        <v/>
      </c>
      <c r="F217" s="18" t="str" cm="1">
        <f t="array" ref="F217">IF(_xlfn.XLOOKUP($A217&amp;$B217&amp;$C217,盘货信息!$A:$A&amp;盘货信息!$B:$B&amp;盘货信息!$C:$C,盘货信息!$AB:$AB)="","",_xlfn.XLOOKUP($A217&amp;$B217&amp;$C217,盘货信息!$A:$A&amp;盘货信息!$B:$B&amp;盘货信息!$C:$C,盘货信息!$AB:$AB))</f>
        <v/>
      </c>
      <c r="G217" s="18"/>
    </row>
    <row r="218" customHeight="1" spans="1:7">
      <c r="A218" s="20" t="str">
        <f>IF(盘货信息!A218="","",盘货信息!A218)</f>
        <v/>
      </c>
      <c r="B218" s="17" t="str">
        <f>IF(盘货信息!B218="","",盘货信息!B218)</f>
        <v/>
      </c>
      <c r="C218" s="20" t="str">
        <f>IF(盘货信息!C218="","",盘货信息!C218)</f>
        <v/>
      </c>
      <c r="D218" s="18" t="str">
        <f t="shared" si="3"/>
        <v/>
      </c>
      <c r="E218" s="18" t="str" cm="1">
        <f t="array" ref="E218">IF(_xlfn.XLOOKUP($A218&amp;$B218&amp;$C218,盘货信息!$A:$A&amp;盘货信息!$B:$B&amp;盘货信息!$C:$C,盘货信息!$AA:$AA)="","",_xlfn.XLOOKUP($A218&amp;$B218&amp;$C218,盘货信息!$A:$A&amp;盘货信息!$B:$B&amp;盘货信息!$C:$C,盘货信息!$AA:$AA)&amp;"免息")</f>
        <v/>
      </c>
      <c r="F218" s="18" t="str" cm="1">
        <f t="array" ref="F218">IF(_xlfn.XLOOKUP($A218&amp;$B218&amp;$C218,盘货信息!$A:$A&amp;盘货信息!$B:$B&amp;盘货信息!$C:$C,盘货信息!$AB:$AB)="","",_xlfn.XLOOKUP($A218&amp;$B218&amp;$C218,盘货信息!$A:$A&amp;盘货信息!$B:$B&amp;盘货信息!$C:$C,盘货信息!$AB:$AB))</f>
        <v/>
      </c>
      <c r="G218" s="18"/>
    </row>
    <row r="219" customHeight="1" spans="1:7">
      <c r="A219" s="20" t="str">
        <f>IF(盘货信息!A219="","",盘货信息!A219)</f>
        <v/>
      </c>
      <c r="B219" s="17" t="str">
        <f>IF(盘货信息!B219="","",盘货信息!B219)</f>
        <v/>
      </c>
      <c r="C219" s="20" t="str">
        <f>IF(盘货信息!C219="","",盘货信息!C219)</f>
        <v/>
      </c>
      <c r="D219" s="18" t="str">
        <f t="shared" si="3"/>
        <v/>
      </c>
      <c r="E219" s="18" t="str" cm="1">
        <f t="array" ref="E219">IF(_xlfn.XLOOKUP($A219&amp;$B219&amp;$C219,盘货信息!$A:$A&amp;盘货信息!$B:$B&amp;盘货信息!$C:$C,盘货信息!$AA:$AA)="","",_xlfn.XLOOKUP($A219&amp;$B219&amp;$C219,盘货信息!$A:$A&amp;盘货信息!$B:$B&amp;盘货信息!$C:$C,盘货信息!$AA:$AA)&amp;"免息")</f>
        <v/>
      </c>
      <c r="F219" s="18" t="str" cm="1">
        <f t="array" ref="F219">IF(_xlfn.XLOOKUP($A219&amp;$B219&amp;$C219,盘货信息!$A:$A&amp;盘货信息!$B:$B&amp;盘货信息!$C:$C,盘货信息!$AB:$AB)="","",_xlfn.XLOOKUP($A219&amp;$B219&amp;$C219,盘货信息!$A:$A&amp;盘货信息!$B:$B&amp;盘货信息!$C:$C,盘货信息!$AB:$AB))</f>
        <v/>
      </c>
      <c r="G219" s="18"/>
    </row>
    <row r="220" customHeight="1" spans="1:7">
      <c r="A220" s="20" t="str">
        <f>IF(盘货信息!A220="","",盘货信息!A220)</f>
        <v/>
      </c>
      <c r="B220" s="17" t="str">
        <f>IF(盘货信息!B220="","",盘货信息!B220)</f>
        <v/>
      </c>
      <c r="C220" s="20" t="str">
        <f>IF(盘货信息!C220="","",盘货信息!C220)</f>
        <v/>
      </c>
      <c r="D220" s="18" t="str">
        <f t="shared" si="3"/>
        <v/>
      </c>
      <c r="E220" s="18" t="str" cm="1">
        <f t="array" ref="E220">IF(_xlfn.XLOOKUP($A220&amp;$B220&amp;$C220,盘货信息!$A:$A&amp;盘货信息!$B:$B&amp;盘货信息!$C:$C,盘货信息!$AA:$AA)="","",_xlfn.XLOOKUP($A220&amp;$B220&amp;$C220,盘货信息!$A:$A&amp;盘货信息!$B:$B&amp;盘货信息!$C:$C,盘货信息!$AA:$AA)&amp;"免息")</f>
        <v/>
      </c>
      <c r="F220" s="18" t="str" cm="1">
        <f t="array" ref="F220">IF(_xlfn.XLOOKUP($A220&amp;$B220&amp;$C220,盘货信息!$A:$A&amp;盘货信息!$B:$B&amp;盘货信息!$C:$C,盘货信息!$AB:$AB)="","",_xlfn.XLOOKUP($A220&amp;$B220&amp;$C220,盘货信息!$A:$A&amp;盘货信息!$B:$B&amp;盘货信息!$C:$C,盘货信息!$AB:$AB))</f>
        <v/>
      </c>
      <c r="G220" s="18"/>
    </row>
    <row r="221" customHeight="1" spans="1:7">
      <c r="A221" s="20" t="str">
        <f>IF(盘货信息!A221="","",盘货信息!A221)</f>
        <v/>
      </c>
      <c r="B221" s="17" t="str">
        <f>IF(盘货信息!B221="","",盘货信息!B221)</f>
        <v/>
      </c>
      <c r="C221" s="20" t="str">
        <f>IF(盘货信息!C221="","",盘货信息!C221)</f>
        <v/>
      </c>
      <c r="D221" s="18" t="str">
        <f t="shared" si="3"/>
        <v/>
      </c>
      <c r="E221" s="18" t="str" cm="1">
        <f t="array" ref="E221">IF(_xlfn.XLOOKUP($A221&amp;$B221&amp;$C221,盘货信息!$A:$A&amp;盘货信息!$B:$B&amp;盘货信息!$C:$C,盘货信息!$AA:$AA)="","",_xlfn.XLOOKUP($A221&amp;$B221&amp;$C221,盘货信息!$A:$A&amp;盘货信息!$B:$B&amp;盘货信息!$C:$C,盘货信息!$AA:$AA)&amp;"免息")</f>
        <v/>
      </c>
      <c r="F221" s="18" t="str" cm="1">
        <f t="array" ref="F221">IF(_xlfn.XLOOKUP($A221&amp;$B221&amp;$C221,盘货信息!$A:$A&amp;盘货信息!$B:$B&amp;盘货信息!$C:$C,盘货信息!$AB:$AB)="","",_xlfn.XLOOKUP($A221&amp;$B221&amp;$C221,盘货信息!$A:$A&amp;盘货信息!$B:$B&amp;盘货信息!$C:$C,盘货信息!$AB:$AB))</f>
        <v/>
      </c>
      <c r="G221" s="18"/>
    </row>
    <row r="222" customHeight="1" spans="1:7">
      <c r="A222" s="20" t="str">
        <f>IF(盘货信息!A222="","",盘货信息!A222)</f>
        <v/>
      </c>
      <c r="B222" s="17" t="str">
        <f>IF(盘货信息!B222="","",盘货信息!B222)</f>
        <v/>
      </c>
      <c r="C222" s="20" t="str">
        <f>IF(盘货信息!C222="","",盘货信息!C222)</f>
        <v/>
      </c>
      <c r="D222" s="18" t="str">
        <f t="shared" si="3"/>
        <v/>
      </c>
      <c r="E222" s="18" t="str" cm="1">
        <f t="array" ref="E222">IF(_xlfn.XLOOKUP($A222&amp;$B222&amp;$C222,盘货信息!$A:$A&amp;盘货信息!$B:$B&amp;盘货信息!$C:$C,盘货信息!$AA:$AA)="","",_xlfn.XLOOKUP($A222&amp;$B222&amp;$C222,盘货信息!$A:$A&amp;盘货信息!$B:$B&amp;盘货信息!$C:$C,盘货信息!$AA:$AA)&amp;"免息")</f>
        <v/>
      </c>
      <c r="F222" s="18" t="str" cm="1">
        <f t="array" ref="F222">IF(_xlfn.XLOOKUP($A222&amp;$B222&amp;$C222,盘货信息!$A:$A&amp;盘货信息!$B:$B&amp;盘货信息!$C:$C,盘货信息!$AB:$AB)="","",_xlfn.XLOOKUP($A222&amp;$B222&amp;$C222,盘货信息!$A:$A&amp;盘货信息!$B:$B&amp;盘货信息!$C:$C,盘货信息!$AB:$AB))</f>
        <v/>
      </c>
      <c r="G222" s="18"/>
    </row>
    <row r="223" customHeight="1" spans="1:7">
      <c r="A223" s="20" t="str">
        <f>IF(盘货信息!A223="","",盘货信息!A223)</f>
        <v/>
      </c>
      <c r="B223" s="17" t="str">
        <f>IF(盘货信息!B223="","",盘货信息!B223)</f>
        <v/>
      </c>
      <c r="C223" s="20" t="str">
        <f>IF(盘货信息!C223="","",盘货信息!C223)</f>
        <v/>
      </c>
      <c r="D223" s="18" t="str">
        <f t="shared" si="3"/>
        <v/>
      </c>
      <c r="E223" s="18" t="str" cm="1">
        <f t="array" ref="E223">IF(_xlfn.XLOOKUP($A223&amp;$B223&amp;$C223,盘货信息!$A:$A&amp;盘货信息!$B:$B&amp;盘货信息!$C:$C,盘货信息!$AA:$AA)="","",_xlfn.XLOOKUP($A223&amp;$B223&amp;$C223,盘货信息!$A:$A&amp;盘货信息!$B:$B&amp;盘货信息!$C:$C,盘货信息!$AA:$AA)&amp;"免息")</f>
        <v/>
      </c>
      <c r="F223" s="18" t="str" cm="1">
        <f t="array" ref="F223">IF(_xlfn.XLOOKUP($A223&amp;$B223&amp;$C223,盘货信息!$A:$A&amp;盘货信息!$B:$B&amp;盘货信息!$C:$C,盘货信息!$AB:$AB)="","",_xlfn.XLOOKUP($A223&amp;$B223&amp;$C223,盘货信息!$A:$A&amp;盘货信息!$B:$B&amp;盘货信息!$C:$C,盘货信息!$AB:$AB))</f>
        <v/>
      </c>
      <c r="G223" s="18"/>
    </row>
    <row r="224" customHeight="1" spans="1:7">
      <c r="A224" s="20" t="str">
        <f>IF(盘货信息!A224="","",盘货信息!A224)</f>
        <v/>
      </c>
      <c r="B224" s="17" t="str">
        <f>IF(盘货信息!B224="","",盘货信息!B224)</f>
        <v/>
      </c>
      <c r="C224" s="20" t="str">
        <f>IF(盘货信息!C224="","",盘货信息!C224)</f>
        <v/>
      </c>
      <c r="D224" s="18" t="str">
        <f t="shared" si="3"/>
        <v/>
      </c>
      <c r="E224" s="18" t="str" cm="1">
        <f t="array" ref="E224">IF(_xlfn.XLOOKUP($A224&amp;$B224&amp;$C224,盘货信息!$A:$A&amp;盘货信息!$B:$B&amp;盘货信息!$C:$C,盘货信息!$AA:$AA)="","",_xlfn.XLOOKUP($A224&amp;$B224&amp;$C224,盘货信息!$A:$A&amp;盘货信息!$B:$B&amp;盘货信息!$C:$C,盘货信息!$AA:$AA)&amp;"免息")</f>
        <v/>
      </c>
      <c r="F224" s="18" t="str" cm="1">
        <f t="array" ref="F224">IF(_xlfn.XLOOKUP($A224&amp;$B224&amp;$C224,盘货信息!$A:$A&amp;盘货信息!$B:$B&amp;盘货信息!$C:$C,盘货信息!$AB:$AB)="","",_xlfn.XLOOKUP($A224&amp;$B224&amp;$C224,盘货信息!$A:$A&amp;盘货信息!$B:$B&amp;盘货信息!$C:$C,盘货信息!$AB:$AB))</f>
        <v/>
      </c>
      <c r="G224" s="18"/>
    </row>
    <row r="225" customHeight="1" spans="1:7">
      <c r="A225" s="20" t="str">
        <f>IF(盘货信息!A225="","",盘货信息!A225)</f>
        <v/>
      </c>
      <c r="B225" s="17" t="str">
        <f>IF(盘货信息!B225="","",盘货信息!B225)</f>
        <v/>
      </c>
      <c r="C225" s="20" t="str">
        <f>IF(盘货信息!C225="","",盘货信息!C225)</f>
        <v/>
      </c>
      <c r="D225" s="18" t="str">
        <f t="shared" si="3"/>
        <v/>
      </c>
      <c r="E225" s="18" t="str" cm="1">
        <f t="array" ref="E225">IF(_xlfn.XLOOKUP($A225&amp;$B225&amp;$C225,盘货信息!$A:$A&amp;盘货信息!$B:$B&amp;盘货信息!$C:$C,盘货信息!$AA:$AA)="","",_xlfn.XLOOKUP($A225&amp;$B225&amp;$C225,盘货信息!$A:$A&amp;盘货信息!$B:$B&amp;盘货信息!$C:$C,盘货信息!$AA:$AA)&amp;"免息")</f>
        <v/>
      </c>
      <c r="F225" s="18" t="str" cm="1">
        <f t="array" ref="F225">IF(_xlfn.XLOOKUP($A225&amp;$B225&amp;$C225,盘货信息!$A:$A&amp;盘货信息!$B:$B&amp;盘货信息!$C:$C,盘货信息!$AB:$AB)="","",_xlfn.XLOOKUP($A225&amp;$B225&amp;$C225,盘货信息!$A:$A&amp;盘货信息!$B:$B&amp;盘货信息!$C:$C,盘货信息!$AB:$AB))</f>
        <v/>
      </c>
      <c r="G225" s="18"/>
    </row>
    <row r="226" customHeight="1" spans="1:7">
      <c r="A226" s="20" t="str">
        <f>IF(盘货信息!A226="","",盘货信息!A226)</f>
        <v/>
      </c>
      <c r="B226" s="17" t="str">
        <f>IF(盘货信息!B226="","",盘货信息!B226)</f>
        <v/>
      </c>
      <c r="C226" s="20" t="str">
        <f>IF(盘货信息!C226="","",盘货信息!C226)</f>
        <v/>
      </c>
      <c r="D226" s="18" t="str">
        <f t="shared" si="3"/>
        <v/>
      </c>
      <c r="E226" s="18" t="str" cm="1">
        <f t="array" ref="E226">IF(_xlfn.XLOOKUP($A226&amp;$B226&amp;$C226,盘货信息!$A:$A&amp;盘货信息!$B:$B&amp;盘货信息!$C:$C,盘货信息!$AA:$AA)="","",_xlfn.XLOOKUP($A226&amp;$B226&amp;$C226,盘货信息!$A:$A&amp;盘货信息!$B:$B&amp;盘货信息!$C:$C,盘货信息!$AA:$AA)&amp;"免息")</f>
        <v/>
      </c>
      <c r="F226" s="18" t="str" cm="1">
        <f t="array" ref="F226">IF(_xlfn.XLOOKUP($A226&amp;$B226&amp;$C226,盘货信息!$A:$A&amp;盘货信息!$B:$B&amp;盘货信息!$C:$C,盘货信息!$AB:$AB)="","",_xlfn.XLOOKUP($A226&amp;$B226&amp;$C226,盘货信息!$A:$A&amp;盘货信息!$B:$B&amp;盘货信息!$C:$C,盘货信息!$AB:$AB))</f>
        <v/>
      </c>
      <c r="G226" s="18"/>
    </row>
    <row r="227" customHeight="1" spans="1:7">
      <c r="A227" s="20" t="str">
        <f>IF(盘货信息!A227="","",盘货信息!A227)</f>
        <v/>
      </c>
      <c r="B227" s="17" t="str">
        <f>IF(盘货信息!B227="","",盘货信息!B227)</f>
        <v/>
      </c>
      <c r="C227" s="20" t="str">
        <f>IF(盘货信息!C227="","",盘货信息!C227)</f>
        <v/>
      </c>
      <c r="D227" s="18" t="str">
        <f t="shared" si="3"/>
        <v/>
      </c>
      <c r="E227" s="18" t="str" cm="1">
        <f t="array" ref="E227">IF(_xlfn.XLOOKUP($A227&amp;$B227&amp;$C227,盘货信息!$A:$A&amp;盘货信息!$B:$B&amp;盘货信息!$C:$C,盘货信息!$AA:$AA)="","",_xlfn.XLOOKUP($A227&amp;$B227&amp;$C227,盘货信息!$A:$A&amp;盘货信息!$B:$B&amp;盘货信息!$C:$C,盘货信息!$AA:$AA)&amp;"免息")</f>
        <v/>
      </c>
      <c r="F227" s="18" t="str" cm="1">
        <f t="array" ref="F227">IF(_xlfn.XLOOKUP($A227&amp;$B227&amp;$C227,盘货信息!$A:$A&amp;盘货信息!$B:$B&amp;盘货信息!$C:$C,盘货信息!$AB:$AB)="","",_xlfn.XLOOKUP($A227&amp;$B227&amp;$C227,盘货信息!$A:$A&amp;盘货信息!$B:$B&amp;盘货信息!$C:$C,盘货信息!$AB:$AB))</f>
        <v/>
      </c>
      <c r="G227" s="18"/>
    </row>
    <row r="228" customHeight="1" spans="1:7">
      <c r="A228" s="20" t="str">
        <f>IF(盘货信息!A228="","",盘货信息!A228)</f>
        <v/>
      </c>
      <c r="B228" s="17" t="str">
        <f>IF(盘货信息!B228="","",盘货信息!B228)</f>
        <v/>
      </c>
      <c r="C228" s="20" t="str">
        <f>IF(盘货信息!C228="","",盘货信息!C228)</f>
        <v/>
      </c>
      <c r="D228" s="18" t="str">
        <f t="shared" si="3"/>
        <v/>
      </c>
      <c r="E228" s="18" t="str" cm="1">
        <f t="array" ref="E228">IF(_xlfn.XLOOKUP($A228&amp;$B228&amp;$C228,盘货信息!$A:$A&amp;盘货信息!$B:$B&amp;盘货信息!$C:$C,盘货信息!$AA:$AA)="","",_xlfn.XLOOKUP($A228&amp;$B228&amp;$C228,盘货信息!$A:$A&amp;盘货信息!$B:$B&amp;盘货信息!$C:$C,盘货信息!$AA:$AA)&amp;"免息")</f>
        <v/>
      </c>
      <c r="F228" s="18" t="str" cm="1">
        <f t="array" ref="F228">IF(_xlfn.XLOOKUP($A228&amp;$B228&amp;$C228,盘货信息!$A:$A&amp;盘货信息!$B:$B&amp;盘货信息!$C:$C,盘货信息!$AB:$AB)="","",_xlfn.XLOOKUP($A228&amp;$B228&amp;$C228,盘货信息!$A:$A&amp;盘货信息!$B:$B&amp;盘货信息!$C:$C,盘货信息!$AB:$AB))</f>
        <v/>
      </c>
      <c r="G228" s="18"/>
    </row>
    <row r="229" customHeight="1" spans="1:7">
      <c r="A229" s="20" t="str">
        <f>IF(盘货信息!A229="","",盘货信息!A229)</f>
        <v/>
      </c>
      <c r="B229" s="17" t="str">
        <f>IF(盘货信息!B229="","",盘货信息!B229)</f>
        <v/>
      </c>
      <c r="C229" s="20" t="str">
        <f>IF(盘货信息!C229="","",盘货信息!C229)</f>
        <v/>
      </c>
      <c r="D229" s="18" t="str">
        <f t="shared" si="3"/>
        <v/>
      </c>
      <c r="E229" s="18" t="str" cm="1">
        <f t="array" ref="E229">IF(_xlfn.XLOOKUP($A229&amp;$B229&amp;$C229,盘货信息!$A:$A&amp;盘货信息!$B:$B&amp;盘货信息!$C:$C,盘货信息!$AA:$AA)="","",_xlfn.XLOOKUP($A229&amp;$B229&amp;$C229,盘货信息!$A:$A&amp;盘货信息!$B:$B&amp;盘货信息!$C:$C,盘货信息!$AA:$AA)&amp;"免息")</f>
        <v/>
      </c>
      <c r="F229" s="18" t="str" cm="1">
        <f t="array" ref="F229">IF(_xlfn.XLOOKUP($A229&amp;$B229&amp;$C229,盘货信息!$A:$A&amp;盘货信息!$B:$B&amp;盘货信息!$C:$C,盘货信息!$AB:$AB)="","",_xlfn.XLOOKUP($A229&amp;$B229&amp;$C229,盘货信息!$A:$A&amp;盘货信息!$B:$B&amp;盘货信息!$C:$C,盘货信息!$AB:$AB))</f>
        <v/>
      </c>
      <c r="G229" s="18"/>
    </row>
    <row r="230" customHeight="1" spans="1:7">
      <c r="A230" s="20" t="str">
        <f>IF(盘货信息!A230="","",盘货信息!A230)</f>
        <v/>
      </c>
      <c r="B230" s="17" t="str">
        <f>IF(盘货信息!B230="","",盘货信息!B230)</f>
        <v/>
      </c>
      <c r="C230" s="20" t="str">
        <f>IF(盘货信息!C230="","",盘货信息!C230)</f>
        <v/>
      </c>
      <c r="D230" s="18" t="str">
        <f t="shared" si="3"/>
        <v/>
      </c>
      <c r="E230" s="18" t="str" cm="1">
        <f t="array" ref="E230">IF(_xlfn.XLOOKUP($A230&amp;$B230&amp;$C230,盘货信息!$A:$A&amp;盘货信息!$B:$B&amp;盘货信息!$C:$C,盘货信息!$AA:$AA)="","",_xlfn.XLOOKUP($A230&amp;$B230&amp;$C230,盘货信息!$A:$A&amp;盘货信息!$B:$B&amp;盘货信息!$C:$C,盘货信息!$AA:$AA)&amp;"免息")</f>
        <v/>
      </c>
      <c r="F230" s="18" t="str" cm="1">
        <f t="array" ref="F230">IF(_xlfn.XLOOKUP($A230&amp;$B230&amp;$C230,盘货信息!$A:$A&amp;盘货信息!$B:$B&amp;盘货信息!$C:$C,盘货信息!$AB:$AB)="","",_xlfn.XLOOKUP($A230&amp;$B230&amp;$C230,盘货信息!$A:$A&amp;盘货信息!$B:$B&amp;盘货信息!$C:$C,盘货信息!$AB:$AB))</f>
        <v/>
      </c>
      <c r="G230" s="18"/>
    </row>
    <row r="231" customHeight="1" spans="1:7">
      <c r="A231" s="20" t="str">
        <f>IF(盘货信息!A231="","",盘货信息!A231)</f>
        <v/>
      </c>
      <c r="B231" s="17" t="str">
        <f>IF(盘货信息!B231="","",盘货信息!B231)</f>
        <v/>
      </c>
      <c r="C231" s="20" t="str">
        <f>IF(盘货信息!C231="","",盘货信息!C231)</f>
        <v/>
      </c>
      <c r="D231" s="18" t="str">
        <f t="shared" si="3"/>
        <v/>
      </c>
      <c r="E231" s="18" t="str" cm="1">
        <f t="array" ref="E231">IF(_xlfn.XLOOKUP($A231&amp;$B231&amp;$C231,盘货信息!$A:$A&amp;盘货信息!$B:$B&amp;盘货信息!$C:$C,盘货信息!$AA:$AA)="","",_xlfn.XLOOKUP($A231&amp;$B231&amp;$C231,盘货信息!$A:$A&amp;盘货信息!$B:$B&amp;盘货信息!$C:$C,盘货信息!$AA:$AA)&amp;"免息")</f>
        <v/>
      </c>
      <c r="F231" s="18" t="str" cm="1">
        <f t="array" ref="F231">IF(_xlfn.XLOOKUP($A231&amp;$B231&amp;$C231,盘货信息!$A:$A&amp;盘货信息!$B:$B&amp;盘货信息!$C:$C,盘货信息!$AB:$AB)="","",_xlfn.XLOOKUP($A231&amp;$B231&amp;$C231,盘货信息!$A:$A&amp;盘货信息!$B:$B&amp;盘货信息!$C:$C,盘货信息!$AB:$AB))</f>
        <v/>
      </c>
      <c r="G231" s="18"/>
    </row>
    <row r="232" customHeight="1" spans="1:7">
      <c r="A232" s="20" t="str">
        <f>IF(盘货信息!A232="","",盘货信息!A232)</f>
        <v/>
      </c>
      <c r="B232" s="17" t="str">
        <f>IF(盘货信息!B232="","",盘货信息!B232)</f>
        <v/>
      </c>
      <c r="C232" s="20" t="str">
        <f>IF(盘货信息!C232="","",盘货信息!C232)</f>
        <v/>
      </c>
      <c r="D232" s="18" t="str">
        <f t="shared" si="3"/>
        <v/>
      </c>
      <c r="E232" s="18" t="str" cm="1">
        <f t="array" ref="E232">IF(_xlfn.XLOOKUP($A232&amp;$B232&amp;$C232,盘货信息!$A:$A&amp;盘货信息!$B:$B&amp;盘货信息!$C:$C,盘货信息!$AA:$AA)="","",_xlfn.XLOOKUP($A232&amp;$B232&amp;$C232,盘货信息!$A:$A&amp;盘货信息!$B:$B&amp;盘货信息!$C:$C,盘货信息!$AA:$AA)&amp;"免息")</f>
        <v/>
      </c>
      <c r="F232" s="18" t="str" cm="1">
        <f t="array" ref="F232">IF(_xlfn.XLOOKUP($A232&amp;$B232&amp;$C232,盘货信息!$A:$A&amp;盘货信息!$B:$B&amp;盘货信息!$C:$C,盘货信息!$AB:$AB)="","",_xlfn.XLOOKUP($A232&amp;$B232&amp;$C232,盘货信息!$A:$A&amp;盘货信息!$B:$B&amp;盘货信息!$C:$C,盘货信息!$AB:$AB))</f>
        <v/>
      </c>
      <c r="G232" s="18"/>
    </row>
    <row r="233" customHeight="1" spans="1:7">
      <c r="A233" s="20" t="str">
        <f>IF(盘货信息!A233="","",盘货信息!A233)</f>
        <v/>
      </c>
      <c r="B233" s="17" t="str">
        <f>IF(盘货信息!B233="","",盘货信息!B233)</f>
        <v/>
      </c>
      <c r="C233" s="20" t="str">
        <f>IF(盘货信息!C233="","",盘货信息!C233)</f>
        <v/>
      </c>
      <c r="D233" s="18" t="str">
        <f t="shared" si="3"/>
        <v/>
      </c>
      <c r="E233" s="18" t="str" cm="1">
        <f t="array" ref="E233">IF(_xlfn.XLOOKUP($A233&amp;$B233&amp;$C233,盘货信息!$A:$A&amp;盘货信息!$B:$B&amp;盘货信息!$C:$C,盘货信息!$AA:$AA)="","",_xlfn.XLOOKUP($A233&amp;$B233&amp;$C233,盘货信息!$A:$A&amp;盘货信息!$B:$B&amp;盘货信息!$C:$C,盘货信息!$AA:$AA)&amp;"免息")</f>
        <v/>
      </c>
      <c r="F233" s="18" t="str" cm="1">
        <f t="array" ref="F233">IF(_xlfn.XLOOKUP($A233&amp;$B233&amp;$C233,盘货信息!$A:$A&amp;盘货信息!$B:$B&amp;盘货信息!$C:$C,盘货信息!$AB:$AB)="","",_xlfn.XLOOKUP($A233&amp;$B233&amp;$C233,盘货信息!$A:$A&amp;盘货信息!$B:$B&amp;盘货信息!$C:$C,盘货信息!$AB:$AB))</f>
        <v/>
      </c>
      <c r="G233" s="18"/>
    </row>
    <row r="234" customHeight="1" spans="1:7">
      <c r="A234" s="20" t="str">
        <f>IF(盘货信息!A234="","",盘货信息!A234)</f>
        <v/>
      </c>
      <c r="B234" s="17" t="str">
        <f>IF(盘货信息!B234="","",盘货信息!B234)</f>
        <v/>
      </c>
      <c r="C234" s="20" t="str">
        <f>IF(盘货信息!C234="","",盘货信息!C234)</f>
        <v/>
      </c>
      <c r="D234" s="18" t="str">
        <f t="shared" si="3"/>
        <v/>
      </c>
      <c r="E234" s="18" t="str" cm="1">
        <f t="array" ref="E234">IF(_xlfn.XLOOKUP($A234&amp;$B234&amp;$C234,盘货信息!$A:$A&amp;盘货信息!$B:$B&amp;盘货信息!$C:$C,盘货信息!$AA:$AA)="","",_xlfn.XLOOKUP($A234&amp;$B234&amp;$C234,盘货信息!$A:$A&amp;盘货信息!$B:$B&amp;盘货信息!$C:$C,盘货信息!$AA:$AA)&amp;"免息")</f>
        <v/>
      </c>
      <c r="F234" s="18" t="str" cm="1">
        <f t="array" ref="F234">IF(_xlfn.XLOOKUP($A234&amp;$B234&amp;$C234,盘货信息!$A:$A&amp;盘货信息!$B:$B&amp;盘货信息!$C:$C,盘货信息!$AB:$AB)="","",_xlfn.XLOOKUP($A234&amp;$B234&amp;$C234,盘货信息!$A:$A&amp;盘货信息!$B:$B&amp;盘货信息!$C:$C,盘货信息!$AB:$AB))</f>
        <v/>
      </c>
      <c r="G234" s="18"/>
    </row>
    <row r="235" customHeight="1" spans="1:7">
      <c r="A235" s="20" t="str">
        <f>IF(盘货信息!A235="","",盘货信息!A235)</f>
        <v/>
      </c>
      <c r="B235" s="17" t="str">
        <f>IF(盘货信息!B235="","",盘货信息!B235)</f>
        <v/>
      </c>
      <c r="C235" s="20" t="str">
        <f>IF(盘货信息!C235="","",盘货信息!C235)</f>
        <v/>
      </c>
      <c r="D235" s="18" t="str">
        <f t="shared" si="3"/>
        <v/>
      </c>
      <c r="E235" s="18" t="str" cm="1">
        <f t="array" ref="E235">IF(_xlfn.XLOOKUP($A235&amp;$B235&amp;$C235,盘货信息!$A:$A&amp;盘货信息!$B:$B&amp;盘货信息!$C:$C,盘货信息!$AA:$AA)="","",_xlfn.XLOOKUP($A235&amp;$B235&amp;$C235,盘货信息!$A:$A&amp;盘货信息!$B:$B&amp;盘货信息!$C:$C,盘货信息!$AA:$AA)&amp;"免息")</f>
        <v/>
      </c>
      <c r="F235" s="18" t="str" cm="1">
        <f t="array" ref="F235">IF(_xlfn.XLOOKUP($A235&amp;$B235&amp;$C235,盘货信息!$A:$A&amp;盘货信息!$B:$B&amp;盘货信息!$C:$C,盘货信息!$AB:$AB)="","",_xlfn.XLOOKUP($A235&amp;$B235&amp;$C235,盘货信息!$A:$A&amp;盘货信息!$B:$B&amp;盘货信息!$C:$C,盘货信息!$AB:$AB))</f>
        <v/>
      </c>
      <c r="G235" s="18"/>
    </row>
    <row r="236" customHeight="1" spans="1:7">
      <c r="A236" s="20" t="str">
        <f>IF(盘货信息!A236="","",盘货信息!A236)</f>
        <v/>
      </c>
      <c r="B236" s="17" t="str">
        <f>IF(盘货信息!B236="","",盘货信息!B236)</f>
        <v/>
      </c>
      <c r="C236" s="20" t="str">
        <f>IF(盘货信息!C236="","",盘货信息!C236)</f>
        <v/>
      </c>
      <c r="D236" s="18" t="str">
        <f t="shared" si="3"/>
        <v/>
      </c>
      <c r="E236" s="18" t="str" cm="1">
        <f t="array" ref="E236">IF(_xlfn.XLOOKUP($A236&amp;$B236&amp;$C236,盘货信息!$A:$A&amp;盘货信息!$B:$B&amp;盘货信息!$C:$C,盘货信息!$AA:$AA)="","",_xlfn.XLOOKUP($A236&amp;$B236&amp;$C236,盘货信息!$A:$A&amp;盘货信息!$B:$B&amp;盘货信息!$C:$C,盘货信息!$AA:$AA)&amp;"免息")</f>
        <v/>
      </c>
      <c r="F236" s="18" t="str" cm="1">
        <f t="array" ref="F236">IF(_xlfn.XLOOKUP($A236&amp;$B236&amp;$C236,盘货信息!$A:$A&amp;盘货信息!$B:$B&amp;盘货信息!$C:$C,盘货信息!$AB:$AB)="","",_xlfn.XLOOKUP($A236&amp;$B236&amp;$C236,盘货信息!$A:$A&amp;盘货信息!$B:$B&amp;盘货信息!$C:$C,盘货信息!$AB:$AB))</f>
        <v/>
      </c>
      <c r="G236" s="18"/>
    </row>
    <row r="237" customHeight="1" spans="1:7">
      <c r="A237" s="20" t="str">
        <f>IF(盘货信息!A237="","",盘货信息!A237)</f>
        <v/>
      </c>
      <c r="B237" s="17" t="str">
        <f>IF(盘货信息!B237="","",盘货信息!B237)</f>
        <v/>
      </c>
      <c r="C237" s="20" t="str">
        <f>IF(盘货信息!C237="","",盘货信息!C237)</f>
        <v/>
      </c>
      <c r="D237" s="18" t="str">
        <f t="shared" si="3"/>
        <v/>
      </c>
      <c r="E237" s="18" t="str" cm="1">
        <f t="array" ref="E237">IF(_xlfn.XLOOKUP($A237&amp;$B237&amp;$C237,盘货信息!$A:$A&amp;盘货信息!$B:$B&amp;盘货信息!$C:$C,盘货信息!$AA:$AA)="","",_xlfn.XLOOKUP($A237&amp;$B237&amp;$C237,盘货信息!$A:$A&amp;盘货信息!$B:$B&amp;盘货信息!$C:$C,盘货信息!$AA:$AA)&amp;"免息")</f>
        <v/>
      </c>
      <c r="F237" s="18" t="str" cm="1">
        <f t="array" ref="F237">IF(_xlfn.XLOOKUP($A237&amp;$B237&amp;$C237,盘货信息!$A:$A&amp;盘货信息!$B:$B&amp;盘货信息!$C:$C,盘货信息!$AB:$AB)="","",_xlfn.XLOOKUP($A237&amp;$B237&amp;$C237,盘货信息!$A:$A&amp;盘货信息!$B:$B&amp;盘货信息!$C:$C,盘货信息!$AB:$AB))</f>
        <v/>
      </c>
      <c r="G237" s="18"/>
    </row>
    <row r="238" customHeight="1" spans="1:7">
      <c r="A238" s="20" t="str">
        <f>IF(盘货信息!A238="","",盘货信息!A238)</f>
        <v/>
      </c>
      <c r="B238" s="17" t="str">
        <f>IF(盘货信息!B238="","",盘货信息!B238)</f>
        <v/>
      </c>
      <c r="C238" s="20" t="str">
        <f>IF(盘货信息!C238="","",盘货信息!C238)</f>
        <v/>
      </c>
      <c r="D238" s="18" t="str">
        <f t="shared" si="3"/>
        <v/>
      </c>
      <c r="E238" s="18" t="str" cm="1">
        <f t="array" ref="E238">IF(_xlfn.XLOOKUP($A238&amp;$B238&amp;$C238,盘货信息!$A:$A&amp;盘货信息!$B:$B&amp;盘货信息!$C:$C,盘货信息!$AA:$AA)="","",_xlfn.XLOOKUP($A238&amp;$B238&amp;$C238,盘货信息!$A:$A&amp;盘货信息!$B:$B&amp;盘货信息!$C:$C,盘货信息!$AA:$AA)&amp;"免息")</f>
        <v/>
      </c>
      <c r="F238" s="18" t="str" cm="1">
        <f t="array" ref="F238">IF(_xlfn.XLOOKUP($A238&amp;$B238&amp;$C238,盘货信息!$A:$A&amp;盘货信息!$B:$B&amp;盘货信息!$C:$C,盘货信息!$AB:$AB)="","",_xlfn.XLOOKUP($A238&amp;$B238&amp;$C238,盘货信息!$A:$A&amp;盘货信息!$B:$B&amp;盘货信息!$C:$C,盘货信息!$AB:$AB))</f>
        <v/>
      </c>
      <c r="G238" s="18"/>
    </row>
    <row r="239" customHeight="1" spans="1:7">
      <c r="A239" s="20" t="str">
        <f>IF(盘货信息!A239="","",盘货信息!A239)</f>
        <v/>
      </c>
      <c r="B239" s="17" t="str">
        <f>IF(盘货信息!B239="","",盘货信息!B239)</f>
        <v/>
      </c>
      <c r="C239" s="20" t="str">
        <f>IF(盘货信息!C239="","",盘货信息!C239)</f>
        <v/>
      </c>
      <c r="D239" s="18" t="str">
        <f t="shared" si="3"/>
        <v/>
      </c>
      <c r="E239" s="18" t="str" cm="1">
        <f t="array" ref="E239">IF(_xlfn.XLOOKUP($A239&amp;$B239&amp;$C239,盘货信息!$A:$A&amp;盘货信息!$B:$B&amp;盘货信息!$C:$C,盘货信息!$AA:$AA)="","",_xlfn.XLOOKUP($A239&amp;$B239&amp;$C239,盘货信息!$A:$A&amp;盘货信息!$B:$B&amp;盘货信息!$C:$C,盘货信息!$AA:$AA)&amp;"免息")</f>
        <v/>
      </c>
      <c r="F239" s="18" t="str" cm="1">
        <f t="array" ref="F239">IF(_xlfn.XLOOKUP($A239&amp;$B239&amp;$C239,盘货信息!$A:$A&amp;盘货信息!$B:$B&amp;盘货信息!$C:$C,盘货信息!$AB:$AB)="","",_xlfn.XLOOKUP($A239&amp;$B239&amp;$C239,盘货信息!$A:$A&amp;盘货信息!$B:$B&amp;盘货信息!$C:$C,盘货信息!$AB:$AB))</f>
        <v/>
      </c>
      <c r="G239" s="18"/>
    </row>
    <row r="240" customHeight="1" spans="1:7">
      <c r="A240" s="20" t="str">
        <f>IF(盘货信息!A240="","",盘货信息!A240)</f>
        <v/>
      </c>
      <c r="B240" s="17" t="str">
        <f>IF(盘货信息!B240="","",盘货信息!B240)</f>
        <v/>
      </c>
      <c r="C240" s="20" t="str">
        <f>IF(盘货信息!C240="","",盘货信息!C240)</f>
        <v/>
      </c>
      <c r="D240" s="18" t="str">
        <f t="shared" si="3"/>
        <v/>
      </c>
      <c r="E240" s="18" t="str" cm="1">
        <f t="array" ref="E240">IF(_xlfn.XLOOKUP($A240&amp;$B240&amp;$C240,盘货信息!$A:$A&amp;盘货信息!$B:$B&amp;盘货信息!$C:$C,盘货信息!$AA:$AA)="","",_xlfn.XLOOKUP($A240&amp;$B240&amp;$C240,盘货信息!$A:$A&amp;盘货信息!$B:$B&amp;盘货信息!$C:$C,盘货信息!$AA:$AA)&amp;"免息")</f>
        <v/>
      </c>
      <c r="F240" s="18" t="str" cm="1">
        <f t="array" ref="F240">IF(_xlfn.XLOOKUP($A240&amp;$B240&amp;$C240,盘货信息!$A:$A&amp;盘货信息!$B:$B&amp;盘货信息!$C:$C,盘货信息!$AB:$AB)="","",_xlfn.XLOOKUP($A240&amp;$B240&amp;$C240,盘货信息!$A:$A&amp;盘货信息!$B:$B&amp;盘货信息!$C:$C,盘货信息!$AB:$AB))</f>
        <v/>
      </c>
      <c r="G240" s="18"/>
    </row>
    <row r="241" customHeight="1" spans="1:7">
      <c r="A241" s="20" t="str">
        <f>IF(盘货信息!A241="","",盘货信息!A241)</f>
        <v/>
      </c>
      <c r="B241" s="17" t="str">
        <f>IF(盘货信息!B241="","",盘货信息!B241)</f>
        <v/>
      </c>
      <c r="C241" s="20" t="str">
        <f>IF(盘货信息!C241="","",盘货信息!C241)</f>
        <v/>
      </c>
      <c r="D241" s="18" t="str">
        <f t="shared" si="3"/>
        <v/>
      </c>
      <c r="E241" s="18" t="str" cm="1">
        <f t="array" ref="E241">IF(_xlfn.XLOOKUP($A241&amp;$B241&amp;$C241,盘货信息!$A:$A&amp;盘货信息!$B:$B&amp;盘货信息!$C:$C,盘货信息!$AA:$AA)="","",_xlfn.XLOOKUP($A241&amp;$B241&amp;$C241,盘货信息!$A:$A&amp;盘货信息!$B:$B&amp;盘货信息!$C:$C,盘货信息!$AA:$AA)&amp;"免息")</f>
        <v/>
      </c>
      <c r="F241" s="18" t="str" cm="1">
        <f t="array" ref="F241">IF(_xlfn.XLOOKUP($A241&amp;$B241&amp;$C241,盘货信息!$A:$A&amp;盘货信息!$B:$B&amp;盘货信息!$C:$C,盘货信息!$AB:$AB)="","",_xlfn.XLOOKUP($A241&amp;$B241&amp;$C241,盘货信息!$A:$A&amp;盘货信息!$B:$B&amp;盘货信息!$C:$C,盘货信息!$AB:$AB))</f>
        <v/>
      </c>
      <c r="G241" s="18"/>
    </row>
    <row r="242" customHeight="1" spans="1:7">
      <c r="A242" s="20" t="str">
        <f>IF(盘货信息!A242="","",盘货信息!A242)</f>
        <v/>
      </c>
      <c r="B242" s="17" t="str">
        <f>IF(盘货信息!B242="","",盘货信息!B242)</f>
        <v/>
      </c>
      <c r="C242" s="20" t="str">
        <f>IF(盘货信息!C242="","",盘货信息!C242)</f>
        <v/>
      </c>
      <c r="D242" s="18" t="str">
        <f t="shared" si="3"/>
        <v/>
      </c>
      <c r="E242" s="18" t="str" cm="1">
        <f t="array" ref="E242">IF(_xlfn.XLOOKUP($A242&amp;$B242&amp;$C242,盘货信息!$A:$A&amp;盘货信息!$B:$B&amp;盘货信息!$C:$C,盘货信息!$AA:$AA)="","",_xlfn.XLOOKUP($A242&amp;$B242&amp;$C242,盘货信息!$A:$A&amp;盘货信息!$B:$B&amp;盘货信息!$C:$C,盘货信息!$AA:$AA)&amp;"免息")</f>
        <v/>
      </c>
      <c r="F242" s="18" t="str" cm="1">
        <f t="array" ref="F242">IF(_xlfn.XLOOKUP($A242&amp;$B242&amp;$C242,盘货信息!$A:$A&amp;盘货信息!$B:$B&amp;盘货信息!$C:$C,盘货信息!$AB:$AB)="","",_xlfn.XLOOKUP($A242&amp;$B242&amp;$C242,盘货信息!$A:$A&amp;盘货信息!$B:$B&amp;盘货信息!$C:$C,盘货信息!$AB:$AB))</f>
        <v/>
      </c>
      <c r="G242" s="18"/>
    </row>
    <row r="243" customHeight="1" spans="1:7">
      <c r="A243" s="20" t="str">
        <f>IF(盘货信息!A243="","",盘货信息!A243)</f>
        <v/>
      </c>
      <c r="B243" s="17" t="str">
        <f>IF(盘货信息!B243="","",盘货信息!B243)</f>
        <v/>
      </c>
      <c r="C243" s="20" t="str">
        <f>IF(盘货信息!C243="","",盘货信息!C243)</f>
        <v/>
      </c>
      <c r="D243" s="18" t="str">
        <f t="shared" si="3"/>
        <v/>
      </c>
      <c r="E243" s="18" t="str" cm="1">
        <f t="array" ref="E243">IF(_xlfn.XLOOKUP($A243&amp;$B243&amp;$C243,盘货信息!$A:$A&amp;盘货信息!$B:$B&amp;盘货信息!$C:$C,盘货信息!$AA:$AA)="","",_xlfn.XLOOKUP($A243&amp;$B243&amp;$C243,盘货信息!$A:$A&amp;盘货信息!$B:$B&amp;盘货信息!$C:$C,盘货信息!$AA:$AA)&amp;"免息")</f>
        <v/>
      </c>
      <c r="F243" s="18" t="str" cm="1">
        <f t="array" ref="F243">IF(_xlfn.XLOOKUP($A243&amp;$B243&amp;$C243,盘货信息!$A:$A&amp;盘货信息!$B:$B&amp;盘货信息!$C:$C,盘货信息!$AB:$AB)="","",_xlfn.XLOOKUP($A243&amp;$B243&amp;$C243,盘货信息!$A:$A&amp;盘货信息!$B:$B&amp;盘货信息!$C:$C,盘货信息!$AB:$AB))</f>
        <v/>
      </c>
      <c r="G243" s="18"/>
    </row>
    <row r="244" customHeight="1" spans="1:7">
      <c r="A244" s="20" t="str">
        <f>IF(盘货信息!A244="","",盘货信息!A244)</f>
        <v/>
      </c>
      <c r="B244" s="17" t="str">
        <f>IF(盘货信息!B244="","",盘货信息!B244)</f>
        <v/>
      </c>
      <c r="C244" s="20" t="str">
        <f>IF(盘货信息!C244="","",盘货信息!C244)</f>
        <v/>
      </c>
      <c r="D244" s="18" t="str">
        <f t="shared" si="3"/>
        <v/>
      </c>
      <c r="E244" s="18" t="str" cm="1">
        <f t="array" ref="E244">IF(_xlfn.XLOOKUP($A244&amp;$B244&amp;$C244,盘货信息!$A:$A&amp;盘货信息!$B:$B&amp;盘货信息!$C:$C,盘货信息!$AA:$AA)="","",_xlfn.XLOOKUP($A244&amp;$B244&amp;$C244,盘货信息!$A:$A&amp;盘货信息!$B:$B&amp;盘货信息!$C:$C,盘货信息!$AA:$AA)&amp;"免息")</f>
        <v/>
      </c>
      <c r="F244" s="18" t="str" cm="1">
        <f t="array" ref="F244">IF(_xlfn.XLOOKUP($A244&amp;$B244&amp;$C244,盘货信息!$A:$A&amp;盘货信息!$B:$B&amp;盘货信息!$C:$C,盘货信息!$AB:$AB)="","",_xlfn.XLOOKUP($A244&amp;$B244&amp;$C244,盘货信息!$A:$A&amp;盘货信息!$B:$B&amp;盘货信息!$C:$C,盘货信息!$AB:$AB))</f>
        <v/>
      </c>
      <c r="G244" s="18"/>
    </row>
    <row r="245" customHeight="1" spans="1:7">
      <c r="A245" s="20" t="str">
        <f>IF(盘货信息!A245="","",盘货信息!A245)</f>
        <v/>
      </c>
      <c r="B245" s="17" t="str">
        <f>IF(盘货信息!B245="","",盘货信息!B245)</f>
        <v/>
      </c>
      <c r="C245" s="20" t="str">
        <f>IF(盘货信息!C245="","",盘货信息!C245)</f>
        <v/>
      </c>
      <c r="D245" s="18" t="str">
        <f t="shared" si="3"/>
        <v/>
      </c>
      <c r="E245" s="18" t="str" cm="1">
        <f t="array" ref="E245">IF(_xlfn.XLOOKUP($A245&amp;$B245&amp;$C245,盘货信息!$A:$A&amp;盘货信息!$B:$B&amp;盘货信息!$C:$C,盘货信息!$AA:$AA)="","",_xlfn.XLOOKUP($A245&amp;$B245&amp;$C245,盘货信息!$A:$A&amp;盘货信息!$B:$B&amp;盘货信息!$C:$C,盘货信息!$AA:$AA)&amp;"免息")</f>
        <v/>
      </c>
      <c r="F245" s="18" t="str" cm="1">
        <f t="array" ref="F245">IF(_xlfn.XLOOKUP($A245&amp;$B245&amp;$C245,盘货信息!$A:$A&amp;盘货信息!$B:$B&amp;盘货信息!$C:$C,盘货信息!$AB:$AB)="","",_xlfn.XLOOKUP($A245&amp;$B245&amp;$C245,盘货信息!$A:$A&amp;盘货信息!$B:$B&amp;盘货信息!$C:$C,盘货信息!$AB:$AB))</f>
        <v/>
      </c>
      <c r="G245" s="18"/>
    </row>
    <row r="246" customHeight="1" spans="1:7">
      <c r="A246" s="20" t="str">
        <f>IF(盘货信息!A246="","",盘货信息!A246)</f>
        <v/>
      </c>
      <c r="B246" s="17" t="str">
        <f>IF(盘货信息!B246="","",盘货信息!B246)</f>
        <v/>
      </c>
      <c r="C246" s="20" t="str">
        <f>IF(盘货信息!C246="","",盘货信息!C246)</f>
        <v/>
      </c>
      <c r="D246" s="18" t="str">
        <f t="shared" si="3"/>
        <v/>
      </c>
      <c r="E246" s="18" t="str" cm="1">
        <f t="array" ref="E246">IF(_xlfn.XLOOKUP($A246&amp;$B246&amp;$C246,盘货信息!$A:$A&amp;盘货信息!$B:$B&amp;盘货信息!$C:$C,盘货信息!$AA:$AA)="","",_xlfn.XLOOKUP($A246&amp;$B246&amp;$C246,盘货信息!$A:$A&amp;盘货信息!$B:$B&amp;盘货信息!$C:$C,盘货信息!$AA:$AA)&amp;"免息")</f>
        <v/>
      </c>
      <c r="F246" s="18" t="str" cm="1">
        <f t="array" ref="F246">IF(_xlfn.XLOOKUP($A246&amp;$B246&amp;$C246,盘货信息!$A:$A&amp;盘货信息!$B:$B&amp;盘货信息!$C:$C,盘货信息!$AB:$AB)="","",_xlfn.XLOOKUP($A246&amp;$B246&amp;$C246,盘货信息!$A:$A&amp;盘货信息!$B:$B&amp;盘货信息!$C:$C,盘货信息!$AB:$AB))</f>
        <v/>
      </c>
      <c r="G246" s="18"/>
    </row>
    <row r="247" customHeight="1" spans="1:7">
      <c r="A247" s="20" t="str">
        <f>IF(盘货信息!A247="","",盘货信息!A247)</f>
        <v/>
      </c>
      <c r="B247" s="17" t="str">
        <f>IF(盘货信息!B247="","",盘货信息!B247)</f>
        <v/>
      </c>
      <c r="C247" s="20" t="str">
        <f>IF(盘货信息!C247="","",盘货信息!C247)</f>
        <v/>
      </c>
      <c r="D247" s="18" t="str">
        <f t="shared" si="3"/>
        <v/>
      </c>
      <c r="E247" s="18" t="str" cm="1">
        <f t="array" ref="E247">IF(_xlfn.XLOOKUP($A247&amp;$B247&amp;$C247,盘货信息!$A:$A&amp;盘货信息!$B:$B&amp;盘货信息!$C:$C,盘货信息!$AA:$AA)="","",_xlfn.XLOOKUP($A247&amp;$B247&amp;$C247,盘货信息!$A:$A&amp;盘货信息!$B:$B&amp;盘货信息!$C:$C,盘货信息!$AA:$AA)&amp;"免息")</f>
        <v/>
      </c>
      <c r="F247" s="18" t="str" cm="1">
        <f t="array" ref="F247">IF(_xlfn.XLOOKUP($A247&amp;$B247&amp;$C247,盘货信息!$A:$A&amp;盘货信息!$B:$B&amp;盘货信息!$C:$C,盘货信息!$AB:$AB)="","",_xlfn.XLOOKUP($A247&amp;$B247&amp;$C247,盘货信息!$A:$A&amp;盘货信息!$B:$B&amp;盘货信息!$C:$C,盘货信息!$AB:$AB))</f>
        <v/>
      </c>
      <c r="G247" s="18"/>
    </row>
    <row r="248" customHeight="1" spans="1:7">
      <c r="A248" s="20" t="str">
        <f>IF(盘货信息!A248="","",盘货信息!A248)</f>
        <v/>
      </c>
      <c r="B248" s="17" t="str">
        <f>IF(盘货信息!B248="","",盘货信息!B248)</f>
        <v/>
      </c>
      <c r="C248" s="20" t="str">
        <f>IF(盘货信息!C248="","",盘货信息!C248)</f>
        <v/>
      </c>
      <c r="D248" s="18" t="str">
        <f t="shared" si="3"/>
        <v/>
      </c>
      <c r="E248" s="18" t="str" cm="1">
        <f t="array" ref="E248">IF(_xlfn.XLOOKUP($A248&amp;$B248&amp;$C248,盘货信息!$A:$A&amp;盘货信息!$B:$B&amp;盘货信息!$C:$C,盘货信息!$AA:$AA)="","",_xlfn.XLOOKUP($A248&amp;$B248&amp;$C248,盘货信息!$A:$A&amp;盘货信息!$B:$B&amp;盘货信息!$C:$C,盘货信息!$AA:$AA)&amp;"免息")</f>
        <v/>
      </c>
      <c r="F248" s="18" t="str" cm="1">
        <f t="array" ref="F248">IF(_xlfn.XLOOKUP($A248&amp;$B248&amp;$C248,盘货信息!$A:$A&amp;盘货信息!$B:$B&amp;盘货信息!$C:$C,盘货信息!$AB:$AB)="","",_xlfn.XLOOKUP($A248&amp;$B248&amp;$C248,盘货信息!$A:$A&amp;盘货信息!$B:$B&amp;盘货信息!$C:$C,盘货信息!$AB:$AB))</f>
        <v/>
      </c>
      <c r="G248" s="18"/>
    </row>
    <row r="249" customHeight="1" spans="1:7">
      <c r="A249" s="20" t="str">
        <f>IF(盘货信息!A249="","",盘货信息!A249)</f>
        <v/>
      </c>
      <c r="B249" s="17" t="str">
        <f>IF(盘货信息!B249="","",盘货信息!B249)</f>
        <v/>
      </c>
      <c r="C249" s="20" t="str">
        <f>IF(盘货信息!C249="","",盘货信息!C249)</f>
        <v/>
      </c>
      <c r="D249" s="18" t="str">
        <f t="shared" si="3"/>
        <v/>
      </c>
      <c r="E249" s="18" t="str" cm="1">
        <f t="array" ref="E249">IF(_xlfn.XLOOKUP($A249&amp;$B249&amp;$C249,盘货信息!$A:$A&amp;盘货信息!$B:$B&amp;盘货信息!$C:$C,盘货信息!$AA:$AA)="","",_xlfn.XLOOKUP($A249&amp;$B249&amp;$C249,盘货信息!$A:$A&amp;盘货信息!$B:$B&amp;盘货信息!$C:$C,盘货信息!$AA:$AA)&amp;"免息")</f>
        <v/>
      </c>
      <c r="F249" s="18" t="str" cm="1">
        <f t="array" ref="F249">IF(_xlfn.XLOOKUP($A249&amp;$B249&amp;$C249,盘货信息!$A:$A&amp;盘货信息!$B:$B&amp;盘货信息!$C:$C,盘货信息!$AB:$AB)="","",_xlfn.XLOOKUP($A249&amp;$B249&amp;$C249,盘货信息!$A:$A&amp;盘货信息!$B:$B&amp;盘货信息!$C:$C,盘货信息!$AB:$AB))</f>
        <v/>
      </c>
      <c r="G249" s="18"/>
    </row>
    <row r="250" customHeight="1" spans="1:7">
      <c r="A250" s="20" t="str">
        <f>IF(盘货信息!A250="","",盘货信息!A250)</f>
        <v/>
      </c>
      <c r="B250" s="17" t="str">
        <f>IF(盘货信息!B250="","",盘货信息!B250)</f>
        <v/>
      </c>
      <c r="C250" s="20" t="str">
        <f>IF(盘货信息!C250="","",盘货信息!C250)</f>
        <v/>
      </c>
      <c r="D250" s="18" t="str">
        <f t="shared" si="3"/>
        <v/>
      </c>
      <c r="E250" s="18" t="str" cm="1">
        <f t="array" ref="E250">IF(_xlfn.XLOOKUP($A250&amp;$B250&amp;$C250,盘货信息!$A:$A&amp;盘货信息!$B:$B&amp;盘货信息!$C:$C,盘货信息!$AA:$AA)="","",_xlfn.XLOOKUP($A250&amp;$B250&amp;$C250,盘货信息!$A:$A&amp;盘货信息!$B:$B&amp;盘货信息!$C:$C,盘货信息!$AA:$AA)&amp;"免息")</f>
        <v/>
      </c>
      <c r="F250" s="18" t="str" cm="1">
        <f t="array" ref="F250">IF(_xlfn.XLOOKUP($A250&amp;$B250&amp;$C250,盘货信息!$A:$A&amp;盘货信息!$B:$B&amp;盘货信息!$C:$C,盘货信息!$AB:$AB)="","",_xlfn.XLOOKUP($A250&amp;$B250&amp;$C250,盘货信息!$A:$A&amp;盘货信息!$B:$B&amp;盘货信息!$C:$C,盘货信息!$AB:$AB))</f>
        <v/>
      </c>
      <c r="G250" s="18"/>
    </row>
    <row r="251" customHeight="1" spans="1:7">
      <c r="A251" s="20" t="str">
        <f>IF(盘货信息!A251="","",盘货信息!A251)</f>
        <v/>
      </c>
      <c r="B251" s="17" t="str">
        <f>IF(盘货信息!B251="","",盘货信息!B251)</f>
        <v/>
      </c>
      <c r="C251" s="20" t="str">
        <f>IF(盘货信息!C251="","",盘货信息!C251)</f>
        <v/>
      </c>
      <c r="D251" s="18" t="str">
        <f t="shared" si="3"/>
        <v/>
      </c>
      <c r="E251" s="18" t="str" cm="1">
        <f t="array" ref="E251">IF(_xlfn.XLOOKUP($A251&amp;$B251&amp;$C251,盘货信息!$A:$A&amp;盘货信息!$B:$B&amp;盘货信息!$C:$C,盘货信息!$AA:$AA)="","",_xlfn.XLOOKUP($A251&amp;$B251&amp;$C251,盘货信息!$A:$A&amp;盘货信息!$B:$B&amp;盘货信息!$C:$C,盘货信息!$AA:$AA)&amp;"免息")</f>
        <v/>
      </c>
      <c r="F251" s="18" t="str" cm="1">
        <f t="array" ref="F251">IF(_xlfn.XLOOKUP($A251&amp;$B251&amp;$C251,盘货信息!$A:$A&amp;盘货信息!$B:$B&amp;盘货信息!$C:$C,盘货信息!$AB:$AB)="","",_xlfn.XLOOKUP($A251&amp;$B251&amp;$C251,盘货信息!$A:$A&amp;盘货信息!$B:$B&amp;盘货信息!$C:$C,盘货信息!$AB:$AB))</f>
        <v/>
      </c>
      <c r="G251" s="18"/>
    </row>
    <row r="252" customHeight="1" spans="1:7">
      <c r="A252" s="20" t="str">
        <f>IF(盘货信息!A252="","",盘货信息!A252)</f>
        <v/>
      </c>
      <c r="B252" s="17" t="str">
        <f>IF(盘货信息!B252="","",盘货信息!B252)</f>
        <v/>
      </c>
      <c r="C252" s="20" t="str">
        <f>IF(盘货信息!C252="","",盘货信息!C252)</f>
        <v/>
      </c>
      <c r="D252" s="18" t="str">
        <f t="shared" si="3"/>
        <v/>
      </c>
      <c r="E252" s="18" t="str" cm="1">
        <f t="array" ref="E252">IF(_xlfn.XLOOKUP($A252&amp;$B252&amp;$C252,盘货信息!$A:$A&amp;盘货信息!$B:$B&amp;盘货信息!$C:$C,盘货信息!$AA:$AA)="","",_xlfn.XLOOKUP($A252&amp;$B252&amp;$C252,盘货信息!$A:$A&amp;盘货信息!$B:$B&amp;盘货信息!$C:$C,盘货信息!$AA:$AA)&amp;"免息")</f>
        <v/>
      </c>
      <c r="F252" s="18" t="str" cm="1">
        <f t="array" ref="F252">IF(_xlfn.XLOOKUP($A252&amp;$B252&amp;$C252,盘货信息!$A:$A&amp;盘货信息!$B:$B&amp;盘货信息!$C:$C,盘货信息!$AB:$AB)="","",_xlfn.XLOOKUP($A252&amp;$B252&amp;$C252,盘货信息!$A:$A&amp;盘货信息!$B:$B&amp;盘货信息!$C:$C,盘货信息!$AB:$AB))</f>
        <v/>
      </c>
      <c r="G252" s="18"/>
    </row>
    <row r="253" customHeight="1" spans="1:7">
      <c r="A253" s="20" t="str">
        <f>IF(盘货信息!A253="","",盘货信息!A253)</f>
        <v/>
      </c>
      <c r="B253" s="17" t="str">
        <f>IF(盘货信息!B253="","",盘货信息!B253)</f>
        <v/>
      </c>
      <c r="C253" s="20" t="str">
        <f>IF(盘货信息!C253="","",盘货信息!C253)</f>
        <v/>
      </c>
      <c r="D253" s="18" t="str">
        <f t="shared" si="3"/>
        <v/>
      </c>
      <c r="E253" s="18" t="str" cm="1">
        <f t="array" ref="E253">IF(_xlfn.XLOOKUP($A253&amp;$B253&amp;$C253,盘货信息!$A:$A&amp;盘货信息!$B:$B&amp;盘货信息!$C:$C,盘货信息!$AA:$AA)="","",_xlfn.XLOOKUP($A253&amp;$B253&amp;$C253,盘货信息!$A:$A&amp;盘货信息!$B:$B&amp;盘货信息!$C:$C,盘货信息!$AA:$AA)&amp;"免息")</f>
        <v/>
      </c>
      <c r="F253" s="18" t="str" cm="1">
        <f t="array" ref="F253">IF(_xlfn.XLOOKUP($A253&amp;$B253&amp;$C253,盘货信息!$A:$A&amp;盘货信息!$B:$B&amp;盘货信息!$C:$C,盘货信息!$AB:$AB)="","",_xlfn.XLOOKUP($A253&amp;$B253&amp;$C253,盘货信息!$A:$A&amp;盘货信息!$B:$B&amp;盘货信息!$C:$C,盘货信息!$AB:$AB))</f>
        <v/>
      </c>
      <c r="G253" s="18"/>
    </row>
    <row r="254" customHeight="1" spans="1:7">
      <c r="A254" s="20" t="str">
        <f>IF(盘货信息!A254="","",盘货信息!A254)</f>
        <v/>
      </c>
      <c r="B254" s="17" t="str">
        <f>IF(盘货信息!B254="","",盘货信息!B254)</f>
        <v/>
      </c>
      <c r="C254" s="20" t="str">
        <f>IF(盘货信息!C254="","",盘货信息!C254)</f>
        <v/>
      </c>
      <c r="D254" s="18" t="str">
        <f t="shared" si="3"/>
        <v/>
      </c>
      <c r="E254" s="18" t="str" cm="1">
        <f t="array" ref="E254">IF(_xlfn.XLOOKUP($A254&amp;$B254&amp;$C254,盘货信息!$A:$A&amp;盘货信息!$B:$B&amp;盘货信息!$C:$C,盘货信息!$AA:$AA)="","",_xlfn.XLOOKUP($A254&amp;$B254&amp;$C254,盘货信息!$A:$A&amp;盘货信息!$B:$B&amp;盘货信息!$C:$C,盘货信息!$AA:$AA)&amp;"免息")</f>
        <v/>
      </c>
      <c r="F254" s="18" t="str" cm="1">
        <f t="array" ref="F254">IF(_xlfn.XLOOKUP($A254&amp;$B254&amp;$C254,盘货信息!$A:$A&amp;盘货信息!$B:$B&amp;盘货信息!$C:$C,盘货信息!$AB:$AB)="","",_xlfn.XLOOKUP($A254&amp;$B254&amp;$C254,盘货信息!$A:$A&amp;盘货信息!$B:$B&amp;盘货信息!$C:$C,盘货信息!$AB:$AB))</f>
        <v/>
      </c>
      <c r="G254" s="18"/>
    </row>
    <row r="255" customHeight="1" spans="1:7">
      <c r="A255" s="20" t="str">
        <f>IF(盘货信息!A255="","",盘货信息!A255)</f>
        <v/>
      </c>
      <c r="B255" s="17" t="str">
        <f>IF(盘货信息!B255="","",盘货信息!B255)</f>
        <v/>
      </c>
      <c r="C255" s="20" t="str">
        <f>IF(盘货信息!C255="","",盘货信息!C255)</f>
        <v/>
      </c>
      <c r="D255" s="18" t="str">
        <f t="shared" si="3"/>
        <v/>
      </c>
      <c r="E255" s="18" t="str" cm="1">
        <f t="array" ref="E255">IF(_xlfn.XLOOKUP($A255&amp;$B255&amp;$C255,盘货信息!$A:$A&amp;盘货信息!$B:$B&amp;盘货信息!$C:$C,盘货信息!$AA:$AA)="","",_xlfn.XLOOKUP($A255&amp;$B255&amp;$C255,盘货信息!$A:$A&amp;盘货信息!$B:$B&amp;盘货信息!$C:$C,盘货信息!$AA:$AA)&amp;"免息")</f>
        <v/>
      </c>
      <c r="F255" s="18" t="str" cm="1">
        <f t="array" ref="F255">IF(_xlfn.XLOOKUP($A255&amp;$B255&amp;$C255,盘货信息!$A:$A&amp;盘货信息!$B:$B&amp;盘货信息!$C:$C,盘货信息!$AB:$AB)="","",_xlfn.XLOOKUP($A255&amp;$B255&amp;$C255,盘货信息!$A:$A&amp;盘货信息!$B:$B&amp;盘货信息!$C:$C,盘货信息!$AB:$AB))</f>
        <v/>
      </c>
      <c r="G255" s="18"/>
    </row>
    <row r="256" customHeight="1" spans="1:7">
      <c r="A256" s="20" t="str">
        <f>IF(盘货信息!A256="","",盘货信息!A256)</f>
        <v/>
      </c>
      <c r="B256" s="17" t="str">
        <f>IF(盘货信息!B256="","",盘货信息!B256)</f>
        <v/>
      </c>
      <c r="C256" s="20" t="str">
        <f>IF(盘货信息!C256="","",盘货信息!C256)</f>
        <v/>
      </c>
      <c r="D256" s="18" t="str">
        <f t="shared" si="3"/>
        <v/>
      </c>
      <c r="E256" s="18" t="str" cm="1">
        <f t="array" ref="E256">IF(_xlfn.XLOOKUP($A256&amp;$B256&amp;$C256,盘货信息!$A:$A&amp;盘货信息!$B:$B&amp;盘货信息!$C:$C,盘货信息!$AA:$AA)="","",_xlfn.XLOOKUP($A256&amp;$B256&amp;$C256,盘货信息!$A:$A&amp;盘货信息!$B:$B&amp;盘货信息!$C:$C,盘货信息!$AA:$AA)&amp;"免息")</f>
        <v/>
      </c>
      <c r="F256" s="18" t="str" cm="1">
        <f t="array" ref="F256">IF(_xlfn.XLOOKUP($A256&amp;$B256&amp;$C256,盘货信息!$A:$A&amp;盘货信息!$B:$B&amp;盘货信息!$C:$C,盘货信息!$AB:$AB)="","",_xlfn.XLOOKUP($A256&amp;$B256&amp;$C256,盘货信息!$A:$A&amp;盘货信息!$B:$B&amp;盘货信息!$C:$C,盘货信息!$AB:$AB))</f>
        <v/>
      </c>
      <c r="G256" s="18"/>
    </row>
    <row r="257" customHeight="1" spans="1:7">
      <c r="A257" s="20" t="str">
        <f>IF(盘货信息!A257="","",盘货信息!A257)</f>
        <v/>
      </c>
      <c r="B257" s="17" t="str">
        <f>IF(盘货信息!B257="","",盘货信息!B257)</f>
        <v/>
      </c>
      <c r="C257" s="20" t="str">
        <f>IF(盘货信息!C257="","",盘货信息!C257)</f>
        <v/>
      </c>
      <c r="D257" s="18" t="str">
        <f t="shared" si="3"/>
        <v/>
      </c>
      <c r="E257" s="18" t="str" cm="1">
        <f t="array" ref="E257">IF(_xlfn.XLOOKUP($A257&amp;$B257&amp;$C257,盘货信息!$A:$A&amp;盘货信息!$B:$B&amp;盘货信息!$C:$C,盘货信息!$AA:$AA)="","",_xlfn.XLOOKUP($A257&amp;$B257&amp;$C257,盘货信息!$A:$A&amp;盘货信息!$B:$B&amp;盘货信息!$C:$C,盘货信息!$AA:$AA)&amp;"免息")</f>
        <v/>
      </c>
      <c r="F257" s="18" t="str" cm="1">
        <f t="array" ref="F257">IF(_xlfn.XLOOKUP($A257&amp;$B257&amp;$C257,盘货信息!$A:$A&amp;盘货信息!$B:$B&amp;盘货信息!$C:$C,盘货信息!$AB:$AB)="","",_xlfn.XLOOKUP($A257&amp;$B257&amp;$C257,盘货信息!$A:$A&amp;盘货信息!$B:$B&amp;盘货信息!$C:$C,盘货信息!$AB:$AB))</f>
        <v/>
      </c>
      <c r="G257" s="18"/>
    </row>
    <row r="258" customHeight="1" spans="1:7">
      <c r="A258" s="20" t="str">
        <f>IF(盘货信息!A258="","",盘货信息!A258)</f>
        <v/>
      </c>
      <c r="B258" s="17" t="str">
        <f>IF(盘货信息!B258="","",盘货信息!B258)</f>
        <v/>
      </c>
      <c r="C258" s="20" t="str">
        <f>IF(盘货信息!C258="","",盘货信息!C258)</f>
        <v/>
      </c>
      <c r="D258" s="18" t="str">
        <f t="shared" si="3"/>
        <v/>
      </c>
      <c r="E258" s="18" t="str" cm="1">
        <f t="array" ref="E258">IF(_xlfn.XLOOKUP($A258&amp;$B258&amp;$C258,盘货信息!$A:$A&amp;盘货信息!$B:$B&amp;盘货信息!$C:$C,盘货信息!$AA:$AA)="","",_xlfn.XLOOKUP($A258&amp;$B258&amp;$C258,盘货信息!$A:$A&amp;盘货信息!$B:$B&amp;盘货信息!$C:$C,盘货信息!$AA:$AA)&amp;"免息")</f>
        <v/>
      </c>
      <c r="F258" s="18" t="str" cm="1">
        <f t="array" ref="F258">IF(_xlfn.XLOOKUP($A258&amp;$B258&amp;$C258,盘货信息!$A:$A&amp;盘货信息!$B:$B&amp;盘货信息!$C:$C,盘货信息!$AB:$AB)="","",_xlfn.XLOOKUP($A258&amp;$B258&amp;$C258,盘货信息!$A:$A&amp;盘货信息!$B:$B&amp;盘货信息!$C:$C,盘货信息!$AB:$AB))</f>
        <v/>
      </c>
      <c r="G258" s="18"/>
    </row>
    <row r="259" customHeight="1" spans="1:7">
      <c r="A259" s="20" t="str">
        <f>IF(盘货信息!A259="","",盘货信息!A259)</f>
        <v/>
      </c>
      <c r="B259" s="17" t="str">
        <f>IF(盘货信息!B259="","",盘货信息!B259)</f>
        <v/>
      </c>
      <c r="C259" s="20" t="str">
        <f>IF(盘货信息!C259="","",盘货信息!C259)</f>
        <v/>
      </c>
      <c r="D259" s="18" t="str">
        <f t="shared" ref="D259:D322" si="4">IF(C259="","","【服务】"&amp;_xlfn.TEXTJOIN("，",TRUE,E259:G259))</f>
        <v/>
      </c>
      <c r="E259" s="18" t="str" cm="1">
        <f t="array" ref="E259">IF(_xlfn.XLOOKUP($A259&amp;$B259&amp;$C259,盘货信息!$A:$A&amp;盘货信息!$B:$B&amp;盘货信息!$C:$C,盘货信息!$AA:$AA)="","",_xlfn.XLOOKUP($A259&amp;$B259&amp;$C259,盘货信息!$A:$A&amp;盘货信息!$B:$B&amp;盘货信息!$C:$C,盘货信息!$AA:$AA)&amp;"免息")</f>
        <v/>
      </c>
      <c r="F259" s="18" t="str" cm="1">
        <f t="array" ref="F259">IF(_xlfn.XLOOKUP($A259&amp;$B259&amp;$C259,盘货信息!$A:$A&amp;盘货信息!$B:$B&amp;盘货信息!$C:$C,盘货信息!$AB:$AB)="","",_xlfn.XLOOKUP($A259&amp;$B259&amp;$C259,盘货信息!$A:$A&amp;盘货信息!$B:$B&amp;盘货信息!$C:$C,盘货信息!$AB:$AB))</f>
        <v/>
      </c>
      <c r="G259" s="18"/>
    </row>
    <row r="260" customHeight="1" spans="1:7">
      <c r="A260" s="20" t="str">
        <f>IF(盘货信息!A260="","",盘货信息!A260)</f>
        <v/>
      </c>
      <c r="B260" s="17" t="str">
        <f>IF(盘货信息!B260="","",盘货信息!B260)</f>
        <v/>
      </c>
      <c r="C260" s="20" t="str">
        <f>IF(盘货信息!C260="","",盘货信息!C260)</f>
        <v/>
      </c>
      <c r="D260" s="18" t="str">
        <f t="shared" si="4"/>
        <v/>
      </c>
      <c r="E260" s="18" t="str" cm="1">
        <f t="array" ref="E260">IF(_xlfn.XLOOKUP($A260&amp;$B260&amp;$C260,盘货信息!$A:$A&amp;盘货信息!$B:$B&amp;盘货信息!$C:$C,盘货信息!$AA:$AA)="","",_xlfn.XLOOKUP($A260&amp;$B260&amp;$C260,盘货信息!$A:$A&amp;盘货信息!$B:$B&amp;盘货信息!$C:$C,盘货信息!$AA:$AA)&amp;"免息")</f>
        <v/>
      </c>
      <c r="F260" s="18" t="str" cm="1">
        <f t="array" ref="F260">IF(_xlfn.XLOOKUP($A260&amp;$B260&amp;$C260,盘货信息!$A:$A&amp;盘货信息!$B:$B&amp;盘货信息!$C:$C,盘货信息!$AB:$AB)="","",_xlfn.XLOOKUP($A260&amp;$B260&amp;$C260,盘货信息!$A:$A&amp;盘货信息!$B:$B&amp;盘货信息!$C:$C,盘货信息!$AB:$AB))</f>
        <v/>
      </c>
      <c r="G260" s="18"/>
    </row>
    <row r="261" customHeight="1" spans="1:7">
      <c r="A261" s="20" t="str">
        <f>IF(盘货信息!A261="","",盘货信息!A261)</f>
        <v/>
      </c>
      <c r="B261" s="17" t="str">
        <f>IF(盘货信息!B261="","",盘货信息!B261)</f>
        <v/>
      </c>
      <c r="C261" s="20" t="str">
        <f>IF(盘货信息!C261="","",盘货信息!C261)</f>
        <v/>
      </c>
      <c r="D261" s="18" t="str">
        <f t="shared" si="4"/>
        <v/>
      </c>
      <c r="E261" s="18" t="str" cm="1">
        <f t="array" ref="E261">IF(_xlfn.XLOOKUP($A261&amp;$B261&amp;$C261,盘货信息!$A:$A&amp;盘货信息!$B:$B&amp;盘货信息!$C:$C,盘货信息!$AA:$AA)="","",_xlfn.XLOOKUP($A261&amp;$B261&amp;$C261,盘货信息!$A:$A&amp;盘货信息!$B:$B&amp;盘货信息!$C:$C,盘货信息!$AA:$AA)&amp;"免息")</f>
        <v/>
      </c>
      <c r="F261" s="18" t="str" cm="1">
        <f t="array" ref="F261">IF(_xlfn.XLOOKUP($A261&amp;$B261&amp;$C261,盘货信息!$A:$A&amp;盘货信息!$B:$B&amp;盘货信息!$C:$C,盘货信息!$AB:$AB)="","",_xlfn.XLOOKUP($A261&amp;$B261&amp;$C261,盘货信息!$A:$A&amp;盘货信息!$B:$B&amp;盘货信息!$C:$C,盘货信息!$AB:$AB))</f>
        <v/>
      </c>
      <c r="G261" s="18"/>
    </row>
    <row r="262" customHeight="1" spans="1:7">
      <c r="A262" s="20" t="str">
        <f>IF(盘货信息!A262="","",盘货信息!A262)</f>
        <v/>
      </c>
      <c r="B262" s="17" t="str">
        <f>IF(盘货信息!B262="","",盘货信息!B262)</f>
        <v/>
      </c>
      <c r="C262" s="20" t="str">
        <f>IF(盘货信息!C262="","",盘货信息!C262)</f>
        <v/>
      </c>
      <c r="D262" s="18" t="str">
        <f t="shared" si="4"/>
        <v/>
      </c>
      <c r="E262" s="18" t="str" cm="1">
        <f t="array" ref="E262">IF(_xlfn.XLOOKUP($A262&amp;$B262&amp;$C262,盘货信息!$A:$A&amp;盘货信息!$B:$B&amp;盘货信息!$C:$C,盘货信息!$AA:$AA)="","",_xlfn.XLOOKUP($A262&amp;$B262&amp;$C262,盘货信息!$A:$A&amp;盘货信息!$B:$B&amp;盘货信息!$C:$C,盘货信息!$AA:$AA)&amp;"免息")</f>
        <v/>
      </c>
      <c r="F262" s="18" t="str" cm="1">
        <f t="array" ref="F262">IF(_xlfn.XLOOKUP($A262&amp;$B262&amp;$C262,盘货信息!$A:$A&amp;盘货信息!$B:$B&amp;盘货信息!$C:$C,盘货信息!$AB:$AB)="","",_xlfn.XLOOKUP($A262&amp;$B262&amp;$C262,盘货信息!$A:$A&amp;盘货信息!$B:$B&amp;盘货信息!$C:$C,盘货信息!$AB:$AB))</f>
        <v/>
      </c>
      <c r="G262" s="18"/>
    </row>
    <row r="263" customHeight="1" spans="1:7">
      <c r="A263" s="20" t="str">
        <f>IF(盘货信息!A263="","",盘货信息!A263)</f>
        <v/>
      </c>
      <c r="B263" s="17" t="str">
        <f>IF(盘货信息!B263="","",盘货信息!B263)</f>
        <v/>
      </c>
      <c r="C263" s="20" t="str">
        <f>IF(盘货信息!C263="","",盘货信息!C263)</f>
        <v/>
      </c>
      <c r="D263" s="18" t="str">
        <f t="shared" si="4"/>
        <v/>
      </c>
      <c r="E263" s="18" t="str" cm="1">
        <f t="array" ref="E263">IF(_xlfn.XLOOKUP($A263&amp;$B263&amp;$C263,盘货信息!$A:$A&amp;盘货信息!$B:$B&amp;盘货信息!$C:$C,盘货信息!$AA:$AA)="","",_xlfn.XLOOKUP($A263&amp;$B263&amp;$C263,盘货信息!$A:$A&amp;盘货信息!$B:$B&amp;盘货信息!$C:$C,盘货信息!$AA:$AA)&amp;"免息")</f>
        <v/>
      </c>
      <c r="F263" s="18" t="str" cm="1">
        <f t="array" ref="F263">IF(_xlfn.XLOOKUP($A263&amp;$B263&amp;$C263,盘货信息!$A:$A&amp;盘货信息!$B:$B&amp;盘货信息!$C:$C,盘货信息!$AB:$AB)="","",_xlfn.XLOOKUP($A263&amp;$B263&amp;$C263,盘货信息!$A:$A&amp;盘货信息!$B:$B&amp;盘货信息!$C:$C,盘货信息!$AB:$AB))</f>
        <v/>
      </c>
      <c r="G263" s="18"/>
    </row>
    <row r="264" customHeight="1" spans="1:7">
      <c r="A264" s="20" t="str">
        <f>IF(盘货信息!A264="","",盘货信息!A264)</f>
        <v/>
      </c>
      <c r="B264" s="17" t="str">
        <f>IF(盘货信息!B264="","",盘货信息!B264)</f>
        <v/>
      </c>
      <c r="C264" s="20" t="str">
        <f>IF(盘货信息!C264="","",盘货信息!C264)</f>
        <v/>
      </c>
      <c r="D264" s="18" t="str">
        <f t="shared" si="4"/>
        <v/>
      </c>
      <c r="E264" s="18" t="str" cm="1">
        <f t="array" ref="E264">IF(_xlfn.XLOOKUP($A264&amp;$B264&amp;$C264,盘货信息!$A:$A&amp;盘货信息!$B:$B&amp;盘货信息!$C:$C,盘货信息!$AA:$AA)="","",_xlfn.XLOOKUP($A264&amp;$B264&amp;$C264,盘货信息!$A:$A&amp;盘货信息!$B:$B&amp;盘货信息!$C:$C,盘货信息!$AA:$AA)&amp;"免息")</f>
        <v/>
      </c>
      <c r="F264" s="18" t="str" cm="1">
        <f t="array" ref="F264">IF(_xlfn.XLOOKUP($A264&amp;$B264&amp;$C264,盘货信息!$A:$A&amp;盘货信息!$B:$B&amp;盘货信息!$C:$C,盘货信息!$AB:$AB)="","",_xlfn.XLOOKUP($A264&amp;$B264&amp;$C264,盘货信息!$A:$A&amp;盘货信息!$B:$B&amp;盘货信息!$C:$C,盘货信息!$AB:$AB))</f>
        <v/>
      </c>
      <c r="G264" s="18"/>
    </row>
    <row r="265" customHeight="1" spans="1:7">
      <c r="A265" s="20" t="str">
        <f>IF(盘货信息!A265="","",盘货信息!A265)</f>
        <v/>
      </c>
      <c r="B265" s="17" t="str">
        <f>IF(盘货信息!B265="","",盘货信息!B265)</f>
        <v/>
      </c>
      <c r="C265" s="20" t="str">
        <f>IF(盘货信息!C265="","",盘货信息!C265)</f>
        <v/>
      </c>
      <c r="D265" s="18" t="str">
        <f t="shared" si="4"/>
        <v/>
      </c>
      <c r="E265" s="18" t="str" cm="1">
        <f t="array" ref="E265">IF(_xlfn.XLOOKUP($A265&amp;$B265&amp;$C265,盘货信息!$A:$A&amp;盘货信息!$B:$B&amp;盘货信息!$C:$C,盘货信息!$AA:$AA)="","",_xlfn.XLOOKUP($A265&amp;$B265&amp;$C265,盘货信息!$A:$A&amp;盘货信息!$B:$B&amp;盘货信息!$C:$C,盘货信息!$AA:$AA)&amp;"免息")</f>
        <v/>
      </c>
      <c r="F265" s="18" t="str" cm="1">
        <f t="array" ref="F265">IF(_xlfn.XLOOKUP($A265&amp;$B265&amp;$C265,盘货信息!$A:$A&amp;盘货信息!$B:$B&amp;盘货信息!$C:$C,盘货信息!$AB:$AB)="","",_xlfn.XLOOKUP($A265&amp;$B265&amp;$C265,盘货信息!$A:$A&amp;盘货信息!$B:$B&amp;盘货信息!$C:$C,盘货信息!$AB:$AB))</f>
        <v/>
      </c>
      <c r="G265" s="18"/>
    </row>
    <row r="266" customHeight="1" spans="1:7">
      <c r="A266" s="20" t="str">
        <f>IF(盘货信息!A266="","",盘货信息!A266)</f>
        <v/>
      </c>
      <c r="B266" s="17" t="str">
        <f>IF(盘货信息!B266="","",盘货信息!B266)</f>
        <v/>
      </c>
      <c r="C266" s="20" t="str">
        <f>IF(盘货信息!C266="","",盘货信息!C266)</f>
        <v/>
      </c>
      <c r="D266" s="18" t="str">
        <f t="shared" si="4"/>
        <v/>
      </c>
      <c r="E266" s="18" t="str" cm="1">
        <f t="array" ref="E266">IF(_xlfn.XLOOKUP($A266&amp;$B266&amp;$C266,盘货信息!$A:$A&amp;盘货信息!$B:$B&amp;盘货信息!$C:$C,盘货信息!$AA:$AA)="","",_xlfn.XLOOKUP($A266&amp;$B266&amp;$C266,盘货信息!$A:$A&amp;盘货信息!$B:$B&amp;盘货信息!$C:$C,盘货信息!$AA:$AA)&amp;"免息")</f>
        <v/>
      </c>
      <c r="F266" s="18" t="str" cm="1">
        <f t="array" ref="F266">IF(_xlfn.XLOOKUP($A266&amp;$B266&amp;$C266,盘货信息!$A:$A&amp;盘货信息!$B:$B&amp;盘货信息!$C:$C,盘货信息!$AB:$AB)="","",_xlfn.XLOOKUP($A266&amp;$B266&amp;$C266,盘货信息!$A:$A&amp;盘货信息!$B:$B&amp;盘货信息!$C:$C,盘货信息!$AB:$AB))</f>
        <v/>
      </c>
      <c r="G266" s="18"/>
    </row>
    <row r="267" customHeight="1" spans="1:7">
      <c r="A267" s="20" t="str">
        <f>IF(盘货信息!A267="","",盘货信息!A267)</f>
        <v/>
      </c>
      <c r="B267" s="17" t="str">
        <f>IF(盘货信息!B267="","",盘货信息!B267)</f>
        <v/>
      </c>
      <c r="C267" s="20" t="str">
        <f>IF(盘货信息!C267="","",盘货信息!C267)</f>
        <v/>
      </c>
      <c r="D267" s="18" t="str">
        <f t="shared" si="4"/>
        <v/>
      </c>
      <c r="E267" s="18" t="str" cm="1">
        <f t="array" ref="E267">IF(_xlfn.XLOOKUP($A267&amp;$B267&amp;$C267,盘货信息!$A:$A&amp;盘货信息!$B:$B&amp;盘货信息!$C:$C,盘货信息!$AA:$AA)="","",_xlfn.XLOOKUP($A267&amp;$B267&amp;$C267,盘货信息!$A:$A&amp;盘货信息!$B:$B&amp;盘货信息!$C:$C,盘货信息!$AA:$AA)&amp;"免息")</f>
        <v/>
      </c>
      <c r="F267" s="18" t="str" cm="1">
        <f t="array" ref="F267">IF(_xlfn.XLOOKUP($A267&amp;$B267&amp;$C267,盘货信息!$A:$A&amp;盘货信息!$B:$B&amp;盘货信息!$C:$C,盘货信息!$AB:$AB)="","",_xlfn.XLOOKUP($A267&amp;$B267&amp;$C267,盘货信息!$A:$A&amp;盘货信息!$B:$B&amp;盘货信息!$C:$C,盘货信息!$AB:$AB))</f>
        <v/>
      </c>
      <c r="G267" s="18"/>
    </row>
    <row r="268" customHeight="1" spans="1:7">
      <c r="A268" s="20" t="str">
        <f>IF(盘货信息!A268="","",盘货信息!A268)</f>
        <v/>
      </c>
      <c r="B268" s="17" t="str">
        <f>IF(盘货信息!B268="","",盘货信息!B268)</f>
        <v/>
      </c>
      <c r="C268" s="20" t="str">
        <f>IF(盘货信息!C268="","",盘货信息!C268)</f>
        <v/>
      </c>
      <c r="D268" s="18" t="str">
        <f t="shared" si="4"/>
        <v/>
      </c>
      <c r="E268" s="18" t="str" cm="1">
        <f t="array" ref="E268">IF(_xlfn.XLOOKUP($A268&amp;$B268&amp;$C268,盘货信息!$A:$A&amp;盘货信息!$B:$B&amp;盘货信息!$C:$C,盘货信息!$AA:$AA)="","",_xlfn.XLOOKUP($A268&amp;$B268&amp;$C268,盘货信息!$A:$A&amp;盘货信息!$B:$B&amp;盘货信息!$C:$C,盘货信息!$AA:$AA)&amp;"免息")</f>
        <v/>
      </c>
      <c r="F268" s="18" t="str" cm="1">
        <f t="array" ref="F268">IF(_xlfn.XLOOKUP($A268&amp;$B268&amp;$C268,盘货信息!$A:$A&amp;盘货信息!$B:$B&amp;盘货信息!$C:$C,盘货信息!$AB:$AB)="","",_xlfn.XLOOKUP($A268&amp;$B268&amp;$C268,盘货信息!$A:$A&amp;盘货信息!$B:$B&amp;盘货信息!$C:$C,盘货信息!$AB:$AB))</f>
        <v/>
      </c>
      <c r="G268" s="18"/>
    </row>
    <row r="269" customHeight="1" spans="1:7">
      <c r="A269" s="20" t="str">
        <f>IF(盘货信息!A269="","",盘货信息!A269)</f>
        <v/>
      </c>
      <c r="B269" s="17" t="str">
        <f>IF(盘货信息!B269="","",盘货信息!B269)</f>
        <v/>
      </c>
      <c r="C269" s="20" t="str">
        <f>IF(盘货信息!C269="","",盘货信息!C269)</f>
        <v/>
      </c>
      <c r="D269" s="18" t="str">
        <f t="shared" si="4"/>
        <v/>
      </c>
      <c r="E269" s="18" t="str" cm="1">
        <f t="array" ref="E269">IF(_xlfn.XLOOKUP($A269&amp;$B269&amp;$C269,盘货信息!$A:$A&amp;盘货信息!$B:$B&amp;盘货信息!$C:$C,盘货信息!$AA:$AA)="","",_xlfn.XLOOKUP($A269&amp;$B269&amp;$C269,盘货信息!$A:$A&amp;盘货信息!$B:$B&amp;盘货信息!$C:$C,盘货信息!$AA:$AA)&amp;"免息")</f>
        <v/>
      </c>
      <c r="F269" s="18" t="str" cm="1">
        <f t="array" ref="F269">IF(_xlfn.XLOOKUP($A269&amp;$B269&amp;$C269,盘货信息!$A:$A&amp;盘货信息!$B:$B&amp;盘货信息!$C:$C,盘货信息!$AB:$AB)="","",_xlfn.XLOOKUP($A269&amp;$B269&amp;$C269,盘货信息!$A:$A&amp;盘货信息!$B:$B&amp;盘货信息!$C:$C,盘货信息!$AB:$AB))</f>
        <v/>
      </c>
      <c r="G269" s="18"/>
    </row>
    <row r="270" customHeight="1" spans="1:7">
      <c r="A270" s="20" t="str">
        <f>IF(盘货信息!A270="","",盘货信息!A270)</f>
        <v/>
      </c>
      <c r="B270" s="17" t="str">
        <f>IF(盘货信息!B270="","",盘货信息!B270)</f>
        <v/>
      </c>
      <c r="C270" s="20" t="str">
        <f>IF(盘货信息!C270="","",盘货信息!C270)</f>
        <v/>
      </c>
      <c r="D270" s="18" t="str">
        <f t="shared" si="4"/>
        <v/>
      </c>
      <c r="E270" s="18" t="str" cm="1">
        <f t="array" ref="E270">IF(_xlfn.XLOOKUP($A270&amp;$B270&amp;$C270,盘货信息!$A:$A&amp;盘货信息!$B:$B&amp;盘货信息!$C:$C,盘货信息!$AA:$AA)="","",_xlfn.XLOOKUP($A270&amp;$B270&amp;$C270,盘货信息!$A:$A&amp;盘货信息!$B:$B&amp;盘货信息!$C:$C,盘货信息!$AA:$AA)&amp;"免息")</f>
        <v/>
      </c>
      <c r="F270" s="18" t="str" cm="1">
        <f t="array" ref="F270">IF(_xlfn.XLOOKUP($A270&amp;$B270&amp;$C270,盘货信息!$A:$A&amp;盘货信息!$B:$B&amp;盘货信息!$C:$C,盘货信息!$AB:$AB)="","",_xlfn.XLOOKUP($A270&amp;$B270&amp;$C270,盘货信息!$A:$A&amp;盘货信息!$B:$B&amp;盘货信息!$C:$C,盘货信息!$AB:$AB))</f>
        <v/>
      </c>
      <c r="G270" s="18"/>
    </row>
    <row r="271" customHeight="1" spans="1:7">
      <c r="A271" s="20" t="str">
        <f>IF(盘货信息!A271="","",盘货信息!A271)</f>
        <v/>
      </c>
      <c r="B271" s="17" t="str">
        <f>IF(盘货信息!B271="","",盘货信息!B271)</f>
        <v/>
      </c>
      <c r="C271" s="20" t="str">
        <f>IF(盘货信息!C271="","",盘货信息!C271)</f>
        <v/>
      </c>
      <c r="D271" s="18" t="str">
        <f t="shared" si="4"/>
        <v/>
      </c>
      <c r="E271" s="18" t="str" cm="1">
        <f t="array" ref="E271">IF(_xlfn.XLOOKUP($A271&amp;$B271&amp;$C271,盘货信息!$A:$A&amp;盘货信息!$B:$B&amp;盘货信息!$C:$C,盘货信息!$AA:$AA)="","",_xlfn.XLOOKUP($A271&amp;$B271&amp;$C271,盘货信息!$A:$A&amp;盘货信息!$B:$B&amp;盘货信息!$C:$C,盘货信息!$AA:$AA)&amp;"免息")</f>
        <v/>
      </c>
      <c r="F271" s="18" t="str" cm="1">
        <f t="array" ref="F271">IF(_xlfn.XLOOKUP($A271&amp;$B271&amp;$C271,盘货信息!$A:$A&amp;盘货信息!$B:$B&amp;盘货信息!$C:$C,盘货信息!$AB:$AB)="","",_xlfn.XLOOKUP($A271&amp;$B271&amp;$C271,盘货信息!$A:$A&amp;盘货信息!$B:$B&amp;盘货信息!$C:$C,盘货信息!$AB:$AB))</f>
        <v/>
      </c>
      <c r="G271" s="18"/>
    </row>
    <row r="272" customHeight="1" spans="1:7">
      <c r="A272" s="20" t="str">
        <f>IF(盘货信息!A272="","",盘货信息!A272)</f>
        <v/>
      </c>
      <c r="B272" s="17" t="str">
        <f>IF(盘货信息!B272="","",盘货信息!B272)</f>
        <v/>
      </c>
      <c r="C272" s="20" t="str">
        <f>IF(盘货信息!C272="","",盘货信息!C272)</f>
        <v/>
      </c>
      <c r="D272" s="18" t="str">
        <f t="shared" si="4"/>
        <v/>
      </c>
      <c r="E272" s="18" t="str" cm="1">
        <f t="array" ref="E272">IF(_xlfn.XLOOKUP($A272&amp;$B272&amp;$C272,盘货信息!$A:$A&amp;盘货信息!$B:$B&amp;盘货信息!$C:$C,盘货信息!$AA:$AA)="","",_xlfn.XLOOKUP($A272&amp;$B272&amp;$C272,盘货信息!$A:$A&amp;盘货信息!$B:$B&amp;盘货信息!$C:$C,盘货信息!$AA:$AA)&amp;"免息")</f>
        <v/>
      </c>
      <c r="F272" s="18" t="str" cm="1">
        <f t="array" ref="F272">IF(_xlfn.XLOOKUP($A272&amp;$B272&amp;$C272,盘货信息!$A:$A&amp;盘货信息!$B:$B&amp;盘货信息!$C:$C,盘货信息!$AB:$AB)="","",_xlfn.XLOOKUP($A272&amp;$B272&amp;$C272,盘货信息!$A:$A&amp;盘货信息!$B:$B&amp;盘货信息!$C:$C,盘货信息!$AB:$AB))</f>
        <v/>
      </c>
      <c r="G272" s="18"/>
    </row>
    <row r="273" customHeight="1" spans="1:7">
      <c r="A273" s="20" t="str">
        <f>IF(盘货信息!A273="","",盘货信息!A273)</f>
        <v/>
      </c>
      <c r="B273" s="17" t="str">
        <f>IF(盘货信息!B273="","",盘货信息!B273)</f>
        <v/>
      </c>
      <c r="C273" s="20" t="str">
        <f>IF(盘货信息!C273="","",盘货信息!C273)</f>
        <v/>
      </c>
      <c r="D273" s="18" t="str">
        <f t="shared" si="4"/>
        <v/>
      </c>
      <c r="E273" s="18" t="str" cm="1">
        <f t="array" ref="E273">IF(_xlfn.XLOOKUP($A273&amp;$B273&amp;$C273,盘货信息!$A:$A&amp;盘货信息!$B:$B&amp;盘货信息!$C:$C,盘货信息!$AA:$AA)="","",_xlfn.XLOOKUP($A273&amp;$B273&amp;$C273,盘货信息!$A:$A&amp;盘货信息!$B:$B&amp;盘货信息!$C:$C,盘货信息!$AA:$AA)&amp;"免息")</f>
        <v/>
      </c>
      <c r="F273" s="18" t="str" cm="1">
        <f t="array" ref="F273">IF(_xlfn.XLOOKUP($A273&amp;$B273&amp;$C273,盘货信息!$A:$A&amp;盘货信息!$B:$B&amp;盘货信息!$C:$C,盘货信息!$AB:$AB)="","",_xlfn.XLOOKUP($A273&amp;$B273&amp;$C273,盘货信息!$A:$A&amp;盘货信息!$B:$B&amp;盘货信息!$C:$C,盘货信息!$AB:$AB))</f>
        <v/>
      </c>
      <c r="G273" s="18"/>
    </row>
    <row r="274" customHeight="1" spans="1:7">
      <c r="A274" s="20" t="str">
        <f>IF(盘货信息!A274="","",盘货信息!A274)</f>
        <v/>
      </c>
      <c r="B274" s="17" t="str">
        <f>IF(盘货信息!B274="","",盘货信息!B274)</f>
        <v/>
      </c>
      <c r="C274" s="20" t="str">
        <f>IF(盘货信息!C274="","",盘货信息!C274)</f>
        <v/>
      </c>
      <c r="D274" s="18" t="str">
        <f t="shared" si="4"/>
        <v/>
      </c>
      <c r="E274" s="18" t="str" cm="1">
        <f t="array" ref="E274">IF(_xlfn.XLOOKUP($A274&amp;$B274&amp;$C274,盘货信息!$A:$A&amp;盘货信息!$B:$B&amp;盘货信息!$C:$C,盘货信息!$AA:$AA)="","",_xlfn.XLOOKUP($A274&amp;$B274&amp;$C274,盘货信息!$A:$A&amp;盘货信息!$B:$B&amp;盘货信息!$C:$C,盘货信息!$AA:$AA)&amp;"免息")</f>
        <v/>
      </c>
      <c r="F274" s="18" t="str" cm="1">
        <f t="array" ref="F274">IF(_xlfn.XLOOKUP($A274&amp;$B274&amp;$C274,盘货信息!$A:$A&amp;盘货信息!$B:$B&amp;盘货信息!$C:$C,盘货信息!$AB:$AB)="","",_xlfn.XLOOKUP($A274&amp;$B274&amp;$C274,盘货信息!$A:$A&amp;盘货信息!$B:$B&amp;盘货信息!$C:$C,盘货信息!$AB:$AB))</f>
        <v/>
      </c>
      <c r="G274" s="18"/>
    </row>
    <row r="275" customHeight="1" spans="1:7">
      <c r="A275" s="20" t="str">
        <f>IF(盘货信息!A275="","",盘货信息!A275)</f>
        <v/>
      </c>
      <c r="B275" s="17" t="str">
        <f>IF(盘货信息!B275="","",盘货信息!B275)</f>
        <v/>
      </c>
      <c r="C275" s="20" t="str">
        <f>IF(盘货信息!C275="","",盘货信息!C275)</f>
        <v/>
      </c>
      <c r="D275" s="18" t="str">
        <f t="shared" si="4"/>
        <v/>
      </c>
      <c r="E275" s="18" t="str" cm="1">
        <f t="array" ref="E275">IF(_xlfn.XLOOKUP($A275&amp;$B275&amp;$C275,盘货信息!$A:$A&amp;盘货信息!$B:$B&amp;盘货信息!$C:$C,盘货信息!$AA:$AA)="","",_xlfn.XLOOKUP($A275&amp;$B275&amp;$C275,盘货信息!$A:$A&amp;盘货信息!$B:$B&amp;盘货信息!$C:$C,盘货信息!$AA:$AA)&amp;"免息")</f>
        <v/>
      </c>
      <c r="F275" s="18" t="str" cm="1">
        <f t="array" ref="F275">IF(_xlfn.XLOOKUP($A275&amp;$B275&amp;$C275,盘货信息!$A:$A&amp;盘货信息!$B:$B&amp;盘货信息!$C:$C,盘货信息!$AB:$AB)="","",_xlfn.XLOOKUP($A275&amp;$B275&amp;$C275,盘货信息!$A:$A&amp;盘货信息!$B:$B&amp;盘货信息!$C:$C,盘货信息!$AB:$AB))</f>
        <v/>
      </c>
      <c r="G275" s="18"/>
    </row>
    <row r="276" customHeight="1" spans="1:7">
      <c r="A276" s="20" t="str">
        <f>IF(盘货信息!A276="","",盘货信息!A276)</f>
        <v/>
      </c>
      <c r="B276" s="17" t="str">
        <f>IF(盘货信息!B276="","",盘货信息!B276)</f>
        <v/>
      </c>
      <c r="C276" s="20" t="str">
        <f>IF(盘货信息!C276="","",盘货信息!C276)</f>
        <v/>
      </c>
      <c r="D276" s="18" t="str">
        <f t="shared" si="4"/>
        <v/>
      </c>
      <c r="E276" s="18" t="str" cm="1">
        <f t="array" ref="E276">IF(_xlfn.XLOOKUP($A276&amp;$B276&amp;$C276,盘货信息!$A:$A&amp;盘货信息!$B:$B&amp;盘货信息!$C:$C,盘货信息!$AA:$AA)="","",_xlfn.XLOOKUP($A276&amp;$B276&amp;$C276,盘货信息!$A:$A&amp;盘货信息!$B:$B&amp;盘货信息!$C:$C,盘货信息!$AA:$AA)&amp;"免息")</f>
        <v/>
      </c>
      <c r="F276" s="18" t="str" cm="1">
        <f t="array" ref="F276">IF(_xlfn.XLOOKUP($A276&amp;$B276&amp;$C276,盘货信息!$A:$A&amp;盘货信息!$B:$B&amp;盘货信息!$C:$C,盘货信息!$AB:$AB)="","",_xlfn.XLOOKUP($A276&amp;$B276&amp;$C276,盘货信息!$A:$A&amp;盘货信息!$B:$B&amp;盘货信息!$C:$C,盘货信息!$AB:$AB))</f>
        <v/>
      </c>
      <c r="G276" s="18"/>
    </row>
    <row r="277" customHeight="1" spans="1:7">
      <c r="A277" s="20" t="str">
        <f>IF(盘货信息!A277="","",盘货信息!A277)</f>
        <v/>
      </c>
      <c r="B277" s="17" t="str">
        <f>IF(盘货信息!B277="","",盘货信息!B277)</f>
        <v/>
      </c>
      <c r="C277" s="20" t="str">
        <f>IF(盘货信息!C277="","",盘货信息!C277)</f>
        <v/>
      </c>
      <c r="D277" s="18" t="str">
        <f t="shared" si="4"/>
        <v/>
      </c>
      <c r="E277" s="18" t="str" cm="1">
        <f t="array" ref="E277">IF(_xlfn.XLOOKUP($A277&amp;$B277&amp;$C277,盘货信息!$A:$A&amp;盘货信息!$B:$B&amp;盘货信息!$C:$C,盘货信息!$AA:$AA)="","",_xlfn.XLOOKUP($A277&amp;$B277&amp;$C277,盘货信息!$A:$A&amp;盘货信息!$B:$B&amp;盘货信息!$C:$C,盘货信息!$AA:$AA)&amp;"免息")</f>
        <v/>
      </c>
      <c r="F277" s="18" t="str" cm="1">
        <f t="array" ref="F277">IF(_xlfn.XLOOKUP($A277&amp;$B277&amp;$C277,盘货信息!$A:$A&amp;盘货信息!$B:$B&amp;盘货信息!$C:$C,盘货信息!$AB:$AB)="","",_xlfn.XLOOKUP($A277&amp;$B277&amp;$C277,盘货信息!$A:$A&amp;盘货信息!$B:$B&amp;盘货信息!$C:$C,盘货信息!$AB:$AB))</f>
        <v/>
      </c>
      <c r="G277" s="18"/>
    </row>
    <row r="278" customHeight="1" spans="1:7">
      <c r="A278" s="20" t="str">
        <f>IF(盘货信息!A278="","",盘货信息!A278)</f>
        <v/>
      </c>
      <c r="B278" s="17" t="str">
        <f>IF(盘货信息!B278="","",盘货信息!B278)</f>
        <v/>
      </c>
      <c r="C278" s="20" t="str">
        <f>IF(盘货信息!C278="","",盘货信息!C278)</f>
        <v/>
      </c>
      <c r="D278" s="18" t="str">
        <f t="shared" si="4"/>
        <v/>
      </c>
      <c r="E278" s="18" t="str" cm="1">
        <f t="array" ref="E278">IF(_xlfn.XLOOKUP($A278&amp;$B278&amp;$C278,盘货信息!$A:$A&amp;盘货信息!$B:$B&amp;盘货信息!$C:$C,盘货信息!$AA:$AA)="","",_xlfn.XLOOKUP($A278&amp;$B278&amp;$C278,盘货信息!$A:$A&amp;盘货信息!$B:$B&amp;盘货信息!$C:$C,盘货信息!$AA:$AA)&amp;"免息")</f>
        <v/>
      </c>
      <c r="F278" s="18" t="str" cm="1">
        <f t="array" ref="F278">IF(_xlfn.XLOOKUP($A278&amp;$B278&amp;$C278,盘货信息!$A:$A&amp;盘货信息!$B:$B&amp;盘货信息!$C:$C,盘货信息!$AB:$AB)="","",_xlfn.XLOOKUP($A278&amp;$B278&amp;$C278,盘货信息!$A:$A&amp;盘货信息!$B:$B&amp;盘货信息!$C:$C,盘货信息!$AB:$AB))</f>
        <v/>
      </c>
      <c r="G278" s="18"/>
    </row>
    <row r="279" customHeight="1" spans="1:7">
      <c r="A279" s="20" t="str">
        <f>IF(盘货信息!A279="","",盘货信息!A279)</f>
        <v/>
      </c>
      <c r="B279" s="17" t="str">
        <f>IF(盘货信息!B279="","",盘货信息!B279)</f>
        <v/>
      </c>
      <c r="C279" s="20" t="str">
        <f>IF(盘货信息!C279="","",盘货信息!C279)</f>
        <v/>
      </c>
      <c r="D279" s="18" t="str">
        <f t="shared" si="4"/>
        <v/>
      </c>
      <c r="E279" s="18" t="str" cm="1">
        <f t="array" ref="E279">IF(_xlfn.XLOOKUP($A279&amp;$B279&amp;$C279,盘货信息!$A:$A&amp;盘货信息!$B:$B&amp;盘货信息!$C:$C,盘货信息!$AA:$AA)="","",_xlfn.XLOOKUP($A279&amp;$B279&amp;$C279,盘货信息!$A:$A&amp;盘货信息!$B:$B&amp;盘货信息!$C:$C,盘货信息!$AA:$AA)&amp;"免息")</f>
        <v/>
      </c>
      <c r="F279" s="18" t="str" cm="1">
        <f t="array" ref="F279">IF(_xlfn.XLOOKUP($A279&amp;$B279&amp;$C279,盘货信息!$A:$A&amp;盘货信息!$B:$B&amp;盘货信息!$C:$C,盘货信息!$AB:$AB)="","",_xlfn.XLOOKUP($A279&amp;$B279&amp;$C279,盘货信息!$A:$A&amp;盘货信息!$B:$B&amp;盘货信息!$C:$C,盘货信息!$AB:$AB))</f>
        <v/>
      </c>
      <c r="G279" s="18"/>
    </row>
    <row r="280" customHeight="1" spans="1:7">
      <c r="A280" s="20" t="str">
        <f>IF(盘货信息!A280="","",盘货信息!A280)</f>
        <v/>
      </c>
      <c r="B280" s="17" t="str">
        <f>IF(盘货信息!B280="","",盘货信息!B280)</f>
        <v/>
      </c>
      <c r="C280" s="20" t="str">
        <f>IF(盘货信息!C280="","",盘货信息!C280)</f>
        <v/>
      </c>
      <c r="D280" s="18" t="str">
        <f t="shared" si="4"/>
        <v/>
      </c>
      <c r="E280" s="18" t="str" cm="1">
        <f t="array" ref="E280">IF(_xlfn.XLOOKUP($A280&amp;$B280&amp;$C280,盘货信息!$A:$A&amp;盘货信息!$B:$B&amp;盘货信息!$C:$C,盘货信息!$AA:$AA)="","",_xlfn.XLOOKUP($A280&amp;$B280&amp;$C280,盘货信息!$A:$A&amp;盘货信息!$B:$B&amp;盘货信息!$C:$C,盘货信息!$AA:$AA)&amp;"免息")</f>
        <v/>
      </c>
      <c r="F280" s="18" t="str" cm="1">
        <f t="array" ref="F280">IF(_xlfn.XLOOKUP($A280&amp;$B280&amp;$C280,盘货信息!$A:$A&amp;盘货信息!$B:$B&amp;盘货信息!$C:$C,盘货信息!$AB:$AB)="","",_xlfn.XLOOKUP($A280&amp;$B280&amp;$C280,盘货信息!$A:$A&amp;盘货信息!$B:$B&amp;盘货信息!$C:$C,盘货信息!$AB:$AB))</f>
        <v/>
      </c>
      <c r="G280" s="18"/>
    </row>
    <row r="281" customHeight="1" spans="1:7">
      <c r="A281" s="20" t="str">
        <f>IF(盘货信息!A281="","",盘货信息!A281)</f>
        <v/>
      </c>
      <c r="B281" s="17" t="str">
        <f>IF(盘货信息!B281="","",盘货信息!B281)</f>
        <v/>
      </c>
      <c r="C281" s="20" t="str">
        <f>IF(盘货信息!C281="","",盘货信息!C281)</f>
        <v/>
      </c>
      <c r="D281" s="18" t="str">
        <f t="shared" si="4"/>
        <v/>
      </c>
      <c r="E281" s="18" t="str" cm="1">
        <f t="array" ref="E281">IF(_xlfn.XLOOKUP($A281&amp;$B281&amp;$C281,盘货信息!$A:$A&amp;盘货信息!$B:$B&amp;盘货信息!$C:$C,盘货信息!$AA:$AA)="","",_xlfn.XLOOKUP($A281&amp;$B281&amp;$C281,盘货信息!$A:$A&amp;盘货信息!$B:$B&amp;盘货信息!$C:$C,盘货信息!$AA:$AA)&amp;"免息")</f>
        <v/>
      </c>
      <c r="F281" s="18" t="str" cm="1">
        <f t="array" ref="F281">IF(_xlfn.XLOOKUP($A281&amp;$B281&amp;$C281,盘货信息!$A:$A&amp;盘货信息!$B:$B&amp;盘货信息!$C:$C,盘货信息!$AB:$AB)="","",_xlfn.XLOOKUP($A281&amp;$B281&amp;$C281,盘货信息!$A:$A&amp;盘货信息!$B:$B&amp;盘货信息!$C:$C,盘货信息!$AB:$AB))</f>
        <v/>
      </c>
      <c r="G281" s="18"/>
    </row>
    <row r="282" customHeight="1" spans="1:7">
      <c r="A282" s="20" t="str">
        <f>IF(盘货信息!A282="","",盘货信息!A282)</f>
        <v/>
      </c>
      <c r="B282" s="17" t="str">
        <f>IF(盘货信息!B282="","",盘货信息!B282)</f>
        <v/>
      </c>
      <c r="C282" s="20" t="str">
        <f>IF(盘货信息!C282="","",盘货信息!C282)</f>
        <v/>
      </c>
      <c r="D282" s="18" t="str">
        <f t="shared" si="4"/>
        <v/>
      </c>
      <c r="E282" s="18" t="str" cm="1">
        <f t="array" ref="E282">IF(_xlfn.XLOOKUP($A282&amp;$B282&amp;$C282,盘货信息!$A:$A&amp;盘货信息!$B:$B&amp;盘货信息!$C:$C,盘货信息!$AA:$AA)="","",_xlfn.XLOOKUP($A282&amp;$B282&amp;$C282,盘货信息!$A:$A&amp;盘货信息!$B:$B&amp;盘货信息!$C:$C,盘货信息!$AA:$AA)&amp;"免息")</f>
        <v/>
      </c>
      <c r="F282" s="18" t="str" cm="1">
        <f t="array" ref="F282">IF(_xlfn.XLOOKUP($A282&amp;$B282&amp;$C282,盘货信息!$A:$A&amp;盘货信息!$B:$B&amp;盘货信息!$C:$C,盘货信息!$AB:$AB)="","",_xlfn.XLOOKUP($A282&amp;$B282&amp;$C282,盘货信息!$A:$A&amp;盘货信息!$B:$B&amp;盘货信息!$C:$C,盘货信息!$AB:$AB))</f>
        <v/>
      </c>
      <c r="G282" s="18"/>
    </row>
    <row r="283" customHeight="1" spans="1:7">
      <c r="A283" s="20" t="str">
        <f>IF(盘货信息!A283="","",盘货信息!A283)</f>
        <v/>
      </c>
      <c r="B283" s="17" t="str">
        <f>IF(盘货信息!B283="","",盘货信息!B283)</f>
        <v/>
      </c>
      <c r="C283" s="20" t="str">
        <f>IF(盘货信息!C283="","",盘货信息!C283)</f>
        <v/>
      </c>
      <c r="D283" s="18" t="str">
        <f t="shared" si="4"/>
        <v/>
      </c>
      <c r="E283" s="18" t="str" cm="1">
        <f t="array" ref="E283">IF(_xlfn.XLOOKUP($A283&amp;$B283&amp;$C283,盘货信息!$A:$A&amp;盘货信息!$B:$B&amp;盘货信息!$C:$C,盘货信息!$AA:$AA)="","",_xlfn.XLOOKUP($A283&amp;$B283&amp;$C283,盘货信息!$A:$A&amp;盘货信息!$B:$B&amp;盘货信息!$C:$C,盘货信息!$AA:$AA)&amp;"免息")</f>
        <v/>
      </c>
      <c r="F283" s="18" t="str" cm="1">
        <f t="array" ref="F283">IF(_xlfn.XLOOKUP($A283&amp;$B283&amp;$C283,盘货信息!$A:$A&amp;盘货信息!$B:$B&amp;盘货信息!$C:$C,盘货信息!$AB:$AB)="","",_xlfn.XLOOKUP($A283&amp;$B283&amp;$C283,盘货信息!$A:$A&amp;盘货信息!$B:$B&amp;盘货信息!$C:$C,盘货信息!$AB:$AB))</f>
        <v/>
      </c>
      <c r="G283" s="18"/>
    </row>
    <row r="284" customHeight="1" spans="1:7">
      <c r="A284" s="20" t="str">
        <f>IF(盘货信息!A284="","",盘货信息!A284)</f>
        <v/>
      </c>
      <c r="B284" s="17" t="str">
        <f>IF(盘货信息!B284="","",盘货信息!B284)</f>
        <v/>
      </c>
      <c r="C284" s="20" t="str">
        <f>IF(盘货信息!C284="","",盘货信息!C284)</f>
        <v/>
      </c>
      <c r="D284" s="18" t="str">
        <f t="shared" si="4"/>
        <v/>
      </c>
      <c r="E284" s="18" t="str" cm="1">
        <f t="array" ref="E284">IF(_xlfn.XLOOKUP($A284&amp;$B284&amp;$C284,盘货信息!$A:$A&amp;盘货信息!$B:$B&amp;盘货信息!$C:$C,盘货信息!$AA:$AA)="","",_xlfn.XLOOKUP($A284&amp;$B284&amp;$C284,盘货信息!$A:$A&amp;盘货信息!$B:$B&amp;盘货信息!$C:$C,盘货信息!$AA:$AA)&amp;"免息")</f>
        <v/>
      </c>
      <c r="F284" s="18" t="str" cm="1">
        <f t="array" ref="F284">IF(_xlfn.XLOOKUP($A284&amp;$B284&amp;$C284,盘货信息!$A:$A&amp;盘货信息!$B:$B&amp;盘货信息!$C:$C,盘货信息!$AB:$AB)="","",_xlfn.XLOOKUP($A284&amp;$B284&amp;$C284,盘货信息!$A:$A&amp;盘货信息!$B:$B&amp;盘货信息!$C:$C,盘货信息!$AB:$AB))</f>
        <v/>
      </c>
      <c r="G284" s="18"/>
    </row>
    <row r="285" customHeight="1" spans="1:7">
      <c r="A285" s="20" t="str">
        <f>IF(盘货信息!A285="","",盘货信息!A285)</f>
        <v/>
      </c>
      <c r="B285" s="17" t="str">
        <f>IF(盘货信息!B285="","",盘货信息!B285)</f>
        <v/>
      </c>
      <c r="C285" s="20" t="str">
        <f>IF(盘货信息!C285="","",盘货信息!C285)</f>
        <v/>
      </c>
      <c r="D285" s="18" t="str">
        <f t="shared" si="4"/>
        <v/>
      </c>
      <c r="E285" s="18" t="str" cm="1">
        <f t="array" ref="E285">IF(_xlfn.XLOOKUP($A285&amp;$B285&amp;$C285,盘货信息!$A:$A&amp;盘货信息!$B:$B&amp;盘货信息!$C:$C,盘货信息!$AA:$AA)="","",_xlfn.XLOOKUP($A285&amp;$B285&amp;$C285,盘货信息!$A:$A&amp;盘货信息!$B:$B&amp;盘货信息!$C:$C,盘货信息!$AA:$AA)&amp;"免息")</f>
        <v/>
      </c>
      <c r="F285" s="18" t="str" cm="1">
        <f t="array" ref="F285">IF(_xlfn.XLOOKUP($A285&amp;$B285&amp;$C285,盘货信息!$A:$A&amp;盘货信息!$B:$B&amp;盘货信息!$C:$C,盘货信息!$AB:$AB)="","",_xlfn.XLOOKUP($A285&amp;$B285&amp;$C285,盘货信息!$A:$A&amp;盘货信息!$B:$B&amp;盘货信息!$C:$C,盘货信息!$AB:$AB))</f>
        <v/>
      </c>
      <c r="G285" s="18"/>
    </row>
    <row r="286" customHeight="1" spans="1:7">
      <c r="A286" s="20" t="str">
        <f>IF(盘货信息!A286="","",盘货信息!A286)</f>
        <v/>
      </c>
      <c r="B286" s="17" t="str">
        <f>IF(盘货信息!B286="","",盘货信息!B286)</f>
        <v/>
      </c>
      <c r="C286" s="20" t="str">
        <f>IF(盘货信息!C286="","",盘货信息!C286)</f>
        <v/>
      </c>
      <c r="D286" s="18" t="str">
        <f t="shared" si="4"/>
        <v/>
      </c>
      <c r="E286" s="18" t="str" cm="1">
        <f t="array" ref="E286">IF(_xlfn.XLOOKUP($A286&amp;$B286&amp;$C286,盘货信息!$A:$A&amp;盘货信息!$B:$B&amp;盘货信息!$C:$C,盘货信息!$AA:$AA)="","",_xlfn.XLOOKUP($A286&amp;$B286&amp;$C286,盘货信息!$A:$A&amp;盘货信息!$B:$B&amp;盘货信息!$C:$C,盘货信息!$AA:$AA)&amp;"免息")</f>
        <v/>
      </c>
      <c r="F286" s="18" t="str" cm="1">
        <f t="array" ref="F286">IF(_xlfn.XLOOKUP($A286&amp;$B286&amp;$C286,盘货信息!$A:$A&amp;盘货信息!$B:$B&amp;盘货信息!$C:$C,盘货信息!$AB:$AB)="","",_xlfn.XLOOKUP($A286&amp;$B286&amp;$C286,盘货信息!$A:$A&amp;盘货信息!$B:$B&amp;盘货信息!$C:$C,盘货信息!$AB:$AB))</f>
        <v/>
      </c>
      <c r="G286" s="18"/>
    </row>
    <row r="287" customHeight="1" spans="1:7">
      <c r="A287" s="20" t="str">
        <f>IF(盘货信息!A287="","",盘货信息!A287)</f>
        <v/>
      </c>
      <c r="B287" s="17" t="str">
        <f>IF(盘货信息!B287="","",盘货信息!B287)</f>
        <v/>
      </c>
      <c r="C287" s="20" t="str">
        <f>IF(盘货信息!C287="","",盘货信息!C287)</f>
        <v/>
      </c>
      <c r="D287" s="18" t="str">
        <f t="shared" si="4"/>
        <v/>
      </c>
      <c r="E287" s="18" t="str" cm="1">
        <f t="array" ref="E287">IF(_xlfn.XLOOKUP($A287&amp;$B287&amp;$C287,盘货信息!$A:$A&amp;盘货信息!$B:$B&amp;盘货信息!$C:$C,盘货信息!$AA:$AA)="","",_xlfn.XLOOKUP($A287&amp;$B287&amp;$C287,盘货信息!$A:$A&amp;盘货信息!$B:$B&amp;盘货信息!$C:$C,盘货信息!$AA:$AA)&amp;"免息")</f>
        <v/>
      </c>
      <c r="F287" s="18" t="str" cm="1">
        <f t="array" ref="F287">IF(_xlfn.XLOOKUP($A287&amp;$B287&amp;$C287,盘货信息!$A:$A&amp;盘货信息!$B:$B&amp;盘货信息!$C:$C,盘货信息!$AB:$AB)="","",_xlfn.XLOOKUP($A287&amp;$B287&amp;$C287,盘货信息!$A:$A&amp;盘货信息!$B:$B&amp;盘货信息!$C:$C,盘货信息!$AB:$AB))</f>
        <v/>
      </c>
      <c r="G287" s="18"/>
    </row>
    <row r="288" customHeight="1" spans="1:7">
      <c r="A288" s="20" t="str">
        <f>IF(盘货信息!A288="","",盘货信息!A288)</f>
        <v/>
      </c>
      <c r="B288" s="17" t="str">
        <f>IF(盘货信息!B288="","",盘货信息!B288)</f>
        <v/>
      </c>
      <c r="C288" s="20" t="str">
        <f>IF(盘货信息!C288="","",盘货信息!C288)</f>
        <v/>
      </c>
      <c r="D288" s="18" t="str">
        <f t="shared" si="4"/>
        <v/>
      </c>
      <c r="E288" s="18" t="str" cm="1">
        <f t="array" ref="E288">IF(_xlfn.XLOOKUP($A288&amp;$B288&amp;$C288,盘货信息!$A:$A&amp;盘货信息!$B:$B&amp;盘货信息!$C:$C,盘货信息!$AA:$AA)="","",_xlfn.XLOOKUP($A288&amp;$B288&amp;$C288,盘货信息!$A:$A&amp;盘货信息!$B:$B&amp;盘货信息!$C:$C,盘货信息!$AA:$AA)&amp;"免息")</f>
        <v/>
      </c>
      <c r="F288" s="18" t="str" cm="1">
        <f t="array" ref="F288">IF(_xlfn.XLOOKUP($A288&amp;$B288&amp;$C288,盘货信息!$A:$A&amp;盘货信息!$B:$B&amp;盘货信息!$C:$C,盘货信息!$AB:$AB)="","",_xlfn.XLOOKUP($A288&amp;$B288&amp;$C288,盘货信息!$A:$A&amp;盘货信息!$B:$B&amp;盘货信息!$C:$C,盘货信息!$AB:$AB))</f>
        <v/>
      </c>
      <c r="G288" s="18"/>
    </row>
    <row r="289" customHeight="1" spans="1:7">
      <c r="A289" s="20" t="str">
        <f>IF(盘货信息!A289="","",盘货信息!A289)</f>
        <v/>
      </c>
      <c r="B289" s="17" t="str">
        <f>IF(盘货信息!B289="","",盘货信息!B289)</f>
        <v/>
      </c>
      <c r="C289" s="20" t="str">
        <f>IF(盘货信息!C289="","",盘货信息!C289)</f>
        <v/>
      </c>
      <c r="D289" s="18" t="str">
        <f t="shared" si="4"/>
        <v/>
      </c>
      <c r="E289" s="18" t="str" cm="1">
        <f t="array" ref="E289">IF(_xlfn.XLOOKUP($A289&amp;$B289&amp;$C289,盘货信息!$A:$A&amp;盘货信息!$B:$B&amp;盘货信息!$C:$C,盘货信息!$AA:$AA)="","",_xlfn.XLOOKUP($A289&amp;$B289&amp;$C289,盘货信息!$A:$A&amp;盘货信息!$B:$B&amp;盘货信息!$C:$C,盘货信息!$AA:$AA)&amp;"免息")</f>
        <v/>
      </c>
      <c r="F289" s="18" t="str" cm="1">
        <f t="array" ref="F289">IF(_xlfn.XLOOKUP($A289&amp;$B289&amp;$C289,盘货信息!$A:$A&amp;盘货信息!$B:$B&amp;盘货信息!$C:$C,盘货信息!$AB:$AB)="","",_xlfn.XLOOKUP($A289&amp;$B289&amp;$C289,盘货信息!$A:$A&amp;盘货信息!$B:$B&amp;盘货信息!$C:$C,盘货信息!$AB:$AB))</f>
        <v/>
      </c>
      <c r="G289" s="18"/>
    </row>
    <row r="290" customHeight="1" spans="1:7">
      <c r="A290" s="20" t="str">
        <f>IF(盘货信息!A290="","",盘货信息!A290)</f>
        <v/>
      </c>
      <c r="B290" s="17" t="str">
        <f>IF(盘货信息!B290="","",盘货信息!B290)</f>
        <v/>
      </c>
      <c r="C290" s="20" t="str">
        <f>IF(盘货信息!C290="","",盘货信息!C290)</f>
        <v/>
      </c>
      <c r="D290" s="18" t="str">
        <f t="shared" si="4"/>
        <v/>
      </c>
      <c r="E290" s="18" t="str" cm="1">
        <f t="array" ref="E290">IF(_xlfn.XLOOKUP($A290&amp;$B290&amp;$C290,盘货信息!$A:$A&amp;盘货信息!$B:$B&amp;盘货信息!$C:$C,盘货信息!$AA:$AA)="","",_xlfn.XLOOKUP($A290&amp;$B290&amp;$C290,盘货信息!$A:$A&amp;盘货信息!$B:$B&amp;盘货信息!$C:$C,盘货信息!$AA:$AA)&amp;"免息")</f>
        <v/>
      </c>
      <c r="F290" s="18" t="str" cm="1">
        <f t="array" ref="F290">IF(_xlfn.XLOOKUP($A290&amp;$B290&amp;$C290,盘货信息!$A:$A&amp;盘货信息!$B:$B&amp;盘货信息!$C:$C,盘货信息!$AB:$AB)="","",_xlfn.XLOOKUP($A290&amp;$B290&amp;$C290,盘货信息!$A:$A&amp;盘货信息!$B:$B&amp;盘货信息!$C:$C,盘货信息!$AB:$AB))</f>
        <v/>
      </c>
      <c r="G290" s="18"/>
    </row>
    <row r="291" customHeight="1" spans="1:7">
      <c r="A291" s="20" t="str">
        <f>IF(盘货信息!A291="","",盘货信息!A291)</f>
        <v/>
      </c>
      <c r="B291" s="17" t="str">
        <f>IF(盘货信息!B291="","",盘货信息!B291)</f>
        <v/>
      </c>
      <c r="C291" s="20" t="str">
        <f>IF(盘货信息!C291="","",盘货信息!C291)</f>
        <v/>
      </c>
      <c r="D291" s="18" t="str">
        <f t="shared" si="4"/>
        <v/>
      </c>
      <c r="E291" s="18" t="str" cm="1">
        <f t="array" ref="E291">IF(_xlfn.XLOOKUP($A291&amp;$B291&amp;$C291,盘货信息!$A:$A&amp;盘货信息!$B:$B&amp;盘货信息!$C:$C,盘货信息!$AA:$AA)="","",_xlfn.XLOOKUP($A291&amp;$B291&amp;$C291,盘货信息!$A:$A&amp;盘货信息!$B:$B&amp;盘货信息!$C:$C,盘货信息!$AA:$AA)&amp;"免息")</f>
        <v/>
      </c>
      <c r="F291" s="18" t="str" cm="1">
        <f t="array" ref="F291">IF(_xlfn.XLOOKUP($A291&amp;$B291&amp;$C291,盘货信息!$A:$A&amp;盘货信息!$B:$B&amp;盘货信息!$C:$C,盘货信息!$AB:$AB)="","",_xlfn.XLOOKUP($A291&amp;$B291&amp;$C291,盘货信息!$A:$A&amp;盘货信息!$B:$B&amp;盘货信息!$C:$C,盘货信息!$AB:$AB))</f>
        <v/>
      </c>
      <c r="G291" s="18"/>
    </row>
    <row r="292" customHeight="1" spans="1:7">
      <c r="A292" s="20" t="str">
        <f>IF(盘货信息!A292="","",盘货信息!A292)</f>
        <v/>
      </c>
      <c r="B292" s="17" t="str">
        <f>IF(盘货信息!B292="","",盘货信息!B292)</f>
        <v/>
      </c>
      <c r="C292" s="20" t="str">
        <f>IF(盘货信息!C292="","",盘货信息!C292)</f>
        <v/>
      </c>
      <c r="D292" s="18" t="str">
        <f t="shared" si="4"/>
        <v/>
      </c>
      <c r="E292" s="18" t="str" cm="1">
        <f t="array" ref="E292">IF(_xlfn.XLOOKUP($A292&amp;$B292&amp;$C292,盘货信息!$A:$A&amp;盘货信息!$B:$B&amp;盘货信息!$C:$C,盘货信息!$AA:$AA)="","",_xlfn.XLOOKUP($A292&amp;$B292&amp;$C292,盘货信息!$A:$A&amp;盘货信息!$B:$B&amp;盘货信息!$C:$C,盘货信息!$AA:$AA)&amp;"免息")</f>
        <v/>
      </c>
      <c r="F292" s="18" t="str" cm="1">
        <f t="array" ref="F292">IF(_xlfn.XLOOKUP($A292&amp;$B292&amp;$C292,盘货信息!$A:$A&amp;盘货信息!$B:$B&amp;盘货信息!$C:$C,盘货信息!$AB:$AB)="","",_xlfn.XLOOKUP($A292&amp;$B292&amp;$C292,盘货信息!$A:$A&amp;盘货信息!$B:$B&amp;盘货信息!$C:$C,盘货信息!$AB:$AB))</f>
        <v/>
      </c>
      <c r="G292" s="18"/>
    </row>
    <row r="293" customHeight="1" spans="1:7">
      <c r="A293" s="20" t="str">
        <f>IF(盘货信息!A293="","",盘货信息!A293)</f>
        <v/>
      </c>
      <c r="B293" s="17" t="str">
        <f>IF(盘货信息!B293="","",盘货信息!B293)</f>
        <v/>
      </c>
      <c r="C293" s="20" t="str">
        <f>IF(盘货信息!C293="","",盘货信息!C293)</f>
        <v/>
      </c>
      <c r="D293" s="18" t="str">
        <f t="shared" si="4"/>
        <v/>
      </c>
      <c r="E293" s="18" t="str" cm="1">
        <f t="array" ref="E293">IF(_xlfn.XLOOKUP($A293&amp;$B293&amp;$C293,盘货信息!$A:$A&amp;盘货信息!$B:$B&amp;盘货信息!$C:$C,盘货信息!$AA:$AA)="","",_xlfn.XLOOKUP($A293&amp;$B293&amp;$C293,盘货信息!$A:$A&amp;盘货信息!$B:$B&amp;盘货信息!$C:$C,盘货信息!$AA:$AA)&amp;"免息")</f>
        <v/>
      </c>
      <c r="F293" s="18" t="str" cm="1">
        <f t="array" ref="F293">IF(_xlfn.XLOOKUP($A293&amp;$B293&amp;$C293,盘货信息!$A:$A&amp;盘货信息!$B:$B&amp;盘货信息!$C:$C,盘货信息!$AB:$AB)="","",_xlfn.XLOOKUP($A293&amp;$B293&amp;$C293,盘货信息!$A:$A&amp;盘货信息!$B:$B&amp;盘货信息!$C:$C,盘货信息!$AB:$AB))</f>
        <v/>
      </c>
      <c r="G293" s="18"/>
    </row>
    <row r="294" customHeight="1" spans="1:7">
      <c r="A294" s="20" t="str">
        <f>IF(盘货信息!A294="","",盘货信息!A294)</f>
        <v/>
      </c>
      <c r="B294" s="17" t="str">
        <f>IF(盘货信息!B294="","",盘货信息!B294)</f>
        <v/>
      </c>
      <c r="C294" s="20" t="str">
        <f>IF(盘货信息!C294="","",盘货信息!C294)</f>
        <v/>
      </c>
      <c r="D294" s="18" t="str">
        <f t="shared" si="4"/>
        <v/>
      </c>
      <c r="E294" s="18" t="str" cm="1">
        <f t="array" ref="E294">IF(_xlfn.XLOOKUP($A294&amp;$B294&amp;$C294,盘货信息!$A:$A&amp;盘货信息!$B:$B&amp;盘货信息!$C:$C,盘货信息!$AA:$AA)="","",_xlfn.XLOOKUP($A294&amp;$B294&amp;$C294,盘货信息!$A:$A&amp;盘货信息!$B:$B&amp;盘货信息!$C:$C,盘货信息!$AA:$AA)&amp;"免息")</f>
        <v/>
      </c>
      <c r="F294" s="18" t="str" cm="1">
        <f t="array" ref="F294">IF(_xlfn.XLOOKUP($A294&amp;$B294&amp;$C294,盘货信息!$A:$A&amp;盘货信息!$B:$B&amp;盘货信息!$C:$C,盘货信息!$AB:$AB)="","",_xlfn.XLOOKUP($A294&amp;$B294&amp;$C294,盘货信息!$A:$A&amp;盘货信息!$B:$B&amp;盘货信息!$C:$C,盘货信息!$AB:$AB))</f>
        <v/>
      </c>
      <c r="G294" s="18"/>
    </row>
    <row r="295" customHeight="1" spans="1:7">
      <c r="A295" s="20" t="str">
        <f>IF(盘货信息!A295="","",盘货信息!A295)</f>
        <v/>
      </c>
      <c r="B295" s="17" t="str">
        <f>IF(盘货信息!B295="","",盘货信息!B295)</f>
        <v/>
      </c>
      <c r="C295" s="20" t="str">
        <f>IF(盘货信息!C295="","",盘货信息!C295)</f>
        <v/>
      </c>
      <c r="D295" s="18" t="str">
        <f t="shared" si="4"/>
        <v/>
      </c>
      <c r="E295" s="18" t="str" cm="1">
        <f t="array" ref="E295">IF(_xlfn.XLOOKUP($A295&amp;$B295&amp;$C295,盘货信息!$A:$A&amp;盘货信息!$B:$B&amp;盘货信息!$C:$C,盘货信息!$AA:$AA)="","",_xlfn.XLOOKUP($A295&amp;$B295&amp;$C295,盘货信息!$A:$A&amp;盘货信息!$B:$B&amp;盘货信息!$C:$C,盘货信息!$AA:$AA)&amp;"免息")</f>
        <v/>
      </c>
      <c r="F295" s="18" t="str" cm="1">
        <f t="array" ref="F295">IF(_xlfn.XLOOKUP($A295&amp;$B295&amp;$C295,盘货信息!$A:$A&amp;盘货信息!$B:$B&amp;盘货信息!$C:$C,盘货信息!$AB:$AB)="","",_xlfn.XLOOKUP($A295&amp;$B295&amp;$C295,盘货信息!$A:$A&amp;盘货信息!$B:$B&amp;盘货信息!$C:$C,盘货信息!$AB:$AB))</f>
        <v/>
      </c>
      <c r="G295" s="18"/>
    </row>
    <row r="296" customHeight="1" spans="1:7">
      <c r="A296" s="20" t="str">
        <f>IF(盘货信息!A296="","",盘货信息!A296)</f>
        <v/>
      </c>
      <c r="B296" s="17" t="str">
        <f>IF(盘货信息!B296="","",盘货信息!B296)</f>
        <v/>
      </c>
      <c r="C296" s="20" t="str">
        <f>IF(盘货信息!C296="","",盘货信息!C296)</f>
        <v/>
      </c>
      <c r="D296" s="18" t="str">
        <f t="shared" si="4"/>
        <v/>
      </c>
      <c r="E296" s="18" t="str" cm="1">
        <f t="array" ref="E296">IF(_xlfn.XLOOKUP($A296&amp;$B296&amp;$C296,盘货信息!$A:$A&amp;盘货信息!$B:$B&amp;盘货信息!$C:$C,盘货信息!$AA:$AA)="","",_xlfn.XLOOKUP($A296&amp;$B296&amp;$C296,盘货信息!$A:$A&amp;盘货信息!$B:$B&amp;盘货信息!$C:$C,盘货信息!$AA:$AA)&amp;"免息")</f>
        <v/>
      </c>
      <c r="F296" s="18" t="str" cm="1">
        <f t="array" ref="F296">IF(_xlfn.XLOOKUP($A296&amp;$B296&amp;$C296,盘货信息!$A:$A&amp;盘货信息!$B:$B&amp;盘货信息!$C:$C,盘货信息!$AB:$AB)="","",_xlfn.XLOOKUP($A296&amp;$B296&amp;$C296,盘货信息!$A:$A&amp;盘货信息!$B:$B&amp;盘货信息!$C:$C,盘货信息!$AB:$AB))</f>
        <v/>
      </c>
      <c r="G296" s="18"/>
    </row>
    <row r="297" customHeight="1" spans="1:7">
      <c r="A297" s="20" t="str">
        <f>IF(盘货信息!A297="","",盘货信息!A297)</f>
        <v/>
      </c>
      <c r="B297" s="17" t="str">
        <f>IF(盘货信息!B297="","",盘货信息!B297)</f>
        <v/>
      </c>
      <c r="C297" s="20" t="str">
        <f>IF(盘货信息!C297="","",盘货信息!C297)</f>
        <v/>
      </c>
      <c r="D297" s="18" t="str">
        <f t="shared" si="4"/>
        <v/>
      </c>
      <c r="E297" s="18" t="str" cm="1">
        <f t="array" ref="E297">IF(_xlfn.XLOOKUP($A297&amp;$B297&amp;$C297,盘货信息!$A:$A&amp;盘货信息!$B:$B&amp;盘货信息!$C:$C,盘货信息!$AA:$AA)="","",_xlfn.XLOOKUP($A297&amp;$B297&amp;$C297,盘货信息!$A:$A&amp;盘货信息!$B:$B&amp;盘货信息!$C:$C,盘货信息!$AA:$AA)&amp;"免息")</f>
        <v/>
      </c>
      <c r="F297" s="18" t="str" cm="1">
        <f t="array" ref="F297">IF(_xlfn.XLOOKUP($A297&amp;$B297&amp;$C297,盘货信息!$A:$A&amp;盘货信息!$B:$B&amp;盘货信息!$C:$C,盘货信息!$AB:$AB)="","",_xlfn.XLOOKUP($A297&amp;$B297&amp;$C297,盘货信息!$A:$A&amp;盘货信息!$B:$B&amp;盘货信息!$C:$C,盘货信息!$AB:$AB))</f>
        <v/>
      </c>
      <c r="G297" s="18"/>
    </row>
    <row r="298" customHeight="1" spans="1:7">
      <c r="A298" s="20" t="str">
        <f>IF(盘货信息!A298="","",盘货信息!A298)</f>
        <v/>
      </c>
      <c r="B298" s="17" t="str">
        <f>IF(盘货信息!B298="","",盘货信息!B298)</f>
        <v/>
      </c>
      <c r="C298" s="20" t="str">
        <f>IF(盘货信息!C298="","",盘货信息!C298)</f>
        <v/>
      </c>
      <c r="D298" s="18" t="str">
        <f t="shared" si="4"/>
        <v/>
      </c>
      <c r="E298" s="18" t="str" cm="1">
        <f t="array" ref="E298">IF(_xlfn.XLOOKUP($A298&amp;$B298&amp;$C298,盘货信息!$A:$A&amp;盘货信息!$B:$B&amp;盘货信息!$C:$C,盘货信息!$AA:$AA)="","",_xlfn.XLOOKUP($A298&amp;$B298&amp;$C298,盘货信息!$A:$A&amp;盘货信息!$B:$B&amp;盘货信息!$C:$C,盘货信息!$AA:$AA)&amp;"免息")</f>
        <v/>
      </c>
      <c r="F298" s="18" t="str" cm="1">
        <f t="array" ref="F298">IF(_xlfn.XLOOKUP($A298&amp;$B298&amp;$C298,盘货信息!$A:$A&amp;盘货信息!$B:$B&amp;盘货信息!$C:$C,盘货信息!$AB:$AB)="","",_xlfn.XLOOKUP($A298&amp;$B298&amp;$C298,盘货信息!$A:$A&amp;盘货信息!$B:$B&amp;盘货信息!$C:$C,盘货信息!$AB:$AB))</f>
        <v/>
      </c>
      <c r="G298" s="18"/>
    </row>
    <row r="299" customHeight="1" spans="1:7">
      <c r="A299" s="20" t="str">
        <f>IF(盘货信息!A299="","",盘货信息!A299)</f>
        <v/>
      </c>
      <c r="B299" s="17" t="str">
        <f>IF(盘货信息!B299="","",盘货信息!B299)</f>
        <v/>
      </c>
      <c r="C299" s="20" t="str">
        <f>IF(盘货信息!C299="","",盘货信息!C299)</f>
        <v/>
      </c>
      <c r="D299" s="18" t="str">
        <f t="shared" si="4"/>
        <v/>
      </c>
      <c r="E299" s="18" t="str" cm="1">
        <f t="array" ref="E299">IF(_xlfn.XLOOKUP($A299&amp;$B299&amp;$C299,盘货信息!$A:$A&amp;盘货信息!$B:$B&amp;盘货信息!$C:$C,盘货信息!$AA:$AA)="","",_xlfn.XLOOKUP($A299&amp;$B299&amp;$C299,盘货信息!$A:$A&amp;盘货信息!$B:$B&amp;盘货信息!$C:$C,盘货信息!$AA:$AA)&amp;"免息")</f>
        <v/>
      </c>
      <c r="F299" s="18" t="str" cm="1">
        <f t="array" ref="F299">IF(_xlfn.XLOOKUP($A299&amp;$B299&amp;$C299,盘货信息!$A:$A&amp;盘货信息!$B:$B&amp;盘货信息!$C:$C,盘货信息!$AB:$AB)="","",_xlfn.XLOOKUP($A299&amp;$B299&amp;$C299,盘货信息!$A:$A&amp;盘货信息!$B:$B&amp;盘货信息!$C:$C,盘货信息!$AB:$AB))</f>
        <v/>
      </c>
      <c r="G299" s="18"/>
    </row>
    <row r="300" customHeight="1" spans="1:7">
      <c r="A300" s="20" t="str">
        <f>IF(盘货信息!A300="","",盘货信息!A300)</f>
        <v/>
      </c>
      <c r="B300" s="17" t="str">
        <f>IF(盘货信息!B300="","",盘货信息!B300)</f>
        <v/>
      </c>
      <c r="C300" s="20" t="str">
        <f>IF(盘货信息!C300="","",盘货信息!C300)</f>
        <v/>
      </c>
      <c r="D300" s="18" t="str">
        <f t="shared" si="4"/>
        <v/>
      </c>
      <c r="E300" s="18" t="str" cm="1">
        <f t="array" ref="E300">IF(_xlfn.XLOOKUP($A300&amp;$B300&amp;$C300,盘货信息!$A:$A&amp;盘货信息!$B:$B&amp;盘货信息!$C:$C,盘货信息!$AA:$AA)="","",_xlfn.XLOOKUP($A300&amp;$B300&amp;$C300,盘货信息!$A:$A&amp;盘货信息!$B:$B&amp;盘货信息!$C:$C,盘货信息!$AA:$AA)&amp;"免息")</f>
        <v/>
      </c>
      <c r="F300" s="18" t="str" cm="1">
        <f t="array" ref="F300">IF(_xlfn.XLOOKUP($A300&amp;$B300&amp;$C300,盘货信息!$A:$A&amp;盘货信息!$B:$B&amp;盘货信息!$C:$C,盘货信息!$AB:$AB)="","",_xlfn.XLOOKUP($A300&amp;$B300&amp;$C300,盘货信息!$A:$A&amp;盘货信息!$B:$B&amp;盘货信息!$C:$C,盘货信息!$AB:$AB))</f>
        <v/>
      </c>
      <c r="G300" s="18"/>
    </row>
    <row r="301" customHeight="1" spans="1:7">
      <c r="A301" s="20" t="str">
        <f>IF(盘货信息!A301="","",盘货信息!A301)</f>
        <v/>
      </c>
      <c r="B301" s="17" t="str">
        <f>IF(盘货信息!B301="","",盘货信息!B301)</f>
        <v/>
      </c>
      <c r="C301" s="20" t="str">
        <f>IF(盘货信息!C301="","",盘货信息!C301)</f>
        <v/>
      </c>
      <c r="D301" s="18" t="str">
        <f t="shared" si="4"/>
        <v/>
      </c>
      <c r="E301" s="18" t="str" cm="1">
        <f t="array" ref="E301">IF(_xlfn.XLOOKUP($A301&amp;$B301&amp;$C301,盘货信息!$A:$A&amp;盘货信息!$B:$B&amp;盘货信息!$C:$C,盘货信息!$AA:$AA)="","",_xlfn.XLOOKUP($A301&amp;$B301&amp;$C301,盘货信息!$A:$A&amp;盘货信息!$B:$B&amp;盘货信息!$C:$C,盘货信息!$AA:$AA)&amp;"免息")</f>
        <v/>
      </c>
      <c r="F301" s="18" t="str" cm="1">
        <f t="array" ref="F301">IF(_xlfn.XLOOKUP($A301&amp;$B301&amp;$C301,盘货信息!$A:$A&amp;盘货信息!$B:$B&amp;盘货信息!$C:$C,盘货信息!$AB:$AB)="","",_xlfn.XLOOKUP($A301&amp;$B301&amp;$C301,盘货信息!$A:$A&amp;盘货信息!$B:$B&amp;盘货信息!$C:$C,盘货信息!$AB:$AB))</f>
        <v/>
      </c>
      <c r="G301" s="18"/>
    </row>
    <row r="302" customHeight="1" spans="1:7">
      <c r="A302" s="20" t="str">
        <f>IF(盘货信息!A302="","",盘货信息!A302)</f>
        <v/>
      </c>
      <c r="B302" s="17" t="str">
        <f>IF(盘货信息!B302="","",盘货信息!B302)</f>
        <v/>
      </c>
      <c r="C302" s="20" t="str">
        <f>IF(盘货信息!C302="","",盘货信息!C302)</f>
        <v/>
      </c>
      <c r="D302" s="18" t="str">
        <f t="shared" si="4"/>
        <v/>
      </c>
      <c r="E302" s="18" t="str" cm="1">
        <f t="array" ref="E302">IF(_xlfn.XLOOKUP($A302&amp;$B302&amp;$C302,盘货信息!$A:$A&amp;盘货信息!$B:$B&amp;盘货信息!$C:$C,盘货信息!$AA:$AA)="","",_xlfn.XLOOKUP($A302&amp;$B302&amp;$C302,盘货信息!$A:$A&amp;盘货信息!$B:$B&amp;盘货信息!$C:$C,盘货信息!$AA:$AA)&amp;"免息")</f>
        <v/>
      </c>
      <c r="F302" s="18" t="str" cm="1">
        <f t="array" ref="F302">IF(_xlfn.XLOOKUP($A302&amp;$B302&amp;$C302,盘货信息!$A:$A&amp;盘货信息!$B:$B&amp;盘货信息!$C:$C,盘货信息!$AB:$AB)="","",_xlfn.XLOOKUP($A302&amp;$B302&amp;$C302,盘货信息!$A:$A&amp;盘货信息!$B:$B&amp;盘货信息!$C:$C,盘货信息!$AB:$AB))</f>
        <v/>
      </c>
      <c r="G302" s="18"/>
    </row>
    <row r="303" customHeight="1" spans="1:7">
      <c r="A303" s="20" t="str">
        <f>IF(盘货信息!A303="","",盘货信息!A303)</f>
        <v/>
      </c>
      <c r="B303" s="17" t="str">
        <f>IF(盘货信息!B303="","",盘货信息!B303)</f>
        <v/>
      </c>
      <c r="C303" s="20" t="str">
        <f>IF(盘货信息!C303="","",盘货信息!C303)</f>
        <v/>
      </c>
      <c r="D303" s="18" t="str">
        <f t="shared" si="4"/>
        <v/>
      </c>
      <c r="E303" s="18" t="str" cm="1">
        <f t="array" ref="E303">IF(_xlfn.XLOOKUP($A303&amp;$B303&amp;$C303,盘货信息!$A:$A&amp;盘货信息!$B:$B&amp;盘货信息!$C:$C,盘货信息!$AA:$AA)="","",_xlfn.XLOOKUP($A303&amp;$B303&amp;$C303,盘货信息!$A:$A&amp;盘货信息!$B:$B&amp;盘货信息!$C:$C,盘货信息!$AA:$AA)&amp;"免息")</f>
        <v/>
      </c>
      <c r="F303" s="18" t="str" cm="1">
        <f t="array" ref="F303">IF(_xlfn.XLOOKUP($A303&amp;$B303&amp;$C303,盘货信息!$A:$A&amp;盘货信息!$B:$B&amp;盘货信息!$C:$C,盘货信息!$AB:$AB)="","",_xlfn.XLOOKUP($A303&amp;$B303&amp;$C303,盘货信息!$A:$A&amp;盘货信息!$B:$B&amp;盘货信息!$C:$C,盘货信息!$AB:$AB))</f>
        <v/>
      </c>
      <c r="G303" s="18"/>
    </row>
    <row r="304" customHeight="1" spans="1:7">
      <c r="A304" s="20" t="str">
        <f>IF(盘货信息!A304="","",盘货信息!A304)</f>
        <v/>
      </c>
      <c r="B304" s="17" t="str">
        <f>IF(盘货信息!B304="","",盘货信息!B304)</f>
        <v/>
      </c>
      <c r="C304" s="20" t="str">
        <f>IF(盘货信息!C304="","",盘货信息!C304)</f>
        <v/>
      </c>
      <c r="D304" s="18" t="str">
        <f t="shared" si="4"/>
        <v/>
      </c>
      <c r="E304" s="18" t="str" cm="1">
        <f t="array" ref="E304">IF(_xlfn.XLOOKUP($A304&amp;$B304&amp;$C304,盘货信息!$A:$A&amp;盘货信息!$B:$B&amp;盘货信息!$C:$C,盘货信息!$AA:$AA)="","",_xlfn.XLOOKUP($A304&amp;$B304&amp;$C304,盘货信息!$A:$A&amp;盘货信息!$B:$B&amp;盘货信息!$C:$C,盘货信息!$AA:$AA)&amp;"免息")</f>
        <v/>
      </c>
      <c r="F304" s="18" t="str" cm="1">
        <f t="array" ref="F304">IF(_xlfn.XLOOKUP($A304&amp;$B304&amp;$C304,盘货信息!$A:$A&amp;盘货信息!$B:$B&amp;盘货信息!$C:$C,盘货信息!$AB:$AB)="","",_xlfn.XLOOKUP($A304&amp;$B304&amp;$C304,盘货信息!$A:$A&amp;盘货信息!$B:$B&amp;盘货信息!$C:$C,盘货信息!$AB:$AB))</f>
        <v/>
      </c>
      <c r="G304" s="18"/>
    </row>
    <row r="305" customHeight="1" spans="1:7">
      <c r="A305" s="20" t="str">
        <f>IF(盘货信息!A305="","",盘货信息!A305)</f>
        <v/>
      </c>
      <c r="B305" s="17" t="str">
        <f>IF(盘货信息!B305="","",盘货信息!B305)</f>
        <v/>
      </c>
      <c r="C305" s="20" t="str">
        <f>IF(盘货信息!C305="","",盘货信息!C305)</f>
        <v/>
      </c>
      <c r="D305" s="18" t="str">
        <f t="shared" si="4"/>
        <v/>
      </c>
      <c r="E305" s="18" t="str" cm="1">
        <f t="array" ref="E305">IF(_xlfn.XLOOKUP($A305&amp;$B305&amp;$C305,盘货信息!$A:$A&amp;盘货信息!$B:$B&amp;盘货信息!$C:$C,盘货信息!$AA:$AA)="","",_xlfn.XLOOKUP($A305&amp;$B305&amp;$C305,盘货信息!$A:$A&amp;盘货信息!$B:$B&amp;盘货信息!$C:$C,盘货信息!$AA:$AA)&amp;"免息")</f>
        <v/>
      </c>
      <c r="F305" s="18" t="str" cm="1">
        <f t="array" ref="F305">IF(_xlfn.XLOOKUP($A305&amp;$B305&amp;$C305,盘货信息!$A:$A&amp;盘货信息!$B:$B&amp;盘货信息!$C:$C,盘货信息!$AB:$AB)="","",_xlfn.XLOOKUP($A305&amp;$B305&amp;$C305,盘货信息!$A:$A&amp;盘货信息!$B:$B&amp;盘货信息!$C:$C,盘货信息!$AB:$AB))</f>
        <v/>
      </c>
      <c r="G305" s="18"/>
    </row>
    <row r="306" customHeight="1" spans="1:7">
      <c r="A306" s="20" t="str">
        <f>IF(盘货信息!A306="","",盘货信息!A306)</f>
        <v/>
      </c>
      <c r="B306" s="17" t="str">
        <f>IF(盘货信息!B306="","",盘货信息!B306)</f>
        <v/>
      </c>
      <c r="C306" s="20" t="str">
        <f>IF(盘货信息!C306="","",盘货信息!C306)</f>
        <v/>
      </c>
      <c r="D306" s="18" t="str">
        <f t="shared" si="4"/>
        <v/>
      </c>
      <c r="E306" s="18" t="str" cm="1">
        <f t="array" ref="E306">IF(_xlfn.XLOOKUP($A306&amp;$B306&amp;$C306,盘货信息!$A:$A&amp;盘货信息!$B:$B&amp;盘货信息!$C:$C,盘货信息!$AA:$AA)="","",_xlfn.XLOOKUP($A306&amp;$B306&amp;$C306,盘货信息!$A:$A&amp;盘货信息!$B:$B&amp;盘货信息!$C:$C,盘货信息!$AA:$AA)&amp;"免息")</f>
        <v/>
      </c>
      <c r="F306" s="18" t="str" cm="1">
        <f t="array" ref="F306">IF(_xlfn.XLOOKUP($A306&amp;$B306&amp;$C306,盘货信息!$A:$A&amp;盘货信息!$B:$B&amp;盘货信息!$C:$C,盘货信息!$AB:$AB)="","",_xlfn.XLOOKUP($A306&amp;$B306&amp;$C306,盘货信息!$A:$A&amp;盘货信息!$B:$B&amp;盘货信息!$C:$C,盘货信息!$AB:$AB))</f>
        <v/>
      </c>
      <c r="G306" s="18"/>
    </row>
    <row r="307" customHeight="1" spans="1:7">
      <c r="A307" s="20" t="str">
        <f>IF(盘货信息!A307="","",盘货信息!A307)</f>
        <v/>
      </c>
      <c r="B307" s="17" t="str">
        <f>IF(盘货信息!B307="","",盘货信息!B307)</f>
        <v/>
      </c>
      <c r="C307" s="20" t="str">
        <f>IF(盘货信息!C307="","",盘货信息!C307)</f>
        <v/>
      </c>
      <c r="D307" s="18" t="str">
        <f t="shared" si="4"/>
        <v/>
      </c>
      <c r="E307" s="18" t="str" cm="1">
        <f t="array" ref="E307">IF(_xlfn.XLOOKUP($A307&amp;$B307&amp;$C307,盘货信息!$A:$A&amp;盘货信息!$B:$B&amp;盘货信息!$C:$C,盘货信息!$AA:$AA)="","",_xlfn.XLOOKUP($A307&amp;$B307&amp;$C307,盘货信息!$A:$A&amp;盘货信息!$B:$B&amp;盘货信息!$C:$C,盘货信息!$AA:$AA)&amp;"免息")</f>
        <v/>
      </c>
      <c r="F307" s="18" t="str" cm="1">
        <f t="array" ref="F307">IF(_xlfn.XLOOKUP($A307&amp;$B307&amp;$C307,盘货信息!$A:$A&amp;盘货信息!$B:$B&amp;盘货信息!$C:$C,盘货信息!$AB:$AB)="","",_xlfn.XLOOKUP($A307&amp;$B307&amp;$C307,盘货信息!$A:$A&amp;盘货信息!$B:$B&amp;盘货信息!$C:$C,盘货信息!$AB:$AB))</f>
        <v/>
      </c>
      <c r="G307" s="18"/>
    </row>
    <row r="308" customHeight="1" spans="1:7">
      <c r="A308" s="20" t="str">
        <f>IF(盘货信息!A308="","",盘货信息!A308)</f>
        <v/>
      </c>
      <c r="B308" s="17" t="str">
        <f>IF(盘货信息!B308="","",盘货信息!B308)</f>
        <v/>
      </c>
      <c r="C308" s="20" t="str">
        <f>IF(盘货信息!C308="","",盘货信息!C308)</f>
        <v/>
      </c>
      <c r="D308" s="18" t="str">
        <f t="shared" si="4"/>
        <v/>
      </c>
      <c r="E308" s="18" t="str" cm="1">
        <f t="array" ref="E308">IF(_xlfn.XLOOKUP($A308&amp;$B308&amp;$C308,盘货信息!$A:$A&amp;盘货信息!$B:$B&amp;盘货信息!$C:$C,盘货信息!$AA:$AA)="","",_xlfn.XLOOKUP($A308&amp;$B308&amp;$C308,盘货信息!$A:$A&amp;盘货信息!$B:$B&amp;盘货信息!$C:$C,盘货信息!$AA:$AA)&amp;"免息")</f>
        <v/>
      </c>
      <c r="F308" s="18" t="str" cm="1">
        <f t="array" ref="F308">IF(_xlfn.XLOOKUP($A308&amp;$B308&amp;$C308,盘货信息!$A:$A&amp;盘货信息!$B:$B&amp;盘货信息!$C:$C,盘货信息!$AB:$AB)="","",_xlfn.XLOOKUP($A308&amp;$B308&amp;$C308,盘货信息!$A:$A&amp;盘货信息!$B:$B&amp;盘货信息!$C:$C,盘货信息!$AB:$AB))</f>
        <v/>
      </c>
      <c r="G308" s="18"/>
    </row>
    <row r="309" customHeight="1" spans="1:7">
      <c r="A309" s="20" t="str">
        <f>IF(盘货信息!A309="","",盘货信息!A309)</f>
        <v/>
      </c>
      <c r="B309" s="17" t="str">
        <f>IF(盘货信息!B309="","",盘货信息!B309)</f>
        <v/>
      </c>
      <c r="C309" s="20" t="str">
        <f>IF(盘货信息!C309="","",盘货信息!C309)</f>
        <v/>
      </c>
      <c r="D309" s="18" t="str">
        <f t="shared" si="4"/>
        <v/>
      </c>
      <c r="E309" s="18" t="str" cm="1">
        <f t="array" ref="E309">IF(_xlfn.XLOOKUP($A309&amp;$B309&amp;$C309,盘货信息!$A:$A&amp;盘货信息!$B:$B&amp;盘货信息!$C:$C,盘货信息!$AA:$AA)="","",_xlfn.XLOOKUP($A309&amp;$B309&amp;$C309,盘货信息!$A:$A&amp;盘货信息!$B:$B&amp;盘货信息!$C:$C,盘货信息!$AA:$AA)&amp;"免息")</f>
        <v/>
      </c>
      <c r="F309" s="18" t="str" cm="1">
        <f t="array" ref="F309">IF(_xlfn.XLOOKUP($A309&amp;$B309&amp;$C309,盘货信息!$A:$A&amp;盘货信息!$B:$B&amp;盘货信息!$C:$C,盘货信息!$AB:$AB)="","",_xlfn.XLOOKUP($A309&amp;$B309&amp;$C309,盘货信息!$A:$A&amp;盘货信息!$B:$B&amp;盘货信息!$C:$C,盘货信息!$AB:$AB))</f>
        <v/>
      </c>
      <c r="G309" s="18"/>
    </row>
    <row r="310" customHeight="1" spans="1:7">
      <c r="A310" s="20" t="str">
        <f>IF(盘货信息!A310="","",盘货信息!A310)</f>
        <v/>
      </c>
      <c r="B310" s="17" t="str">
        <f>IF(盘货信息!B310="","",盘货信息!B310)</f>
        <v/>
      </c>
      <c r="C310" s="20" t="str">
        <f>IF(盘货信息!C310="","",盘货信息!C310)</f>
        <v/>
      </c>
      <c r="D310" s="18" t="str">
        <f t="shared" si="4"/>
        <v/>
      </c>
      <c r="E310" s="18" t="str" cm="1">
        <f t="array" ref="E310">IF(_xlfn.XLOOKUP($A310&amp;$B310&amp;$C310,盘货信息!$A:$A&amp;盘货信息!$B:$B&amp;盘货信息!$C:$C,盘货信息!$AA:$AA)="","",_xlfn.XLOOKUP($A310&amp;$B310&amp;$C310,盘货信息!$A:$A&amp;盘货信息!$B:$B&amp;盘货信息!$C:$C,盘货信息!$AA:$AA)&amp;"免息")</f>
        <v/>
      </c>
      <c r="F310" s="18" t="str" cm="1">
        <f t="array" ref="F310">IF(_xlfn.XLOOKUP($A310&amp;$B310&amp;$C310,盘货信息!$A:$A&amp;盘货信息!$B:$B&amp;盘货信息!$C:$C,盘货信息!$AB:$AB)="","",_xlfn.XLOOKUP($A310&amp;$B310&amp;$C310,盘货信息!$A:$A&amp;盘货信息!$B:$B&amp;盘货信息!$C:$C,盘货信息!$AB:$AB))</f>
        <v/>
      </c>
      <c r="G310" s="18"/>
    </row>
    <row r="311" customHeight="1" spans="1:7">
      <c r="A311" s="20" t="str">
        <f>IF(盘货信息!A311="","",盘货信息!A311)</f>
        <v/>
      </c>
      <c r="B311" s="17" t="str">
        <f>IF(盘货信息!B311="","",盘货信息!B311)</f>
        <v/>
      </c>
      <c r="C311" s="20" t="str">
        <f>IF(盘货信息!C311="","",盘货信息!C311)</f>
        <v/>
      </c>
      <c r="D311" s="18" t="str">
        <f t="shared" si="4"/>
        <v/>
      </c>
      <c r="E311" s="18" t="str" cm="1">
        <f t="array" ref="E311">IF(_xlfn.XLOOKUP($A311&amp;$B311&amp;$C311,盘货信息!$A:$A&amp;盘货信息!$B:$B&amp;盘货信息!$C:$C,盘货信息!$AA:$AA)="","",_xlfn.XLOOKUP($A311&amp;$B311&amp;$C311,盘货信息!$A:$A&amp;盘货信息!$B:$B&amp;盘货信息!$C:$C,盘货信息!$AA:$AA)&amp;"免息")</f>
        <v/>
      </c>
      <c r="F311" s="18" t="str" cm="1">
        <f t="array" ref="F311">IF(_xlfn.XLOOKUP($A311&amp;$B311&amp;$C311,盘货信息!$A:$A&amp;盘货信息!$B:$B&amp;盘货信息!$C:$C,盘货信息!$AB:$AB)="","",_xlfn.XLOOKUP($A311&amp;$B311&amp;$C311,盘货信息!$A:$A&amp;盘货信息!$B:$B&amp;盘货信息!$C:$C,盘货信息!$AB:$AB))</f>
        <v/>
      </c>
      <c r="G311" s="18"/>
    </row>
    <row r="312" customHeight="1" spans="1:7">
      <c r="A312" s="20" t="str">
        <f>IF(盘货信息!A312="","",盘货信息!A312)</f>
        <v/>
      </c>
      <c r="B312" s="17" t="str">
        <f>IF(盘货信息!B312="","",盘货信息!B312)</f>
        <v/>
      </c>
      <c r="C312" s="20" t="str">
        <f>IF(盘货信息!C312="","",盘货信息!C312)</f>
        <v/>
      </c>
      <c r="D312" s="18" t="str">
        <f t="shared" si="4"/>
        <v/>
      </c>
      <c r="E312" s="18" t="str" cm="1">
        <f t="array" ref="E312">IF(_xlfn.XLOOKUP($A312&amp;$B312&amp;$C312,盘货信息!$A:$A&amp;盘货信息!$B:$B&amp;盘货信息!$C:$C,盘货信息!$AA:$AA)="","",_xlfn.XLOOKUP($A312&amp;$B312&amp;$C312,盘货信息!$A:$A&amp;盘货信息!$B:$B&amp;盘货信息!$C:$C,盘货信息!$AA:$AA)&amp;"免息")</f>
        <v/>
      </c>
      <c r="F312" s="18" t="str" cm="1">
        <f t="array" ref="F312">IF(_xlfn.XLOOKUP($A312&amp;$B312&amp;$C312,盘货信息!$A:$A&amp;盘货信息!$B:$B&amp;盘货信息!$C:$C,盘货信息!$AB:$AB)="","",_xlfn.XLOOKUP($A312&amp;$B312&amp;$C312,盘货信息!$A:$A&amp;盘货信息!$B:$B&amp;盘货信息!$C:$C,盘货信息!$AB:$AB))</f>
        <v/>
      </c>
      <c r="G312" s="18"/>
    </row>
    <row r="313" customHeight="1" spans="1:7">
      <c r="A313" s="20" t="str">
        <f>IF(盘货信息!A313="","",盘货信息!A313)</f>
        <v/>
      </c>
      <c r="B313" s="17" t="str">
        <f>IF(盘货信息!B313="","",盘货信息!B313)</f>
        <v/>
      </c>
      <c r="C313" s="20" t="str">
        <f>IF(盘货信息!C313="","",盘货信息!C313)</f>
        <v/>
      </c>
      <c r="D313" s="18" t="str">
        <f t="shared" si="4"/>
        <v/>
      </c>
      <c r="E313" s="18" t="str" cm="1">
        <f t="array" ref="E313">IF(_xlfn.XLOOKUP($A313&amp;$B313&amp;$C313,盘货信息!$A:$A&amp;盘货信息!$B:$B&amp;盘货信息!$C:$C,盘货信息!$AA:$AA)="","",_xlfn.XLOOKUP($A313&amp;$B313&amp;$C313,盘货信息!$A:$A&amp;盘货信息!$B:$B&amp;盘货信息!$C:$C,盘货信息!$AA:$AA)&amp;"免息")</f>
        <v/>
      </c>
      <c r="F313" s="18" t="str" cm="1">
        <f t="array" ref="F313">IF(_xlfn.XLOOKUP($A313&amp;$B313&amp;$C313,盘货信息!$A:$A&amp;盘货信息!$B:$B&amp;盘货信息!$C:$C,盘货信息!$AB:$AB)="","",_xlfn.XLOOKUP($A313&amp;$B313&amp;$C313,盘货信息!$A:$A&amp;盘货信息!$B:$B&amp;盘货信息!$C:$C,盘货信息!$AB:$AB))</f>
        <v/>
      </c>
      <c r="G313" s="18"/>
    </row>
    <row r="314" customHeight="1" spans="1:7">
      <c r="A314" s="20" t="str">
        <f>IF(盘货信息!A314="","",盘货信息!A314)</f>
        <v/>
      </c>
      <c r="B314" s="17" t="str">
        <f>IF(盘货信息!B314="","",盘货信息!B314)</f>
        <v/>
      </c>
      <c r="C314" s="20" t="str">
        <f>IF(盘货信息!C314="","",盘货信息!C314)</f>
        <v/>
      </c>
      <c r="D314" s="18" t="str">
        <f t="shared" si="4"/>
        <v/>
      </c>
      <c r="E314" s="18" t="str" cm="1">
        <f t="array" ref="E314">IF(_xlfn.XLOOKUP($A314&amp;$B314&amp;$C314,盘货信息!$A:$A&amp;盘货信息!$B:$B&amp;盘货信息!$C:$C,盘货信息!$AA:$AA)="","",_xlfn.XLOOKUP($A314&amp;$B314&amp;$C314,盘货信息!$A:$A&amp;盘货信息!$B:$B&amp;盘货信息!$C:$C,盘货信息!$AA:$AA)&amp;"免息")</f>
        <v/>
      </c>
      <c r="F314" s="18" t="str" cm="1">
        <f t="array" ref="F314">IF(_xlfn.XLOOKUP($A314&amp;$B314&amp;$C314,盘货信息!$A:$A&amp;盘货信息!$B:$B&amp;盘货信息!$C:$C,盘货信息!$AB:$AB)="","",_xlfn.XLOOKUP($A314&amp;$B314&amp;$C314,盘货信息!$A:$A&amp;盘货信息!$B:$B&amp;盘货信息!$C:$C,盘货信息!$AB:$AB))</f>
        <v/>
      </c>
      <c r="G314" s="18"/>
    </row>
    <row r="315" customHeight="1" spans="1:7">
      <c r="A315" s="20" t="str">
        <f>IF(盘货信息!A315="","",盘货信息!A315)</f>
        <v/>
      </c>
      <c r="B315" s="17" t="str">
        <f>IF(盘货信息!B315="","",盘货信息!B315)</f>
        <v/>
      </c>
      <c r="C315" s="20" t="str">
        <f>IF(盘货信息!C315="","",盘货信息!C315)</f>
        <v/>
      </c>
      <c r="D315" s="18" t="str">
        <f t="shared" si="4"/>
        <v/>
      </c>
      <c r="E315" s="18" t="str" cm="1">
        <f t="array" ref="E315">IF(_xlfn.XLOOKUP($A315&amp;$B315&amp;$C315,盘货信息!$A:$A&amp;盘货信息!$B:$B&amp;盘货信息!$C:$C,盘货信息!$AA:$AA)="","",_xlfn.XLOOKUP($A315&amp;$B315&amp;$C315,盘货信息!$A:$A&amp;盘货信息!$B:$B&amp;盘货信息!$C:$C,盘货信息!$AA:$AA)&amp;"免息")</f>
        <v/>
      </c>
      <c r="F315" s="18" t="str" cm="1">
        <f t="array" ref="F315">IF(_xlfn.XLOOKUP($A315&amp;$B315&amp;$C315,盘货信息!$A:$A&amp;盘货信息!$B:$B&amp;盘货信息!$C:$C,盘货信息!$AB:$AB)="","",_xlfn.XLOOKUP($A315&amp;$B315&amp;$C315,盘货信息!$A:$A&amp;盘货信息!$B:$B&amp;盘货信息!$C:$C,盘货信息!$AB:$AB))</f>
        <v/>
      </c>
      <c r="G315" s="18"/>
    </row>
    <row r="316" customHeight="1" spans="1:7">
      <c r="A316" s="20" t="str">
        <f>IF(盘货信息!A316="","",盘货信息!A316)</f>
        <v/>
      </c>
      <c r="B316" s="17" t="str">
        <f>IF(盘货信息!B316="","",盘货信息!B316)</f>
        <v/>
      </c>
      <c r="C316" s="20" t="str">
        <f>IF(盘货信息!C316="","",盘货信息!C316)</f>
        <v/>
      </c>
      <c r="D316" s="18" t="str">
        <f t="shared" si="4"/>
        <v/>
      </c>
      <c r="E316" s="18" t="str" cm="1">
        <f t="array" ref="E316">IF(_xlfn.XLOOKUP($A316&amp;$B316&amp;$C316,盘货信息!$A:$A&amp;盘货信息!$B:$B&amp;盘货信息!$C:$C,盘货信息!$AA:$AA)="","",_xlfn.XLOOKUP($A316&amp;$B316&amp;$C316,盘货信息!$A:$A&amp;盘货信息!$B:$B&amp;盘货信息!$C:$C,盘货信息!$AA:$AA)&amp;"免息")</f>
        <v/>
      </c>
      <c r="F316" s="18" t="str" cm="1">
        <f t="array" ref="F316">IF(_xlfn.XLOOKUP($A316&amp;$B316&amp;$C316,盘货信息!$A:$A&amp;盘货信息!$B:$B&amp;盘货信息!$C:$C,盘货信息!$AB:$AB)="","",_xlfn.XLOOKUP($A316&amp;$B316&amp;$C316,盘货信息!$A:$A&amp;盘货信息!$B:$B&amp;盘货信息!$C:$C,盘货信息!$AB:$AB))</f>
        <v/>
      </c>
      <c r="G316" s="18"/>
    </row>
    <row r="317" customHeight="1" spans="1:7">
      <c r="A317" s="20" t="str">
        <f>IF(盘货信息!A317="","",盘货信息!A317)</f>
        <v/>
      </c>
      <c r="B317" s="17" t="str">
        <f>IF(盘货信息!B317="","",盘货信息!B317)</f>
        <v/>
      </c>
      <c r="C317" s="20" t="str">
        <f>IF(盘货信息!C317="","",盘货信息!C317)</f>
        <v/>
      </c>
      <c r="D317" s="18" t="str">
        <f t="shared" si="4"/>
        <v/>
      </c>
      <c r="E317" s="18" t="str" cm="1">
        <f t="array" ref="E317">IF(_xlfn.XLOOKUP($A317&amp;$B317&amp;$C317,盘货信息!$A:$A&amp;盘货信息!$B:$B&amp;盘货信息!$C:$C,盘货信息!$AA:$AA)="","",_xlfn.XLOOKUP($A317&amp;$B317&amp;$C317,盘货信息!$A:$A&amp;盘货信息!$B:$B&amp;盘货信息!$C:$C,盘货信息!$AA:$AA)&amp;"免息")</f>
        <v/>
      </c>
      <c r="F317" s="18" t="str" cm="1">
        <f t="array" ref="F317">IF(_xlfn.XLOOKUP($A317&amp;$B317&amp;$C317,盘货信息!$A:$A&amp;盘货信息!$B:$B&amp;盘货信息!$C:$C,盘货信息!$AB:$AB)="","",_xlfn.XLOOKUP($A317&amp;$B317&amp;$C317,盘货信息!$A:$A&amp;盘货信息!$B:$B&amp;盘货信息!$C:$C,盘货信息!$AB:$AB))</f>
        <v/>
      </c>
      <c r="G317" s="18"/>
    </row>
    <row r="318" customHeight="1" spans="1:7">
      <c r="A318" s="20" t="str">
        <f>IF(盘货信息!A318="","",盘货信息!A318)</f>
        <v/>
      </c>
      <c r="B318" s="17" t="str">
        <f>IF(盘货信息!B318="","",盘货信息!B318)</f>
        <v/>
      </c>
      <c r="C318" s="20" t="str">
        <f>IF(盘货信息!C318="","",盘货信息!C318)</f>
        <v/>
      </c>
      <c r="D318" s="18" t="str">
        <f t="shared" si="4"/>
        <v/>
      </c>
      <c r="E318" s="18" t="str" cm="1">
        <f t="array" ref="E318">IF(_xlfn.XLOOKUP($A318&amp;$B318&amp;$C318,盘货信息!$A:$A&amp;盘货信息!$B:$B&amp;盘货信息!$C:$C,盘货信息!$AA:$AA)="","",_xlfn.XLOOKUP($A318&amp;$B318&amp;$C318,盘货信息!$A:$A&amp;盘货信息!$B:$B&amp;盘货信息!$C:$C,盘货信息!$AA:$AA)&amp;"免息")</f>
        <v/>
      </c>
      <c r="F318" s="18" t="str" cm="1">
        <f t="array" ref="F318">IF(_xlfn.XLOOKUP($A318&amp;$B318&amp;$C318,盘货信息!$A:$A&amp;盘货信息!$B:$B&amp;盘货信息!$C:$C,盘货信息!$AB:$AB)="","",_xlfn.XLOOKUP($A318&amp;$B318&amp;$C318,盘货信息!$A:$A&amp;盘货信息!$B:$B&amp;盘货信息!$C:$C,盘货信息!$AB:$AB))</f>
        <v/>
      </c>
      <c r="G318" s="18"/>
    </row>
    <row r="319" customHeight="1" spans="1:7">
      <c r="A319" s="20" t="str">
        <f>IF(盘货信息!A319="","",盘货信息!A319)</f>
        <v/>
      </c>
      <c r="B319" s="17" t="str">
        <f>IF(盘货信息!B319="","",盘货信息!B319)</f>
        <v/>
      </c>
      <c r="C319" s="20" t="str">
        <f>IF(盘货信息!C319="","",盘货信息!C319)</f>
        <v/>
      </c>
      <c r="D319" s="18" t="str">
        <f t="shared" si="4"/>
        <v/>
      </c>
      <c r="E319" s="18" t="str" cm="1">
        <f t="array" ref="E319">IF(_xlfn.XLOOKUP($A319&amp;$B319&amp;$C319,盘货信息!$A:$A&amp;盘货信息!$B:$B&amp;盘货信息!$C:$C,盘货信息!$AA:$AA)="","",_xlfn.XLOOKUP($A319&amp;$B319&amp;$C319,盘货信息!$A:$A&amp;盘货信息!$B:$B&amp;盘货信息!$C:$C,盘货信息!$AA:$AA)&amp;"免息")</f>
        <v/>
      </c>
      <c r="F319" s="18" t="str" cm="1">
        <f t="array" ref="F319">IF(_xlfn.XLOOKUP($A319&amp;$B319&amp;$C319,盘货信息!$A:$A&amp;盘货信息!$B:$B&amp;盘货信息!$C:$C,盘货信息!$AB:$AB)="","",_xlfn.XLOOKUP($A319&amp;$B319&amp;$C319,盘货信息!$A:$A&amp;盘货信息!$B:$B&amp;盘货信息!$C:$C,盘货信息!$AB:$AB))</f>
        <v/>
      </c>
      <c r="G319" s="18"/>
    </row>
    <row r="320" customHeight="1" spans="1:7">
      <c r="A320" s="20" t="str">
        <f>IF(盘货信息!A320="","",盘货信息!A320)</f>
        <v/>
      </c>
      <c r="B320" s="17" t="str">
        <f>IF(盘货信息!B320="","",盘货信息!B320)</f>
        <v/>
      </c>
      <c r="C320" s="20" t="str">
        <f>IF(盘货信息!C320="","",盘货信息!C320)</f>
        <v/>
      </c>
      <c r="D320" s="18" t="str">
        <f t="shared" si="4"/>
        <v/>
      </c>
      <c r="E320" s="18" t="str" cm="1">
        <f t="array" ref="E320">IF(_xlfn.XLOOKUP($A320&amp;$B320&amp;$C320,盘货信息!$A:$A&amp;盘货信息!$B:$B&amp;盘货信息!$C:$C,盘货信息!$AA:$AA)="","",_xlfn.XLOOKUP($A320&amp;$B320&amp;$C320,盘货信息!$A:$A&amp;盘货信息!$B:$B&amp;盘货信息!$C:$C,盘货信息!$AA:$AA)&amp;"免息")</f>
        <v/>
      </c>
      <c r="F320" s="18" t="str" cm="1">
        <f t="array" ref="F320">IF(_xlfn.XLOOKUP($A320&amp;$B320&amp;$C320,盘货信息!$A:$A&amp;盘货信息!$B:$B&amp;盘货信息!$C:$C,盘货信息!$AB:$AB)="","",_xlfn.XLOOKUP($A320&amp;$B320&amp;$C320,盘货信息!$A:$A&amp;盘货信息!$B:$B&amp;盘货信息!$C:$C,盘货信息!$AB:$AB))</f>
        <v/>
      </c>
      <c r="G320" s="18"/>
    </row>
    <row r="321" customHeight="1" spans="1:7">
      <c r="A321" s="20" t="str">
        <f>IF(盘货信息!A321="","",盘货信息!A321)</f>
        <v/>
      </c>
      <c r="B321" s="17" t="str">
        <f>IF(盘货信息!B321="","",盘货信息!B321)</f>
        <v/>
      </c>
      <c r="C321" s="20" t="str">
        <f>IF(盘货信息!C321="","",盘货信息!C321)</f>
        <v/>
      </c>
      <c r="D321" s="18" t="str">
        <f t="shared" si="4"/>
        <v/>
      </c>
      <c r="E321" s="18" t="str" cm="1">
        <f t="array" ref="E321">IF(_xlfn.XLOOKUP($A321&amp;$B321&amp;$C321,盘货信息!$A:$A&amp;盘货信息!$B:$B&amp;盘货信息!$C:$C,盘货信息!$AA:$AA)="","",_xlfn.XLOOKUP($A321&amp;$B321&amp;$C321,盘货信息!$A:$A&amp;盘货信息!$B:$B&amp;盘货信息!$C:$C,盘货信息!$AA:$AA)&amp;"免息")</f>
        <v/>
      </c>
      <c r="F321" s="18" t="str" cm="1">
        <f t="array" ref="F321">IF(_xlfn.XLOOKUP($A321&amp;$B321&amp;$C321,盘货信息!$A:$A&amp;盘货信息!$B:$B&amp;盘货信息!$C:$C,盘货信息!$AB:$AB)="","",_xlfn.XLOOKUP($A321&amp;$B321&amp;$C321,盘货信息!$A:$A&amp;盘货信息!$B:$B&amp;盘货信息!$C:$C,盘货信息!$AB:$AB))</f>
        <v/>
      </c>
      <c r="G321" s="18"/>
    </row>
    <row r="322" customHeight="1" spans="1:7">
      <c r="A322" s="20" t="str">
        <f>IF(盘货信息!A322="","",盘货信息!A322)</f>
        <v/>
      </c>
      <c r="B322" s="17" t="str">
        <f>IF(盘货信息!B322="","",盘货信息!B322)</f>
        <v/>
      </c>
      <c r="C322" s="20" t="str">
        <f>IF(盘货信息!C322="","",盘货信息!C322)</f>
        <v/>
      </c>
      <c r="D322" s="18" t="str">
        <f t="shared" si="4"/>
        <v/>
      </c>
      <c r="E322" s="18" t="str" cm="1">
        <f t="array" ref="E322">IF(_xlfn.XLOOKUP($A322&amp;$B322&amp;$C322,盘货信息!$A:$A&amp;盘货信息!$B:$B&amp;盘货信息!$C:$C,盘货信息!$AA:$AA)="","",_xlfn.XLOOKUP($A322&amp;$B322&amp;$C322,盘货信息!$A:$A&amp;盘货信息!$B:$B&amp;盘货信息!$C:$C,盘货信息!$AA:$AA)&amp;"免息")</f>
        <v/>
      </c>
      <c r="F322" s="18" t="str" cm="1">
        <f t="array" ref="F322">IF(_xlfn.XLOOKUP($A322&amp;$B322&amp;$C322,盘货信息!$A:$A&amp;盘货信息!$B:$B&amp;盘货信息!$C:$C,盘货信息!$AB:$AB)="","",_xlfn.XLOOKUP($A322&amp;$B322&amp;$C322,盘货信息!$A:$A&amp;盘货信息!$B:$B&amp;盘货信息!$C:$C,盘货信息!$AB:$AB))</f>
        <v/>
      </c>
      <c r="G322" s="18"/>
    </row>
    <row r="323" customHeight="1" spans="1:7">
      <c r="A323" s="20" t="str">
        <f>IF(盘货信息!A323="","",盘货信息!A323)</f>
        <v/>
      </c>
      <c r="B323" s="17" t="str">
        <f>IF(盘货信息!B323="","",盘货信息!B323)</f>
        <v/>
      </c>
      <c r="C323" s="20" t="str">
        <f>IF(盘货信息!C323="","",盘货信息!C323)</f>
        <v/>
      </c>
      <c r="D323" s="18" t="str">
        <f t="shared" ref="D323:D386" si="5">IF(C323="","","【服务】"&amp;_xlfn.TEXTJOIN("，",TRUE,E323:G323))</f>
        <v/>
      </c>
      <c r="E323" s="18" t="str" cm="1">
        <f t="array" ref="E323">IF(_xlfn.XLOOKUP($A323&amp;$B323&amp;$C323,盘货信息!$A:$A&amp;盘货信息!$B:$B&amp;盘货信息!$C:$C,盘货信息!$AA:$AA)="","",_xlfn.XLOOKUP($A323&amp;$B323&amp;$C323,盘货信息!$A:$A&amp;盘货信息!$B:$B&amp;盘货信息!$C:$C,盘货信息!$AA:$AA)&amp;"免息")</f>
        <v/>
      </c>
      <c r="F323" s="18" t="str" cm="1">
        <f t="array" ref="F323">IF(_xlfn.XLOOKUP($A323&amp;$B323&amp;$C323,盘货信息!$A:$A&amp;盘货信息!$B:$B&amp;盘货信息!$C:$C,盘货信息!$AB:$AB)="","",_xlfn.XLOOKUP($A323&amp;$B323&amp;$C323,盘货信息!$A:$A&amp;盘货信息!$B:$B&amp;盘货信息!$C:$C,盘货信息!$AB:$AB))</f>
        <v/>
      </c>
      <c r="G323" s="18"/>
    </row>
    <row r="324" customHeight="1" spans="1:7">
      <c r="A324" s="20" t="str">
        <f>IF(盘货信息!A324="","",盘货信息!A324)</f>
        <v/>
      </c>
      <c r="B324" s="17" t="str">
        <f>IF(盘货信息!B324="","",盘货信息!B324)</f>
        <v/>
      </c>
      <c r="C324" s="20" t="str">
        <f>IF(盘货信息!C324="","",盘货信息!C324)</f>
        <v/>
      </c>
      <c r="D324" s="18" t="str">
        <f t="shared" si="5"/>
        <v/>
      </c>
      <c r="E324" s="18" t="str" cm="1">
        <f t="array" ref="E324">IF(_xlfn.XLOOKUP($A324&amp;$B324&amp;$C324,盘货信息!$A:$A&amp;盘货信息!$B:$B&amp;盘货信息!$C:$C,盘货信息!$AA:$AA)="","",_xlfn.XLOOKUP($A324&amp;$B324&amp;$C324,盘货信息!$A:$A&amp;盘货信息!$B:$B&amp;盘货信息!$C:$C,盘货信息!$AA:$AA)&amp;"免息")</f>
        <v/>
      </c>
      <c r="F324" s="18" t="str" cm="1">
        <f t="array" ref="F324">IF(_xlfn.XLOOKUP($A324&amp;$B324&amp;$C324,盘货信息!$A:$A&amp;盘货信息!$B:$B&amp;盘货信息!$C:$C,盘货信息!$AB:$AB)="","",_xlfn.XLOOKUP($A324&amp;$B324&amp;$C324,盘货信息!$A:$A&amp;盘货信息!$B:$B&amp;盘货信息!$C:$C,盘货信息!$AB:$AB))</f>
        <v/>
      </c>
      <c r="G324" s="18"/>
    </row>
    <row r="325" customHeight="1" spans="1:7">
      <c r="A325" s="20" t="str">
        <f>IF(盘货信息!A325="","",盘货信息!A325)</f>
        <v/>
      </c>
      <c r="B325" s="17" t="str">
        <f>IF(盘货信息!B325="","",盘货信息!B325)</f>
        <v/>
      </c>
      <c r="C325" s="20" t="str">
        <f>IF(盘货信息!C325="","",盘货信息!C325)</f>
        <v/>
      </c>
      <c r="D325" s="18" t="str">
        <f t="shared" si="5"/>
        <v/>
      </c>
      <c r="E325" s="18" t="str" cm="1">
        <f t="array" ref="E325">IF(_xlfn.XLOOKUP($A325&amp;$B325&amp;$C325,盘货信息!$A:$A&amp;盘货信息!$B:$B&amp;盘货信息!$C:$C,盘货信息!$AA:$AA)="","",_xlfn.XLOOKUP($A325&amp;$B325&amp;$C325,盘货信息!$A:$A&amp;盘货信息!$B:$B&amp;盘货信息!$C:$C,盘货信息!$AA:$AA)&amp;"免息")</f>
        <v/>
      </c>
      <c r="F325" s="18" t="str" cm="1">
        <f t="array" ref="F325">IF(_xlfn.XLOOKUP($A325&amp;$B325&amp;$C325,盘货信息!$A:$A&amp;盘货信息!$B:$B&amp;盘货信息!$C:$C,盘货信息!$AB:$AB)="","",_xlfn.XLOOKUP($A325&amp;$B325&amp;$C325,盘货信息!$A:$A&amp;盘货信息!$B:$B&amp;盘货信息!$C:$C,盘货信息!$AB:$AB))</f>
        <v/>
      </c>
      <c r="G325" s="18"/>
    </row>
    <row r="326" customHeight="1" spans="1:7">
      <c r="A326" s="20" t="str">
        <f>IF(盘货信息!A326="","",盘货信息!A326)</f>
        <v/>
      </c>
      <c r="B326" s="17" t="str">
        <f>IF(盘货信息!B326="","",盘货信息!B326)</f>
        <v/>
      </c>
      <c r="C326" s="20" t="str">
        <f>IF(盘货信息!C326="","",盘货信息!C326)</f>
        <v/>
      </c>
      <c r="D326" s="18" t="str">
        <f t="shared" si="5"/>
        <v/>
      </c>
      <c r="E326" s="18" t="str" cm="1">
        <f t="array" ref="E326">IF(_xlfn.XLOOKUP($A326&amp;$B326&amp;$C326,盘货信息!$A:$A&amp;盘货信息!$B:$B&amp;盘货信息!$C:$C,盘货信息!$AA:$AA)="","",_xlfn.XLOOKUP($A326&amp;$B326&amp;$C326,盘货信息!$A:$A&amp;盘货信息!$B:$B&amp;盘货信息!$C:$C,盘货信息!$AA:$AA)&amp;"免息")</f>
        <v/>
      </c>
      <c r="F326" s="18" t="str" cm="1">
        <f t="array" ref="F326">IF(_xlfn.XLOOKUP($A326&amp;$B326&amp;$C326,盘货信息!$A:$A&amp;盘货信息!$B:$B&amp;盘货信息!$C:$C,盘货信息!$AB:$AB)="","",_xlfn.XLOOKUP($A326&amp;$B326&amp;$C326,盘货信息!$A:$A&amp;盘货信息!$B:$B&amp;盘货信息!$C:$C,盘货信息!$AB:$AB))</f>
        <v/>
      </c>
      <c r="G326" s="18"/>
    </row>
    <row r="327" customHeight="1" spans="1:7">
      <c r="A327" s="20" t="str">
        <f>IF(盘货信息!A327="","",盘货信息!A327)</f>
        <v/>
      </c>
      <c r="B327" s="17" t="str">
        <f>IF(盘货信息!B327="","",盘货信息!B327)</f>
        <v/>
      </c>
      <c r="C327" s="20" t="str">
        <f>IF(盘货信息!C327="","",盘货信息!C327)</f>
        <v/>
      </c>
      <c r="D327" s="18" t="str">
        <f t="shared" si="5"/>
        <v/>
      </c>
      <c r="E327" s="18" t="str" cm="1">
        <f t="array" ref="E327">IF(_xlfn.XLOOKUP($A327&amp;$B327&amp;$C327,盘货信息!$A:$A&amp;盘货信息!$B:$B&amp;盘货信息!$C:$C,盘货信息!$AA:$AA)="","",_xlfn.XLOOKUP($A327&amp;$B327&amp;$C327,盘货信息!$A:$A&amp;盘货信息!$B:$B&amp;盘货信息!$C:$C,盘货信息!$AA:$AA)&amp;"免息")</f>
        <v/>
      </c>
      <c r="F327" s="18" t="str" cm="1">
        <f t="array" ref="F327">IF(_xlfn.XLOOKUP($A327&amp;$B327&amp;$C327,盘货信息!$A:$A&amp;盘货信息!$B:$B&amp;盘货信息!$C:$C,盘货信息!$AB:$AB)="","",_xlfn.XLOOKUP($A327&amp;$B327&amp;$C327,盘货信息!$A:$A&amp;盘货信息!$B:$B&amp;盘货信息!$C:$C,盘货信息!$AB:$AB))</f>
        <v/>
      </c>
      <c r="G327" s="18"/>
    </row>
    <row r="328" customHeight="1" spans="1:7">
      <c r="A328" s="20" t="str">
        <f>IF(盘货信息!A328="","",盘货信息!A328)</f>
        <v/>
      </c>
      <c r="B328" s="17" t="str">
        <f>IF(盘货信息!B328="","",盘货信息!B328)</f>
        <v/>
      </c>
      <c r="C328" s="20" t="str">
        <f>IF(盘货信息!C328="","",盘货信息!C328)</f>
        <v/>
      </c>
      <c r="D328" s="18" t="str">
        <f t="shared" si="5"/>
        <v/>
      </c>
      <c r="E328" s="18" t="str" cm="1">
        <f t="array" ref="E328">IF(_xlfn.XLOOKUP($A328&amp;$B328&amp;$C328,盘货信息!$A:$A&amp;盘货信息!$B:$B&amp;盘货信息!$C:$C,盘货信息!$AA:$AA)="","",_xlfn.XLOOKUP($A328&amp;$B328&amp;$C328,盘货信息!$A:$A&amp;盘货信息!$B:$B&amp;盘货信息!$C:$C,盘货信息!$AA:$AA)&amp;"免息")</f>
        <v/>
      </c>
      <c r="F328" s="18" t="str" cm="1">
        <f t="array" ref="F328">IF(_xlfn.XLOOKUP($A328&amp;$B328&amp;$C328,盘货信息!$A:$A&amp;盘货信息!$B:$B&amp;盘货信息!$C:$C,盘货信息!$AB:$AB)="","",_xlfn.XLOOKUP($A328&amp;$B328&amp;$C328,盘货信息!$A:$A&amp;盘货信息!$B:$B&amp;盘货信息!$C:$C,盘货信息!$AB:$AB))</f>
        <v/>
      </c>
      <c r="G328" s="18"/>
    </row>
    <row r="329" customHeight="1" spans="1:7">
      <c r="A329" s="20" t="str">
        <f>IF(盘货信息!A329="","",盘货信息!A329)</f>
        <v/>
      </c>
      <c r="B329" s="17" t="str">
        <f>IF(盘货信息!B329="","",盘货信息!B329)</f>
        <v/>
      </c>
      <c r="C329" s="20" t="str">
        <f>IF(盘货信息!C329="","",盘货信息!C329)</f>
        <v/>
      </c>
      <c r="D329" s="18" t="str">
        <f t="shared" si="5"/>
        <v/>
      </c>
      <c r="E329" s="18" t="str" cm="1">
        <f t="array" ref="E329">IF(_xlfn.XLOOKUP($A329&amp;$B329&amp;$C329,盘货信息!$A:$A&amp;盘货信息!$B:$B&amp;盘货信息!$C:$C,盘货信息!$AA:$AA)="","",_xlfn.XLOOKUP($A329&amp;$B329&amp;$C329,盘货信息!$A:$A&amp;盘货信息!$B:$B&amp;盘货信息!$C:$C,盘货信息!$AA:$AA)&amp;"免息")</f>
        <v/>
      </c>
      <c r="F329" s="18" t="str" cm="1">
        <f t="array" ref="F329">IF(_xlfn.XLOOKUP($A329&amp;$B329&amp;$C329,盘货信息!$A:$A&amp;盘货信息!$B:$B&amp;盘货信息!$C:$C,盘货信息!$AB:$AB)="","",_xlfn.XLOOKUP($A329&amp;$B329&amp;$C329,盘货信息!$A:$A&amp;盘货信息!$B:$B&amp;盘货信息!$C:$C,盘货信息!$AB:$AB))</f>
        <v/>
      </c>
      <c r="G329" s="18"/>
    </row>
    <row r="330" customHeight="1" spans="1:7">
      <c r="A330" s="20" t="str">
        <f>IF(盘货信息!A330="","",盘货信息!A330)</f>
        <v/>
      </c>
      <c r="B330" s="17" t="str">
        <f>IF(盘货信息!B330="","",盘货信息!B330)</f>
        <v/>
      </c>
      <c r="C330" s="20" t="str">
        <f>IF(盘货信息!C330="","",盘货信息!C330)</f>
        <v/>
      </c>
      <c r="D330" s="18" t="str">
        <f t="shared" si="5"/>
        <v/>
      </c>
      <c r="E330" s="18" t="str" cm="1">
        <f t="array" ref="E330">IF(_xlfn.XLOOKUP($A330&amp;$B330&amp;$C330,盘货信息!$A:$A&amp;盘货信息!$B:$B&amp;盘货信息!$C:$C,盘货信息!$AA:$AA)="","",_xlfn.XLOOKUP($A330&amp;$B330&amp;$C330,盘货信息!$A:$A&amp;盘货信息!$B:$B&amp;盘货信息!$C:$C,盘货信息!$AA:$AA)&amp;"免息")</f>
        <v/>
      </c>
      <c r="F330" s="18" t="str" cm="1">
        <f t="array" ref="F330">IF(_xlfn.XLOOKUP($A330&amp;$B330&amp;$C330,盘货信息!$A:$A&amp;盘货信息!$B:$B&amp;盘货信息!$C:$C,盘货信息!$AB:$AB)="","",_xlfn.XLOOKUP($A330&amp;$B330&amp;$C330,盘货信息!$A:$A&amp;盘货信息!$B:$B&amp;盘货信息!$C:$C,盘货信息!$AB:$AB))</f>
        <v/>
      </c>
      <c r="G330" s="18"/>
    </row>
    <row r="331" customHeight="1" spans="1:7">
      <c r="A331" s="20" t="str">
        <f>IF(盘货信息!A331="","",盘货信息!A331)</f>
        <v/>
      </c>
      <c r="B331" s="17" t="str">
        <f>IF(盘货信息!B331="","",盘货信息!B331)</f>
        <v/>
      </c>
      <c r="C331" s="20" t="str">
        <f>IF(盘货信息!C331="","",盘货信息!C331)</f>
        <v/>
      </c>
      <c r="D331" s="18" t="str">
        <f t="shared" si="5"/>
        <v/>
      </c>
      <c r="E331" s="18" t="str" cm="1">
        <f t="array" ref="E331">IF(_xlfn.XLOOKUP($A331&amp;$B331&amp;$C331,盘货信息!$A:$A&amp;盘货信息!$B:$B&amp;盘货信息!$C:$C,盘货信息!$AA:$AA)="","",_xlfn.XLOOKUP($A331&amp;$B331&amp;$C331,盘货信息!$A:$A&amp;盘货信息!$B:$B&amp;盘货信息!$C:$C,盘货信息!$AA:$AA)&amp;"免息")</f>
        <v/>
      </c>
      <c r="F331" s="18" t="str" cm="1">
        <f t="array" ref="F331">IF(_xlfn.XLOOKUP($A331&amp;$B331&amp;$C331,盘货信息!$A:$A&amp;盘货信息!$B:$B&amp;盘货信息!$C:$C,盘货信息!$AB:$AB)="","",_xlfn.XLOOKUP($A331&amp;$B331&amp;$C331,盘货信息!$A:$A&amp;盘货信息!$B:$B&amp;盘货信息!$C:$C,盘货信息!$AB:$AB))</f>
        <v/>
      </c>
      <c r="G331" s="18"/>
    </row>
    <row r="332" customHeight="1" spans="1:7">
      <c r="A332" s="20" t="str">
        <f>IF(盘货信息!A332="","",盘货信息!A332)</f>
        <v/>
      </c>
      <c r="B332" s="17" t="str">
        <f>IF(盘货信息!B332="","",盘货信息!B332)</f>
        <v/>
      </c>
      <c r="C332" s="20" t="str">
        <f>IF(盘货信息!C332="","",盘货信息!C332)</f>
        <v/>
      </c>
      <c r="D332" s="18" t="str">
        <f t="shared" si="5"/>
        <v/>
      </c>
      <c r="E332" s="18" t="str" cm="1">
        <f t="array" ref="E332">IF(_xlfn.XLOOKUP($A332&amp;$B332&amp;$C332,盘货信息!$A:$A&amp;盘货信息!$B:$B&amp;盘货信息!$C:$C,盘货信息!$AA:$AA)="","",_xlfn.XLOOKUP($A332&amp;$B332&amp;$C332,盘货信息!$A:$A&amp;盘货信息!$B:$B&amp;盘货信息!$C:$C,盘货信息!$AA:$AA)&amp;"免息")</f>
        <v/>
      </c>
      <c r="F332" s="18" t="str" cm="1">
        <f t="array" ref="F332">IF(_xlfn.XLOOKUP($A332&amp;$B332&amp;$C332,盘货信息!$A:$A&amp;盘货信息!$B:$B&amp;盘货信息!$C:$C,盘货信息!$AB:$AB)="","",_xlfn.XLOOKUP($A332&amp;$B332&amp;$C332,盘货信息!$A:$A&amp;盘货信息!$B:$B&amp;盘货信息!$C:$C,盘货信息!$AB:$AB))</f>
        <v/>
      </c>
      <c r="G332" s="18"/>
    </row>
    <row r="333" customHeight="1" spans="1:7">
      <c r="A333" s="20" t="str">
        <f>IF(盘货信息!A333="","",盘货信息!A333)</f>
        <v/>
      </c>
      <c r="B333" s="17" t="str">
        <f>IF(盘货信息!B333="","",盘货信息!B333)</f>
        <v/>
      </c>
      <c r="C333" s="20" t="str">
        <f>IF(盘货信息!C333="","",盘货信息!C333)</f>
        <v/>
      </c>
      <c r="D333" s="18" t="str">
        <f t="shared" si="5"/>
        <v/>
      </c>
      <c r="E333" s="18" t="str" cm="1">
        <f t="array" ref="E333">IF(_xlfn.XLOOKUP($A333&amp;$B333&amp;$C333,盘货信息!$A:$A&amp;盘货信息!$B:$B&amp;盘货信息!$C:$C,盘货信息!$AA:$AA)="","",_xlfn.XLOOKUP($A333&amp;$B333&amp;$C333,盘货信息!$A:$A&amp;盘货信息!$B:$B&amp;盘货信息!$C:$C,盘货信息!$AA:$AA)&amp;"免息")</f>
        <v/>
      </c>
      <c r="F333" s="18" t="str" cm="1">
        <f t="array" ref="F333">IF(_xlfn.XLOOKUP($A333&amp;$B333&amp;$C333,盘货信息!$A:$A&amp;盘货信息!$B:$B&amp;盘货信息!$C:$C,盘货信息!$AB:$AB)="","",_xlfn.XLOOKUP($A333&amp;$B333&amp;$C333,盘货信息!$A:$A&amp;盘货信息!$B:$B&amp;盘货信息!$C:$C,盘货信息!$AB:$AB))</f>
        <v/>
      </c>
      <c r="G333" s="18"/>
    </row>
    <row r="334" customHeight="1" spans="1:7">
      <c r="A334" s="20" t="str">
        <f>IF(盘货信息!A334="","",盘货信息!A334)</f>
        <v/>
      </c>
      <c r="B334" s="17" t="str">
        <f>IF(盘货信息!B334="","",盘货信息!B334)</f>
        <v/>
      </c>
      <c r="C334" s="20" t="str">
        <f>IF(盘货信息!C334="","",盘货信息!C334)</f>
        <v/>
      </c>
      <c r="D334" s="18" t="str">
        <f t="shared" si="5"/>
        <v/>
      </c>
      <c r="E334" s="18" t="str" cm="1">
        <f t="array" ref="E334">IF(_xlfn.XLOOKUP($A334&amp;$B334&amp;$C334,盘货信息!$A:$A&amp;盘货信息!$B:$B&amp;盘货信息!$C:$C,盘货信息!$AA:$AA)="","",_xlfn.XLOOKUP($A334&amp;$B334&amp;$C334,盘货信息!$A:$A&amp;盘货信息!$B:$B&amp;盘货信息!$C:$C,盘货信息!$AA:$AA)&amp;"免息")</f>
        <v/>
      </c>
      <c r="F334" s="18" t="str" cm="1">
        <f t="array" ref="F334">IF(_xlfn.XLOOKUP($A334&amp;$B334&amp;$C334,盘货信息!$A:$A&amp;盘货信息!$B:$B&amp;盘货信息!$C:$C,盘货信息!$AB:$AB)="","",_xlfn.XLOOKUP($A334&amp;$B334&amp;$C334,盘货信息!$A:$A&amp;盘货信息!$B:$B&amp;盘货信息!$C:$C,盘货信息!$AB:$AB))</f>
        <v/>
      </c>
      <c r="G334" s="18"/>
    </row>
    <row r="335" customHeight="1" spans="1:7">
      <c r="A335" s="20" t="str">
        <f>IF(盘货信息!A335="","",盘货信息!A335)</f>
        <v/>
      </c>
      <c r="B335" s="17" t="str">
        <f>IF(盘货信息!B335="","",盘货信息!B335)</f>
        <v/>
      </c>
      <c r="C335" s="20" t="str">
        <f>IF(盘货信息!C335="","",盘货信息!C335)</f>
        <v/>
      </c>
      <c r="D335" s="18" t="str">
        <f t="shared" si="5"/>
        <v/>
      </c>
      <c r="E335" s="18" t="str" cm="1">
        <f t="array" ref="E335">IF(_xlfn.XLOOKUP($A335&amp;$B335&amp;$C335,盘货信息!$A:$A&amp;盘货信息!$B:$B&amp;盘货信息!$C:$C,盘货信息!$AA:$AA)="","",_xlfn.XLOOKUP($A335&amp;$B335&amp;$C335,盘货信息!$A:$A&amp;盘货信息!$B:$B&amp;盘货信息!$C:$C,盘货信息!$AA:$AA)&amp;"免息")</f>
        <v/>
      </c>
      <c r="F335" s="18" t="str" cm="1">
        <f t="array" ref="F335">IF(_xlfn.XLOOKUP($A335&amp;$B335&amp;$C335,盘货信息!$A:$A&amp;盘货信息!$B:$B&amp;盘货信息!$C:$C,盘货信息!$AB:$AB)="","",_xlfn.XLOOKUP($A335&amp;$B335&amp;$C335,盘货信息!$A:$A&amp;盘货信息!$B:$B&amp;盘货信息!$C:$C,盘货信息!$AB:$AB))</f>
        <v/>
      </c>
      <c r="G335" s="18"/>
    </row>
    <row r="336" customHeight="1" spans="1:7">
      <c r="A336" s="20" t="str">
        <f>IF(盘货信息!A336="","",盘货信息!A336)</f>
        <v/>
      </c>
      <c r="B336" s="17" t="str">
        <f>IF(盘货信息!B336="","",盘货信息!B336)</f>
        <v/>
      </c>
      <c r="C336" s="20" t="str">
        <f>IF(盘货信息!C336="","",盘货信息!C336)</f>
        <v/>
      </c>
      <c r="D336" s="18" t="str">
        <f t="shared" si="5"/>
        <v/>
      </c>
      <c r="E336" s="18" t="str" cm="1">
        <f t="array" ref="E336">IF(_xlfn.XLOOKUP($A336&amp;$B336&amp;$C336,盘货信息!$A:$A&amp;盘货信息!$B:$B&amp;盘货信息!$C:$C,盘货信息!$AA:$AA)="","",_xlfn.XLOOKUP($A336&amp;$B336&amp;$C336,盘货信息!$A:$A&amp;盘货信息!$B:$B&amp;盘货信息!$C:$C,盘货信息!$AA:$AA)&amp;"免息")</f>
        <v/>
      </c>
      <c r="F336" s="18" t="str" cm="1">
        <f t="array" ref="F336">IF(_xlfn.XLOOKUP($A336&amp;$B336&amp;$C336,盘货信息!$A:$A&amp;盘货信息!$B:$B&amp;盘货信息!$C:$C,盘货信息!$AB:$AB)="","",_xlfn.XLOOKUP($A336&amp;$B336&amp;$C336,盘货信息!$A:$A&amp;盘货信息!$B:$B&amp;盘货信息!$C:$C,盘货信息!$AB:$AB))</f>
        <v/>
      </c>
      <c r="G336" s="18"/>
    </row>
    <row r="337" customHeight="1" spans="1:7">
      <c r="A337" s="20" t="str">
        <f>IF(盘货信息!A337="","",盘货信息!A337)</f>
        <v/>
      </c>
      <c r="B337" s="17" t="str">
        <f>IF(盘货信息!B337="","",盘货信息!B337)</f>
        <v/>
      </c>
      <c r="C337" s="20" t="str">
        <f>IF(盘货信息!C337="","",盘货信息!C337)</f>
        <v/>
      </c>
      <c r="D337" s="18" t="str">
        <f t="shared" si="5"/>
        <v/>
      </c>
      <c r="E337" s="18" t="str" cm="1">
        <f t="array" ref="E337">IF(_xlfn.XLOOKUP($A337&amp;$B337&amp;$C337,盘货信息!$A:$A&amp;盘货信息!$B:$B&amp;盘货信息!$C:$C,盘货信息!$AA:$AA)="","",_xlfn.XLOOKUP($A337&amp;$B337&amp;$C337,盘货信息!$A:$A&amp;盘货信息!$B:$B&amp;盘货信息!$C:$C,盘货信息!$AA:$AA)&amp;"免息")</f>
        <v/>
      </c>
      <c r="F337" s="18" t="str" cm="1">
        <f t="array" ref="F337">IF(_xlfn.XLOOKUP($A337&amp;$B337&amp;$C337,盘货信息!$A:$A&amp;盘货信息!$B:$B&amp;盘货信息!$C:$C,盘货信息!$AB:$AB)="","",_xlfn.XLOOKUP($A337&amp;$B337&amp;$C337,盘货信息!$A:$A&amp;盘货信息!$B:$B&amp;盘货信息!$C:$C,盘货信息!$AB:$AB))</f>
        <v/>
      </c>
      <c r="G337" s="18"/>
    </row>
    <row r="338" customHeight="1" spans="1:7">
      <c r="A338" s="20" t="str">
        <f>IF(盘货信息!A338="","",盘货信息!A338)</f>
        <v/>
      </c>
      <c r="B338" s="17" t="str">
        <f>IF(盘货信息!B338="","",盘货信息!B338)</f>
        <v/>
      </c>
      <c r="C338" s="20" t="str">
        <f>IF(盘货信息!C338="","",盘货信息!C338)</f>
        <v/>
      </c>
      <c r="D338" s="18" t="str">
        <f t="shared" si="5"/>
        <v/>
      </c>
      <c r="E338" s="18" t="str" cm="1">
        <f t="array" ref="E338">IF(_xlfn.XLOOKUP($A338&amp;$B338&amp;$C338,盘货信息!$A:$A&amp;盘货信息!$B:$B&amp;盘货信息!$C:$C,盘货信息!$AA:$AA)="","",_xlfn.XLOOKUP($A338&amp;$B338&amp;$C338,盘货信息!$A:$A&amp;盘货信息!$B:$B&amp;盘货信息!$C:$C,盘货信息!$AA:$AA)&amp;"免息")</f>
        <v/>
      </c>
      <c r="F338" s="18" t="str" cm="1">
        <f t="array" ref="F338">IF(_xlfn.XLOOKUP($A338&amp;$B338&amp;$C338,盘货信息!$A:$A&amp;盘货信息!$B:$B&amp;盘货信息!$C:$C,盘货信息!$AB:$AB)="","",_xlfn.XLOOKUP($A338&amp;$B338&amp;$C338,盘货信息!$A:$A&amp;盘货信息!$B:$B&amp;盘货信息!$C:$C,盘货信息!$AB:$AB))</f>
        <v/>
      </c>
      <c r="G338" s="18"/>
    </row>
    <row r="339" customHeight="1" spans="1:7">
      <c r="A339" s="20" t="str">
        <f>IF(盘货信息!A339="","",盘货信息!A339)</f>
        <v/>
      </c>
      <c r="B339" s="17" t="str">
        <f>IF(盘货信息!B339="","",盘货信息!B339)</f>
        <v/>
      </c>
      <c r="C339" s="20" t="str">
        <f>IF(盘货信息!C339="","",盘货信息!C339)</f>
        <v/>
      </c>
      <c r="D339" s="18" t="str">
        <f t="shared" si="5"/>
        <v/>
      </c>
      <c r="E339" s="18" t="str" cm="1">
        <f t="array" ref="E339">IF(_xlfn.XLOOKUP($A339&amp;$B339&amp;$C339,盘货信息!$A:$A&amp;盘货信息!$B:$B&amp;盘货信息!$C:$C,盘货信息!$AA:$AA)="","",_xlfn.XLOOKUP($A339&amp;$B339&amp;$C339,盘货信息!$A:$A&amp;盘货信息!$B:$B&amp;盘货信息!$C:$C,盘货信息!$AA:$AA)&amp;"免息")</f>
        <v/>
      </c>
      <c r="F339" s="18" t="str" cm="1">
        <f t="array" ref="F339">IF(_xlfn.XLOOKUP($A339&amp;$B339&amp;$C339,盘货信息!$A:$A&amp;盘货信息!$B:$B&amp;盘货信息!$C:$C,盘货信息!$AB:$AB)="","",_xlfn.XLOOKUP($A339&amp;$B339&amp;$C339,盘货信息!$A:$A&amp;盘货信息!$B:$B&amp;盘货信息!$C:$C,盘货信息!$AB:$AB))</f>
        <v/>
      </c>
      <c r="G339" s="18"/>
    </row>
    <row r="340" customHeight="1" spans="1:7">
      <c r="A340" s="20" t="str">
        <f>IF(盘货信息!A340="","",盘货信息!A340)</f>
        <v/>
      </c>
      <c r="B340" s="17" t="str">
        <f>IF(盘货信息!B340="","",盘货信息!B340)</f>
        <v/>
      </c>
      <c r="C340" s="20" t="str">
        <f>IF(盘货信息!C340="","",盘货信息!C340)</f>
        <v/>
      </c>
      <c r="D340" s="18" t="str">
        <f t="shared" si="5"/>
        <v/>
      </c>
      <c r="E340" s="18" t="str" cm="1">
        <f t="array" ref="E340">IF(_xlfn.XLOOKUP($A340&amp;$B340&amp;$C340,盘货信息!$A:$A&amp;盘货信息!$B:$B&amp;盘货信息!$C:$C,盘货信息!$AA:$AA)="","",_xlfn.XLOOKUP($A340&amp;$B340&amp;$C340,盘货信息!$A:$A&amp;盘货信息!$B:$B&amp;盘货信息!$C:$C,盘货信息!$AA:$AA)&amp;"免息")</f>
        <v/>
      </c>
      <c r="F340" s="18" t="str" cm="1">
        <f t="array" ref="F340">IF(_xlfn.XLOOKUP($A340&amp;$B340&amp;$C340,盘货信息!$A:$A&amp;盘货信息!$B:$B&amp;盘货信息!$C:$C,盘货信息!$AB:$AB)="","",_xlfn.XLOOKUP($A340&amp;$B340&amp;$C340,盘货信息!$A:$A&amp;盘货信息!$B:$B&amp;盘货信息!$C:$C,盘货信息!$AB:$AB))</f>
        <v/>
      </c>
      <c r="G340" s="18"/>
    </row>
    <row r="341" customHeight="1" spans="1:7">
      <c r="A341" s="20" t="str">
        <f>IF(盘货信息!A341="","",盘货信息!A341)</f>
        <v/>
      </c>
      <c r="B341" s="17" t="str">
        <f>IF(盘货信息!B341="","",盘货信息!B341)</f>
        <v/>
      </c>
      <c r="C341" s="20" t="str">
        <f>IF(盘货信息!C341="","",盘货信息!C341)</f>
        <v/>
      </c>
      <c r="D341" s="18" t="str">
        <f t="shared" si="5"/>
        <v/>
      </c>
      <c r="E341" s="18" t="str" cm="1">
        <f t="array" ref="E341">IF(_xlfn.XLOOKUP($A341&amp;$B341&amp;$C341,盘货信息!$A:$A&amp;盘货信息!$B:$B&amp;盘货信息!$C:$C,盘货信息!$AA:$AA)="","",_xlfn.XLOOKUP($A341&amp;$B341&amp;$C341,盘货信息!$A:$A&amp;盘货信息!$B:$B&amp;盘货信息!$C:$C,盘货信息!$AA:$AA)&amp;"免息")</f>
        <v/>
      </c>
      <c r="F341" s="18" t="str" cm="1">
        <f t="array" ref="F341">IF(_xlfn.XLOOKUP($A341&amp;$B341&amp;$C341,盘货信息!$A:$A&amp;盘货信息!$B:$B&amp;盘货信息!$C:$C,盘货信息!$AB:$AB)="","",_xlfn.XLOOKUP($A341&amp;$B341&amp;$C341,盘货信息!$A:$A&amp;盘货信息!$B:$B&amp;盘货信息!$C:$C,盘货信息!$AB:$AB))</f>
        <v/>
      </c>
      <c r="G341" s="18"/>
    </row>
    <row r="342" customHeight="1" spans="1:7">
      <c r="A342" s="20" t="str">
        <f>IF(盘货信息!A342="","",盘货信息!A342)</f>
        <v/>
      </c>
      <c r="B342" s="17" t="str">
        <f>IF(盘货信息!B342="","",盘货信息!B342)</f>
        <v/>
      </c>
      <c r="C342" s="20" t="str">
        <f>IF(盘货信息!C342="","",盘货信息!C342)</f>
        <v/>
      </c>
      <c r="D342" s="18" t="str">
        <f t="shared" si="5"/>
        <v/>
      </c>
      <c r="E342" s="18" t="str" cm="1">
        <f t="array" ref="E342">IF(_xlfn.XLOOKUP($A342&amp;$B342&amp;$C342,盘货信息!$A:$A&amp;盘货信息!$B:$B&amp;盘货信息!$C:$C,盘货信息!$AA:$AA)="","",_xlfn.XLOOKUP($A342&amp;$B342&amp;$C342,盘货信息!$A:$A&amp;盘货信息!$B:$B&amp;盘货信息!$C:$C,盘货信息!$AA:$AA)&amp;"免息")</f>
        <v/>
      </c>
      <c r="F342" s="18" t="str" cm="1">
        <f t="array" ref="F342">IF(_xlfn.XLOOKUP($A342&amp;$B342&amp;$C342,盘货信息!$A:$A&amp;盘货信息!$B:$B&amp;盘货信息!$C:$C,盘货信息!$AB:$AB)="","",_xlfn.XLOOKUP($A342&amp;$B342&amp;$C342,盘货信息!$A:$A&amp;盘货信息!$B:$B&amp;盘货信息!$C:$C,盘货信息!$AB:$AB))</f>
        <v/>
      </c>
      <c r="G342" s="18"/>
    </row>
    <row r="343" customHeight="1" spans="1:7">
      <c r="A343" s="20" t="str">
        <f>IF(盘货信息!A343="","",盘货信息!A343)</f>
        <v/>
      </c>
      <c r="B343" s="17" t="str">
        <f>IF(盘货信息!B343="","",盘货信息!B343)</f>
        <v/>
      </c>
      <c r="C343" s="20" t="str">
        <f>IF(盘货信息!C343="","",盘货信息!C343)</f>
        <v/>
      </c>
      <c r="D343" s="18" t="str">
        <f t="shared" si="5"/>
        <v/>
      </c>
      <c r="E343" s="18" t="str" cm="1">
        <f t="array" ref="E343">IF(_xlfn.XLOOKUP($A343&amp;$B343&amp;$C343,盘货信息!$A:$A&amp;盘货信息!$B:$B&amp;盘货信息!$C:$C,盘货信息!$AA:$AA)="","",_xlfn.XLOOKUP($A343&amp;$B343&amp;$C343,盘货信息!$A:$A&amp;盘货信息!$B:$B&amp;盘货信息!$C:$C,盘货信息!$AA:$AA)&amp;"免息")</f>
        <v/>
      </c>
      <c r="F343" s="18" t="str" cm="1">
        <f t="array" ref="F343">IF(_xlfn.XLOOKUP($A343&amp;$B343&amp;$C343,盘货信息!$A:$A&amp;盘货信息!$B:$B&amp;盘货信息!$C:$C,盘货信息!$AB:$AB)="","",_xlfn.XLOOKUP($A343&amp;$B343&amp;$C343,盘货信息!$A:$A&amp;盘货信息!$B:$B&amp;盘货信息!$C:$C,盘货信息!$AB:$AB))</f>
        <v/>
      </c>
      <c r="G343" s="18"/>
    </row>
    <row r="344" customHeight="1" spans="1:7">
      <c r="A344" s="20" t="str">
        <f>IF(盘货信息!A344="","",盘货信息!A344)</f>
        <v/>
      </c>
      <c r="B344" s="17" t="str">
        <f>IF(盘货信息!B344="","",盘货信息!B344)</f>
        <v/>
      </c>
      <c r="C344" s="20" t="str">
        <f>IF(盘货信息!C344="","",盘货信息!C344)</f>
        <v/>
      </c>
      <c r="D344" s="18" t="str">
        <f t="shared" si="5"/>
        <v/>
      </c>
      <c r="E344" s="18" t="str" cm="1">
        <f t="array" ref="E344">IF(_xlfn.XLOOKUP($A344&amp;$B344&amp;$C344,盘货信息!$A:$A&amp;盘货信息!$B:$B&amp;盘货信息!$C:$C,盘货信息!$AA:$AA)="","",_xlfn.XLOOKUP($A344&amp;$B344&amp;$C344,盘货信息!$A:$A&amp;盘货信息!$B:$B&amp;盘货信息!$C:$C,盘货信息!$AA:$AA)&amp;"免息")</f>
        <v/>
      </c>
      <c r="F344" s="18" t="str" cm="1">
        <f t="array" ref="F344">IF(_xlfn.XLOOKUP($A344&amp;$B344&amp;$C344,盘货信息!$A:$A&amp;盘货信息!$B:$B&amp;盘货信息!$C:$C,盘货信息!$AB:$AB)="","",_xlfn.XLOOKUP($A344&amp;$B344&amp;$C344,盘货信息!$A:$A&amp;盘货信息!$B:$B&amp;盘货信息!$C:$C,盘货信息!$AB:$AB))</f>
        <v/>
      </c>
      <c r="G344" s="18"/>
    </row>
    <row r="345" customHeight="1" spans="1:7">
      <c r="A345" s="20" t="str">
        <f>IF(盘货信息!A345="","",盘货信息!A345)</f>
        <v/>
      </c>
      <c r="B345" s="17" t="str">
        <f>IF(盘货信息!B345="","",盘货信息!B345)</f>
        <v/>
      </c>
      <c r="C345" s="20" t="str">
        <f>IF(盘货信息!C345="","",盘货信息!C345)</f>
        <v/>
      </c>
      <c r="D345" s="18" t="str">
        <f t="shared" si="5"/>
        <v/>
      </c>
      <c r="E345" s="18" t="str" cm="1">
        <f t="array" ref="E345">IF(_xlfn.XLOOKUP($A345&amp;$B345&amp;$C345,盘货信息!$A:$A&amp;盘货信息!$B:$B&amp;盘货信息!$C:$C,盘货信息!$AA:$AA)="","",_xlfn.XLOOKUP($A345&amp;$B345&amp;$C345,盘货信息!$A:$A&amp;盘货信息!$B:$B&amp;盘货信息!$C:$C,盘货信息!$AA:$AA)&amp;"免息")</f>
        <v/>
      </c>
      <c r="F345" s="18" t="str" cm="1">
        <f t="array" ref="F345">IF(_xlfn.XLOOKUP($A345&amp;$B345&amp;$C345,盘货信息!$A:$A&amp;盘货信息!$B:$B&amp;盘货信息!$C:$C,盘货信息!$AB:$AB)="","",_xlfn.XLOOKUP($A345&amp;$B345&amp;$C345,盘货信息!$A:$A&amp;盘货信息!$B:$B&amp;盘货信息!$C:$C,盘货信息!$AB:$AB))</f>
        <v/>
      </c>
      <c r="G345" s="18"/>
    </row>
    <row r="346" customHeight="1" spans="1:7">
      <c r="A346" s="20" t="str">
        <f>IF(盘货信息!A346="","",盘货信息!A346)</f>
        <v/>
      </c>
      <c r="B346" s="17" t="str">
        <f>IF(盘货信息!B346="","",盘货信息!B346)</f>
        <v/>
      </c>
      <c r="C346" s="20" t="str">
        <f>IF(盘货信息!C346="","",盘货信息!C346)</f>
        <v/>
      </c>
      <c r="D346" s="18" t="str">
        <f t="shared" si="5"/>
        <v/>
      </c>
      <c r="E346" s="18" t="str" cm="1">
        <f t="array" ref="E346">IF(_xlfn.XLOOKUP($A346&amp;$B346&amp;$C346,盘货信息!$A:$A&amp;盘货信息!$B:$B&amp;盘货信息!$C:$C,盘货信息!$AA:$AA)="","",_xlfn.XLOOKUP($A346&amp;$B346&amp;$C346,盘货信息!$A:$A&amp;盘货信息!$B:$B&amp;盘货信息!$C:$C,盘货信息!$AA:$AA)&amp;"免息")</f>
        <v/>
      </c>
      <c r="F346" s="18" t="str" cm="1">
        <f t="array" ref="F346">IF(_xlfn.XLOOKUP($A346&amp;$B346&amp;$C346,盘货信息!$A:$A&amp;盘货信息!$B:$B&amp;盘货信息!$C:$C,盘货信息!$AB:$AB)="","",_xlfn.XLOOKUP($A346&amp;$B346&amp;$C346,盘货信息!$A:$A&amp;盘货信息!$B:$B&amp;盘货信息!$C:$C,盘货信息!$AB:$AB))</f>
        <v/>
      </c>
      <c r="G346" s="18"/>
    </row>
    <row r="347" customHeight="1" spans="1:7">
      <c r="A347" s="20" t="str">
        <f>IF(盘货信息!A347="","",盘货信息!A347)</f>
        <v/>
      </c>
      <c r="B347" s="17" t="str">
        <f>IF(盘货信息!B347="","",盘货信息!B347)</f>
        <v/>
      </c>
      <c r="C347" s="20" t="str">
        <f>IF(盘货信息!C347="","",盘货信息!C347)</f>
        <v/>
      </c>
      <c r="D347" s="18" t="str">
        <f t="shared" si="5"/>
        <v/>
      </c>
      <c r="E347" s="18" t="str" cm="1">
        <f t="array" ref="E347">IF(_xlfn.XLOOKUP($A347&amp;$B347&amp;$C347,盘货信息!$A:$A&amp;盘货信息!$B:$B&amp;盘货信息!$C:$C,盘货信息!$AA:$AA)="","",_xlfn.XLOOKUP($A347&amp;$B347&amp;$C347,盘货信息!$A:$A&amp;盘货信息!$B:$B&amp;盘货信息!$C:$C,盘货信息!$AA:$AA)&amp;"免息")</f>
        <v/>
      </c>
      <c r="F347" s="18" t="str" cm="1">
        <f t="array" ref="F347">IF(_xlfn.XLOOKUP($A347&amp;$B347&amp;$C347,盘货信息!$A:$A&amp;盘货信息!$B:$B&amp;盘货信息!$C:$C,盘货信息!$AB:$AB)="","",_xlfn.XLOOKUP($A347&amp;$B347&amp;$C347,盘货信息!$A:$A&amp;盘货信息!$B:$B&amp;盘货信息!$C:$C,盘货信息!$AB:$AB))</f>
        <v/>
      </c>
      <c r="G347" s="18"/>
    </row>
    <row r="348" customHeight="1" spans="1:7">
      <c r="A348" s="20" t="str">
        <f>IF(盘货信息!A348="","",盘货信息!A348)</f>
        <v/>
      </c>
      <c r="B348" s="17" t="str">
        <f>IF(盘货信息!B348="","",盘货信息!B348)</f>
        <v/>
      </c>
      <c r="C348" s="20" t="str">
        <f>IF(盘货信息!C348="","",盘货信息!C348)</f>
        <v/>
      </c>
      <c r="D348" s="18" t="str">
        <f t="shared" si="5"/>
        <v/>
      </c>
      <c r="E348" s="18" t="str" cm="1">
        <f t="array" ref="E348">IF(_xlfn.XLOOKUP($A348&amp;$B348&amp;$C348,盘货信息!$A:$A&amp;盘货信息!$B:$B&amp;盘货信息!$C:$C,盘货信息!$AA:$AA)="","",_xlfn.XLOOKUP($A348&amp;$B348&amp;$C348,盘货信息!$A:$A&amp;盘货信息!$B:$B&amp;盘货信息!$C:$C,盘货信息!$AA:$AA)&amp;"免息")</f>
        <v/>
      </c>
      <c r="F348" s="18" t="str" cm="1">
        <f t="array" ref="F348">IF(_xlfn.XLOOKUP($A348&amp;$B348&amp;$C348,盘货信息!$A:$A&amp;盘货信息!$B:$B&amp;盘货信息!$C:$C,盘货信息!$AB:$AB)="","",_xlfn.XLOOKUP($A348&amp;$B348&amp;$C348,盘货信息!$A:$A&amp;盘货信息!$B:$B&amp;盘货信息!$C:$C,盘货信息!$AB:$AB))</f>
        <v/>
      </c>
      <c r="G348" s="18"/>
    </row>
    <row r="349" customHeight="1" spans="1:7">
      <c r="A349" s="20" t="str">
        <f>IF(盘货信息!A349="","",盘货信息!A349)</f>
        <v/>
      </c>
      <c r="B349" s="17" t="str">
        <f>IF(盘货信息!B349="","",盘货信息!B349)</f>
        <v/>
      </c>
      <c r="C349" s="20" t="str">
        <f>IF(盘货信息!C349="","",盘货信息!C349)</f>
        <v/>
      </c>
      <c r="D349" s="18" t="str">
        <f t="shared" si="5"/>
        <v/>
      </c>
      <c r="E349" s="18" t="str" cm="1">
        <f t="array" ref="E349">IF(_xlfn.XLOOKUP($A349&amp;$B349&amp;$C349,盘货信息!$A:$A&amp;盘货信息!$B:$B&amp;盘货信息!$C:$C,盘货信息!$AA:$AA)="","",_xlfn.XLOOKUP($A349&amp;$B349&amp;$C349,盘货信息!$A:$A&amp;盘货信息!$B:$B&amp;盘货信息!$C:$C,盘货信息!$AA:$AA)&amp;"免息")</f>
        <v/>
      </c>
      <c r="F349" s="18" t="str" cm="1">
        <f t="array" ref="F349">IF(_xlfn.XLOOKUP($A349&amp;$B349&amp;$C349,盘货信息!$A:$A&amp;盘货信息!$B:$B&amp;盘货信息!$C:$C,盘货信息!$AB:$AB)="","",_xlfn.XLOOKUP($A349&amp;$B349&amp;$C349,盘货信息!$A:$A&amp;盘货信息!$B:$B&amp;盘货信息!$C:$C,盘货信息!$AB:$AB))</f>
        <v/>
      </c>
      <c r="G349" s="18"/>
    </row>
    <row r="350" customHeight="1" spans="1:7">
      <c r="A350" s="20" t="str">
        <f>IF(盘货信息!A350="","",盘货信息!A350)</f>
        <v/>
      </c>
      <c r="B350" s="17" t="str">
        <f>IF(盘货信息!B350="","",盘货信息!B350)</f>
        <v/>
      </c>
      <c r="C350" s="20" t="str">
        <f>IF(盘货信息!C350="","",盘货信息!C350)</f>
        <v/>
      </c>
      <c r="D350" s="18" t="str">
        <f t="shared" si="5"/>
        <v/>
      </c>
      <c r="E350" s="18" t="str" cm="1">
        <f t="array" ref="E350">IF(_xlfn.XLOOKUP($A350&amp;$B350&amp;$C350,盘货信息!$A:$A&amp;盘货信息!$B:$B&amp;盘货信息!$C:$C,盘货信息!$AA:$AA)="","",_xlfn.XLOOKUP($A350&amp;$B350&amp;$C350,盘货信息!$A:$A&amp;盘货信息!$B:$B&amp;盘货信息!$C:$C,盘货信息!$AA:$AA)&amp;"免息")</f>
        <v/>
      </c>
      <c r="F350" s="18" t="str" cm="1">
        <f t="array" ref="F350">IF(_xlfn.XLOOKUP($A350&amp;$B350&amp;$C350,盘货信息!$A:$A&amp;盘货信息!$B:$B&amp;盘货信息!$C:$C,盘货信息!$AB:$AB)="","",_xlfn.XLOOKUP($A350&amp;$B350&amp;$C350,盘货信息!$A:$A&amp;盘货信息!$B:$B&amp;盘货信息!$C:$C,盘货信息!$AB:$AB))</f>
        <v/>
      </c>
      <c r="G350" s="18"/>
    </row>
    <row r="351" customHeight="1" spans="1:7">
      <c r="A351" s="20" t="str">
        <f>IF(盘货信息!A351="","",盘货信息!A351)</f>
        <v/>
      </c>
      <c r="B351" s="17" t="str">
        <f>IF(盘货信息!B351="","",盘货信息!B351)</f>
        <v/>
      </c>
      <c r="C351" s="20" t="str">
        <f>IF(盘货信息!C351="","",盘货信息!C351)</f>
        <v/>
      </c>
      <c r="D351" s="18" t="str">
        <f t="shared" si="5"/>
        <v/>
      </c>
      <c r="E351" s="18" t="str" cm="1">
        <f t="array" ref="E351">IF(_xlfn.XLOOKUP($A351&amp;$B351&amp;$C351,盘货信息!$A:$A&amp;盘货信息!$B:$B&amp;盘货信息!$C:$C,盘货信息!$AA:$AA)="","",_xlfn.XLOOKUP($A351&amp;$B351&amp;$C351,盘货信息!$A:$A&amp;盘货信息!$B:$B&amp;盘货信息!$C:$C,盘货信息!$AA:$AA)&amp;"免息")</f>
        <v/>
      </c>
      <c r="F351" s="18" t="str" cm="1">
        <f t="array" ref="F351">IF(_xlfn.XLOOKUP($A351&amp;$B351&amp;$C351,盘货信息!$A:$A&amp;盘货信息!$B:$B&amp;盘货信息!$C:$C,盘货信息!$AB:$AB)="","",_xlfn.XLOOKUP($A351&amp;$B351&amp;$C351,盘货信息!$A:$A&amp;盘货信息!$B:$B&amp;盘货信息!$C:$C,盘货信息!$AB:$AB))</f>
        <v/>
      </c>
      <c r="G351" s="18"/>
    </row>
    <row r="352" customHeight="1" spans="1:7">
      <c r="A352" s="20" t="str">
        <f>IF(盘货信息!A352="","",盘货信息!A352)</f>
        <v/>
      </c>
      <c r="B352" s="17" t="str">
        <f>IF(盘货信息!B352="","",盘货信息!B352)</f>
        <v/>
      </c>
      <c r="C352" s="20" t="str">
        <f>IF(盘货信息!C352="","",盘货信息!C352)</f>
        <v/>
      </c>
      <c r="D352" s="18" t="str">
        <f t="shared" si="5"/>
        <v/>
      </c>
      <c r="E352" s="18" t="str" cm="1">
        <f t="array" ref="E352">IF(_xlfn.XLOOKUP($A352&amp;$B352&amp;$C352,盘货信息!$A:$A&amp;盘货信息!$B:$B&amp;盘货信息!$C:$C,盘货信息!$AA:$AA)="","",_xlfn.XLOOKUP($A352&amp;$B352&amp;$C352,盘货信息!$A:$A&amp;盘货信息!$B:$B&amp;盘货信息!$C:$C,盘货信息!$AA:$AA)&amp;"免息")</f>
        <v/>
      </c>
      <c r="F352" s="18" t="str" cm="1">
        <f t="array" ref="F352">IF(_xlfn.XLOOKUP($A352&amp;$B352&amp;$C352,盘货信息!$A:$A&amp;盘货信息!$B:$B&amp;盘货信息!$C:$C,盘货信息!$AB:$AB)="","",_xlfn.XLOOKUP($A352&amp;$B352&amp;$C352,盘货信息!$A:$A&amp;盘货信息!$B:$B&amp;盘货信息!$C:$C,盘货信息!$AB:$AB))</f>
        <v/>
      </c>
      <c r="G352" s="18"/>
    </row>
    <row r="353" customHeight="1" spans="1:7">
      <c r="A353" s="20" t="str">
        <f>IF(盘货信息!A353="","",盘货信息!A353)</f>
        <v/>
      </c>
      <c r="B353" s="17" t="str">
        <f>IF(盘货信息!B353="","",盘货信息!B353)</f>
        <v/>
      </c>
      <c r="C353" s="20" t="str">
        <f>IF(盘货信息!C353="","",盘货信息!C353)</f>
        <v/>
      </c>
      <c r="D353" s="18" t="str">
        <f t="shared" si="5"/>
        <v/>
      </c>
      <c r="E353" s="18" t="str" cm="1">
        <f t="array" ref="E353">IF(_xlfn.XLOOKUP($A353&amp;$B353&amp;$C353,盘货信息!$A:$A&amp;盘货信息!$B:$B&amp;盘货信息!$C:$C,盘货信息!$AA:$AA)="","",_xlfn.XLOOKUP($A353&amp;$B353&amp;$C353,盘货信息!$A:$A&amp;盘货信息!$B:$B&amp;盘货信息!$C:$C,盘货信息!$AA:$AA)&amp;"免息")</f>
        <v/>
      </c>
      <c r="F353" s="18" t="str" cm="1">
        <f t="array" ref="F353">IF(_xlfn.XLOOKUP($A353&amp;$B353&amp;$C353,盘货信息!$A:$A&amp;盘货信息!$B:$B&amp;盘货信息!$C:$C,盘货信息!$AB:$AB)="","",_xlfn.XLOOKUP($A353&amp;$B353&amp;$C353,盘货信息!$A:$A&amp;盘货信息!$B:$B&amp;盘货信息!$C:$C,盘货信息!$AB:$AB))</f>
        <v/>
      </c>
      <c r="G353" s="18"/>
    </row>
    <row r="354" customHeight="1" spans="1:7">
      <c r="A354" s="20" t="str">
        <f>IF(盘货信息!A354="","",盘货信息!A354)</f>
        <v/>
      </c>
      <c r="B354" s="17" t="str">
        <f>IF(盘货信息!B354="","",盘货信息!B354)</f>
        <v/>
      </c>
      <c r="C354" s="20" t="str">
        <f>IF(盘货信息!C354="","",盘货信息!C354)</f>
        <v/>
      </c>
      <c r="D354" s="18" t="str">
        <f t="shared" si="5"/>
        <v/>
      </c>
      <c r="E354" s="18" t="str" cm="1">
        <f t="array" ref="E354">IF(_xlfn.XLOOKUP($A354&amp;$B354&amp;$C354,盘货信息!$A:$A&amp;盘货信息!$B:$B&amp;盘货信息!$C:$C,盘货信息!$AA:$AA)="","",_xlfn.XLOOKUP($A354&amp;$B354&amp;$C354,盘货信息!$A:$A&amp;盘货信息!$B:$B&amp;盘货信息!$C:$C,盘货信息!$AA:$AA)&amp;"免息")</f>
        <v/>
      </c>
      <c r="F354" s="18" t="str" cm="1">
        <f t="array" ref="F354">IF(_xlfn.XLOOKUP($A354&amp;$B354&amp;$C354,盘货信息!$A:$A&amp;盘货信息!$B:$B&amp;盘货信息!$C:$C,盘货信息!$AB:$AB)="","",_xlfn.XLOOKUP($A354&amp;$B354&amp;$C354,盘货信息!$A:$A&amp;盘货信息!$B:$B&amp;盘货信息!$C:$C,盘货信息!$AB:$AB))</f>
        <v/>
      </c>
      <c r="G354" s="18"/>
    </row>
    <row r="355" customHeight="1" spans="1:7">
      <c r="A355" s="20" t="str">
        <f>IF(盘货信息!A355="","",盘货信息!A355)</f>
        <v/>
      </c>
      <c r="B355" s="17" t="str">
        <f>IF(盘货信息!B355="","",盘货信息!B355)</f>
        <v/>
      </c>
      <c r="C355" s="20" t="str">
        <f>IF(盘货信息!C355="","",盘货信息!C355)</f>
        <v/>
      </c>
      <c r="D355" s="18" t="str">
        <f t="shared" si="5"/>
        <v/>
      </c>
      <c r="E355" s="18" t="str" cm="1">
        <f t="array" ref="E355">IF(_xlfn.XLOOKUP($A355&amp;$B355&amp;$C355,盘货信息!$A:$A&amp;盘货信息!$B:$B&amp;盘货信息!$C:$C,盘货信息!$AA:$AA)="","",_xlfn.XLOOKUP($A355&amp;$B355&amp;$C355,盘货信息!$A:$A&amp;盘货信息!$B:$B&amp;盘货信息!$C:$C,盘货信息!$AA:$AA)&amp;"免息")</f>
        <v/>
      </c>
      <c r="F355" s="18" t="str" cm="1">
        <f t="array" ref="F355">IF(_xlfn.XLOOKUP($A355&amp;$B355&amp;$C355,盘货信息!$A:$A&amp;盘货信息!$B:$B&amp;盘货信息!$C:$C,盘货信息!$AB:$AB)="","",_xlfn.XLOOKUP($A355&amp;$B355&amp;$C355,盘货信息!$A:$A&amp;盘货信息!$B:$B&amp;盘货信息!$C:$C,盘货信息!$AB:$AB))</f>
        <v/>
      </c>
      <c r="G355" s="18"/>
    </row>
    <row r="356" customHeight="1" spans="1:7">
      <c r="A356" s="20" t="str">
        <f>IF(盘货信息!A356="","",盘货信息!A356)</f>
        <v/>
      </c>
      <c r="B356" s="17" t="str">
        <f>IF(盘货信息!B356="","",盘货信息!B356)</f>
        <v/>
      </c>
      <c r="C356" s="20" t="str">
        <f>IF(盘货信息!C356="","",盘货信息!C356)</f>
        <v/>
      </c>
      <c r="D356" s="18" t="str">
        <f t="shared" si="5"/>
        <v/>
      </c>
      <c r="E356" s="18" t="str" cm="1">
        <f t="array" ref="E356">IF(_xlfn.XLOOKUP($A356&amp;$B356&amp;$C356,盘货信息!$A:$A&amp;盘货信息!$B:$B&amp;盘货信息!$C:$C,盘货信息!$AA:$AA)="","",_xlfn.XLOOKUP($A356&amp;$B356&amp;$C356,盘货信息!$A:$A&amp;盘货信息!$B:$B&amp;盘货信息!$C:$C,盘货信息!$AA:$AA)&amp;"免息")</f>
        <v/>
      </c>
      <c r="F356" s="18" t="str" cm="1">
        <f t="array" ref="F356">IF(_xlfn.XLOOKUP($A356&amp;$B356&amp;$C356,盘货信息!$A:$A&amp;盘货信息!$B:$B&amp;盘货信息!$C:$C,盘货信息!$AB:$AB)="","",_xlfn.XLOOKUP($A356&amp;$B356&amp;$C356,盘货信息!$A:$A&amp;盘货信息!$B:$B&amp;盘货信息!$C:$C,盘货信息!$AB:$AB))</f>
        <v/>
      </c>
      <c r="G356" s="18"/>
    </row>
    <row r="357" customHeight="1" spans="1:7">
      <c r="A357" s="20" t="str">
        <f>IF(盘货信息!A357="","",盘货信息!A357)</f>
        <v/>
      </c>
      <c r="B357" s="17" t="str">
        <f>IF(盘货信息!B357="","",盘货信息!B357)</f>
        <v/>
      </c>
      <c r="C357" s="20" t="str">
        <f>IF(盘货信息!C357="","",盘货信息!C357)</f>
        <v/>
      </c>
      <c r="D357" s="18" t="str">
        <f t="shared" si="5"/>
        <v/>
      </c>
      <c r="E357" s="18" t="str" cm="1">
        <f t="array" ref="E357">IF(_xlfn.XLOOKUP($A357&amp;$B357&amp;$C357,盘货信息!$A:$A&amp;盘货信息!$B:$B&amp;盘货信息!$C:$C,盘货信息!$AA:$AA)="","",_xlfn.XLOOKUP($A357&amp;$B357&amp;$C357,盘货信息!$A:$A&amp;盘货信息!$B:$B&amp;盘货信息!$C:$C,盘货信息!$AA:$AA)&amp;"免息")</f>
        <v/>
      </c>
      <c r="F357" s="18" t="str" cm="1">
        <f t="array" ref="F357">IF(_xlfn.XLOOKUP($A357&amp;$B357&amp;$C357,盘货信息!$A:$A&amp;盘货信息!$B:$B&amp;盘货信息!$C:$C,盘货信息!$AB:$AB)="","",_xlfn.XLOOKUP($A357&amp;$B357&amp;$C357,盘货信息!$A:$A&amp;盘货信息!$B:$B&amp;盘货信息!$C:$C,盘货信息!$AB:$AB))</f>
        <v/>
      </c>
      <c r="G357" s="18"/>
    </row>
    <row r="358" customHeight="1" spans="1:7">
      <c r="A358" s="20" t="str">
        <f>IF(盘货信息!A358="","",盘货信息!A358)</f>
        <v/>
      </c>
      <c r="B358" s="17" t="str">
        <f>IF(盘货信息!B358="","",盘货信息!B358)</f>
        <v/>
      </c>
      <c r="C358" s="20" t="str">
        <f>IF(盘货信息!C358="","",盘货信息!C358)</f>
        <v/>
      </c>
      <c r="D358" s="18" t="str">
        <f t="shared" si="5"/>
        <v/>
      </c>
      <c r="E358" s="18" t="str" cm="1">
        <f t="array" ref="E358">IF(_xlfn.XLOOKUP($A358&amp;$B358&amp;$C358,盘货信息!$A:$A&amp;盘货信息!$B:$B&amp;盘货信息!$C:$C,盘货信息!$AA:$AA)="","",_xlfn.XLOOKUP($A358&amp;$B358&amp;$C358,盘货信息!$A:$A&amp;盘货信息!$B:$B&amp;盘货信息!$C:$C,盘货信息!$AA:$AA)&amp;"免息")</f>
        <v/>
      </c>
      <c r="F358" s="18" t="str" cm="1">
        <f t="array" ref="F358">IF(_xlfn.XLOOKUP($A358&amp;$B358&amp;$C358,盘货信息!$A:$A&amp;盘货信息!$B:$B&amp;盘货信息!$C:$C,盘货信息!$AB:$AB)="","",_xlfn.XLOOKUP($A358&amp;$B358&amp;$C358,盘货信息!$A:$A&amp;盘货信息!$B:$B&amp;盘货信息!$C:$C,盘货信息!$AB:$AB))</f>
        <v/>
      </c>
      <c r="G358" s="18"/>
    </row>
    <row r="359" customHeight="1" spans="1:7">
      <c r="A359" s="20" t="str">
        <f>IF(盘货信息!A359="","",盘货信息!A359)</f>
        <v/>
      </c>
      <c r="B359" s="17" t="str">
        <f>IF(盘货信息!B359="","",盘货信息!B359)</f>
        <v/>
      </c>
      <c r="C359" s="20" t="str">
        <f>IF(盘货信息!C359="","",盘货信息!C359)</f>
        <v/>
      </c>
      <c r="D359" s="18" t="str">
        <f t="shared" si="5"/>
        <v/>
      </c>
      <c r="E359" s="18" t="str" cm="1">
        <f t="array" ref="E359">IF(_xlfn.XLOOKUP($A359&amp;$B359&amp;$C359,盘货信息!$A:$A&amp;盘货信息!$B:$B&amp;盘货信息!$C:$C,盘货信息!$AA:$AA)="","",_xlfn.XLOOKUP($A359&amp;$B359&amp;$C359,盘货信息!$A:$A&amp;盘货信息!$B:$B&amp;盘货信息!$C:$C,盘货信息!$AA:$AA)&amp;"免息")</f>
        <v/>
      </c>
      <c r="F359" s="18" t="str" cm="1">
        <f t="array" ref="F359">IF(_xlfn.XLOOKUP($A359&amp;$B359&amp;$C359,盘货信息!$A:$A&amp;盘货信息!$B:$B&amp;盘货信息!$C:$C,盘货信息!$AB:$AB)="","",_xlfn.XLOOKUP($A359&amp;$B359&amp;$C359,盘货信息!$A:$A&amp;盘货信息!$B:$B&amp;盘货信息!$C:$C,盘货信息!$AB:$AB))</f>
        <v/>
      </c>
      <c r="G359" s="18"/>
    </row>
    <row r="360" customHeight="1" spans="1:7">
      <c r="A360" s="20" t="str">
        <f>IF(盘货信息!A360="","",盘货信息!A360)</f>
        <v/>
      </c>
      <c r="B360" s="17" t="str">
        <f>IF(盘货信息!B360="","",盘货信息!B360)</f>
        <v/>
      </c>
      <c r="C360" s="20" t="str">
        <f>IF(盘货信息!C360="","",盘货信息!C360)</f>
        <v/>
      </c>
      <c r="D360" s="18" t="str">
        <f t="shared" si="5"/>
        <v/>
      </c>
      <c r="E360" s="18" t="str" cm="1">
        <f t="array" ref="E360">IF(_xlfn.XLOOKUP($A360&amp;$B360&amp;$C360,盘货信息!$A:$A&amp;盘货信息!$B:$B&amp;盘货信息!$C:$C,盘货信息!$AA:$AA)="","",_xlfn.XLOOKUP($A360&amp;$B360&amp;$C360,盘货信息!$A:$A&amp;盘货信息!$B:$B&amp;盘货信息!$C:$C,盘货信息!$AA:$AA)&amp;"免息")</f>
        <v/>
      </c>
      <c r="F360" s="18" t="str" cm="1">
        <f t="array" ref="F360">IF(_xlfn.XLOOKUP($A360&amp;$B360&amp;$C360,盘货信息!$A:$A&amp;盘货信息!$B:$B&amp;盘货信息!$C:$C,盘货信息!$AB:$AB)="","",_xlfn.XLOOKUP($A360&amp;$B360&amp;$C360,盘货信息!$A:$A&amp;盘货信息!$B:$B&amp;盘货信息!$C:$C,盘货信息!$AB:$AB))</f>
        <v/>
      </c>
      <c r="G360" s="18"/>
    </row>
    <row r="361" customHeight="1" spans="1:7">
      <c r="A361" s="20" t="str">
        <f>IF(盘货信息!A361="","",盘货信息!A361)</f>
        <v/>
      </c>
      <c r="B361" s="17" t="str">
        <f>IF(盘货信息!B361="","",盘货信息!B361)</f>
        <v/>
      </c>
      <c r="C361" s="20" t="str">
        <f>IF(盘货信息!C361="","",盘货信息!C361)</f>
        <v/>
      </c>
      <c r="D361" s="18" t="str">
        <f t="shared" si="5"/>
        <v/>
      </c>
      <c r="E361" s="18" t="str" cm="1">
        <f t="array" ref="E361">IF(_xlfn.XLOOKUP($A361&amp;$B361&amp;$C361,盘货信息!$A:$A&amp;盘货信息!$B:$B&amp;盘货信息!$C:$C,盘货信息!$AA:$AA)="","",_xlfn.XLOOKUP($A361&amp;$B361&amp;$C361,盘货信息!$A:$A&amp;盘货信息!$B:$B&amp;盘货信息!$C:$C,盘货信息!$AA:$AA)&amp;"免息")</f>
        <v/>
      </c>
      <c r="F361" s="18" t="str" cm="1">
        <f t="array" ref="F361">IF(_xlfn.XLOOKUP($A361&amp;$B361&amp;$C361,盘货信息!$A:$A&amp;盘货信息!$B:$B&amp;盘货信息!$C:$C,盘货信息!$AB:$AB)="","",_xlfn.XLOOKUP($A361&amp;$B361&amp;$C361,盘货信息!$A:$A&amp;盘货信息!$B:$B&amp;盘货信息!$C:$C,盘货信息!$AB:$AB))</f>
        <v/>
      </c>
      <c r="G361" s="18"/>
    </row>
    <row r="362" customHeight="1" spans="1:7">
      <c r="A362" s="20" t="str">
        <f>IF(盘货信息!A362="","",盘货信息!A362)</f>
        <v/>
      </c>
      <c r="B362" s="17" t="str">
        <f>IF(盘货信息!B362="","",盘货信息!B362)</f>
        <v/>
      </c>
      <c r="C362" s="20" t="str">
        <f>IF(盘货信息!C362="","",盘货信息!C362)</f>
        <v/>
      </c>
      <c r="D362" s="18" t="str">
        <f t="shared" si="5"/>
        <v/>
      </c>
      <c r="E362" s="18" t="str" cm="1">
        <f t="array" ref="E362">IF(_xlfn.XLOOKUP($A362&amp;$B362&amp;$C362,盘货信息!$A:$A&amp;盘货信息!$B:$B&amp;盘货信息!$C:$C,盘货信息!$AA:$AA)="","",_xlfn.XLOOKUP($A362&amp;$B362&amp;$C362,盘货信息!$A:$A&amp;盘货信息!$B:$B&amp;盘货信息!$C:$C,盘货信息!$AA:$AA)&amp;"免息")</f>
        <v/>
      </c>
      <c r="F362" s="18" t="str" cm="1">
        <f t="array" ref="F362">IF(_xlfn.XLOOKUP($A362&amp;$B362&amp;$C362,盘货信息!$A:$A&amp;盘货信息!$B:$B&amp;盘货信息!$C:$C,盘货信息!$AB:$AB)="","",_xlfn.XLOOKUP($A362&amp;$B362&amp;$C362,盘货信息!$A:$A&amp;盘货信息!$B:$B&amp;盘货信息!$C:$C,盘货信息!$AB:$AB))</f>
        <v/>
      </c>
      <c r="G362" s="18"/>
    </row>
    <row r="363" customHeight="1" spans="1:7">
      <c r="A363" s="20" t="str">
        <f>IF(盘货信息!A363="","",盘货信息!A363)</f>
        <v/>
      </c>
      <c r="B363" s="17" t="str">
        <f>IF(盘货信息!B363="","",盘货信息!B363)</f>
        <v/>
      </c>
      <c r="C363" s="20" t="str">
        <f>IF(盘货信息!C363="","",盘货信息!C363)</f>
        <v/>
      </c>
      <c r="D363" s="18" t="str">
        <f t="shared" si="5"/>
        <v/>
      </c>
      <c r="E363" s="18" t="str" cm="1">
        <f t="array" ref="E363">IF(_xlfn.XLOOKUP($A363&amp;$B363&amp;$C363,盘货信息!$A:$A&amp;盘货信息!$B:$B&amp;盘货信息!$C:$C,盘货信息!$AA:$AA)="","",_xlfn.XLOOKUP($A363&amp;$B363&amp;$C363,盘货信息!$A:$A&amp;盘货信息!$B:$B&amp;盘货信息!$C:$C,盘货信息!$AA:$AA)&amp;"免息")</f>
        <v/>
      </c>
      <c r="F363" s="18" t="str" cm="1">
        <f t="array" ref="F363">IF(_xlfn.XLOOKUP($A363&amp;$B363&amp;$C363,盘货信息!$A:$A&amp;盘货信息!$B:$B&amp;盘货信息!$C:$C,盘货信息!$AB:$AB)="","",_xlfn.XLOOKUP($A363&amp;$B363&amp;$C363,盘货信息!$A:$A&amp;盘货信息!$B:$B&amp;盘货信息!$C:$C,盘货信息!$AB:$AB))</f>
        <v/>
      </c>
      <c r="G363" s="18"/>
    </row>
    <row r="364" customHeight="1" spans="1:7">
      <c r="A364" s="20" t="str">
        <f>IF(盘货信息!A364="","",盘货信息!A364)</f>
        <v/>
      </c>
      <c r="B364" s="17" t="str">
        <f>IF(盘货信息!B364="","",盘货信息!B364)</f>
        <v/>
      </c>
      <c r="C364" s="20" t="str">
        <f>IF(盘货信息!C364="","",盘货信息!C364)</f>
        <v/>
      </c>
      <c r="D364" s="18" t="str">
        <f t="shared" si="5"/>
        <v/>
      </c>
      <c r="E364" s="18" t="str" cm="1">
        <f t="array" ref="E364">IF(_xlfn.XLOOKUP($A364&amp;$B364&amp;$C364,盘货信息!$A:$A&amp;盘货信息!$B:$B&amp;盘货信息!$C:$C,盘货信息!$AA:$AA)="","",_xlfn.XLOOKUP($A364&amp;$B364&amp;$C364,盘货信息!$A:$A&amp;盘货信息!$B:$B&amp;盘货信息!$C:$C,盘货信息!$AA:$AA)&amp;"免息")</f>
        <v/>
      </c>
      <c r="F364" s="18" t="str" cm="1">
        <f t="array" ref="F364">IF(_xlfn.XLOOKUP($A364&amp;$B364&amp;$C364,盘货信息!$A:$A&amp;盘货信息!$B:$B&amp;盘货信息!$C:$C,盘货信息!$AB:$AB)="","",_xlfn.XLOOKUP($A364&amp;$B364&amp;$C364,盘货信息!$A:$A&amp;盘货信息!$B:$B&amp;盘货信息!$C:$C,盘货信息!$AB:$AB))</f>
        <v/>
      </c>
      <c r="G364" s="18"/>
    </row>
    <row r="365" customHeight="1" spans="1:7">
      <c r="A365" s="20" t="str">
        <f>IF(盘货信息!A365="","",盘货信息!A365)</f>
        <v/>
      </c>
      <c r="B365" s="17" t="str">
        <f>IF(盘货信息!B365="","",盘货信息!B365)</f>
        <v/>
      </c>
      <c r="C365" s="20" t="str">
        <f>IF(盘货信息!C365="","",盘货信息!C365)</f>
        <v/>
      </c>
      <c r="D365" s="18" t="str">
        <f t="shared" si="5"/>
        <v/>
      </c>
      <c r="E365" s="18" t="str" cm="1">
        <f t="array" ref="E365">IF(_xlfn.XLOOKUP($A365&amp;$B365&amp;$C365,盘货信息!$A:$A&amp;盘货信息!$B:$B&amp;盘货信息!$C:$C,盘货信息!$AA:$AA)="","",_xlfn.XLOOKUP($A365&amp;$B365&amp;$C365,盘货信息!$A:$A&amp;盘货信息!$B:$B&amp;盘货信息!$C:$C,盘货信息!$AA:$AA)&amp;"免息")</f>
        <v/>
      </c>
      <c r="F365" s="18" t="str" cm="1">
        <f t="array" ref="F365">IF(_xlfn.XLOOKUP($A365&amp;$B365&amp;$C365,盘货信息!$A:$A&amp;盘货信息!$B:$B&amp;盘货信息!$C:$C,盘货信息!$AB:$AB)="","",_xlfn.XLOOKUP($A365&amp;$B365&amp;$C365,盘货信息!$A:$A&amp;盘货信息!$B:$B&amp;盘货信息!$C:$C,盘货信息!$AB:$AB))</f>
        <v/>
      </c>
      <c r="G365" s="18"/>
    </row>
    <row r="366" customHeight="1" spans="1:7">
      <c r="A366" s="20" t="str">
        <f>IF(盘货信息!A366="","",盘货信息!A366)</f>
        <v/>
      </c>
      <c r="B366" s="17" t="str">
        <f>IF(盘货信息!B366="","",盘货信息!B366)</f>
        <v/>
      </c>
      <c r="C366" s="20" t="str">
        <f>IF(盘货信息!C366="","",盘货信息!C366)</f>
        <v/>
      </c>
      <c r="D366" s="18" t="str">
        <f t="shared" si="5"/>
        <v/>
      </c>
      <c r="E366" s="18" t="str" cm="1">
        <f t="array" ref="E366">IF(_xlfn.XLOOKUP($A366&amp;$B366&amp;$C366,盘货信息!$A:$A&amp;盘货信息!$B:$B&amp;盘货信息!$C:$C,盘货信息!$AA:$AA)="","",_xlfn.XLOOKUP($A366&amp;$B366&amp;$C366,盘货信息!$A:$A&amp;盘货信息!$B:$B&amp;盘货信息!$C:$C,盘货信息!$AA:$AA)&amp;"免息")</f>
        <v/>
      </c>
      <c r="F366" s="18" t="str" cm="1">
        <f t="array" ref="F366">IF(_xlfn.XLOOKUP($A366&amp;$B366&amp;$C366,盘货信息!$A:$A&amp;盘货信息!$B:$B&amp;盘货信息!$C:$C,盘货信息!$AB:$AB)="","",_xlfn.XLOOKUP($A366&amp;$B366&amp;$C366,盘货信息!$A:$A&amp;盘货信息!$B:$B&amp;盘货信息!$C:$C,盘货信息!$AB:$AB))</f>
        <v/>
      </c>
      <c r="G366" s="18"/>
    </row>
    <row r="367" customHeight="1" spans="1:7">
      <c r="A367" s="20" t="str">
        <f>IF(盘货信息!A367="","",盘货信息!A367)</f>
        <v/>
      </c>
      <c r="B367" s="17" t="str">
        <f>IF(盘货信息!B367="","",盘货信息!B367)</f>
        <v/>
      </c>
      <c r="C367" s="20" t="str">
        <f>IF(盘货信息!C367="","",盘货信息!C367)</f>
        <v/>
      </c>
      <c r="D367" s="18" t="str">
        <f t="shared" si="5"/>
        <v/>
      </c>
      <c r="E367" s="18" t="str" cm="1">
        <f t="array" ref="E367">IF(_xlfn.XLOOKUP($A367&amp;$B367&amp;$C367,盘货信息!$A:$A&amp;盘货信息!$B:$B&amp;盘货信息!$C:$C,盘货信息!$AA:$AA)="","",_xlfn.XLOOKUP($A367&amp;$B367&amp;$C367,盘货信息!$A:$A&amp;盘货信息!$B:$B&amp;盘货信息!$C:$C,盘货信息!$AA:$AA)&amp;"免息")</f>
        <v/>
      </c>
      <c r="F367" s="18" t="str" cm="1">
        <f t="array" ref="F367">IF(_xlfn.XLOOKUP($A367&amp;$B367&amp;$C367,盘货信息!$A:$A&amp;盘货信息!$B:$B&amp;盘货信息!$C:$C,盘货信息!$AB:$AB)="","",_xlfn.XLOOKUP($A367&amp;$B367&amp;$C367,盘货信息!$A:$A&amp;盘货信息!$B:$B&amp;盘货信息!$C:$C,盘货信息!$AB:$AB))</f>
        <v/>
      </c>
      <c r="G367" s="18"/>
    </row>
    <row r="368" customHeight="1" spans="1:7">
      <c r="A368" s="20" t="str">
        <f>IF(盘货信息!A368="","",盘货信息!A368)</f>
        <v/>
      </c>
      <c r="B368" s="17" t="str">
        <f>IF(盘货信息!B368="","",盘货信息!B368)</f>
        <v/>
      </c>
      <c r="C368" s="20" t="str">
        <f>IF(盘货信息!C368="","",盘货信息!C368)</f>
        <v/>
      </c>
      <c r="D368" s="18" t="str">
        <f t="shared" si="5"/>
        <v/>
      </c>
      <c r="E368" s="18" t="str" cm="1">
        <f t="array" ref="E368">IF(_xlfn.XLOOKUP($A368&amp;$B368&amp;$C368,盘货信息!$A:$A&amp;盘货信息!$B:$B&amp;盘货信息!$C:$C,盘货信息!$AA:$AA)="","",_xlfn.XLOOKUP($A368&amp;$B368&amp;$C368,盘货信息!$A:$A&amp;盘货信息!$B:$B&amp;盘货信息!$C:$C,盘货信息!$AA:$AA)&amp;"免息")</f>
        <v/>
      </c>
      <c r="F368" s="18" t="str" cm="1">
        <f t="array" ref="F368">IF(_xlfn.XLOOKUP($A368&amp;$B368&amp;$C368,盘货信息!$A:$A&amp;盘货信息!$B:$B&amp;盘货信息!$C:$C,盘货信息!$AB:$AB)="","",_xlfn.XLOOKUP($A368&amp;$B368&amp;$C368,盘货信息!$A:$A&amp;盘货信息!$B:$B&amp;盘货信息!$C:$C,盘货信息!$AB:$AB))</f>
        <v/>
      </c>
      <c r="G368" s="18"/>
    </row>
    <row r="369" customHeight="1" spans="1:7">
      <c r="A369" s="20" t="str">
        <f>IF(盘货信息!A369="","",盘货信息!A369)</f>
        <v/>
      </c>
      <c r="B369" s="17" t="str">
        <f>IF(盘货信息!B369="","",盘货信息!B369)</f>
        <v/>
      </c>
      <c r="C369" s="20" t="str">
        <f>IF(盘货信息!C369="","",盘货信息!C369)</f>
        <v/>
      </c>
      <c r="D369" s="18" t="str">
        <f t="shared" si="5"/>
        <v/>
      </c>
      <c r="E369" s="18" t="str" cm="1">
        <f t="array" ref="E369">IF(_xlfn.XLOOKUP($A369&amp;$B369&amp;$C369,盘货信息!$A:$A&amp;盘货信息!$B:$B&amp;盘货信息!$C:$C,盘货信息!$AA:$AA)="","",_xlfn.XLOOKUP($A369&amp;$B369&amp;$C369,盘货信息!$A:$A&amp;盘货信息!$B:$B&amp;盘货信息!$C:$C,盘货信息!$AA:$AA)&amp;"免息")</f>
        <v/>
      </c>
      <c r="F369" s="18" t="str" cm="1">
        <f t="array" ref="F369">IF(_xlfn.XLOOKUP($A369&amp;$B369&amp;$C369,盘货信息!$A:$A&amp;盘货信息!$B:$B&amp;盘货信息!$C:$C,盘货信息!$AB:$AB)="","",_xlfn.XLOOKUP($A369&amp;$B369&amp;$C369,盘货信息!$A:$A&amp;盘货信息!$B:$B&amp;盘货信息!$C:$C,盘货信息!$AB:$AB))</f>
        <v/>
      </c>
      <c r="G369" s="18"/>
    </row>
    <row r="370" customHeight="1" spans="1:7">
      <c r="A370" s="20" t="str">
        <f>IF(盘货信息!A370="","",盘货信息!A370)</f>
        <v/>
      </c>
      <c r="B370" s="17" t="str">
        <f>IF(盘货信息!B370="","",盘货信息!B370)</f>
        <v/>
      </c>
      <c r="C370" s="20" t="str">
        <f>IF(盘货信息!C370="","",盘货信息!C370)</f>
        <v/>
      </c>
      <c r="D370" s="18" t="str">
        <f t="shared" si="5"/>
        <v/>
      </c>
      <c r="E370" s="18" t="str" cm="1">
        <f t="array" ref="E370">IF(_xlfn.XLOOKUP($A370&amp;$B370&amp;$C370,盘货信息!$A:$A&amp;盘货信息!$B:$B&amp;盘货信息!$C:$C,盘货信息!$AA:$AA)="","",_xlfn.XLOOKUP($A370&amp;$B370&amp;$C370,盘货信息!$A:$A&amp;盘货信息!$B:$B&amp;盘货信息!$C:$C,盘货信息!$AA:$AA)&amp;"免息")</f>
        <v/>
      </c>
      <c r="F370" s="18" t="str" cm="1">
        <f t="array" ref="F370">IF(_xlfn.XLOOKUP($A370&amp;$B370&amp;$C370,盘货信息!$A:$A&amp;盘货信息!$B:$B&amp;盘货信息!$C:$C,盘货信息!$AB:$AB)="","",_xlfn.XLOOKUP($A370&amp;$B370&amp;$C370,盘货信息!$A:$A&amp;盘货信息!$B:$B&amp;盘货信息!$C:$C,盘货信息!$AB:$AB))</f>
        <v/>
      </c>
      <c r="G370" s="18"/>
    </row>
    <row r="371" customHeight="1" spans="1:7">
      <c r="A371" s="20" t="str">
        <f>IF(盘货信息!A371="","",盘货信息!A371)</f>
        <v/>
      </c>
      <c r="B371" s="17" t="str">
        <f>IF(盘货信息!B371="","",盘货信息!B371)</f>
        <v/>
      </c>
      <c r="C371" s="20" t="str">
        <f>IF(盘货信息!C371="","",盘货信息!C371)</f>
        <v/>
      </c>
      <c r="D371" s="18" t="str">
        <f t="shared" si="5"/>
        <v/>
      </c>
      <c r="E371" s="18" t="str" cm="1">
        <f t="array" ref="E371">IF(_xlfn.XLOOKUP($A371&amp;$B371&amp;$C371,盘货信息!$A:$A&amp;盘货信息!$B:$B&amp;盘货信息!$C:$C,盘货信息!$AA:$AA)="","",_xlfn.XLOOKUP($A371&amp;$B371&amp;$C371,盘货信息!$A:$A&amp;盘货信息!$B:$B&amp;盘货信息!$C:$C,盘货信息!$AA:$AA)&amp;"免息")</f>
        <v/>
      </c>
      <c r="F371" s="18" t="str" cm="1">
        <f t="array" ref="F371">IF(_xlfn.XLOOKUP($A371&amp;$B371&amp;$C371,盘货信息!$A:$A&amp;盘货信息!$B:$B&amp;盘货信息!$C:$C,盘货信息!$AB:$AB)="","",_xlfn.XLOOKUP($A371&amp;$B371&amp;$C371,盘货信息!$A:$A&amp;盘货信息!$B:$B&amp;盘货信息!$C:$C,盘货信息!$AB:$AB))</f>
        <v/>
      </c>
      <c r="G371" s="18"/>
    </row>
    <row r="372" customHeight="1" spans="1:7">
      <c r="A372" s="20" t="str">
        <f>IF(盘货信息!A372="","",盘货信息!A372)</f>
        <v/>
      </c>
      <c r="B372" s="17" t="str">
        <f>IF(盘货信息!B372="","",盘货信息!B372)</f>
        <v/>
      </c>
      <c r="C372" s="20" t="str">
        <f>IF(盘货信息!C372="","",盘货信息!C372)</f>
        <v/>
      </c>
      <c r="D372" s="18" t="str">
        <f t="shared" si="5"/>
        <v/>
      </c>
      <c r="E372" s="18" t="str" cm="1">
        <f t="array" ref="E372">IF(_xlfn.XLOOKUP($A372&amp;$B372&amp;$C372,盘货信息!$A:$A&amp;盘货信息!$B:$B&amp;盘货信息!$C:$C,盘货信息!$AA:$AA)="","",_xlfn.XLOOKUP($A372&amp;$B372&amp;$C372,盘货信息!$A:$A&amp;盘货信息!$B:$B&amp;盘货信息!$C:$C,盘货信息!$AA:$AA)&amp;"免息")</f>
        <v/>
      </c>
      <c r="F372" s="18" t="str" cm="1">
        <f t="array" ref="F372">IF(_xlfn.XLOOKUP($A372&amp;$B372&amp;$C372,盘货信息!$A:$A&amp;盘货信息!$B:$B&amp;盘货信息!$C:$C,盘货信息!$AB:$AB)="","",_xlfn.XLOOKUP($A372&amp;$B372&amp;$C372,盘货信息!$A:$A&amp;盘货信息!$B:$B&amp;盘货信息!$C:$C,盘货信息!$AB:$AB))</f>
        <v/>
      </c>
      <c r="G372" s="18"/>
    </row>
    <row r="373" customHeight="1" spans="1:7">
      <c r="A373" s="20" t="str">
        <f>IF(盘货信息!A373="","",盘货信息!A373)</f>
        <v/>
      </c>
      <c r="B373" s="17" t="str">
        <f>IF(盘货信息!B373="","",盘货信息!B373)</f>
        <v/>
      </c>
      <c r="C373" s="20" t="str">
        <f>IF(盘货信息!C373="","",盘货信息!C373)</f>
        <v/>
      </c>
      <c r="D373" s="18" t="str">
        <f t="shared" si="5"/>
        <v/>
      </c>
      <c r="E373" s="18" t="str" cm="1">
        <f t="array" ref="E373">IF(_xlfn.XLOOKUP($A373&amp;$B373&amp;$C373,盘货信息!$A:$A&amp;盘货信息!$B:$B&amp;盘货信息!$C:$C,盘货信息!$AA:$AA)="","",_xlfn.XLOOKUP($A373&amp;$B373&amp;$C373,盘货信息!$A:$A&amp;盘货信息!$B:$B&amp;盘货信息!$C:$C,盘货信息!$AA:$AA)&amp;"免息")</f>
        <v/>
      </c>
      <c r="F373" s="18" t="str" cm="1">
        <f t="array" ref="F373">IF(_xlfn.XLOOKUP($A373&amp;$B373&amp;$C373,盘货信息!$A:$A&amp;盘货信息!$B:$B&amp;盘货信息!$C:$C,盘货信息!$AB:$AB)="","",_xlfn.XLOOKUP($A373&amp;$B373&amp;$C373,盘货信息!$A:$A&amp;盘货信息!$B:$B&amp;盘货信息!$C:$C,盘货信息!$AB:$AB))</f>
        <v/>
      </c>
      <c r="G373" s="18"/>
    </row>
    <row r="374" customHeight="1" spans="1:7">
      <c r="A374" s="20" t="str">
        <f>IF(盘货信息!A374="","",盘货信息!A374)</f>
        <v/>
      </c>
      <c r="B374" s="17" t="str">
        <f>IF(盘货信息!B374="","",盘货信息!B374)</f>
        <v/>
      </c>
      <c r="C374" s="20" t="str">
        <f>IF(盘货信息!C374="","",盘货信息!C374)</f>
        <v/>
      </c>
      <c r="D374" s="18" t="str">
        <f t="shared" si="5"/>
        <v/>
      </c>
      <c r="E374" s="18" t="str" cm="1">
        <f t="array" ref="E374">IF(_xlfn.XLOOKUP($A374&amp;$B374&amp;$C374,盘货信息!$A:$A&amp;盘货信息!$B:$B&amp;盘货信息!$C:$C,盘货信息!$AA:$AA)="","",_xlfn.XLOOKUP($A374&amp;$B374&amp;$C374,盘货信息!$A:$A&amp;盘货信息!$B:$B&amp;盘货信息!$C:$C,盘货信息!$AA:$AA)&amp;"免息")</f>
        <v/>
      </c>
      <c r="F374" s="18" t="str" cm="1">
        <f t="array" ref="F374">IF(_xlfn.XLOOKUP($A374&amp;$B374&amp;$C374,盘货信息!$A:$A&amp;盘货信息!$B:$B&amp;盘货信息!$C:$C,盘货信息!$AB:$AB)="","",_xlfn.XLOOKUP($A374&amp;$B374&amp;$C374,盘货信息!$A:$A&amp;盘货信息!$B:$B&amp;盘货信息!$C:$C,盘货信息!$AB:$AB))</f>
        <v/>
      </c>
      <c r="G374" s="18"/>
    </row>
    <row r="375" customHeight="1" spans="1:7">
      <c r="A375" s="20" t="str">
        <f>IF(盘货信息!A375="","",盘货信息!A375)</f>
        <v/>
      </c>
      <c r="B375" s="17" t="str">
        <f>IF(盘货信息!B375="","",盘货信息!B375)</f>
        <v/>
      </c>
      <c r="C375" s="20" t="str">
        <f>IF(盘货信息!C375="","",盘货信息!C375)</f>
        <v/>
      </c>
      <c r="D375" s="18" t="str">
        <f t="shared" si="5"/>
        <v/>
      </c>
      <c r="E375" s="18" t="str" cm="1">
        <f t="array" ref="E375">IF(_xlfn.XLOOKUP($A375&amp;$B375&amp;$C375,盘货信息!$A:$A&amp;盘货信息!$B:$B&amp;盘货信息!$C:$C,盘货信息!$AA:$AA)="","",_xlfn.XLOOKUP($A375&amp;$B375&amp;$C375,盘货信息!$A:$A&amp;盘货信息!$B:$B&amp;盘货信息!$C:$C,盘货信息!$AA:$AA)&amp;"免息")</f>
        <v/>
      </c>
      <c r="F375" s="18" t="str" cm="1">
        <f t="array" ref="F375">IF(_xlfn.XLOOKUP($A375&amp;$B375&amp;$C375,盘货信息!$A:$A&amp;盘货信息!$B:$B&amp;盘货信息!$C:$C,盘货信息!$AB:$AB)="","",_xlfn.XLOOKUP($A375&amp;$B375&amp;$C375,盘货信息!$A:$A&amp;盘货信息!$B:$B&amp;盘货信息!$C:$C,盘货信息!$AB:$AB))</f>
        <v/>
      </c>
      <c r="G375" s="18"/>
    </row>
    <row r="376" customHeight="1" spans="1:7">
      <c r="A376" s="20" t="str">
        <f>IF(盘货信息!A376="","",盘货信息!A376)</f>
        <v/>
      </c>
      <c r="B376" s="17" t="str">
        <f>IF(盘货信息!B376="","",盘货信息!B376)</f>
        <v/>
      </c>
      <c r="C376" s="20" t="str">
        <f>IF(盘货信息!C376="","",盘货信息!C376)</f>
        <v/>
      </c>
      <c r="D376" s="18" t="str">
        <f t="shared" si="5"/>
        <v/>
      </c>
      <c r="E376" s="18" t="str" cm="1">
        <f t="array" ref="E376">IF(_xlfn.XLOOKUP($A376&amp;$B376&amp;$C376,盘货信息!$A:$A&amp;盘货信息!$B:$B&amp;盘货信息!$C:$C,盘货信息!$AA:$AA)="","",_xlfn.XLOOKUP($A376&amp;$B376&amp;$C376,盘货信息!$A:$A&amp;盘货信息!$B:$B&amp;盘货信息!$C:$C,盘货信息!$AA:$AA)&amp;"免息")</f>
        <v/>
      </c>
      <c r="F376" s="18" t="str" cm="1">
        <f t="array" ref="F376">IF(_xlfn.XLOOKUP($A376&amp;$B376&amp;$C376,盘货信息!$A:$A&amp;盘货信息!$B:$B&amp;盘货信息!$C:$C,盘货信息!$AB:$AB)="","",_xlfn.XLOOKUP($A376&amp;$B376&amp;$C376,盘货信息!$A:$A&amp;盘货信息!$B:$B&amp;盘货信息!$C:$C,盘货信息!$AB:$AB))</f>
        <v/>
      </c>
      <c r="G376" s="18"/>
    </row>
    <row r="377" customHeight="1" spans="1:7">
      <c r="A377" s="20" t="str">
        <f>IF(盘货信息!A377="","",盘货信息!A377)</f>
        <v/>
      </c>
      <c r="B377" s="17" t="str">
        <f>IF(盘货信息!B377="","",盘货信息!B377)</f>
        <v/>
      </c>
      <c r="C377" s="20" t="str">
        <f>IF(盘货信息!C377="","",盘货信息!C377)</f>
        <v/>
      </c>
      <c r="D377" s="18" t="str">
        <f t="shared" si="5"/>
        <v/>
      </c>
      <c r="E377" s="18" t="str" cm="1">
        <f t="array" ref="E377">IF(_xlfn.XLOOKUP($A377&amp;$B377&amp;$C377,盘货信息!$A:$A&amp;盘货信息!$B:$B&amp;盘货信息!$C:$C,盘货信息!$AA:$AA)="","",_xlfn.XLOOKUP($A377&amp;$B377&amp;$C377,盘货信息!$A:$A&amp;盘货信息!$B:$B&amp;盘货信息!$C:$C,盘货信息!$AA:$AA)&amp;"免息")</f>
        <v/>
      </c>
      <c r="F377" s="18" t="str" cm="1">
        <f t="array" ref="F377">IF(_xlfn.XLOOKUP($A377&amp;$B377&amp;$C377,盘货信息!$A:$A&amp;盘货信息!$B:$B&amp;盘货信息!$C:$C,盘货信息!$AB:$AB)="","",_xlfn.XLOOKUP($A377&amp;$B377&amp;$C377,盘货信息!$A:$A&amp;盘货信息!$B:$B&amp;盘货信息!$C:$C,盘货信息!$AB:$AB))</f>
        <v/>
      </c>
      <c r="G377" s="18"/>
    </row>
    <row r="378" customHeight="1" spans="1:7">
      <c r="A378" s="20" t="str">
        <f>IF(盘货信息!A378="","",盘货信息!A378)</f>
        <v/>
      </c>
      <c r="B378" s="17" t="str">
        <f>IF(盘货信息!B378="","",盘货信息!B378)</f>
        <v/>
      </c>
      <c r="C378" s="20" t="str">
        <f>IF(盘货信息!C378="","",盘货信息!C378)</f>
        <v/>
      </c>
      <c r="D378" s="18" t="str">
        <f t="shared" si="5"/>
        <v/>
      </c>
      <c r="E378" s="18" t="str" cm="1">
        <f t="array" ref="E378">IF(_xlfn.XLOOKUP($A378&amp;$B378&amp;$C378,盘货信息!$A:$A&amp;盘货信息!$B:$B&amp;盘货信息!$C:$C,盘货信息!$AA:$AA)="","",_xlfn.XLOOKUP($A378&amp;$B378&amp;$C378,盘货信息!$A:$A&amp;盘货信息!$B:$B&amp;盘货信息!$C:$C,盘货信息!$AA:$AA)&amp;"免息")</f>
        <v/>
      </c>
      <c r="F378" s="18" t="str" cm="1">
        <f t="array" ref="F378">IF(_xlfn.XLOOKUP($A378&amp;$B378&amp;$C378,盘货信息!$A:$A&amp;盘货信息!$B:$B&amp;盘货信息!$C:$C,盘货信息!$AB:$AB)="","",_xlfn.XLOOKUP($A378&amp;$B378&amp;$C378,盘货信息!$A:$A&amp;盘货信息!$B:$B&amp;盘货信息!$C:$C,盘货信息!$AB:$AB))</f>
        <v/>
      </c>
      <c r="G378" s="18"/>
    </row>
    <row r="379" customHeight="1" spans="1:7">
      <c r="A379" s="20" t="str">
        <f>IF(盘货信息!A379="","",盘货信息!A379)</f>
        <v/>
      </c>
      <c r="B379" s="17" t="str">
        <f>IF(盘货信息!B379="","",盘货信息!B379)</f>
        <v/>
      </c>
      <c r="C379" s="20" t="str">
        <f>IF(盘货信息!C379="","",盘货信息!C379)</f>
        <v/>
      </c>
      <c r="D379" s="18" t="str">
        <f t="shared" si="5"/>
        <v/>
      </c>
      <c r="E379" s="18" t="str" cm="1">
        <f t="array" ref="E379">IF(_xlfn.XLOOKUP($A379&amp;$B379&amp;$C379,盘货信息!$A:$A&amp;盘货信息!$B:$B&amp;盘货信息!$C:$C,盘货信息!$AA:$AA)="","",_xlfn.XLOOKUP($A379&amp;$B379&amp;$C379,盘货信息!$A:$A&amp;盘货信息!$B:$B&amp;盘货信息!$C:$C,盘货信息!$AA:$AA)&amp;"免息")</f>
        <v/>
      </c>
      <c r="F379" s="18" t="str" cm="1">
        <f t="array" ref="F379">IF(_xlfn.XLOOKUP($A379&amp;$B379&amp;$C379,盘货信息!$A:$A&amp;盘货信息!$B:$B&amp;盘货信息!$C:$C,盘货信息!$AB:$AB)="","",_xlfn.XLOOKUP($A379&amp;$B379&amp;$C379,盘货信息!$A:$A&amp;盘货信息!$B:$B&amp;盘货信息!$C:$C,盘货信息!$AB:$AB))</f>
        <v/>
      </c>
      <c r="G379" s="18"/>
    </row>
    <row r="380" customHeight="1" spans="1:7">
      <c r="A380" s="20" t="str">
        <f>IF(盘货信息!A380="","",盘货信息!A380)</f>
        <v/>
      </c>
      <c r="B380" s="17" t="str">
        <f>IF(盘货信息!B380="","",盘货信息!B380)</f>
        <v/>
      </c>
      <c r="C380" s="20" t="str">
        <f>IF(盘货信息!C380="","",盘货信息!C380)</f>
        <v/>
      </c>
      <c r="D380" s="18" t="str">
        <f t="shared" si="5"/>
        <v/>
      </c>
      <c r="E380" s="18" t="str" cm="1">
        <f t="array" ref="E380">IF(_xlfn.XLOOKUP($A380&amp;$B380&amp;$C380,盘货信息!$A:$A&amp;盘货信息!$B:$B&amp;盘货信息!$C:$C,盘货信息!$AA:$AA)="","",_xlfn.XLOOKUP($A380&amp;$B380&amp;$C380,盘货信息!$A:$A&amp;盘货信息!$B:$B&amp;盘货信息!$C:$C,盘货信息!$AA:$AA)&amp;"免息")</f>
        <v/>
      </c>
      <c r="F380" s="18" t="str" cm="1">
        <f t="array" ref="F380">IF(_xlfn.XLOOKUP($A380&amp;$B380&amp;$C380,盘货信息!$A:$A&amp;盘货信息!$B:$B&amp;盘货信息!$C:$C,盘货信息!$AB:$AB)="","",_xlfn.XLOOKUP($A380&amp;$B380&amp;$C380,盘货信息!$A:$A&amp;盘货信息!$B:$B&amp;盘货信息!$C:$C,盘货信息!$AB:$AB))</f>
        <v/>
      </c>
      <c r="G380" s="18"/>
    </row>
    <row r="381" customHeight="1" spans="1:7">
      <c r="A381" s="20" t="str">
        <f>IF(盘货信息!A381="","",盘货信息!A381)</f>
        <v/>
      </c>
      <c r="B381" s="17" t="str">
        <f>IF(盘货信息!B381="","",盘货信息!B381)</f>
        <v/>
      </c>
      <c r="C381" s="20" t="str">
        <f>IF(盘货信息!C381="","",盘货信息!C381)</f>
        <v/>
      </c>
      <c r="D381" s="18" t="str">
        <f t="shared" si="5"/>
        <v/>
      </c>
      <c r="E381" s="18" t="str" cm="1">
        <f t="array" ref="E381">IF(_xlfn.XLOOKUP($A381&amp;$B381&amp;$C381,盘货信息!$A:$A&amp;盘货信息!$B:$B&amp;盘货信息!$C:$C,盘货信息!$AA:$AA)="","",_xlfn.XLOOKUP($A381&amp;$B381&amp;$C381,盘货信息!$A:$A&amp;盘货信息!$B:$B&amp;盘货信息!$C:$C,盘货信息!$AA:$AA)&amp;"免息")</f>
        <v/>
      </c>
      <c r="F381" s="18" t="str" cm="1">
        <f t="array" ref="F381">IF(_xlfn.XLOOKUP($A381&amp;$B381&amp;$C381,盘货信息!$A:$A&amp;盘货信息!$B:$B&amp;盘货信息!$C:$C,盘货信息!$AB:$AB)="","",_xlfn.XLOOKUP($A381&amp;$B381&amp;$C381,盘货信息!$A:$A&amp;盘货信息!$B:$B&amp;盘货信息!$C:$C,盘货信息!$AB:$AB))</f>
        <v/>
      </c>
      <c r="G381" s="18"/>
    </row>
    <row r="382" customHeight="1" spans="1:7">
      <c r="A382" s="20" t="str">
        <f>IF(盘货信息!A382="","",盘货信息!A382)</f>
        <v/>
      </c>
      <c r="B382" s="17" t="str">
        <f>IF(盘货信息!B382="","",盘货信息!B382)</f>
        <v/>
      </c>
      <c r="C382" s="20" t="str">
        <f>IF(盘货信息!C382="","",盘货信息!C382)</f>
        <v/>
      </c>
      <c r="D382" s="18" t="str">
        <f t="shared" si="5"/>
        <v/>
      </c>
      <c r="E382" s="18" t="str" cm="1">
        <f t="array" ref="E382">IF(_xlfn.XLOOKUP($A382&amp;$B382&amp;$C382,盘货信息!$A:$A&amp;盘货信息!$B:$B&amp;盘货信息!$C:$C,盘货信息!$AA:$AA)="","",_xlfn.XLOOKUP($A382&amp;$B382&amp;$C382,盘货信息!$A:$A&amp;盘货信息!$B:$B&amp;盘货信息!$C:$C,盘货信息!$AA:$AA)&amp;"免息")</f>
        <v/>
      </c>
      <c r="F382" s="18" t="str" cm="1">
        <f t="array" ref="F382">IF(_xlfn.XLOOKUP($A382&amp;$B382&amp;$C382,盘货信息!$A:$A&amp;盘货信息!$B:$B&amp;盘货信息!$C:$C,盘货信息!$AB:$AB)="","",_xlfn.XLOOKUP($A382&amp;$B382&amp;$C382,盘货信息!$A:$A&amp;盘货信息!$B:$B&amp;盘货信息!$C:$C,盘货信息!$AB:$AB))</f>
        <v/>
      </c>
      <c r="G382" s="18"/>
    </row>
    <row r="383" customHeight="1" spans="1:7">
      <c r="A383" s="20" t="str">
        <f>IF(盘货信息!A383="","",盘货信息!A383)</f>
        <v/>
      </c>
      <c r="B383" s="17" t="str">
        <f>IF(盘货信息!B383="","",盘货信息!B383)</f>
        <v/>
      </c>
      <c r="C383" s="20" t="str">
        <f>IF(盘货信息!C383="","",盘货信息!C383)</f>
        <v/>
      </c>
      <c r="D383" s="18" t="str">
        <f t="shared" si="5"/>
        <v/>
      </c>
      <c r="E383" s="18" t="str" cm="1">
        <f t="array" ref="E383">IF(_xlfn.XLOOKUP($A383&amp;$B383&amp;$C383,盘货信息!$A:$A&amp;盘货信息!$B:$B&amp;盘货信息!$C:$C,盘货信息!$AA:$AA)="","",_xlfn.XLOOKUP($A383&amp;$B383&amp;$C383,盘货信息!$A:$A&amp;盘货信息!$B:$B&amp;盘货信息!$C:$C,盘货信息!$AA:$AA)&amp;"免息")</f>
        <v/>
      </c>
      <c r="F383" s="18" t="str" cm="1">
        <f t="array" ref="F383">IF(_xlfn.XLOOKUP($A383&amp;$B383&amp;$C383,盘货信息!$A:$A&amp;盘货信息!$B:$B&amp;盘货信息!$C:$C,盘货信息!$AB:$AB)="","",_xlfn.XLOOKUP($A383&amp;$B383&amp;$C383,盘货信息!$A:$A&amp;盘货信息!$B:$B&amp;盘货信息!$C:$C,盘货信息!$AB:$AB))</f>
        <v/>
      </c>
      <c r="G383" s="18"/>
    </row>
    <row r="384" customHeight="1" spans="1:7">
      <c r="A384" s="20" t="str">
        <f>IF(盘货信息!A384="","",盘货信息!A384)</f>
        <v/>
      </c>
      <c r="B384" s="17" t="str">
        <f>IF(盘货信息!B384="","",盘货信息!B384)</f>
        <v/>
      </c>
      <c r="C384" s="20" t="str">
        <f>IF(盘货信息!C384="","",盘货信息!C384)</f>
        <v/>
      </c>
      <c r="D384" s="18" t="str">
        <f t="shared" si="5"/>
        <v/>
      </c>
      <c r="E384" s="18" t="str" cm="1">
        <f t="array" ref="E384">IF(_xlfn.XLOOKUP($A384&amp;$B384&amp;$C384,盘货信息!$A:$A&amp;盘货信息!$B:$B&amp;盘货信息!$C:$C,盘货信息!$AA:$AA)="","",_xlfn.XLOOKUP($A384&amp;$B384&amp;$C384,盘货信息!$A:$A&amp;盘货信息!$B:$B&amp;盘货信息!$C:$C,盘货信息!$AA:$AA)&amp;"免息")</f>
        <v/>
      </c>
      <c r="F384" s="18" t="str" cm="1">
        <f t="array" ref="F384">IF(_xlfn.XLOOKUP($A384&amp;$B384&amp;$C384,盘货信息!$A:$A&amp;盘货信息!$B:$B&amp;盘货信息!$C:$C,盘货信息!$AB:$AB)="","",_xlfn.XLOOKUP($A384&amp;$B384&amp;$C384,盘货信息!$A:$A&amp;盘货信息!$B:$B&amp;盘货信息!$C:$C,盘货信息!$AB:$AB))</f>
        <v/>
      </c>
      <c r="G384" s="18"/>
    </row>
    <row r="385" customHeight="1" spans="1:7">
      <c r="A385" s="20" t="str">
        <f>IF(盘货信息!A385="","",盘货信息!A385)</f>
        <v/>
      </c>
      <c r="B385" s="17" t="str">
        <f>IF(盘货信息!B385="","",盘货信息!B385)</f>
        <v/>
      </c>
      <c r="C385" s="20" t="str">
        <f>IF(盘货信息!C385="","",盘货信息!C385)</f>
        <v/>
      </c>
      <c r="D385" s="18" t="str">
        <f t="shared" si="5"/>
        <v/>
      </c>
      <c r="E385" s="18" t="str" cm="1">
        <f t="array" ref="E385">IF(_xlfn.XLOOKUP($A385&amp;$B385&amp;$C385,盘货信息!$A:$A&amp;盘货信息!$B:$B&amp;盘货信息!$C:$C,盘货信息!$AA:$AA)="","",_xlfn.XLOOKUP($A385&amp;$B385&amp;$C385,盘货信息!$A:$A&amp;盘货信息!$B:$B&amp;盘货信息!$C:$C,盘货信息!$AA:$AA)&amp;"免息")</f>
        <v/>
      </c>
      <c r="F385" s="18" t="str" cm="1">
        <f t="array" ref="F385">IF(_xlfn.XLOOKUP($A385&amp;$B385&amp;$C385,盘货信息!$A:$A&amp;盘货信息!$B:$B&amp;盘货信息!$C:$C,盘货信息!$AB:$AB)="","",_xlfn.XLOOKUP($A385&amp;$B385&amp;$C385,盘货信息!$A:$A&amp;盘货信息!$B:$B&amp;盘货信息!$C:$C,盘货信息!$AB:$AB))</f>
        <v/>
      </c>
      <c r="G385" s="18"/>
    </row>
    <row r="386" customHeight="1" spans="1:7">
      <c r="A386" s="20" t="str">
        <f>IF(盘货信息!A386="","",盘货信息!A386)</f>
        <v/>
      </c>
      <c r="B386" s="17" t="str">
        <f>IF(盘货信息!B386="","",盘货信息!B386)</f>
        <v/>
      </c>
      <c r="C386" s="20" t="str">
        <f>IF(盘货信息!C386="","",盘货信息!C386)</f>
        <v/>
      </c>
      <c r="D386" s="18" t="str">
        <f t="shared" si="5"/>
        <v/>
      </c>
      <c r="E386" s="18" t="str" cm="1">
        <f t="array" ref="E386">IF(_xlfn.XLOOKUP($A386&amp;$B386&amp;$C386,盘货信息!$A:$A&amp;盘货信息!$B:$B&amp;盘货信息!$C:$C,盘货信息!$AA:$AA)="","",_xlfn.XLOOKUP($A386&amp;$B386&amp;$C386,盘货信息!$A:$A&amp;盘货信息!$B:$B&amp;盘货信息!$C:$C,盘货信息!$AA:$AA)&amp;"免息")</f>
        <v/>
      </c>
      <c r="F386" s="18" t="str" cm="1">
        <f t="array" ref="F386">IF(_xlfn.XLOOKUP($A386&amp;$B386&amp;$C386,盘货信息!$A:$A&amp;盘货信息!$B:$B&amp;盘货信息!$C:$C,盘货信息!$AB:$AB)="","",_xlfn.XLOOKUP($A386&amp;$B386&amp;$C386,盘货信息!$A:$A&amp;盘货信息!$B:$B&amp;盘货信息!$C:$C,盘货信息!$AB:$AB))</f>
        <v/>
      </c>
      <c r="G386" s="18"/>
    </row>
    <row r="387" customHeight="1" spans="1:7">
      <c r="A387" s="20" t="str">
        <f>IF(盘货信息!A387="","",盘货信息!A387)</f>
        <v/>
      </c>
      <c r="B387" s="17" t="str">
        <f>IF(盘货信息!B387="","",盘货信息!B387)</f>
        <v/>
      </c>
      <c r="C387" s="20" t="str">
        <f>IF(盘货信息!C387="","",盘货信息!C387)</f>
        <v/>
      </c>
      <c r="D387" s="18" t="str">
        <f t="shared" ref="D387:D450" si="6">IF(C387="","","【服务】"&amp;_xlfn.TEXTJOIN("，",TRUE,E387:G387))</f>
        <v/>
      </c>
      <c r="E387" s="18" t="str" cm="1">
        <f t="array" ref="E387">IF(_xlfn.XLOOKUP($A387&amp;$B387&amp;$C387,盘货信息!$A:$A&amp;盘货信息!$B:$B&amp;盘货信息!$C:$C,盘货信息!$AA:$AA)="","",_xlfn.XLOOKUP($A387&amp;$B387&amp;$C387,盘货信息!$A:$A&amp;盘货信息!$B:$B&amp;盘货信息!$C:$C,盘货信息!$AA:$AA)&amp;"免息")</f>
        <v/>
      </c>
      <c r="F387" s="18" t="str" cm="1">
        <f t="array" ref="F387">IF(_xlfn.XLOOKUP($A387&amp;$B387&amp;$C387,盘货信息!$A:$A&amp;盘货信息!$B:$B&amp;盘货信息!$C:$C,盘货信息!$AB:$AB)="","",_xlfn.XLOOKUP($A387&amp;$B387&amp;$C387,盘货信息!$A:$A&amp;盘货信息!$B:$B&amp;盘货信息!$C:$C,盘货信息!$AB:$AB))</f>
        <v/>
      </c>
      <c r="G387" s="18"/>
    </row>
    <row r="388" customHeight="1" spans="1:7">
      <c r="A388" s="20" t="str">
        <f>IF(盘货信息!A388="","",盘货信息!A388)</f>
        <v/>
      </c>
      <c r="B388" s="17" t="str">
        <f>IF(盘货信息!B388="","",盘货信息!B388)</f>
        <v/>
      </c>
      <c r="C388" s="20" t="str">
        <f>IF(盘货信息!C388="","",盘货信息!C388)</f>
        <v/>
      </c>
      <c r="D388" s="18" t="str">
        <f t="shared" si="6"/>
        <v/>
      </c>
      <c r="E388" s="18" t="str" cm="1">
        <f t="array" ref="E388">IF(_xlfn.XLOOKUP($A388&amp;$B388&amp;$C388,盘货信息!$A:$A&amp;盘货信息!$B:$B&amp;盘货信息!$C:$C,盘货信息!$AA:$AA)="","",_xlfn.XLOOKUP($A388&amp;$B388&amp;$C388,盘货信息!$A:$A&amp;盘货信息!$B:$B&amp;盘货信息!$C:$C,盘货信息!$AA:$AA)&amp;"免息")</f>
        <v/>
      </c>
      <c r="F388" s="18" t="str" cm="1">
        <f t="array" ref="F388">IF(_xlfn.XLOOKUP($A388&amp;$B388&amp;$C388,盘货信息!$A:$A&amp;盘货信息!$B:$B&amp;盘货信息!$C:$C,盘货信息!$AB:$AB)="","",_xlfn.XLOOKUP($A388&amp;$B388&amp;$C388,盘货信息!$A:$A&amp;盘货信息!$B:$B&amp;盘货信息!$C:$C,盘货信息!$AB:$AB))</f>
        <v/>
      </c>
      <c r="G388" s="18"/>
    </row>
    <row r="389" customHeight="1" spans="1:7">
      <c r="A389" s="20" t="str">
        <f>IF(盘货信息!A389="","",盘货信息!A389)</f>
        <v/>
      </c>
      <c r="B389" s="17" t="str">
        <f>IF(盘货信息!B389="","",盘货信息!B389)</f>
        <v/>
      </c>
      <c r="C389" s="20" t="str">
        <f>IF(盘货信息!C389="","",盘货信息!C389)</f>
        <v/>
      </c>
      <c r="D389" s="18" t="str">
        <f t="shared" si="6"/>
        <v/>
      </c>
      <c r="E389" s="18" t="str" cm="1">
        <f t="array" ref="E389">IF(_xlfn.XLOOKUP($A389&amp;$B389&amp;$C389,盘货信息!$A:$A&amp;盘货信息!$B:$B&amp;盘货信息!$C:$C,盘货信息!$AA:$AA)="","",_xlfn.XLOOKUP($A389&amp;$B389&amp;$C389,盘货信息!$A:$A&amp;盘货信息!$B:$B&amp;盘货信息!$C:$C,盘货信息!$AA:$AA)&amp;"免息")</f>
        <v/>
      </c>
      <c r="F389" s="18" t="str" cm="1">
        <f t="array" ref="F389">IF(_xlfn.XLOOKUP($A389&amp;$B389&amp;$C389,盘货信息!$A:$A&amp;盘货信息!$B:$B&amp;盘货信息!$C:$C,盘货信息!$AB:$AB)="","",_xlfn.XLOOKUP($A389&amp;$B389&amp;$C389,盘货信息!$A:$A&amp;盘货信息!$B:$B&amp;盘货信息!$C:$C,盘货信息!$AB:$AB))</f>
        <v/>
      </c>
      <c r="G389" s="18"/>
    </row>
    <row r="390" customHeight="1" spans="1:7">
      <c r="A390" s="20" t="str">
        <f>IF(盘货信息!A390="","",盘货信息!A390)</f>
        <v/>
      </c>
      <c r="B390" s="17" t="str">
        <f>IF(盘货信息!B390="","",盘货信息!B390)</f>
        <v/>
      </c>
      <c r="C390" s="20" t="str">
        <f>IF(盘货信息!C390="","",盘货信息!C390)</f>
        <v/>
      </c>
      <c r="D390" s="18" t="str">
        <f t="shared" si="6"/>
        <v/>
      </c>
      <c r="E390" s="18" t="str" cm="1">
        <f t="array" ref="E390">IF(_xlfn.XLOOKUP($A390&amp;$B390&amp;$C390,盘货信息!$A:$A&amp;盘货信息!$B:$B&amp;盘货信息!$C:$C,盘货信息!$AA:$AA)="","",_xlfn.XLOOKUP($A390&amp;$B390&amp;$C390,盘货信息!$A:$A&amp;盘货信息!$B:$B&amp;盘货信息!$C:$C,盘货信息!$AA:$AA)&amp;"免息")</f>
        <v/>
      </c>
      <c r="F390" s="18" t="str" cm="1">
        <f t="array" ref="F390">IF(_xlfn.XLOOKUP($A390&amp;$B390&amp;$C390,盘货信息!$A:$A&amp;盘货信息!$B:$B&amp;盘货信息!$C:$C,盘货信息!$AB:$AB)="","",_xlfn.XLOOKUP($A390&amp;$B390&amp;$C390,盘货信息!$A:$A&amp;盘货信息!$B:$B&amp;盘货信息!$C:$C,盘货信息!$AB:$AB))</f>
        <v/>
      </c>
      <c r="G390" s="18"/>
    </row>
    <row r="391" customHeight="1" spans="1:7">
      <c r="A391" s="20" t="str">
        <f>IF(盘货信息!A391="","",盘货信息!A391)</f>
        <v/>
      </c>
      <c r="B391" s="17" t="str">
        <f>IF(盘货信息!B391="","",盘货信息!B391)</f>
        <v/>
      </c>
      <c r="C391" s="20" t="str">
        <f>IF(盘货信息!C391="","",盘货信息!C391)</f>
        <v/>
      </c>
      <c r="D391" s="18" t="str">
        <f t="shared" si="6"/>
        <v/>
      </c>
      <c r="E391" s="18" t="str" cm="1">
        <f t="array" ref="E391">IF(_xlfn.XLOOKUP($A391&amp;$B391&amp;$C391,盘货信息!$A:$A&amp;盘货信息!$B:$B&amp;盘货信息!$C:$C,盘货信息!$AA:$AA)="","",_xlfn.XLOOKUP($A391&amp;$B391&amp;$C391,盘货信息!$A:$A&amp;盘货信息!$B:$B&amp;盘货信息!$C:$C,盘货信息!$AA:$AA)&amp;"免息")</f>
        <v/>
      </c>
      <c r="F391" s="18" t="str" cm="1">
        <f t="array" ref="F391">IF(_xlfn.XLOOKUP($A391&amp;$B391&amp;$C391,盘货信息!$A:$A&amp;盘货信息!$B:$B&amp;盘货信息!$C:$C,盘货信息!$AB:$AB)="","",_xlfn.XLOOKUP($A391&amp;$B391&amp;$C391,盘货信息!$A:$A&amp;盘货信息!$B:$B&amp;盘货信息!$C:$C,盘货信息!$AB:$AB))</f>
        <v/>
      </c>
      <c r="G391" s="18"/>
    </row>
    <row r="392" customHeight="1" spans="1:7">
      <c r="A392" s="20" t="str">
        <f>IF(盘货信息!A392="","",盘货信息!A392)</f>
        <v/>
      </c>
      <c r="B392" s="17" t="str">
        <f>IF(盘货信息!B392="","",盘货信息!B392)</f>
        <v/>
      </c>
      <c r="C392" s="20" t="str">
        <f>IF(盘货信息!C392="","",盘货信息!C392)</f>
        <v/>
      </c>
      <c r="D392" s="18" t="str">
        <f t="shared" si="6"/>
        <v/>
      </c>
      <c r="E392" s="18" t="str" cm="1">
        <f t="array" ref="E392">IF(_xlfn.XLOOKUP($A392&amp;$B392&amp;$C392,盘货信息!$A:$A&amp;盘货信息!$B:$B&amp;盘货信息!$C:$C,盘货信息!$AA:$AA)="","",_xlfn.XLOOKUP($A392&amp;$B392&amp;$C392,盘货信息!$A:$A&amp;盘货信息!$B:$B&amp;盘货信息!$C:$C,盘货信息!$AA:$AA)&amp;"免息")</f>
        <v/>
      </c>
      <c r="F392" s="18" t="str" cm="1">
        <f t="array" ref="F392">IF(_xlfn.XLOOKUP($A392&amp;$B392&amp;$C392,盘货信息!$A:$A&amp;盘货信息!$B:$B&amp;盘货信息!$C:$C,盘货信息!$AB:$AB)="","",_xlfn.XLOOKUP($A392&amp;$B392&amp;$C392,盘货信息!$A:$A&amp;盘货信息!$B:$B&amp;盘货信息!$C:$C,盘货信息!$AB:$AB))</f>
        <v/>
      </c>
      <c r="G392" s="18"/>
    </row>
    <row r="393" customHeight="1" spans="1:7">
      <c r="A393" s="20" t="str">
        <f>IF(盘货信息!A393="","",盘货信息!A393)</f>
        <v/>
      </c>
      <c r="B393" s="17" t="str">
        <f>IF(盘货信息!B393="","",盘货信息!B393)</f>
        <v/>
      </c>
      <c r="C393" s="20" t="str">
        <f>IF(盘货信息!C393="","",盘货信息!C393)</f>
        <v/>
      </c>
      <c r="D393" s="18" t="str">
        <f t="shared" si="6"/>
        <v/>
      </c>
      <c r="E393" s="18" t="str" cm="1">
        <f t="array" ref="E393">IF(_xlfn.XLOOKUP($A393&amp;$B393&amp;$C393,盘货信息!$A:$A&amp;盘货信息!$B:$B&amp;盘货信息!$C:$C,盘货信息!$AA:$AA)="","",_xlfn.XLOOKUP($A393&amp;$B393&amp;$C393,盘货信息!$A:$A&amp;盘货信息!$B:$B&amp;盘货信息!$C:$C,盘货信息!$AA:$AA)&amp;"免息")</f>
        <v/>
      </c>
      <c r="F393" s="18" t="str" cm="1">
        <f t="array" ref="F393">IF(_xlfn.XLOOKUP($A393&amp;$B393&amp;$C393,盘货信息!$A:$A&amp;盘货信息!$B:$B&amp;盘货信息!$C:$C,盘货信息!$AB:$AB)="","",_xlfn.XLOOKUP($A393&amp;$B393&amp;$C393,盘货信息!$A:$A&amp;盘货信息!$B:$B&amp;盘货信息!$C:$C,盘货信息!$AB:$AB))</f>
        <v/>
      </c>
      <c r="G393" s="18"/>
    </row>
    <row r="394" customHeight="1" spans="1:7">
      <c r="A394" s="20" t="str">
        <f>IF(盘货信息!A394="","",盘货信息!A394)</f>
        <v/>
      </c>
      <c r="B394" s="17" t="str">
        <f>IF(盘货信息!B394="","",盘货信息!B394)</f>
        <v/>
      </c>
      <c r="C394" s="20" t="str">
        <f>IF(盘货信息!C394="","",盘货信息!C394)</f>
        <v/>
      </c>
      <c r="D394" s="18" t="str">
        <f t="shared" si="6"/>
        <v/>
      </c>
      <c r="E394" s="18" t="str" cm="1">
        <f t="array" ref="E394">IF(_xlfn.XLOOKUP($A394&amp;$B394&amp;$C394,盘货信息!$A:$A&amp;盘货信息!$B:$B&amp;盘货信息!$C:$C,盘货信息!$AA:$AA)="","",_xlfn.XLOOKUP($A394&amp;$B394&amp;$C394,盘货信息!$A:$A&amp;盘货信息!$B:$B&amp;盘货信息!$C:$C,盘货信息!$AA:$AA)&amp;"免息")</f>
        <v/>
      </c>
      <c r="F394" s="18" t="str" cm="1">
        <f t="array" ref="F394">IF(_xlfn.XLOOKUP($A394&amp;$B394&amp;$C394,盘货信息!$A:$A&amp;盘货信息!$B:$B&amp;盘货信息!$C:$C,盘货信息!$AB:$AB)="","",_xlfn.XLOOKUP($A394&amp;$B394&amp;$C394,盘货信息!$A:$A&amp;盘货信息!$B:$B&amp;盘货信息!$C:$C,盘货信息!$AB:$AB))</f>
        <v/>
      </c>
      <c r="G394" s="18"/>
    </row>
    <row r="395" customHeight="1" spans="1:7">
      <c r="A395" s="20" t="str">
        <f>IF(盘货信息!A395="","",盘货信息!A395)</f>
        <v/>
      </c>
      <c r="B395" s="17" t="str">
        <f>IF(盘货信息!B395="","",盘货信息!B395)</f>
        <v/>
      </c>
      <c r="C395" s="20" t="str">
        <f>IF(盘货信息!C395="","",盘货信息!C395)</f>
        <v/>
      </c>
      <c r="D395" s="18" t="str">
        <f t="shared" si="6"/>
        <v/>
      </c>
      <c r="E395" s="18" t="str" cm="1">
        <f t="array" ref="E395">IF(_xlfn.XLOOKUP($A395&amp;$B395&amp;$C395,盘货信息!$A:$A&amp;盘货信息!$B:$B&amp;盘货信息!$C:$C,盘货信息!$AA:$AA)="","",_xlfn.XLOOKUP($A395&amp;$B395&amp;$C395,盘货信息!$A:$A&amp;盘货信息!$B:$B&amp;盘货信息!$C:$C,盘货信息!$AA:$AA)&amp;"免息")</f>
        <v/>
      </c>
      <c r="F395" s="18" t="str" cm="1">
        <f t="array" ref="F395">IF(_xlfn.XLOOKUP($A395&amp;$B395&amp;$C395,盘货信息!$A:$A&amp;盘货信息!$B:$B&amp;盘货信息!$C:$C,盘货信息!$AB:$AB)="","",_xlfn.XLOOKUP($A395&amp;$B395&amp;$C395,盘货信息!$A:$A&amp;盘货信息!$B:$B&amp;盘货信息!$C:$C,盘货信息!$AB:$AB))</f>
        <v/>
      </c>
      <c r="G395" s="18"/>
    </row>
    <row r="396" customHeight="1" spans="1:7">
      <c r="A396" s="20" t="str">
        <f>IF(盘货信息!A396="","",盘货信息!A396)</f>
        <v/>
      </c>
      <c r="B396" s="17" t="str">
        <f>IF(盘货信息!B396="","",盘货信息!B396)</f>
        <v/>
      </c>
      <c r="C396" s="20" t="str">
        <f>IF(盘货信息!C396="","",盘货信息!C396)</f>
        <v/>
      </c>
      <c r="D396" s="18" t="str">
        <f t="shared" si="6"/>
        <v/>
      </c>
      <c r="E396" s="18" t="str" cm="1">
        <f t="array" ref="E396">IF(_xlfn.XLOOKUP($A396&amp;$B396&amp;$C396,盘货信息!$A:$A&amp;盘货信息!$B:$B&amp;盘货信息!$C:$C,盘货信息!$AA:$AA)="","",_xlfn.XLOOKUP($A396&amp;$B396&amp;$C396,盘货信息!$A:$A&amp;盘货信息!$B:$B&amp;盘货信息!$C:$C,盘货信息!$AA:$AA)&amp;"免息")</f>
        <v/>
      </c>
      <c r="F396" s="18" t="str" cm="1">
        <f t="array" ref="F396">IF(_xlfn.XLOOKUP($A396&amp;$B396&amp;$C396,盘货信息!$A:$A&amp;盘货信息!$B:$B&amp;盘货信息!$C:$C,盘货信息!$AB:$AB)="","",_xlfn.XLOOKUP($A396&amp;$B396&amp;$C396,盘货信息!$A:$A&amp;盘货信息!$B:$B&amp;盘货信息!$C:$C,盘货信息!$AB:$AB))</f>
        <v/>
      </c>
      <c r="G396" s="18"/>
    </row>
    <row r="397" customHeight="1" spans="1:7">
      <c r="A397" s="20" t="str">
        <f>IF(盘货信息!A397="","",盘货信息!A397)</f>
        <v/>
      </c>
      <c r="B397" s="17" t="str">
        <f>IF(盘货信息!B397="","",盘货信息!B397)</f>
        <v/>
      </c>
      <c r="C397" s="20" t="str">
        <f>IF(盘货信息!C397="","",盘货信息!C397)</f>
        <v/>
      </c>
      <c r="D397" s="18" t="str">
        <f t="shared" si="6"/>
        <v/>
      </c>
      <c r="E397" s="18" t="str" cm="1">
        <f t="array" ref="E397">IF(_xlfn.XLOOKUP($A397&amp;$B397&amp;$C397,盘货信息!$A:$A&amp;盘货信息!$B:$B&amp;盘货信息!$C:$C,盘货信息!$AA:$AA)="","",_xlfn.XLOOKUP($A397&amp;$B397&amp;$C397,盘货信息!$A:$A&amp;盘货信息!$B:$B&amp;盘货信息!$C:$C,盘货信息!$AA:$AA)&amp;"免息")</f>
        <v/>
      </c>
      <c r="F397" s="18" t="str" cm="1">
        <f t="array" ref="F397">IF(_xlfn.XLOOKUP($A397&amp;$B397&amp;$C397,盘货信息!$A:$A&amp;盘货信息!$B:$B&amp;盘货信息!$C:$C,盘货信息!$AB:$AB)="","",_xlfn.XLOOKUP($A397&amp;$B397&amp;$C397,盘货信息!$A:$A&amp;盘货信息!$B:$B&amp;盘货信息!$C:$C,盘货信息!$AB:$AB))</f>
        <v/>
      </c>
      <c r="G397" s="18"/>
    </row>
    <row r="398" customHeight="1" spans="1:7">
      <c r="A398" s="20" t="str">
        <f>IF(盘货信息!A398="","",盘货信息!A398)</f>
        <v/>
      </c>
      <c r="B398" s="17" t="str">
        <f>IF(盘货信息!B398="","",盘货信息!B398)</f>
        <v/>
      </c>
      <c r="C398" s="20" t="str">
        <f>IF(盘货信息!C398="","",盘货信息!C398)</f>
        <v/>
      </c>
      <c r="D398" s="18" t="str">
        <f t="shared" si="6"/>
        <v/>
      </c>
      <c r="E398" s="18" t="str" cm="1">
        <f t="array" ref="E398">IF(_xlfn.XLOOKUP($A398&amp;$B398&amp;$C398,盘货信息!$A:$A&amp;盘货信息!$B:$B&amp;盘货信息!$C:$C,盘货信息!$AA:$AA)="","",_xlfn.XLOOKUP($A398&amp;$B398&amp;$C398,盘货信息!$A:$A&amp;盘货信息!$B:$B&amp;盘货信息!$C:$C,盘货信息!$AA:$AA)&amp;"免息")</f>
        <v/>
      </c>
      <c r="F398" s="18" t="str" cm="1">
        <f t="array" ref="F398">IF(_xlfn.XLOOKUP($A398&amp;$B398&amp;$C398,盘货信息!$A:$A&amp;盘货信息!$B:$B&amp;盘货信息!$C:$C,盘货信息!$AB:$AB)="","",_xlfn.XLOOKUP($A398&amp;$B398&amp;$C398,盘货信息!$A:$A&amp;盘货信息!$B:$B&amp;盘货信息!$C:$C,盘货信息!$AB:$AB))</f>
        <v/>
      </c>
      <c r="G398" s="18"/>
    </row>
    <row r="399" customHeight="1" spans="1:7">
      <c r="A399" s="20" t="str">
        <f>IF(盘货信息!A399="","",盘货信息!A399)</f>
        <v/>
      </c>
      <c r="B399" s="17" t="str">
        <f>IF(盘货信息!B399="","",盘货信息!B399)</f>
        <v/>
      </c>
      <c r="C399" s="20" t="str">
        <f>IF(盘货信息!C399="","",盘货信息!C399)</f>
        <v/>
      </c>
      <c r="D399" s="18" t="str">
        <f t="shared" si="6"/>
        <v/>
      </c>
      <c r="E399" s="18" t="str" cm="1">
        <f t="array" ref="E399">IF(_xlfn.XLOOKUP($A399&amp;$B399&amp;$C399,盘货信息!$A:$A&amp;盘货信息!$B:$B&amp;盘货信息!$C:$C,盘货信息!$AA:$AA)="","",_xlfn.XLOOKUP($A399&amp;$B399&amp;$C399,盘货信息!$A:$A&amp;盘货信息!$B:$B&amp;盘货信息!$C:$C,盘货信息!$AA:$AA)&amp;"免息")</f>
        <v/>
      </c>
      <c r="F399" s="18" t="str" cm="1">
        <f t="array" ref="F399">IF(_xlfn.XLOOKUP($A399&amp;$B399&amp;$C399,盘货信息!$A:$A&amp;盘货信息!$B:$B&amp;盘货信息!$C:$C,盘货信息!$AB:$AB)="","",_xlfn.XLOOKUP($A399&amp;$B399&amp;$C399,盘货信息!$A:$A&amp;盘货信息!$B:$B&amp;盘货信息!$C:$C,盘货信息!$AB:$AB))</f>
        <v/>
      </c>
      <c r="G399" s="18"/>
    </row>
    <row r="400" customHeight="1" spans="1:7">
      <c r="A400" s="20" t="str">
        <f>IF(盘货信息!A400="","",盘货信息!A400)</f>
        <v/>
      </c>
      <c r="B400" s="17" t="str">
        <f>IF(盘货信息!B400="","",盘货信息!B400)</f>
        <v/>
      </c>
      <c r="C400" s="20" t="str">
        <f>IF(盘货信息!C400="","",盘货信息!C400)</f>
        <v/>
      </c>
      <c r="D400" s="18" t="str">
        <f t="shared" si="6"/>
        <v/>
      </c>
      <c r="E400" s="18" t="str" cm="1">
        <f t="array" ref="E400">IF(_xlfn.XLOOKUP($A400&amp;$B400&amp;$C400,盘货信息!$A:$A&amp;盘货信息!$B:$B&amp;盘货信息!$C:$C,盘货信息!$AA:$AA)="","",_xlfn.XLOOKUP($A400&amp;$B400&amp;$C400,盘货信息!$A:$A&amp;盘货信息!$B:$B&amp;盘货信息!$C:$C,盘货信息!$AA:$AA)&amp;"免息")</f>
        <v/>
      </c>
      <c r="F400" s="18" t="str" cm="1">
        <f t="array" ref="F400">IF(_xlfn.XLOOKUP($A400&amp;$B400&amp;$C400,盘货信息!$A:$A&amp;盘货信息!$B:$B&amp;盘货信息!$C:$C,盘货信息!$AB:$AB)="","",_xlfn.XLOOKUP($A400&amp;$B400&amp;$C400,盘货信息!$A:$A&amp;盘货信息!$B:$B&amp;盘货信息!$C:$C,盘货信息!$AB:$AB))</f>
        <v/>
      </c>
      <c r="G400" s="18"/>
    </row>
    <row r="401" customHeight="1" spans="1:7">
      <c r="A401" s="20" t="str">
        <f>IF(盘货信息!A401="","",盘货信息!A401)</f>
        <v/>
      </c>
      <c r="B401" s="17" t="str">
        <f>IF(盘货信息!B401="","",盘货信息!B401)</f>
        <v/>
      </c>
      <c r="C401" s="20" t="str">
        <f>IF(盘货信息!C401="","",盘货信息!C401)</f>
        <v/>
      </c>
      <c r="D401" s="18" t="str">
        <f t="shared" si="6"/>
        <v/>
      </c>
      <c r="E401" s="18" t="str" cm="1">
        <f t="array" ref="E401">IF(_xlfn.XLOOKUP($A401&amp;$B401&amp;$C401,盘货信息!$A:$A&amp;盘货信息!$B:$B&amp;盘货信息!$C:$C,盘货信息!$AA:$AA)="","",_xlfn.XLOOKUP($A401&amp;$B401&amp;$C401,盘货信息!$A:$A&amp;盘货信息!$B:$B&amp;盘货信息!$C:$C,盘货信息!$AA:$AA)&amp;"免息")</f>
        <v/>
      </c>
      <c r="F401" s="18" t="str" cm="1">
        <f t="array" ref="F401">IF(_xlfn.XLOOKUP($A401&amp;$B401&amp;$C401,盘货信息!$A:$A&amp;盘货信息!$B:$B&amp;盘货信息!$C:$C,盘货信息!$AB:$AB)="","",_xlfn.XLOOKUP($A401&amp;$B401&amp;$C401,盘货信息!$A:$A&amp;盘货信息!$B:$B&amp;盘货信息!$C:$C,盘货信息!$AB:$AB))</f>
        <v/>
      </c>
      <c r="G401" s="18"/>
    </row>
    <row r="402" customHeight="1" spans="1:7">
      <c r="A402" s="20" t="str">
        <f>IF(盘货信息!A402="","",盘货信息!A402)</f>
        <v/>
      </c>
      <c r="B402" s="17" t="str">
        <f>IF(盘货信息!B402="","",盘货信息!B402)</f>
        <v/>
      </c>
      <c r="C402" s="20" t="str">
        <f>IF(盘货信息!C402="","",盘货信息!C402)</f>
        <v/>
      </c>
      <c r="D402" s="18" t="str">
        <f t="shared" si="6"/>
        <v/>
      </c>
      <c r="E402" s="18" t="str" cm="1">
        <f t="array" ref="E402">IF(_xlfn.XLOOKUP($A402&amp;$B402&amp;$C402,盘货信息!$A:$A&amp;盘货信息!$B:$B&amp;盘货信息!$C:$C,盘货信息!$AA:$AA)="","",_xlfn.XLOOKUP($A402&amp;$B402&amp;$C402,盘货信息!$A:$A&amp;盘货信息!$B:$B&amp;盘货信息!$C:$C,盘货信息!$AA:$AA)&amp;"免息")</f>
        <v/>
      </c>
      <c r="F402" s="18" t="str" cm="1">
        <f t="array" ref="F402">IF(_xlfn.XLOOKUP($A402&amp;$B402&amp;$C402,盘货信息!$A:$A&amp;盘货信息!$B:$B&amp;盘货信息!$C:$C,盘货信息!$AB:$AB)="","",_xlfn.XLOOKUP($A402&amp;$B402&amp;$C402,盘货信息!$A:$A&amp;盘货信息!$B:$B&amp;盘货信息!$C:$C,盘货信息!$AB:$AB))</f>
        <v/>
      </c>
      <c r="G402" s="18"/>
    </row>
    <row r="403" customHeight="1" spans="1:7">
      <c r="A403" s="20" t="str">
        <f>IF(盘货信息!A403="","",盘货信息!A403)</f>
        <v/>
      </c>
      <c r="B403" s="17" t="str">
        <f>IF(盘货信息!B403="","",盘货信息!B403)</f>
        <v/>
      </c>
      <c r="C403" s="20" t="str">
        <f>IF(盘货信息!C403="","",盘货信息!C403)</f>
        <v/>
      </c>
      <c r="D403" s="18" t="str">
        <f t="shared" si="6"/>
        <v/>
      </c>
      <c r="E403" s="18" t="str" cm="1">
        <f t="array" ref="E403">IF(_xlfn.XLOOKUP($A403&amp;$B403&amp;$C403,盘货信息!$A:$A&amp;盘货信息!$B:$B&amp;盘货信息!$C:$C,盘货信息!$AA:$AA)="","",_xlfn.XLOOKUP($A403&amp;$B403&amp;$C403,盘货信息!$A:$A&amp;盘货信息!$B:$B&amp;盘货信息!$C:$C,盘货信息!$AA:$AA)&amp;"免息")</f>
        <v/>
      </c>
      <c r="F403" s="18" t="str" cm="1">
        <f t="array" ref="F403">IF(_xlfn.XLOOKUP($A403&amp;$B403&amp;$C403,盘货信息!$A:$A&amp;盘货信息!$B:$B&amp;盘货信息!$C:$C,盘货信息!$AB:$AB)="","",_xlfn.XLOOKUP($A403&amp;$B403&amp;$C403,盘货信息!$A:$A&amp;盘货信息!$B:$B&amp;盘货信息!$C:$C,盘货信息!$AB:$AB))</f>
        <v/>
      </c>
      <c r="G403" s="18"/>
    </row>
    <row r="404" customHeight="1" spans="1:7">
      <c r="A404" s="20" t="str">
        <f>IF(盘货信息!A404="","",盘货信息!A404)</f>
        <v/>
      </c>
      <c r="B404" s="17" t="str">
        <f>IF(盘货信息!B404="","",盘货信息!B404)</f>
        <v/>
      </c>
      <c r="C404" s="20" t="str">
        <f>IF(盘货信息!C404="","",盘货信息!C404)</f>
        <v/>
      </c>
      <c r="D404" s="18" t="str">
        <f t="shared" si="6"/>
        <v/>
      </c>
      <c r="E404" s="18" t="str" cm="1">
        <f t="array" ref="E404">IF(_xlfn.XLOOKUP($A404&amp;$B404&amp;$C404,盘货信息!$A:$A&amp;盘货信息!$B:$B&amp;盘货信息!$C:$C,盘货信息!$AA:$AA)="","",_xlfn.XLOOKUP($A404&amp;$B404&amp;$C404,盘货信息!$A:$A&amp;盘货信息!$B:$B&amp;盘货信息!$C:$C,盘货信息!$AA:$AA)&amp;"免息")</f>
        <v/>
      </c>
      <c r="F404" s="18" t="str" cm="1">
        <f t="array" ref="F404">IF(_xlfn.XLOOKUP($A404&amp;$B404&amp;$C404,盘货信息!$A:$A&amp;盘货信息!$B:$B&amp;盘货信息!$C:$C,盘货信息!$AB:$AB)="","",_xlfn.XLOOKUP($A404&amp;$B404&amp;$C404,盘货信息!$A:$A&amp;盘货信息!$B:$B&amp;盘货信息!$C:$C,盘货信息!$AB:$AB))</f>
        <v/>
      </c>
      <c r="G404" s="18"/>
    </row>
    <row r="405" customHeight="1" spans="1:7">
      <c r="A405" s="20" t="str">
        <f>IF(盘货信息!A405="","",盘货信息!A405)</f>
        <v/>
      </c>
      <c r="B405" s="17" t="str">
        <f>IF(盘货信息!B405="","",盘货信息!B405)</f>
        <v/>
      </c>
      <c r="C405" s="20" t="str">
        <f>IF(盘货信息!C405="","",盘货信息!C405)</f>
        <v/>
      </c>
      <c r="D405" s="18" t="str">
        <f t="shared" si="6"/>
        <v/>
      </c>
      <c r="E405" s="18" t="str" cm="1">
        <f t="array" ref="E405">IF(_xlfn.XLOOKUP($A405&amp;$B405&amp;$C405,盘货信息!$A:$A&amp;盘货信息!$B:$B&amp;盘货信息!$C:$C,盘货信息!$AA:$AA)="","",_xlfn.XLOOKUP($A405&amp;$B405&amp;$C405,盘货信息!$A:$A&amp;盘货信息!$B:$B&amp;盘货信息!$C:$C,盘货信息!$AA:$AA)&amp;"免息")</f>
        <v/>
      </c>
      <c r="F405" s="18" t="str" cm="1">
        <f t="array" ref="F405">IF(_xlfn.XLOOKUP($A405&amp;$B405&amp;$C405,盘货信息!$A:$A&amp;盘货信息!$B:$B&amp;盘货信息!$C:$C,盘货信息!$AB:$AB)="","",_xlfn.XLOOKUP($A405&amp;$B405&amp;$C405,盘货信息!$A:$A&amp;盘货信息!$B:$B&amp;盘货信息!$C:$C,盘货信息!$AB:$AB))</f>
        <v/>
      </c>
      <c r="G405" s="18"/>
    </row>
    <row r="406" customHeight="1" spans="1:7">
      <c r="A406" s="20" t="str">
        <f>IF(盘货信息!A406="","",盘货信息!A406)</f>
        <v/>
      </c>
      <c r="B406" s="17" t="str">
        <f>IF(盘货信息!B406="","",盘货信息!B406)</f>
        <v/>
      </c>
      <c r="C406" s="20" t="str">
        <f>IF(盘货信息!C406="","",盘货信息!C406)</f>
        <v/>
      </c>
      <c r="D406" s="18" t="str">
        <f t="shared" si="6"/>
        <v/>
      </c>
      <c r="E406" s="18" t="str" cm="1">
        <f t="array" ref="E406">IF(_xlfn.XLOOKUP($A406&amp;$B406&amp;$C406,盘货信息!$A:$A&amp;盘货信息!$B:$B&amp;盘货信息!$C:$C,盘货信息!$AA:$AA)="","",_xlfn.XLOOKUP($A406&amp;$B406&amp;$C406,盘货信息!$A:$A&amp;盘货信息!$B:$B&amp;盘货信息!$C:$C,盘货信息!$AA:$AA)&amp;"免息")</f>
        <v/>
      </c>
      <c r="F406" s="18" t="str" cm="1">
        <f t="array" ref="F406">IF(_xlfn.XLOOKUP($A406&amp;$B406&amp;$C406,盘货信息!$A:$A&amp;盘货信息!$B:$B&amp;盘货信息!$C:$C,盘货信息!$AB:$AB)="","",_xlfn.XLOOKUP($A406&amp;$B406&amp;$C406,盘货信息!$A:$A&amp;盘货信息!$B:$B&amp;盘货信息!$C:$C,盘货信息!$AB:$AB))</f>
        <v/>
      </c>
      <c r="G406" s="18"/>
    </row>
    <row r="407" customHeight="1" spans="1:7">
      <c r="A407" s="20" t="str">
        <f>IF(盘货信息!A407="","",盘货信息!A407)</f>
        <v/>
      </c>
      <c r="B407" s="17" t="str">
        <f>IF(盘货信息!B407="","",盘货信息!B407)</f>
        <v/>
      </c>
      <c r="C407" s="20" t="str">
        <f>IF(盘货信息!C407="","",盘货信息!C407)</f>
        <v/>
      </c>
      <c r="D407" s="18" t="str">
        <f t="shared" si="6"/>
        <v/>
      </c>
      <c r="E407" s="18" t="str" cm="1">
        <f t="array" ref="E407">IF(_xlfn.XLOOKUP($A407&amp;$B407&amp;$C407,盘货信息!$A:$A&amp;盘货信息!$B:$B&amp;盘货信息!$C:$C,盘货信息!$AA:$AA)="","",_xlfn.XLOOKUP($A407&amp;$B407&amp;$C407,盘货信息!$A:$A&amp;盘货信息!$B:$B&amp;盘货信息!$C:$C,盘货信息!$AA:$AA)&amp;"免息")</f>
        <v/>
      </c>
      <c r="F407" s="18" t="str" cm="1">
        <f t="array" ref="F407">IF(_xlfn.XLOOKUP($A407&amp;$B407&amp;$C407,盘货信息!$A:$A&amp;盘货信息!$B:$B&amp;盘货信息!$C:$C,盘货信息!$AB:$AB)="","",_xlfn.XLOOKUP($A407&amp;$B407&amp;$C407,盘货信息!$A:$A&amp;盘货信息!$B:$B&amp;盘货信息!$C:$C,盘货信息!$AB:$AB))</f>
        <v/>
      </c>
      <c r="G407" s="18"/>
    </row>
    <row r="408" customHeight="1" spans="1:7">
      <c r="A408" s="20" t="str">
        <f>IF(盘货信息!A408="","",盘货信息!A408)</f>
        <v/>
      </c>
      <c r="B408" s="17" t="str">
        <f>IF(盘货信息!B408="","",盘货信息!B408)</f>
        <v/>
      </c>
      <c r="C408" s="20" t="str">
        <f>IF(盘货信息!C408="","",盘货信息!C408)</f>
        <v/>
      </c>
      <c r="D408" s="18" t="str">
        <f t="shared" si="6"/>
        <v/>
      </c>
      <c r="E408" s="18" t="str" cm="1">
        <f t="array" ref="E408">IF(_xlfn.XLOOKUP($A408&amp;$B408&amp;$C408,盘货信息!$A:$A&amp;盘货信息!$B:$B&amp;盘货信息!$C:$C,盘货信息!$AA:$AA)="","",_xlfn.XLOOKUP($A408&amp;$B408&amp;$C408,盘货信息!$A:$A&amp;盘货信息!$B:$B&amp;盘货信息!$C:$C,盘货信息!$AA:$AA)&amp;"免息")</f>
        <v/>
      </c>
      <c r="F408" s="18" t="str" cm="1">
        <f t="array" ref="F408">IF(_xlfn.XLOOKUP($A408&amp;$B408&amp;$C408,盘货信息!$A:$A&amp;盘货信息!$B:$B&amp;盘货信息!$C:$C,盘货信息!$AB:$AB)="","",_xlfn.XLOOKUP($A408&amp;$B408&amp;$C408,盘货信息!$A:$A&amp;盘货信息!$B:$B&amp;盘货信息!$C:$C,盘货信息!$AB:$AB))</f>
        <v/>
      </c>
      <c r="G408" s="18"/>
    </row>
    <row r="409" customHeight="1" spans="1:7">
      <c r="A409" s="20" t="str">
        <f>IF(盘货信息!A409="","",盘货信息!A409)</f>
        <v/>
      </c>
      <c r="B409" s="17" t="str">
        <f>IF(盘货信息!B409="","",盘货信息!B409)</f>
        <v/>
      </c>
      <c r="C409" s="20" t="str">
        <f>IF(盘货信息!C409="","",盘货信息!C409)</f>
        <v/>
      </c>
      <c r="D409" s="18" t="str">
        <f t="shared" si="6"/>
        <v/>
      </c>
      <c r="E409" s="18" t="str" cm="1">
        <f t="array" ref="E409">IF(_xlfn.XLOOKUP($A409&amp;$B409&amp;$C409,盘货信息!$A:$A&amp;盘货信息!$B:$B&amp;盘货信息!$C:$C,盘货信息!$AA:$AA)="","",_xlfn.XLOOKUP($A409&amp;$B409&amp;$C409,盘货信息!$A:$A&amp;盘货信息!$B:$B&amp;盘货信息!$C:$C,盘货信息!$AA:$AA)&amp;"免息")</f>
        <v/>
      </c>
      <c r="F409" s="18" t="str" cm="1">
        <f t="array" ref="F409">IF(_xlfn.XLOOKUP($A409&amp;$B409&amp;$C409,盘货信息!$A:$A&amp;盘货信息!$B:$B&amp;盘货信息!$C:$C,盘货信息!$AB:$AB)="","",_xlfn.XLOOKUP($A409&amp;$B409&amp;$C409,盘货信息!$A:$A&amp;盘货信息!$B:$B&amp;盘货信息!$C:$C,盘货信息!$AB:$AB))</f>
        <v/>
      </c>
      <c r="G409" s="18"/>
    </row>
    <row r="410" customHeight="1" spans="1:7">
      <c r="A410" s="20" t="str">
        <f>IF(盘货信息!A410="","",盘货信息!A410)</f>
        <v/>
      </c>
      <c r="B410" s="17" t="str">
        <f>IF(盘货信息!B410="","",盘货信息!B410)</f>
        <v/>
      </c>
      <c r="C410" s="20" t="str">
        <f>IF(盘货信息!C410="","",盘货信息!C410)</f>
        <v/>
      </c>
      <c r="D410" s="18" t="str">
        <f t="shared" si="6"/>
        <v/>
      </c>
      <c r="E410" s="18" t="str" cm="1">
        <f t="array" ref="E410">IF(_xlfn.XLOOKUP($A410&amp;$B410&amp;$C410,盘货信息!$A:$A&amp;盘货信息!$B:$B&amp;盘货信息!$C:$C,盘货信息!$AA:$AA)="","",_xlfn.XLOOKUP($A410&amp;$B410&amp;$C410,盘货信息!$A:$A&amp;盘货信息!$B:$B&amp;盘货信息!$C:$C,盘货信息!$AA:$AA)&amp;"免息")</f>
        <v/>
      </c>
      <c r="F410" s="18" t="str" cm="1">
        <f t="array" ref="F410">IF(_xlfn.XLOOKUP($A410&amp;$B410&amp;$C410,盘货信息!$A:$A&amp;盘货信息!$B:$B&amp;盘货信息!$C:$C,盘货信息!$AB:$AB)="","",_xlfn.XLOOKUP($A410&amp;$B410&amp;$C410,盘货信息!$A:$A&amp;盘货信息!$B:$B&amp;盘货信息!$C:$C,盘货信息!$AB:$AB))</f>
        <v/>
      </c>
      <c r="G410" s="18"/>
    </row>
    <row r="411" customHeight="1" spans="1:7">
      <c r="A411" s="20" t="str">
        <f>IF(盘货信息!A411="","",盘货信息!A411)</f>
        <v/>
      </c>
      <c r="B411" s="17" t="str">
        <f>IF(盘货信息!B411="","",盘货信息!B411)</f>
        <v/>
      </c>
      <c r="C411" s="20" t="str">
        <f>IF(盘货信息!C411="","",盘货信息!C411)</f>
        <v/>
      </c>
      <c r="D411" s="18" t="str">
        <f t="shared" si="6"/>
        <v/>
      </c>
      <c r="E411" s="18" t="str" cm="1">
        <f t="array" ref="E411">IF(_xlfn.XLOOKUP($A411&amp;$B411&amp;$C411,盘货信息!$A:$A&amp;盘货信息!$B:$B&amp;盘货信息!$C:$C,盘货信息!$AA:$AA)="","",_xlfn.XLOOKUP($A411&amp;$B411&amp;$C411,盘货信息!$A:$A&amp;盘货信息!$B:$B&amp;盘货信息!$C:$C,盘货信息!$AA:$AA)&amp;"免息")</f>
        <v/>
      </c>
      <c r="F411" s="18" t="str" cm="1">
        <f t="array" ref="F411">IF(_xlfn.XLOOKUP($A411&amp;$B411&amp;$C411,盘货信息!$A:$A&amp;盘货信息!$B:$B&amp;盘货信息!$C:$C,盘货信息!$AB:$AB)="","",_xlfn.XLOOKUP($A411&amp;$B411&amp;$C411,盘货信息!$A:$A&amp;盘货信息!$B:$B&amp;盘货信息!$C:$C,盘货信息!$AB:$AB))</f>
        <v/>
      </c>
      <c r="G411" s="18"/>
    </row>
    <row r="412" customHeight="1" spans="1:7">
      <c r="A412" s="20" t="str">
        <f>IF(盘货信息!A412="","",盘货信息!A412)</f>
        <v/>
      </c>
      <c r="B412" s="17" t="str">
        <f>IF(盘货信息!B412="","",盘货信息!B412)</f>
        <v/>
      </c>
      <c r="C412" s="20" t="str">
        <f>IF(盘货信息!C412="","",盘货信息!C412)</f>
        <v/>
      </c>
      <c r="D412" s="18" t="str">
        <f t="shared" si="6"/>
        <v/>
      </c>
      <c r="E412" s="18" t="str" cm="1">
        <f t="array" ref="E412">IF(_xlfn.XLOOKUP($A412&amp;$B412&amp;$C412,盘货信息!$A:$A&amp;盘货信息!$B:$B&amp;盘货信息!$C:$C,盘货信息!$AA:$AA)="","",_xlfn.XLOOKUP($A412&amp;$B412&amp;$C412,盘货信息!$A:$A&amp;盘货信息!$B:$B&amp;盘货信息!$C:$C,盘货信息!$AA:$AA)&amp;"免息")</f>
        <v/>
      </c>
      <c r="F412" s="18" t="str" cm="1">
        <f t="array" ref="F412">IF(_xlfn.XLOOKUP($A412&amp;$B412&amp;$C412,盘货信息!$A:$A&amp;盘货信息!$B:$B&amp;盘货信息!$C:$C,盘货信息!$AB:$AB)="","",_xlfn.XLOOKUP($A412&amp;$B412&amp;$C412,盘货信息!$A:$A&amp;盘货信息!$B:$B&amp;盘货信息!$C:$C,盘货信息!$AB:$AB))</f>
        <v/>
      </c>
      <c r="G412" s="18"/>
    </row>
    <row r="413" customHeight="1" spans="1:7">
      <c r="A413" s="20" t="str">
        <f>IF(盘货信息!A413="","",盘货信息!A413)</f>
        <v/>
      </c>
      <c r="B413" s="17" t="str">
        <f>IF(盘货信息!B413="","",盘货信息!B413)</f>
        <v/>
      </c>
      <c r="C413" s="20" t="str">
        <f>IF(盘货信息!C413="","",盘货信息!C413)</f>
        <v/>
      </c>
      <c r="D413" s="18" t="str">
        <f t="shared" si="6"/>
        <v/>
      </c>
      <c r="E413" s="18" t="str" cm="1">
        <f t="array" ref="E413">IF(_xlfn.XLOOKUP($A413&amp;$B413&amp;$C413,盘货信息!$A:$A&amp;盘货信息!$B:$B&amp;盘货信息!$C:$C,盘货信息!$AA:$AA)="","",_xlfn.XLOOKUP($A413&amp;$B413&amp;$C413,盘货信息!$A:$A&amp;盘货信息!$B:$B&amp;盘货信息!$C:$C,盘货信息!$AA:$AA)&amp;"免息")</f>
        <v/>
      </c>
      <c r="F413" s="18" t="str" cm="1">
        <f t="array" ref="F413">IF(_xlfn.XLOOKUP($A413&amp;$B413&amp;$C413,盘货信息!$A:$A&amp;盘货信息!$B:$B&amp;盘货信息!$C:$C,盘货信息!$AB:$AB)="","",_xlfn.XLOOKUP($A413&amp;$B413&amp;$C413,盘货信息!$A:$A&amp;盘货信息!$B:$B&amp;盘货信息!$C:$C,盘货信息!$AB:$AB))</f>
        <v/>
      </c>
      <c r="G413" s="18"/>
    </row>
    <row r="414" customHeight="1" spans="1:7">
      <c r="A414" s="20" t="str">
        <f>IF(盘货信息!A414="","",盘货信息!A414)</f>
        <v/>
      </c>
      <c r="B414" s="17" t="str">
        <f>IF(盘货信息!B414="","",盘货信息!B414)</f>
        <v/>
      </c>
      <c r="C414" s="20" t="str">
        <f>IF(盘货信息!C414="","",盘货信息!C414)</f>
        <v/>
      </c>
      <c r="D414" s="18" t="str">
        <f t="shared" si="6"/>
        <v/>
      </c>
      <c r="E414" s="18" t="str" cm="1">
        <f t="array" ref="E414">IF(_xlfn.XLOOKUP($A414&amp;$B414&amp;$C414,盘货信息!$A:$A&amp;盘货信息!$B:$B&amp;盘货信息!$C:$C,盘货信息!$AA:$AA)="","",_xlfn.XLOOKUP($A414&amp;$B414&amp;$C414,盘货信息!$A:$A&amp;盘货信息!$B:$B&amp;盘货信息!$C:$C,盘货信息!$AA:$AA)&amp;"免息")</f>
        <v/>
      </c>
      <c r="F414" s="18" t="str" cm="1">
        <f t="array" ref="F414">IF(_xlfn.XLOOKUP($A414&amp;$B414&amp;$C414,盘货信息!$A:$A&amp;盘货信息!$B:$B&amp;盘货信息!$C:$C,盘货信息!$AB:$AB)="","",_xlfn.XLOOKUP($A414&amp;$B414&amp;$C414,盘货信息!$A:$A&amp;盘货信息!$B:$B&amp;盘货信息!$C:$C,盘货信息!$AB:$AB))</f>
        <v/>
      </c>
      <c r="G414" s="18"/>
    </row>
    <row r="415" customHeight="1" spans="1:7">
      <c r="A415" s="20" t="str">
        <f>IF(盘货信息!A415="","",盘货信息!A415)</f>
        <v/>
      </c>
      <c r="B415" s="17" t="str">
        <f>IF(盘货信息!B415="","",盘货信息!B415)</f>
        <v/>
      </c>
      <c r="C415" s="20" t="str">
        <f>IF(盘货信息!C415="","",盘货信息!C415)</f>
        <v/>
      </c>
      <c r="D415" s="18" t="str">
        <f t="shared" si="6"/>
        <v/>
      </c>
      <c r="E415" s="18" t="str" cm="1">
        <f t="array" ref="E415">IF(_xlfn.XLOOKUP($A415&amp;$B415&amp;$C415,盘货信息!$A:$A&amp;盘货信息!$B:$B&amp;盘货信息!$C:$C,盘货信息!$AA:$AA)="","",_xlfn.XLOOKUP($A415&amp;$B415&amp;$C415,盘货信息!$A:$A&amp;盘货信息!$B:$B&amp;盘货信息!$C:$C,盘货信息!$AA:$AA)&amp;"免息")</f>
        <v/>
      </c>
      <c r="F415" s="18" t="str" cm="1">
        <f t="array" ref="F415">IF(_xlfn.XLOOKUP($A415&amp;$B415&amp;$C415,盘货信息!$A:$A&amp;盘货信息!$B:$B&amp;盘货信息!$C:$C,盘货信息!$AB:$AB)="","",_xlfn.XLOOKUP($A415&amp;$B415&amp;$C415,盘货信息!$A:$A&amp;盘货信息!$B:$B&amp;盘货信息!$C:$C,盘货信息!$AB:$AB))</f>
        <v/>
      </c>
      <c r="G415" s="18"/>
    </row>
    <row r="416" customHeight="1" spans="1:7">
      <c r="A416" s="20" t="str">
        <f>IF(盘货信息!A416="","",盘货信息!A416)</f>
        <v/>
      </c>
      <c r="B416" s="17" t="str">
        <f>IF(盘货信息!B416="","",盘货信息!B416)</f>
        <v/>
      </c>
      <c r="C416" s="20" t="str">
        <f>IF(盘货信息!C416="","",盘货信息!C416)</f>
        <v/>
      </c>
      <c r="D416" s="18" t="str">
        <f t="shared" si="6"/>
        <v/>
      </c>
      <c r="E416" s="18" t="str" cm="1">
        <f t="array" ref="E416">IF(_xlfn.XLOOKUP($A416&amp;$B416&amp;$C416,盘货信息!$A:$A&amp;盘货信息!$B:$B&amp;盘货信息!$C:$C,盘货信息!$AA:$AA)="","",_xlfn.XLOOKUP($A416&amp;$B416&amp;$C416,盘货信息!$A:$A&amp;盘货信息!$B:$B&amp;盘货信息!$C:$C,盘货信息!$AA:$AA)&amp;"免息")</f>
        <v/>
      </c>
      <c r="F416" s="18" t="str" cm="1">
        <f t="array" ref="F416">IF(_xlfn.XLOOKUP($A416&amp;$B416&amp;$C416,盘货信息!$A:$A&amp;盘货信息!$B:$B&amp;盘货信息!$C:$C,盘货信息!$AB:$AB)="","",_xlfn.XLOOKUP($A416&amp;$B416&amp;$C416,盘货信息!$A:$A&amp;盘货信息!$B:$B&amp;盘货信息!$C:$C,盘货信息!$AB:$AB))</f>
        <v/>
      </c>
      <c r="G416" s="18"/>
    </row>
    <row r="417" customHeight="1" spans="1:7">
      <c r="A417" s="20" t="str">
        <f>IF(盘货信息!A417="","",盘货信息!A417)</f>
        <v/>
      </c>
      <c r="B417" s="17" t="str">
        <f>IF(盘货信息!B417="","",盘货信息!B417)</f>
        <v/>
      </c>
      <c r="C417" s="20" t="str">
        <f>IF(盘货信息!C417="","",盘货信息!C417)</f>
        <v/>
      </c>
      <c r="D417" s="18" t="str">
        <f t="shared" si="6"/>
        <v/>
      </c>
      <c r="E417" s="18" t="str" cm="1">
        <f t="array" ref="E417">IF(_xlfn.XLOOKUP($A417&amp;$B417&amp;$C417,盘货信息!$A:$A&amp;盘货信息!$B:$B&amp;盘货信息!$C:$C,盘货信息!$AA:$AA)="","",_xlfn.XLOOKUP($A417&amp;$B417&amp;$C417,盘货信息!$A:$A&amp;盘货信息!$B:$B&amp;盘货信息!$C:$C,盘货信息!$AA:$AA)&amp;"免息")</f>
        <v/>
      </c>
      <c r="F417" s="18" t="str" cm="1">
        <f t="array" ref="F417">IF(_xlfn.XLOOKUP($A417&amp;$B417&amp;$C417,盘货信息!$A:$A&amp;盘货信息!$B:$B&amp;盘货信息!$C:$C,盘货信息!$AB:$AB)="","",_xlfn.XLOOKUP($A417&amp;$B417&amp;$C417,盘货信息!$A:$A&amp;盘货信息!$B:$B&amp;盘货信息!$C:$C,盘货信息!$AB:$AB))</f>
        <v/>
      </c>
      <c r="G417" s="18"/>
    </row>
    <row r="418" customHeight="1" spans="1:7">
      <c r="A418" s="20" t="str">
        <f>IF(盘货信息!A418="","",盘货信息!A418)</f>
        <v/>
      </c>
      <c r="B418" s="17" t="str">
        <f>IF(盘货信息!B418="","",盘货信息!B418)</f>
        <v/>
      </c>
      <c r="C418" s="20" t="str">
        <f>IF(盘货信息!C418="","",盘货信息!C418)</f>
        <v/>
      </c>
      <c r="D418" s="18" t="str">
        <f t="shared" si="6"/>
        <v/>
      </c>
      <c r="E418" s="18" t="str" cm="1">
        <f t="array" ref="E418">IF(_xlfn.XLOOKUP($A418&amp;$B418&amp;$C418,盘货信息!$A:$A&amp;盘货信息!$B:$B&amp;盘货信息!$C:$C,盘货信息!$AA:$AA)="","",_xlfn.XLOOKUP($A418&amp;$B418&amp;$C418,盘货信息!$A:$A&amp;盘货信息!$B:$B&amp;盘货信息!$C:$C,盘货信息!$AA:$AA)&amp;"免息")</f>
        <v/>
      </c>
      <c r="F418" s="18" t="str" cm="1">
        <f t="array" ref="F418">IF(_xlfn.XLOOKUP($A418&amp;$B418&amp;$C418,盘货信息!$A:$A&amp;盘货信息!$B:$B&amp;盘货信息!$C:$C,盘货信息!$AB:$AB)="","",_xlfn.XLOOKUP($A418&amp;$B418&amp;$C418,盘货信息!$A:$A&amp;盘货信息!$B:$B&amp;盘货信息!$C:$C,盘货信息!$AB:$AB))</f>
        <v/>
      </c>
      <c r="G418" s="18"/>
    </row>
    <row r="419" customHeight="1" spans="1:7">
      <c r="A419" s="20" t="str">
        <f>IF(盘货信息!A419="","",盘货信息!A419)</f>
        <v/>
      </c>
      <c r="B419" s="17" t="str">
        <f>IF(盘货信息!B419="","",盘货信息!B419)</f>
        <v/>
      </c>
      <c r="C419" s="20" t="str">
        <f>IF(盘货信息!C419="","",盘货信息!C419)</f>
        <v/>
      </c>
      <c r="D419" s="18" t="str">
        <f t="shared" si="6"/>
        <v/>
      </c>
      <c r="E419" s="18" t="str" cm="1">
        <f t="array" ref="E419">IF(_xlfn.XLOOKUP($A419&amp;$B419&amp;$C419,盘货信息!$A:$A&amp;盘货信息!$B:$B&amp;盘货信息!$C:$C,盘货信息!$AA:$AA)="","",_xlfn.XLOOKUP($A419&amp;$B419&amp;$C419,盘货信息!$A:$A&amp;盘货信息!$B:$B&amp;盘货信息!$C:$C,盘货信息!$AA:$AA)&amp;"免息")</f>
        <v/>
      </c>
      <c r="F419" s="18" t="str" cm="1">
        <f t="array" ref="F419">IF(_xlfn.XLOOKUP($A419&amp;$B419&amp;$C419,盘货信息!$A:$A&amp;盘货信息!$B:$B&amp;盘货信息!$C:$C,盘货信息!$AB:$AB)="","",_xlfn.XLOOKUP($A419&amp;$B419&amp;$C419,盘货信息!$A:$A&amp;盘货信息!$B:$B&amp;盘货信息!$C:$C,盘货信息!$AB:$AB))</f>
        <v/>
      </c>
      <c r="G419" s="18"/>
    </row>
    <row r="420" customHeight="1" spans="1:7">
      <c r="A420" s="20" t="str">
        <f>IF(盘货信息!A420="","",盘货信息!A420)</f>
        <v/>
      </c>
      <c r="B420" s="17" t="str">
        <f>IF(盘货信息!B420="","",盘货信息!B420)</f>
        <v/>
      </c>
      <c r="C420" s="20" t="str">
        <f>IF(盘货信息!C420="","",盘货信息!C420)</f>
        <v/>
      </c>
      <c r="D420" s="18" t="str">
        <f t="shared" si="6"/>
        <v/>
      </c>
      <c r="E420" s="18" t="str" cm="1">
        <f t="array" ref="E420">IF(_xlfn.XLOOKUP($A420&amp;$B420&amp;$C420,盘货信息!$A:$A&amp;盘货信息!$B:$B&amp;盘货信息!$C:$C,盘货信息!$AA:$AA)="","",_xlfn.XLOOKUP($A420&amp;$B420&amp;$C420,盘货信息!$A:$A&amp;盘货信息!$B:$B&amp;盘货信息!$C:$C,盘货信息!$AA:$AA)&amp;"免息")</f>
        <v/>
      </c>
      <c r="F420" s="18" t="str" cm="1">
        <f t="array" ref="F420">IF(_xlfn.XLOOKUP($A420&amp;$B420&amp;$C420,盘货信息!$A:$A&amp;盘货信息!$B:$B&amp;盘货信息!$C:$C,盘货信息!$AB:$AB)="","",_xlfn.XLOOKUP($A420&amp;$B420&amp;$C420,盘货信息!$A:$A&amp;盘货信息!$B:$B&amp;盘货信息!$C:$C,盘货信息!$AB:$AB))</f>
        <v/>
      </c>
      <c r="G420" s="18"/>
    </row>
    <row r="421" customHeight="1" spans="1:7">
      <c r="A421" s="20" t="str">
        <f>IF(盘货信息!A421="","",盘货信息!A421)</f>
        <v/>
      </c>
      <c r="B421" s="17" t="str">
        <f>IF(盘货信息!B421="","",盘货信息!B421)</f>
        <v/>
      </c>
      <c r="C421" s="20" t="str">
        <f>IF(盘货信息!C421="","",盘货信息!C421)</f>
        <v/>
      </c>
      <c r="D421" s="18" t="str">
        <f t="shared" si="6"/>
        <v/>
      </c>
      <c r="E421" s="18" t="str" cm="1">
        <f t="array" ref="E421">IF(_xlfn.XLOOKUP($A421&amp;$B421&amp;$C421,盘货信息!$A:$A&amp;盘货信息!$B:$B&amp;盘货信息!$C:$C,盘货信息!$AA:$AA)="","",_xlfn.XLOOKUP($A421&amp;$B421&amp;$C421,盘货信息!$A:$A&amp;盘货信息!$B:$B&amp;盘货信息!$C:$C,盘货信息!$AA:$AA)&amp;"免息")</f>
        <v/>
      </c>
      <c r="F421" s="18" t="str" cm="1">
        <f t="array" ref="F421">IF(_xlfn.XLOOKUP($A421&amp;$B421&amp;$C421,盘货信息!$A:$A&amp;盘货信息!$B:$B&amp;盘货信息!$C:$C,盘货信息!$AB:$AB)="","",_xlfn.XLOOKUP($A421&amp;$B421&amp;$C421,盘货信息!$A:$A&amp;盘货信息!$B:$B&amp;盘货信息!$C:$C,盘货信息!$AB:$AB))</f>
        <v/>
      </c>
      <c r="G421" s="18"/>
    </row>
    <row r="422" customHeight="1" spans="1:7">
      <c r="A422" s="20" t="str">
        <f>IF(盘货信息!A422="","",盘货信息!A422)</f>
        <v/>
      </c>
      <c r="B422" s="17" t="str">
        <f>IF(盘货信息!B422="","",盘货信息!B422)</f>
        <v/>
      </c>
      <c r="C422" s="20" t="str">
        <f>IF(盘货信息!C422="","",盘货信息!C422)</f>
        <v/>
      </c>
      <c r="D422" s="18" t="str">
        <f t="shared" si="6"/>
        <v/>
      </c>
      <c r="E422" s="18" t="str" cm="1">
        <f t="array" ref="E422">IF(_xlfn.XLOOKUP($A422&amp;$B422&amp;$C422,盘货信息!$A:$A&amp;盘货信息!$B:$B&amp;盘货信息!$C:$C,盘货信息!$AA:$AA)="","",_xlfn.XLOOKUP($A422&amp;$B422&amp;$C422,盘货信息!$A:$A&amp;盘货信息!$B:$B&amp;盘货信息!$C:$C,盘货信息!$AA:$AA)&amp;"免息")</f>
        <v/>
      </c>
      <c r="F422" s="18" t="str" cm="1">
        <f t="array" ref="F422">IF(_xlfn.XLOOKUP($A422&amp;$B422&amp;$C422,盘货信息!$A:$A&amp;盘货信息!$B:$B&amp;盘货信息!$C:$C,盘货信息!$AB:$AB)="","",_xlfn.XLOOKUP($A422&amp;$B422&amp;$C422,盘货信息!$A:$A&amp;盘货信息!$B:$B&amp;盘货信息!$C:$C,盘货信息!$AB:$AB))</f>
        <v/>
      </c>
      <c r="G422" s="18"/>
    </row>
    <row r="423" customHeight="1" spans="1:7">
      <c r="A423" s="20" t="str">
        <f>IF(盘货信息!A423="","",盘货信息!A423)</f>
        <v/>
      </c>
      <c r="B423" s="17" t="str">
        <f>IF(盘货信息!B423="","",盘货信息!B423)</f>
        <v/>
      </c>
      <c r="C423" s="20" t="str">
        <f>IF(盘货信息!C423="","",盘货信息!C423)</f>
        <v/>
      </c>
      <c r="D423" s="18" t="str">
        <f t="shared" si="6"/>
        <v/>
      </c>
      <c r="E423" s="18" t="str" cm="1">
        <f t="array" ref="E423">IF(_xlfn.XLOOKUP($A423&amp;$B423&amp;$C423,盘货信息!$A:$A&amp;盘货信息!$B:$B&amp;盘货信息!$C:$C,盘货信息!$AA:$AA)="","",_xlfn.XLOOKUP($A423&amp;$B423&amp;$C423,盘货信息!$A:$A&amp;盘货信息!$B:$B&amp;盘货信息!$C:$C,盘货信息!$AA:$AA)&amp;"免息")</f>
        <v/>
      </c>
      <c r="F423" s="18" t="str" cm="1">
        <f t="array" ref="F423">IF(_xlfn.XLOOKUP($A423&amp;$B423&amp;$C423,盘货信息!$A:$A&amp;盘货信息!$B:$B&amp;盘货信息!$C:$C,盘货信息!$AB:$AB)="","",_xlfn.XLOOKUP($A423&amp;$B423&amp;$C423,盘货信息!$A:$A&amp;盘货信息!$B:$B&amp;盘货信息!$C:$C,盘货信息!$AB:$AB))</f>
        <v/>
      </c>
      <c r="G423" s="18"/>
    </row>
    <row r="424" customHeight="1" spans="1:7">
      <c r="A424" s="20" t="str">
        <f>IF(盘货信息!A424="","",盘货信息!A424)</f>
        <v/>
      </c>
      <c r="B424" s="17" t="str">
        <f>IF(盘货信息!B424="","",盘货信息!B424)</f>
        <v/>
      </c>
      <c r="C424" s="20" t="str">
        <f>IF(盘货信息!C424="","",盘货信息!C424)</f>
        <v/>
      </c>
      <c r="D424" s="18" t="str">
        <f t="shared" si="6"/>
        <v/>
      </c>
      <c r="E424" s="18" t="str" cm="1">
        <f t="array" ref="E424">IF(_xlfn.XLOOKUP($A424&amp;$B424&amp;$C424,盘货信息!$A:$A&amp;盘货信息!$B:$B&amp;盘货信息!$C:$C,盘货信息!$AA:$AA)="","",_xlfn.XLOOKUP($A424&amp;$B424&amp;$C424,盘货信息!$A:$A&amp;盘货信息!$B:$B&amp;盘货信息!$C:$C,盘货信息!$AA:$AA)&amp;"免息")</f>
        <v/>
      </c>
      <c r="F424" s="18" t="str" cm="1">
        <f t="array" ref="F424">IF(_xlfn.XLOOKUP($A424&amp;$B424&amp;$C424,盘货信息!$A:$A&amp;盘货信息!$B:$B&amp;盘货信息!$C:$C,盘货信息!$AB:$AB)="","",_xlfn.XLOOKUP($A424&amp;$B424&amp;$C424,盘货信息!$A:$A&amp;盘货信息!$B:$B&amp;盘货信息!$C:$C,盘货信息!$AB:$AB))</f>
        <v/>
      </c>
      <c r="G424" s="18"/>
    </row>
    <row r="425" customHeight="1" spans="1:7">
      <c r="A425" s="20" t="str">
        <f>IF(盘货信息!A425="","",盘货信息!A425)</f>
        <v/>
      </c>
      <c r="B425" s="17" t="str">
        <f>IF(盘货信息!B425="","",盘货信息!B425)</f>
        <v/>
      </c>
      <c r="C425" s="20" t="str">
        <f>IF(盘货信息!C425="","",盘货信息!C425)</f>
        <v/>
      </c>
      <c r="D425" s="18" t="str">
        <f t="shared" si="6"/>
        <v/>
      </c>
      <c r="E425" s="18" t="str" cm="1">
        <f t="array" ref="E425">IF(_xlfn.XLOOKUP($A425&amp;$B425&amp;$C425,盘货信息!$A:$A&amp;盘货信息!$B:$B&amp;盘货信息!$C:$C,盘货信息!$AA:$AA)="","",_xlfn.XLOOKUP($A425&amp;$B425&amp;$C425,盘货信息!$A:$A&amp;盘货信息!$B:$B&amp;盘货信息!$C:$C,盘货信息!$AA:$AA)&amp;"免息")</f>
        <v/>
      </c>
      <c r="F425" s="18" t="str" cm="1">
        <f t="array" ref="F425">IF(_xlfn.XLOOKUP($A425&amp;$B425&amp;$C425,盘货信息!$A:$A&amp;盘货信息!$B:$B&amp;盘货信息!$C:$C,盘货信息!$AB:$AB)="","",_xlfn.XLOOKUP($A425&amp;$B425&amp;$C425,盘货信息!$A:$A&amp;盘货信息!$B:$B&amp;盘货信息!$C:$C,盘货信息!$AB:$AB))</f>
        <v/>
      </c>
      <c r="G425" s="18"/>
    </row>
    <row r="426" customHeight="1" spans="1:7">
      <c r="A426" s="20" t="str">
        <f>IF(盘货信息!A426="","",盘货信息!A426)</f>
        <v/>
      </c>
      <c r="B426" s="17" t="str">
        <f>IF(盘货信息!B426="","",盘货信息!B426)</f>
        <v/>
      </c>
      <c r="C426" s="20" t="str">
        <f>IF(盘货信息!C426="","",盘货信息!C426)</f>
        <v/>
      </c>
      <c r="D426" s="18" t="str">
        <f t="shared" si="6"/>
        <v/>
      </c>
      <c r="E426" s="18" t="str" cm="1">
        <f t="array" ref="E426">IF(_xlfn.XLOOKUP($A426&amp;$B426&amp;$C426,盘货信息!$A:$A&amp;盘货信息!$B:$B&amp;盘货信息!$C:$C,盘货信息!$AA:$AA)="","",_xlfn.XLOOKUP($A426&amp;$B426&amp;$C426,盘货信息!$A:$A&amp;盘货信息!$B:$B&amp;盘货信息!$C:$C,盘货信息!$AA:$AA)&amp;"免息")</f>
        <v/>
      </c>
      <c r="F426" s="18" t="str" cm="1">
        <f t="array" ref="F426">IF(_xlfn.XLOOKUP($A426&amp;$B426&amp;$C426,盘货信息!$A:$A&amp;盘货信息!$B:$B&amp;盘货信息!$C:$C,盘货信息!$AB:$AB)="","",_xlfn.XLOOKUP($A426&amp;$B426&amp;$C426,盘货信息!$A:$A&amp;盘货信息!$B:$B&amp;盘货信息!$C:$C,盘货信息!$AB:$AB))</f>
        <v/>
      </c>
      <c r="G426" s="18"/>
    </row>
    <row r="427" customHeight="1" spans="1:7">
      <c r="A427" s="20" t="str">
        <f>IF(盘货信息!A427="","",盘货信息!A427)</f>
        <v/>
      </c>
      <c r="B427" s="17" t="str">
        <f>IF(盘货信息!B427="","",盘货信息!B427)</f>
        <v/>
      </c>
      <c r="C427" s="20" t="str">
        <f>IF(盘货信息!C427="","",盘货信息!C427)</f>
        <v/>
      </c>
      <c r="D427" s="18" t="str">
        <f t="shared" si="6"/>
        <v/>
      </c>
      <c r="E427" s="18" t="str" cm="1">
        <f t="array" ref="E427">IF(_xlfn.XLOOKUP($A427&amp;$B427&amp;$C427,盘货信息!$A:$A&amp;盘货信息!$B:$B&amp;盘货信息!$C:$C,盘货信息!$AA:$AA)="","",_xlfn.XLOOKUP($A427&amp;$B427&amp;$C427,盘货信息!$A:$A&amp;盘货信息!$B:$B&amp;盘货信息!$C:$C,盘货信息!$AA:$AA)&amp;"免息")</f>
        <v/>
      </c>
      <c r="F427" s="18" t="str" cm="1">
        <f t="array" ref="F427">IF(_xlfn.XLOOKUP($A427&amp;$B427&amp;$C427,盘货信息!$A:$A&amp;盘货信息!$B:$B&amp;盘货信息!$C:$C,盘货信息!$AB:$AB)="","",_xlfn.XLOOKUP($A427&amp;$B427&amp;$C427,盘货信息!$A:$A&amp;盘货信息!$B:$B&amp;盘货信息!$C:$C,盘货信息!$AB:$AB))</f>
        <v/>
      </c>
      <c r="G427" s="18"/>
    </row>
    <row r="428" customHeight="1" spans="1:7">
      <c r="A428" s="20" t="str">
        <f>IF(盘货信息!A428="","",盘货信息!A428)</f>
        <v/>
      </c>
      <c r="B428" s="17" t="str">
        <f>IF(盘货信息!B428="","",盘货信息!B428)</f>
        <v/>
      </c>
      <c r="C428" s="20" t="str">
        <f>IF(盘货信息!C428="","",盘货信息!C428)</f>
        <v/>
      </c>
      <c r="D428" s="18" t="str">
        <f t="shared" si="6"/>
        <v/>
      </c>
      <c r="E428" s="18" t="str" cm="1">
        <f t="array" ref="E428">IF(_xlfn.XLOOKUP($A428&amp;$B428&amp;$C428,盘货信息!$A:$A&amp;盘货信息!$B:$B&amp;盘货信息!$C:$C,盘货信息!$AA:$AA)="","",_xlfn.XLOOKUP($A428&amp;$B428&amp;$C428,盘货信息!$A:$A&amp;盘货信息!$B:$B&amp;盘货信息!$C:$C,盘货信息!$AA:$AA)&amp;"免息")</f>
        <v/>
      </c>
      <c r="F428" s="18" t="str" cm="1">
        <f t="array" ref="F428">IF(_xlfn.XLOOKUP($A428&amp;$B428&amp;$C428,盘货信息!$A:$A&amp;盘货信息!$B:$B&amp;盘货信息!$C:$C,盘货信息!$AB:$AB)="","",_xlfn.XLOOKUP($A428&amp;$B428&amp;$C428,盘货信息!$A:$A&amp;盘货信息!$B:$B&amp;盘货信息!$C:$C,盘货信息!$AB:$AB))</f>
        <v/>
      </c>
      <c r="G428" s="18"/>
    </row>
    <row r="429" customHeight="1" spans="1:7">
      <c r="A429" s="20" t="str">
        <f>IF(盘货信息!A429="","",盘货信息!A429)</f>
        <v/>
      </c>
      <c r="B429" s="17" t="str">
        <f>IF(盘货信息!B429="","",盘货信息!B429)</f>
        <v/>
      </c>
      <c r="C429" s="20" t="str">
        <f>IF(盘货信息!C429="","",盘货信息!C429)</f>
        <v/>
      </c>
      <c r="D429" s="18" t="str">
        <f t="shared" si="6"/>
        <v/>
      </c>
      <c r="E429" s="18" t="str" cm="1">
        <f t="array" ref="E429">IF(_xlfn.XLOOKUP($A429&amp;$B429&amp;$C429,盘货信息!$A:$A&amp;盘货信息!$B:$B&amp;盘货信息!$C:$C,盘货信息!$AA:$AA)="","",_xlfn.XLOOKUP($A429&amp;$B429&amp;$C429,盘货信息!$A:$A&amp;盘货信息!$B:$B&amp;盘货信息!$C:$C,盘货信息!$AA:$AA)&amp;"免息")</f>
        <v/>
      </c>
      <c r="F429" s="18" t="str" cm="1">
        <f t="array" ref="F429">IF(_xlfn.XLOOKUP($A429&amp;$B429&amp;$C429,盘货信息!$A:$A&amp;盘货信息!$B:$B&amp;盘货信息!$C:$C,盘货信息!$AB:$AB)="","",_xlfn.XLOOKUP($A429&amp;$B429&amp;$C429,盘货信息!$A:$A&amp;盘货信息!$B:$B&amp;盘货信息!$C:$C,盘货信息!$AB:$AB))</f>
        <v/>
      </c>
      <c r="G429" s="18"/>
    </row>
    <row r="430" customHeight="1" spans="1:7">
      <c r="A430" s="20" t="str">
        <f>IF(盘货信息!A430="","",盘货信息!A430)</f>
        <v/>
      </c>
      <c r="B430" s="17" t="str">
        <f>IF(盘货信息!B430="","",盘货信息!B430)</f>
        <v/>
      </c>
      <c r="C430" s="20" t="str">
        <f>IF(盘货信息!C430="","",盘货信息!C430)</f>
        <v/>
      </c>
      <c r="D430" s="18" t="str">
        <f t="shared" si="6"/>
        <v/>
      </c>
      <c r="E430" s="18" t="str" cm="1">
        <f t="array" ref="E430">IF(_xlfn.XLOOKUP($A430&amp;$B430&amp;$C430,盘货信息!$A:$A&amp;盘货信息!$B:$B&amp;盘货信息!$C:$C,盘货信息!$AA:$AA)="","",_xlfn.XLOOKUP($A430&amp;$B430&amp;$C430,盘货信息!$A:$A&amp;盘货信息!$B:$B&amp;盘货信息!$C:$C,盘货信息!$AA:$AA)&amp;"免息")</f>
        <v/>
      </c>
      <c r="F430" s="18" t="str" cm="1">
        <f t="array" ref="F430">IF(_xlfn.XLOOKUP($A430&amp;$B430&amp;$C430,盘货信息!$A:$A&amp;盘货信息!$B:$B&amp;盘货信息!$C:$C,盘货信息!$AB:$AB)="","",_xlfn.XLOOKUP($A430&amp;$B430&amp;$C430,盘货信息!$A:$A&amp;盘货信息!$B:$B&amp;盘货信息!$C:$C,盘货信息!$AB:$AB))</f>
        <v/>
      </c>
      <c r="G430" s="18"/>
    </row>
    <row r="431" customHeight="1" spans="1:7">
      <c r="A431" s="20" t="str">
        <f>IF(盘货信息!A431="","",盘货信息!A431)</f>
        <v/>
      </c>
      <c r="B431" s="17" t="str">
        <f>IF(盘货信息!B431="","",盘货信息!B431)</f>
        <v/>
      </c>
      <c r="C431" s="20" t="str">
        <f>IF(盘货信息!C431="","",盘货信息!C431)</f>
        <v/>
      </c>
      <c r="D431" s="18" t="str">
        <f t="shared" si="6"/>
        <v/>
      </c>
      <c r="E431" s="18" t="str" cm="1">
        <f t="array" ref="E431">IF(_xlfn.XLOOKUP($A431&amp;$B431&amp;$C431,盘货信息!$A:$A&amp;盘货信息!$B:$B&amp;盘货信息!$C:$C,盘货信息!$AA:$AA)="","",_xlfn.XLOOKUP($A431&amp;$B431&amp;$C431,盘货信息!$A:$A&amp;盘货信息!$B:$B&amp;盘货信息!$C:$C,盘货信息!$AA:$AA)&amp;"免息")</f>
        <v/>
      </c>
      <c r="F431" s="18" t="str" cm="1">
        <f t="array" ref="F431">IF(_xlfn.XLOOKUP($A431&amp;$B431&amp;$C431,盘货信息!$A:$A&amp;盘货信息!$B:$B&amp;盘货信息!$C:$C,盘货信息!$AB:$AB)="","",_xlfn.XLOOKUP($A431&amp;$B431&amp;$C431,盘货信息!$A:$A&amp;盘货信息!$B:$B&amp;盘货信息!$C:$C,盘货信息!$AB:$AB))</f>
        <v/>
      </c>
      <c r="G431" s="18"/>
    </row>
    <row r="432" customHeight="1" spans="1:7">
      <c r="A432" s="20" t="str">
        <f>IF(盘货信息!A432="","",盘货信息!A432)</f>
        <v/>
      </c>
      <c r="B432" s="17" t="str">
        <f>IF(盘货信息!B432="","",盘货信息!B432)</f>
        <v/>
      </c>
      <c r="C432" s="20" t="str">
        <f>IF(盘货信息!C432="","",盘货信息!C432)</f>
        <v/>
      </c>
      <c r="D432" s="18" t="str">
        <f t="shared" si="6"/>
        <v/>
      </c>
      <c r="E432" s="18" t="str" cm="1">
        <f t="array" ref="E432">IF(_xlfn.XLOOKUP($A432&amp;$B432&amp;$C432,盘货信息!$A:$A&amp;盘货信息!$B:$B&amp;盘货信息!$C:$C,盘货信息!$AA:$AA)="","",_xlfn.XLOOKUP($A432&amp;$B432&amp;$C432,盘货信息!$A:$A&amp;盘货信息!$B:$B&amp;盘货信息!$C:$C,盘货信息!$AA:$AA)&amp;"免息")</f>
        <v/>
      </c>
      <c r="F432" s="18" t="str" cm="1">
        <f t="array" ref="F432">IF(_xlfn.XLOOKUP($A432&amp;$B432&amp;$C432,盘货信息!$A:$A&amp;盘货信息!$B:$B&amp;盘货信息!$C:$C,盘货信息!$AB:$AB)="","",_xlfn.XLOOKUP($A432&amp;$B432&amp;$C432,盘货信息!$A:$A&amp;盘货信息!$B:$B&amp;盘货信息!$C:$C,盘货信息!$AB:$AB))</f>
        <v/>
      </c>
      <c r="G432" s="18"/>
    </row>
    <row r="433" customHeight="1" spans="1:7">
      <c r="A433" s="20" t="str">
        <f>IF(盘货信息!A433="","",盘货信息!A433)</f>
        <v/>
      </c>
      <c r="B433" s="17" t="str">
        <f>IF(盘货信息!B433="","",盘货信息!B433)</f>
        <v/>
      </c>
      <c r="C433" s="20" t="str">
        <f>IF(盘货信息!C433="","",盘货信息!C433)</f>
        <v/>
      </c>
      <c r="D433" s="18" t="str">
        <f t="shared" si="6"/>
        <v/>
      </c>
      <c r="E433" s="18" t="str" cm="1">
        <f t="array" ref="E433">IF(_xlfn.XLOOKUP($A433&amp;$B433&amp;$C433,盘货信息!$A:$A&amp;盘货信息!$B:$B&amp;盘货信息!$C:$C,盘货信息!$AA:$AA)="","",_xlfn.XLOOKUP($A433&amp;$B433&amp;$C433,盘货信息!$A:$A&amp;盘货信息!$B:$B&amp;盘货信息!$C:$C,盘货信息!$AA:$AA)&amp;"免息")</f>
        <v/>
      </c>
      <c r="F433" s="18" t="str" cm="1">
        <f t="array" ref="F433">IF(_xlfn.XLOOKUP($A433&amp;$B433&amp;$C433,盘货信息!$A:$A&amp;盘货信息!$B:$B&amp;盘货信息!$C:$C,盘货信息!$AB:$AB)="","",_xlfn.XLOOKUP($A433&amp;$B433&amp;$C433,盘货信息!$A:$A&amp;盘货信息!$B:$B&amp;盘货信息!$C:$C,盘货信息!$AB:$AB))</f>
        <v/>
      </c>
      <c r="G433" s="18"/>
    </row>
    <row r="434" customHeight="1" spans="1:7">
      <c r="A434" s="20" t="str">
        <f>IF(盘货信息!A434="","",盘货信息!A434)</f>
        <v/>
      </c>
      <c r="B434" s="17" t="str">
        <f>IF(盘货信息!B434="","",盘货信息!B434)</f>
        <v/>
      </c>
      <c r="C434" s="20" t="str">
        <f>IF(盘货信息!C434="","",盘货信息!C434)</f>
        <v/>
      </c>
      <c r="D434" s="18" t="str">
        <f t="shared" si="6"/>
        <v/>
      </c>
      <c r="E434" s="18" t="str" cm="1">
        <f t="array" ref="E434">IF(_xlfn.XLOOKUP($A434&amp;$B434&amp;$C434,盘货信息!$A:$A&amp;盘货信息!$B:$B&amp;盘货信息!$C:$C,盘货信息!$AA:$AA)="","",_xlfn.XLOOKUP($A434&amp;$B434&amp;$C434,盘货信息!$A:$A&amp;盘货信息!$B:$B&amp;盘货信息!$C:$C,盘货信息!$AA:$AA)&amp;"免息")</f>
        <v/>
      </c>
      <c r="F434" s="18" t="str" cm="1">
        <f t="array" ref="F434">IF(_xlfn.XLOOKUP($A434&amp;$B434&amp;$C434,盘货信息!$A:$A&amp;盘货信息!$B:$B&amp;盘货信息!$C:$C,盘货信息!$AB:$AB)="","",_xlfn.XLOOKUP($A434&amp;$B434&amp;$C434,盘货信息!$A:$A&amp;盘货信息!$B:$B&amp;盘货信息!$C:$C,盘货信息!$AB:$AB))</f>
        <v/>
      </c>
      <c r="G434" s="18"/>
    </row>
    <row r="435" customHeight="1" spans="1:7">
      <c r="A435" s="20" t="str">
        <f>IF(盘货信息!A435="","",盘货信息!A435)</f>
        <v/>
      </c>
      <c r="B435" s="17" t="str">
        <f>IF(盘货信息!B435="","",盘货信息!B435)</f>
        <v/>
      </c>
      <c r="C435" s="20" t="str">
        <f>IF(盘货信息!C435="","",盘货信息!C435)</f>
        <v/>
      </c>
      <c r="D435" s="18" t="str">
        <f t="shared" si="6"/>
        <v/>
      </c>
      <c r="E435" s="18" t="str" cm="1">
        <f t="array" ref="E435">IF(_xlfn.XLOOKUP($A435&amp;$B435&amp;$C435,盘货信息!$A:$A&amp;盘货信息!$B:$B&amp;盘货信息!$C:$C,盘货信息!$AA:$AA)="","",_xlfn.XLOOKUP($A435&amp;$B435&amp;$C435,盘货信息!$A:$A&amp;盘货信息!$B:$B&amp;盘货信息!$C:$C,盘货信息!$AA:$AA)&amp;"免息")</f>
        <v/>
      </c>
      <c r="F435" s="18" t="str" cm="1">
        <f t="array" ref="F435">IF(_xlfn.XLOOKUP($A435&amp;$B435&amp;$C435,盘货信息!$A:$A&amp;盘货信息!$B:$B&amp;盘货信息!$C:$C,盘货信息!$AB:$AB)="","",_xlfn.XLOOKUP($A435&amp;$B435&amp;$C435,盘货信息!$A:$A&amp;盘货信息!$B:$B&amp;盘货信息!$C:$C,盘货信息!$AB:$AB))</f>
        <v/>
      </c>
      <c r="G435" s="18"/>
    </row>
    <row r="436" customHeight="1" spans="1:7">
      <c r="A436" s="20" t="str">
        <f>IF(盘货信息!A436="","",盘货信息!A436)</f>
        <v/>
      </c>
      <c r="B436" s="17" t="str">
        <f>IF(盘货信息!B436="","",盘货信息!B436)</f>
        <v/>
      </c>
      <c r="C436" s="20" t="str">
        <f>IF(盘货信息!C436="","",盘货信息!C436)</f>
        <v/>
      </c>
      <c r="D436" s="18" t="str">
        <f t="shared" si="6"/>
        <v/>
      </c>
      <c r="E436" s="18" t="str" cm="1">
        <f t="array" ref="E436">IF(_xlfn.XLOOKUP($A436&amp;$B436&amp;$C436,盘货信息!$A:$A&amp;盘货信息!$B:$B&amp;盘货信息!$C:$C,盘货信息!$AA:$AA)="","",_xlfn.XLOOKUP($A436&amp;$B436&amp;$C436,盘货信息!$A:$A&amp;盘货信息!$B:$B&amp;盘货信息!$C:$C,盘货信息!$AA:$AA)&amp;"免息")</f>
        <v/>
      </c>
      <c r="F436" s="18" t="str" cm="1">
        <f t="array" ref="F436">IF(_xlfn.XLOOKUP($A436&amp;$B436&amp;$C436,盘货信息!$A:$A&amp;盘货信息!$B:$B&amp;盘货信息!$C:$C,盘货信息!$AB:$AB)="","",_xlfn.XLOOKUP($A436&amp;$B436&amp;$C436,盘货信息!$A:$A&amp;盘货信息!$B:$B&amp;盘货信息!$C:$C,盘货信息!$AB:$AB))</f>
        <v/>
      </c>
      <c r="G436" s="18"/>
    </row>
    <row r="437" customHeight="1" spans="1:7">
      <c r="A437" s="20" t="str">
        <f>IF(盘货信息!A437="","",盘货信息!A437)</f>
        <v/>
      </c>
      <c r="B437" s="17" t="str">
        <f>IF(盘货信息!B437="","",盘货信息!B437)</f>
        <v/>
      </c>
      <c r="C437" s="20" t="str">
        <f>IF(盘货信息!C437="","",盘货信息!C437)</f>
        <v/>
      </c>
      <c r="D437" s="18" t="str">
        <f t="shared" si="6"/>
        <v/>
      </c>
      <c r="E437" s="18" t="str" cm="1">
        <f t="array" ref="E437">IF(_xlfn.XLOOKUP($A437&amp;$B437&amp;$C437,盘货信息!$A:$A&amp;盘货信息!$B:$B&amp;盘货信息!$C:$C,盘货信息!$AA:$AA)="","",_xlfn.XLOOKUP($A437&amp;$B437&amp;$C437,盘货信息!$A:$A&amp;盘货信息!$B:$B&amp;盘货信息!$C:$C,盘货信息!$AA:$AA)&amp;"免息")</f>
        <v/>
      </c>
      <c r="F437" s="18" t="str" cm="1">
        <f t="array" ref="F437">IF(_xlfn.XLOOKUP($A437&amp;$B437&amp;$C437,盘货信息!$A:$A&amp;盘货信息!$B:$B&amp;盘货信息!$C:$C,盘货信息!$AB:$AB)="","",_xlfn.XLOOKUP($A437&amp;$B437&amp;$C437,盘货信息!$A:$A&amp;盘货信息!$B:$B&amp;盘货信息!$C:$C,盘货信息!$AB:$AB))</f>
        <v/>
      </c>
      <c r="G437" s="18"/>
    </row>
    <row r="438" customHeight="1" spans="1:7">
      <c r="A438" s="20" t="str">
        <f>IF(盘货信息!A438="","",盘货信息!A438)</f>
        <v/>
      </c>
      <c r="B438" s="17" t="str">
        <f>IF(盘货信息!B438="","",盘货信息!B438)</f>
        <v/>
      </c>
      <c r="C438" s="20" t="str">
        <f>IF(盘货信息!C438="","",盘货信息!C438)</f>
        <v/>
      </c>
      <c r="D438" s="18" t="str">
        <f t="shared" si="6"/>
        <v/>
      </c>
      <c r="E438" s="18" t="str" cm="1">
        <f t="array" ref="E438">IF(_xlfn.XLOOKUP($A438&amp;$B438&amp;$C438,盘货信息!$A:$A&amp;盘货信息!$B:$B&amp;盘货信息!$C:$C,盘货信息!$AA:$AA)="","",_xlfn.XLOOKUP($A438&amp;$B438&amp;$C438,盘货信息!$A:$A&amp;盘货信息!$B:$B&amp;盘货信息!$C:$C,盘货信息!$AA:$AA)&amp;"免息")</f>
        <v/>
      </c>
      <c r="F438" s="18" t="str" cm="1">
        <f t="array" ref="F438">IF(_xlfn.XLOOKUP($A438&amp;$B438&amp;$C438,盘货信息!$A:$A&amp;盘货信息!$B:$B&amp;盘货信息!$C:$C,盘货信息!$AB:$AB)="","",_xlfn.XLOOKUP($A438&amp;$B438&amp;$C438,盘货信息!$A:$A&amp;盘货信息!$B:$B&amp;盘货信息!$C:$C,盘货信息!$AB:$AB))</f>
        <v/>
      </c>
      <c r="G438" s="18"/>
    </row>
    <row r="439" customHeight="1" spans="1:7">
      <c r="A439" s="20" t="str">
        <f>IF(盘货信息!A439="","",盘货信息!A439)</f>
        <v/>
      </c>
      <c r="B439" s="17" t="str">
        <f>IF(盘货信息!B439="","",盘货信息!B439)</f>
        <v/>
      </c>
      <c r="C439" s="20" t="str">
        <f>IF(盘货信息!C439="","",盘货信息!C439)</f>
        <v/>
      </c>
      <c r="D439" s="18" t="str">
        <f t="shared" si="6"/>
        <v/>
      </c>
      <c r="E439" s="18" t="str" cm="1">
        <f t="array" ref="E439">IF(_xlfn.XLOOKUP($A439&amp;$B439&amp;$C439,盘货信息!$A:$A&amp;盘货信息!$B:$B&amp;盘货信息!$C:$C,盘货信息!$AA:$AA)="","",_xlfn.XLOOKUP($A439&amp;$B439&amp;$C439,盘货信息!$A:$A&amp;盘货信息!$B:$B&amp;盘货信息!$C:$C,盘货信息!$AA:$AA)&amp;"免息")</f>
        <v/>
      </c>
      <c r="F439" s="18" t="str" cm="1">
        <f t="array" ref="F439">IF(_xlfn.XLOOKUP($A439&amp;$B439&amp;$C439,盘货信息!$A:$A&amp;盘货信息!$B:$B&amp;盘货信息!$C:$C,盘货信息!$AB:$AB)="","",_xlfn.XLOOKUP($A439&amp;$B439&amp;$C439,盘货信息!$A:$A&amp;盘货信息!$B:$B&amp;盘货信息!$C:$C,盘货信息!$AB:$AB))</f>
        <v/>
      </c>
      <c r="G439" s="18"/>
    </row>
    <row r="440" customHeight="1" spans="1:7">
      <c r="A440" s="20" t="str">
        <f>IF(盘货信息!A440="","",盘货信息!A440)</f>
        <v/>
      </c>
      <c r="B440" s="17" t="str">
        <f>IF(盘货信息!B440="","",盘货信息!B440)</f>
        <v/>
      </c>
      <c r="C440" s="20" t="str">
        <f>IF(盘货信息!C440="","",盘货信息!C440)</f>
        <v/>
      </c>
      <c r="D440" s="18" t="str">
        <f t="shared" si="6"/>
        <v/>
      </c>
      <c r="E440" s="18" t="str" cm="1">
        <f t="array" ref="E440">IF(_xlfn.XLOOKUP($A440&amp;$B440&amp;$C440,盘货信息!$A:$A&amp;盘货信息!$B:$B&amp;盘货信息!$C:$C,盘货信息!$AA:$AA)="","",_xlfn.XLOOKUP($A440&amp;$B440&amp;$C440,盘货信息!$A:$A&amp;盘货信息!$B:$B&amp;盘货信息!$C:$C,盘货信息!$AA:$AA)&amp;"免息")</f>
        <v/>
      </c>
      <c r="F440" s="18" t="str" cm="1">
        <f t="array" ref="F440">IF(_xlfn.XLOOKUP($A440&amp;$B440&amp;$C440,盘货信息!$A:$A&amp;盘货信息!$B:$B&amp;盘货信息!$C:$C,盘货信息!$AB:$AB)="","",_xlfn.XLOOKUP($A440&amp;$B440&amp;$C440,盘货信息!$A:$A&amp;盘货信息!$B:$B&amp;盘货信息!$C:$C,盘货信息!$AB:$AB))</f>
        <v/>
      </c>
      <c r="G440" s="18"/>
    </row>
    <row r="441" customHeight="1" spans="1:7">
      <c r="A441" s="20" t="str">
        <f>IF(盘货信息!A441="","",盘货信息!A441)</f>
        <v/>
      </c>
      <c r="B441" s="17" t="str">
        <f>IF(盘货信息!B441="","",盘货信息!B441)</f>
        <v/>
      </c>
      <c r="C441" s="20" t="str">
        <f>IF(盘货信息!C441="","",盘货信息!C441)</f>
        <v/>
      </c>
      <c r="D441" s="18" t="str">
        <f t="shared" si="6"/>
        <v/>
      </c>
      <c r="E441" s="18" t="str" cm="1">
        <f t="array" ref="E441">IF(_xlfn.XLOOKUP($A441&amp;$B441&amp;$C441,盘货信息!$A:$A&amp;盘货信息!$B:$B&amp;盘货信息!$C:$C,盘货信息!$AA:$AA)="","",_xlfn.XLOOKUP($A441&amp;$B441&amp;$C441,盘货信息!$A:$A&amp;盘货信息!$B:$B&amp;盘货信息!$C:$C,盘货信息!$AA:$AA)&amp;"免息")</f>
        <v/>
      </c>
      <c r="F441" s="18" t="str" cm="1">
        <f t="array" ref="F441">IF(_xlfn.XLOOKUP($A441&amp;$B441&amp;$C441,盘货信息!$A:$A&amp;盘货信息!$B:$B&amp;盘货信息!$C:$C,盘货信息!$AB:$AB)="","",_xlfn.XLOOKUP($A441&amp;$B441&amp;$C441,盘货信息!$A:$A&amp;盘货信息!$B:$B&amp;盘货信息!$C:$C,盘货信息!$AB:$AB))</f>
        <v/>
      </c>
      <c r="G441" s="18"/>
    </row>
    <row r="442" customHeight="1" spans="1:7">
      <c r="A442" s="20" t="str">
        <f>IF(盘货信息!A442="","",盘货信息!A442)</f>
        <v/>
      </c>
      <c r="B442" s="17" t="str">
        <f>IF(盘货信息!B442="","",盘货信息!B442)</f>
        <v/>
      </c>
      <c r="C442" s="20" t="str">
        <f>IF(盘货信息!C442="","",盘货信息!C442)</f>
        <v/>
      </c>
      <c r="D442" s="18" t="str">
        <f t="shared" si="6"/>
        <v/>
      </c>
      <c r="E442" s="18" t="str" cm="1">
        <f t="array" ref="E442">IF(_xlfn.XLOOKUP($A442&amp;$B442&amp;$C442,盘货信息!$A:$A&amp;盘货信息!$B:$B&amp;盘货信息!$C:$C,盘货信息!$AA:$AA)="","",_xlfn.XLOOKUP($A442&amp;$B442&amp;$C442,盘货信息!$A:$A&amp;盘货信息!$B:$B&amp;盘货信息!$C:$C,盘货信息!$AA:$AA)&amp;"免息")</f>
        <v/>
      </c>
      <c r="F442" s="18" t="str" cm="1">
        <f t="array" ref="F442">IF(_xlfn.XLOOKUP($A442&amp;$B442&amp;$C442,盘货信息!$A:$A&amp;盘货信息!$B:$B&amp;盘货信息!$C:$C,盘货信息!$AB:$AB)="","",_xlfn.XLOOKUP($A442&amp;$B442&amp;$C442,盘货信息!$A:$A&amp;盘货信息!$B:$B&amp;盘货信息!$C:$C,盘货信息!$AB:$AB))</f>
        <v/>
      </c>
      <c r="G442" s="18"/>
    </row>
    <row r="443" customHeight="1" spans="1:7">
      <c r="A443" s="20" t="str">
        <f>IF(盘货信息!A443="","",盘货信息!A443)</f>
        <v/>
      </c>
      <c r="B443" s="17" t="str">
        <f>IF(盘货信息!B443="","",盘货信息!B443)</f>
        <v/>
      </c>
      <c r="C443" s="20" t="str">
        <f>IF(盘货信息!C443="","",盘货信息!C443)</f>
        <v/>
      </c>
      <c r="D443" s="18" t="str">
        <f t="shared" si="6"/>
        <v/>
      </c>
      <c r="E443" s="18" t="str" cm="1">
        <f t="array" ref="E443">IF(_xlfn.XLOOKUP($A443&amp;$B443&amp;$C443,盘货信息!$A:$A&amp;盘货信息!$B:$B&amp;盘货信息!$C:$C,盘货信息!$AA:$AA)="","",_xlfn.XLOOKUP($A443&amp;$B443&amp;$C443,盘货信息!$A:$A&amp;盘货信息!$B:$B&amp;盘货信息!$C:$C,盘货信息!$AA:$AA)&amp;"免息")</f>
        <v/>
      </c>
      <c r="F443" s="18" t="str" cm="1">
        <f t="array" ref="F443">IF(_xlfn.XLOOKUP($A443&amp;$B443&amp;$C443,盘货信息!$A:$A&amp;盘货信息!$B:$B&amp;盘货信息!$C:$C,盘货信息!$AB:$AB)="","",_xlfn.XLOOKUP($A443&amp;$B443&amp;$C443,盘货信息!$A:$A&amp;盘货信息!$B:$B&amp;盘货信息!$C:$C,盘货信息!$AB:$AB))</f>
        <v/>
      </c>
      <c r="G443" s="18"/>
    </row>
    <row r="444" customHeight="1" spans="1:7">
      <c r="A444" s="20" t="str">
        <f>IF(盘货信息!A444="","",盘货信息!A444)</f>
        <v/>
      </c>
      <c r="B444" s="17" t="str">
        <f>IF(盘货信息!B444="","",盘货信息!B444)</f>
        <v/>
      </c>
      <c r="C444" s="20" t="str">
        <f>IF(盘货信息!C444="","",盘货信息!C444)</f>
        <v/>
      </c>
      <c r="D444" s="18" t="str">
        <f t="shared" si="6"/>
        <v/>
      </c>
      <c r="E444" s="18" t="str" cm="1">
        <f t="array" ref="E444">IF(_xlfn.XLOOKUP($A444&amp;$B444&amp;$C444,盘货信息!$A:$A&amp;盘货信息!$B:$B&amp;盘货信息!$C:$C,盘货信息!$AA:$AA)="","",_xlfn.XLOOKUP($A444&amp;$B444&amp;$C444,盘货信息!$A:$A&amp;盘货信息!$B:$B&amp;盘货信息!$C:$C,盘货信息!$AA:$AA)&amp;"免息")</f>
        <v/>
      </c>
      <c r="F444" s="18" t="str" cm="1">
        <f t="array" ref="F444">IF(_xlfn.XLOOKUP($A444&amp;$B444&amp;$C444,盘货信息!$A:$A&amp;盘货信息!$B:$B&amp;盘货信息!$C:$C,盘货信息!$AB:$AB)="","",_xlfn.XLOOKUP($A444&amp;$B444&amp;$C444,盘货信息!$A:$A&amp;盘货信息!$B:$B&amp;盘货信息!$C:$C,盘货信息!$AB:$AB))</f>
        <v/>
      </c>
      <c r="G444" s="18"/>
    </row>
    <row r="445" customHeight="1" spans="1:7">
      <c r="A445" s="20" t="str">
        <f>IF(盘货信息!A445="","",盘货信息!A445)</f>
        <v/>
      </c>
      <c r="B445" s="17" t="str">
        <f>IF(盘货信息!B445="","",盘货信息!B445)</f>
        <v/>
      </c>
      <c r="C445" s="20" t="str">
        <f>IF(盘货信息!C445="","",盘货信息!C445)</f>
        <v/>
      </c>
      <c r="D445" s="18" t="str">
        <f t="shared" si="6"/>
        <v/>
      </c>
      <c r="E445" s="18" t="str" cm="1">
        <f t="array" ref="E445">IF(_xlfn.XLOOKUP($A445&amp;$B445&amp;$C445,盘货信息!$A:$A&amp;盘货信息!$B:$B&amp;盘货信息!$C:$C,盘货信息!$AA:$AA)="","",_xlfn.XLOOKUP($A445&amp;$B445&amp;$C445,盘货信息!$A:$A&amp;盘货信息!$B:$B&amp;盘货信息!$C:$C,盘货信息!$AA:$AA)&amp;"免息")</f>
        <v/>
      </c>
      <c r="F445" s="18" t="str" cm="1">
        <f t="array" ref="F445">IF(_xlfn.XLOOKUP($A445&amp;$B445&amp;$C445,盘货信息!$A:$A&amp;盘货信息!$B:$B&amp;盘货信息!$C:$C,盘货信息!$AB:$AB)="","",_xlfn.XLOOKUP($A445&amp;$B445&amp;$C445,盘货信息!$A:$A&amp;盘货信息!$B:$B&amp;盘货信息!$C:$C,盘货信息!$AB:$AB))</f>
        <v/>
      </c>
      <c r="G445" s="18"/>
    </row>
    <row r="446" customHeight="1" spans="1:7">
      <c r="A446" s="20" t="str">
        <f>IF(盘货信息!A446="","",盘货信息!A446)</f>
        <v/>
      </c>
      <c r="B446" s="17" t="str">
        <f>IF(盘货信息!B446="","",盘货信息!B446)</f>
        <v/>
      </c>
      <c r="C446" s="20" t="str">
        <f>IF(盘货信息!C446="","",盘货信息!C446)</f>
        <v/>
      </c>
      <c r="D446" s="18" t="str">
        <f t="shared" si="6"/>
        <v/>
      </c>
      <c r="E446" s="18" t="str" cm="1">
        <f t="array" ref="E446">IF(_xlfn.XLOOKUP($A446&amp;$B446&amp;$C446,盘货信息!$A:$A&amp;盘货信息!$B:$B&amp;盘货信息!$C:$C,盘货信息!$AA:$AA)="","",_xlfn.XLOOKUP($A446&amp;$B446&amp;$C446,盘货信息!$A:$A&amp;盘货信息!$B:$B&amp;盘货信息!$C:$C,盘货信息!$AA:$AA)&amp;"免息")</f>
        <v/>
      </c>
      <c r="F446" s="18" t="str" cm="1">
        <f t="array" ref="F446">IF(_xlfn.XLOOKUP($A446&amp;$B446&amp;$C446,盘货信息!$A:$A&amp;盘货信息!$B:$B&amp;盘货信息!$C:$C,盘货信息!$AB:$AB)="","",_xlfn.XLOOKUP($A446&amp;$B446&amp;$C446,盘货信息!$A:$A&amp;盘货信息!$B:$B&amp;盘货信息!$C:$C,盘货信息!$AB:$AB))</f>
        <v/>
      </c>
      <c r="G446" s="18"/>
    </row>
    <row r="447" customHeight="1" spans="1:7">
      <c r="A447" s="20" t="str">
        <f>IF(盘货信息!A447="","",盘货信息!A447)</f>
        <v/>
      </c>
      <c r="B447" s="17" t="str">
        <f>IF(盘货信息!B447="","",盘货信息!B447)</f>
        <v/>
      </c>
      <c r="C447" s="20" t="str">
        <f>IF(盘货信息!C447="","",盘货信息!C447)</f>
        <v/>
      </c>
      <c r="D447" s="18" t="str">
        <f t="shared" si="6"/>
        <v/>
      </c>
      <c r="E447" s="18" t="str" cm="1">
        <f t="array" ref="E447">IF(_xlfn.XLOOKUP($A447&amp;$B447&amp;$C447,盘货信息!$A:$A&amp;盘货信息!$B:$B&amp;盘货信息!$C:$C,盘货信息!$AA:$AA)="","",_xlfn.XLOOKUP($A447&amp;$B447&amp;$C447,盘货信息!$A:$A&amp;盘货信息!$B:$B&amp;盘货信息!$C:$C,盘货信息!$AA:$AA)&amp;"免息")</f>
        <v/>
      </c>
      <c r="F447" s="18" t="str" cm="1">
        <f t="array" ref="F447">IF(_xlfn.XLOOKUP($A447&amp;$B447&amp;$C447,盘货信息!$A:$A&amp;盘货信息!$B:$B&amp;盘货信息!$C:$C,盘货信息!$AB:$AB)="","",_xlfn.XLOOKUP($A447&amp;$B447&amp;$C447,盘货信息!$A:$A&amp;盘货信息!$B:$B&amp;盘货信息!$C:$C,盘货信息!$AB:$AB))</f>
        <v/>
      </c>
      <c r="G447" s="18"/>
    </row>
    <row r="448" customHeight="1" spans="1:7">
      <c r="A448" s="20" t="str">
        <f>IF(盘货信息!A448="","",盘货信息!A448)</f>
        <v/>
      </c>
      <c r="B448" s="17" t="str">
        <f>IF(盘货信息!B448="","",盘货信息!B448)</f>
        <v/>
      </c>
      <c r="C448" s="20" t="str">
        <f>IF(盘货信息!C448="","",盘货信息!C448)</f>
        <v/>
      </c>
      <c r="D448" s="18" t="str">
        <f t="shared" si="6"/>
        <v/>
      </c>
      <c r="E448" s="18" t="str" cm="1">
        <f t="array" ref="E448">IF(_xlfn.XLOOKUP($A448&amp;$B448&amp;$C448,盘货信息!$A:$A&amp;盘货信息!$B:$B&amp;盘货信息!$C:$C,盘货信息!$AA:$AA)="","",_xlfn.XLOOKUP($A448&amp;$B448&amp;$C448,盘货信息!$A:$A&amp;盘货信息!$B:$B&amp;盘货信息!$C:$C,盘货信息!$AA:$AA)&amp;"免息")</f>
        <v/>
      </c>
      <c r="F448" s="18" t="str" cm="1">
        <f t="array" ref="F448">IF(_xlfn.XLOOKUP($A448&amp;$B448&amp;$C448,盘货信息!$A:$A&amp;盘货信息!$B:$B&amp;盘货信息!$C:$C,盘货信息!$AB:$AB)="","",_xlfn.XLOOKUP($A448&amp;$B448&amp;$C448,盘货信息!$A:$A&amp;盘货信息!$B:$B&amp;盘货信息!$C:$C,盘货信息!$AB:$AB))</f>
        <v/>
      </c>
      <c r="G448" s="18"/>
    </row>
    <row r="449" customHeight="1" spans="1:7">
      <c r="A449" s="20" t="str">
        <f>IF(盘货信息!A449="","",盘货信息!A449)</f>
        <v/>
      </c>
      <c r="B449" s="17" t="str">
        <f>IF(盘货信息!B449="","",盘货信息!B449)</f>
        <v/>
      </c>
      <c r="C449" s="20" t="str">
        <f>IF(盘货信息!C449="","",盘货信息!C449)</f>
        <v/>
      </c>
      <c r="D449" s="18" t="str">
        <f t="shared" si="6"/>
        <v/>
      </c>
      <c r="E449" s="18" t="str" cm="1">
        <f t="array" ref="E449">IF(_xlfn.XLOOKUP($A449&amp;$B449&amp;$C449,盘货信息!$A:$A&amp;盘货信息!$B:$B&amp;盘货信息!$C:$C,盘货信息!$AA:$AA)="","",_xlfn.XLOOKUP($A449&amp;$B449&amp;$C449,盘货信息!$A:$A&amp;盘货信息!$B:$B&amp;盘货信息!$C:$C,盘货信息!$AA:$AA)&amp;"免息")</f>
        <v/>
      </c>
      <c r="F449" s="18" t="str" cm="1">
        <f t="array" ref="F449">IF(_xlfn.XLOOKUP($A449&amp;$B449&amp;$C449,盘货信息!$A:$A&amp;盘货信息!$B:$B&amp;盘货信息!$C:$C,盘货信息!$AB:$AB)="","",_xlfn.XLOOKUP($A449&amp;$B449&amp;$C449,盘货信息!$A:$A&amp;盘货信息!$B:$B&amp;盘货信息!$C:$C,盘货信息!$AB:$AB))</f>
        <v/>
      </c>
      <c r="G449" s="18"/>
    </row>
    <row r="450" customHeight="1" spans="1:7">
      <c r="A450" s="20" t="str">
        <f>IF(盘货信息!A450="","",盘货信息!A450)</f>
        <v/>
      </c>
      <c r="B450" s="17" t="str">
        <f>IF(盘货信息!B450="","",盘货信息!B450)</f>
        <v/>
      </c>
      <c r="C450" s="20" t="str">
        <f>IF(盘货信息!C450="","",盘货信息!C450)</f>
        <v/>
      </c>
      <c r="D450" s="18" t="str">
        <f t="shared" si="6"/>
        <v/>
      </c>
      <c r="E450" s="18" t="str" cm="1">
        <f t="array" ref="E450">IF(_xlfn.XLOOKUP($A450&amp;$B450&amp;$C450,盘货信息!$A:$A&amp;盘货信息!$B:$B&amp;盘货信息!$C:$C,盘货信息!$AA:$AA)="","",_xlfn.XLOOKUP($A450&amp;$B450&amp;$C450,盘货信息!$A:$A&amp;盘货信息!$B:$B&amp;盘货信息!$C:$C,盘货信息!$AA:$AA)&amp;"免息")</f>
        <v/>
      </c>
      <c r="F450" s="18" t="str" cm="1">
        <f t="array" ref="F450">IF(_xlfn.XLOOKUP($A450&amp;$B450&amp;$C450,盘货信息!$A:$A&amp;盘货信息!$B:$B&amp;盘货信息!$C:$C,盘货信息!$AB:$AB)="","",_xlfn.XLOOKUP($A450&amp;$B450&amp;$C450,盘货信息!$A:$A&amp;盘货信息!$B:$B&amp;盘货信息!$C:$C,盘货信息!$AB:$AB))</f>
        <v/>
      </c>
      <c r="G450" s="18"/>
    </row>
    <row r="451" customHeight="1" spans="1:7">
      <c r="A451" s="20" t="str">
        <f>IF(盘货信息!A451="","",盘货信息!A451)</f>
        <v/>
      </c>
      <c r="B451" s="17" t="str">
        <f>IF(盘货信息!B451="","",盘货信息!B451)</f>
        <v/>
      </c>
      <c r="C451" s="20" t="str">
        <f>IF(盘货信息!C451="","",盘货信息!C451)</f>
        <v/>
      </c>
      <c r="D451" s="18" t="str">
        <f t="shared" ref="D451:D501" si="7">IF(C451="","","【服务】"&amp;_xlfn.TEXTJOIN("，",TRUE,E451:G451))</f>
        <v/>
      </c>
      <c r="E451" s="18" t="str" cm="1">
        <f t="array" ref="E451">IF(_xlfn.XLOOKUP($A451&amp;$B451&amp;$C451,盘货信息!$A:$A&amp;盘货信息!$B:$B&amp;盘货信息!$C:$C,盘货信息!$AA:$AA)="","",_xlfn.XLOOKUP($A451&amp;$B451&amp;$C451,盘货信息!$A:$A&amp;盘货信息!$B:$B&amp;盘货信息!$C:$C,盘货信息!$AA:$AA)&amp;"免息")</f>
        <v/>
      </c>
      <c r="F451" s="18" t="str" cm="1">
        <f t="array" ref="F451">IF(_xlfn.XLOOKUP($A451&amp;$B451&amp;$C451,盘货信息!$A:$A&amp;盘货信息!$B:$B&amp;盘货信息!$C:$C,盘货信息!$AB:$AB)="","",_xlfn.XLOOKUP($A451&amp;$B451&amp;$C451,盘货信息!$A:$A&amp;盘货信息!$B:$B&amp;盘货信息!$C:$C,盘货信息!$AB:$AB))</f>
        <v/>
      </c>
      <c r="G451" s="18"/>
    </row>
    <row r="452" customHeight="1" spans="1:7">
      <c r="A452" s="20" t="str">
        <f>IF(盘货信息!A452="","",盘货信息!A452)</f>
        <v/>
      </c>
      <c r="B452" s="17" t="str">
        <f>IF(盘货信息!B452="","",盘货信息!B452)</f>
        <v/>
      </c>
      <c r="C452" s="20" t="str">
        <f>IF(盘货信息!C452="","",盘货信息!C452)</f>
        <v/>
      </c>
      <c r="D452" s="18" t="str">
        <f t="shared" si="7"/>
        <v/>
      </c>
      <c r="E452" s="18" t="str" cm="1">
        <f t="array" ref="E452">IF(_xlfn.XLOOKUP($A452&amp;$B452&amp;$C452,盘货信息!$A:$A&amp;盘货信息!$B:$B&amp;盘货信息!$C:$C,盘货信息!$AA:$AA)="","",_xlfn.XLOOKUP($A452&amp;$B452&amp;$C452,盘货信息!$A:$A&amp;盘货信息!$B:$B&amp;盘货信息!$C:$C,盘货信息!$AA:$AA)&amp;"免息")</f>
        <v/>
      </c>
      <c r="F452" s="18" t="str" cm="1">
        <f t="array" ref="F452">IF(_xlfn.XLOOKUP($A452&amp;$B452&amp;$C452,盘货信息!$A:$A&amp;盘货信息!$B:$B&amp;盘货信息!$C:$C,盘货信息!$AB:$AB)="","",_xlfn.XLOOKUP($A452&amp;$B452&amp;$C452,盘货信息!$A:$A&amp;盘货信息!$B:$B&amp;盘货信息!$C:$C,盘货信息!$AB:$AB))</f>
        <v/>
      </c>
      <c r="G452" s="18"/>
    </row>
    <row r="453" customHeight="1" spans="1:7">
      <c r="A453" s="20" t="str">
        <f>IF(盘货信息!A453="","",盘货信息!A453)</f>
        <v/>
      </c>
      <c r="B453" s="17" t="str">
        <f>IF(盘货信息!B453="","",盘货信息!B453)</f>
        <v/>
      </c>
      <c r="C453" s="20" t="str">
        <f>IF(盘货信息!C453="","",盘货信息!C453)</f>
        <v/>
      </c>
      <c r="D453" s="18" t="str">
        <f t="shared" si="7"/>
        <v/>
      </c>
      <c r="E453" s="18" t="str" cm="1">
        <f t="array" ref="E453">IF(_xlfn.XLOOKUP($A453&amp;$B453&amp;$C453,盘货信息!$A:$A&amp;盘货信息!$B:$B&amp;盘货信息!$C:$C,盘货信息!$AA:$AA)="","",_xlfn.XLOOKUP($A453&amp;$B453&amp;$C453,盘货信息!$A:$A&amp;盘货信息!$B:$B&amp;盘货信息!$C:$C,盘货信息!$AA:$AA)&amp;"免息")</f>
        <v/>
      </c>
      <c r="F453" s="18" t="str" cm="1">
        <f t="array" ref="F453">IF(_xlfn.XLOOKUP($A453&amp;$B453&amp;$C453,盘货信息!$A:$A&amp;盘货信息!$B:$B&amp;盘货信息!$C:$C,盘货信息!$AB:$AB)="","",_xlfn.XLOOKUP($A453&amp;$B453&amp;$C453,盘货信息!$A:$A&amp;盘货信息!$B:$B&amp;盘货信息!$C:$C,盘货信息!$AB:$AB))</f>
        <v/>
      </c>
      <c r="G453" s="18"/>
    </row>
    <row r="454" customHeight="1" spans="1:7">
      <c r="A454" s="20" t="str">
        <f>IF(盘货信息!A454="","",盘货信息!A454)</f>
        <v/>
      </c>
      <c r="B454" s="17" t="str">
        <f>IF(盘货信息!B454="","",盘货信息!B454)</f>
        <v/>
      </c>
      <c r="C454" s="20" t="str">
        <f>IF(盘货信息!C454="","",盘货信息!C454)</f>
        <v/>
      </c>
      <c r="D454" s="18" t="str">
        <f t="shared" si="7"/>
        <v/>
      </c>
      <c r="E454" s="18" t="str" cm="1">
        <f t="array" ref="E454">IF(_xlfn.XLOOKUP($A454&amp;$B454&amp;$C454,盘货信息!$A:$A&amp;盘货信息!$B:$B&amp;盘货信息!$C:$C,盘货信息!$AA:$AA)="","",_xlfn.XLOOKUP($A454&amp;$B454&amp;$C454,盘货信息!$A:$A&amp;盘货信息!$B:$B&amp;盘货信息!$C:$C,盘货信息!$AA:$AA)&amp;"免息")</f>
        <v/>
      </c>
      <c r="F454" s="18" t="str" cm="1">
        <f t="array" ref="F454">IF(_xlfn.XLOOKUP($A454&amp;$B454&amp;$C454,盘货信息!$A:$A&amp;盘货信息!$B:$B&amp;盘货信息!$C:$C,盘货信息!$AB:$AB)="","",_xlfn.XLOOKUP($A454&amp;$B454&amp;$C454,盘货信息!$A:$A&amp;盘货信息!$B:$B&amp;盘货信息!$C:$C,盘货信息!$AB:$AB))</f>
        <v/>
      </c>
      <c r="G454" s="18"/>
    </row>
    <row r="455" customHeight="1" spans="1:7">
      <c r="A455" s="20" t="str">
        <f>IF(盘货信息!A455="","",盘货信息!A455)</f>
        <v/>
      </c>
      <c r="B455" s="17" t="str">
        <f>IF(盘货信息!B455="","",盘货信息!B455)</f>
        <v/>
      </c>
      <c r="C455" s="20" t="str">
        <f>IF(盘货信息!C455="","",盘货信息!C455)</f>
        <v/>
      </c>
      <c r="D455" s="18" t="str">
        <f t="shared" si="7"/>
        <v/>
      </c>
      <c r="E455" s="18" t="str" cm="1">
        <f t="array" ref="E455">IF(_xlfn.XLOOKUP($A455&amp;$B455&amp;$C455,盘货信息!$A:$A&amp;盘货信息!$B:$B&amp;盘货信息!$C:$C,盘货信息!$AA:$AA)="","",_xlfn.XLOOKUP($A455&amp;$B455&amp;$C455,盘货信息!$A:$A&amp;盘货信息!$B:$B&amp;盘货信息!$C:$C,盘货信息!$AA:$AA)&amp;"免息")</f>
        <v/>
      </c>
      <c r="F455" s="18" t="str" cm="1">
        <f t="array" ref="F455">IF(_xlfn.XLOOKUP($A455&amp;$B455&amp;$C455,盘货信息!$A:$A&amp;盘货信息!$B:$B&amp;盘货信息!$C:$C,盘货信息!$AB:$AB)="","",_xlfn.XLOOKUP($A455&amp;$B455&amp;$C455,盘货信息!$A:$A&amp;盘货信息!$B:$B&amp;盘货信息!$C:$C,盘货信息!$AB:$AB))</f>
        <v/>
      </c>
      <c r="G455" s="18"/>
    </row>
    <row r="456" customHeight="1" spans="1:7">
      <c r="A456" s="20" t="str">
        <f>IF(盘货信息!A456="","",盘货信息!A456)</f>
        <v/>
      </c>
      <c r="B456" s="17" t="str">
        <f>IF(盘货信息!B456="","",盘货信息!B456)</f>
        <v/>
      </c>
      <c r="C456" s="20" t="str">
        <f>IF(盘货信息!C456="","",盘货信息!C456)</f>
        <v/>
      </c>
      <c r="D456" s="18" t="str">
        <f t="shared" si="7"/>
        <v/>
      </c>
      <c r="E456" s="18" t="str" cm="1">
        <f t="array" ref="E456">IF(_xlfn.XLOOKUP($A456&amp;$B456&amp;$C456,盘货信息!$A:$A&amp;盘货信息!$B:$B&amp;盘货信息!$C:$C,盘货信息!$AA:$AA)="","",_xlfn.XLOOKUP($A456&amp;$B456&amp;$C456,盘货信息!$A:$A&amp;盘货信息!$B:$B&amp;盘货信息!$C:$C,盘货信息!$AA:$AA)&amp;"免息")</f>
        <v/>
      </c>
      <c r="F456" s="18" t="str" cm="1">
        <f t="array" ref="F456">IF(_xlfn.XLOOKUP($A456&amp;$B456&amp;$C456,盘货信息!$A:$A&amp;盘货信息!$B:$B&amp;盘货信息!$C:$C,盘货信息!$AB:$AB)="","",_xlfn.XLOOKUP($A456&amp;$B456&amp;$C456,盘货信息!$A:$A&amp;盘货信息!$B:$B&amp;盘货信息!$C:$C,盘货信息!$AB:$AB))</f>
        <v/>
      </c>
      <c r="G456" s="18"/>
    </row>
    <row r="457" customHeight="1" spans="1:7">
      <c r="A457" s="20" t="str">
        <f>IF(盘货信息!A457="","",盘货信息!A457)</f>
        <v/>
      </c>
      <c r="B457" s="17" t="str">
        <f>IF(盘货信息!B457="","",盘货信息!B457)</f>
        <v/>
      </c>
      <c r="C457" s="20" t="str">
        <f>IF(盘货信息!C457="","",盘货信息!C457)</f>
        <v/>
      </c>
      <c r="D457" s="18" t="str">
        <f t="shared" si="7"/>
        <v/>
      </c>
      <c r="E457" s="18" t="str" cm="1">
        <f t="array" ref="E457">IF(_xlfn.XLOOKUP($A457&amp;$B457&amp;$C457,盘货信息!$A:$A&amp;盘货信息!$B:$B&amp;盘货信息!$C:$C,盘货信息!$AA:$AA)="","",_xlfn.XLOOKUP($A457&amp;$B457&amp;$C457,盘货信息!$A:$A&amp;盘货信息!$B:$B&amp;盘货信息!$C:$C,盘货信息!$AA:$AA)&amp;"免息")</f>
        <v/>
      </c>
      <c r="F457" s="18" t="str" cm="1">
        <f t="array" ref="F457">IF(_xlfn.XLOOKUP($A457&amp;$B457&amp;$C457,盘货信息!$A:$A&amp;盘货信息!$B:$B&amp;盘货信息!$C:$C,盘货信息!$AB:$AB)="","",_xlfn.XLOOKUP($A457&amp;$B457&amp;$C457,盘货信息!$A:$A&amp;盘货信息!$B:$B&amp;盘货信息!$C:$C,盘货信息!$AB:$AB))</f>
        <v/>
      </c>
      <c r="G457" s="18"/>
    </row>
    <row r="458" customHeight="1" spans="1:7">
      <c r="A458" s="20" t="str">
        <f>IF(盘货信息!A458="","",盘货信息!A458)</f>
        <v/>
      </c>
      <c r="B458" s="17" t="str">
        <f>IF(盘货信息!B458="","",盘货信息!B458)</f>
        <v/>
      </c>
      <c r="C458" s="20" t="str">
        <f>IF(盘货信息!C458="","",盘货信息!C458)</f>
        <v/>
      </c>
      <c r="D458" s="18" t="str">
        <f t="shared" si="7"/>
        <v/>
      </c>
      <c r="E458" s="18" t="str" cm="1">
        <f t="array" ref="E458">IF(_xlfn.XLOOKUP($A458&amp;$B458&amp;$C458,盘货信息!$A:$A&amp;盘货信息!$B:$B&amp;盘货信息!$C:$C,盘货信息!$AA:$AA)="","",_xlfn.XLOOKUP($A458&amp;$B458&amp;$C458,盘货信息!$A:$A&amp;盘货信息!$B:$B&amp;盘货信息!$C:$C,盘货信息!$AA:$AA)&amp;"免息")</f>
        <v/>
      </c>
      <c r="F458" s="18" t="str" cm="1">
        <f t="array" ref="F458">IF(_xlfn.XLOOKUP($A458&amp;$B458&amp;$C458,盘货信息!$A:$A&amp;盘货信息!$B:$B&amp;盘货信息!$C:$C,盘货信息!$AB:$AB)="","",_xlfn.XLOOKUP($A458&amp;$B458&amp;$C458,盘货信息!$A:$A&amp;盘货信息!$B:$B&amp;盘货信息!$C:$C,盘货信息!$AB:$AB))</f>
        <v/>
      </c>
      <c r="G458" s="18"/>
    </row>
    <row r="459" customHeight="1" spans="1:7">
      <c r="A459" s="20" t="str">
        <f>IF(盘货信息!A459="","",盘货信息!A459)</f>
        <v/>
      </c>
      <c r="B459" s="17" t="str">
        <f>IF(盘货信息!B459="","",盘货信息!B459)</f>
        <v/>
      </c>
      <c r="C459" s="20" t="str">
        <f>IF(盘货信息!C459="","",盘货信息!C459)</f>
        <v/>
      </c>
      <c r="D459" s="18" t="str">
        <f t="shared" si="7"/>
        <v/>
      </c>
      <c r="E459" s="18" t="str" cm="1">
        <f t="array" ref="E459">IF(_xlfn.XLOOKUP($A459&amp;$B459&amp;$C459,盘货信息!$A:$A&amp;盘货信息!$B:$B&amp;盘货信息!$C:$C,盘货信息!$AA:$AA)="","",_xlfn.XLOOKUP($A459&amp;$B459&amp;$C459,盘货信息!$A:$A&amp;盘货信息!$B:$B&amp;盘货信息!$C:$C,盘货信息!$AA:$AA)&amp;"免息")</f>
        <v/>
      </c>
      <c r="F459" s="18" t="str" cm="1">
        <f t="array" ref="F459">IF(_xlfn.XLOOKUP($A459&amp;$B459&amp;$C459,盘货信息!$A:$A&amp;盘货信息!$B:$B&amp;盘货信息!$C:$C,盘货信息!$AB:$AB)="","",_xlfn.XLOOKUP($A459&amp;$B459&amp;$C459,盘货信息!$A:$A&amp;盘货信息!$B:$B&amp;盘货信息!$C:$C,盘货信息!$AB:$AB))</f>
        <v/>
      </c>
      <c r="G459" s="18"/>
    </row>
    <row r="460" customHeight="1" spans="1:7">
      <c r="A460" s="20" t="str">
        <f>IF(盘货信息!A460="","",盘货信息!A460)</f>
        <v/>
      </c>
      <c r="B460" s="17" t="str">
        <f>IF(盘货信息!B460="","",盘货信息!B460)</f>
        <v/>
      </c>
      <c r="C460" s="20" t="str">
        <f>IF(盘货信息!C460="","",盘货信息!C460)</f>
        <v/>
      </c>
      <c r="D460" s="18" t="str">
        <f t="shared" si="7"/>
        <v/>
      </c>
      <c r="E460" s="18" t="str" cm="1">
        <f t="array" ref="E460">IF(_xlfn.XLOOKUP($A460&amp;$B460&amp;$C460,盘货信息!$A:$A&amp;盘货信息!$B:$B&amp;盘货信息!$C:$C,盘货信息!$AA:$AA)="","",_xlfn.XLOOKUP($A460&amp;$B460&amp;$C460,盘货信息!$A:$A&amp;盘货信息!$B:$B&amp;盘货信息!$C:$C,盘货信息!$AA:$AA)&amp;"免息")</f>
        <v/>
      </c>
      <c r="F460" s="18" t="str" cm="1">
        <f t="array" ref="F460">IF(_xlfn.XLOOKUP($A460&amp;$B460&amp;$C460,盘货信息!$A:$A&amp;盘货信息!$B:$B&amp;盘货信息!$C:$C,盘货信息!$AB:$AB)="","",_xlfn.XLOOKUP($A460&amp;$B460&amp;$C460,盘货信息!$A:$A&amp;盘货信息!$B:$B&amp;盘货信息!$C:$C,盘货信息!$AB:$AB))</f>
        <v/>
      </c>
      <c r="G460" s="18"/>
    </row>
    <row r="461" customHeight="1" spans="1:7">
      <c r="A461" s="20" t="str">
        <f>IF(盘货信息!A461="","",盘货信息!A461)</f>
        <v/>
      </c>
      <c r="B461" s="17" t="str">
        <f>IF(盘货信息!B461="","",盘货信息!B461)</f>
        <v/>
      </c>
      <c r="C461" s="20" t="str">
        <f>IF(盘货信息!C461="","",盘货信息!C461)</f>
        <v/>
      </c>
      <c r="D461" s="18" t="str">
        <f t="shared" si="7"/>
        <v/>
      </c>
      <c r="E461" s="18" t="str" cm="1">
        <f t="array" ref="E461">IF(_xlfn.XLOOKUP($A461&amp;$B461&amp;$C461,盘货信息!$A:$A&amp;盘货信息!$B:$B&amp;盘货信息!$C:$C,盘货信息!$AA:$AA)="","",_xlfn.XLOOKUP($A461&amp;$B461&amp;$C461,盘货信息!$A:$A&amp;盘货信息!$B:$B&amp;盘货信息!$C:$C,盘货信息!$AA:$AA)&amp;"免息")</f>
        <v/>
      </c>
      <c r="F461" s="18" t="str" cm="1">
        <f t="array" ref="F461">IF(_xlfn.XLOOKUP($A461&amp;$B461&amp;$C461,盘货信息!$A:$A&amp;盘货信息!$B:$B&amp;盘货信息!$C:$C,盘货信息!$AB:$AB)="","",_xlfn.XLOOKUP($A461&amp;$B461&amp;$C461,盘货信息!$A:$A&amp;盘货信息!$B:$B&amp;盘货信息!$C:$C,盘货信息!$AB:$AB))</f>
        <v/>
      </c>
      <c r="G461" s="18"/>
    </row>
    <row r="462" customHeight="1" spans="1:7">
      <c r="A462" s="20" t="str">
        <f>IF(盘货信息!A462="","",盘货信息!A462)</f>
        <v/>
      </c>
      <c r="B462" s="17" t="str">
        <f>IF(盘货信息!B462="","",盘货信息!B462)</f>
        <v/>
      </c>
      <c r="C462" s="20" t="str">
        <f>IF(盘货信息!C462="","",盘货信息!C462)</f>
        <v/>
      </c>
      <c r="D462" s="18" t="str">
        <f t="shared" si="7"/>
        <v/>
      </c>
      <c r="E462" s="18" t="str" cm="1">
        <f t="array" ref="E462">IF(_xlfn.XLOOKUP($A462&amp;$B462&amp;$C462,盘货信息!$A:$A&amp;盘货信息!$B:$B&amp;盘货信息!$C:$C,盘货信息!$AA:$AA)="","",_xlfn.XLOOKUP($A462&amp;$B462&amp;$C462,盘货信息!$A:$A&amp;盘货信息!$B:$B&amp;盘货信息!$C:$C,盘货信息!$AA:$AA)&amp;"免息")</f>
        <v/>
      </c>
      <c r="F462" s="18" t="str" cm="1">
        <f t="array" ref="F462">IF(_xlfn.XLOOKUP($A462&amp;$B462&amp;$C462,盘货信息!$A:$A&amp;盘货信息!$B:$B&amp;盘货信息!$C:$C,盘货信息!$AB:$AB)="","",_xlfn.XLOOKUP($A462&amp;$B462&amp;$C462,盘货信息!$A:$A&amp;盘货信息!$B:$B&amp;盘货信息!$C:$C,盘货信息!$AB:$AB))</f>
        <v/>
      </c>
      <c r="G462" s="18"/>
    </row>
    <row r="463" customHeight="1" spans="1:7">
      <c r="A463" s="20" t="str">
        <f>IF(盘货信息!A463="","",盘货信息!A463)</f>
        <v/>
      </c>
      <c r="B463" s="17" t="str">
        <f>IF(盘货信息!B463="","",盘货信息!B463)</f>
        <v/>
      </c>
      <c r="C463" s="20" t="str">
        <f>IF(盘货信息!C463="","",盘货信息!C463)</f>
        <v/>
      </c>
      <c r="D463" s="18" t="str">
        <f t="shared" si="7"/>
        <v/>
      </c>
      <c r="E463" s="18" t="str" cm="1">
        <f t="array" ref="E463">IF(_xlfn.XLOOKUP($A463&amp;$B463&amp;$C463,盘货信息!$A:$A&amp;盘货信息!$B:$B&amp;盘货信息!$C:$C,盘货信息!$AA:$AA)="","",_xlfn.XLOOKUP($A463&amp;$B463&amp;$C463,盘货信息!$A:$A&amp;盘货信息!$B:$B&amp;盘货信息!$C:$C,盘货信息!$AA:$AA)&amp;"免息")</f>
        <v/>
      </c>
      <c r="F463" s="18" t="str" cm="1">
        <f t="array" ref="F463">IF(_xlfn.XLOOKUP($A463&amp;$B463&amp;$C463,盘货信息!$A:$A&amp;盘货信息!$B:$B&amp;盘货信息!$C:$C,盘货信息!$AB:$AB)="","",_xlfn.XLOOKUP($A463&amp;$B463&amp;$C463,盘货信息!$A:$A&amp;盘货信息!$B:$B&amp;盘货信息!$C:$C,盘货信息!$AB:$AB))</f>
        <v/>
      </c>
      <c r="G463" s="18"/>
    </row>
    <row r="464" customHeight="1" spans="1:7">
      <c r="A464" s="20" t="str">
        <f>IF(盘货信息!A464="","",盘货信息!A464)</f>
        <v/>
      </c>
      <c r="B464" s="17" t="str">
        <f>IF(盘货信息!B464="","",盘货信息!B464)</f>
        <v/>
      </c>
      <c r="C464" s="20" t="str">
        <f>IF(盘货信息!C464="","",盘货信息!C464)</f>
        <v/>
      </c>
      <c r="D464" s="18" t="str">
        <f t="shared" si="7"/>
        <v/>
      </c>
      <c r="E464" s="18" t="str" cm="1">
        <f t="array" ref="E464">IF(_xlfn.XLOOKUP($A464&amp;$B464&amp;$C464,盘货信息!$A:$A&amp;盘货信息!$B:$B&amp;盘货信息!$C:$C,盘货信息!$AA:$AA)="","",_xlfn.XLOOKUP($A464&amp;$B464&amp;$C464,盘货信息!$A:$A&amp;盘货信息!$B:$B&amp;盘货信息!$C:$C,盘货信息!$AA:$AA)&amp;"免息")</f>
        <v/>
      </c>
      <c r="F464" s="18" t="str" cm="1">
        <f t="array" ref="F464">IF(_xlfn.XLOOKUP($A464&amp;$B464&amp;$C464,盘货信息!$A:$A&amp;盘货信息!$B:$B&amp;盘货信息!$C:$C,盘货信息!$AB:$AB)="","",_xlfn.XLOOKUP($A464&amp;$B464&amp;$C464,盘货信息!$A:$A&amp;盘货信息!$B:$B&amp;盘货信息!$C:$C,盘货信息!$AB:$AB))</f>
        <v/>
      </c>
      <c r="G464" s="18"/>
    </row>
    <row r="465" customHeight="1" spans="1:7">
      <c r="A465" s="20" t="str">
        <f>IF(盘货信息!A465="","",盘货信息!A465)</f>
        <v/>
      </c>
      <c r="B465" s="17" t="str">
        <f>IF(盘货信息!B465="","",盘货信息!B465)</f>
        <v/>
      </c>
      <c r="C465" s="20" t="str">
        <f>IF(盘货信息!C465="","",盘货信息!C465)</f>
        <v/>
      </c>
      <c r="D465" s="18" t="str">
        <f t="shared" si="7"/>
        <v/>
      </c>
      <c r="E465" s="18" t="str" cm="1">
        <f t="array" ref="E465">IF(_xlfn.XLOOKUP($A465&amp;$B465&amp;$C465,盘货信息!$A:$A&amp;盘货信息!$B:$B&amp;盘货信息!$C:$C,盘货信息!$AA:$AA)="","",_xlfn.XLOOKUP($A465&amp;$B465&amp;$C465,盘货信息!$A:$A&amp;盘货信息!$B:$B&amp;盘货信息!$C:$C,盘货信息!$AA:$AA)&amp;"免息")</f>
        <v/>
      </c>
      <c r="F465" s="18" t="str" cm="1">
        <f t="array" ref="F465">IF(_xlfn.XLOOKUP($A465&amp;$B465&amp;$C465,盘货信息!$A:$A&amp;盘货信息!$B:$B&amp;盘货信息!$C:$C,盘货信息!$AB:$AB)="","",_xlfn.XLOOKUP($A465&amp;$B465&amp;$C465,盘货信息!$A:$A&amp;盘货信息!$B:$B&amp;盘货信息!$C:$C,盘货信息!$AB:$AB))</f>
        <v/>
      </c>
      <c r="G465" s="18"/>
    </row>
    <row r="466" customHeight="1" spans="1:7">
      <c r="A466" s="20" t="str">
        <f>IF(盘货信息!A466="","",盘货信息!A466)</f>
        <v/>
      </c>
      <c r="B466" s="17" t="str">
        <f>IF(盘货信息!B466="","",盘货信息!B466)</f>
        <v/>
      </c>
      <c r="C466" s="20" t="str">
        <f>IF(盘货信息!C466="","",盘货信息!C466)</f>
        <v/>
      </c>
      <c r="D466" s="18" t="str">
        <f t="shared" si="7"/>
        <v/>
      </c>
      <c r="E466" s="18" t="str" cm="1">
        <f t="array" ref="E466">IF(_xlfn.XLOOKUP($A466&amp;$B466&amp;$C466,盘货信息!$A:$A&amp;盘货信息!$B:$B&amp;盘货信息!$C:$C,盘货信息!$AA:$AA)="","",_xlfn.XLOOKUP($A466&amp;$B466&amp;$C466,盘货信息!$A:$A&amp;盘货信息!$B:$B&amp;盘货信息!$C:$C,盘货信息!$AA:$AA)&amp;"免息")</f>
        <v/>
      </c>
      <c r="F466" s="18" t="str" cm="1">
        <f t="array" ref="F466">IF(_xlfn.XLOOKUP($A466&amp;$B466&amp;$C466,盘货信息!$A:$A&amp;盘货信息!$B:$B&amp;盘货信息!$C:$C,盘货信息!$AB:$AB)="","",_xlfn.XLOOKUP($A466&amp;$B466&amp;$C466,盘货信息!$A:$A&amp;盘货信息!$B:$B&amp;盘货信息!$C:$C,盘货信息!$AB:$AB))</f>
        <v/>
      </c>
      <c r="G466" s="18"/>
    </row>
    <row r="467" customHeight="1" spans="1:7">
      <c r="A467" s="20" t="str">
        <f>IF(盘货信息!A467="","",盘货信息!A467)</f>
        <v/>
      </c>
      <c r="B467" s="17" t="str">
        <f>IF(盘货信息!B467="","",盘货信息!B467)</f>
        <v/>
      </c>
      <c r="C467" s="20" t="str">
        <f>IF(盘货信息!C467="","",盘货信息!C467)</f>
        <v/>
      </c>
      <c r="D467" s="18" t="str">
        <f t="shared" si="7"/>
        <v/>
      </c>
      <c r="E467" s="18" t="str" cm="1">
        <f t="array" ref="E467">IF(_xlfn.XLOOKUP($A467&amp;$B467&amp;$C467,盘货信息!$A:$A&amp;盘货信息!$B:$B&amp;盘货信息!$C:$C,盘货信息!$AA:$AA)="","",_xlfn.XLOOKUP($A467&amp;$B467&amp;$C467,盘货信息!$A:$A&amp;盘货信息!$B:$B&amp;盘货信息!$C:$C,盘货信息!$AA:$AA)&amp;"免息")</f>
        <v/>
      </c>
      <c r="F467" s="18" t="str" cm="1">
        <f t="array" ref="F467">IF(_xlfn.XLOOKUP($A467&amp;$B467&amp;$C467,盘货信息!$A:$A&amp;盘货信息!$B:$B&amp;盘货信息!$C:$C,盘货信息!$AB:$AB)="","",_xlfn.XLOOKUP($A467&amp;$B467&amp;$C467,盘货信息!$A:$A&amp;盘货信息!$B:$B&amp;盘货信息!$C:$C,盘货信息!$AB:$AB))</f>
        <v/>
      </c>
      <c r="G467" s="18"/>
    </row>
    <row r="468" customHeight="1" spans="1:7">
      <c r="A468" s="20" t="str">
        <f>IF(盘货信息!A468="","",盘货信息!A468)</f>
        <v/>
      </c>
      <c r="B468" s="17" t="str">
        <f>IF(盘货信息!B468="","",盘货信息!B468)</f>
        <v/>
      </c>
      <c r="C468" s="20" t="str">
        <f>IF(盘货信息!C468="","",盘货信息!C468)</f>
        <v/>
      </c>
      <c r="D468" s="18" t="str">
        <f t="shared" si="7"/>
        <v/>
      </c>
      <c r="E468" s="18" t="str" cm="1">
        <f t="array" ref="E468">IF(_xlfn.XLOOKUP($A468&amp;$B468&amp;$C468,盘货信息!$A:$A&amp;盘货信息!$B:$B&amp;盘货信息!$C:$C,盘货信息!$AA:$AA)="","",_xlfn.XLOOKUP($A468&amp;$B468&amp;$C468,盘货信息!$A:$A&amp;盘货信息!$B:$B&amp;盘货信息!$C:$C,盘货信息!$AA:$AA)&amp;"免息")</f>
        <v/>
      </c>
      <c r="F468" s="18" t="str" cm="1">
        <f t="array" ref="F468">IF(_xlfn.XLOOKUP($A468&amp;$B468&amp;$C468,盘货信息!$A:$A&amp;盘货信息!$B:$B&amp;盘货信息!$C:$C,盘货信息!$AB:$AB)="","",_xlfn.XLOOKUP($A468&amp;$B468&amp;$C468,盘货信息!$A:$A&amp;盘货信息!$B:$B&amp;盘货信息!$C:$C,盘货信息!$AB:$AB))</f>
        <v/>
      </c>
      <c r="G468" s="18"/>
    </row>
    <row r="469" customHeight="1" spans="1:7">
      <c r="A469" s="20" t="str">
        <f>IF(盘货信息!A469="","",盘货信息!A469)</f>
        <v/>
      </c>
      <c r="B469" s="17" t="str">
        <f>IF(盘货信息!B469="","",盘货信息!B469)</f>
        <v/>
      </c>
      <c r="C469" s="20" t="str">
        <f>IF(盘货信息!C469="","",盘货信息!C469)</f>
        <v/>
      </c>
      <c r="D469" s="18" t="str">
        <f t="shared" si="7"/>
        <v/>
      </c>
      <c r="E469" s="18" t="str" cm="1">
        <f t="array" ref="E469">IF(_xlfn.XLOOKUP($A469&amp;$B469&amp;$C469,盘货信息!$A:$A&amp;盘货信息!$B:$B&amp;盘货信息!$C:$C,盘货信息!$AA:$AA)="","",_xlfn.XLOOKUP($A469&amp;$B469&amp;$C469,盘货信息!$A:$A&amp;盘货信息!$B:$B&amp;盘货信息!$C:$C,盘货信息!$AA:$AA)&amp;"免息")</f>
        <v/>
      </c>
      <c r="F469" s="18" t="str" cm="1">
        <f t="array" ref="F469">IF(_xlfn.XLOOKUP($A469&amp;$B469&amp;$C469,盘货信息!$A:$A&amp;盘货信息!$B:$B&amp;盘货信息!$C:$C,盘货信息!$AB:$AB)="","",_xlfn.XLOOKUP($A469&amp;$B469&amp;$C469,盘货信息!$A:$A&amp;盘货信息!$B:$B&amp;盘货信息!$C:$C,盘货信息!$AB:$AB))</f>
        <v/>
      </c>
      <c r="G469" s="18"/>
    </row>
    <row r="470" customHeight="1" spans="1:7">
      <c r="A470" s="20" t="str">
        <f>IF(盘货信息!A470="","",盘货信息!A470)</f>
        <v/>
      </c>
      <c r="B470" s="17" t="str">
        <f>IF(盘货信息!B470="","",盘货信息!B470)</f>
        <v/>
      </c>
      <c r="C470" s="20" t="str">
        <f>IF(盘货信息!C470="","",盘货信息!C470)</f>
        <v/>
      </c>
      <c r="D470" s="18" t="str">
        <f t="shared" si="7"/>
        <v/>
      </c>
      <c r="E470" s="18" t="str" cm="1">
        <f t="array" ref="E470">IF(_xlfn.XLOOKUP($A470&amp;$B470&amp;$C470,盘货信息!$A:$A&amp;盘货信息!$B:$B&amp;盘货信息!$C:$C,盘货信息!$AA:$AA)="","",_xlfn.XLOOKUP($A470&amp;$B470&amp;$C470,盘货信息!$A:$A&amp;盘货信息!$B:$B&amp;盘货信息!$C:$C,盘货信息!$AA:$AA)&amp;"免息")</f>
        <v/>
      </c>
      <c r="F470" s="18" t="str" cm="1">
        <f t="array" ref="F470">IF(_xlfn.XLOOKUP($A470&amp;$B470&amp;$C470,盘货信息!$A:$A&amp;盘货信息!$B:$B&amp;盘货信息!$C:$C,盘货信息!$AB:$AB)="","",_xlfn.XLOOKUP($A470&amp;$B470&amp;$C470,盘货信息!$A:$A&amp;盘货信息!$B:$B&amp;盘货信息!$C:$C,盘货信息!$AB:$AB))</f>
        <v/>
      </c>
      <c r="G470" s="18"/>
    </row>
    <row r="471" customHeight="1" spans="1:7">
      <c r="A471" s="20" t="str">
        <f>IF(盘货信息!A471="","",盘货信息!A471)</f>
        <v/>
      </c>
      <c r="B471" s="17" t="str">
        <f>IF(盘货信息!B471="","",盘货信息!B471)</f>
        <v/>
      </c>
      <c r="C471" s="20" t="str">
        <f>IF(盘货信息!C471="","",盘货信息!C471)</f>
        <v/>
      </c>
      <c r="D471" s="18" t="str">
        <f t="shared" si="7"/>
        <v/>
      </c>
      <c r="E471" s="18" t="str" cm="1">
        <f t="array" ref="E471">IF(_xlfn.XLOOKUP($A471&amp;$B471&amp;$C471,盘货信息!$A:$A&amp;盘货信息!$B:$B&amp;盘货信息!$C:$C,盘货信息!$AA:$AA)="","",_xlfn.XLOOKUP($A471&amp;$B471&amp;$C471,盘货信息!$A:$A&amp;盘货信息!$B:$B&amp;盘货信息!$C:$C,盘货信息!$AA:$AA)&amp;"免息")</f>
        <v/>
      </c>
      <c r="F471" s="18" t="str" cm="1">
        <f t="array" ref="F471">IF(_xlfn.XLOOKUP($A471&amp;$B471&amp;$C471,盘货信息!$A:$A&amp;盘货信息!$B:$B&amp;盘货信息!$C:$C,盘货信息!$AB:$AB)="","",_xlfn.XLOOKUP($A471&amp;$B471&amp;$C471,盘货信息!$A:$A&amp;盘货信息!$B:$B&amp;盘货信息!$C:$C,盘货信息!$AB:$AB))</f>
        <v/>
      </c>
      <c r="G471" s="18"/>
    </row>
    <row r="472" customHeight="1" spans="1:7">
      <c r="A472" s="20" t="str">
        <f>IF(盘货信息!A472="","",盘货信息!A472)</f>
        <v/>
      </c>
      <c r="B472" s="17" t="str">
        <f>IF(盘货信息!B472="","",盘货信息!B472)</f>
        <v/>
      </c>
      <c r="C472" s="20" t="str">
        <f>IF(盘货信息!C472="","",盘货信息!C472)</f>
        <v/>
      </c>
      <c r="D472" s="18" t="str">
        <f t="shared" si="7"/>
        <v/>
      </c>
      <c r="E472" s="18" t="str" cm="1">
        <f t="array" ref="E472">IF(_xlfn.XLOOKUP($A472&amp;$B472&amp;$C472,盘货信息!$A:$A&amp;盘货信息!$B:$B&amp;盘货信息!$C:$C,盘货信息!$AA:$AA)="","",_xlfn.XLOOKUP($A472&amp;$B472&amp;$C472,盘货信息!$A:$A&amp;盘货信息!$B:$B&amp;盘货信息!$C:$C,盘货信息!$AA:$AA)&amp;"免息")</f>
        <v/>
      </c>
      <c r="F472" s="18" t="str" cm="1">
        <f t="array" ref="F472">IF(_xlfn.XLOOKUP($A472&amp;$B472&amp;$C472,盘货信息!$A:$A&amp;盘货信息!$B:$B&amp;盘货信息!$C:$C,盘货信息!$AB:$AB)="","",_xlfn.XLOOKUP($A472&amp;$B472&amp;$C472,盘货信息!$A:$A&amp;盘货信息!$B:$B&amp;盘货信息!$C:$C,盘货信息!$AB:$AB))</f>
        <v/>
      </c>
      <c r="G472" s="18"/>
    </row>
    <row r="473" customHeight="1" spans="1:7">
      <c r="A473" s="20" t="str">
        <f>IF(盘货信息!A473="","",盘货信息!A473)</f>
        <v/>
      </c>
      <c r="B473" s="17" t="str">
        <f>IF(盘货信息!B473="","",盘货信息!B473)</f>
        <v/>
      </c>
      <c r="C473" s="20" t="str">
        <f>IF(盘货信息!C473="","",盘货信息!C473)</f>
        <v/>
      </c>
      <c r="D473" s="18" t="str">
        <f t="shared" si="7"/>
        <v/>
      </c>
      <c r="E473" s="18" t="str" cm="1">
        <f t="array" ref="E473">IF(_xlfn.XLOOKUP($A473&amp;$B473&amp;$C473,盘货信息!$A:$A&amp;盘货信息!$B:$B&amp;盘货信息!$C:$C,盘货信息!$AA:$AA)="","",_xlfn.XLOOKUP($A473&amp;$B473&amp;$C473,盘货信息!$A:$A&amp;盘货信息!$B:$B&amp;盘货信息!$C:$C,盘货信息!$AA:$AA)&amp;"免息")</f>
        <v/>
      </c>
      <c r="F473" s="18" t="str" cm="1">
        <f t="array" ref="F473">IF(_xlfn.XLOOKUP($A473&amp;$B473&amp;$C473,盘货信息!$A:$A&amp;盘货信息!$B:$B&amp;盘货信息!$C:$C,盘货信息!$AB:$AB)="","",_xlfn.XLOOKUP($A473&amp;$B473&amp;$C473,盘货信息!$A:$A&amp;盘货信息!$B:$B&amp;盘货信息!$C:$C,盘货信息!$AB:$AB))</f>
        <v/>
      </c>
      <c r="G473" s="18"/>
    </row>
    <row r="474" customHeight="1" spans="1:7">
      <c r="A474" s="20" t="str">
        <f>IF(盘货信息!A474="","",盘货信息!A474)</f>
        <v/>
      </c>
      <c r="B474" s="17" t="str">
        <f>IF(盘货信息!B474="","",盘货信息!B474)</f>
        <v/>
      </c>
      <c r="C474" s="20" t="str">
        <f>IF(盘货信息!C474="","",盘货信息!C474)</f>
        <v/>
      </c>
      <c r="D474" s="18" t="str">
        <f t="shared" si="7"/>
        <v/>
      </c>
      <c r="E474" s="18" t="str" cm="1">
        <f t="array" ref="E474">IF(_xlfn.XLOOKUP($A474&amp;$B474&amp;$C474,盘货信息!$A:$A&amp;盘货信息!$B:$B&amp;盘货信息!$C:$C,盘货信息!$AA:$AA)="","",_xlfn.XLOOKUP($A474&amp;$B474&amp;$C474,盘货信息!$A:$A&amp;盘货信息!$B:$B&amp;盘货信息!$C:$C,盘货信息!$AA:$AA)&amp;"免息")</f>
        <v/>
      </c>
      <c r="F474" s="18" t="str" cm="1">
        <f t="array" ref="F474">IF(_xlfn.XLOOKUP($A474&amp;$B474&amp;$C474,盘货信息!$A:$A&amp;盘货信息!$B:$B&amp;盘货信息!$C:$C,盘货信息!$AB:$AB)="","",_xlfn.XLOOKUP($A474&amp;$B474&amp;$C474,盘货信息!$A:$A&amp;盘货信息!$B:$B&amp;盘货信息!$C:$C,盘货信息!$AB:$AB))</f>
        <v/>
      </c>
      <c r="G474" s="18"/>
    </row>
    <row r="475" customHeight="1" spans="1:7">
      <c r="A475" s="20" t="str">
        <f>IF(盘货信息!A475="","",盘货信息!A475)</f>
        <v/>
      </c>
      <c r="B475" s="17" t="str">
        <f>IF(盘货信息!B475="","",盘货信息!B475)</f>
        <v/>
      </c>
      <c r="C475" s="20" t="str">
        <f>IF(盘货信息!C475="","",盘货信息!C475)</f>
        <v/>
      </c>
      <c r="D475" s="18" t="str">
        <f t="shared" si="7"/>
        <v/>
      </c>
      <c r="E475" s="18" t="str" cm="1">
        <f t="array" ref="E475">IF(_xlfn.XLOOKUP($A475&amp;$B475&amp;$C475,盘货信息!$A:$A&amp;盘货信息!$B:$B&amp;盘货信息!$C:$C,盘货信息!$AA:$AA)="","",_xlfn.XLOOKUP($A475&amp;$B475&amp;$C475,盘货信息!$A:$A&amp;盘货信息!$B:$B&amp;盘货信息!$C:$C,盘货信息!$AA:$AA)&amp;"免息")</f>
        <v/>
      </c>
      <c r="F475" s="18" t="str" cm="1">
        <f t="array" ref="F475">IF(_xlfn.XLOOKUP($A475&amp;$B475&amp;$C475,盘货信息!$A:$A&amp;盘货信息!$B:$B&amp;盘货信息!$C:$C,盘货信息!$AB:$AB)="","",_xlfn.XLOOKUP($A475&amp;$B475&amp;$C475,盘货信息!$A:$A&amp;盘货信息!$B:$B&amp;盘货信息!$C:$C,盘货信息!$AB:$AB))</f>
        <v/>
      </c>
      <c r="G475" s="18"/>
    </row>
    <row r="476" customHeight="1" spans="1:7">
      <c r="A476" s="20" t="str">
        <f>IF(盘货信息!A476="","",盘货信息!A476)</f>
        <v/>
      </c>
      <c r="B476" s="17" t="str">
        <f>IF(盘货信息!B476="","",盘货信息!B476)</f>
        <v/>
      </c>
      <c r="C476" s="20" t="str">
        <f>IF(盘货信息!C476="","",盘货信息!C476)</f>
        <v/>
      </c>
      <c r="D476" s="18" t="str">
        <f t="shared" si="7"/>
        <v/>
      </c>
      <c r="E476" s="18" t="str" cm="1">
        <f t="array" ref="E476">IF(_xlfn.XLOOKUP($A476&amp;$B476&amp;$C476,盘货信息!$A:$A&amp;盘货信息!$B:$B&amp;盘货信息!$C:$C,盘货信息!$AA:$AA)="","",_xlfn.XLOOKUP($A476&amp;$B476&amp;$C476,盘货信息!$A:$A&amp;盘货信息!$B:$B&amp;盘货信息!$C:$C,盘货信息!$AA:$AA)&amp;"免息")</f>
        <v/>
      </c>
      <c r="F476" s="18" t="str" cm="1">
        <f t="array" ref="F476">IF(_xlfn.XLOOKUP($A476&amp;$B476&amp;$C476,盘货信息!$A:$A&amp;盘货信息!$B:$B&amp;盘货信息!$C:$C,盘货信息!$AB:$AB)="","",_xlfn.XLOOKUP($A476&amp;$B476&amp;$C476,盘货信息!$A:$A&amp;盘货信息!$B:$B&amp;盘货信息!$C:$C,盘货信息!$AB:$AB))</f>
        <v/>
      </c>
      <c r="G476" s="18"/>
    </row>
    <row r="477" customHeight="1" spans="1:7">
      <c r="A477" s="20" t="str">
        <f>IF(盘货信息!A477="","",盘货信息!A477)</f>
        <v/>
      </c>
      <c r="B477" s="17" t="str">
        <f>IF(盘货信息!B477="","",盘货信息!B477)</f>
        <v/>
      </c>
      <c r="C477" s="20" t="str">
        <f>IF(盘货信息!C477="","",盘货信息!C477)</f>
        <v/>
      </c>
      <c r="D477" s="18" t="str">
        <f t="shared" si="7"/>
        <v/>
      </c>
      <c r="E477" s="18" t="str" cm="1">
        <f t="array" ref="E477">IF(_xlfn.XLOOKUP($A477&amp;$B477&amp;$C477,盘货信息!$A:$A&amp;盘货信息!$B:$B&amp;盘货信息!$C:$C,盘货信息!$AA:$AA)="","",_xlfn.XLOOKUP($A477&amp;$B477&amp;$C477,盘货信息!$A:$A&amp;盘货信息!$B:$B&amp;盘货信息!$C:$C,盘货信息!$AA:$AA)&amp;"免息")</f>
        <v/>
      </c>
      <c r="F477" s="18" t="str" cm="1">
        <f t="array" ref="F477">IF(_xlfn.XLOOKUP($A477&amp;$B477&amp;$C477,盘货信息!$A:$A&amp;盘货信息!$B:$B&amp;盘货信息!$C:$C,盘货信息!$AB:$AB)="","",_xlfn.XLOOKUP($A477&amp;$B477&amp;$C477,盘货信息!$A:$A&amp;盘货信息!$B:$B&amp;盘货信息!$C:$C,盘货信息!$AB:$AB))</f>
        <v/>
      </c>
      <c r="G477" s="18"/>
    </row>
    <row r="478" customHeight="1" spans="1:7">
      <c r="A478" s="20" t="str">
        <f>IF(盘货信息!A478="","",盘货信息!A478)</f>
        <v/>
      </c>
      <c r="B478" s="17" t="str">
        <f>IF(盘货信息!B478="","",盘货信息!B478)</f>
        <v/>
      </c>
      <c r="C478" s="20" t="str">
        <f>IF(盘货信息!C478="","",盘货信息!C478)</f>
        <v/>
      </c>
      <c r="D478" s="18" t="str">
        <f t="shared" si="7"/>
        <v/>
      </c>
      <c r="E478" s="18" t="str" cm="1">
        <f t="array" ref="E478">IF(_xlfn.XLOOKUP($A478&amp;$B478&amp;$C478,盘货信息!$A:$A&amp;盘货信息!$B:$B&amp;盘货信息!$C:$C,盘货信息!$AA:$AA)="","",_xlfn.XLOOKUP($A478&amp;$B478&amp;$C478,盘货信息!$A:$A&amp;盘货信息!$B:$B&amp;盘货信息!$C:$C,盘货信息!$AA:$AA)&amp;"免息")</f>
        <v/>
      </c>
      <c r="F478" s="18" t="str" cm="1">
        <f t="array" ref="F478">IF(_xlfn.XLOOKUP($A478&amp;$B478&amp;$C478,盘货信息!$A:$A&amp;盘货信息!$B:$B&amp;盘货信息!$C:$C,盘货信息!$AB:$AB)="","",_xlfn.XLOOKUP($A478&amp;$B478&amp;$C478,盘货信息!$A:$A&amp;盘货信息!$B:$B&amp;盘货信息!$C:$C,盘货信息!$AB:$AB))</f>
        <v/>
      </c>
      <c r="G478" s="18"/>
    </row>
    <row r="479" customHeight="1" spans="1:7">
      <c r="A479" s="20" t="str">
        <f>IF(盘货信息!A479="","",盘货信息!A479)</f>
        <v/>
      </c>
      <c r="B479" s="17" t="str">
        <f>IF(盘货信息!B479="","",盘货信息!B479)</f>
        <v/>
      </c>
      <c r="C479" s="20" t="str">
        <f>IF(盘货信息!C479="","",盘货信息!C479)</f>
        <v/>
      </c>
      <c r="D479" s="18" t="str">
        <f t="shared" si="7"/>
        <v/>
      </c>
      <c r="E479" s="18" t="str" cm="1">
        <f t="array" ref="E479">IF(_xlfn.XLOOKUP($A479&amp;$B479&amp;$C479,盘货信息!$A:$A&amp;盘货信息!$B:$B&amp;盘货信息!$C:$C,盘货信息!$AA:$AA)="","",_xlfn.XLOOKUP($A479&amp;$B479&amp;$C479,盘货信息!$A:$A&amp;盘货信息!$B:$B&amp;盘货信息!$C:$C,盘货信息!$AA:$AA)&amp;"免息")</f>
        <v/>
      </c>
      <c r="F479" s="18" t="str" cm="1">
        <f t="array" ref="F479">IF(_xlfn.XLOOKUP($A479&amp;$B479&amp;$C479,盘货信息!$A:$A&amp;盘货信息!$B:$B&amp;盘货信息!$C:$C,盘货信息!$AB:$AB)="","",_xlfn.XLOOKUP($A479&amp;$B479&amp;$C479,盘货信息!$A:$A&amp;盘货信息!$B:$B&amp;盘货信息!$C:$C,盘货信息!$AB:$AB))</f>
        <v/>
      </c>
      <c r="G479" s="18"/>
    </row>
    <row r="480" customHeight="1" spans="1:7">
      <c r="A480" s="20" t="str">
        <f>IF(盘货信息!A480="","",盘货信息!A480)</f>
        <v/>
      </c>
      <c r="B480" s="17" t="str">
        <f>IF(盘货信息!B480="","",盘货信息!B480)</f>
        <v/>
      </c>
      <c r="C480" s="20" t="str">
        <f>IF(盘货信息!C480="","",盘货信息!C480)</f>
        <v/>
      </c>
      <c r="D480" s="18" t="str">
        <f t="shared" si="7"/>
        <v/>
      </c>
      <c r="E480" s="18" t="str" cm="1">
        <f t="array" ref="E480">IF(_xlfn.XLOOKUP($A480&amp;$B480&amp;$C480,盘货信息!$A:$A&amp;盘货信息!$B:$B&amp;盘货信息!$C:$C,盘货信息!$AA:$AA)="","",_xlfn.XLOOKUP($A480&amp;$B480&amp;$C480,盘货信息!$A:$A&amp;盘货信息!$B:$B&amp;盘货信息!$C:$C,盘货信息!$AA:$AA)&amp;"免息")</f>
        <v/>
      </c>
      <c r="F480" s="18" t="str" cm="1">
        <f t="array" ref="F480">IF(_xlfn.XLOOKUP($A480&amp;$B480&amp;$C480,盘货信息!$A:$A&amp;盘货信息!$B:$B&amp;盘货信息!$C:$C,盘货信息!$AB:$AB)="","",_xlfn.XLOOKUP($A480&amp;$B480&amp;$C480,盘货信息!$A:$A&amp;盘货信息!$B:$B&amp;盘货信息!$C:$C,盘货信息!$AB:$AB))</f>
        <v/>
      </c>
      <c r="G480" s="18"/>
    </row>
    <row r="481" customHeight="1" spans="1:7">
      <c r="A481" s="20" t="str">
        <f>IF(盘货信息!A481="","",盘货信息!A481)</f>
        <v/>
      </c>
      <c r="B481" s="17" t="str">
        <f>IF(盘货信息!B481="","",盘货信息!B481)</f>
        <v/>
      </c>
      <c r="C481" s="20" t="str">
        <f>IF(盘货信息!C481="","",盘货信息!C481)</f>
        <v/>
      </c>
      <c r="D481" s="18" t="str">
        <f t="shared" si="7"/>
        <v/>
      </c>
      <c r="E481" s="18" t="str" cm="1">
        <f t="array" ref="E481">IF(_xlfn.XLOOKUP($A481&amp;$B481&amp;$C481,盘货信息!$A:$A&amp;盘货信息!$B:$B&amp;盘货信息!$C:$C,盘货信息!$AA:$AA)="","",_xlfn.XLOOKUP($A481&amp;$B481&amp;$C481,盘货信息!$A:$A&amp;盘货信息!$B:$B&amp;盘货信息!$C:$C,盘货信息!$AA:$AA)&amp;"免息")</f>
        <v/>
      </c>
      <c r="F481" s="18" t="str" cm="1">
        <f t="array" ref="F481">IF(_xlfn.XLOOKUP($A481&amp;$B481&amp;$C481,盘货信息!$A:$A&amp;盘货信息!$B:$B&amp;盘货信息!$C:$C,盘货信息!$AB:$AB)="","",_xlfn.XLOOKUP($A481&amp;$B481&amp;$C481,盘货信息!$A:$A&amp;盘货信息!$B:$B&amp;盘货信息!$C:$C,盘货信息!$AB:$AB))</f>
        <v/>
      </c>
      <c r="G481" s="18"/>
    </row>
    <row r="482" customHeight="1" spans="1:7">
      <c r="A482" s="20" t="str">
        <f>IF(盘货信息!A482="","",盘货信息!A482)</f>
        <v/>
      </c>
      <c r="B482" s="17" t="str">
        <f>IF(盘货信息!B482="","",盘货信息!B482)</f>
        <v/>
      </c>
      <c r="C482" s="20" t="str">
        <f>IF(盘货信息!C482="","",盘货信息!C482)</f>
        <v/>
      </c>
      <c r="D482" s="18" t="str">
        <f t="shared" si="7"/>
        <v/>
      </c>
      <c r="E482" s="18" t="str" cm="1">
        <f t="array" ref="E482">IF(_xlfn.XLOOKUP($A482&amp;$B482&amp;$C482,盘货信息!$A:$A&amp;盘货信息!$B:$B&amp;盘货信息!$C:$C,盘货信息!$AA:$AA)="","",_xlfn.XLOOKUP($A482&amp;$B482&amp;$C482,盘货信息!$A:$A&amp;盘货信息!$B:$B&amp;盘货信息!$C:$C,盘货信息!$AA:$AA)&amp;"免息")</f>
        <v/>
      </c>
      <c r="F482" s="18" t="str" cm="1">
        <f t="array" ref="F482">IF(_xlfn.XLOOKUP($A482&amp;$B482&amp;$C482,盘货信息!$A:$A&amp;盘货信息!$B:$B&amp;盘货信息!$C:$C,盘货信息!$AB:$AB)="","",_xlfn.XLOOKUP($A482&amp;$B482&amp;$C482,盘货信息!$A:$A&amp;盘货信息!$B:$B&amp;盘货信息!$C:$C,盘货信息!$AB:$AB))</f>
        <v/>
      </c>
      <c r="G482" s="18"/>
    </row>
    <row r="483" customHeight="1" spans="1:7">
      <c r="A483" s="20" t="str">
        <f>IF(盘货信息!A483="","",盘货信息!A483)</f>
        <v/>
      </c>
      <c r="B483" s="17" t="str">
        <f>IF(盘货信息!B483="","",盘货信息!B483)</f>
        <v/>
      </c>
      <c r="C483" s="20" t="str">
        <f>IF(盘货信息!C483="","",盘货信息!C483)</f>
        <v/>
      </c>
      <c r="D483" s="18" t="str">
        <f t="shared" si="7"/>
        <v/>
      </c>
      <c r="E483" s="18" t="str" cm="1">
        <f t="array" ref="E483">IF(_xlfn.XLOOKUP($A483&amp;$B483&amp;$C483,盘货信息!$A:$A&amp;盘货信息!$B:$B&amp;盘货信息!$C:$C,盘货信息!$AA:$AA)="","",_xlfn.XLOOKUP($A483&amp;$B483&amp;$C483,盘货信息!$A:$A&amp;盘货信息!$B:$B&amp;盘货信息!$C:$C,盘货信息!$AA:$AA)&amp;"免息")</f>
        <v/>
      </c>
      <c r="F483" s="18" t="str" cm="1">
        <f t="array" ref="F483">IF(_xlfn.XLOOKUP($A483&amp;$B483&amp;$C483,盘货信息!$A:$A&amp;盘货信息!$B:$B&amp;盘货信息!$C:$C,盘货信息!$AB:$AB)="","",_xlfn.XLOOKUP($A483&amp;$B483&amp;$C483,盘货信息!$A:$A&amp;盘货信息!$B:$B&amp;盘货信息!$C:$C,盘货信息!$AB:$AB))</f>
        <v/>
      </c>
      <c r="G483" s="18"/>
    </row>
    <row r="484" customHeight="1" spans="1:7">
      <c r="A484" s="20" t="str">
        <f>IF(盘货信息!A484="","",盘货信息!A484)</f>
        <v/>
      </c>
      <c r="B484" s="17" t="str">
        <f>IF(盘货信息!B484="","",盘货信息!B484)</f>
        <v/>
      </c>
      <c r="C484" s="20" t="str">
        <f>IF(盘货信息!C484="","",盘货信息!C484)</f>
        <v/>
      </c>
      <c r="D484" s="18" t="str">
        <f t="shared" si="7"/>
        <v/>
      </c>
      <c r="E484" s="18" t="str" cm="1">
        <f t="array" ref="E484">IF(_xlfn.XLOOKUP($A484&amp;$B484&amp;$C484,盘货信息!$A:$A&amp;盘货信息!$B:$B&amp;盘货信息!$C:$C,盘货信息!$AA:$AA)="","",_xlfn.XLOOKUP($A484&amp;$B484&amp;$C484,盘货信息!$A:$A&amp;盘货信息!$B:$B&amp;盘货信息!$C:$C,盘货信息!$AA:$AA)&amp;"免息")</f>
        <v/>
      </c>
      <c r="F484" s="18" t="str" cm="1">
        <f t="array" ref="F484">IF(_xlfn.XLOOKUP($A484&amp;$B484&amp;$C484,盘货信息!$A:$A&amp;盘货信息!$B:$B&amp;盘货信息!$C:$C,盘货信息!$AB:$AB)="","",_xlfn.XLOOKUP($A484&amp;$B484&amp;$C484,盘货信息!$A:$A&amp;盘货信息!$B:$B&amp;盘货信息!$C:$C,盘货信息!$AB:$AB))</f>
        <v/>
      </c>
      <c r="G484" s="18"/>
    </row>
    <row r="485" customHeight="1" spans="1:7">
      <c r="A485" s="20" t="str">
        <f>IF(盘货信息!A485="","",盘货信息!A485)</f>
        <v/>
      </c>
      <c r="B485" s="17" t="str">
        <f>IF(盘货信息!B485="","",盘货信息!B485)</f>
        <v/>
      </c>
      <c r="C485" s="20" t="str">
        <f>IF(盘货信息!C485="","",盘货信息!C485)</f>
        <v/>
      </c>
      <c r="D485" s="18" t="str">
        <f t="shared" si="7"/>
        <v/>
      </c>
      <c r="E485" s="18" t="str" cm="1">
        <f t="array" ref="E485">IF(_xlfn.XLOOKUP($A485&amp;$B485&amp;$C485,盘货信息!$A:$A&amp;盘货信息!$B:$B&amp;盘货信息!$C:$C,盘货信息!$AA:$AA)="","",_xlfn.XLOOKUP($A485&amp;$B485&amp;$C485,盘货信息!$A:$A&amp;盘货信息!$B:$B&amp;盘货信息!$C:$C,盘货信息!$AA:$AA)&amp;"免息")</f>
        <v/>
      </c>
      <c r="F485" s="18" t="str" cm="1">
        <f t="array" ref="F485">IF(_xlfn.XLOOKUP($A485&amp;$B485&amp;$C485,盘货信息!$A:$A&amp;盘货信息!$B:$B&amp;盘货信息!$C:$C,盘货信息!$AB:$AB)="","",_xlfn.XLOOKUP($A485&amp;$B485&amp;$C485,盘货信息!$A:$A&amp;盘货信息!$B:$B&amp;盘货信息!$C:$C,盘货信息!$AB:$AB))</f>
        <v/>
      </c>
      <c r="G485" s="18"/>
    </row>
    <row r="486" customHeight="1" spans="1:7">
      <c r="A486" s="20" t="str">
        <f>IF(盘货信息!A486="","",盘货信息!A486)</f>
        <v/>
      </c>
      <c r="B486" s="17" t="str">
        <f>IF(盘货信息!B486="","",盘货信息!B486)</f>
        <v/>
      </c>
      <c r="C486" s="20" t="str">
        <f>IF(盘货信息!C486="","",盘货信息!C486)</f>
        <v/>
      </c>
      <c r="D486" s="18" t="str">
        <f t="shared" si="7"/>
        <v/>
      </c>
      <c r="E486" s="18" t="str" cm="1">
        <f t="array" ref="E486">IF(_xlfn.XLOOKUP($A486&amp;$B486&amp;$C486,盘货信息!$A:$A&amp;盘货信息!$B:$B&amp;盘货信息!$C:$C,盘货信息!$AA:$AA)="","",_xlfn.XLOOKUP($A486&amp;$B486&amp;$C486,盘货信息!$A:$A&amp;盘货信息!$B:$B&amp;盘货信息!$C:$C,盘货信息!$AA:$AA)&amp;"免息")</f>
        <v/>
      </c>
      <c r="F486" s="18" t="str" cm="1">
        <f t="array" ref="F486">IF(_xlfn.XLOOKUP($A486&amp;$B486&amp;$C486,盘货信息!$A:$A&amp;盘货信息!$B:$B&amp;盘货信息!$C:$C,盘货信息!$AB:$AB)="","",_xlfn.XLOOKUP($A486&amp;$B486&amp;$C486,盘货信息!$A:$A&amp;盘货信息!$B:$B&amp;盘货信息!$C:$C,盘货信息!$AB:$AB))</f>
        <v/>
      </c>
      <c r="G486" s="18"/>
    </row>
    <row r="487" customHeight="1" spans="1:7">
      <c r="A487" s="20" t="str">
        <f>IF(盘货信息!A487="","",盘货信息!A487)</f>
        <v/>
      </c>
      <c r="B487" s="17" t="str">
        <f>IF(盘货信息!B487="","",盘货信息!B487)</f>
        <v/>
      </c>
      <c r="C487" s="20" t="str">
        <f>IF(盘货信息!C487="","",盘货信息!C487)</f>
        <v/>
      </c>
      <c r="D487" s="18" t="str">
        <f t="shared" si="7"/>
        <v/>
      </c>
      <c r="E487" s="18" t="str" cm="1">
        <f t="array" ref="E487">IF(_xlfn.XLOOKUP($A487&amp;$B487&amp;$C487,盘货信息!$A:$A&amp;盘货信息!$B:$B&amp;盘货信息!$C:$C,盘货信息!$AA:$AA)="","",_xlfn.XLOOKUP($A487&amp;$B487&amp;$C487,盘货信息!$A:$A&amp;盘货信息!$B:$B&amp;盘货信息!$C:$C,盘货信息!$AA:$AA)&amp;"免息")</f>
        <v/>
      </c>
      <c r="F487" s="18" t="str" cm="1">
        <f t="array" ref="F487">IF(_xlfn.XLOOKUP($A487&amp;$B487&amp;$C487,盘货信息!$A:$A&amp;盘货信息!$B:$B&amp;盘货信息!$C:$C,盘货信息!$AB:$AB)="","",_xlfn.XLOOKUP($A487&amp;$B487&amp;$C487,盘货信息!$A:$A&amp;盘货信息!$B:$B&amp;盘货信息!$C:$C,盘货信息!$AB:$AB))</f>
        <v/>
      </c>
      <c r="G487" s="18"/>
    </row>
    <row r="488" customHeight="1" spans="1:7">
      <c r="A488" s="20" t="str">
        <f>IF(盘货信息!A488="","",盘货信息!A488)</f>
        <v/>
      </c>
      <c r="B488" s="17" t="str">
        <f>IF(盘货信息!B488="","",盘货信息!B488)</f>
        <v/>
      </c>
      <c r="C488" s="20" t="str">
        <f>IF(盘货信息!C488="","",盘货信息!C488)</f>
        <v/>
      </c>
      <c r="D488" s="18" t="str">
        <f t="shared" si="7"/>
        <v/>
      </c>
      <c r="E488" s="18" t="str" cm="1">
        <f t="array" ref="E488">IF(_xlfn.XLOOKUP($A488&amp;$B488&amp;$C488,盘货信息!$A:$A&amp;盘货信息!$B:$B&amp;盘货信息!$C:$C,盘货信息!$AA:$AA)="","",_xlfn.XLOOKUP($A488&amp;$B488&amp;$C488,盘货信息!$A:$A&amp;盘货信息!$B:$B&amp;盘货信息!$C:$C,盘货信息!$AA:$AA)&amp;"免息")</f>
        <v/>
      </c>
      <c r="F488" s="18" t="str" cm="1">
        <f t="array" ref="F488">IF(_xlfn.XLOOKUP($A488&amp;$B488&amp;$C488,盘货信息!$A:$A&amp;盘货信息!$B:$B&amp;盘货信息!$C:$C,盘货信息!$AB:$AB)="","",_xlfn.XLOOKUP($A488&amp;$B488&amp;$C488,盘货信息!$A:$A&amp;盘货信息!$B:$B&amp;盘货信息!$C:$C,盘货信息!$AB:$AB))</f>
        <v/>
      </c>
      <c r="G488" s="18"/>
    </row>
    <row r="489" customHeight="1" spans="1:7">
      <c r="A489" s="20" t="str">
        <f>IF(盘货信息!A489="","",盘货信息!A489)</f>
        <v/>
      </c>
      <c r="B489" s="17" t="str">
        <f>IF(盘货信息!B489="","",盘货信息!B489)</f>
        <v/>
      </c>
      <c r="C489" s="20" t="str">
        <f>IF(盘货信息!C489="","",盘货信息!C489)</f>
        <v/>
      </c>
      <c r="D489" s="18" t="str">
        <f t="shared" si="7"/>
        <v/>
      </c>
      <c r="E489" s="18" t="str" cm="1">
        <f t="array" ref="E489">IF(_xlfn.XLOOKUP($A489&amp;$B489&amp;$C489,盘货信息!$A:$A&amp;盘货信息!$B:$B&amp;盘货信息!$C:$C,盘货信息!$AA:$AA)="","",_xlfn.XLOOKUP($A489&amp;$B489&amp;$C489,盘货信息!$A:$A&amp;盘货信息!$B:$B&amp;盘货信息!$C:$C,盘货信息!$AA:$AA)&amp;"免息")</f>
        <v/>
      </c>
      <c r="F489" s="18" t="str" cm="1">
        <f t="array" ref="F489">IF(_xlfn.XLOOKUP($A489&amp;$B489&amp;$C489,盘货信息!$A:$A&amp;盘货信息!$B:$B&amp;盘货信息!$C:$C,盘货信息!$AB:$AB)="","",_xlfn.XLOOKUP($A489&amp;$B489&amp;$C489,盘货信息!$A:$A&amp;盘货信息!$B:$B&amp;盘货信息!$C:$C,盘货信息!$AB:$AB))</f>
        <v/>
      </c>
      <c r="G489" s="18"/>
    </row>
    <row r="490" customHeight="1" spans="1:7">
      <c r="A490" s="20" t="str">
        <f>IF(盘货信息!A490="","",盘货信息!A490)</f>
        <v/>
      </c>
      <c r="B490" s="17" t="str">
        <f>IF(盘货信息!B490="","",盘货信息!B490)</f>
        <v/>
      </c>
      <c r="C490" s="20" t="str">
        <f>IF(盘货信息!C490="","",盘货信息!C490)</f>
        <v/>
      </c>
      <c r="D490" s="18" t="str">
        <f t="shared" si="7"/>
        <v/>
      </c>
      <c r="E490" s="18" t="str" cm="1">
        <f t="array" ref="E490">IF(_xlfn.XLOOKUP($A490&amp;$B490&amp;$C490,盘货信息!$A:$A&amp;盘货信息!$B:$B&amp;盘货信息!$C:$C,盘货信息!$AA:$AA)="","",_xlfn.XLOOKUP($A490&amp;$B490&amp;$C490,盘货信息!$A:$A&amp;盘货信息!$B:$B&amp;盘货信息!$C:$C,盘货信息!$AA:$AA)&amp;"免息")</f>
        <v/>
      </c>
      <c r="F490" s="18" t="str" cm="1">
        <f t="array" ref="F490">IF(_xlfn.XLOOKUP($A490&amp;$B490&amp;$C490,盘货信息!$A:$A&amp;盘货信息!$B:$B&amp;盘货信息!$C:$C,盘货信息!$AB:$AB)="","",_xlfn.XLOOKUP($A490&amp;$B490&amp;$C490,盘货信息!$A:$A&amp;盘货信息!$B:$B&amp;盘货信息!$C:$C,盘货信息!$AB:$AB))</f>
        <v/>
      </c>
      <c r="G490" s="18"/>
    </row>
    <row r="491" customHeight="1" spans="1:7">
      <c r="A491" s="20" t="str">
        <f>IF(盘货信息!A491="","",盘货信息!A491)</f>
        <v/>
      </c>
      <c r="B491" s="17" t="str">
        <f>IF(盘货信息!B491="","",盘货信息!B491)</f>
        <v/>
      </c>
      <c r="C491" s="20" t="str">
        <f>IF(盘货信息!C491="","",盘货信息!C491)</f>
        <v/>
      </c>
      <c r="D491" s="18" t="str">
        <f t="shared" si="7"/>
        <v/>
      </c>
      <c r="E491" s="18" t="str" cm="1">
        <f t="array" ref="E491">IF(_xlfn.XLOOKUP($A491&amp;$B491&amp;$C491,盘货信息!$A:$A&amp;盘货信息!$B:$B&amp;盘货信息!$C:$C,盘货信息!$AA:$AA)="","",_xlfn.XLOOKUP($A491&amp;$B491&amp;$C491,盘货信息!$A:$A&amp;盘货信息!$B:$B&amp;盘货信息!$C:$C,盘货信息!$AA:$AA)&amp;"免息")</f>
        <v/>
      </c>
      <c r="F491" s="18" t="str" cm="1">
        <f t="array" ref="F491">IF(_xlfn.XLOOKUP($A491&amp;$B491&amp;$C491,盘货信息!$A:$A&amp;盘货信息!$B:$B&amp;盘货信息!$C:$C,盘货信息!$AB:$AB)="","",_xlfn.XLOOKUP($A491&amp;$B491&amp;$C491,盘货信息!$A:$A&amp;盘货信息!$B:$B&amp;盘货信息!$C:$C,盘货信息!$AB:$AB))</f>
        <v/>
      </c>
      <c r="G491" s="18"/>
    </row>
    <row r="492" customHeight="1" spans="1:7">
      <c r="A492" s="20" t="str">
        <f>IF(盘货信息!A492="","",盘货信息!A492)</f>
        <v/>
      </c>
      <c r="B492" s="17" t="str">
        <f>IF(盘货信息!B492="","",盘货信息!B492)</f>
        <v/>
      </c>
      <c r="C492" s="20" t="str">
        <f>IF(盘货信息!C492="","",盘货信息!C492)</f>
        <v/>
      </c>
      <c r="D492" s="18" t="str">
        <f t="shared" si="7"/>
        <v/>
      </c>
      <c r="E492" s="18" t="str" cm="1">
        <f t="array" ref="E492">IF(_xlfn.XLOOKUP($A492&amp;$B492&amp;$C492,盘货信息!$A:$A&amp;盘货信息!$B:$B&amp;盘货信息!$C:$C,盘货信息!$AA:$AA)="","",_xlfn.XLOOKUP($A492&amp;$B492&amp;$C492,盘货信息!$A:$A&amp;盘货信息!$B:$B&amp;盘货信息!$C:$C,盘货信息!$AA:$AA)&amp;"免息")</f>
        <v/>
      </c>
      <c r="F492" s="18" t="str" cm="1">
        <f t="array" ref="F492">IF(_xlfn.XLOOKUP($A492&amp;$B492&amp;$C492,盘货信息!$A:$A&amp;盘货信息!$B:$B&amp;盘货信息!$C:$C,盘货信息!$AB:$AB)="","",_xlfn.XLOOKUP($A492&amp;$B492&amp;$C492,盘货信息!$A:$A&amp;盘货信息!$B:$B&amp;盘货信息!$C:$C,盘货信息!$AB:$AB))</f>
        <v/>
      </c>
      <c r="G492" s="18"/>
    </row>
    <row r="493" customHeight="1" spans="1:7">
      <c r="A493" s="20" t="str">
        <f>IF(盘货信息!A493="","",盘货信息!A493)</f>
        <v/>
      </c>
      <c r="B493" s="17" t="str">
        <f>IF(盘货信息!B493="","",盘货信息!B493)</f>
        <v/>
      </c>
      <c r="C493" s="20" t="str">
        <f>IF(盘货信息!C493="","",盘货信息!C493)</f>
        <v/>
      </c>
      <c r="D493" s="18" t="str">
        <f t="shared" si="7"/>
        <v/>
      </c>
      <c r="E493" s="18" t="str" cm="1">
        <f t="array" ref="E493">IF(_xlfn.XLOOKUP($A493&amp;$B493&amp;$C493,盘货信息!$A:$A&amp;盘货信息!$B:$B&amp;盘货信息!$C:$C,盘货信息!$AA:$AA)="","",_xlfn.XLOOKUP($A493&amp;$B493&amp;$C493,盘货信息!$A:$A&amp;盘货信息!$B:$B&amp;盘货信息!$C:$C,盘货信息!$AA:$AA)&amp;"免息")</f>
        <v/>
      </c>
      <c r="F493" s="18" t="str" cm="1">
        <f t="array" ref="F493">IF(_xlfn.XLOOKUP($A493&amp;$B493&amp;$C493,盘货信息!$A:$A&amp;盘货信息!$B:$B&amp;盘货信息!$C:$C,盘货信息!$AB:$AB)="","",_xlfn.XLOOKUP($A493&amp;$B493&amp;$C493,盘货信息!$A:$A&amp;盘货信息!$B:$B&amp;盘货信息!$C:$C,盘货信息!$AB:$AB))</f>
        <v/>
      </c>
      <c r="G493" s="18"/>
    </row>
    <row r="494" customHeight="1" spans="1:7">
      <c r="A494" s="20" t="str">
        <f>IF(盘货信息!A494="","",盘货信息!A494)</f>
        <v/>
      </c>
      <c r="B494" s="17" t="str">
        <f>IF(盘货信息!B494="","",盘货信息!B494)</f>
        <v/>
      </c>
      <c r="C494" s="20" t="str">
        <f>IF(盘货信息!C494="","",盘货信息!C494)</f>
        <v/>
      </c>
      <c r="D494" s="18" t="str">
        <f t="shared" si="7"/>
        <v/>
      </c>
      <c r="E494" s="18" t="str" cm="1">
        <f t="array" ref="E494">IF(_xlfn.XLOOKUP($A494&amp;$B494&amp;$C494,盘货信息!$A:$A&amp;盘货信息!$B:$B&amp;盘货信息!$C:$C,盘货信息!$AA:$AA)="","",_xlfn.XLOOKUP($A494&amp;$B494&amp;$C494,盘货信息!$A:$A&amp;盘货信息!$B:$B&amp;盘货信息!$C:$C,盘货信息!$AA:$AA)&amp;"免息")</f>
        <v/>
      </c>
      <c r="F494" s="18" t="str" cm="1">
        <f t="array" ref="F494">IF(_xlfn.XLOOKUP($A494&amp;$B494&amp;$C494,盘货信息!$A:$A&amp;盘货信息!$B:$B&amp;盘货信息!$C:$C,盘货信息!$AB:$AB)="","",_xlfn.XLOOKUP($A494&amp;$B494&amp;$C494,盘货信息!$A:$A&amp;盘货信息!$B:$B&amp;盘货信息!$C:$C,盘货信息!$AB:$AB))</f>
        <v/>
      </c>
      <c r="G494" s="18"/>
    </row>
    <row r="495" customHeight="1" spans="1:7">
      <c r="A495" s="20" t="str">
        <f>IF(盘货信息!A495="","",盘货信息!A495)</f>
        <v/>
      </c>
      <c r="B495" s="17" t="str">
        <f>IF(盘货信息!B495="","",盘货信息!B495)</f>
        <v/>
      </c>
      <c r="C495" s="20" t="str">
        <f>IF(盘货信息!C495="","",盘货信息!C495)</f>
        <v/>
      </c>
      <c r="D495" s="18" t="str">
        <f t="shared" si="7"/>
        <v/>
      </c>
      <c r="E495" s="18" t="str" cm="1">
        <f t="array" ref="E495">IF(_xlfn.XLOOKUP($A495&amp;$B495&amp;$C495,盘货信息!$A:$A&amp;盘货信息!$B:$B&amp;盘货信息!$C:$C,盘货信息!$AA:$AA)="","",_xlfn.XLOOKUP($A495&amp;$B495&amp;$C495,盘货信息!$A:$A&amp;盘货信息!$B:$B&amp;盘货信息!$C:$C,盘货信息!$AA:$AA)&amp;"免息")</f>
        <v/>
      </c>
      <c r="F495" s="18" t="str" cm="1">
        <f t="array" ref="F495">IF(_xlfn.XLOOKUP($A495&amp;$B495&amp;$C495,盘货信息!$A:$A&amp;盘货信息!$B:$B&amp;盘货信息!$C:$C,盘货信息!$AB:$AB)="","",_xlfn.XLOOKUP($A495&amp;$B495&amp;$C495,盘货信息!$A:$A&amp;盘货信息!$B:$B&amp;盘货信息!$C:$C,盘货信息!$AB:$AB))</f>
        <v/>
      </c>
      <c r="G495" s="18"/>
    </row>
    <row r="496" customHeight="1" spans="1:7">
      <c r="A496" s="20" t="str">
        <f>IF(盘货信息!A496="","",盘货信息!A496)</f>
        <v/>
      </c>
      <c r="B496" s="17" t="str">
        <f>IF(盘货信息!B496="","",盘货信息!B496)</f>
        <v/>
      </c>
      <c r="C496" s="20" t="str">
        <f>IF(盘货信息!C496="","",盘货信息!C496)</f>
        <v/>
      </c>
      <c r="D496" s="18" t="str">
        <f t="shared" si="7"/>
        <v/>
      </c>
      <c r="E496" s="18" t="str" cm="1">
        <f t="array" ref="E496">IF(_xlfn.XLOOKUP($A496&amp;$B496&amp;$C496,盘货信息!$A:$A&amp;盘货信息!$B:$B&amp;盘货信息!$C:$C,盘货信息!$AA:$AA)="","",_xlfn.XLOOKUP($A496&amp;$B496&amp;$C496,盘货信息!$A:$A&amp;盘货信息!$B:$B&amp;盘货信息!$C:$C,盘货信息!$AA:$AA)&amp;"免息")</f>
        <v/>
      </c>
      <c r="F496" s="18" t="str" cm="1">
        <f t="array" ref="F496">IF(_xlfn.XLOOKUP($A496&amp;$B496&amp;$C496,盘货信息!$A:$A&amp;盘货信息!$B:$B&amp;盘货信息!$C:$C,盘货信息!$AB:$AB)="","",_xlfn.XLOOKUP($A496&amp;$B496&amp;$C496,盘货信息!$A:$A&amp;盘货信息!$B:$B&amp;盘货信息!$C:$C,盘货信息!$AB:$AB))</f>
        <v/>
      </c>
      <c r="G496" s="18"/>
    </row>
    <row r="497" customHeight="1" spans="1:7">
      <c r="A497" s="20" t="str">
        <f>IF(盘货信息!A497="","",盘货信息!A497)</f>
        <v/>
      </c>
      <c r="B497" s="17" t="str">
        <f>IF(盘货信息!B497="","",盘货信息!B497)</f>
        <v/>
      </c>
      <c r="C497" s="20" t="str">
        <f>IF(盘货信息!C497="","",盘货信息!C497)</f>
        <v/>
      </c>
      <c r="D497" s="18" t="str">
        <f t="shared" si="7"/>
        <v/>
      </c>
      <c r="E497" s="18" t="str" cm="1">
        <f t="array" ref="E497">IF(_xlfn.XLOOKUP($A497&amp;$B497&amp;$C497,盘货信息!$A:$A&amp;盘货信息!$B:$B&amp;盘货信息!$C:$C,盘货信息!$AA:$AA)="","",_xlfn.XLOOKUP($A497&amp;$B497&amp;$C497,盘货信息!$A:$A&amp;盘货信息!$B:$B&amp;盘货信息!$C:$C,盘货信息!$AA:$AA)&amp;"免息")</f>
        <v/>
      </c>
      <c r="F497" s="18" t="str" cm="1">
        <f t="array" ref="F497">IF(_xlfn.XLOOKUP($A497&amp;$B497&amp;$C497,盘货信息!$A:$A&amp;盘货信息!$B:$B&amp;盘货信息!$C:$C,盘货信息!$AB:$AB)="","",_xlfn.XLOOKUP($A497&amp;$B497&amp;$C497,盘货信息!$A:$A&amp;盘货信息!$B:$B&amp;盘货信息!$C:$C,盘货信息!$AB:$AB))</f>
        <v/>
      </c>
      <c r="G497" s="18"/>
    </row>
    <row r="498" customHeight="1" spans="1:7">
      <c r="A498" s="20" t="str">
        <f>IF(盘货信息!A498="","",盘货信息!A498)</f>
        <v/>
      </c>
      <c r="B498" s="17" t="str">
        <f>IF(盘货信息!B498="","",盘货信息!B498)</f>
        <v/>
      </c>
      <c r="C498" s="20" t="str">
        <f>IF(盘货信息!C498="","",盘货信息!C498)</f>
        <v/>
      </c>
      <c r="D498" s="18" t="str">
        <f t="shared" si="7"/>
        <v/>
      </c>
      <c r="E498" s="18" t="str" cm="1">
        <f t="array" ref="E498">IF(_xlfn.XLOOKUP($A498&amp;$B498&amp;$C498,盘货信息!$A:$A&amp;盘货信息!$B:$B&amp;盘货信息!$C:$C,盘货信息!$AA:$AA)="","",_xlfn.XLOOKUP($A498&amp;$B498&amp;$C498,盘货信息!$A:$A&amp;盘货信息!$B:$B&amp;盘货信息!$C:$C,盘货信息!$AA:$AA)&amp;"免息")</f>
        <v/>
      </c>
      <c r="F498" s="18" t="str" cm="1">
        <f t="array" ref="F498">IF(_xlfn.XLOOKUP($A498&amp;$B498&amp;$C498,盘货信息!$A:$A&amp;盘货信息!$B:$B&amp;盘货信息!$C:$C,盘货信息!$AB:$AB)="","",_xlfn.XLOOKUP($A498&amp;$B498&amp;$C498,盘货信息!$A:$A&amp;盘货信息!$B:$B&amp;盘货信息!$C:$C,盘货信息!$AB:$AB))</f>
        <v/>
      </c>
      <c r="G498" s="18"/>
    </row>
    <row r="499" customHeight="1" spans="1:7">
      <c r="A499" s="20" t="str">
        <f>IF(盘货信息!A499="","",盘货信息!A499)</f>
        <v/>
      </c>
      <c r="B499" s="17" t="str">
        <f>IF(盘货信息!B499="","",盘货信息!B499)</f>
        <v/>
      </c>
      <c r="C499" s="20" t="str">
        <f>IF(盘货信息!C499="","",盘货信息!C499)</f>
        <v/>
      </c>
      <c r="D499" s="18" t="str">
        <f t="shared" si="7"/>
        <v/>
      </c>
      <c r="E499" s="18" t="str" cm="1">
        <f t="array" ref="E499">IF(_xlfn.XLOOKUP($A499&amp;$B499&amp;$C499,盘货信息!$A:$A&amp;盘货信息!$B:$B&amp;盘货信息!$C:$C,盘货信息!$AA:$AA)="","",_xlfn.XLOOKUP($A499&amp;$B499&amp;$C499,盘货信息!$A:$A&amp;盘货信息!$B:$B&amp;盘货信息!$C:$C,盘货信息!$AA:$AA)&amp;"免息")</f>
        <v/>
      </c>
      <c r="F499" s="18" t="str" cm="1">
        <f t="array" ref="F499">IF(_xlfn.XLOOKUP($A499&amp;$B499&amp;$C499,盘货信息!$A:$A&amp;盘货信息!$B:$B&amp;盘货信息!$C:$C,盘货信息!$AB:$AB)="","",_xlfn.XLOOKUP($A499&amp;$B499&amp;$C499,盘货信息!$A:$A&amp;盘货信息!$B:$B&amp;盘货信息!$C:$C,盘货信息!$AB:$AB))</f>
        <v/>
      </c>
      <c r="G499" s="18"/>
    </row>
    <row r="500" customHeight="1" spans="1:7">
      <c r="A500" s="20" t="str">
        <f>IF(盘货信息!A500="","",盘货信息!A500)</f>
        <v/>
      </c>
      <c r="B500" s="17" t="str">
        <f>IF(盘货信息!B500="","",盘货信息!B500)</f>
        <v/>
      </c>
      <c r="C500" s="20" t="str">
        <f>IF(盘货信息!C500="","",盘货信息!C500)</f>
        <v/>
      </c>
      <c r="D500" s="18" t="str">
        <f t="shared" si="7"/>
        <v/>
      </c>
      <c r="E500" s="18" t="str" cm="1">
        <f t="array" ref="E500">IF(_xlfn.XLOOKUP($A500&amp;$B500&amp;$C500,盘货信息!$A:$A&amp;盘货信息!$B:$B&amp;盘货信息!$C:$C,盘货信息!$AA:$AA)="","",_xlfn.XLOOKUP($A500&amp;$B500&amp;$C500,盘货信息!$A:$A&amp;盘货信息!$B:$B&amp;盘货信息!$C:$C,盘货信息!$AA:$AA)&amp;"免息")</f>
        <v/>
      </c>
      <c r="F500" s="18" t="str" cm="1">
        <f t="array" ref="F500">IF(_xlfn.XLOOKUP($A500&amp;$B500&amp;$C500,盘货信息!$A:$A&amp;盘货信息!$B:$B&amp;盘货信息!$C:$C,盘货信息!$AB:$AB)="","",_xlfn.XLOOKUP($A500&amp;$B500&amp;$C500,盘货信息!$A:$A&amp;盘货信息!$B:$B&amp;盘货信息!$C:$C,盘货信息!$AB:$AB))</f>
        <v/>
      </c>
      <c r="G500" s="18"/>
    </row>
    <row r="501" customHeight="1" spans="1:7">
      <c r="A501" s="20" t="str">
        <f>IF(盘货信息!A501="","",盘货信息!A501)</f>
        <v/>
      </c>
      <c r="B501" s="17" t="str">
        <f>IF(盘货信息!B501="","",盘货信息!B501)</f>
        <v/>
      </c>
      <c r="C501" s="20" t="str">
        <f>IF(盘货信息!C501="","",盘货信息!C501)</f>
        <v/>
      </c>
      <c r="D501" s="18" t="str">
        <f t="shared" si="7"/>
        <v/>
      </c>
      <c r="E501" s="18" t="str" cm="1">
        <f t="array" ref="E501">IF(_xlfn.XLOOKUP($A501&amp;$B501&amp;$C501,盘货信息!$A:$A&amp;盘货信息!$B:$B&amp;盘货信息!$C:$C,盘货信息!$AA:$AA)="","",_xlfn.XLOOKUP($A501&amp;$B501&amp;$C501,盘货信息!$A:$A&amp;盘货信息!$B:$B&amp;盘货信息!$C:$C,盘货信息!$AA:$AA)&amp;"免息")</f>
        <v/>
      </c>
      <c r="F501" s="18" t="str" cm="1">
        <f t="array" ref="F501">IF(_xlfn.XLOOKUP($A501&amp;$B501&amp;$C501,盘货信息!$A:$A&amp;盘货信息!$B:$B&amp;盘货信息!$C:$C,盘货信息!$AB:$AB)="","",_xlfn.XLOOKUP($A501&amp;$B501&amp;$C501,盘货信息!$A:$A&amp;盘货信息!$B:$B&amp;盘货信息!$C:$C,盘货信息!$AB:$AB))</f>
        <v/>
      </c>
      <c r="G501" s="18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1:L8"/>
  <sheetViews>
    <sheetView zoomScale="112" zoomScaleNormal="112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11.0847457627119" defaultRowHeight="17" outlineLevelRow="7"/>
  <cols>
    <col min="1" max="1" width="11.0847457627119" style="2"/>
    <col min="2" max="2" width="68.5762711864407" style="3" customWidth="1"/>
    <col min="3" max="3" width="51.5254237288136" style="2" customWidth="1"/>
    <col min="4" max="4" width="69.0593220338983" style="2" customWidth="1"/>
    <col min="5" max="11" width="46.6779661016949" style="2" customWidth="1"/>
    <col min="12" max="12" width="59.9152542372881" style="2" customWidth="1"/>
    <col min="13" max="16384" width="11.0847457627119" style="2"/>
  </cols>
  <sheetData>
    <row r="1" spans="2:12">
      <c r="C1" s="2" t="s">
        <v>58</v>
      </c>
      <c r="G1" s="2">
        <v>67</v>
      </c>
      <c r="J1" s="2" t="s">
        <v>59</v>
      </c>
    </row>
    <row r="2" spans="2:12">
      <c r="B2" s="4" t="s">
        <v>60</v>
      </c>
      <c r="C2" s="4" t="s">
        <v>61</v>
      </c>
      <c r="D2" s="4" t="s">
        <v>62</v>
      </c>
      <c r="E2" s="5" t="s">
        <v>63</v>
      </c>
      <c r="F2" s="5" t="s">
        <v>64</v>
      </c>
      <c r="G2" s="5" t="s">
        <v>65</v>
      </c>
      <c r="H2" s="5" t="s">
        <v>66</v>
      </c>
      <c r="I2" s="5" t="s">
        <v>67</v>
      </c>
      <c r="J2" s="5" t="s">
        <v>68</v>
      </c>
      <c r="K2" s="5" t="s">
        <v>69</v>
      </c>
      <c r="L2" s="5" t="s">
        <v>70</v>
      </c>
    </row>
    <row r="3" ht="409" customHeight="1" spans="2:12">
      <c r="B3" s="6" t="s">
        <v>71</v>
      </c>
      <c r="C3" s="7" t="s">
        <v>72</v>
      </c>
      <c r="D3" s="7"/>
      <c r="E3" s="7"/>
      <c r="F3" s="7"/>
      <c r="G3" s="8"/>
      <c r="H3" s="9"/>
      <c r="I3" s="9"/>
      <c r="J3" s="9"/>
      <c r="K3" s="9"/>
      <c r="L3" s="9"/>
    </row>
    <row r="4" s="1" customFormat="1" ht="47.15" spans="2:12">
      <c r="B4" s="1" t="s">
        <v>73</v>
      </c>
      <c r="E4" s="1" t="s">
        <v>74</v>
      </c>
      <c r="F4" s="1" t="s">
        <v>75</v>
      </c>
      <c r="I4" s="1" t="s">
        <v>76</v>
      </c>
      <c r="L4" s="1" t="s">
        <v>77</v>
      </c>
    </row>
    <row r="5" ht="68.05" spans="2:12">
      <c r="B5" s="3" t="s">
        <v>78</v>
      </c>
      <c r="C5" s="10" t="s">
        <v>79</v>
      </c>
      <c r="D5" s="10" t="s">
        <v>80</v>
      </c>
      <c r="E5" s="10" t="s">
        <v>81</v>
      </c>
      <c r="F5" s="10" t="s">
        <v>82</v>
      </c>
      <c r="G5" s="10" t="s">
        <v>83</v>
      </c>
      <c r="H5" s="10" t="s">
        <v>82</v>
      </c>
      <c r="I5" s="10" t="s">
        <v>84</v>
      </c>
      <c r="J5" s="10" t="s">
        <v>85</v>
      </c>
      <c r="K5" s="10" t="s">
        <v>82</v>
      </c>
      <c r="L5" s="10"/>
    </row>
    <row r="6" ht="68.05" spans="2:12">
      <c r="D6" s="10" t="s">
        <v>86</v>
      </c>
    </row>
    <row r="8" spans="2:12">
      <c r="D8" s="11"/>
    </row>
  </sheetData>
  <mergeCells count="3">
    <mergeCell ref="C1:F1"/>
    <mergeCell ref="G1:I1"/>
    <mergeCell ref="J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盘货信息</vt:lpstr>
      <vt:lpstr>固定信息</vt:lpstr>
      <vt:lpstr>促销信息</vt:lpstr>
      <vt:lpstr>价格信息</vt:lpstr>
      <vt:lpstr>服务</vt:lpstr>
      <vt:lpstr>天条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</dc:creator>
  <cp:lastModifiedBy>Huan</cp:lastModifiedBy>
  <dcterms:created xsi:type="dcterms:W3CDTF">2026-05-27T08:48:00Z</dcterms:created>
  <dcterms:modified xsi:type="dcterms:W3CDTF">2026-08-10T06:40:09Z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861C95B305F64406A05FEE8E2D53F7CF_13</vt:lpwstr>
  </property>
  <property fmtid="{D5CDD505-2E9C-101B-9397-08002B2CF9AE}" pid="3" name="KSOProductBuildVer">
    <vt:lpwstr>2052-12.1.0.26899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